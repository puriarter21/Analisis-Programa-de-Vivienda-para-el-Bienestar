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87293650-C9AF-49D3-9630-20408C15318F}" xr6:coauthVersionLast="47" xr6:coauthVersionMax="47" xr10:uidLastSave="{00000000-0000-0000-0000-000000000000}"/>
  <bookViews>
    <workbookView xWindow="20370" yWindow="-120" windowWidth="29040" windowHeight="15840" tabRatio="759" xr2:uid="{00000000-000D-0000-FFFF-FFFF00000000}"/>
  </bookViews>
  <sheets>
    <sheet name="Índice" sheetId="68" r:id="rId1"/>
    <sheet name="Cuadro 3.1" sheetId="83" r:id="rId2"/>
    <sheet name="Cuadro 3.2" sheetId="84" r:id="rId3"/>
    <sheet name="Cuadro 3.3" sheetId="85" r:id="rId4"/>
    <sheet name="Cuadro 3.4" sheetId="69" r:id="rId5"/>
    <sheet name="Cuadro 3.5" sheetId="70" r:id="rId6"/>
    <sheet name="Cuadro 3.6" sheetId="72" r:id="rId7"/>
    <sheet name="Cuadro 3.7" sheetId="73" r:id="rId8"/>
    <sheet name="Cuadro 3.8" sheetId="74" r:id="rId9"/>
    <sheet name="Cuadro 3.9" sheetId="75" r:id="rId10"/>
    <sheet name="Cuadro 3.10" sheetId="76" r:id="rId11"/>
    <sheet name="Cuadro 3.11" sheetId="77" r:id="rId12"/>
    <sheet name="Cuadro 3.11a" sheetId="78" r:id="rId13"/>
    <sheet name="Cuadro 3.12" sheetId="71" r:id="rId14"/>
    <sheet name="Cuadro 3.13" sheetId="79" r:id="rId15"/>
    <sheet name="Cuadro 3.14" sheetId="80" r:id="rId16"/>
    <sheet name="Cuadro 3.15" sheetId="81" r:id="rId17"/>
    <sheet name="Cuadro 3.16" sheetId="82" r:id="rId18"/>
    <sheet name="Cuadro 3.17" sheetId="86" r:id="rId19"/>
    <sheet name="Cuadro 3.18" sheetId="87" r:id="rId20"/>
    <sheet name="Cuadro 3.19" sheetId="88" r:id="rId21"/>
    <sheet name="Cuadro 3.20" sheetId="89" r:id="rId22"/>
  </sheets>
  <externalReferences>
    <externalReference r:id="rId23"/>
  </externalReferences>
  <definedNames>
    <definedName name="\p">#N/A</definedName>
    <definedName name="\s">#N/A</definedName>
    <definedName name="_xlnm._FilterDatabase" localSheetId="1" hidden="1">'Cuadro 3.1'!$D$11:$P$45</definedName>
    <definedName name="_xlnm._FilterDatabase" localSheetId="11" hidden="1">'Cuadro 3.11'!$D$11:$T$45</definedName>
    <definedName name="_xlnm._FilterDatabase" localSheetId="13" hidden="1">'Cuadro 3.12'!$D$11:$P$45</definedName>
    <definedName name="_xlnm._FilterDatabase" localSheetId="5" hidden="1">'Cuadro 3.5'!$D$11:$J$45</definedName>
    <definedName name="_xlnm._FilterDatabase" localSheetId="7" hidden="1">'Cuadro 3.7'!$D$11:$P$45</definedName>
    <definedName name="A_impresión_IM" localSheetId="12">#REF!</definedName>
    <definedName name="A_impresión_IM" localSheetId="13">#REF!</definedName>
    <definedName name="A_impresión_IM" localSheetId="15">#REF!</definedName>
    <definedName name="A_impresión_IM" localSheetId="19">#REF!</definedName>
    <definedName name="A_impresión_IM" localSheetId="5">#REF!</definedName>
    <definedName name="A_impresión_IM" localSheetId="0">#REF!</definedName>
    <definedName name="A_impresión_IM">#REF!</definedName>
    <definedName name="Cuadro_2.1" localSheetId="15">#REF!</definedName>
    <definedName name="Cuadro_2.1" localSheetId="19">#REF!</definedName>
    <definedName name="Cuadro_2.1" localSheetId="6">'Cuadro 3.6'!$G$48:$G$48</definedName>
    <definedName name="Cuadro_2.1" localSheetId="0">#REF!</definedName>
    <definedName name="Cuadro_2.1">#REF!</definedName>
    <definedName name="Cuadro_2.2" localSheetId="12">#REF!</definedName>
    <definedName name="Cuadro_2.2" localSheetId="13">#REF!</definedName>
    <definedName name="Cuadro_2.2" localSheetId="15">#REF!</definedName>
    <definedName name="Cuadro_2.2" localSheetId="19">#REF!</definedName>
    <definedName name="Cuadro_2.2" localSheetId="5">#REF!</definedName>
    <definedName name="Cuadro_2.2" localSheetId="0">#REF!</definedName>
    <definedName name="Cuadro_2.2">#REF!</definedName>
    <definedName name="Cuadro_2.3" localSheetId="12">#REF!</definedName>
    <definedName name="Cuadro_2.3" localSheetId="15">#REF!</definedName>
    <definedName name="Cuadro_2.3" localSheetId="19">#REF!</definedName>
    <definedName name="Cuadro_2.3" localSheetId="0">#REF!</definedName>
    <definedName name="Cuadro_2.3">#REF!</definedName>
    <definedName name="Ir_a_inicio" localSheetId="0">'[1]Cuadro 1'!#REF!</definedName>
    <definedName name="Ir_a_inicio">'[1]Cuadro 1'!#REF!</definedName>
    <definedName name="paso" localSheetId="12">#REF!</definedName>
    <definedName name="paso" localSheetId="13">#REF!</definedName>
    <definedName name="paso" localSheetId="15">#REF!</definedName>
    <definedName name="paso" localSheetId="19">#REF!</definedName>
    <definedName name="paso" localSheetId="5">#REF!</definedName>
    <definedName name="paso" localSheetId="0">#REF!</definedName>
    <definedName name="paso">#REF!</definedName>
    <definedName name="prueba" localSheetId="12">#REF!</definedName>
    <definedName name="prueba" localSheetId="13">#REF!</definedName>
    <definedName name="prueba" localSheetId="15">#REF!</definedName>
    <definedName name="prueba" localSheetId="19">#REF!</definedName>
    <definedName name="prueba" localSheetId="5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68" l="1"/>
</calcChain>
</file>

<file path=xl/sharedStrings.xml><?xml version="1.0" encoding="utf-8"?>
<sst xmlns="http://schemas.openxmlformats.org/spreadsheetml/2006/main" count="1226" uniqueCount="269">
  <si>
    <t>Viviendas particulares habitadas por entidad federativa, según tipo de tenencia</t>
  </si>
  <si>
    <t>Entidad federativa</t>
  </si>
  <si>
    <t>Rentada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</si>
  <si>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</si>
  <si>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</si>
  <si>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</si>
  <si>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</si>
  <si>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</si>
  <si>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</si>
  <si>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</si>
  <si>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</si>
  <si>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</si>
  <si>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</si>
  <si>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</si>
  <si>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</si>
  <si>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</si>
  <si>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</si>
  <si>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</si>
  <si>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</si>
  <si>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</si>
  <si>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</si>
  <si>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</si>
  <si>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</si>
  <si>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</si>
  <si>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</si>
  <si>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</si>
  <si>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</si>
  <si>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</si>
  <si>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</si>
  <si>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</si>
  <si>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</si>
  <si>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</si>
  <si>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</si>
  <si>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</si>
  <si>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</si>
  <si>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</si>
  <si>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</si>
  <si>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</si>
  <si>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tamaño de localidad y clase de vivienda según tipo de tenencia</t>
  </si>
  <si>
    <t>Tamaño de localidad y clase de vivienda</t>
  </si>
  <si>
    <t xml:space="preserve">Estados Unidos Mexicanos                                    </t>
  </si>
  <si>
    <t>1 a 2 499 habitantes</t>
  </si>
  <si>
    <t>Casa Dúplex</t>
  </si>
  <si>
    <t>Departamento en edificio</t>
  </si>
  <si>
    <t xml:space="preserve">De 2 500 a 14 999 habitantes </t>
  </si>
  <si>
    <t xml:space="preserve">De 15 000 a 99 999 habitantes </t>
  </si>
  <si>
    <r>
      <rPr>
        <b/>
        <sz val="8"/>
        <rFont val="Arial"/>
        <family val="2"/>
      </rPr>
      <t>Nota 1:</t>
    </r>
    <r>
      <rPr>
        <sz val="8"/>
        <rFont val="Arial"/>
        <family val="2"/>
      </rPr>
      <t xml:space="preserve"> Los totales pueden no coincidir debido al redondeo de las cifras.</t>
    </r>
  </si>
  <si>
    <t>Propia pero la está pagando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</si>
  <si>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</si>
  <si>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</si>
  <si>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t xml:space="preserve">Entidad federativa </t>
  </si>
  <si>
    <t xml:space="preserve">Viviendas particulares habitadas rentadas por entidad federativa, según motivo principal de renta	</t>
  </si>
  <si>
    <t>Total de viviendas particulares habitadas rentadas</t>
  </si>
  <si>
    <t>Motivo principal de renta</t>
  </si>
  <si>
    <r>
      <t>Personal</t>
    </r>
    <r>
      <rPr>
        <b/>
        <vertAlign val="superscript"/>
        <sz val="8"/>
        <color theme="1"/>
        <rFont val="Arial"/>
        <family val="2"/>
      </rPr>
      <t>1</t>
    </r>
  </si>
  <si>
    <r>
      <t>Económico</t>
    </r>
    <r>
      <rPr>
        <b/>
        <vertAlign val="superscript"/>
        <sz val="8"/>
        <color theme="1"/>
        <rFont val="Arial"/>
        <family val="2"/>
      </rPr>
      <t>2</t>
    </r>
  </si>
  <si>
    <t>Otros</t>
  </si>
  <si>
    <t>No especificado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</si>
  <si>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Incluye: "No le interesa comprar", "Prefiere invertir en su persona (viajes, estudios, negocio)" y "Por facilidad de poder mudarse, si cambia de ciudad o empleo".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</si>
  <si>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"La mensualidad es menor que una hipoteca" y "No tiene acceso a crédito (hipotecario o bancario)/No tiene recursos".</t>
    </r>
  </si>
  <si>
    <t xml:space="preserve">Tamaño de localidad y condición de tenencia de escrituras 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</si>
  <si>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</si>
  <si>
    <t xml:space="preserve">Mujeres </t>
  </si>
  <si>
    <t>Hombres</t>
  </si>
  <si>
    <t>Sí tiene escrituras</t>
  </si>
  <si>
    <t>Las escrituras están a nombre de otra persona</t>
  </si>
  <si>
    <t>No tiene escrituras</t>
  </si>
  <si>
    <r>
      <t>Total de viviendas particulares habitadas propias</t>
    </r>
    <r>
      <rPr>
        <b/>
        <vertAlign val="superscript"/>
        <sz val="8"/>
        <color theme="1"/>
        <rFont val="Arial"/>
        <family val="2"/>
      </rPr>
      <t>1</t>
    </r>
  </si>
  <si>
    <t>Forma de adquisición</t>
  </si>
  <si>
    <t>Se compró nueva</t>
  </si>
  <si>
    <t>Se compró usada</t>
  </si>
  <si>
    <r>
      <t>Se construyó</t>
    </r>
    <r>
      <rPr>
        <b/>
        <vertAlign val="superscript"/>
        <sz val="8"/>
        <color theme="1"/>
        <rFont val="Arial"/>
        <family val="2"/>
      </rPr>
      <t>2</t>
    </r>
  </si>
  <si>
    <t>Se obtuvo de otra manera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</si>
  <si>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que se están pagando, propias e intestadas o en litigio.</t>
    </r>
  </si>
  <si>
    <t>Periodo de adquisición</t>
  </si>
  <si>
    <t>Anterior a 1990</t>
  </si>
  <si>
    <t>1990-1994</t>
  </si>
  <si>
    <t>1995-1999</t>
  </si>
  <si>
    <t>2000-2004</t>
  </si>
  <si>
    <t>2005-2009</t>
  </si>
  <si>
    <t>2010-2014</t>
  </si>
  <si>
    <t>2015-2020</t>
  </si>
  <si>
    <t>Tamaño de localidad, tiempo de la construcción y tipo de contructor</t>
  </si>
  <si>
    <t>Periodo de construcción</t>
  </si>
  <si>
    <t>Sigue construyendo</t>
  </si>
  <si>
    <t>Inició la construcción</t>
  </si>
  <si>
    <t>Finalizó la construcción</t>
  </si>
  <si>
    <t>Subsidios federal, estatal o municipal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</si>
  <si>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Incluye las viviendas propias pero que se están pagando, propias e intestadas o en litigio. </t>
    </r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</si>
  <si>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con algún crédito vigente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</si>
  <si>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viviendas propias pero que se están pagando, propias e intestadas o en litigio.</t>
    </r>
  </si>
  <si>
    <t>Tamaño de localidad y tipo de acción en la vivienda</t>
  </si>
  <si>
    <t>Total de hogares que realizaron alguna construcción, ampliación, renovación, reparación o remodelación en la vivienda durante 2019</t>
  </si>
  <si>
    <t>Materiales</t>
  </si>
  <si>
    <t>Sueldos y salarios</t>
  </si>
  <si>
    <t>Licencias</t>
  </si>
  <si>
    <t>Construcción</t>
  </si>
  <si>
    <t>Ampliación</t>
  </si>
  <si>
    <t>Renovación, rehabilitación o reforzamiento de la parte estructural</t>
  </si>
  <si>
    <t>Reparación menor o mantenimiento</t>
  </si>
  <si>
    <t>Remodelación</t>
  </si>
  <si>
    <t>Tamaño de localidad y tipo de acción en vivienda</t>
  </si>
  <si>
    <t>Diciembre
2019</t>
  </si>
  <si>
    <t>Última semana de diciembre
2019</t>
  </si>
  <si>
    <t>Construir</t>
  </si>
  <si>
    <t>Ampliar</t>
  </si>
  <si>
    <t>Renovar, rehabilitar o reforzar la parte estructural</t>
  </si>
  <si>
    <t>Dar mantenimiento o hacer reparaciones</t>
  </si>
  <si>
    <t>Remodelar</t>
  </si>
  <si>
    <t>Promedio de horas</t>
  </si>
  <si>
    <t>100 000 y más habitantes</t>
  </si>
  <si>
    <t>Supervisar</t>
  </si>
  <si>
    <t>Total de hogares que dedicaron tiempo a realizar alguna acción en la vivienda durante 2019</t>
  </si>
  <si>
    <t>Ingeniera(o), arquitecta(o) o empresa constructora</t>
  </si>
  <si>
    <t>La construyó una persona del hogar</t>
  </si>
  <si>
    <t>Albañil o trabajadora(or) por su cuenta</t>
  </si>
  <si>
    <t>Recursos propios</t>
  </si>
  <si>
    <t>Cuadro 3.1</t>
  </si>
  <si>
    <t>Cuadro 3.2</t>
  </si>
  <si>
    <t>Cuadro 3.3</t>
  </si>
  <si>
    <r>
      <t>Total de hogares que realizan un pago mensual para la vivienda</t>
    </r>
    <r>
      <rPr>
        <b/>
        <vertAlign val="superscript"/>
        <sz val="8"/>
        <rFont val="Arial"/>
        <family val="2"/>
      </rPr>
      <t>1</t>
    </r>
  </si>
  <si>
    <r>
      <t>Prestada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</si>
  <si>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los hogares que reportaron no realizar pagos y los que no especificaron la cantidad que pagan al mes por la vivienda.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</si>
  <si>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</si>
  <si>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t>Cuadro 3.4</t>
  </si>
  <si>
    <r>
      <t xml:space="preserve">Promedio del pago mensual por tipo de tenencia
</t>
    </r>
    <r>
      <rPr>
        <sz val="8"/>
        <rFont val="Arial"/>
        <family val="2"/>
      </rPr>
      <t>(Pesos)</t>
    </r>
  </si>
  <si>
    <t>Cuadro 3.5</t>
  </si>
  <si>
    <t>Cuadro 3.6</t>
  </si>
  <si>
    <r>
      <t>Sexo de la persona propietaria</t>
    </r>
    <r>
      <rPr>
        <b/>
        <vertAlign val="superscript"/>
        <sz val="8"/>
        <rFont val="Arial"/>
        <family val="2"/>
      </rPr>
      <t>2</t>
    </r>
  </si>
  <si>
    <r>
      <t>No especificado</t>
    </r>
    <r>
      <rPr>
        <b/>
        <vertAlign val="superscript"/>
        <sz val="8"/>
        <rFont val="Arial"/>
        <family val="2"/>
      </rPr>
      <t>3</t>
    </r>
  </si>
  <si>
    <t>Las escrituras están a nombre de la dueña o dueño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</si>
  <si>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viviendas donde se declaró más de una dueña o dueño, se consideró el sexo de la primera persona registrada.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</si>
  <si>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El sexo de la persona propietaria no está especificado porque no es integrante del hogar.</t>
    </r>
  </si>
  <si>
    <t>Cuadro 3.7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</si>
  <si>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que las construyó un(a) albañil o trabajador(a) por su cuenta, un(a) ingeniero(a) o arquitecto(a), una empresa constructora, o alguna persona del hogar.</t>
    </r>
  </si>
  <si>
    <t>Cuadro 3.8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</si>
  <si>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nuevas</t>
    </r>
  </si>
  <si>
    <r>
      <t>Casa independiente</t>
    </r>
    <r>
      <rPr>
        <vertAlign val="superscript"/>
        <sz val="8"/>
        <rFont val="Arial"/>
        <family val="2"/>
      </rPr>
      <t>2</t>
    </r>
  </si>
  <si>
    <r>
      <t>Otras viviendas</t>
    </r>
    <r>
      <rPr>
        <vertAlign val="superscript"/>
        <sz val="8"/>
        <rFont val="Arial"/>
        <family val="2"/>
      </rPr>
      <t>3</t>
    </r>
  </si>
  <si>
    <t>Cuadro 3.9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</si>
  <si>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compradas usadas</t>
    </r>
  </si>
  <si>
    <t>Cuadro 3.10</t>
  </si>
  <si>
    <r>
      <t>Total de viviendas particulares habitadas propias</t>
    </r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que fueron construidas</t>
    </r>
  </si>
  <si>
    <t>Cuadro 3.11</t>
  </si>
  <si>
    <r>
      <t>Fuente de financiamiento</t>
    </r>
    <r>
      <rPr>
        <b/>
        <vertAlign val="superscript"/>
        <sz val="8"/>
        <rFont val="Arial"/>
        <family val="2"/>
      </rPr>
      <t>2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</si>
  <si>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</t>
    </r>
  </si>
  <si>
    <t>Cuadro 3.12</t>
  </si>
  <si>
    <t>Cuadro 3.13</t>
  </si>
  <si>
    <r>
      <t>Tipo de gasto</t>
    </r>
    <r>
      <rPr>
        <b/>
        <vertAlign val="superscript"/>
        <sz val="8"/>
        <rFont val="Arial"/>
        <family val="2"/>
      </rPr>
      <t>1</t>
    </r>
  </si>
  <si>
    <r>
      <t>Hogares que no reportaron gastos</t>
    </r>
    <r>
      <rPr>
        <b/>
        <vertAlign val="superscript"/>
        <sz val="8"/>
        <rFont val="Arial"/>
        <family val="2"/>
      </rPr>
      <t>2</t>
    </r>
  </si>
  <si>
    <r>
      <t>Reparación menor o mantenimiento</t>
    </r>
    <r>
      <rPr>
        <vertAlign val="superscript"/>
        <sz val="8"/>
        <rFont val="Arial"/>
        <family val="2"/>
      </rPr>
      <t>3</t>
    </r>
  </si>
  <si>
    <r>
      <t>Remodelación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</si>
  <si>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</si>
  <si>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los hogares que realizaron alguna construcción, ampliación, renovación, reparación o remodelación en la vivienda durante 2019, pero no especificaron el monto gastado.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</si>
  <si>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Solo reportan gastos de materiales, sueldos y salarios. No se incluyen en gastos por licencias.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</si>
  <si>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Solo reportan gastos de materiales, sueldos y salarios. No se incluyen en gastos por licencias.</t>
    </r>
  </si>
  <si>
    <t>Cuadro 3.14</t>
  </si>
  <si>
    <t>Cuadro 3.15</t>
  </si>
  <si>
    <r>
      <t>Hogares que no dedicaron tiempo a realizar alguna acción en la vivienda durante diciembre 2019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</si>
  <si>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diciembre de 2019.</t>
    </r>
  </si>
  <si>
    <t>Cuadro 3.16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</si>
  <si>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diciembre de 2019.</t>
    </r>
  </si>
  <si>
    <t>Cuadro 3.17</t>
  </si>
  <si>
    <t>Cuadro 3.18</t>
  </si>
  <si>
    <t>Cuadro 3.19</t>
  </si>
  <si>
    <t>Cuadro 3.20</t>
  </si>
  <si>
    <t>Total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</si>
  <si>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de una institución financiera privada (banco, sofol, caja de ahorro) y créditos de alguna organización no lucrativa.</t>
    </r>
  </si>
  <si>
    <t>Crédito de INFONAVIT</t>
  </si>
  <si>
    <t>Crédito de FOVISSSTE</t>
  </si>
  <si>
    <t>Crédito de otra institución pública</t>
  </si>
  <si>
    <t>Préstamos de familiares, amistades u otras personas</t>
  </si>
  <si>
    <r>
      <t>Tiempo dedicado a realizar alguna acción en la vivienda durante diciembre de 2019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</si>
  <si>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del total de horas no considera las horas dedicadas en la última semana de diciembre del 2019.</t>
    </r>
  </si>
  <si>
    <t>Crédito  de una institución pública</t>
  </si>
  <si>
    <t>Año en que se realizó la acción en la vivienda y tipo de acción</t>
  </si>
  <si>
    <t>Préstamos  de familiares, amistades u otras personas</t>
  </si>
  <si>
    <t>Tipo de acción en vivienda</t>
  </si>
  <si>
    <t>Tipo de gasto</t>
  </si>
  <si>
    <t>Gasto de los hogares que reportaron algún gasto en construcción, ampliación, renovación, reparación o remodelación a la vivienda durante 2019</t>
  </si>
  <si>
    <t>TABULADOS BÁSICOS</t>
  </si>
  <si>
    <t>Nivel de confianza del 90%</t>
  </si>
  <si>
    <t>Tema</t>
  </si>
  <si>
    <t>ID Cuadro</t>
  </si>
  <si>
    <t>Título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</si>
  <si>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con algún crédito vigente por entidad federativa, según fuente de financiamiento	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</si>
  <si>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fuente de financiamiento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</si>
  <si>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que fueron construidas por tamaño de localidad, tiempo de la construcción y tipo de constructor, según  periodo de inicio y término de la construcción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</si>
  <si>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usadas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</si>
  <si>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compradas nuevas por tamaño de localidad y clase de vivienda, según periodo de adquisición</t>
    </r>
  </si>
  <si>
    <r>
      <t>Viviendas particulares habitadas propias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entidad federativa, según forma de adquisición</t>
    </r>
  </si>
  <si>
    <t>ÍNDICE</t>
  </si>
  <si>
    <t>Cuadro 3.11a</t>
  </si>
  <si>
    <t>Tiempo que dedicaron los hogares a realizar acciones en la vivienda durante octubre de 2020,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</si>
  <si>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2020 por tipo de acción, según tipo de gasto</t>
  </si>
  <si>
    <t>Hogares que realizaron alguna construcción, ampliación, renovación, reparación o remodelación en la vivienda durante 2019 por tamaño de localidad y tipo de acción en la vivienda, según tipo de gasto</t>
  </si>
  <si>
    <t>Tiempo que dedicaron los hogares a realizar acciones en la vivienda durante diciembre de 2019, por tamaño de localidad y tipo de acción en la vivienda según promedio de horas dedicadas</t>
  </si>
  <si>
    <t>Hogares que reportaron algún gasto en construcción, ampliación, renovación, reparación o remodelación a la vivienda, Gasto y Promedio del gasto en acciones a la vivienda durante 2019 por tipo de acción, según tipo de gasto</t>
  </si>
  <si>
    <t xml:space="preserve">Viviendas particulares habitadas propias con algún crédito vigente por entidad federativa, según fuente de financiamiento	</t>
  </si>
  <si>
    <t>Hogares que realizaron alguna construcción, ampliación, renovación, reparación o remodelación en la vivienda por año en que se realizó la acción y tipo, según fuente de financiamiento</t>
  </si>
  <si>
    <t>Viviendas particulares habitadas propias por entidad federativa, según fuente de financiamiento</t>
  </si>
  <si>
    <t>Viviendas particulares habitadas propias que fueron construidas por tamaño de localidad, tiempo de la construcción y tipo de constructor, según  periodo de inicio y término de la construcción</t>
  </si>
  <si>
    <t>Viviendas particulares habitadas propias compradas usadas por tamaño de localidad y clase de vivienda, según periodo de adquisición</t>
  </si>
  <si>
    <t>Viviendas particulares habitadas propias compradas nuevas por tamaño de localidad y clase de vivienda, según periodo de adquisición</t>
  </si>
  <si>
    <t>Viviendas particulares habitadas propias por entidad federativa, según forma de adquisición</t>
  </si>
  <si>
    <r>
      <t xml:space="preserve">Tema 3. </t>
    </r>
    <r>
      <rPr>
        <sz val="11"/>
        <color theme="10"/>
        <rFont val="Arial"/>
        <family val="2"/>
      </rPr>
      <t>Gastos en la vivienda particular habitada</t>
    </r>
  </si>
  <si>
    <t>Encuesta Nacional de Vivienda (ENVI) 2020</t>
  </si>
  <si>
    <r>
      <t>Viviendas particulares habitadas propias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tenencia 
de escrituras según sexo de la persona propietaria</t>
    </r>
    <r>
      <rPr>
        <b/>
        <vertAlign val="superscript"/>
        <sz val="9"/>
        <rFont val="Arial"/>
        <family val="2"/>
      </rPr>
      <t>2</t>
    </r>
  </si>
  <si>
    <t>Tiempo que dedicaron los hogares a realizar acciones en la vivienda durante diciembre de 2019, 
por tamaño de localidad y tipo de acción en la vivienda según promedio de horas dedicadas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</si>
  <si>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</si>
  <si>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entidad federativa, según promedio 
del pago mensual por tipo de tenencia</t>
    </r>
  </si>
  <si>
    <t>Viviendas particulares habitadas propias sin financiamiento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</si>
  <si>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</si>
  <si>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</si>
  <si>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r>
      <t>Total de hogares que realizaron alguna construcción, ampliación, renovación, reparación o remodelación en la vivienda</t>
    </r>
    <r>
      <rPr>
        <b/>
        <vertAlign val="superscript"/>
        <sz val="8"/>
        <rFont val="Arial"/>
        <family val="2"/>
      </rPr>
      <t>1</t>
    </r>
  </si>
  <si>
    <r>
      <t>Crédito de una institución financiera privada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</si>
  <si>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superior al total de hogares porque un hogar pudo realizar más de una acción en la vivienda durante el año de referencia.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</si>
  <si>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hogares porque se pudo escoger más de una opción.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</si>
  <si>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créditos una institución financiera privada (banco, sofol, caja de ahorro) y créditos de alguna organización no lucrativa.</t>
    </r>
  </si>
  <si>
    <r>
      <t>Total de hogares que reportaron algún gasto en construcción, ampliación, renovación, reparación o remodelación en la vivienda durante 2019</t>
    </r>
    <r>
      <rPr>
        <b/>
        <vertAlign val="superscript"/>
        <sz val="8"/>
        <rFont val="Arial"/>
        <family val="2"/>
      </rPr>
      <t>1</t>
    </r>
  </si>
  <si>
    <r>
      <t xml:space="preserve">Total
</t>
    </r>
    <r>
      <rPr>
        <sz val="8"/>
        <rFont val="Arial"/>
        <family val="2"/>
      </rPr>
      <t>(Pesos)</t>
    </r>
  </si>
  <si>
    <r>
      <t xml:space="preserve">Promedio
</t>
    </r>
    <r>
      <rPr>
        <sz val="8"/>
        <rFont val="Arial"/>
        <family val="2"/>
      </rPr>
      <t>(Pesos)</t>
    </r>
  </si>
  <si>
    <r>
      <t>Reparación menor o mantenimiento</t>
    </r>
    <r>
      <rPr>
        <vertAlign val="superscript"/>
        <sz val="8"/>
        <rFont val="Arial"/>
        <family val="2"/>
      </rPr>
      <t>2</t>
    </r>
  </si>
  <si>
    <r>
      <t>Remodelación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</si>
  <si>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2019.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</si>
  <si>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Solo reportan gastos de materiales, sueldos y salarios. No se incluyen en gastos por licencias.</t>
    </r>
  </si>
  <si>
    <t>Crédito de FOVISSSTE y otras instituciones públicas</t>
  </si>
  <si>
    <t>Hogares que sí dedicaron tiempo a realizar alguna acción en la vivienda durante diciembre 2019</t>
  </si>
  <si>
    <t>Sí durante la última semana de diciembre</t>
  </si>
  <si>
    <t>Hogares que dedicaron tiempo a construir, ampliar, renovar, dar mantenimiento, remodelar o supervisar la construcción de la vivienda durante 2019, por tamaño de localidad y tipo de acción, según hogares que dedicaron tiempo en diciembre 2019</t>
  </si>
  <si>
    <t>Agosto 2021</t>
  </si>
  <si>
    <t>Hogares que realizan un pago mensual para la vivienda por tamaño de localidad y clase de vivienda, según promedio del pago mensual por tipo de tenencia</t>
  </si>
  <si>
    <t>Hogares que realizan un pago mensual para la vivienda por entidad federativa, según promedio del pago mensual por tipo de tenencia</t>
  </si>
  <si>
    <t>Viviendas particulares habitadas propias por tamaño de localidad y condición de tenencia de escrituras según sexo de la persona propietaria</t>
  </si>
  <si>
    <t>Hogares que realizaron alguna construcción, ampliación, renovación, reparación o remodelación en la vivienda durante 2020 por tamaño de localidad y tipo de acción en la vivienda, según tipo de gasto</t>
  </si>
  <si>
    <t>Hogares que dedicaron tiempo a construir, ampliar, renovar, dar mantenimiento, remodelar o supervisar la construcción de la vivienda durante 2020, por tamaño de localidad y tipo de acción, según hogares que dedicaron tiempo en octubre 2020</t>
  </si>
  <si>
    <t>Error estándar.</t>
  </si>
  <si>
    <t>Total de viviendas particulares habitadas</t>
  </si>
  <si>
    <t xml:space="preserve">Tipo de tenencia </t>
  </si>
  <si>
    <r>
      <t>Prestada</t>
    </r>
    <r>
      <rPr>
        <b/>
        <vertAlign val="superscript"/>
        <sz val="8"/>
        <color theme="1"/>
        <rFont val="Arial"/>
        <family val="2"/>
      </rPr>
      <t>1</t>
    </r>
  </si>
  <si>
    <r>
      <t>Propia</t>
    </r>
    <r>
      <rPr>
        <b/>
        <vertAlign val="superscript"/>
        <sz val="8"/>
        <color theme="1"/>
        <rFont val="Arial"/>
        <family val="2"/>
      </rPr>
      <t>2</t>
    </r>
  </si>
  <si>
    <t>Otra situación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</si>
  <si>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viviendas prestadas por familiares o amistades y viviendas prestadas por el trabajo.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</si>
  <si>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propias pero que las están pagando, propias e intestadas o en litigio.</t>
    </r>
  </si>
  <si>
    <t>Tipo de tenencia</t>
  </si>
  <si>
    <r>
      <t>Casa independiente</t>
    </r>
    <r>
      <rPr>
        <vertAlign val="superscript"/>
        <sz val="8"/>
        <rFont val="Arial"/>
        <family val="2"/>
      </rPr>
      <t>3</t>
    </r>
  </si>
  <si>
    <r>
      <t>Otras viviendas</t>
    </r>
    <r>
      <rPr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</si>
  <si>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casa única en el terreno y casa que comparte terreno con otra(s).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</si>
  <si>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viviendas en vecindad o cuartería, cuartos de azotea de un edificio y locales no construidos para habitación.</t>
    </r>
  </si>
  <si>
    <r>
      <t>Hogares que realizan un pago mensual para la vivienda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clase de vivienda, según promedio del pago mensual por tipo de tenencia</t>
    </r>
  </si>
  <si>
    <t>Promedio del pago mensual por tipo de tenencia
(Pesos)</t>
  </si>
  <si>
    <t>Total de hogares que realizaron alguna construcción, ampliación, renovación, reparación o remodelación en la vivienda durante 2020</t>
  </si>
  <si>
    <r>
      <t>Total de hogares que reportaron algún gasto en construcción, ampliación, renovación, reparación o remodelación en la vivienda durante 2020</t>
    </r>
    <r>
      <rPr>
        <b/>
        <vertAlign val="superscript"/>
        <sz val="8"/>
        <rFont val="Arial"/>
        <family val="2"/>
      </rPr>
      <t>1</t>
    </r>
  </si>
  <si>
    <t xml:space="preserve">Gasto de los hogares que reportaron algún gasto en construcción, ampliación, renovación, reparación o remodelación a la vivienda durante 2020
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</si>
  <si>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superior al total de hogares porque un hogar pudo realizar más de una acción en la vivienda durante 2020.</t>
    </r>
  </si>
  <si>
    <t>Total de hogares que dedicaron tiempo a realizar alguna acción en la vivienda principal durante 2020</t>
  </si>
  <si>
    <t>Hogares que sí dedicaron tiempo a realizar alguna acción en la vivienda durante octubre 2020</t>
  </si>
  <si>
    <r>
      <t>Hogares que no dedicaron tiempo a realizar alguna acción en la vivienda durante octubre 2020</t>
    </r>
    <r>
      <rPr>
        <b/>
        <vertAlign val="superscript"/>
        <sz val="8"/>
        <rFont val="Arial"/>
        <family val="2"/>
      </rPr>
      <t>1</t>
    </r>
  </si>
  <si>
    <t>Sí durante la última semana de octubre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</si>
  <si>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hogares que reportaron dedicar tiempo a realizar alguna acción en la vivienda, pero no especificaron el tiempo dedicado en octubre de 2020.</t>
    </r>
  </si>
  <si>
    <t>Tiempo que dedicaron los hogares a realizar acciones en la vivienda durante octubre de 2020, 
por tamaño de localidad y  tipo de acción en la vivienda según promedio de horas dedicadas</t>
  </si>
  <si>
    <r>
      <t>Tiempo dedicado a realizar alguna acción en la vivienda durante octubre 2020</t>
    </r>
    <r>
      <rPr>
        <b/>
        <vertAlign val="superscript"/>
        <sz val="8"/>
        <rFont val="Arial"/>
        <family val="2"/>
      </rPr>
      <t>1,2</t>
    </r>
    <r>
      <rPr>
        <b/>
        <sz val="8"/>
        <rFont val="Arial"/>
        <family val="2"/>
      </rPr>
      <t xml:space="preserve">
(Horas)</t>
    </r>
  </si>
  <si>
    <t>Octubre
2020</t>
  </si>
  <si>
    <t>Última semana de octubre
2020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</si>
  <si>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los hogares que no reportaron o no especificaron las horas dedicadas a realizar alguna acción en la vivienda durante octubre de 2020.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</si>
  <si>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total de horas no considera las horas dedicadas en la última semana de octubre del 2020.</t>
    </r>
  </si>
  <si>
    <t>NA</t>
  </si>
  <si>
    <t>Hogares sin fuente de financiamiento</t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</si>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</sst>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#\ ###\ ##0"/>
    <numFmt numFmtId="167" formatCode="###\ ###\ ##0"/>
    <numFmt numFmtId="168" formatCode="###\ ###\ ###"/>
    <numFmt numFmtId="169" formatCode="###\ ###\ ##0.0"/>
    <numFmt numFmtId="170" formatCode="###\ ###\ ###\ ##0"/>
    <numFmt numFmtId="171" formatCode="###\ ###\ ###\ ##0.0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80"/>
      <name val="Arial"/>
      <family val="2"/>
    </font>
    <font>
      <sz val="9"/>
      <color rgb="FF00008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Inegi"/>
    </font>
    <font>
      <sz val="7"/>
      <name val="Arial"/>
      <family val="2"/>
    </font>
    <font>
      <sz val="11"/>
      <color rgb="FFFF0000"/>
      <name val="Arial"/>
      <family val="2"/>
    </font>
    <font>
      <sz val="11"/>
      <color theme="8" tint="-0.249977111117893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u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8"/>
      <name val="Inegi"/>
    </font>
    <font>
      <sz val="8"/>
      <color rgb="FF000000"/>
      <name val="Arial"/>
      <family val="2"/>
    </font>
    <font>
      <b/>
      <sz val="11"/>
      <name val="Arial"/>
      <family val="2"/>
    </font>
    <font>
      <sz val="10"/>
      <name val="Arial"/>
    </font>
    <font>
      <b/>
      <sz val="9"/>
      <color rgb="FF000080"/>
      <name val="Arial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/>
      <right style="thin">
        <color rgb="FF337AB7"/>
      </right>
      <top style="medium">
        <color rgb="FF0070C0"/>
      </top>
      <bottom/>
      <diagonal/>
    </border>
  </borders>
  <cellStyleXfs count="95">
    <xf numFmtId="0" fontId="0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33" fillId="0" borderId="0" applyNumberFormat="0" applyFill="0" applyBorder="0" applyAlignment="0" applyProtection="0">
      <alignment vertical="top"/>
      <protection locked="0"/>
    </xf>
    <xf numFmtId="164" fontId="24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4" fillId="0" borderId="0"/>
    <xf numFmtId="0" fontId="46" fillId="0" borderId="0"/>
    <xf numFmtId="0" fontId="23" fillId="0" borderId="0"/>
    <xf numFmtId="0" fontId="37" fillId="0" borderId="0"/>
    <xf numFmtId="0" fontId="26" fillId="0" borderId="0"/>
    <xf numFmtId="0" fontId="26" fillId="0" borderId="0"/>
    <xf numFmtId="164" fontId="4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46" fillId="0" borderId="0"/>
    <xf numFmtId="0" fontId="20" fillId="0" borderId="0"/>
    <xf numFmtId="0" fontId="37" fillId="0" borderId="0"/>
    <xf numFmtId="0" fontId="19" fillId="0" borderId="0"/>
    <xf numFmtId="0" fontId="26" fillId="0" borderId="0"/>
    <xf numFmtId="0" fontId="19" fillId="0" borderId="0"/>
    <xf numFmtId="0" fontId="18" fillId="0" borderId="0"/>
    <xf numFmtId="0" fontId="61" fillId="0" borderId="0" applyNumberFormat="0" applyFill="0" applyBorder="0" applyAlignment="0" applyProtection="0"/>
    <xf numFmtId="0" fontId="17" fillId="0" borderId="0"/>
    <xf numFmtId="0" fontId="64" fillId="0" borderId="0" applyNumberForma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4" fillId="0" borderId="0"/>
    <xf numFmtId="164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99">
    <xf numFmtId="0" fontId="0" fillId="0" borderId="0" xfId="0"/>
    <xf numFmtId="0" fontId="0" fillId="2" borderId="0" xfId="0" applyFill="1"/>
    <xf numFmtId="0" fontId="26" fillId="2" borderId="0" xfId="0" applyFont="1" applyFill="1"/>
    <xf numFmtId="0" fontId="37" fillId="2" borderId="0" xfId="13" applyFill="1"/>
    <xf numFmtId="0" fontId="32" fillId="2" borderId="0" xfId="14" applyFont="1" applyFill="1" applyAlignment="1">
      <alignment horizontal="left" vertical="center"/>
    </xf>
    <xf numFmtId="0" fontId="31" fillId="2" borderId="0" xfId="2" applyFont="1" applyFill="1"/>
    <xf numFmtId="0" fontId="29" fillId="2" borderId="0" xfId="13" applyFont="1" applyFill="1"/>
    <xf numFmtId="0" fontId="31" fillId="2" borderId="3" xfId="2" applyFont="1" applyFill="1" applyBorder="1"/>
    <xf numFmtId="0" fontId="37" fillId="2" borderId="0" xfId="13" applyFill="1" applyBorder="1"/>
    <xf numFmtId="0" fontId="32" fillId="2" borderId="1" xfId="2" applyFont="1" applyFill="1" applyBorder="1" applyAlignment="1">
      <alignment vertical="center"/>
    </xf>
    <xf numFmtId="0" fontId="32" fillId="2" borderId="0" xfId="2" applyFont="1" applyFill="1"/>
    <xf numFmtId="0" fontId="31" fillId="2" borderId="0" xfId="2" applyFont="1" applyFill="1" applyBorder="1" applyAlignment="1">
      <alignment horizontal="left" indent="1"/>
    </xf>
    <xf numFmtId="0" fontId="31" fillId="2" borderId="0" xfId="2" applyFont="1" applyFill="1" applyBorder="1"/>
    <xf numFmtId="0" fontId="31" fillId="5" borderId="0" xfId="2" applyFont="1" applyFill="1" applyBorder="1" applyAlignment="1">
      <alignment vertical="center"/>
    </xf>
    <xf numFmtId="0" fontId="29" fillId="2" borderId="0" xfId="13" applyFont="1" applyFill="1" applyBorder="1"/>
    <xf numFmtId="0" fontId="50" fillId="6" borderId="0" xfId="0" applyFont="1" applyFill="1" applyAlignment="1">
      <alignment vertical="center"/>
    </xf>
    <xf numFmtId="0" fontId="51" fillId="6" borderId="0" xfId="0" applyFont="1" applyFill="1"/>
    <xf numFmtId="0" fontId="31" fillId="6" borderId="0" xfId="0" applyFont="1" applyFill="1" applyAlignment="1">
      <alignment horizontal="left" indent="1"/>
    </xf>
    <xf numFmtId="0" fontId="31" fillId="6" borderId="5" xfId="0" applyFont="1" applyFill="1" applyBorder="1" applyAlignment="1">
      <alignment horizontal="left" indent="1"/>
    </xf>
    <xf numFmtId="0" fontId="31" fillId="6" borderId="0" xfId="0" applyFont="1" applyFill="1" applyBorder="1" applyAlignment="1">
      <alignment horizontal="left" indent="1"/>
    </xf>
    <xf numFmtId="0" fontId="31" fillId="2" borderId="1" xfId="2" applyFont="1" applyFill="1" applyBorder="1" applyAlignment="1">
      <alignment horizontal="left" indent="1"/>
    </xf>
    <xf numFmtId="0" fontId="32" fillId="2" borderId="4" xfId="11" applyFont="1" applyFill="1" applyBorder="1" applyAlignment="1" applyProtection="1">
      <alignment vertical="center" wrapText="1" readingOrder="1"/>
      <protection locked="0"/>
    </xf>
    <xf numFmtId="0" fontId="32" fillId="2" borderId="0" xfId="2" applyFont="1" applyFill="1" applyAlignment="1">
      <alignment horizontal="left" indent="1"/>
    </xf>
    <xf numFmtId="0" fontId="26" fillId="2" borderId="0" xfId="13" applyFont="1" applyFill="1"/>
    <xf numFmtId="0" fontId="32" fillId="2" borderId="0" xfId="11" applyFont="1" applyFill="1" applyBorder="1" applyAlignment="1" applyProtection="1">
      <alignment vertical="center" wrapText="1" readingOrder="1"/>
      <protection locked="0"/>
    </xf>
    <xf numFmtId="0" fontId="0" fillId="0" borderId="0" xfId="0" applyBorder="1"/>
    <xf numFmtId="0" fontId="31" fillId="2" borderId="0" xfId="13" applyFont="1" applyFill="1" applyBorder="1"/>
    <xf numFmtId="0" fontId="31" fillId="2" borderId="0" xfId="13" applyFont="1" applyFill="1"/>
    <xf numFmtId="0" fontId="26" fillId="0" borderId="3" xfId="13" applyFont="1" applyFill="1" applyBorder="1"/>
    <xf numFmtId="0" fontId="26" fillId="0" borderId="1" xfId="13" applyFont="1" applyFill="1" applyBorder="1"/>
    <xf numFmtId="0" fontId="31" fillId="2" borderId="0" xfId="2" applyFont="1" applyFill="1" applyBorder="1" applyAlignment="1">
      <alignment horizontal="left"/>
    </xf>
    <xf numFmtId="0" fontId="26" fillId="0" borderId="0" xfId="0" applyFont="1"/>
    <xf numFmtId="0" fontId="26" fillId="2" borderId="1" xfId="13" applyFont="1" applyFill="1" applyBorder="1"/>
    <xf numFmtId="0" fontId="31" fillId="2" borderId="1" xfId="13" applyFont="1" applyFill="1" applyBorder="1"/>
    <xf numFmtId="0" fontId="26" fillId="2" borderId="0" xfId="13" applyFont="1" applyFill="1" applyBorder="1"/>
    <xf numFmtId="0" fontId="26" fillId="2" borderId="3" xfId="13" applyFont="1" applyFill="1" applyBorder="1"/>
    <xf numFmtId="0" fontId="55" fillId="6" borderId="0" xfId="0" applyFont="1" applyFill="1" applyAlignment="1">
      <alignment vertical="center"/>
    </xf>
    <xf numFmtId="0" fontId="32" fillId="6" borderId="0" xfId="0" applyFont="1" applyFill="1"/>
    <xf numFmtId="0" fontId="32" fillId="0" borderId="4" xfId="11" applyFont="1" applyBorder="1" applyAlignment="1" applyProtection="1">
      <alignment vertical="center" wrapText="1" readingOrder="1"/>
      <protection locked="0"/>
    </xf>
    <xf numFmtId="0" fontId="31" fillId="2" borderId="0" xfId="0" applyFont="1" applyFill="1"/>
    <xf numFmtId="0" fontId="57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32" fillId="2" borderId="0" xfId="0" applyFont="1" applyFill="1"/>
    <xf numFmtId="0" fontId="34" fillId="2" borderId="0" xfId="13" applyFont="1" applyFill="1"/>
    <xf numFmtId="0" fontId="45" fillId="2" borderId="0" xfId="13" applyFont="1" applyFill="1"/>
    <xf numFmtId="0" fontId="37" fillId="2" borderId="0" xfId="25" applyFill="1"/>
    <xf numFmtId="0" fontId="29" fillId="2" borderId="0" xfId="25" applyFont="1" applyFill="1"/>
    <xf numFmtId="0" fontId="31" fillId="5" borderId="0" xfId="2" applyFont="1" applyFill="1" applyAlignment="1">
      <alignment vertical="center"/>
    </xf>
    <xf numFmtId="0" fontId="31" fillId="2" borderId="0" xfId="2" applyFont="1" applyFill="1" applyAlignment="1">
      <alignment horizontal="left" indent="1"/>
    </xf>
    <xf numFmtId="0" fontId="32" fillId="2" borderId="0" xfId="2" applyFont="1" applyFill="1" applyAlignment="1">
      <alignment vertical="center"/>
    </xf>
    <xf numFmtId="0" fontId="31" fillId="2" borderId="0" xfId="25" applyFont="1" applyFill="1" applyAlignment="1">
      <alignment horizontal="left" vertical="center"/>
    </xf>
    <xf numFmtId="0" fontId="32" fillId="2" borderId="1" xfId="2" applyFont="1" applyFill="1" applyBorder="1" applyAlignment="1">
      <alignment horizontal="right" vertical="center" wrapText="1"/>
    </xf>
    <xf numFmtId="0" fontId="32" fillId="0" borderId="1" xfId="2" applyFont="1" applyBorder="1" applyAlignment="1">
      <alignment horizontal="right" vertical="center" wrapText="1"/>
    </xf>
    <xf numFmtId="0" fontId="58" fillId="0" borderId="0" xfId="11" applyFont="1"/>
    <xf numFmtId="0" fontId="59" fillId="0" borderId="0" xfId="11" applyFont="1"/>
    <xf numFmtId="0" fontId="59" fillId="0" borderId="0" xfId="11" applyFont="1" applyBorder="1"/>
    <xf numFmtId="0" fontId="59" fillId="4" borderId="0" xfId="11" applyFont="1" applyFill="1" applyBorder="1"/>
    <xf numFmtId="0" fontId="59" fillId="0" borderId="0" xfId="11" applyFont="1" applyAlignment="1">
      <alignment vertical="center" readingOrder="1"/>
    </xf>
    <xf numFmtId="0" fontId="60" fillId="4" borderId="0" xfId="11" applyFont="1" applyFill="1"/>
    <xf numFmtId="0" fontId="60" fillId="0" borderId="0" xfId="11" applyFont="1"/>
    <xf numFmtId="0" fontId="28" fillId="2" borderId="0" xfId="12" applyFont="1" applyFill="1"/>
    <xf numFmtId="0" fontId="70" fillId="2" borderId="0" xfId="2" applyFont="1" applyFill="1"/>
    <xf numFmtId="0" fontId="68" fillId="2" borderId="0" xfId="13" applyFont="1" applyFill="1"/>
    <xf numFmtId="0" fontId="70" fillId="0" borderId="0" xfId="0" applyFont="1"/>
    <xf numFmtId="0" fontId="70" fillId="2" borderId="0" xfId="13" applyFont="1" applyFill="1"/>
    <xf numFmtId="0" fontId="68" fillId="2" borderId="0" xfId="25" applyFont="1" applyFill="1"/>
    <xf numFmtId="0" fontId="38" fillId="0" borderId="0" xfId="33" applyFont="1"/>
    <xf numFmtId="0" fontId="37" fillId="0" borderId="0" xfId="33" applyFont="1"/>
    <xf numFmtId="0" fontId="66" fillId="0" borderId="21" xfId="32" applyFont="1" applyBorder="1" applyAlignment="1" applyProtection="1">
      <alignment horizontal="center" vertical="center"/>
    </xf>
    <xf numFmtId="0" fontId="66" fillId="0" borderId="22" xfId="32" applyFont="1" applyBorder="1" applyAlignment="1" applyProtection="1">
      <alignment horizontal="center" vertical="center"/>
    </xf>
    <xf numFmtId="0" fontId="38" fillId="0" borderId="0" xfId="33" applyFont="1" applyBorder="1"/>
    <xf numFmtId="0" fontId="66" fillId="0" borderId="26" xfId="32" applyFont="1" applyBorder="1" applyAlignment="1" applyProtection="1">
      <alignment horizontal="center" vertical="center"/>
    </xf>
    <xf numFmtId="0" fontId="66" fillId="0" borderId="27" xfId="32" applyFont="1" applyBorder="1" applyAlignment="1" applyProtection="1">
      <alignment horizontal="center" vertical="center"/>
    </xf>
    <xf numFmtId="0" fontId="63" fillId="9" borderId="6" xfId="33" applyFont="1" applyFill="1" applyBorder="1" applyAlignment="1">
      <alignment horizontal="center" vertical="center"/>
    </xf>
    <xf numFmtId="17" fontId="27" fillId="0" borderId="0" xfId="33" quotePrefix="1" applyNumberFormat="1" applyFont="1"/>
    <xf numFmtId="0" fontId="38" fillId="0" borderId="0" xfId="33" applyFont="1" applyFill="1"/>
    <xf numFmtId="0" fontId="74" fillId="0" borderId="0" xfId="33" applyFont="1" applyFill="1" applyAlignment="1">
      <alignment horizontal="center" vertical="center"/>
    </xf>
    <xf numFmtId="0" fontId="74" fillId="0" borderId="0" xfId="33" applyFont="1" applyFill="1" applyAlignment="1">
      <alignment vertical="center"/>
    </xf>
    <xf numFmtId="0" fontId="62" fillId="0" borderId="0" xfId="33" applyFont="1"/>
    <xf numFmtId="0" fontId="66" fillId="0" borderId="22" xfId="30" applyFont="1" applyBorder="1" applyAlignment="1" applyProtection="1">
      <alignment horizontal="center" vertical="center"/>
    </xf>
    <xf numFmtId="0" fontId="31" fillId="0" borderId="0" xfId="0" applyFont="1"/>
    <xf numFmtId="0" fontId="31" fillId="0" borderId="0" xfId="0" applyFont="1" applyBorder="1"/>
    <xf numFmtId="0" fontId="78" fillId="6" borderId="0" xfId="0" applyFont="1" applyFill="1" applyAlignment="1">
      <alignment horizontal="left" vertical="top"/>
    </xf>
    <xf numFmtId="169" fontId="51" fillId="6" borderId="1" xfId="0" applyNumberFormat="1" applyFont="1" applyFill="1" applyBorder="1" applyAlignment="1">
      <alignment horizontal="right" vertical="center"/>
    </xf>
    <xf numFmtId="169" fontId="32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/>
    <xf numFmtId="169" fontId="31" fillId="2" borderId="0" xfId="0" applyNumberFormat="1" applyFont="1" applyFill="1" applyAlignment="1">
      <alignment horizontal="right" wrapText="1"/>
    </xf>
    <xf numFmtId="169" fontId="31" fillId="2" borderId="0" xfId="0" applyNumberFormat="1" applyFont="1" applyFill="1" applyAlignment="1">
      <alignment horizontal="right"/>
    </xf>
    <xf numFmtId="169" fontId="60" fillId="0" borderId="0" xfId="11" applyNumberFormat="1" applyFont="1"/>
    <xf numFmtId="169" fontId="76" fillId="2" borderId="0" xfId="32" applyNumberFormat="1" applyFont="1" applyFill="1" applyAlignment="1" applyProtection="1">
      <alignment horizontal="right"/>
    </xf>
    <xf numFmtId="169" fontId="70" fillId="2" borderId="0" xfId="0" applyNumberFormat="1" applyFont="1" applyFill="1" applyAlignment="1">
      <alignment horizontal="right"/>
    </xf>
    <xf numFmtId="168" fontId="60" fillId="0" borderId="0" xfId="11" applyNumberFormat="1" applyFont="1"/>
    <xf numFmtId="169" fontId="68" fillId="2" borderId="0" xfId="13" applyNumberFormat="1" applyFont="1" applyFill="1"/>
    <xf numFmtId="169" fontId="37" fillId="2" borderId="0" xfId="13" applyNumberFormat="1" applyFill="1"/>
    <xf numFmtId="169" fontId="31" fillId="2" borderId="0" xfId="13" applyNumberFormat="1" applyFont="1" applyFill="1"/>
    <xf numFmtId="169" fontId="32" fillId="0" borderId="2" xfId="13" applyNumberFormat="1" applyFont="1" applyFill="1" applyBorder="1" applyAlignment="1">
      <alignment horizontal="right" vertical="center"/>
    </xf>
    <xf numFmtId="169" fontId="31" fillId="0" borderId="2" xfId="13" applyNumberFormat="1" applyFont="1" applyFill="1" applyBorder="1" applyAlignment="1">
      <alignment horizontal="right" vertical="center"/>
    </xf>
    <xf numFmtId="169" fontId="32" fillId="2" borderId="2" xfId="13" applyNumberFormat="1" applyFont="1" applyFill="1" applyBorder="1" applyAlignment="1">
      <alignment horizontal="right" vertical="center"/>
    </xf>
    <xf numFmtId="169" fontId="32" fillId="0" borderId="2" xfId="13" applyNumberFormat="1" applyFont="1" applyFill="1" applyBorder="1" applyAlignment="1">
      <alignment horizontal="right" vertical="center" wrapText="1"/>
    </xf>
    <xf numFmtId="169" fontId="0" fillId="0" borderId="0" xfId="0" applyNumberFormat="1"/>
    <xf numFmtId="169" fontId="57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0" fillId="2" borderId="0" xfId="0" applyNumberFormat="1" applyFill="1"/>
    <xf numFmtId="169" fontId="28" fillId="2" borderId="0" xfId="12" applyNumberFormat="1" applyFont="1" applyFill="1"/>
    <xf numFmtId="169" fontId="26" fillId="2" borderId="0" xfId="13" applyNumberFormat="1" applyFont="1" applyFill="1"/>
    <xf numFmtId="169" fontId="26" fillId="2" borderId="1" xfId="13" applyNumberFormat="1" applyFont="1" applyFill="1" applyBorder="1"/>
    <xf numFmtId="169" fontId="26" fillId="2" borderId="0" xfId="13" applyNumberFormat="1" applyFont="1" applyFill="1" applyBorder="1"/>
    <xf numFmtId="169" fontId="31" fillId="2" borderId="0" xfId="13" applyNumberFormat="1" applyFont="1" applyFill="1" applyBorder="1"/>
    <xf numFmtId="168" fontId="26" fillId="0" borderId="0" xfId="0" applyNumberFormat="1" applyFont="1"/>
    <xf numFmtId="169" fontId="70" fillId="2" borderId="0" xfId="13" applyNumberFormat="1" applyFont="1" applyFill="1"/>
    <xf numFmtId="169" fontId="31" fillId="7" borderId="0" xfId="0" applyNumberFormat="1" applyFont="1" applyFill="1" applyAlignment="1">
      <alignment horizontal="right" wrapText="1"/>
    </xf>
    <xf numFmtId="169" fontId="26" fillId="0" borderId="0" xfId="0" applyNumberFormat="1" applyFont="1"/>
    <xf numFmtId="169" fontId="32" fillId="2" borderId="0" xfId="2" applyNumberFormat="1" applyFont="1" applyFill="1" applyAlignment="1">
      <alignment horizontal="right" vertical="center"/>
    </xf>
    <xf numFmtId="169" fontId="26" fillId="2" borderId="0" xfId="0" applyNumberFormat="1" applyFont="1" applyFill="1"/>
    <xf numFmtId="168" fontId="31" fillId="2" borderId="0" xfId="2" applyNumberFormat="1" applyFont="1" applyFill="1" applyAlignment="1">
      <alignment horizontal="left" vertical="top" justifyLastLine="1"/>
    </xf>
    <xf numFmtId="169" fontId="31" fillId="2" borderId="0" xfId="2" applyNumberFormat="1" applyFont="1" applyFill="1" applyAlignment="1">
      <alignment horizontal="left" vertical="top" justifyLastLine="1"/>
    </xf>
    <xf numFmtId="169" fontId="68" fillId="2" borderId="0" xfId="25" applyNumberFormat="1" applyFont="1" applyFill="1"/>
    <xf numFmtId="169" fontId="37" fillId="2" borderId="0" xfId="25" applyNumberFormat="1" applyFill="1"/>
    <xf numFmtId="169" fontId="32" fillId="0" borderId="1" xfId="2" applyNumberFormat="1" applyFont="1" applyBorder="1" applyAlignment="1">
      <alignment horizontal="right" vertical="center" wrapText="1"/>
    </xf>
    <xf numFmtId="169" fontId="31" fillId="7" borderId="0" xfId="0" applyNumberFormat="1" applyFont="1" applyFill="1" applyAlignment="1">
      <alignment horizontal="right"/>
    </xf>
    <xf numFmtId="169" fontId="70" fillId="2" borderId="0" xfId="2" applyNumberFormat="1" applyFont="1" applyFill="1" applyAlignment="1">
      <alignment horizontal="left" vertical="center"/>
    </xf>
    <xf numFmtId="169" fontId="31" fillId="2" borderId="0" xfId="2" applyNumberFormat="1" applyFont="1" applyFill="1" applyAlignment="1">
      <alignment horizontal="left" vertical="center"/>
    </xf>
    <xf numFmtId="169" fontId="31" fillId="2" borderId="1" xfId="2" applyNumberFormat="1" applyFont="1" applyFill="1" applyBorder="1" applyAlignment="1">
      <alignment horizontal="right" vertical="center"/>
    </xf>
    <xf numFmtId="169" fontId="31" fillId="2" borderId="0" xfId="2" applyNumberFormat="1" applyFont="1" applyFill="1"/>
    <xf numFmtId="169" fontId="32" fillId="2" borderId="2" xfId="13" applyNumberFormat="1" applyFont="1" applyFill="1" applyBorder="1" applyAlignment="1">
      <alignment horizontal="right" vertical="center" wrapText="1"/>
    </xf>
    <xf numFmtId="169" fontId="31" fillId="2" borderId="2" xfId="13" applyNumberFormat="1" applyFont="1" applyFill="1" applyBorder="1" applyAlignment="1">
      <alignment horizontal="right" vertical="center"/>
    </xf>
    <xf numFmtId="169" fontId="26" fillId="2" borderId="3" xfId="13" applyNumberFormat="1" applyFont="1" applyFill="1" applyBorder="1"/>
    <xf numFmtId="0" fontId="70" fillId="0" borderId="0" xfId="11" applyFont="1"/>
    <xf numFmtId="0" fontId="31" fillId="0" borderId="0" xfId="11" applyFont="1"/>
    <xf numFmtId="0" fontId="31" fillId="0" borderId="0" xfId="11" applyFont="1" applyAlignment="1">
      <alignment vertical="center" readingOrder="1"/>
    </xf>
    <xf numFmtId="0" fontId="35" fillId="4" borderId="0" xfId="11" applyFont="1" applyFill="1"/>
    <xf numFmtId="0" fontId="35" fillId="0" borderId="0" xfId="11" applyFont="1"/>
    <xf numFmtId="0" fontId="31" fillId="6" borderId="0" xfId="0" applyFont="1" applyFill="1" applyAlignment="1">
      <alignment horizontal="left" vertical="top"/>
    </xf>
    <xf numFmtId="168" fontId="35" fillId="0" borderId="0" xfId="11" applyNumberFormat="1" applyFont="1"/>
    <xf numFmtId="169" fontId="35" fillId="0" borderId="0" xfId="11" applyNumberFormat="1" applyFont="1"/>
    <xf numFmtId="169" fontId="70" fillId="2" borderId="0" xfId="25" applyNumberFormat="1" applyFont="1" applyFill="1"/>
    <xf numFmtId="0" fontId="70" fillId="2" borderId="0" xfId="25" applyFont="1" applyFill="1"/>
    <xf numFmtId="0" fontId="26" fillId="2" borderId="0" xfId="25" applyFont="1" applyFill="1"/>
    <xf numFmtId="169" fontId="26" fillId="2" borderId="0" xfId="25" applyNumberFormat="1" applyFont="1" applyFill="1"/>
    <xf numFmtId="0" fontId="26" fillId="2" borderId="3" xfId="25" applyFont="1" applyFill="1" applyBorder="1"/>
    <xf numFmtId="0" fontId="26" fillId="2" borderId="1" xfId="25" applyFont="1" applyFill="1" applyBorder="1"/>
    <xf numFmtId="0" fontId="32" fillId="2" borderId="0" xfId="11" applyFont="1" applyFill="1" applyAlignment="1" applyProtection="1">
      <alignment vertical="center" wrapText="1" readingOrder="1"/>
      <protection locked="0"/>
    </xf>
    <xf numFmtId="0" fontId="32" fillId="2" borderId="0" xfId="11" applyFont="1" applyFill="1" applyAlignment="1" applyProtection="1">
      <alignment horizontal="left" vertical="center" wrapText="1" readingOrder="1"/>
      <protection locked="0"/>
    </xf>
    <xf numFmtId="0" fontId="31" fillId="2" borderId="0" xfId="25" applyFont="1" applyFill="1"/>
    <xf numFmtId="0" fontId="31" fillId="2" borderId="1" xfId="25" applyFont="1" applyFill="1" applyBorder="1"/>
    <xf numFmtId="169" fontId="26" fillId="2" borderId="1" xfId="25" applyNumberFormat="1" applyFont="1" applyFill="1" applyBorder="1"/>
    <xf numFmtId="169" fontId="31" fillId="2" borderId="0" xfId="25" applyNumberFormat="1" applyFont="1" applyFill="1"/>
    <xf numFmtId="0" fontId="31" fillId="2" borderId="2" xfId="25" applyFont="1" applyFill="1" applyBorder="1" applyAlignment="1">
      <alignment horizontal="center" vertical="center"/>
    </xf>
    <xf numFmtId="0" fontId="31" fillId="2" borderId="1" xfId="25" applyFont="1" applyFill="1" applyBorder="1" applyAlignment="1">
      <alignment horizontal="center" vertical="center"/>
    </xf>
    <xf numFmtId="0" fontId="32" fillId="2" borderId="1" xfId="25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169" fontId="32" fillId="2" borderId="1" xfId="2" applyNumberFormat="1" applyFont="1" applyFill="1" applyBorder="1" applyAlignment="1">
      <alignment horizontal="right" vertical="center" wrapText="1"/>
    </xf>
    <xf numFmtId="0" fontId="63" fillId="9" borderId="7" xfId="33" applyFont="1" applyFill="1" applyBorder="1" applyAlignment="1">
      <alignment horizontal="center" vertical="center"/>
    </xf>
    <xf numFmtId="169" fontId="72" fillId="2" borderId="0" xfId="32" applyNumberFormat="1" applyFont="1" applyFill="1" applyAlignment="1" applyProtection="1">
      <alignment horizontal="right"/>
    </xf>
    <xf numFmtId="170" fontId="70" fillId="2" borderId="0" xfId="2" applyNumberFormat="1" applyFont="1" applyFill="1" applyAlignment="1">
      <alignment horizontal="left" vertical="center"/>
    </xf>
    <xf numFmtId="170" fontId="31" fillId="2" borderId="0" xfId="2" applyNumberFormat="1" applyFont="1" applyFill="1" applyAlignment="1">
      <alignment horizontal="left" vertical="center"/>
    </xf>
    <xf numFmtId="170" fontId="32" fillId="2" borderId="0" xfId="2" applyNumberFormat="1" applyFont="1" applyFill="1" applyAlignment="1">
      <alignment horizontal="right" vertical="center"/>
    </xf>
    <xf numFmtId="170" fontId="32" fillId="2" borderId="0" xfId="0" applyNumberFormat="1" applyFont="1" applyFill="1" applyAlignment="1">
      <alignment horizontal="right" wrapText="1"/>
    </xf>
    <xf numFmtId="170" fontId="31" fillId="2" borderId="0" xfId="0" applyNumberFormat="1" applyFont="1" applyFill="1"/>
    <xf numFmtId="170" fontId="31" fillId="2" borderId="0" xfId="0" applyNumberFormat="1" applyFont="1" applyFill="1" applyAlignment="1">
      <alignment horizontal="right" wrapText="1"/>
    </xf>
    <xf numFmtId="170" fontId="31" fillId="2" borderId="1" xfId="2" applyNumberFormat="1" applyFont="1" applyFill="1" applyBorder="1" applyAlignment="1">
      <alignment horizontal="right" vertical="center"/>
    </xf>
    <xf numFmtId="170" fontId="31" fillId="2" borderId="0" xfId="2" applyNumberFormat="1" applyFont="1" applyFill="1"/>
    <xf numFmtId="170" fontId="60" fillId="0" borderId="0" xfId="11" applyNumberFormat="1" applyFont="1"/>
    <xf numFmtId="170" fontId="0" fillId="0" borderId="0" xfId="0" applyNumberFormat="1"/>
    <xf numFmtId="170" fontId="26" fillId="0" borderId="0" xfId="0" applyNumberFormat="1" applyFont="1"/>
    <xf numFmtId="170" fontId="76" fillId="2" borderId="0" xfId="32" applyNumberFormat="1" applyFont="1" applyFill="1" applyAlignment="1" applyProtection="1">
      <alignment horizontal="right"/>
    </xf>
    <xf numFmtId="170" fontId="70" fillId="2" borderId="0" xfId="0" applyNumberFormat="1" applyFont="1" applyFill="1" applyAlignment="1">
      <alignment horizontal="right"/>
    </xf>
    <xf numFmtId="170" fontId="26" fillId="2" borderId="0" xfId="0" applyNumberFormat="1" applyFont="1" applyFill="1"/>
    <xf numFmtId="170" fontId="58" fillId="0" borderId="0" xfId="11" applyNumberFormat="1" applyFont="1"/>
    <xf numFmtId="170" fontId="51" fillId="6" borderId="1" xfId="0" applyNumberFormat="1" applyFont="1" applyFill="1" applyBorder="1" applyAlignment="1">
      <alignment horizontal="right" vertical="center"/>
    </xf>
    <xf numFmtId="170" fontId="37" fillId="2" borderId="0" xfId="13" applyNumberFormat="1" applyFill="1"/>
    <xf numFmtId="170" fontId="68" fillId="2" borderId="0" xfId="13" applyNumberFormat="1" applyFont="1" applyFill="1"/>
    <xf numFmtId="170" fontId="26" fillId="2" borderId="0" xfId="13" applyNumberFormat="1" applyFont="1" applyFill="1"/>
    <xf numFmtId="170" fontId="0" fillId="2" borderId="0" xfId="0" applyNumberFormat="1" applyFill="1"/>
    <xf numFmtId="170" fontId="26" fillId="2" borderId="1" xfId="13" applyNumberFormat="1" applyFont="1" applyFill="1" applyBorder="1"/>
    <xf numFmtId="170" fontId="31" fillId="2" borderId="0" xfId="13" applyNumberFormat="1" applyFont="1" applyFill="1"/>
    <xf numFmtId="170" fontId="70" fillId="2" borderId="0" xfId="13" applyNumberFormat="1" applyFont="1" applyFill="1"/>
    <xf numFmtId="170" fontId="31" fillId="7" borderId="0" xfId="0" applyNumberFormat="1" applyFont="1" applyFill="1" applyAlignment="1">
      <alignment horizontal="right" wrapText="1"/>
    </xf>
    <xf numFmtId="170" fontId="72" fillId="2" borderId="0" xfId="6" applyNumberFormat="1" applyFont="1" applyFill="1" applyBorder="1" applyAlignment="1" applyProtection="1">
      <alignment horizontal="right" vertical="center"/>
    </xf>
    <xf numFmtId="170" fontId="35" fillId="0" borderId="0" xfId="11" applyNumberFormat="1" applyFont="1"/>
    <xf numFmtId="170" fontId="31" fillId="2" borderId="0" xfId="2" applyNumberFormat="1" applyFont="1" applyFill="1" applyAlignment="1">
      <alignment horizontal="left" vertical="top" justifyLastLine="1"/>
    </xf>
    <xf numFmtId="170" fontId="68" fillId="2" borderId="0" xfId="25" applyNumberFormat="1" applyFont="1" applyFill="1"/>
    <xf numFmtId="170" fontId="26" fillId="2" borderId="0" xfId="25" applyNumberFormat="1" applyFont="1" applyFill="1"/>
    <xf numFmtId="170" fontId="26" fillId="2" borderId="3" xfId="25" applyNumberFormat="1" applyFont="1" applyFill="1" applyBorder="1"/>
    <xf numFmtId="170" fontId="26" fillId="2" borderId="1" xfId="25" applyNumberFormat="1" applyFont="1" applyFill="1" applyBorder="1"/>
    <xf numFmtId="170" fontId="32" fillId="0" borderId="1" xfId="2" applyNumberFormat="1" applyFont="1" applyBorder="1" applyAlignment="1">
      <alignment horizontal="right" vertical="center" wrapText="1"/>
    </xf>
    <xf numFmtId="170" fontId="32" fillId="2" borderId="0" xfId="0" applyNumberFormat="1" applyFont="1" applyFill="1"/>
    <xf numFmtId="170" fontId="45" fillId="2" borderId="0" xfId="25" applyNumberFormat="1" applyFont="1" applyFill="1"/>
    <xf numFmtId="170" fontId="31" fillId="2" borderId="0" xfId="25" applyNumberFormat="1" applyFont="1" applyFill="1"/>
    <xf numFmtId="170" fontId="37" fillId="2" borderId="0" xfId="25" applyNumberFormat="1" applyFill="1"/>
    <xf numFmtId="170" fontId="26" fillId="2" borderId="3" xfId="13" applyNumberFormat="1" applyFont="1" applyFill="1" applyBorder="1"/>
    <xf numFmtId="170" fontId="31" fillId="7" borderId="0" xfId="0" applyNumberFormat="1" applyFont="1" applyFill="1" applyAlignment="1">
      <alignment horizontal="right"/>
    </xf>
    <xf numFmtId="170" fontId="70" fillId="2" borderId="0" xfId="2" applyNumberFormat="1" applyFont="1" applyFill="1"/>
    <xf numFmtId="170" fontId="32" fillId="2" borderId="0" xfId="2" applyNumberFormat="1" applyFont="1" applyFill="1" applyAlignment="1">
      <alignment vertical="center" wrapText="1"/>
    </xf>
    <xf numFmtId="170" fontId="31" fillId="2" borderId="1" xfId="25" applyNumberFormat="1" applyFont="1" applyFill="1" applyBorder="1"/>
    <xf numFmtId="170" fontId="70" fillId="2" borderId="0" xfId="25" applyNumberFormat="1" applyFont="1" applyFill="1"/>
    <xf numFmtId="0" fontId="31" fillId="2" borderId="0" xfId="2" applyFont="1" applyFill="1" applyAlignment="1">
      <alignment horizontal="left" vertical="top" justifyLastLine="1"/>
    </xf>
    <xf numFmtId="0" fontId="68" fillId="2" borderId="0" xfId="36" applyFont="1" applyFill="1" applyAlignment="1">
      <alignment vertical="center"/>
    </xf>
    <xf numFmtId="0" fontId="28" fillId="0" borderId="0" xfId="35" applyFont="1"/>
    <xf numFmtId="0" fontId="34" fillId="2" borderId="0" xfId="36" applyFont="1" applyFill="1" applyAlignment="1">
      <alignment horizontal="left" vertical="center"/>
    </xf>
    <xf numFmtId="0" fontId="14" fillId="2" borderId="0" xfId="36" applyFill="1" applyAlignment="1">
      <alignment vertical="center"/>
    </xf>
    <xf numFmtId="0" fontId="14" fillId="0" borderId="0" xfId="36" applyAlignment="1">
      <alignment vertical="center"/>
    </xf>
    <xf numFmtId="0" fontId="25" fillId="2" borderId="0" xfId="36" applyFont="1" applyFill="1" applyAlignment="1">
      <alignment vertical="center"/>
    </xf>
    <xf numFmtId="170" fontId="32" fillId="0" borderId="1" xfId="0" applyNumberFormat="1" applyFont="1" applyBorder="1" applyAlignment="1">
      <alignment horizontal="right" vertical="center"/>
    </xf>
    <xf numFmtId="169" fontId="32" fillId="0" borderId="1" xfId="0" applyNumberFormat="1" applyFont="1" applyBorder="1" applyAlignment="1">
      <alignment horizontal="right" vertical="center"/>
    </xf>
    <xf numFmtId="0" fontId="30" fillId="2" borderId="0" xfId="36" applyFont="1" applyFill="1" applyAlignment="1">
      <alignment horizontal="left" vertical="center" wrapText="1"/>
    </xf>
    <xf numFmtId="0" fontId="59" fillId="4" borderId="0" xfId="11" applyFont="1" applyFill="1"/>
    <xf numFmtId="0" fontId="14" fillId="2" borderId="1" xfId="36" applyFill="1" applyBorder="1" applyAlignment="1">
      <alignment vertical="center"/>
    </xf>
    <xf numFmtId="170" fontId="31" fillId="2" borderId="1" xfId="2" applyNumberFormat="1" applyFont="1" applyFill="1" applyBorder="1" applyAlignment="1">
      <alignment horizontal="right"/>
    </xf>
    <xf numFmtId="0" fontId="29" fillId="2" borderId="0" xfId="36" applyFont="1" applyFill="1" applyAlignment="1">
      <alignment vertical="center"/>
    </xf>
    <xf numFmtId="0" fontId="31" fillId="2" borderId="0" xfId="35" applyFont="1" applyFill="1" applyAlignment="1">
      <alignment horizontal="left" vertical="top"/>
    </xf>
    <xf numFmtId="0" fontId="47" fillId="2" borderId="0" xfId="2" applyFont="1" applyFill="1" applyAlignment="1">
      <alignment wrapText="1"/>
    </xf>
    <xf numFmtId="0" fontId="47" fillId="2" borderId="0" xfId="2" applyFont="1" applyFill="1" applyAlignment="1">
      <alignment horizontal="left" wrapText="1"/>
    </xf>
    <xf numFmtId="0" fontId="31" fillId="0" borderId="0" xfId="2" applyFont="1"/>
    <xf numFmtId="0" fontId="68" fillId="0" borderId="0" xfId="40" applyFont="1"/>
    <xf numFmtId="170" fontId="28" fillId="2" borderId="0" xfId="40" applyNumberFormat="1" applyFont="1" applyFill="1" applyAlignment="1">
      <alignment horizontal="left" vertical="center"/>
    </xf>
    <xf numFmtId="169" fontId="28" fillId="2" borderId="0" xfId="40" applyNumberFormat="1" applyFont="1" applyFill="1" applyAlignment="1">
      <alignment horizontal="left" vertical="center"/>
    </xf>
    <xf numFmtId="0" fontId="28" fillId="2" borderId="0" xfId="40" applyFont="1" applyFill="1" applyAlignment="1">
      <alignment horizontal="left" vertical="center"/>
    </xf>
    <xf numFmtId="170" fontId="70" fillId="2" borderId="0" xfId="40" applyNumberFormat="1" applyFont="1" applyFill="1" applyAlignment="1">
      <alignment horizontal="left" vertical="center"/>
    </xf>
    <xf numFmtId="169" fontId="70" fillId="2" borderId="0" xfId="40" applyNumberFormat="1" applyFont="1" applyFill="1" applyAlignment="1">
      <alignment horizontal="left" vertical="center"/>
    </xf>
    <xf numFmtId="0" fontId="70" fillId="2" borderId="0" xfId="40" applyFont="1" applyFill="1" applyAlignment="1">
      <alignment horizontal="left" vertical="center"/>
    </xf>
    <xf numFmtId="0" fontId="68" fillId="2" borderId="0" xfId="40" applyFont="1" applyFill="1"/>
    <xf numFmtId="0" fontId="28" fillId="0" borderId="0" xfId="39" applyFont="1"/>
    <xf numFmtId="169" fontId="70" fillId="2" borderId="0" xfId="40" applyNumberFormat="1" applyFont="1" applyFill="1"/>
    <xf numFmtId="170" fontId="28" fillId="0" borderId="0" xfId="39" applyNumberFormat="1" applyFont="1"/>
    <xf numFmtId="169" fontId="28" fillId="0" borderId="0" xfId="39" applyNumberFormat="1" applyFont="1"/>
    <xf numFmtId="170" fontId="70" fillId="0" borderId="0" xfId="39" applyNumberFormat="1" applyFont="1"/>
    <xf numFmtId="170" fontId="68" fillId="2" borderId="0" xfId="40" applyNumberFormat="1" applyFont="1" applyFill="1"/>
    <xf numFmtId="169" fontId="68" fillId="2" borderId="0" xfId="40" applyNumberFormat="1" applyFont="1" applyFill="1"/>
    <xf numFmtId="170" fontId="70" fillId="2" borderId="0" xfId="40" applyNumberFormat="1" applyFont="1" applyFill="1"/>
    <xf numFmtId="0" fontId="70" fillId="2" borderId="0" xfId="40" applyFont="1" applyFill="1"/>
    <xf numFmtId="170" fontId="36" fillId="2" borderId="0" xfId="40" applyNumberFormat="1" applyFont="1" applyFill="1" applyAlignment="1">
      <alignment horizontal="left" vertical="center" wrapText="1"/>
    </xf>
    <xf numFmtId="0" fontId="52" fillId="2" borderId="1" xfId="40" applyFont="1" applyFill="1" applyBorder="1"/>
    <xf numFmtId="0" fontId="52" fillId="0" borderId="0" xfId="40" applyFont="1"/>
    <xf numFmtId="170" fontId="26" fillId="2" borderId="0" xfId="40" applyNumberFormat="1" applyFont="1" applyFill="1"/>
    <xf numFmtId="169" fontId="26" fillId="2" borderId="0" xfId="40" applyNumberFormat="1" applyFont="1" applyFill="1"/>
    <xf numFmtId="0" fontId="26" fillId="2" borderId="0" xfId="40" applyFont="1" applyFill="1"/>
    <xf numFmtId="0" fontId="13" fillId="2" borderId="0" xfId="40" applyFill="1"/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0" fontId="32" fillId="2" borderId="0" xfId="40" applyFont="1" applyFill="1" applyAlignment="1">
      <alignment horizontal="center" vertical="center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/>
    </xf>
    <xf numFmtId="170" fontId="52" fillId="2" borderId="0" xfId="40" applyNumberFormat="1" applyFont="1" applyFill="1"/>
    <xf numFmtId="169" fontId="52" fillId="2" borderId="0" xfId="40" applyNumberFormat="1" applyFont="1" applyFill="1"/>
    <xf numFmtId="0" fontId="52" fillId="2" borderId="0" xfId="40" applyFont="1" applyFill="1"/>
    <xf numFmtId="0" fontId="56" fillId="0" borderId="0" xfId="40" applyFont="1"/>
    <xf numFmtId="170" fontId="79" fillId="2" borderId="0" xfId="42" applyNumberFormat="1" applyFont="1" applyFill="1" applyAlignment="1">
      <alignment vertical="center"/>
    </xf>
    <xf numFmtId="0" fontId="79" fillId="2" borderId="0" xfId="42" applyFont="1" applyFill="1" applyAlignment="1">
      <alignment vertical="center"/>
    </xf>
    <xf numFmtId="0" fontId="25" fillId="2" borderId="0" xfId="40" applyFont="1" applyFill="1"/>
    <xf numFmtId="170" fontId="35" fillId="2" borderId="0" xfId="42" applyNumberFormat="1" applyFont="1" applyFill="1" applyAlignment="1">
      <alignment vertical="center"/>
    </xf>
    <xf numFmtId="0" fontId="35" fillId="2" borderId="0" xfId="42" applyFont="1" applyFill="1" applyAlignment="1">
      <alignment vertical="center"/>
    </xf>
    <xf numFmtId="0" fontId="56" fillId="2" borderId="1" xfId="40" applyFont="1" applyFill="1" applyBorder="1"/>
    <xf numFmtId="0" fontId="56" fillId="0" borderId="1" xfId="40" applyFont="1" applyBorder="1"/>
    <xf numFmtId="170" fontId="31" fillId="2" borderId="1" xfId="40" applyNumberFormat="1" applyFont="1" applyFill="1" applyBorder="1"/>
    <xf numFmtId="169" fontId="31" fillId="2" borderId="1" xfId="40" applyNumberFormat="1" applyFont="1" applyFill="1" applyBorder="1"/>
    <xf numFmtId="165" fontId="31" fillId="2" borderId="1" xfId="40" applyNumberFormat="1" applyFont="1" applyFill="1" applyBorder="1"/>
    <xf numFmtId="0" fontId="31" fillId="2" borderId="0" xfId="43" applyFont="1" applyFill="1" applyAlignment="1">
      <alignment vertical="center"/>
    </xf>
    <xf numFmtId="0" fontId="53" fillId="0" borderId="0" xfId="40" applyFont="1"/>
    <xf numFmtId="170" fontId="53" fillId="2" borderId="0" xfId="40" applyNumberFormat="1" applyFont="1" applyFill="1"/>
    <xf numFmtId="169" fontId="53" fillId="2" borderId="0" xfId="40" applyNumberFormat="1" applyFont="1" applyFill="1"/>
    <xf numFmtId="0" fontId="53" fillId="2" borderId="0" xfId="40" applyFont="1" applyFill="1"/>
    <xf numFmtId="0" fontId="48" fillId="2" borderId="0" xfId="40" applyFont="1" applyFill="1"/>
    <xf numFmtId="0" fontId="31" fillId="2" borderId="0" xfId="39" applyFont="1" applyFill="1" applyAlignment="1">
      <alignment vertical="center"/>
    </xf>
    <xf numFmtId="0" fontId="13" fillId="0" borderId="0" xfId="40"/>
    <xf numFmtId="170" fontId="13" fillId="2" borderId="0" xfId="40" applyNumberFormat="1" applyFill="1"/>
    <xf numFmtId="169" fontId="13" fillId="2" borderId="0" xfId="40" applyNumberFormat="1" applyFill="1"/>
    <xf numFmtId="171" fontId="32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 wrapText="1"/>
    </xf>
    <xf numFmtId="171" fontId="31" fillId="2" borderId="0" xfId="0" applyNumberFormat="1" applyFont="1" applyFill="1" applyAlignment="1">
      <alignment horizontal="right"/>
    </xf>
    <xf numFmtId="0" fontId="70" fillId="0" borderId="0" xfId="44" applyFont="1"/>
    <xf numFmtId="170" fontId="70" fillId="0" borderId="0" xfId="45" applyNumberFormat="1" applyFont="1"/>
    <xf numFmtId="168" fontId="70" fillId="0" borderId="0" xfId="45" applyNumberFormat="1" applyFont="1"/>
    <xf numFmtId="0" fontId="70" fillId="0" borderId="0" xfId="45" applyFont="1"/>
    <xf numFmtId="0" fontId="28" fillId="2" borderId="0" xfId="46" applyFont="1" applyFill="1"/>
    <xf numFmtId="170" fontId="28" fillId="2" borderId="0" xfId="46" applyNumberFormat="1" applyFont="1" applyFill="1"/>
    <xf numFmtId="168" fontId="28" fillId="2" borderId="0" xfId="46" applyNumberFormat="1" applyFont="1" applyFill="1"/>
    <xf numFmtId="0" fontId="68" fillId="0" borderId="0" xfId="45" applyFont="1"/>
    <xf numFmtId="170" fontId="36" fillId="2" borderId="0" xfId="47" applyNumberFormat="1" applyFont="1" applyFill="1" applyAlignment="1">
      <alignment vertical="top" wrapText="1"/>
    </xf>
    <xf numFmtId="0" fontId="26" fillId="2" borderId="0" xfId="48" applyFont="1" applyFill="1"/>
    <xf numFmtId="170" fontId="26" fillId="2" borderId="0" xfId="48" applyNumberFormat="1" applyFont="1" applyFill="1"/>
    <xf numFmtId="168" fontId="26" fillId="2" borderId="0" xfId="48" applyNumberFormat="1" applyFont="1" applyFill="1"/>
    <xf numFmtId="170" fontId="35" fillId="0" borderId="0" xfId="45" applyNumberFormat="1" applyFont="1"/>
    <xf numFmtId="0" fontId="38" fillId="0" borderId="0" xfId="45" applyFont="1"/>
    <xf numFmtId="0" fontId="32" fillId="0" borderId="3" xfId="48" applyFont="1" applyBorder="1" applyAlignment="1">
      <alignment horizontal="left" vertical="center" wrapText="1"/>
    </xf>
    <xf numFmtId="168" fontId="32" fillId="2" borderId="3" xfId="48" applyNumberFormat="1" applyFont="1" applyFill="1" applyBorder="1" applyAlignment="1">
      <alignment horizontal="center" vertical="center" wrapText="1"/>
    </xf>
    <xf numFmtId="0" fontId="32" fillId="0" borderId="1" xfId="48" applyFont="1" applyBorder="1" applyAlignment="1">
      <alignment horizontal="left" vertical="center" wrapText="1"/>
    </xf>
    <xf numFmtId="168" fontId="32" fillId="2" borderId="1" xfId="48" applyNumberFormat="1" applyFont="1" applyFill="1" applyBorder="1" applyAlignment="1">
      <alignment horizontal="center" vertical="center" wrapText="1"/>
    </xf>
    <xf numFmtId="170" fontId="32" fillId="2" borderId="1" xfId="45" applyNumberFormat="1" applyFont="1" applyFill="1" applyBorder="1" applyAlignment="1">
      <alignment horizontal="right" vertical="center" wrapText="1"/>
    </xf>
    <xf numFmtId="0" fontId="32" fillId="2" borderId="3" xfId="48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left"/>
    </xf>
    <xf numFmtId="168" fontId="32" fillId="2" borderId="3" xfId="48" applyNumberFormat="1" applyFont="1" applyFill="1" applyBorder="1" applyAlignment="1">
      <alignment horizontal="left"/>
    </xf>
    <xf numFmtId="170" fontId="32" fillId="2" borderId="3" xfId="48" applyNumberFormat="1" applyFont="1" applyFill="1" applyBorder="1" applyAlignment="1">
      <alignment horizontal="right"/>
    </xf>
    <xf numFmtId="170" fontId="35" fillId="0" borderId="3" xfId="45" applyNumberFormat="1" applyFont="1" applyBorder="1"/>
    <xf numFmtId="0" fontId="32" fillId="2" borderId="0" xfId="48" applyFont="1" applyFill="1" applyAlignment="1">
      <alignment horizontal="left" vertical="center"/>
    </xf>
    <xf numFmtId="168" fontId="57" fillId="2" borderId="0" xfId="44" applyNumberFormat="1" applyFont="1" applyFill="1" applyAlignment="1">
      <alignment vertical="center"/>
    </xf>
    <xf numFmtId="168" fontId="38" fillId="2" borderId="0" xfId="44" applyNumberFormat="1" applyFont="1" applyFill="1" applyAlignment="1">
      <alignment vertical="center"/>
    </xf>
    <xf numFmtId="0" fontId="32" fillId="2" borderId="0" xfId="48" applyFont="1" applyFill="1" applyAlignment="1">
      <alignment horizontal="left" wrapText="1" indent="1"/>
    </xf>
    <xf numFmtId="0" fontId="31" fillId="0" borderId="0" xfId="45" applyFont="1" applyAlignment="1">
      <alignment horizontal="left" indent="2"/>
    </xf>
    <xf numFmtId="0" fontId="32" fillId="2" borderId="0" xfId="11" applyFont="1" applyFill="1" applyAlignment="1">
      <alignment horizontal="left" readingOrder="1"/>
    </xf>
    <xf numFmtId="170" fontId="38" fillId="0" borderId="0" xfId="45" applyNumberFormat="1" applyFont="1"/>
    <xf numFmtId="168" fontId="38" fillId="0" borderId="0" xfId="45" applyNumberFormat="1" applyFont="1"/>
    <xf numFmtId="0" fontId="57" fillId="0" borderId="0" xfId="45" applyFont="1"/>
    <xf numFmtId="0" fontId="32" fillId="0" borderId="0" xfId="11" applyFont="1" applyAlignment="1">
      <alignment horizontal="left" readingOrder="1"/>
    </xf>
    <xf numFmtId="168" fontId="39" fillId="0" borderId="0" xfId="49" applyNumberFormat="1" applyFont="1" applyFill="1" applyBorder="1" applyAlignment="1">
      <alignment horizontal="right"/>
    </xf>
    <xf numFmtId="0" fontId="35" fillId="0" borderId="1" xfId="45" applyFont="1" applyBorder="1"/>
    <xf numFmtId="0" fontId="40" fillId="2" borderId="1" xfId="48" applyFont="1" applyFill="1" applyBorder="1"/>
    <xf numFmtId="170" fontId="39" fillId="0" borderId="1" xfId="49" applyNumberFormat="1" applyFont="1" applyFill="1" applyBorder="1" applyAlignment="1">
      <alignment horizontal="right"/>
    </xf>
    <xf numFmtId="168" fontId="39" fillId="0" borderId="1" xfId="49" applyNumberFormat="1" applyFont="1" applyFill="1" applyBorder="1" applyAlignment="1">
      <alignment horizontal="right"/>
    </xf>
    <xf numFmtId="170" fontId="35" fillId="0" borderId="1" xfId="45" applyNumberFormat="1" applyFont="1" applyBorder="1"/>
    <xf numFmtId="0" fontId="40" fillId="2" borderId="0" xfId="48" applyFont="1" applyFill="1"/>
    <xf numFmtId="170" fontId="39" fillId="0" borderId="0" xfId="49" applyNumberFormat="1" applyFont="1" applyFill="1" applyBorder="1" applyAlignment="1">
      <alignment horizontal="right"/>
    </xf>
    <xf numFmtId="0" fontId="31" fillId="2" borderId="0" xfId="47" applyFont="1" applyFill="1" applyAlignment="1">
      <alignment vertical="center"/>
    </xf>
    <xf numFmtId="0" fontId="31" fillId="2" borderId="0" xfId="48" applyFont="1" applyFill="1"/>
    <xf numFmtId="170" fontId="77" fillId="0" borderId="0" xfId="49" applyNumberFormat="1" applyFont="1" applyFill="1" applyBorder="1" applyAlignment="1">
      <alignment horizontal="right"/>
    </xf>
    <xf numFmtId="168" fontId="77" fillId="0" borderId="0" xfId="49" applyNumberFormat="1" applyFont="1" applyFill="1" applyBorder="1" applyAlignment="1">
      <alignment horizontal="right"/>
    </xf>
    <xf numFmtId="170" fontId="31" fillId="0" borderId="0" xfId="45" applyNumberFormat="1" applyFont="1"/>
    <xf numFmtId="0" fontId="29" fillId="0" borderId="0" xfId="45" applyFont="1"/>
    <xf numFmtId="0" fontId="31" fillId="2" borderId="0" xfId="50" applyFont="1" applyFill="1"/>
    <xf numFmtId="170" fontId="32" fillId="2" borderId="0" xfId="48" applyNumberFormat="1" applyFont="1" applyFill="1"/>
    <xf numFmtId="168" fontId="32" fillId="2" borderId="0" xfId="48" applyNumberFormat="1" applyFont="1" applyFill="1"/>
    <xf numFmtId="170" fontId="31" fillId="2" borderId="0" xfId="48" applyNumberFormat="1" applyFont="1" applyFill="1"/>
    <xf numFmtId="0" fontId="41" fillId="0" borderId="0" xfId="45" applyFont="1"/>
    <xf numFmtId="170" fontId="42" fillId="0" borderId="0" xfId="45" applyNumberFormat="1" applyFont="1"/>
    <xf numFmtId="171" fontId="32" fillId="2" borderId="0" xfId="0" applyNumberFormat="1" applyFont="1" applyFill="1" applyAlignment="1">
      <alignment horizontal="right"/>
    </xf>
    <xf numFmtId="0" fontId="68" fillId="2" borderId="0" xfId="52" applyFont="1" applyFill="1" applyAlignment="1">
      <alignment horizontal="left" vertical="center"/>
    </xf>
    <xf numFmtId="170" fontId="28" fillId="0" borderId="0" xfId="52" applyNumberFormat="1" applyFont="1" applyAlignment="1">
      <alignment horizontal="left" vertical="center"/>
    </xf>
    <xf numFmtId="0" fontId="28" fillId="0" borderId="0" xfId="52" applyFont="1" applyAlignment="1">
      <alignment horizontal="left" vertical="center"/>
    </xf>
    <xf numFmtId="169" fontId="68" fillId="2" borderId="0" xfId="52" applyNumberFormat="1" applyFont="1" applyFill="1" applyAlignment="1">
      <alignment vertical="center"/>
    </xf>
    <xf numFmtId="0" fontId="68" fillId="2" borderId="0" xfId="52" applyFont="1" applyFill="1" applyAlignment="1">
      <alignment vertical="center"/>
    </xf>
    <xf numFmtId="170" fontId="68" fillId="2" borderId="0" xfId="52" applyNumberFormat="1" applyFont="1" applyFill="1" applyAlignment="1">
      <alignment vertical="center"/>
    </xf>
    <xf numFmtId="0" fontId="28" fillId="0" borderId="0" xfId="51" applyFont="1"/>
    <xf numFmtId="170" fontId="28" fillId="0" borderId="0" xfId="51" applyNumberFormat="1" applyFont="1"/>
    <xf numFmtId="169" fontId="28" fillId="0" borderId="0" xfId="51" applyNumberFormat="1" applyFont="1"/>
    <xf numFmtId="170" fontId="68" fillId="2" borderId="0" xfId="52" applyNumberFormat="1" applyFont="1" applyFill="1" applyAlignment="1">
      <alignment horizontal="left" vertical="center"/>
    </xf>
    <xf numFmtId="170" fontId="69" fillId="2" borderId="0" xfId="52" applyNumberFormat="1" applyFont="1" applyFill="1" applyAlignment="1">
      <alignment vertical="center" wrapText="1"/>
    </xf>
    <xf numFmtId="0" fontId="68" fillId="0" borderId="0" xfId="53" applyFont="1" applyAlignment="1">
      <alignment vertical="center"/>
    </xf>
    <xf numFmtId="0" fontId="11" fillId="2" borderId="1" xfId="52" applyFill="1" applyBorder="1" applyAlignment="1">
      <alignment vertical="center"/>
    </xf>
    <xf numFmtId="169" fontId="31" fillId="2" borderId="1" xfId="52" applyNumberFormat="1" applyFont="1" applyFill="1" applyBorder="1" applyAlignment="1">
      <alignment horizontal="right" vertical="top" wrapText="1"/>
    </xf>
    <xf numFmtId="0" fontId="11" fillId="0" borderId="0" xfId="52" applyAlignment="1">
      <alignment vertical="center"/>
    </xf>
    <xf numFmtId="0" fontId="11" fillId="2" borderId="0" xfId="52" applyFill="1" applyAlignment="1">
      <alignment vertical="center"/>
    </xf>
    <xf numFmtId="0" fontId="29" fillId="2" borderId="3" xfId="52" applyFont="1" applyFill="1" applyBorder="1" applyAlignment="1">
      <alignment horizontal="right" vertical="center" wrapText="1"/>
    </xf>
    <xf numFmtId="0" fontId="0" fillId="0" borderId="0" xfId="52" applyFont="1" applyAlignment="1">
      <alignment vertical="center"/>
    </xf>
    <xf numFmtId="0" fontId="29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right" vertical="center" wrapText="1"/>
    </xf>
    <xf numFmtId="0" fontId="30" fillId="2" borderId="0" xfId="52" applyFont="1" applyFill="1" applyAlignment="1">
      <alignment horizontal="center" vertical="center" wrapText="1"/>
    </xf>
    <xf numFmtId="0" fontId="29" fillId="2" borderId="1" xfId="52" applyFont="1" applyFill="1" applyBorder="1" applyAlignment="1">
      <alignment horizontal="right" vertical="center" wrapText="1"/>
    </xf>
    <xf numFmtId="0" fontId="29" fillId="2" borderId="1" xfId="53" applyFont="1" applyFill="1" applyBorder="1" applyAlignment="1">
      <alignment horizontal="right" vertical="center"/>
    </xf>
    <xf numFmtId="0" fontId="30" fillId="2" borderId="0" xfId="52" applyFont="1" applyFill="1" applyAlignment="1">
      <alignment horizontal="left" vertical="center" wrapText="1"/>
    </xf>
    <xf numFmtId="170" fontId="30" fillId="2" borderId="0" xfId="52" applyNumberFormat="1" applyFont="1" applyFill="1" applyAlignment="1">
      <alignment horizontal="left" vertical="center" wrapText="1"/>
    </xf>
    <xf numFmtId="169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 wrapText="1"/>
    </xf>
    <xf numFmtId="170" fontId="30" fillId="2" borderId="0" xfId="52" applyNumberFormat="1" applyFont="1" applyFill="1" applyAlignment="1">
      <alignment horizontal="center" vertical="center"/>
    </xf>
    <xf numFmtId="169" fontId="30" fillId="2" borderId="0" xfId="52" applyNumberFormat="1" applyFont="1" applyFill="1" applyAlignment="1">
      <alignment horizontal="right" vertical="center"/>
    </xf>
    <xf numFmtId="0" fontId="30" fillId="2" borderId="0" xfId="52" applyFont="1" applyFill="1" applyAlignment="1">
      <alignment horizontal="right" vertical="center"/>
    </xf>
    <xf numFmtId="170" fontId="30" fillId="2" borderId="0" xfId="52" applyNumberFormat="1" applyFont="1" applyFill="1" applyAlignment="1">
      <alignment horizontal="right" vertical="center"/>
    </xf>
    <xf numFmtId="0" fontId="25" fillId="2" borderId="0" xfId="52" applyFont="1" applyFill="1" applyAlignment="1">
      <alignment vertical="center"/>
    </xf>
    <xf numFmtId="0" fontId="57" fillId="2" borderId="0" xfId="51" applyFont="1" applyFill="1" applyAlignment="1">
      <alignment vertical="center"/>
    </xf>
    <xf numFmtId="0" fontId="25" fillId="0" borderId="0" xfId="52" applyFont="1" applyAlignment="1">
      <alignment vertical="center"/>
    </xf>
    <xf numFmtId="0" fontId="11" fillId="2" borderId="0" xfId="52" applyFill="1" applyAlignment="1">
      <alignment horizontal="left" vertical="center"/>
    </xf>
    <xf numFmtId="0" fontId="38" fillId="2" borderId="0" xfId="51" applyFont="1" applyFill="1" applyAlignment="1">
      <alignment vertical="center"/>
    </xf>
    <xf numFmtId="0" fontId="11" fillId="2" borderId="5" xfId="52" applyFill="1" applyBorder="1" applyAlignment="1">
      <alignment vertical="center"/>
    </xf>
    <xf numFmtId="0" fontId="11" fillId="2" borderId="1" xfId="52" applyFill="1" applyBorder="1" applyAlignment="1">
      <alignment horizontal="left" vertical="center"/>
    </xf>
    <xf numFmtId="166" fontId="31" fillId="2" borderId="1" xfId="53" applyNumberFormat="1" applyFont="1" applyFill="1" applyBorder="1"/>
    <xf numFmtId="169" fontId="31" fillId="2" borderId="1" xfId="53" applyNumberFormat="1" applyFont="1" applyFill="1" applyBorder="1"/>
    <xf numFmtId="165" fontId="31" fillId="2" borderId="1" xfId="53" applyNumberFormat="1" applyFont="1" applyFill="1" applyBorder="1"/>
    <xf numFmtId="170" fontId="31" fillId="2" borderId="1" xfId="53" applyNumberFormat="1" applyFont="1" applyFill="1" applyBorder="1"/>
    <xf numFmtId="165" fontId="31" fillId="3" borderId="1" xfId="51" applyNumberFormat="1" applyFont="1" applyFill="1" applyBorder="1"/>
    <xf numFmtId="0" fontId="29" fillId="2" borderId="0" xfId="52" applyFont="1" applyFill="1" applyAlignment="1">
      <alignment horizontal="left" vertical="center"/>
    </xf>
    <xf numFmtId="170" fontId="29" fillId="2" borderId="0" xfId="52" applyNumberFormat="1" applyFont="1" applyFill="1" applyAlignment="1">
      <alignment horizontal="left" vertical="center"/>
    </xf>
    <xf numFmtId="169" fontId="29" fillId="2" borderId="0" xfId="52" applyNumberFormat="1" applyFont="1" applyFill="1" applyAlignment="1">
      <alignment horizontal="right" vertical="center"/>
    </xf>
    <xf numFmtId="167" fontId="29" fillId="2" borderId="0" xfId="52" applyNumberFormat="1" applyFont="1" applyFill="1" applyAlignment="1">
      <alignment horizontal="right" vertical="center"/>
    </xf>
    <xf numFmtId="170" fontId="29" fillId="2" borderId="0" xfId="52" applyNumberFormat="1" applyFont="1" applyFill="1" applyAlignment="1">
      <alignment horizontal="right" vertical="center"/>
    </xf>
    <xf numFmtId="169" fontId="29" fillId="2" borderId="0" xfId="52" applyNumberFormat="1" applyFont="1" applyFill="1" applyAlignment="1">
      <alignment vertical="center"/>
    </xf>
    <xf numFmtId="167" fontId="29" fillId="2" borderId="0" xfId="52" applyNumberFormat="1" applyFont="1" applyFill="1" applyAlignment="1">
      <alignment vertical="center"/>
    </xf>
    <xf numFmtId="170" fontId="11" fillId="2" borderId="0" xfId="52" applyNumberFormat="1" applyFill="1" applyAlignment="1">
      <alignment vertical="center"/>
    </xf>
    <xf numFmtId="0" fontId="48" fillId="2" borderId="0" xfId="52" applyFont="1" applyFill="1" applyAlignment="1">
      <alignment vertical="center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169" fontId="31" fillId="2" borderId="0" xfId="53" applyNumberFormat="1" applyFont="1" applyFill="1" applyAlignment="1">
      <alignment horizontal="left" vertical="top" justifyLastLine="1"/>
    </xf>
    <xf numFmtId="170" fontId="11" fillId="2" borderId="0" xfId="52" applyNumberFormat="1" applyFill="1" applyAlignment="1">
      <alignment horizontal="left" vertical="center"/>
    </xf>
    <xf numFmtId="169" fontId="11" fillId="2" borderId="0" xfId="52" applyNumberFormat="1" applyFill="1" applyAlignment="1">
      <alignment vertical="center"/>
    </xf>
    <xf numFmtId="0" fontId="28" fillId="0" borderId="0" xfId="56" applyFont="1"/>
    <xf numFmtId="170" fontId="28" fillId="0" borderId="0" xfId="56" applyNumberFormat="1" applyFont="1"/>
    <xf numFmtId="169" fontId="28" fillId="0" borderId="0" xfId="56" applyNumberFormat="1" applyFont="1"/>
    <xf numFmtId="0" fontId="31" fillId="2" borderId="0" xfId="13" applyFont="1" applyFill="1" applyAlignment="1">
      <alignment horizontal="left" vertical="center"/>
    </xf>
    <xf numFmtId="0" fontId="31" fillId="2" borderId="0" xfId="13" applyFont="1" applyFill="1" applyAlignment="1">
      <alignment vertical="center"/>
    </xf>
    <xf numFmtId="0" fontId="32" fillId="2" borderId="0" xfId="13" applyFont="1" applyFill="1" applyAlignment="1">
      <alignment vertical="center"/>
    </xf>
    <xf numFmtId="0" fontId="26" fillId="2" borderId="0" xfId="13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26" fillId="0" borderId="1" xfId="13" applyFont="1" applyBorder="1" applyAlignment="1">
      <alignment horizontal="right"/>
    </xf>
    <xf numFmtId="0" fontId="37" fillId="0" borderId="0" xfId="13"/>
    <xf numFmtId="0" fontId="57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170" fontId="32" fillId="0" borderId="1" xfId="2" applyNumberFormat="1" applyFont="1" applyBorder="1" applyAlignment="1">
      <alignment horizontal="right" vertical="center" wrapText="1"/>
    </xf>
    <xf numFmtId="0" fontId="70" fillId="0" borderId="0" xfId="2" applyFont="1"/>
    <xf numFmtId="0" fontId="28" fillId="0" borderId="0" xfId="60" applyFont="1"/>
    <xf numFmtId="170" fontId="28" fillId="0" borderId="0" xfId="60" applyNumberFormat="1" applyFont="1"/>
    <xf numFmtId="169" fontId="28" fillId="0" borderId="0" xfId="60" applyNumberFormat="1" applyFont="1"/>
    <xf numFmtId="0" fontId="31" fillId="0" borderId="3" xfId="2" applyFont="1" applyBorder="1"/>
    <xf numFmtId="0" fontId="32" fillId="0" borderId="0" xfId="2" applyFont="1" applyAlignment="1">
      <alignment vertical="center"/>
    </xf>
    <xf numFmtId="0" fontId="32" fillId="0" borderId="1" xfId="2" applyFont="1" applyBorder="1" applyAlignment="1">
      <alignment vertical="center"/>
    </xf>
    <xf numFmtId="0" fontId="32" fillId="0" borderId="0" xfId="2" applyFont="1"/>
    <xf numFmtId="0" fontId="57" fillId="2" borderId="0" xfId="59" applyFont="1" applyFill="1" applyAlignment="1">
      <alignment vertical="center"/>
    </xf>
    <xf numFmtId="0" fontId="31" fillId="0" borderId="0" xfId="13" applyFont="1"/>
    <xf numFmtId="0" fontId="38" fillId="2" borderId="0" xfId="59" applyFont="1" applyFill="1" applyAlignment="1">
      <alignment vertical="center"/>
    </xf>
    <xf numFmtId="0" fontId="31" fillId="0" borderId="1" xfId="13" applyFont="1" applyBorder="1"/>
    <xf numFmtId="0" fontId="26" fillId="0" borderId="0" xfId="13" applyFont="1"/>
    <xf numFmtId="0" fontId="31" fillId="2" borderId="0" xfId="2" applyFont="1" applyFill="1" applyAlignment="1">
      <alignment horizontal="left" vertical="top" justifyLastLine="1"/>
    </xf>
    <xf numFmtId="0" fontId="68" fillId="0" borderId="0" xfId="13" applyFont="1"/>
    <xf numFmtId="0" fontId="28" fillId="0" borderId="0" xfId="63" applyFont="1"/>
    <xf numFmtId="170" fontId="28" fillId="0" borderId="0" xfId="63" applyNumberFormat="1" applyFont="1"/>
    <xf numFmtId="169" fontId="28" fillId="0" borderId="0" xfId="63" applyNumberFormat="1" applyFont="1"/>
    <xf numFmtId="0" fontId="70" fillId="0" borderId="0" xfId="13" applyFont="1"/>
    <xf numFmtId="0" fontId="32" fillId="0" borderId="0" xfId="13" applyFont="1" applyAlignment="1">
      <alignment vertical="center"/>
    </xf>
    <xf numFmtId="0" fontId="57" fillId="2" borderId="0" xfId="62" applyFont="1" applyFill="1" applyAlignment="1">
      <alignment vertical="center"/>
    </xf>
    <xf numFmtId="0" fontId="32" fillId="0" borderId="0" xfId="2" applyFont="1" applyAlignment="1">
      <alignment horizontal="left" indent="1"/>
    </xf>
    <xf numFmtId="0" fontId="31" fillId="2" borderId="0" xfId="2" applyFont="1" applyFill="1" applyAlignment="1">
      <alignment horizontal="left" indent="2"/>
    </xf>
    <xf numFmtId="0" fontId="38" fillId="2" borderId="0" xfId="62" applyFont="1" applyFill="1" applyAlignment="1">
      <alignment vertical="center"/>
    </xf>
    <xf numFmtId="0" fontId="34" fillId="0" borderId="0" xfId="13" applyFont="1"/>
    <xf numFmtId="0" fontId="26" fillId="0" borderId="1" xfId="13" applyFont="1" applyBorder="1"/>
    <xf numFmtId="171" fontId="31" fillId="2" borderId="0" xfId="2" applyNumberFormat="1" applyFont="1" applyFill="1" applyAlignment="1">
      <alignment horizontal="right" vertical="center"/>
    </xf>
    <xf numFmtId="171" fontId="32" fillId="2" borderId="0" xfId="2" applyNumberFormat="1" applyFont="1" applyFill="1" applyAlignment="1">
      <alignment horizontal="right" vertical="center"/>
    </xf>
    <xf numFmtId="171" fontId="31" fillId="7" borderId="0" xfId="0" applyNumberFormat="1" applyFont="1" applyFill="1" applyAlignment="1">
      <alignment horizontal="right" wrapText="1"/>
    </xf>
    <xf numFmtId="170" fontId="32" fillId="0" borderId="1" xfId="2" applyNumberFormat="1" applyFont="1" applyBorder="1" applyAlignment="1">
      <alignment horizontal="right" vertical="center" wrapText="1"/>
    </xf>
    <xf numFmtId="0" fontId="31" fillId="2" borderId="0" xfId="2" applyFont="1" applyFill="1" applyAlignment="1">
      <alignment horizontal="left" vertical="top" justifyLastLine="1"/>
    </xf>
    <xf numFmtId="0" fontId="68" fillId="0" borderId="0" xfId="66" applyFont="1"/>
    <xf numFmtId="170" fontId="28" fillId="2" borderId="0" xfId="66" applyNumberFormat="1" applyFont="1" applyFill="1" applyAlignment="1">
      <alignment horizontal="left" vertical="center"/>
    </xf>
    <xf numFmtId="168" fontId="28" fillId="0" borderId="0" xfId="66" applyNumberFormat="1" applyFont="1" applyAlignment="1">
      <alignment horizontal="left" vertical="center"/>
    </xf>
    <xf numFmtId="169" fontId="28" fillId="2" borderId="0" xfId="66" applyNumberFormat="1" applyFont="1" applyFill="1" applyAlignment="1">
      <alignment horizontal="left" vertical="center"/>
    </xf>
    <xf numFmtId="0" fontId="28" fillId="2" borderId="0" xfId="66" applyFont="1" applyFill="1" applyAlignment="1">
      <alignment horizontal="left" vertical="center"/>
    </xf>
    <xf numFmtId="169" fontId="68" fillId="2" borderId="0" xfId="66" applyNumberFormat="1" applyFont="1" applyFill="1"/>
    <xf numFmtId="170" fontId="68" fillId="2" borderId="0" xfId="66" applyNumberFormat="1" applyFont="1" applyFill="1"/>
    <xf numFmtId="0" fontId="68" fillId="2" borderId="0" xfId="66" applyFont="1" applyFill="1"/>
    <xf numFmtId="0" fontId="28" fillId="0" borderId="0" xfId="65" applyFont="1"/>
    <xf numFmtId="170" fontId="28" fillId="0" borderId="0" xfId="65" applyNumberFormat="1" applyFont="1"/>
    <xf numFmtId="168" fontId="28" fillId="0" borderId="0" xfId="65" applyNumberFormat="1" applyFont="1"/>
    <xf numFmtId="169" fontId="28" fillId="0" borderId="0" xfId="65" applyNumberFormat="1" applyFont="1"/>
    <xf numFmtId="168" fontId="68" fillId="0" borderId="0" xfId="66" applyNumberFormat="1" applyFont="1"/>
    <xf numFmtId="170" fontId="36" fillId="2" borderId="0" xfId="66" applyNumberFormat="1" applyFont="1" applyFill="1" applyAlignment="1">
      <alignment horizontal="left" vertical="top" wrapText="1"/>
    </xf>
    <xf numFmtId="169" fontId="36" fillId="2" borderId="0" xfId="66" applyNumberFormat="1" applyFont="1" applyFill="1" applyAlignment="1">
      <alignment horizontal="left" vertical="top" wrapText="1"/>
    </xf>
    <xf numFmtId="0" fontId="36" fillId="2" borderId="0" xfId="66" applyFont="1" applyFill="1" applyAlignment="1">
      <alignment horizontal="left" vertical="top" wrapText="1"/>
    </xf>
    <xf numFmtId="0" fontId="52" fillId="2" borderId="1" xfId="66" applyFont="1" applyFill="1" applyBorder="1"/>
    <xf numFmtId="0" fontId="52" fillId="0" borderId="0" xfId="66" applyFont="1"/>
    <xf numFmtId="170" fontId="26" fillId="2" borderId="0" xfId="66" applyNumberFormat="1" applyFont="1" applyFill="1"/>
    <xf numFmtId="168" fontId="26" fillId="0" borderId="0" xfId="66" applyNumberFormat="1" applyFont="1"/>
    <xf numFmtId="169" fontId="26" fillId="2" borderId="0" xfId="66" applyNumberFormat="1" applyFont="1" applyFill="1"/>
    <xf numFmtId="0" fontId="26" fillId="2" borderId="0" xfId="66" applyFont="1" applyFill="1"/>
    <xf numFmtId="170" fontId="52" fillId="2" borderId="0" xfId="66" applyNumberFormat="1" applyFont="1" applyFill="1"/>
    <xf numFmtId="169" fontId="52" fillId="2" borderId="0" xfId="66" applyNumberFormat="1" applyFont="1" applyFill="1"/>
    <xf numFmtId="0" fontId="7" fillId="2" borderId="0" xfId="66" applyFill="1"/>
    <xf numFmtId="168" fontId="32" fillId="0" borderId="3" xfId="66" applyNumberFormat="1" applyFont="1" applyBorder="1" applyAlignment="1">
      <alignment horizontal="right" vertical="center" wrapText="1"/>
    </xf>
    <xf numFmtId="0" fontId="32" fillId="0" borderId="3" xfId="66" applyFont="1" applyBorder="1" applyAlignment="1">
      <alignment vertical="center" wrapText="1"/>
    </xf>
    <xf numFmtId="168" fontId="32" fillId="0" borderId="0" xfId="66" applyNumberFormat="1" applyFont="1" applyAlignment="1">
      <alignment horizontal="right" vertical="center" wrapText="1"/>
    </xf>
    <xf numFmtId="0" fontId="32" fillId="2" borderId="0" xfId="66" applyFont="1" applyFill="1" applyAlignment="1">
      <alignment horizontal="center" vertical="center"/>
    </xf>
    <xf numFmtId="168" fontId="32" fillId="0" borderId="1" xfId="66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right" vertical="center"/>
    </xf>
    <xf numFmtId="168" fontId="52" fillId="0" borderId="0" xfId="66" applyNumberFormat="1" applyFont="1"/>
    <xf numFmtId="0" fontId="52" fillId="2" borderId="0" xfId="66" applyFont="1" applyFill="1"/>
    <xf numFmtId="0" fontId="31" fillId="4" borderId="0" xfId="11" applyFont="1" applyFill="1"/>
    <xf numFmtId="0" fontId="56" fillId="0" borderId="0" xfId="66" applyFont="1"/>
    <xf numFmtId="168" fontId="79" fillId="2" borderId="0" xfId="67" applyNumberFormat="1" applyFont="1" applyFill="1" applyAlignment="1">
      <alignment vertical="center"/>
    </xf>
    <xf numFmtId="0" fontId="79" fillId="2" borderId="0" xfId="67" applyFont="1" applyFill="1" applyAlignment="1">
      <alignment vertical="center"/>
    </xf>
    <xf numFmtId="0" fontId="56" fillId="2" borderId="0" xfId="66" applyFont="1" applyFill="1"/>
    <xf numFmtId="0" fontId="25" fillId="2" borderId="0" xfId="66" applyFont="1" applyFill="1"/>
    <xf numFmtId="168" fontId="35" fillId="2" borderId="0" xfId="67" applyNumberFormat="1" applyFont="1" applyFill="1" applyAlignment="1">
      <alignment vertical="center"/>
    </xf>
    <xf numFmtId="0" fontId="35" fillId="2" borderId="0" xfId="67" applyFont="1" applyFill="1" applyAlignment="1">
      <alignment vertical="center"/>
    </xf>
    <xf numFmtId="0" fontId="56" fillId="0" borderId="1" xfId="66" applyFont="1" applyBorder="1"/>
    <xf numFmtId="168" fontId="31" fillId="0" borderId="1" xfId="66" applyNumberFormat="1" applyFont="1" applyBorder="1"/>
    <xf numFmtId="169" fontId="31" fillId="2" borderId="1" xfId="66" applyNumberFormat="1" applyFont="1" applyFill="1" applyBorder="1"/>
    <xf numFmtId="165" fontId="31" fillId="2" borderId="1" xfId="66" applyNumberFormat="1" applyFont="1" applyFill="1" applyBorder="1"/>
    <xf numFmtId="170" fontId="31" fillId="2" borderId="1" xfId="66" applyNumberFormat="1" applyFont="1" applyFill="1" applyBorder="1"/>
    <xf numFmtId="165" fontId="31" fillId="3" borderId="1" xfId="65" applyNumberFormat="1" applyFont="1" applyFill="1" applyBorder="1"/>
    <xf numFmtId="170" fontId="31" fillId="3" borderId="1" xfId="65" applyNumberFormat="1" applyFont="1" applyFill="1" applyBorder="1"/>
    <xf numFmtId="169" fontId="31" fillId="3" borderId="1" xfId="65" applyNumberFormat="1" applyFont="1" applyFill="1" applyBorder="1"/>
    <xf numFmtId="170" fontId="56" fillId="2" borderId="1" xfId="66" applyNumberFormat="1" applyFont="1" applyFill="1" applyBorder="1"/>
    <xf numFmtId="169" fontId="56" fillId="2" borderId="1" xfId="66" applyNumberFormat="1" applyFont="1" applyFill="1" applyBorder="1"/>
    <xf numFmtId="170" fontId="53" fillId="2" borderId="0" xfId="66" applyNumberFormat="1" applyFont="1" applyFill="1"/>
    <xf numFmtId="169" fontId="53" fillId="2" borderId="0" xfId="66" applyNumberFormat="1" applyFont="1" applyFill="1"/>
    <xf numFmtId="0" fontId="48" fillId="2" borderId="0" xfId="66" applyFont="1" applyFill="1"/>
    <xf numFmtId="0" fontId="31" fillId="2" borderId="0" xfId="65" applyFont="1" applyFill="1" applyAlignment="1">
      <alignment vertical="center"/>
    </xf>
    <xf numFmtId="0" fontId="31" fillId="0" borderId="0" xfId="2" applyFont="1" applyAlignment="1">
      <alignment horizontal="left" vertical="top" justifyLastLine="1"/>
    </xf>
    <xf numFmtId="168" fontId="31" fillId="0" borderId="0" xfId="2" applyNumberFormat="1" applyFont="1" applyAlignment="1">
      <alignment horizontal="left" vertical="top" justifyLastLine="1"/>
    </xf>
    <xf numFmtId="0" fontId="7" fillId="0" borderId="0" xfId="66"/>
    <xf numFmtId="170" fontId="7" fillId="2" borderId="0" xfId="66" applyNumberFormat="1" applyFill="1"/>
    <xf numFmtId="168" fontId="7" fillId="0" borderId="0" xfId="66" applyNumberFormat="1"/>
    <xf numFmtId="169" fontId="7" fillId="2" borderId="0" xfId="66" applyNumberFormat="1" applyFill="1"/>
    <xf numFmtId="170" fontId="32" fillId="0" borderId="1" xfId="2" applyNumberFormat="1" applyFont="1" applyBorder="1" applyAlignment="1">
      <alignment horizontal="right" vertical="center" wrapText="1"/>
    </xf>
    <xf numFmtId="0" fontId="28" fillId="0" borderId="0" xfId="69" applyFont="1"/>
    <xf numFmtId="170" fontId="28" fillId="0" borderId="0" xfId="69" applyNumberFormat="1" applyFont="1"/>
    <xf numFmtId="169" fontId="28" fillId="0" borderId="0" xfId="69" applyNumberFormat="1" applyFont="1"/>
    <xf numFmtId="0" fontId="32" fillId="2" borderId="0" xfId="70" applyFont="1" applyFill="1" applyAlignment="1">
      <alignment horizontal="center" vertical="center"/>
    </xf>
    <xf numFmtId="0" fontId="32" fillId="2" borderId="3" xfId="70" applyFont="1" applyFill="1" applyBorder="1" applyAlignment="1">
      <alignment horizontal="center" vertical="center"/>
    </xf>
    <xf numFmtId="170" fontId="79" fillId="2" borderId="0" xfId="68" applyNumberFormat="1" applyFont="1" applyFill="1" applyAlignment="1">
      <alignment vertical="center"/>
    </xf>
    <xf numFmtId="0" fontId="79" fillId="2" borderId="0" xfId="68" applyFont="1" applyFill="1" applyAlignment="1">
      <alignment vertical="center"/>
    </xf>
    <xf numFmtId="0" fontId="35" fillId="2" borderId="0" xfId="68" applyFont="1" applyFill="1" applyAlignment="1">
      <alignment vertical="center"/>
    </xf>
    <xf numFmtId="170" fontId="35" fillId="2" borderId="0" xfId="68" applyNumberFormat="1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2" borderId="2" xfId="25" applyFont="1" applyFill="1" applyBorder="1" applyAlignment="1">
      <alignment horizontal="center" vertical="center"/>
    </xf>
    <xf numFmtId="0" fontId="28" fillId="0" borderId="0" xfId="72" applyFont="1"/>
    <xf numFmtId="170" fontId="28" fillId="0" borderId="0" xfId="72" applyNumberFormat="1" applyFont="1"/>
    <xf numFmtId="169" fontId="28" fillId="0" borderId="0" xfId="72" applyNumberFormat="1" applyFont="1"/>
    <xf numFmtId="170" fontId="57" fillId="2" borderId="0" xfId="73" applyNumberFormat="1" applyFont="1" applyFill="1" applyAlignment="1">
      <alignment vertical="center"/>
    </xf>
    <xf numFmtId="0" fontId="57" fillId="2" borderId="0" xfId="73" applyFont="1" applyFill="1" applyAlignment="1">
      <alignment vertical="center"/>
    </xf>
    <xf numFmtId="170" fontId="38" fillId="2" borderId="0" xfId="73" applyNumberFormat="1" applyFont="1" applyFill="1" applyAlignment="1">
      <alignment vertical="center"/>
    </xf>
    <xf numFmtId="0" fontId="38" fillId="2" borderId="0" xfId="73" applyFont="1" applyFill="1" applyAlignment="1">
      <alignment vertical="center"/>
    </xf>
    <xf numFmtId="170" fontId="32" fillId="2" borderId="1" xfId="2" applyNumberFormat="1" applyFont="1" applyFill="1" applyBorder="1" applyAlignment="1">
      <alignment horizontal="right" vertical="center" wrapText="1"/>
    </xf>
    <xf numFmtId="0" fontId="36" fillId="2" borderId="0" xfId="14" applyFont="1" applyFill="1" applyAlignment="1">
      <alignment vertical="center" wrapText="1"/>
    </xf>
    <xf numFmtId="0" fontId="28" fillId="2" borderId="0" xfId="75" applyFont="1" applyFill="1"/>
    <xf numFmtId="170" fontId="28" fillId="2" borderId="0" xfId="75" applyNumberFormat="1" applyFont="1" applyFill="1"/>
    <xf numFmtId="169" fontId="28" fillId="2" borderId="0" xfId="75" applyNumberFormat="1" applyFont="1" applyFill="1"/>
    <xf numFmtId="0" fontId="26" fillId="2" borderId="0" xfId="2" applyFill="1"/>
    <xf numFmtId="170" fontId="26" fillId="2" borderId="0" xfId="2" applyNumberFormat="1" applyFill="1"/>
    <xf numFmtId="170" fontId="26" fillId="2" borderId="0" xfId="2" applyNumberFormat="1" applyFill="1" applyAlignment="1">
      <alignment horizontal="left" vertical="center"/>
    </xf>
    <xf numFmtId="169" fontId="26" fillId="2" borderId="0" xfId="2" applyNumberFormat="1" applyFill="1" applyAlignment="1">
      <alignment horizontal="left" vertical="center"/>
    </xf>
    <xf numFmtId="0" fontId="79" fillId="2" borderId="0" xfId="76" applyFont="1" applyFill="1" applyAlignment="1">
      <alignment vertical="center"/>
    </xf>
    <xf numFmtId="0" fontId="35" fillId="2" borderId="0" xfId="76" applyFont="1" applyFill="1" applyAlignment="1">
      <alignment vertical="center"/>
    </xf>
    <xf numFmtId="0" fontId="28" fillId="0" borderId="0" xfId="78" applyFont="1"/>
    <xf numFmtId="170" fontId="28" fillId="0" borderId="0" xfId="78" applyNumberFormat="1" applyFont="1"/>
    <xf numFmtId="169" fontId="28" fillId="0" borderId="0" xfId="78" applyNumberFormat="1" applyFont="1"/>
    <xf numFmtId="0" fontId="79" fillId="2" borderId="0" xfId="79" applyFont="1" applyFill="1" applyAlignment="1">
      <alignment vertical="center"/>
    </xf>
    <xf numFmtId="0" fontId="35" fillId="2" borderId="0" xfId="79" applyFont="1" applyFill="1" applyAlignment="1">
      <alignment vertical="center"/>
    </xf>
    <xf numFmtId="0" fontId="35" fillId="0" borderId="0" xfId="79" applyFont="1" applyAlignment="1">
      <alignment vertical="center"/>
    </xf>
    <xf numFmtId="170" fontId="37" fillId="0" borderId="0" xfId="13" applyNumberFormat="1"/>
    <xf numFmtId="169" fontId="37" fillId="0" borderId="0" xfId="13" applyNumberFormat="1"/>
    <xf numFmtId="0" fontId="57" fillId="2" borderId="0" xfId="79" applyFont="1" applyFill="1" applyAlignment="1">
      <alignment vertical="center"/>
    </xf>
    <xf numFmtId="0" fontId="57" fillId="0" borderId="0" xfId="79" applyFont="1" applyAlignment="1">
      <alignment vertical="center"/>
    </xf>
    <xf numFmtId="0" fontId="38" fillId="2" borderId="0" xfId="79" applyFont="1" applyFill="1" applyAlignment="1">
      <alignment vertical="center"/>
    </xf>
    <xf numFmtId="0" fontId="38" fillId="0" borderId="0" xfId="79" applyFont="1" applyAlignment="1">
      <alignment vertical="center"/>
    </xf>
    <xf numFmtId="0" fontId="31" fillId="0" borderId="0" xfId="2" applyFont="1" applyAlignment="1">
      <alignment horizontal="left" indent="1"/>
    </xf>
    <xf numFmtId="171" fontId="31" fillId="0" borderId="0" xfId="0" applyNumberFormat="1" applyFont="1" applyAlignment="1">
      <alignment horizontal="right" wrapText="1"/>
    </xf>
    <xf numFmtId="171" fontId="31" fillId="0" borderId="0" xfId="0" applyNumberFormat="1" applyFont="1" applyAlignment="1">
      <alignment horizontal="right"/>
    </xf>
    <xf numFmtId="171" fontId="32" fillId="0" borderId="0" xfId="0" applyNumberFormat="1" applyFont="1" applyAlignment="1">
      <alignment horizontal="right" wrapText="1"/>
    </xf>
    <xf numFmtId="0" fontId="28" fillId="2" borderId="0" xfId="81" applyFont="1" applyFill="1"/>
    <xf numFmtId="170" fontId="28" fillId="2" borderId="0" xfId="81" applyNumberFormat="1" applyFont="1" applyFill="1"/>
    <xf numFmtId="169" fontId="28" fillId="2" borderId="0" xfId="81" applyNumberFormat="1" applyFont="1" applyFill="1"/>
    <xf numFmtId="169" fontId="57" fillId="2" borderId="0" xfId="82" applyNumberFormat="1" applyFont="1" applyFill="1" applyAlignment="1">
      <alignment vertical="center"/>
    </xf>
    <xf numFmtId="169" fontId="38" fillId="2" borderId="0" xfId="82" applyNumberFormat="1" applyFont="1" applyFill="1" applyAlignment="1">
      <alignment vertical="center"/>
    </xf>
    <xf numFmtId="171" fontId="70" fillId="2" borderId="0" xfId="2" applyNumberFormat="1" applyFont="1" applyFill="1" applyAlignment="1">
      <alignment horizontal="left" vertical="center"/>
    </xf>
    <xf numFmtId="171" fontId="28" fillId="2" borderId="0" xfId="12" applyNumberFormat="1" applyFont="1" applyFill="1"/>
    <xf numFmtId="171" fontId="31" fillId="2" borderId="0" xfId="2" applyNumberFormat="1" applyFont="1" applyFill="1" applyAlignment="1">
      <alignment horizontal="left" vertical="center"/>
    </xf>
    <xf numFmtId="171" fontId="31" fillId="2" borderId="0" xfId="0" applyNumberFormat="1" applyFont="1" applyFill="1"/>
    <xf numFmtId="171" fontId="31" fillId="2" borderId="1" xfId="2" applyNumberFormat="1" applyFont="1" applyFill="1" applyBorder="1" applyAlignment="1">
      <alignment horizontal="right" vertical="center"/>
    </xf>
    <xf numFmtId="171" fontId="31" fillId="2" borderId="0" xfId="2" applyNumberFormat="1" applyFont="1" applyFill="1" applyBorder="1"/>
    <xf numFmtId="171" fontId="31" fillId="2" borderId="0" xfId="2" applyNumberFormat="1" applyFont="1" applyFill="1"/>
    <xf numFmtId="171" fontId="60" fillId="0" borderId="0" xfId="11" applyNumberFormat="1" applyFont="1"/>
    <xf numFmtId="171" fontId="0" fillId="0" borderId="0" xfId="0" applyNumberFormat="1"/>
    <xf numFmtId="171" fontId="68" fillId="2" borderId="0" xfId="36" applyNumberFormat="1" applyFont="1" applyFill="1" applyAlignment="1">
      <alignment vertical="center"/>
    </xf>
    <xf numFmtId="171" fontId="28" fillId="0" borderId="0" xfId="35" applyNumberFormat="1" applyFont="1"/>
    <xf numFmtId="171" fontId="37" fillId="2" borderId="0" xfId="36" applyNumberFormat="1" applyFont="1" applyFill="1" applyAlignment="1">
      <alignment vertical="center"/>
    </xf>
    <xf numFmtId="171" fontId="30" fillId="2" borderId="0" xfId="36" applyNumberFormat="1" applyFont="1" applyFill="1" applyAlignment="1">
      <alignment horizontal="center" vertical="center" wrapText="1"/>
    </xf>
    <xf numFmtId="171" fontId="31" fillId="2" borderId="1" xfId="2" applyNumberFormat="1" applyFont="1" applyFill="1" applyBorder="1" applyAlignment="1">
      <alignment horizontal="right"/>
    </xf>
    <xf numFmtId="171" fontId="29" fillId="2" borderId="0" xfId="36" applyNumberFormat="1" applyFont="1" applyFill="1" applyAlignment="1">
      <alignment horizontal="right" vertical="center"/>
    </xf>
    <xf numFmtId="171" fontId="47" fillId="2" borderId="0" xfId="2" applyNumberFormat="1" applyFont="1" applyFill="1" applyAlignment="1">
      <alignment wrapText="1"/>
    </xf>
    <xf numFmtId="171" fontId="47" fillId="2" borderId="0" xfId="2" applyNumberFormat="1" applyFont="1" applyFill="1" applyAlignment="1">
      <alignment horizontal="left" wrapText="1"/>
    </xf>
    <xf numFmtId="171" fontId="14" fillId="2" borderId="0" xfId="36" applyNumberFormat="1" applyFill="1" applyAlignment="1">
      <alignment vertical="center"/>
    </xf>
    <xf numFmtId="0" fontId="32" fillId="2" borderId="2" xfId="25" applyFont="1" applyFill="1" applyBorder="1" applyAlignment="1">
      <alignment horizontal="center" vertical="center"/>
    </xf>
    <xf numFmtId="171" fontId="76" fillId="2" borderId="0" xfId="32" applyNumberFormat="1" applyFont="1" applyFill="1" applyAlignment="1" applyProtection="1">
      <alignment horizontal="right"/>
    </xf>
    <xf numFmtId="171" fontId="70" fillId="2" borderId="0" xfId="0" applyNumberFormat="1" applyFont="1" applyFill="1" applyAlignment="1">
      <alignment horizontal="right"/>
    </xf>
    <xf numFmtId="171" fontId="29" fillId="2" borderId="0" xfId="37" applyNumberFormat="1" applyFont="1" applyFill="1" applyBorder="1" applyAlignment="1">
      <alignment horizontal="right" vertical="center"/>
    </xf>
    <xf numFmtId="171" fontId="14" fillId="0" borderId="0" xfId="36" applyNumberFormat="1" applyAlignment="1">
      <alignment vertical="center"/>
    </xf>
    <xf numFmtId="171" fontId="29" fillId="2" borderId="3" xfId="36" applyNumberFormat="1" applyFont="1" applyFill="1" applyBorder="1" applyAlignment="1">
      <alignment horizontal="right" vertical="center" wrapText="1"/>
    </xf>
    <xf numFmtId="171" fontId="29" fillId="2" borderId="0" xfId="36" applyNumberFormat="1" applyFont="1" applyFill="1" applyAlignment="1">
      <alignment horizontal="right" vertical="center" wrapText="1"/>
    </xf>
    <xf numFmtId="171" fontId="30" fillId="2" borderId="0" xfId="35" applyNumberFormat="1" applyFont="1" applyFill="1" applyAlignment="1">
      <alignment horizontal="center" vertical="center" wrapText="1"/>
    </xf>
    <xf numFmtId="171" fontId="25" fillId="0" borderId="0" xfId="36" applyNumberFormat="1" applyFont="1" applyAlignment="1">
      <alignment vertical="center"/>
    </xf>
    <xf numFmtId="171" fontId="25" fillId="2" borderId="0" xfId="36" applyNumberFormat="1" applyFont="1" applyFill="1" applyAlignment="1">
      <alignment vertical="center"/>
    </xf>
    <xf numFmtId="171" fontId="29" fillId="2" borderId="1" xfId="36" applyNumberFormat="1" applyFont="1" applyFill="1" applyBorder="1" applyAlignment="1">
      <alignment horizontal="right" vertical="center" wrapText="1"/>
    </xf>
    <xf numFmtId="171" fontId="51" fillId="0" borderId="1" xfId="0" applyNumberFormat="1" applyFont="1" applyBorder="1" applyAlignment="1">
      <alignment horizontal="right" vertical="center"/>
    </xf>
    <xf numFmtId="171" fontId="29" fillId="0" borderId="1" xfId="36" applyNumberFormat="1" applyFont="1" applyBorder="1" applyAlignment="1">
      <alignment horizontal="right" vertical="center"/>
    </xf>
    <xf numFmtId="171" fontId="14" fillId="0" borderId="1" xfId="36" applyNumberFormat="1" applyBorder="1" applyAlignment="1">
      <alignment horizontal="right" vertical="center"/>
    </xf>
    <xf numFmtId="171" fontId="32" fillId="0" borderId="1" xfId="0" applyNumberFormat="1" applyFont="1" applyBorder="1" applyAlignment="1">
      <alignment horizontal="right" vertical="center"/>
    </xf>
    <xf numFmtId="171" fontId="30" fillId="2" borderId="0" xfId="36" applyNumberFormat="1" applyFont="1" applyFill="1" applyAlignment="1">
      <alignment horizontal="center" vertical="center"/>
    </xf>
    <xf numFmtId="171" fontId="30" fillId="2" borderId="0" xfId="36" applyNumberFormat="1" applyFont="1" applyFill="1" applyAlignment="1">
      <alignment horizontal="right" vertical="center"/>
    </xf>
    <xf numFmtId="171" fontId="57" fillId="2" borderId="0" xfId="35" applyNumberFormat="1" applyFont="1" applyFill="1" applyAlignment="1">
      <alignment vertical="center"/>
    </xf>
    <xf numFmtId="171" fontId="38" fillId="2" borderId="0" xfId="35" applyNumberFormat="1" applyFont="1" applyFill="1" applyAlignment="1">
      <alignment vertical="center"/>
    </xf>
    <xf numFmtId="171" fontId="31" fillId="2" borderId="1" xfId="36" applyNumberFormat="1" applyFont="1" applyFill="1" applyBorder="1"/>
    <xf numFmtId="171" fontId="29" fillId="2" borderId="0" xfId="36" applyNumberFormat="1" applyFont="1" applyFill="1" applyAlignment="1">
      <alignment vertical="center"/>
    </xf>
    <xf numFmtId="0" fontId="68" fillId="0" borderId="0" xfId="83" applyFont="1"/>
    <xf numFmtId="169" fontId="68" fillId="0" borderId="0" xfId="83" applyNumberFormat="1" applyFont="1" applyAlignment="1">
      <alignment horizontal="center"/>
    </xf>
    <xf numFmtId="169" fontId="68" fillId="0" borderId="0" xfId="83" applyNumberFormat="1" applyFont="1"/>
    <xf numFmtId="0" fontId="28" fillId="0" borderId="0" xfId="83" applyFont="1"/>
    <xf numFmtId="169" fontId="28" fillId="0" borderId="0" xfId="83" applyNumberFormat="1" applyFont="1"/>
    <xf numFmtId="0" fontId="68" fillId="0" borderId="0" xfId="83" applyFont="1" applyAlignment="1">
      <alignment horizontal="left"/>
    </xf>
    <xf numFmtId="169" fontId="68" fillId="2" borderId="0" xfId="83" applyNumberFormat="1" applyFont="1" applyFill="1"/>
    <xf numFmtId="0" fontId="68" fillId="0" borderId="0" xfId="84" applyFont="1" applyAlignment="1">
      <alignment vertical="center"/>
    </xf>
    <xf numFmtId="0" fontId="1" fillId="0" borderId="1" xfId="83" applyBorder="1"/>
    <xf numFmtId="0" fontId="1" fillId="0" borderId="0" xfId="83" applyAlignment="1">
      <alignment horizontal="left"/>
    </xf>
    <xf numFmtId="169" fontId="1" fillId="0" borderId="0" xfId="83" applyNumberFormat="1" applyAlignment="1">
      <alignment horizontal="center"/>
    </xf>
    <xf numFmtId="169" fontId="1" fillId="0" borderId="0" xfId="83" applyNumberFormat="1"/>
    <xf numFmtId="0" fontId="1" fillId="0" borderId="0" xfId="83"/>
    <xf numFmtId="169" fontId="30" fillId="2" borderId="3" xfId="83" applyNumberFormat="1" applyFont="1" applyFill="1" applyBorder="1" applyAlignment="1">
      <alignment horizontal="center" vertical="center" wrapText="1"/>
    </xf>
    <xf numFmtId="0" fontId="1" fillId="0" borderId="0" xfId="84" applyAlignment="1">
      <alignment vertical="center"/>
    </xf>
    <xf numFmtId="169" fontId="30" fillId="2" borderId="0" xfId="83" applyNumberFormat="1" applyFont="1" applyFill="1" applyAlignment="1">
      <alignment horizontal="center" vertical="center" wrapText="1"/>
    </xf>
    <xf numFmtId="169" fontId="29" fillId="2" borderId="0" xfId="13" applyNumberFormat="1" applyFont="1" applyFill="1" applyAlignment="1">
      <alignment vertical="center"/>
    </xf>
    <xf numFmtId="169" fontId="30" fillId="2" borderId="0" xfId="13" applyNumberFormat="1" applyFont="1" applyFill="1" applyAlignment="1">
      <alignment vertical="center"/>
    </xf>
    <xf numFmtId="169" fontId="30" fillId="2" borderId="1" xfId="83" applyNumberFormat="1" applyFont="1" applyFill="1" applyBorder="1" applyAlignment="1">
      <alignment horizontal="center" vertical="center" wrapText="1"/>
    </xf>
    <xf numFmtId="169" fontId="32" fillId="2" borderId="1" xfId="83" applyNumberFormat="1" applyFont="1" applyFill="1" applyBorder="1" applyAlignment="1">
      <alignment horizontal="right" vertical="center" wrapText="1"/>
    </xf>
    <xf numFmtId="0" fontId="31" fillId="2" borderId="0" xfId="83" applyFont="1" applyFill="1" applyAlignment="1">
      <alignment horizontal="right" vertical="center" wrapText="1"/>
    </xf>
    <xf numFmtId="0" fontId="30" fillId="0" borderId="0" xfId="83" applyFont="1" applyAlignment="1">
      <alignment horizontal="left" vertical="center" wrapText="1"/>
    </xf>
    <xf numFmtId="169" fontId="30" fillId="0" borderId="0" xfId="83" applyNumberFormat="1" applyFont="1" applyAlignment="1">
      <alignment horizontal="center" vertical="center" wrapText="1"/>
    </xf>
    <xf numFmtId="169" fontId="32" fillId="0" borderId="0" xfId="83" applyNumberFormat="1" applyFont="1" applyAlignment="1">
      <alignment horizontal="center" vertical="center" wrapText="1"/>
    </xf>
    <xf numFmtId="169" fontId="32" fillId="0" borderId="0" xfId="0" applyNumberFormat="1" applyFont="1" applyAlignment="1">
      <alignment horizontal="right" wrapText="1"/>
    </xf>
    <xf numFmtId="169" fontId="57" fillId="0" borderId="0" xfId="86" applyNumberFormat="1" applyFont="1" applyAlignment="1">
      <alignment vertical="center"/>
    </xf>
    <xf numFmtId="169" fontId="31" fillId="0" borderId="0" xfId="0" applyNumberFormat="1" applyFont="1"/>
    <xf numFmtId="166" fontId="31" fillId="0" borderId="0" xfId="83" applyNumberFormat="1" applyFont="1"/>
    <xf numFmtId="169" fontId="31" fillId="0" borderId="0" xfId="0" applyNumberFormat="1" applyFont="1" applyAlignment="1">
      <alignment horizontal="right" wrapText="1"/>
    </xf>
    <xf numFmtId="169" fontId="38" fillId="0" borderId="0" xfId="86" applyNumberFormat="1" applyFont="1" applyAlignment="1">
      <alignment vertical="center"/>
    </xf>
    <xf numFmtId="169" fontId="31" fillId="0" borderId="0" xfId="0" applyNumberFormat="1" applyFont="1" applyAlignment="1">
      <alignment horizontal="right"/>
    </xf>
    <xf numFmtId="0" fontId="1" fillId="0" borderId="5" xfId="83" applyBorder="1"/>
    <xf numFmtId="0" fontId="1" fillId="0" borderId="1" xfId="83" applyBorder="1" applyAlignment="1">
      <alignment horizontal="left"/>
    </xf>
    <xf numFmtId="169" fontId="31" fillId="2" borderId="1" xfId="2" applyNumberFormat="1" applyFont="1" applyFill="1" applyBorder="1" applyAlignment="1">
      <alignment horizontal="right"/>
    </xf>
    <xf numFmtId="169" fontId="31" fillId="2" borderId="1" xfId="84" applyNumberFormat="1" applyFont="1" applyFill="1" applyBorder="1"/>
    <xf numFmtId="169" fontId="31" fillId="3" borderId="1" xfId="83" applyNumberFormat="1" applyFont="1" applyFill="1" applyBorder="1"/>
    <xf numFmtId="169" fontId="31" fillId="2" borderId="1" xfId="85" applyNumberFormat="1" applyFont="1" applyFill="1" applyBorder="1"/>
    <xf numFmtId="169" fontId="31" fillId="2" borderId="0" xfId="2" applyNumberFormat="1" applyFont="1" applyFill="1" applyAlignment="1">
      <alignment horizontal="right"/>
    </xf>
    <xf numFmtId="169" fontId="31" fillId="2" borderId="0" xfId="84" applyNumberFormat="1" applyFont="1" applyFill="1"/>
    <xf numFmtId="169" fontId="31" fillId="3" borderId="0" xfId="83" applyNumberFormat="1" applyFont="1" applyFill="1"/>
    <xf numFmtId="169" fontId="31" fillId="2" borderId="0" xfId="85" applyNumberFormat="1" applyFont="1" applyFill="1"/>
    <xf numFmtId="0" fontId="53" fillId="0" borderId="0" xfId="83" applyFont="1" applyAlignment="1">
      <alignment horizontal="left"/>
    </xf>
    <xf numFmtId="0" fontId="48" fillId="0" borderId="0" xfId="83" applyFont="1"/>
    <xf numFmtId="167" fontId="70" fillId="2" borderId="0" xfId="2" applyNumberFormat="1" applyFont="1" applyFill="1" applyAlignment="1">
      <alignment horizontal="left" vertical="center"/>
    </xf>
    <xf numFmtId="167" fontId="68" fillId="2" borderId="0" xfId="13" applyNumberFormat="1" applyFont="1" applyFill="1"/>
    <xf numFmtId="0" fontId="28" fillId="0" borderId="0" xfId="88" applyFont="1"/>
    <xf numFmtId="167" fontId="28" fillId="0" borderId="0" xfId="88" applyNumberFormat="1" applyFont="1"/>
    <xf numFmtId="169" fontId="28" fillId="0" borderId="0" xfId="88" applyNumberFormat="1" applyFont="1"/>
    <xf numFmtId="0" fontId="81" fillId="4" borderId="0" xfId="13" applyFont="1" applyFill="1" applyAlignment="1">
      <alignment horizontal="left" vertical="center"/>
    </xf>
    <xf numFmtId="167" fontId="36" fillId="2" borderId="0" xfId="14" applyNumberFormat="1" applyFont="1" applyFill="1" applyAlignment="1">
      <alignment vertical="top"/>
    </xf>
    <xf numFmtId="167" fontId="31" fillId="2" borderId="0" xfId="2" applyNumberFormat="1" applyFont="1" applyFill="1" applyAlignment="1">
      <alignment horizontal="left" vertical="center"/>
    </xf>
    <xf numFmtId="167" fontId="37" fillId="2" borderId="0" xfId="13" applyNumberFormat="1" applyFill="1"/>
    <xf numFmtId="0" fontId="37" fillId="2" borderId="3" xfId="13" applyFill="1" applyBorder="1"/>
    <xf numFmtId="0" fontId="29" fillId="2" borderId="0" xfId="13" applyFont="1" applyFill="1" applyAlignment="1">
      <alignment vertical="center"/>
    </xf>
    <xf numFmtId="0" fontId="30" fillId="2" borderId="0" xfId="13" applyFont="1" applyFill="1" applyAlignment="1">
      <alignment vertical="center"/>
    </xf>
    <xf numFmtId="0" fontId="37" fillId="2" borderId="1" xfId="13" applyFill="1" applyBorder="1"/>
    <xf numFmtId="167" fontId="32" fillId="0" borderId="1" xfId="2" applyNumberFormat="1" applyFont="1" applyBorder="1" applyAlignment="1">
      <alignment horizontal="right" vertical="center" wrapText="1"/>
    </xf>
    <xf numFmtId="0" fontId="57" fillId="0" borderId="0" xfId="87" applyFont="1" applyAlignment="1">
      <alignment vertical="center"/>
    </xf>
    <xf numFmtId="0" fontId="32" fillId="0" borderId="0" xfId="11" applyFont="1" applyAlignment="1" applyProtection="1">
      <alignment vertical="center" wrapText="1" readingOrder="1"/>
      <protection locked="0"/>
    </xf>
    <xf numFmtId="167" fontId="31" fillId="0" borderId="0" xfId="0" applyNumberFormat="1" applyFont="1"/>
    <xf numFmtId="0" fontId="38" fillId="0" borderId="0" xfId="87" applyFont="1" applyAlignment="1">
      <alignment vertical="center"/>
    </xf>
    <xf numFmtId="167" fontId="37" fillId="0" borderId="0" xfId="13" applyNumberFormat="1"/>
    <xf numFmtId="171" fontId="32" fillId="0" borderId="0" xfId="0" applyNumberFormat="1" applyFont="1" applyAlignment="1">
      <alignment horizontal="right"/>
    </xf>
    <xf numFmtId="0" fontId="32" fillId="0" borderId="0" xfId="0" applyFont="1"/>
    <xf numFmtId="0" fontId="30" fillId="2" borderId="0" xfId="13" applyFont="1" applyFill="1"/>
    <xf numFmtId="0" fontId="29" fillId="2" borderId="1" xfId="13" applyFont="1" applyFill="1" applyBorder="1" applyAlignment="1">
      <alignment vertical="center"/>
    </xf>
    <xf numFmtId="167" fontId="29" fillId="2" borderId="1" xfId="13" applyNumberFormat="1" applyFont="1" applyFill="1" applyBorder="1"/>
    <xf numFmtId="0" fontId="29" fillId="2" borderId="1" xfId="13" applyFont="1" applyFill="1" applyBorder="1"/>
    <xf numFmtId="167" fontId="37" fillId="2" borderId="1" xfId="13" applyNumberFormat="1" applyFill="1" applyBorder="1"/>
    <xf numFmtId="169" fontId="37" fillId="2" borderId="1" xfId="13" applyNumberFormat="1" applyFill="1" applyBorder="1"/>
    <xf numFmtId="0" fontId="29" fillId="2" borderId="0" xfId="13" applyFont="1" applyFill="1" applyAlignment="1">
      <alignment horizontal="left" vertical="center"/>
    </xf>
    <xf numFmtId="167" fontId="29" fillId="2" borderId="0" xfId="13" applyNumberFormat="1" applyFont="1" applyFill="1"/>
    <xf numFmtId="167" fontId="31" fillId="2" borderId="0" xfId="13" applyNumberFormat="1" applyFont="1" applyFill="1"/>
    <xf numFmtId="169" fontId="29" fillId="2" borderId="0" xfId="13" applyNumberFormat="1" applyFont="1" applyFill="1"/>
    <xf numFmtId="167" fontId="31" fillId="2" borderId="0" xfId="13" applyNumberFormat="1" applyFont="1" applyFill="1" applyAlignment="1">
      <alignment horizontal="left" vertical="center"/>
    </xf>
    <xf numFmtId="167" fontId="60" fillId="0" borderId="0" xfId="11" applyNumberFormat="1" applyFont="1"/>
    <xf numFmtId="168" fontId="70" fillId="0" borderId="0" xfId="2" applyNumberFormat="1" applyFont="1" applyAlignment="1">
      <alignment horizontal="left" vertical="center"/>
    </xf>
    <xf numFmtId="169" fontId="68" fillId="0" borderId="0" xfId="13" applyNumberFormat="1" applyFont="1"/>
    <xf numFmtId="0" fontId="70" fillId="2" borderId="0" xfId="0" applyFont="1" applyFill="1"/>
    <xf numFmtId="0" fontId="28" fillId="0" borderId="0" xfId="90" applyFont="1"/>
    <xf numFmtId="168" fontId="28" fillId="0" borderId="0" xfId="90" applyNumberFormat="1" applyFont="1"/>
    <xf numFmtId="169" fontId="28" fillId="0" borderId="0" xfId="90" applyNumberFormat="1" applyFont="1"/>
    <xf numFmtId="169" fontId="36" fillId="0" borderId="0" xfId="14" applyNumberFormat="1" applyFont="1" applyAlignment="1">
      <alignment vertical="top" wrapText="1"/>
    </xf>
    <xf numFmtId="168" fontId="31" fillId="0" borderId="0" xfId="2" applyNumberFormat="1" applyFont="1" applyAlignment="1">
      <alignment horizontal="left" vertical="center"/>
    </xf>
    <xf numFmtId="169" fontId="26" fillId="0" borderId="0" xfId="13" applyNumberFormat="1" applyFont="1"/>
    <xf numFmtId="0" fontId="26" fillId="0" borderId="3" xfId="13" applyFont="1" applyBorder="1"/>
    <xf numFmtId="169" fontId="32" fillId="0" borderId="2" xfId="13" applyNumberFormat="1" applyFont="1" applyBorder="1" applyAlignment="1">
      <alignment horizontal="right" vertical="center"/>
    </xf>
    <xf numFmtId="169" fontId="31" fillId="0" borderId="2" xfId="13" applyNumberFormat="1" applyFont="1" applyBorder="1" applyAlignment="1">
      <alignment horizontal="right" vertical="center"/>
    </xf>
    <xf numFmtId="169" fontId="32" fillId="0" borderId="2" xfId="13" applyNumberFormat="1" applyFont="1" applyBorder="1" applyAlignment="1">
      <alignment horizontal="right" vertical="center" wrapText="1"/>
    </xf>
    <xf numFmtId="0" fontId="32" fillId="0" borderId="0" xfId="2" applyFont="1" applyAlignment="1">
      <alignment horizontal="left" vertical="center" wrapText="1"/>
    </xf>
    <xf numFmtId="168" fontId="32" fillId="0" borderId="0" xfId="2" applyNumberFormat="1" applyFont="1" applyAlignment="1">
      <alignment horizontal="right" vertical="center" wrapText="1"/>
    </xf>
    <xf numFmtId="169" fontId="32" fillId="0" borderId="0" xfId="13" applyNumberFormat="1" applyFont="1" applyAlignment="1">
      <alignment horizontal="center" vertical="center"/>
    </xf>
    <xf numFmtId="169" fontId="31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vertical="center"/>
    </xf>
    <xf numFmtId="169" fontId="32" fillId="0" borderId="0" xfId="13" applyNumberFormat="1" applyFont="1" applyAlignment="1">
      <alignment horizontal="center" vertical="center" wrapText="1"/>
    </xf>
    <xf numFmtId="0" fontId="57" fillId="0" borderId="0" xfId="89" applyFont="1" applyAlignment="1">
      <alignment vertical="center"/>
    </xf>
    <xf numFmtId="169" fontId="57" fillId="0" borderId="0" xfId="89" applyNumberFormat="1" applyFont="1" applyAlignment="1">
      <alignment vertical="center"/>
    </xf>
    <xf numFmtId="168" fontId="31" fillId="0" borderId="0" xfId="0" applyNumberFormat="1" applyFont="1"/>
    <xf numFmtId="0" fontId="38" fillId="0" borderId="0" xfId="89" applyFont="1" applyAlignment="1">
      <alignment vertical="center"/>
    </xf>
    <xf numFmtId="169" fontId="38" fillId="0" borderId="0" xfId="89" applyNumberFormat="1" applyFont="1" applyAlignment="1">
      <alignment vertical="center"/>
    </xf>
    <xf numFmtId="168" fontId="0" fillId="0" borderId="0" xfId="0" applyNumberFormat="1"/>
    <xf numFmtId="169" fontId="45" fillId="0" borderId="0" xfId="0" applyNumberFormat="1" applyFont="1"/>
    <xf numFmtId="168" fontId="31" fillId="0" borderId="1" xfId="2" applyNumberFormat="1" applyFont="1" applyBorder="1" applyAlignment="1">
      <alignment horizontal="right" vertical="center"/>
    </xf>
    <xf numFmtId="169" fontId="26" fillId="0" borderId="1" xfId="13" applyNumberFormat="1" applyFont="1" applyBorder="1"/>
    <xf numFmtId="168" fontId="31" fillId="0" borderId="0" xfId="2" applyNumberFormat="1" applyFont="1"/>
    <xf numFmtId="0" fontId="31" fillId="2" borderId="0" xfId="2" applyFont="1" applyFill="1" applyAlignment="1">
      <alignment horizontal="left"/>
    </xf>
    <xf numFmtId="169" fontId="31" fillId="0" borderId="0" xfId="13" applyNumberFormat="1" applyFont="1"/>
    <xf numFmtId="0" fontId="31" fillId="0" borderId="0" xfId="2" applyFont="1" applyAlignment="1">
      <alignment vertical="center"/>
    </xf>
    <xf numFmtId="0" fontId="0" fillId="10" borderId="0" xfId="0" applyFill="1"/>
    <xf numFmtId="168" fontId="70" fillId="2" borderId="0" xfId="2" applyNumberFormat="1" applyFont="1" applyFill="1" applyAlignment="1">
      <alignment horizontal="left" vertical="center"/>
    </xf>
    <xf numFmtId="168" fontId="68" fillId="2" borderId="0" xfId="13" applyNumberFormat="1" applyFont="1" applyFill="1"/>
    <xf numFmtId="169" fontId="82" fillId="2" borderId="0" xfId="13" applyNumberFormat="1" applyFont="1" applyFill="1"/>
    <xf numFmtId="168" fontId="76" fillId="2" borderId="0" xfId="32" applyNumberFormat="1" applyFont="1" applyFill="1" applyAlignment="1" applyProtection="1">
      <alignment horizontal="right"/>
    </xf>
    <xf numFmtId="168" fontId="70" fillId="2" borderId="0" xfId="0" applyNumberFormat="1" applyFont="1" applyFill="1"/>
    <xf numFmtId="168" fontId="28" fillId="0" borderId="0" xfId="88" applyNumberFormat="1" applyFont="1"/>
    <xf numFmtId="169" fontId="70" fillId="0" borderId="0" xfId="0" applyNumberFormat="1" applyFont="1"/>
    <xf numFmtId="168" fontId="70" fillId="2" borderId="0" xfId="0" applyNumberFormat="1" applyFont="1" applyFill="1" applyAlignment="1">
      <alignment horizontal="right"/>
    </xf>
    <xf numFmtId="168" fontId="31" fillId="2" borderId="0" xfId="2" applyNumberFormat="1" applyFont="1" applyFill="1" applyAlignment="1">
      <alignment horizontal="left" vertical="center"/>
    </xf>
    <xf numFmtId="168" fontId="26" fillId="2" borderId="0" xfId="13" applyNumberFormat="1" applyFont="1" applyFill="1"/>
    <xf numFmtId="168" fontId="26" fillId="2" borderId="0" xfId="0" applyNumberFormat="1" applyFont="1" applyFill="1"/>
    <xf numFmtId="0" fontId="26" fillId="2" borderId="3" xfId="0" applyFont="1" applyFill="1" applyBorder="1"/>
    <xf numFmtId="168" fontId="32" fillId="0" borderId="1" xfId="2" applyNumberFormat="1" applyFont="1" applyBorder="1" applyAlignment="1">
      <alignment horizontal="right" vertical="center" wrapText="1"/>
    </xf>
    <xf numFmtId="0" fontId="26" fillId="2" borderId="1" xfId="0" applyFont="1" applyFill="1" applyBorder="1"/>
    <xf numFmtId="0" fontId="79" fillId="2" borderId="0" xfId="91" applyFont="1" applyFill="1" applyAlignment="1">
      <alignment vertical="center"/>
    </xf>
    <xf numFmtId="168" fontId="31" fillId="2" borderId="0" xfId="0" applyNumberFormat="1" applyFont="1" applyFill="1"/>
    <xf numFmtId="0" fontId="35" fillId="2" borderId="0" xfId="91" applyFont="1" applyFill="1" applyAlignment="1">
      <alignment vertical="center"/>
    </xf>
    <xf numFmtId="171" fontId="31" fillId="7" borderId="0" xfId="0" applyNumberFormat="1" applyFont="1" applyFill="1" applyAlignment="1">
      <alignment horizontal="right"/>
    </xf>
    <xf numFmtId="168" fontId="31" fillId="2" borderId="1" xfId="2" applyNumberFormat="1" applyFont="1" applyFill="1" applyBorder="1" applyAlignment="1">
      <alignment horizontal="right" vertical="center"/>
    </xf>
    <xf numFmtId="168" fontId="26" fillId="2" borderId="1" xfId="13" applyNumberFormat="1" applyFont="1" applyFill="1" applyBorder="1"/>
    <xf numFmtId="168" fontId="26" fillId="2" borderId="1" xfId="0" applyNumberFormat="1" applyFont="1" applyFill="1" applyBorder="1"/>
    <xf numFmtId="168" fontId="31" fillId="2" borderId="0" xfId="2" applyNumberFormat="1" applyFont="1" applyFill="1"/>
    <xf numFmtId="168" fontId="31" fillId="2" borderId="0" xfId="13" applyNumberFormat="1" applyFont="1" applyFill="1"/>
    <xf numFmtId="0" fontId="80" fillId="2" borderId="0" xfId="0" applyFont="1" applyFill="1"/>
    <xf numFmtId="168" fontId="80" fillId="2" borderId="0" xfId="0" applyNumberFormat="1" applyFont="1" applyFill="1"/>
    <xf numFmtId="169" fontId="80" fillId="2" borderId="0" xfId="0" applyNumberFormat="1" applyFont="1" applyFill="1"/>
    <xf numFmtId="0" fontId="80" fillId="0" borderId="0" xfId="0" applyFont="1"/>
    <xf numFmtId="168" fontId="80" fillId="0" borderId="0" xfId="0" applyNumberFormat="1" applyFont="1"/>
    <xf numFmtId="169" fontId="80" fillId="0" borderId="0" xfId="0" applyNumberFormat="1" applyFont="1"/>
    <xf numFmtId="168" fontId="70" fillId="2" borderId="0" xfId="2" applyNumberFormat="1" applyFont="1" applyFill="1"/>
    <xf numFmtId="168" fontId="68" fillId="2" borderId="0" xfId="25" applyNumberFormat="1" applyFont="1" applyFill="1"/>
    <xf numFmtId="0" fontId="28" fillId="2" borderId="0" xfId="92" applyFont="1" applyFill="1"/>
    <xf numFmtId="168" fontId="28" fillId="2" borderId="0" xfId="92" applyNumberFormat="1" applyFont="1" applyFill="1"/>
    <xf numFmtId="169" fontId="28" fillId="2" borderId="0" xfId="92" applyNumberFormat="1" applyFont="1" applyFill="1"/>
    <xf numFmtId="168" fontId="70" fillId="2" borderId="0" xfId="25" applyNumberFormat="1" applyFont="1" applyFill="1"/>
    <xf numFmtId="168" fontId="26" fillId="2" borderId="0" xfId="2" applyNumberFormat="1" applyFill="1"/>
    <xf numFmtId="168" fontId="26" fillId="2" borderId="0" xfId="2" applyNumberFormat="1" applyFill="1" applyAlignment="1">
      <alignment horizontal="left" vertical="center"/>
    </xf>
    <xf numFmtId="168" fontId="26" fillId="2" borderId="0" xfId="25" applyNumberFormat="1" applyFont="1" applyFill="1"/>
    <xf numFmtId="168" fontId="32" fillId="2" borderId="1" xfId="2" applyNumberFormat="1" applyFont="1" applyFill="1" applyBorder="1" applyAlignment="1">
      <alignment horizontal="right" vertical="center" wrapText="1"/>
    </xf>
    <xf numFmtId="168" fontId="32" fillId="2" borderId="0" xfId="2" applyNumberFormat="1" applyFont="1" applyFill="1" applyAlignment="1">
      <alignment vertical="center" wrapText="1"/>
    </xf>
    <xf numFmtId="168" fontId="31" fillId="2" borderId="1" xfId="25" applyNumberFormat="1" applyFont="1" applyFill="1" applyBorder="1"/>
    <xf numFmtId="168" fontId="26" fillId="2" borderId="1" xfId="25" applyNumberFormat="1" applyFont="1" applyFill="1" applyBorder="1"/>
    <xf numFmtId="168" fontId="31" fillId="2" borderId="0" xfId="25" applyNumberFormat="1" applyFont="1" applyFill="1"/>
    <xf numFmtId="168" fontId="37" fillId="2" borderId="0" xfId="25" applyNumberFormat="1" applyFill="1"/>
    <xf numFmtId="168" fontId="82" fillId="2" borderId="0" xfId="13" applyNumberFormat="1" applyFont="1" applyFill="1"/>
    <xf numFmtId="0" fontId="28" fillId="0" borderId="0" xfId="93" applyFont="1"/>
    <xf numFmtId="168" fontId="28" fillId="0" borderId="0" xfId="93" applyNumberFormat="1" applyFont="1"/>
    <xf numFmtId="169" fontId="28" fillId="0" borderId="0" xfId="93" applyNumberFormat="1" applyFont="1"/>
    <xf numFmtId="0" fontId="36" fillId="0" borderId="0" xfId="14" applyFont="1" applyAlignment="1">
      <alignment vertical="center" wrapText="1"/>
    </xf>
    <xf numFmtId="0" fontId="31" fillId="2" borderId="3" xfId="13" applyFont="1" applyFill="1" applyBorder="1" applyAlignment="1">
      <alignment vertical="center"/>
    </xf>
    <xf numFmtId="0" fontId="57" fillId="2" borderId="0" xfId="93" applyFont="1" applyFill="1" applyAlignment="1">
      <alignment vertical="center"/>
    </xf>
    <xf numFmtId="0" fontId="38" fillId="2" borderId="0" xfId="93" applyFont="1" applyFill="1" applyAlignment="1">
      <alignment vertical="center"/>
    </xf>
    <xf numFmtId="0" fontId="38" fillId="0" borderId="0" xfId="93" applyFont="1" applyAlignment="1">
      <alignment vertical="center"/>
    </xf>
    <xf numFmtId="168" fontId="37" fillId="2" borderId="0" xfId="13" applyNumberFormat="1" applyFill="1"/>
    <xf numFmtId="168" fontId="37" fillId="0" borderId="0" xfId="13" applyNumberFormat="1"/>
    <xf numFmtId="0" fontId="57" fillId="0" borderId="0" xfId="93" applyFont="1" applyAlignment="1">
      <alignment vertical="center"/>
    </xf>
    <xf numFmtId="168" fontId="0" fillId="2" borderId="0" xfId="0" applyNumberFormat="1" applyFill="1"/>
    <xf numFmtId="0" fontId="28" fillId="2" borderId="0" xfId="94" applyFont="1" applyFill="1"/>
    <xf numFmtId="169" fontId="28" fillId="2" borderId="0" xfId="94" applyNumberFormat="1" applyFont="1" applyFill="1"/>
    <xf numFmtId="169" fontId="36" fillId="2" borderId="0" xfId="14" applyNumberFormat="1" applyFont="1" applyFill="1" applyAlignment="1">
      <alignment vertical="center" wrapText="1"/>
    </xf>
    <xf numFmtId="169" fontId="26" fillId="2" borderId="3" xfId="0" applyNumberFormat="1" applyFont="1" applyFill="1" applyBorder="1"/>
    <xf numFmtId="169" fontId="32" fillId="2" borderId="1" xfId="13" applyNumberFormat="1" applyFont="1" applyFill="1" applyBorder="1" applyAlignment="1">
      <alignment vertical="center" wrapText="1"/>
    </xf>
    <xf numFmtId="169" fontId="32" fillId="0" borderId="1" xfId="13" applyNumberFormat="1" applyFont="1" applyBorder="1" applyAlignment="1">
      <alignment horizontal="right" vertical="center" wrapText="1"/>
    </xf>
    <xf numFmtId="169" fontId="31" fillId="2" borderId="1" xfId="13" applyNumberFormat="1" applyFont="1" applyFill="1" applyBorder="1" applyAlignment="1">
      <alignment horizontal="right" vertical="center"/>
    </xf>
    <xf numFmtId="169" fontId="32" fillId="2" borderId="1" xfId="13" applyNumberFormat="1" applyFont="1" applyFill="1" applyBorder="1" applyAlignment="1">
      <alignment horizontal="right" vertical="center" wrapText="1"/>
    </xf>
    <xf numFmtId="169" fontId="57" fillId="2" borderId="0" xfId="94" applyNumberFormat="1" applyFont="1" applyFill="1" applyAlignment="1">
      <alignment vertical="center"/>
    </xf>
    <xf numFmtId="169" fontId="38" fillId="2" borderId="0" xfId="94" applyNumberFormat="1" applyFont="1" applyFill="1" applyAlignment="1">
      <alignment vertical="center"/>
    </xf>
    <xf numFmtId="170" fontId="32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 wrapText="1"/>
    </xf>
    <xf numFmtId="168" fontId="31" fillId="7" borderId="0" xfId="0" applyNumberFormat="1" applyFont="1" applyFill="1" applyAlignment="1">
      <alignment horizontal="right"/>
    </xf>
    <xf numFmtId="0" fontId="27" fillId="0" borderId="0" xfId="0" applyFont="1" applyAlignment="1">
      <alignment vertical="center"/>
    </xf>
    <xf numFmtId="0" fontId="35" fillId="0" borderId="15" xfId="33" applyFont="1" applyBorder="1" applyAlignment="1">
      <alignment horizontal="left" vertical="center" wrapText="1" indent="1"/>
    </xf>
    <xf numFmtId="0" fontId="35" fillId="0" borderId="14" xfId="33" applyFont="1" applyBorder="1" applyAlignment="1">
      <alignment horizontal="left" vertical="center" wrapText="1" indent="1"/>
    </xf>
    <xf numFmtId="0" fontId="35" fillId="0" borderId="16" xfId="33" applyFont="1" applyBorder="1" applyAlignment="1">
      <alignment horizontal="left" vertical="center" wrapText="1" indent="1"/>
    </xf>
    <xf numFmtId="0" fontId="35" fillId="0" borderId="20" xfId="33" applyFont="1" applyBorder="1" applyAlignment="1">
      <alignment horizontal="left" vertical="center" wrapText="1" indent="1"/>
    </xf>
    <xf numFmtId="0" fontId="35" fillId="0" borderId="19" xfId="33" applyFont="1" applyBorder="1" applyAlignment="1">
      <alignment horizontal="left" vertical="center" wrapText="1" indent="1"/>
    </xf>
    <xf numFmtId="0" fontId="35" fillId="0" borderId="18" xfId="33" applyFont="1" applyBorder="1" applyAlignment="1">
      <alignment horizontal="left" vertical="center" wrapText="1" indent="1"/>
    </xf>
    <xf numFmtId="0" fontId="35" fillId="0" borderId="25" xfId="33" applyFont="1" applyBorder="1" applyAlignment="1">
      <alignment horizontal="left" vertical="center" wrapText="1" indent="1"/>
    </xf>
    <xf numFmtId="0" fontId="35" fillId="0" borderId="24" xfId="33" applyFont="1" applyBorder="1" applyAlignment="1">
      <alignment horizontal="left" vertical="center" wrapText="1" indent="1"/>
    </xf>
    <xf numFmtId="0" fontId="35" fillId="0" borderId="23" xfId="33" applyFont="1" applyBorder="1" applyAlignment="1">
      <alignment horizontal="left" vertical="center" wrapText="1" indent="1"/>
    </xf>
    <xf numFmtId="0" fontId="65" fillId="0" borderId="9" xfId="32" applyFont="1" applyFill="1" applyBorder="1" applyAlignment="1">
      <alignment horizontal="center" vertical="center" wrapText="1"/>
    </xf>
    <xf numFmtId="0" fontId="65" fillId="0" borderId="13" xfId="32" applyFont="1" applyFill="1" applyBorder="1" applyAlignment="1">
      <alignment horizontal="center" vertical="center" wrapText="1"/>
    </xf>
    <xf numFmtId="0" fontId="65" fillId="0" borderId="17" xfId="32" applyFont="1" applyFill="1" applyBorder="1" applyAlignment="1">
      <alignment horizontal="center" vertical="center" wrapText="1"/>
    </xf>
    <xf numFmtId="0" fontId="62" fillId="0" borderId="0" xfId="33" applyFont="1" applyAlignment="1">
      <alignment horizontal="center" vertical="center"/>
    </xf>
    <xf numFmtId="0" fontId="75" fillId="0" borderId="0" xfId="33" applyFont="1" applyAlignment="1">
      <alignment horizontal="center" vertical="center"/>
    </xf>
    <xf numFmtId="0" fontId="74" fillId="8" borderId="0" xfId="33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7" fillId="0" borderId="0" xfId="33" applyFont="1" applyAlignment="1">
      <alignment horizontal="right"/>
    </xf>
    <xf numFmtId="0" fontId="35" fillId="0" borderId="10" xfId="33" applyFont="1" applyBorder="1" applyAlignment="1">
      <alignment horizontal="left" vertical="center" wrapText="1" indent="1"/>
    </xf>
    <xf numFmtId="0" fontId="35" fillId="0" borderId="11" xfId="33" applyFont="1" applyBorder="1" applyAlignment="1">
      <alignment horizontal="left" vertical="center" wrapText="1" indent="1"/>
    </xf>
    <xf numFmtId="0" fontId="35" fillId="0" borderId="12" xfId="33" applyFont="1" applyBorder="1" applyAlignment="1">
      <alignment horizontal="left" vertical="center" wrapText="1" indent="1"/>
    </xf>
    <xf numFmtId="0" fontId="63" fillId="9" borderId="7" xfId="33" applyFont="1" applyFill="1" applyBorder="1" applyAlignment="1">
      <alignment horizontal="center" vertical="center"/>
    </xf>
    <xf numFmtId="0" fontId="63" fillId="9" borderId="8" xfId="33" applyFont="1" applyFill="1" applyBorder="1" applyAlignment="1">
      <alignment horizontal="center" vertical="center"/>
    </xf>
    <xf numFmtId="0" fontId="69" fillId="2" borderId="0" xfId="84" applyFont="1" applyFill="1" applyAlignment="1">
      <alignment horizontal="left" vertical="center" wrapText="1"/>
    </xf>
    <xf numFmtId="167" fontId="69" fillId="2" borderId="0" xfId="84" applyNumberFormat="1" applyFont="1" applyFill="1" applyAlignment="1">
      <alignment horizontal="left" vertical="center" wrapText="1"/>
    </xf>
    <xf numFmtId="0" fontId="51" fillId="6" borderId="3" xfId="0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 wrapText="1"/>
    </xf>
    <xf numFmtId="0" fontId="51" fillId="6" borderId="1" xfId="0" applyFont="1" applyFill="1" applyBorder="1" applyAlignment="1">
      <alignment horizontal="left" vertical="center" wrapText="1"/>
    </xf>
    <xf numFmtId="169" fontId="30" fillId="2" borderId="3" xfId="85" applyNumberFormat="1" applyFont="1" applyFill="1" applyBorder="1" applyAlignment="1">
      <alignment horizontal="right" vertical="center" wrapText="1"/>
    </xf>
    <xf numFmtId="169" fontId="30" fillId="2" borderId="0" xfId="85" applyNumberFormat="1" applyFont="1" applyFill="1" applyAlignment="1">
      <alignment horizontal="right" vertical="center" wrapText="1"/>
    </xf>
    <xf numFmtId="169" fontId="30" fillId="2" borderId="1" xfId="85" applyNumberFormat="1" applyFont="1" applyFill="1" applyBorder="1" applyAlignment="1">
      <alignment horizontal="right" vertical="center" wrapText="1"/>
    </xf>
    <xf numFmtId="169" fontId="30" fillId="2" borderId="2" xfId="83" applyNumberFormat="1" applyFont="1" applyFill="1" applyBorder="1" applyAlignment="1">
      <alignment horizontal="center" vertical="center" wrapText="1"/>
    </xf>
    <xf numFmtId="169" fontId="30" fillId="2" borderId="1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center"/>
    </xf>
    <xf numFmtId="0" fontId="32" fillId="2" borderId="3" xfId="2" applyFont="1" applyFill="1" applyBorder="1" applyAlignment="1">
      <alignment horizontal="left" vertical="center" wrapText="1"/>
    </xf>
    <xf numFmtId="0" fontId="32" fillId="2" borderId="0" xfId="2" applyFont="1" applyFill="1" applyAlignment="1">
      <alignment horizontal="left" vertical="center" wrapText="1"/>
    </xf>
    <xf numFmtId="0" fontId="32" fillId="2" borderId="1" xfId="2" applyFont="1" applyFill="1" applyBorder="1" applyAlignment="1">
      <alignment horizontal="left" vertical="center" wrapText="1"/>
    </xf>
    <xf numFmtId="167" fontId="32" fillId="2" borderId="3" xfId="2" applyNumberFormat="1" applyFont="1" applyFill="1" applyBorder="1" applyAlignment="1">
      <alignment horizontal="right" vertical="center" wrapText="1"/>
    </xf>
    <xf numFmtId="167" fontId="32" fillId="2" borderId="0" xfId="2" applyNumberFormat="1" applyFont="1" applyFill="1" applyAlignment="1">
      <alignment horizontal="right" vertical="center" wrapText="1"/>
    </xf>
    <xf numFmtId="167" fontId="32" fillId="2" borderId="1" xfId="2" applyNumberFormat="1" applyFont="1" applyFill="1" applyBorder="1" applyAlignment="1">
      <alignment horizontal="right" vertical="center" wrapText="1"/>
    </xf>
    <xf numFmtId="0" fontId="30" fillId="2" borderId="2" xfId="13" applyFont="1" applyFill="1" applyBorder="1" applyAlignment="1">
      <alignment horizontal="center"/>
    </xf>
    <xf numFmtId="0" fontId="30" fillId="2" borderId="1" xfId="13" applyFont="1" applyFill="1" applyBorder="1" applyAlignment="1">
      <alignment horizontal="center" vertical="center"/>
    </xf>
    <xf numFmtId="0" fontId="36" fillId="0" borderId="0" xfId="14" applyFont="1" applyAlignment="1">
      <alignment horizontal="left" vertical="top" wrapText="1"/>
    </xf>
    <xf numFmtId="0" fontId="32" fillId="0" borderId="3" xfId="2" applyFont="1" applyBorder="1" applyAlignment="1">
      <alignment horizontal="left" vertical="center" wrapText="1"/>
    </xf>
    <xf numFmtId="0" fontId="32" fillId="0" borderId="1" xfId="2" applyFont="1" applyBorder="1" applyAlignment="1">
      <alignment horizontal="left" vertical="center" wrapText="1"/>
    </xf>
    <xf numFmtId="168" fontId="32" fillId="2" borderId="3" xfId="2" applyNumberFormat="1" applyFont="1" applyFill="1" applyBorder="1" applyAlignment="1">
      <alignment horizontal="right" vertical="center" wrapText="1"/>
    </xf>
    <xf numFmtId="168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vertical="center" wrapText="1"/>
    </xf>
    <xf numFmtId="169" fontId="32" fillId="2" borderId="2" xfId="13" applyNumberFormat="1" applyFont="1" applyFill="1" applyBorder="1" applyAlignment="1">
      <alignment horizontal="center" vertical="center"/>
    </xf>
    <xf numFmtId="0" fontId="36" fillId="2" borderId="0" xfId="14" applyFont="1" applyFill="1" applyAlignment="1">
      <alignment horizontal="left" vertical="top" wrapText="1"/>
    </xf>
    <xf numFmtId="171" fontId="32" fillId="2" borderId="3" xfId="2" applyNumberFormat="1" applyFont="1" applyFill="1" applyBorder="1" applyAlignment="1">
      <alignment horizontal="right" vertical="center" wrapText="1"/>
    </xf>
    <xf numFmtId="171" fontId="32" fillId="2" borderId="1" xfId="2" applyNumberFormat="1" applyFont="1" applyFill="1" applyBorder="1" applyAlignment="1">
      <alignment horizontal="right" vertical="center" wrapText="1"/>
    </xf>
    <xf numFmtId="169" fontId="32" fillId="2" borderId="2" xfId="13" applyNumberFormat="1" applyFont="1" applyFill="1" applyBorder="1" applyAlignment="1">
      <alignment horizontal="center" wrapText="1"/>
    </xf>
    <xf numFmtId="169" fontId="32" fillId="2" borderId="2" xfId="13" applyNumberFormat="1" applyFont="1" applyFill="1" applyBorder="1" applyAlignment="1">
      <alignment horizontal="center"/>
    </xf>
    <xf numFmtId="0" fontId="69" fillId="2" borderId="0" xfId="36" applyFont="1" applyFill="1" applyAlignment="1">
      <alignment horizontal="left" vertical="center" wrapText="1"/>
    </xf>
    <xf numFmtId="171" fontId="51" fillId="6" borderId="3" xfId="0" applyNumberFormat="1" applyFont="1" applyFill="1" applyBorder="1" applyAlignment="1">
      <alignment horizontal="right" vertical="center" wrapText="1"/>
    </xf>
    <xf numFmtId="171" fontId="51" fillId="6" borderId="0" xfId="0" applyNumberFormat="1" applyFont="1" applyFill="1" applyAlignment="1">
      <alignment horizontal="right" vertical="center" wrapText="1"/>
    </xf>
    <xf numFmtId="171" fontId="51" fillId="6" borderId="1" xfId="0" applyNumberFormat="1" applyFont="1" applyFill="1" applyBorder="1" applyAlignment="1">
      <alignment horizontal="right" vertical="center" wrapText="1"/>
    </xf>
    <xf numFmtId="171" fontId="30" fillId="2" borderId="2" xfId="36" applyNumberFormat="1" applyFont="1" applyFill="1" applyBorder="1" applyAlignment="1">
      <alignment horizontal="center" vertical="center"/>
    </xf>
    <xf numFmtId="171" fontId="30" fillId="2" borderId="1" xfId="36" applyNumberFormat="1" applyFont="1" applyFill="1" applyBorder="1" applyAlignment="1">
      <alignment horizontal="center" vertical="center"/>
    </xf>
    <xf numFmtId="171" fontId="30" fillId="2" borderId="1" xfId="35" applyNumberFormat="1" applyFont="1" applyFill="1" applyBorder="1" applyAlignment="1">
      <alignment horizontal="center" vertical="center" wrapText="1"/>
    </xf>
    <xf numFmtId="171" fontId="30" fillId="2" borderId="1" xfId="36" applyNumberFormat="1" applyFont="1" applyFill="1" applyBorder="1" applyAlignment="1">
      <alignment horizontal="center" vertical="center" wrapText="1"/>
    </xf>
    <xf numFmtId="171" fontId="32" fillId="2" borderId="1" xfId="36" applyNumberFormat="1" applyFont="1" applyFill="1" applyBorder="1" applyAlignment="1">
      <alignment horizontal="center" vertical="center" wrapText="1"/>
    </xf>
    <xf numFmtId="0" fontId="36" fillId="2" borderId="0" xfId="47" applyFont="1" applyFill="1" applyAlignment="1">
      <alignment horizontal="left" vertical="top" wrapText="1"/>
    </xf>
    <xf numFmtId="0" fontId="32" fillId="0" borderId="3" xfId="48" applyFont="1" applyBorder="1" applyAlignment="1">
      <alignment horizontal="left" vertical="center" wrapText="1"/>
    </xf>
    <xf numFmtId="0" fontId="32" fillId="0" borderId="1" xfId="48" applyFont="1" applyBorder="1" applyAlignment="1">
      <alignment horizontal="left" vertical="center" wrapText="1"/>
    </xf>
    <xf numFmtId="170" fontId="32" fillId="2" borderId="3" xfId="48" applyNumberFormat="1" applyFont="1" applyFill="1" applyBorder="1" applyAlignment="1">
      <alignment horizontal="right" vertical="center" wrapText="1"/>
    </xf>
    <xf numFmtId="170" fontId="32" fillId="2" borderId="1" xfId="48" applyNumberFormat="1" applyFont="1" applyFill="1" applyBorder="1" applyAlignment="1">
      <alignment horizontal="right" vertical="center" wrapText="1"/>
    </xf>
    <xf numFmtId="170" fontId="32" fillId="0" borderId="2" xfId="45" applyNumberFormat="1" applyFont="1" applyBorder="1" applyAlignment="1">
      <alignment horizontal="center" vertical="center" wrapText="1"/>
    </xf>
    <xf numFmtId="0" fontId="31" fillId="2" borderId="0" xfId="53" applyFont="1" applyFill="1" applyAlignment="1">
      <alignment horizontal="left" vertical="top" justifyLastLine="1"/>
    </xf>
    <xf numFmtId="170" fontId="31" fillId="2" borderId="0" xfId="53" applyNumberFormat="1" applyFont="1" applyFill="1" applyAlignment="1">
      <alignment horizontal="left" vertical="top" justifyLastLine="1"/>
    </xf>
    <xf numFmtId="0" fontId="69" fillId="2" borderId="0" xfId="52" applyFont="1" applyFill="1" applyAlignment="1">
      <alignment horizontal="left" vertical="center" wrapText="1"/>
    </xf>
    <xf numFmtId="170" fontId="69" fillId="2" borderId="0" xfId="52" applyNumberFormat="1" applyFont="1" applyFill="1" applyAlignment="1">
      <alignment horizontal="left" vertical="center" wrapText="1"/>
    </xf>
    <xf numFmtId="0" fontId="36" fillId="2" borderId="1" xfId="52" applyFont="1" applyFill="1" applyBorder="1" applyAlignment="1">
      <alignment horizontal="justify" vertical="top" wrapText="1"/>
    </xf>
    <xf numFmtId="170" fontId="36" fillId="2" borderId="1" xfId="52" applyNumberFormat="1" applyFont="1" applyFill="1" applyBorder="1" applyAlignment="1">
      <alignment horizontal="justify" vertical="top" wrapText="1"/>
    </xf>
    <xf numFmtId="170" fontId="11" fillId="2" borderId="1" xfId="52" applyNumberFormat="1" applyFill="1" applyBorder="1" applyAlignment="1">
      <alignment vertical="top" wrapText="1"/>
    </xf>
    <xf numFmtId="0" fontId="51" fillId="6" borderId="3" xfId="0" applyFont="1" applyFill="1" applyBorder="1" applyAlignment="1">
      <alignment horizontal="center" vertical="center" wrapText="1"/>
    </xf>
    <xf numFmtId="0" fontId="51" fillId="6" borderId="0" xfId="0" applyFont="1" applyFill="1" applyAlignment="1">
      <alignment horizontal="center" vertical="center" wrapText="1"/>
    </xf>
    <xf numFmtId="0" fontId="51" fillId="6" borderId="1" xfId="0" applyFont="1" applyFill="1" applyBorder="1" applyAlignment="1">
      <alignment horizontal="center" vertical="center" wrapText="1"/>
    </xf>
    <xf numFmtId="170" fontId="30" fillId="2" borderId="3" xfId="53" applyNumberFormat="1" applyFont="1" applyFill="1" applyBorder="1" applyAlignment="1">
      <alignment horizontal="right" vertical="center" wrapText="1"/>
    </xf>
    <xf numFmtId="170" fontId="30" fillId="2" borderId="0" xfId="53" applyNumberFormat="1" applyFont="1" applyFill="1" applyAlignment="1">
      <alignment horizontal="right" vertical="center" wrapText="1"/>
    </xf>
    <xf numFmtId="170" fontId="30" fillId="2" borderId="1" xfId="53" applyNumberFormat="1" applyFont="1" applyFill="1" applyBorder="1" applyAlignment="1">
      <alignment horizontal="right" vertical="center" wrapText="1"/>
    </xf>
    <xf numFmtId="170" fontId="30" fillId="2" borderId="2" xfId="52" applyNumberFormat="1" applyFont="1" applyFill="1" applyBorder="1" applyAlignment="1">
      <alignment horizontal="center" vertical="center" wrapText="1"/>
    </xf>
    <xf numFmtId="0" fontId="30" fillId="2" borderId="2" xfId="52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/>
    </xf>
    <xf numFmtId="0" fontId="31" fillId="2" borderId="0" xfId="58" applyFont="1" applyFill="1" applyAlignment="1">
      <alignment horizontal="left" vertical="top" justifyLastLine="1"/>
    </xf>
    <xf numFmtId="0" fontId="36" fillId="2" borderId="0" xfId="57" applyFont="1" applyFill="1" applyAlignment="1">
      <alignment horizontal="left" vertical="center" wrapText="1"/>
    </xf>
    <xf numFmtId="170" fontId="32" fillId="0" borderId="3" xfId="2" applyNumberFormat="1" applyFont="1" applyBorder="1" applyAlignment="1">
      <alignment horizontal="right" vertical="center" wrapText="1"/>
    </xf>
    <xf numFmtId="170" fontId="32" fillId="0" borderId="0" xfId="2" applyNumberFormat="1" applyFont="1" applyAlignment="1">
      <alignment horizontal="right" vertical="center" wrapText="1"/>
    </xf>
    <xf numFmtId="170" fontId="32" fillId="0" borderId="1" xfId="2" applyNumberFormat="1" applyFont="1" applyBorder="1" applyAlignment="1">
      <alignment horizontal="right" vertical="center" wrapText="1"/>
    </xf>
    <xf numFmtId="0" fontId="32" fillId="2" borderId="2" xfId="13" applyFont="1" applyFill="1" applyBorder="1" applyAlignment="1">
      <alignment horizontal="center"/>
    </xf>
    <xf numFmtId="0" fontId="31" fillId="2" borderId="0" xfId="61" applyFont="1" applyFill="1" applyAlignment="1">
      <alignment horizontal="left" vertical="top" justifyLastLine="1"/>
    </xf>
    <xf numFmtId="0" fontId="36" fillId="0" borderId="0" xfId="14" applyFont="1" applyAlignment="1">
      <alignment horizontal="left" vertical="center"/>
    </xf>
    <xf numFmtId="0" fontId="31" fillId="2" borderId="0" xfId="64" applyFont="1" applyFill="1" applyAlignment="1">
      <alignment horizontal="left" vertical="top" justifyLastLine="1"/>
    </xf>
    <xf numFmtId="0" fontId="32" fillId="2" borderId="3" xfId="13" applyFont="1" applyFill="1" applyBorder="1" applyAlignment="1">
      <alignment horizontal="right" vertical="center"/>
    </xf>
    <xf numFmtId="0" fontId="32" fillId="2" borderId="1" xfId="13" applyFont="1" applyFill="1" applyBorder="1" applyAlignment="1">
      <alignment horizontal="right" vertical="center"/>
    </xf>
    <xf numFmtId="0" fontId="32" fillId="2" borderId="3" xfId="66" applyFont="1" applyFill="1" applyBorder="1" applyAlignment="1">
      <alignment horizontal="center" vertical="center" wrapText="1"/>
    </xf>
    <xf numFmtId="0" fontId="32" fillId="2" borderId="1" xfId="66" applyFont="1" applyFill="1" applyBorder="1" applyAlignment="1">
      <alignment horizontal="center" vertical="center" wrapText="1"/>
    </xf>
    <xf numFmtId="0" fontId="31" fillId="2" borderId="0" xfId="2" applyFont="1" applyFill="1" applyAlignment="1">
      <alignment horizontal="left" vertical="top" justifyLastLine="1"/>
    </xf>
    <xf numFmtId="0" fontId="36" fillId="2" borderId="0" xfId="66" applyFont="1" applyFill="1" applyAlignment="1">
      <alignment horizontal="left" vertical="center" wrapText="1"/>
    </xf>
    <xf numFmtId="0" fontId="32" fillId="2" borderId="3" xfId="66" applyFont="1" applyFill="1" applyBorder="1" applyAlignment="1">
      <alignment horizontal="left" vertical="center" wrapText="1"/>
    </xf>
    <xf numFmtId="0" fontId="32" fillId="2" borderId="0" xfId="66" applyFont="1" applyFill="1" applyAlignment="1">
      <alignment horizontal="left" vertical="center" wrapText="1"/>
    </xf>
    <xf numFmtId="0" fontId="32" fillId="2" borderId="1" xfId="66" applyFont="1" applyFill="1" applyBorder="1" applyAlignment="1">
      <alignment horizontal="left" vertical="center" wrapText="1"/>
    </xf>
    <xf numFmtId="170" fontId="32" fillId="2" borderId="3" xfId="66" applyNumberFormat="1" applyFont="1" applyFill="1" applyBorder="1" applyAlignment="1">
      <alignment horizontal="right" vertical="center" wrapText="1"/>
    </xf>
    <xf numFmtId="170" fontId="32" fillId="2" borderId="0" xfId="66" applyNumberFormat="1" applyFont="1" applyFill="1" applyAlignment="1">
      <alignment horizontal="right" vertical="center" wrapText="1"/>
    </xf>
    <xf numFmtId="170" fontId="32" fillId="2" borderId="1" xfId="66" applyNumberFormat="1" applyFont="1" applyFill="1" applyBorder="1" applyAlignment="1">
      <alignment horizontal="right" vertical="center" wrapText="1"/>
    </xf>
    <xf numFmtId="0" fontId="32" fillId="0" borderId="2" xfId="66" applyFont="1" applyBorder="1" applyAlignment="1">
      <alignment horizontal="center" vertical="center" wrapText="1"/>
    </xf>
    <xf numFmtId="0" fontId="36" fillId="2" borderId="0" xfId="14" applyFont="1" applyFill="1" applyAlignment="1">
      <alignment vertical="center" wrapText="1"/>
    </xf>
    <xf numFmtId="170" fontId="32" fillId="2" borderId="3" xfId="2" applyNumberFormat="1" applyFont="1" applyFill="1" applyBorder="1" applyAlignment="1">
      <alignment horizontal="right" vertical="center" wrapText="1"/>
    </xf>
    <xf numFmtId="170" fontId="32" fillId="2" borderId="0" xfId="2" applyNumberFormat="1" applyFont="1" applyFill="1" applyAlignment="1">
      <alignment horizontal="right" vertical="center" wrapText="1"/>
    </xf>
    <xf numFmtId="170" fontId="32" fillId="2" borderId="1" xfId="2" applyNumberFormat="1" applyFont="1" applyFill="1" applyBorder="1" applyAlignment="1">
      <alignment horizontal="right" vertical="center" wrapText="1"/>
    </xf>
    <xf numFmtId="0" fontId="32" fillId="0" borderId="2" xfId="25" applyFont="1" applyBorder="1" applyAlignment="1">
      <alignment horizontal="center" vertical="center"/>
    </xf>
    <xf numFmtId="0" fontId="32" fillId="2" borderId="1" xfId="70" applyFont="1" applyFill="1" applyBorder="1" applyAlignment="1">
      <alignment horizontal="center" vertical="center" wrapText="1"/>
    </xf>
    <xf numFmtId="0" fontId="32" fillId="2" borderId="2" xfId="70" applyFont="1" applyFill="1" applyBorder="1" applyAlignment="1">
      <alignment horizontal="center" vertical="center" wrapText="1"/>
    </xf>
    <xf numFmtId="0" fontId="36" fillId="2" borderId="0" xfId="41" applyFont="1" applyFill="1" applyAlignment="1">
      <alignment horizontal="left" vertical="center" wrapText="1"/>
    </xf>
    <xf numFmtId="0" fontId="32" fillId="2" borderId="3" xfId="40" applyFont="1" applyFill="1" applyBorder="1" applyAlignment="1">
      <alignment horizontal="left" vertical="center" wrapText="1"/>
    </xf>
    <xf numFmtId="0" fontId="32" fillId="2" borderId="0" xfId="40" applyFont="1" applyFill="1" applyAlignment="1">
      <alignment horizontal="left" vertical="center" wrapText="1"/>
    </xf>
    <xf numFmtId="0" fontId="32" fillId="2" borderId="1" xfId="40" applyFont="1" applyFill="1" applyBorder="1" applyAlignment="1">
      <alignment horizontal="left" vertical="center" wrapText="1"/>
    </xf>
    <xf numFmtId="170" fontId="32" fillId="2" borderId="3" xfId="40" applyNumberFormat="1" applyFont="1" applyFill="1" applyBorder="1" applyAlignment="1">
      <alignment horizontal="right" vertical="center" wrapText="1"/>
    </xf>
    <xf numFmtId="170" fontId="32" fillId="2" borderId="0" xfId="40" applyNumberFormat="1" applyFont="1" applyFill="1" applyAlignment="1">
      <alignment horizontal="right" vertical="center" wrapText="1"/>
    </xf>
    <xf numFmtId="170" fontId="32" fillId="2" borderId="1" xfId="40" applyNumberFormat="1" applyFont="1" applyFill="1" applyBorder="1" applyAlignment="1">
      <alignment horizontal="right" vertical="center" wrapText="1"/>
    </xf>
    <xf numFmtId="0" fontId="32" fillId="0" borderId="2" xfId="40" applyFont="1" applyBorder="1" applyAlignment="1">
      <alignment horizontal="center" vertical="center" wrapText="1"/>
    </xf>
    <xf numFmtId="0" fontId="32" fillId="2" borderId="1" xfId="40" applyFont="1" applyFill="1" applyBorder="1" applyAlignment="1">
      <alignment horizontal="center" vertical="center" wrapText="1"/>
    </xf>
    <xf numFmtId="0" fontId="32" fillId="2" borderId="2" xfId="40" applyFont="1" applyFill="1" applyBorder="1" applyAlignment="1">
      <alignment horizontal="center" vertical="center" wrapText="1"/>
    </xf>
    <xf numFmtId="0" fontId="32" fillId="0" borderId="1" xfId="40" applyFont="1" applyBorder="1" applyAlignment="1">
      <alignment horizontal="center" vertical="center" wrapText="1"/>
    </xf>
    <xf numFmtId="0" fontId="36" fillId="2" borderId="0" xfId="14" applyFont="1" applyFill="1" applyAlignment="1">
      <alignment horizontal="left" vertical="center" wrapText="1"/>
    </xf>
    <xf numFmtId="168" fontId="36" fillId="2" borderId="0" xfId="14" applyNumberFormat="1" applyFont="1" applyFill="1" applyAlignment="1">
      <alignment horizontal="left" vertical="center" wrapText="1"/>
    </xf>
    <xf numFmtId="168" fontId="32" fillId="0" borderId="2" xfId="13" applyNumberFormat="1" applyFont="1" applyBorder="1" applyAlignment="1">
      <alignment horizontal="center" vertical="center"/>
    </xf>
    <xf numFmtId="0" fontId="32" fillId="0" borderId="2" xfId="13" applyFont="1" applyBorder="1" applyAlignment="1">
      <alignment horizontal="center" vertical="center"/>
    </xf>
    <xf numFmtId="168" fontId="32" fillId="2" borderId="1" xfId="13" applyNumberFormat="1" applyFont="1" applyFill="1" applyBorder="1" applyAlignment="1">
      <alignment horizontal="center" vertical="center"/>
    </xf>
    <xf numFmtId="0" fontId="36" fillId="0" borderId="0" xfId="14" applyFont="1" applyAlignment="1">
      <alignment horizontal="left" vertical="center" wrapText="1"/>
    </xf>
    <xf numFmtId="0" fontId="32" fillId="2" borderId="3" xfId="2" applyFont="1" applyFill="1" applyBorder="1" applyAlignment="1">
      <alignment horizontal="center" vertical="top" wrapText="1"/>
    </xf>
    <xf numFmtId="0" fontId="32" fillId="2" borderId="1" xfId="2" applyFont="1" applyFill="1" applyBorder="1" applyAlignment="1">
      <alignment horizontal="center" vertical="top" wrapText="1"/>
    </xf>
    <xf numFmtId="0" fontId="32" fillId="2" borderId="2" xfId="25" applyFont="1" applyFill="1" applyBorder="1" applyAlignment="1">
      <alignment horizontal="center" vertical="center" wrapText="1"/>
    </xf>
    <xf numFmtId="0" fontId="32" fillId="2" borderId="2" xfId="25" applyFont="1" applyFill="1" applyBorder="1" applyAlignment="1">
      <alignment horizontal="center" vertical="center"/>
    </xf>
    <xf numFmtId="0" fontId="32" fillId="2" borderId="2" xfId="13" applyFont="1" applyFill="1" applyBorder="1" applyAlignment="1">
      <alignment horizontal="center" vertical="center" wrapText="1"/>
    </xf>
    <xf numFmtId="0" fontId="32" fillId="2" borderId="1" xfId="13" applyFont="1" applyFill="1" applyBorder="1" applyAlignment="1">
      <alignment horizontal="center" vertical="center" wrapText="1"/>
    </xf>
    <xf numFmtId="169" fontId="32" fillId="2" borderId="3" xfId="13" applyNumberFormat="1" applyFont="1" applyFill="1" applyBorder="1" applyAlignment="1">
      <alignment horizontal="center" vertical="center"/>
    </xf>
    <xf numFmtId="168" fontId="32" fillId="2" borderId="0" xfId="2" applyNumberFormat="1" applyFont="1" applyFill="1" applyAlignment="1">
      <alignment horizontal="right" vertical="center" wrapText="1"/>
    </xf>
    <xf numFmtId="0" fontId="32" fillId="2" borderId="3" xfId="13" applyFont="1" applyFill="1" applyBorder="1" applyAlignment="1">
      <alignment horizontal="center" wrapText="1"/>
    </xf>
    <xf numFmtId="0" fontId="32" fillId="2" borderId="2" xfId="13" applyFont="1" applyFill="1" applyBorder="1" applyAlignment="1">
      <alignment horizontal="center" vertical="center"/>
    </xf>
    <xf numFmtId="169" fontId="32" fillId="2" borderId="3" xfId="2" applyNumberFormat="1" applyFont="1" applyFill="1" applyBorder="1" applyAlignment="1">
      <alignment horizontal="right" vertical="center" wrapText="1"/>
    </xf>
    <xf numFmtId="169" fontId="32" fillId="2" borderId="1" xfId="2" applyNumberFormat="1" applyFont="1" applyFill="1" applyBorder="1" applyAlignment="1">
      <alignment horizontal="right" vertical="center" wrapText="1"/>
    </xf>
  </cellXfs>
  <cellStyles count="95">
    <cellStyle name="Hipervínculo" xfId="30" builtinId="8"/>
    <cellStyle name="Hipervínculo 2" xfId="32" xr:uid="{00000000-0005-0000-0000-000001000000}"/>
    <cellStyle name="Hipervínculo 2 2" xfId="6" xr:uid="{00000000-0005-0000-0000-000002000000}"/>
    <cellStyle name="Millares 2" xfId="9" xr:uid="{00000000-0005-0000-0000-000003000000}"/>
    <cellStyle name="Millares 2 2" xfId="7" xr:uid="{00000000-0005-0000-0000-000004000000}"/>
    <cellStyle name="Millares 2 2 2" xfId="37" xr:uid="{DDD02E27-53D8-4A39-8EEE-6079F5446A7C}"/>
    <cellStyle name="Millares 2 3" xfId="49" xr:uid="{8C837B00-B145-40FD-BEFF-394FE24A14E2}"/>
    <cellStyle name="Millares 4" xfId="16" xr:uid="{00000000-0005-0000-0000-000005000000}"/>
    <cellStyle name="Normal" xfId="0" builtinId="0"/>
    <cellStyle name="Normal 10" xfId="3" xr:uid="{00000000-0005-0000-0000-000007000000}"/>
    <cellStyle name="Normal 10 2" xfId="15" xr:uid="{00000000-0005-0000-0000-000008000000}"/>
    <cellStyle name="Normal 10 2 2" xfId="27" xr:uid="{00000000-0005-0000-0000-000009000000}"/>
    <cellStyle name="Normal 10 3" xfId="43" xr:uid="{B5574C8A-1869-4416-9B09-DFB783FC5805}"/>
    <cellStyle name="Normal 10 3 3 13" xfId="22" xr:uid="{00000000-0005-0000-0000-00000A000000}"/>
    <cellStyle name="Normal 10 4" xfId="45" xr:uid="{554F3968-F1F0-4A98-A12B-22C87BDB312B}"/>
    <cellStyle name="Normal 11" xfId="14" xr:uid="{00000000-0005-0000-0000-00000B000000}"/>
    <cellStyle name="Normal 2" xfId="13" xr:uid="{00000000-0005-0000-0000-00000C000000}"/>
    <cellStyle name="Normal 2 2" xfId="4" xr:uid="{00000000-0005-0000-0000-00000D000000}"/>
    <cellStyle name="Normal 2 2 10" xfId="66" xr:uid="{416FCE09-D9EF-4666-BB36-F4D50555D878}"/>
    <cellStyle name="Normal 2 2 11" xfId="34" xr:uid="{961084BF-B3C3-4ACD-B058-482A8E6916B4}"/>
    <cellStyle name="Normal 2 2 11 2" xfId="41" xr:uid="{C8603543-CAE9-4541-B54F-1FFA055ECD95}"/>
    <cellStyle name="Normal 2 2 12" xfId="84" xr:uid="{709B5AFB-036A-4F25-AB7A-781862A9BD85}"/>
    <cellStyle name="Normal 2 2 2" xfId="2" xr:uid="{00000000-0005-0000-0000-00000E000000}"/>
    <cellStyle name="Normal 2 2 3" xfId="36" xr:uid="{4C1B23FB-3FAC-4FF6-A2C9-BB16E66881CA}"/>
    <cellStyle name="Normal 2 2 4" xfId="28" xr:uid="{00000000-0005-0000-0000-00000F000000}"/>
    <cellStyle name="Normal 2 2 4 2" xfId="70" xr:uid="{D2A4AF96-F3FB-479A-B9CE-AC2E042F98A9}"/>
    <cellStyle name="Normal 2 2 5" xfId="40" xr:uid="{562F3B68-6D05-42EA-BEB0-A2FE53C36394}"/>
    <cellStyle name="Normal 2 2 6" xfId="53" xr:uid="{007C29A7-5487-4EB0-9FDA-55F18BD5FE27}"/>
    <cellStyle name="Normal 2 2 7" xfId="58" xr:uid="{05E3FF85-5B0D-44BA-A276-A4285EFCA4FD}"/>
    <cellStyle name="Normal 2 2 8" xfId="61" xr:uid="{7531FF48-AEF5-4297-B358-A5DF1B3FFA59}"/>
    <cellStyle name="Normal 2 2 9" xfId="64" xr:uid="{EDA07111-392A-4F74-9B0D-6C966565D4FC}"/>
    <cellStyle name="Normal 2 3" xfId="20" xr:uid="{00000000-0005-0000-0000-000010000000}"/>
    <cellStyle name="Normal 2 4" xfId="17" xr:uid="{00000000-0005-0000-0000-000011000000}"/>
    <cellStyle name="Normal 2 5" xfId="25" xr:uid="{00000000-0005-0000-0000-000012000000}"/>
    <cellStyle name="Normal 3" xfId="1" xr:uid="{00000000-0005-0000-0000-000013000000}"/>
    <cellStyle name="Normal 3 10" xfId="62" xr:uid="{CE89B174-B68C-41C5-8401-D2EF8467A3B4}"/>
    <cellStyle name="Normal 3 11" xfId="65" xr:uid="{45530FA8-1F2C-4E77-ADAB-E62AAE38226D}"/>
    <cellStyle name="Normal 3 12" xfId="68" xr:uid="{C9C94715-3E3B-4DAF-9E8D-A492AA56006F}"/>
    <cellStyle name="Normal 3 13" xfId="71" xr:uid="{F69042C6-E8E7-40FB-A89F-3349F30CB664}"/>
    <cellStyle name="Normal 3 14" xfId="74" xr:uid="{3F49BEF6-1C9B-43E9-B6E8-B70A18E19491}"/>
    <cellStyle name="Normal 3 15" xfId="77" xr:uid="{12EA43D9-CD1E-4D25-9A6C-6C7B9359E27E}"/>
    <cellStyle name="Normal 3 16" xfId="80" xr:uid="{104D59C6-0AA6-4E43-AC47-3196F774F0C3}"/>
    <cellStyle name="Normal 3 17" xfId="83" xr:uid="{119C94B0-7ED5-4F38-9AF2-A52C20BE57B9}"/>
    <cellStyle name="Normal 3 2" xfId="12" xr:uid="{00000000-0005-0000-0000-000014000000}"/>
    <cellStyle name="Normal 3 2 10" xfId="60" xr:uid="{4590FF16-D1C1-4659-A026-4440093A4944}"/>
    <cellStyle name="Normal 3 2 11" xfId="63" xr:uid="{683186D8-8FE6-416D-A838-69E667E2DD9D}"/>
    <cellStyle name="Normal 3 2 12" xfId="72" xr:uid="{6406DE45-E1A8-481A-BAFE-ED14C4C09399}"/>
    <cellStyle name="Normal 3 2 13" xfId="78" xr:uid="{F3CB7388-EF8B-4E2F-AC28-5AD0972474E7}"/>
    <cellStyle name="Normal 3 2 14" xfId="81" xr:uid="{75730DE4-9D7B-4B89-85C7-C6F267D62134}"/>
    <cellStyle name="Normal 3 2 2" xfId="19" xr:uid="{00000000-0005-0000-0000-000015000000}"/>
    <cellStyle name="Normal 3 2 2 2" xfId="24" xr:uid="{00000000-0005-0000-0000-000016000000}"/>
    <cellStyle name="Normal 3 2 2 3" xfId="42" xr:uid="{7197DC52-3764-44A1-973D-2F4F2A57979A}"/>
    <cellStyle name="Normal 3 2 2 3 2" xfId="91" xr:uid="{16DF6C19-7A2A-4335-80E9-9837BF2ADE1B}"/>
    <cellStyle name="Normal 3 2 2 3 3" xfId="93" xr:uid="{A30816E0-7EA8-4C7A-8FC9-A6AFD91CF8FA}"/>
    <cellStyle name="Normal 3 2 2 3 4" xfId="94" xr:uid="{B698F3C7-BE79-4C21-B232-B97E3CE352D2}"/>
    <cellStyle name="Normal 3 2 2 4" xfId="67" xr:uid="{581B5B02-0586-417B-80CC-02B5BA22C1FC}"/>
    <cellStyle name="Normal 3 2 2 5" xfId="73" xr:uid="{A50E7E0A-CE58-42DF-BFA9-7A1B3C00DF8C}"/>
    <cellStyle name="Normal 3 2 2 6" xfId="76" xr:uid="{4C645D11-506D-4F23-8B08-1279B58DA348}"/>
    <cellStyle name="Normal 3 2 2 7" xfId="79" xr:uid="{F0210718-3F67-4225-AA51-B8F637142A18}"/>
    <cellStyle name="Normal 3 2 2 8" xfId="82" xr:uid="{9F19EB3D-65BE-4876-939E-BDD7D9F845D9}"/>
    <cellStyle name="Normal 3 2 2 9" xfId="86" xr:uid="{E8F29572-9951-40D8-A77C-41D015CFF7C0}"/>
    <cellStyle name="Normal 3 2 3" xfId="23" xr:uid="{00000000-0005-0000-0000-000017000000}"/>
    <cellStyle name="Normal 3 2 4" xfId="26" xr:uid="{00000000-0005-0000-0000-000018000000}"/>
    <cellStyle name="Normal 3 2 4 2" xfId="69" xr:uid="{10BD5811-2412-4F70-9699-8F9616EA0E78}"/>
    <cellStyle name="Normal 3 2 5" xfId="29" xr:uid="{00000000-0005-0000-0000-000019000000}"/>
    <cellStyle name="Normal 3 2 5 2" xfId="75" xr:uid="{918732F3-C8D0-438B-8130-32996D561545}"/>
    <cellStyle name="Normal 3 2 5 2 2" xfId="92" xr:uid="{E470928E-5137-4712-A7DE-BBBD5CFFA753}"/>
    <cellStyle name="Normal 3 2 6" xfId="38" xr:uid="{91CB754E-73C0-405E-BA0B-47C28EEBEBD1}"/>
    <cellStyle name="Normal 3 2 6 2" xfId="88" xr:uid="{A8B0EADD-04DB-4EA7-92F0-76A6266C4AC9}"/>
    <cellStyle name="Normal 3 2 7" xfId="46" xr:uid="{C3E5761B-B903-4E98-9385-D5EB3BD97FCA}"/>
    <cellStyle name="Normal 3 2 7 2" xfId="90" xr:uid="{9DEAF5BE-5A74-43F5-91CC-51ACA8ED96E3}"/>
    <cellStyle name="Normal 3 2 8" xfId="54" xr:uid="{D6A620A9-2743-422F-AF06-BDBD9FBD4910}"/>
    <cellStyle name="Normal 3 2 9" xfId="56" xr:uid="{45F76600-B736-480C-BCEF-320561FAFFF8}"/>
    <cellStyle name="Normal 3 3" xfId="18" xr:uid="{00000000-0005-0000-0000-00001A000000}"/>
    <cellStyle name="Normal 3 4" xfId="35" xr:uid="{41F1E669-3280-4358-98D0-9397D3845100}"/>
    <cellStyle name="Normal 3 4 2" xfId="87" xr:uid="{2F1428BB-822A-411F-88CC-E1B5446F8478}"/>
    <cellStyle name="Normal 3 5" xfId="39" xr:uid="{E0E9B950-7CED-4B60-8057-53F78E2E1443}"/>
    <cellStyle name="Normal 3 5 2" xfId="89" xr:uid="{60105458-BFC4-4D34-9B31-691D9730F4D7}"/>
    <cellStyle name="Normal 3 6" xfId="44" xr:uid="{EC48C01E-B26B-4ABB-8433-0805CE40E9A6}"/>
    <cellStyle name="Normal 3 7" xfId="51" xr:uid="{5F7B5A77-29A1-439A-A033-16A44222A4C8}"/>
    <cellStyle name="Normal 3 8" xfId="55" xr:uid="{5C10CA17-0086-4DED-BB2D-32AF5EED6B02}"/>
    <cellStyle name="Normal 3 9" xfId="59" xr:uid="{9C2431BE-60BB-40D4-B616-94E6BC9C5A54}"/>
    <cellStyle name="Normal 4" xfId="5" xr:uid="{00000000-0005-0000-0000-00001B000000}"/>
    <cellStyle name="Normal 4 2" xfId="47" xr:uid="{A976756E-F597-4436-BF4C-DC6DF9701DD5}"/>
    <cellStyle name="Normal 4 3" xfId="52" xr:uid="{B22779A6-9334-41A4-BE38-B199B795D7B4}"/>
    <cellStyle name="Normal 4 4" xfId="57" xr:uid="{2AFE99F9-193F-4C91-AB58-F2F08D2AFD5F}"/>
    <cellStyle name="Normal 4 5" xfId="85" xr:uid="{CFA3DF30-41EB-4BF8-934B-923DF0D6820E}"/>
    <cellStyle name="Normal 5" xfId="21" xr:uid="{00000000-0005-0000-0000-00001C000000}"/>
    <cellStyle name="Normal 5 2" xfId="10" xr:uid="{00000000-0005-0000-0000-00001D000000}"/>
    <cellStyle name="Normal 5 2 2" xfId="50" xr:uid="{FD06C68C-35B4-46F0-8DF9-4225C62472AB}"/>
    <cellStyle name="Normal 6" xfId="11" xr:uid="{00000000-0005-0000-0000-00001E000000}"/>
    <cellStyle name="Normal 7" xfId="31" xr:uid="{00000000-0005-0000-0000-00001F000000}"/>
    <cellStyle name="Normal 7 2" xfId="33" xr:uid="{00000000-0005-0000-0000-000020000000}"/>
    <cellStyle name="Normal 9" xfId="8" xr:uid="{00000000-0005-0000-0000-000021000000}"/>
    <cellStyle name="Normal 9 2" xfId="48" xr:uid="{8454A724-C119-4B16-A5ED-80E3AF0697B0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F61BC4AD-03BA-4547-A397-4AFEC6DE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A542DE89-8221-4150-87F1-3B1EDDF72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0955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9"/>
  <sheetViews>
    <sheetView showGridLines="0" tabSelected="1" zoomScaleNormal="100" workbookViewId="0"/>
  </sheetViews>
  <sheetFormatPr baseColWidth="10" defaultRowHeight="14.25"/>
  <cols>
    <col min="1" max="1" width="1.7109375" style="66" customWidth="1"/>
    <col min="2" max="2" width="20.28515625" style="66" customWidth="1"/>
    <col min="3" max="3" width="17.42578125" style="66" customWidth="1"/>
    <col min="4" max="14" width="11.42578125" style="66"/>
    <col min="15" max="15" width="1.7109375" style="66" customWidth="1"/>
    <col min="16" max="16384" width="11.42578125" style="66"/>
  </cols>
  <sheetData>
    <row r="1" spans="1:15">
      <c r="B1" s="78"/>
      <c r="C1" s="78"/>
    </row>
    <row r="2" spans="1:15" ht="19.5" customHeight="1">
      <c r="B2" s="769" t="s">
        <v>206</v>
      </c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</row>
    <row r="3" spans="1:15" ht="19.5" customHeight="1">
      <c r="B3" s="770" t="s">
        <v>180</v>
      </c>
      <c r="C3" s="770"/>
      <c r="D3" s="770"/>
      <c r="E3" s="770"/>
      <c r="F3" s="770"/>
      <c r="G3" s="770"/>
      <c r="H3" s="770"/>
      <c r="I3" s="770"/>
      <c r="J3" s="770"/>
      <c r="K3" s="770"/>
      <c r="L3" s="770"/>
      <c r="M3" s="770"/>
      <c r="N3" s="770"/>
    </row>
    <row r="4" spans="1:15" ht="16.5" customHeight="1">
      <c r="A4" s="771" t="s">
        <v>236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</row>
    <row r="5" spans="1:15" s="75" customFormat="1" ht="6.95" customHeight="1">
      <c r="A5" s="76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</row>
    <row r="6" spans="1:15" s="75" customFormat="1" ht="16.5" customHeight="1">
      <c r="A6" s="76"/>
      <c r="B6" s="772" t="s">
        <v>181</v>
      </c>
      <c r="C6" s="772"/>
      <c r="D6" s="772"/>
      <c r="E6" s="772"/>
      <c r="F6" s="772"/>
      <c r="G6" s="772"/>
      <c r="H6" s="772"/>
      <c r="I6" s="772"/>
      <c r="J6" s="772"/>
      <c r="K6" s="772"/>
      <c r="L6" s="772"/>
      <c r="M6" s="772"/>
      <c r="N6" s="772"/>
      <c r="O6" s="76"/>
    </row>
    <row r="7" spans="1:15" ht="19.5" customHeight="1">
      <c r="A7" s="67"/>
      <c r="B7" s="74" t="s">
        <v>230</v>
      </c>
      <c r="C7" s="74"/>
      <c r="D7" s="67"/>
      <c r="E7" s="67"/>
      <c r="F7" s="67"/>
      <c r="G7" s="67"/>
      <c r="H7" s="67"/>
      <c r="I7" s="67"/>
      <c r="J7" s="67"/>
      <c r="K7" s="67"/>
      <c r="L7" s="67"/>
      <c r="M7" s="773" t="str">
        <f>CONCATENATE("Total de tabulados: ", COUNTIF(C10:C31,"&lt;&gt;"))</f>
        <v>Total de tabulados: 21</v>
      </c>
      <c r="N7" s="773"/>
      <c r="O7" s="67"/>
    </row>
    <row r="8" spans="1:15" ht="6.95" customHeight="1" thickBot="1"/>
    <row r="9" spans="1:15" ht="18.75" customHeight="1" thickBot="1">
      <c r="B9" s="73" t="s">
        <v>182</v>
      </c>
      <c r="C9" s="152" t="s">
        <v>183</v>
      </c>
      <c r="D9" s="777" t="s">
        <v>184</v>
      </c>
      <c r="E9" s="777"/>
      <c r="F9" s="777"/>
      <c r="G9" s="777"/>
      <c r="H9" s="777"/>
      <c r="I9" s="777"/>
      <c r="J9" s="777"/>
      <c r="K9" s="777"/>
      <c r="L9" s="777"/>
      <c r="M9" s="777"/>
      <c r="N9" s="778"/>
    </row>
    <row r="10" spans="1:15" ht="39.950000000000003" customHeight="1">
      <c r="B10" s="766" t="s">
        <v>205</v>
      </c>
      <c r="C10" s="72" t="s">
        <v>117</v>
      </c>
      <c r="D10" s="774" t="s">
        <v>0</v>
      </c>
      <c r="E10" s="775"/>
      <c r="F10" s="775"/>
      <c r="G10" s="775"/>
      <c r="H10" s="775"/>
      <c r="I10" s="775"/>
      <c r="J10" s="775"/>
      <c r="K10" s="775"/>
      <c r="L10" s="775"/>
      <c r="M10" s="775"/>
      <c r="N10" s="776"/>
    </row>
    <row r="11" spans="1:15" ht="39.950000000000003" customHeight="1">
      <c r="B11" s="767"/>
      <c r="C11" s="69" t="s">
        <v>118</v>
      </c>
      <c r="D11" s="757" t="s">
        <v>38</v>
      </c>
      <c r="E11" s="758"/>
      <c r="F11" s="758"/>
      <c r="G11" s="758"/>
      <c r="H11" s="758"/>
      <c r="I11" s="758"/>
      <c r="J11" s="758"/>
      <c r="K11" s="758"/>
      <c r="L11" s="758"/>
      <c r="M11" s="758"/>
      <c r="N11" s="759"/>
    </row>
    <row r="12" spans="1:15" ht="39.950000000000003" customHeight="1">
      <c r="B12" s="767"/>
      <c r="C12" s="71" t="s">
        <v>119</v>
      </c>
      <c r="D12" s="757" t="s">
        <v>231</v>
      </c>
      <c r="E12" s="758"/>
      <c r="F12" s="758"/>
      <c r="G12" s="758"/>
      <c r="H12" s="758"/>
      <c r="I12" s="758"/>
      <c r="J12" s="758"/>
      <c r="K12" s="758"/>
      <c r="L12" s="758"/>
      <c r="M12" s="758"/>
      <c r="N12" s="759"/>
    </row>
    <row r="13" spans="1:15" ht="39.950000000000003" customHeight="1">
      <c r="B13" s="767"/>
      <c r="C13" s="69" t="s">
        <v>124</v>
      </c>
      <c r="D13" s="757" t="s">
        <v>232</v>
      </c>
      <c r="E13" s="758"/>
      <c r="F13" s="758"/>
      <c r="G13" s="758"/>
      <c r="H13" s="758"/>
      <c r="I13" s="758"/>
      <c r="J13" s="758"/>
      <c r="K13" s="758"/>
      <c r="L13" s="758"/>
      <c r="M13" s="758"/>
      <c r="N13" s="759"/>
    </row>
    <row r="14" spans="1:15" ht="39.950000000000003" customHeight="1">
      <c r="B14" s="767"/>
      <c r="C14" s="69" t="s">
        <v>126</v>
      </c>
      <c r="D14" s="757" t="s">
        <v>51</v>
      </c>
      <c r="E14" s="758"/>
      <c r="F14" s="758"/>
      <c r="G14" s="758"/>
      <c r="H14" s="758"/>
      <c r="I14" s="758"/>
      <c r="J14" s="758"/>
      <c r="K14" s="758"/>
      <c r="L14" s="758"/>
      <c r="M14" s="758"/>
      <c r="N14" s="759"/>
    </row>
    <row r="15" spans="1:15" ht="39.950000000000003" customHeight="1">
      <c r="B15" s="767"/>
      <c r="C15" s="69" t="s">
        <v>127</v>
      </c>
      <c r="D15" s="757" t="s">
        <v>233</v>
      </c>
      <c r="E15" s="758"/>
      <c r="F15" s="758"/>
      <c r="G15" s="758"/>
      <c r="H15" s="758"/>
      <c r="I15" s="758"/>
      <c r="J15" s="758"/>
      <c r="K15" s="758"/>
      <c r="L15" s="758"/>
      <c r="M15" s="758"/>
      <c r="N15" s="759"/>
    </row>
    <row r="16" spans="1:15" ht="39.950000000000003" customHeight="1">
      <c r="B16" s="767"/>
      <c r="C16" s="69" t="s">
        <v>133</v>
      </c>
      <c r="D16" s="757" t="s">
        <v>204</v>
      </c>
      <c r="E16" s="758"/>
      <c r="F16" s="758"/>
      <c r="G16" s="758"/>
      <c r="H16" s="758"/>
      <c r="I16" s="758"/>
      <c r="J16" s="758"/>
      <c r="K16" s="758"/>
      <c r="L16" s="758"/>
      <c r="M16" s="758"/>
      <c r="N16" s="759"/>
    </row>
    <row r="17" spans="1:14" ht="39.950000000000003" customHeight="1">
      <c r="B17" s="767"/>
      <c r="C17" s="69" t="s">
        <v>135</v>
      </c>
      <c r="D17" s="757" t="s">
        <v>203</v>
      </c>
      <c r="E17" s="758"/>
      <c r="F17" s="758"/>
      <c r="G17" s="758"/>
      <c r="H17" s="758"/>
      <c r="I17" s="758"/>
      <c r="J17" s="758"/>
      <c r="K17" s="758"/>
      <c r="L17" s="758"/>
      <c r="M17" s="758"/>
      <c r="N17" s="759"/>
    </row>
    <row r="18" spans="1:14" ht="39.950000000000003" customHeight="1">
      <c r="B18" s="767"/>
      <c r="C18" s="69" t="s">
        <v>139</v>
      </c>
      <c r="D18" s="757" t="s">
        <v>202</v>
      </c>
      <c r="E18" s="758"/>
      <c r="F18" s="758"/>
      <c r="G18" s="758"/>
      <c r="H18" s="758"/>
      <c r="I18" s="758"/>
      <c r="J18" s="758"/>
      <c r="K18" s="758"/>
      <c r="L18" s="758"/>
      <c r="M18" s="758"/>
      <c r="N18" s="759"/>
    </row>
    <row r="19" spans="1:14" ht="39.950000000000003" customHeight="1">
      <c r="B19" s="767"/>
      <c r="C19" s="69" t="s">
        <v>141</v>
      </c>
      <c r="D19" s="757" t="s">
        <v>201</v>
      </c>
      <c r="E19" s="758"/>
      <c r="F19" s="758"/>
      <c r="G19" s="758"/>
      <c r="H19" s="758"/>
      <c r="I19" s="758"/>
      <c r="J19" s="758"/>
      <c r="K19" s="758"/>
      <c r="L19" s="758"/>
      <c r="M19" s="758"/>
      <c r="N19" s="759"/>
    </row>
    <row r="20" spans="1:14" ht="39.950000000000003" customHeight="1">
      <c r="B20" s="767"/>
      <c r="C20" s="69" t="s">
        <v>143</v>
      </c>
      <c r="D20" s="757" t="s">
        <v>200</v>
      </c>
      <c r="E20" s="758"/>
      <c r="F20" s="758"/>
      <c r="G20" s="758"/>
      <c r="H20" s="758"/>
      <c r="I20" s="758"/>
      <c r="J20" s="758"/>
      <c r="K20" s="758"/>
      <c r="L20" s="758"/>
      <c r="M20" s="758"/>
      <c r="N20" s="759"/>
    </row>
    <row r="21" spans="1:14" ht="39.950000000000003" customHeight="1">
      <c r="B21" s="767"/>
      <c r="C21" s="79" t="s">
        <v>192</v>
      </c>
      <c r="D21" s="757" t="s">
        <v>199</v>
      </c>
      <c r="E21" s="758"/>
      <c r="F21" s="758"/>
      <c r="G21" s="758"/>
      <c r="H21" s="758"/>
      <c r="I21" s="758"/>
      <c r="J21" s="758"/>
      <c r="K21" s="758"/>
      <c r="L21" s="758"/>
      <c r="M21" s="758"/>
      <c r="N21" s="759"/>
    </row>
    <row r="22" spans="1:14" ht="39.950000000000003" customHeight="1">
      <c r="B22" s="767"/>
      <c r="C22" s="69" t="s">
        <v>146</v>
      </c>
      <c r="D22" s="757" t="s">
        <v>198</v>
      </c>
      <c r="E22" s="758"/>
      <c r="F22" s="758"/>
      <c r="G22" s="758"/>
      <c r="H22" s="758"/>
      <c r="I22" s="758"/>
      <c r="J22" s="758"/>
      <c r="K22" s="758"/>
      <c r="L22" s="758"/>
      <c r="M22" s="758"/>
      <c r="N22" s="759"/>
    </row>
    <row r="23" spans="1:14" ht="39.950000000000003" customHeight="1">
      <c r="A23" s="70"/>
      <c r="B23" s="767"/>
      <c r="C23" s="69" t="s">
        <v>147</v>
      </c>
      <c r="D23" s="757" t="s">
        <v>195</v>
      </c>
      <c r="E23" s="758"/>
      <c r="F23" s="758"/>
      <c r="G23" s="758"/>
      <c r="H23" s="758"/>
      <c r="I23" s="758"/>
      <c r="J23" s="758"/>
      <c r="K23" s="758"/>
      <c r="L23" s="758"/>
      <c r="M23" s="758"/>
      <c r="N23" s="759"/>
    </row>
    <row r="24" spans="1:14" ht="39.950000000000003" customHeight="1">
      <c r="B24" s="767"/>
      <c r="C24" s="69" t="s">
        <v>156</v>
      </c>
      <c r="D24" s="757" t="s">
        <v>197</v>
      </c>
      <c r="E24" s="758"/>
      <c r="F24" s="758"/>
      <c r="G24" s="758"/>
      <c r="H24" s="758"/>
      <c r="I24" s="758"/>
      <c r="J24" s="758"/>
      <c r="K24" s="758"/>
      <c r="L24" s="758"/>
      <c r="M24" s="758"/>
      <c r="N24" s="759"/>
    </row>
    <row r="25" spans="1:14" ht="39.950000000000003" customHeight="1">
      <c r="B25" s="767"/>
      <c r="C25" s="69" t="s">
        <v>157</v>
      </c>
      <c r="D25" s="757" t="s">
        <v>229</v>
      </c>
      <c r="E25" s="758"/>
      <c r="F25" s="758"/>
      <c r="G25" s="758"/>
      <c r="H25" s="758"/>
      <c r="I25" s="758"/>
      <c r="J25" s="758"/>
      <c r="K25" s="758"/>
      <c r="L25" s="758"/>
      <c r="M25" s="758"/>
      <c r="N25" s="759"/>
    </row>
    <row r="26" spans="1:14" ht="39.950000000000003" customHeight="1">
      <c r="B26" s="767"/>
      <c r="C26" s="69" t="s">
        <v>160</v>
      </c>
      <c r="D26" s="757" t="s">
        <v>196</v>
      </c>
      <c r="E26" s="758"/>
      <c r="F26" s="758"/>
      <c r="G26" s="758"/>
      <c r="H26" s="758"/>
      <c r="I26" s="758"/>
      <c r="J26" s="758"/>
      <c r="K26" s="758"/>
      <c r="L26" s="758"/>
      <c r="M26" s="758"/>
      <c r="N26" s="759"/>
    </row>
    <row r="27" spans="1:14" ht="39.950000000000003" customHeight="1">
      <c r="B27" s="767"/>
      <c r="C27" s="69" t="s">
        <v>162</v>
      </c>
      <c r="D27" s="763" t="s">
        <v>234</v>
      </c>
      <c r="E27" s="764"/>
      <c r="F27" s="764"/>
      <c r="G27" s="764"/>
      <c r="H27" s="764"/>
      <c r="I27" s="764"/>
      <c r="J27" s="764"/>
      <c r="K27" s="764"/>
      <c r="L27" s="764"/>
      <c r="M27" s="764"/>
      <c r="N27" s="765"/>
    </row>
    <row r="28" spans="1:14" ht="39.950000000000003" customHeight="1">
      <c r="B28" s="767"/>
      <c r="C28" s="69" t="s">
        <v>163</v>
      </c>
      <c r="D28" s="763" t="s">
        <v>194</v>
      </c>
      <c r="E28" s="764"/>
      <c r="F28" s="764"/>
      <c r="G28" s="764"/>
      <c r="H28" s="764"/>
      <c r="I28" s="764"/>
      <c r="J28" s="764"/>
      <c r="K28" s="764"/>
      <c r="L28" s="764"/>
      <c r="M28" s="764"/>
      <c r="N28" s="765"/>
    </row>
    <row r="29" spans="1:14" ht="39.950000000000003" customHeight="1">
      <c r="B29" s="767"/>
      <c r="C29" s="69" t="s">
        <v>164</v>
      </c>
      <c r="D29" s="757" t="s">
        <v>235</v>
      </c>
      <c r="E29" s="758"/>
      <c r="F29" s="758"/>
      <c r="G29" s="758"/>
      <c r="H29" s="758"/>
      <c r="I29" s="758"/>
      <c r="J29" s="758"/>
      <c r="K29" s="758"/>
      <c r="L29" s="758"/>
      <c r="M29" s="758"/>
      <c r="N29" s="759"/>
    </row>
    <row r="30" spans="1:14" ht="39.950000000000003" customHeight="1" thickBot="1">
      <c r="B30" s="768"/>
      <c r="C30" s="68" t="s">
        <v>165</v>
      </c>
      <c r="D30" s="760" t="s">
        <v>193</v>
      </c>
      <c r="E30" s="761"/>
      <c r="F30" s="761"/>
      <c r="G30" s="761"/>
      <c r="H30" s="761"/>
      <c r="I30" s="761"/>
      <c r="J30" s="761"/>
      <c r="K30" s="761"/>
      <c r="L30" s="761"/>
      <c r="M30" s="761"/>
      <c r="N30" s="762"/>
    </row>
    <row r="31" spans="1:14">
      <c r="C31" s="67"/>
    </row>
    <row r="32" spans="1:14">
      <c r="C32" s="67"/>
    </row>
    <row r="33" spans="3:3">
      <c r="C33" s="67"/>
    </row>
    <row r="34" spans="3:3">
      <c r="C34" s="67"/>
    </row>
    <row r="37" spans="3:3" ht="14.25" customHeight="1"/>
    <row r="51" spans="3:3">
      <c r="C51" s="67"/>
    </row>
    <row r="52" spans="3:3">
      <c r="C52" s="67"/>
    </row>
    <row r="53" spans="3:3">
      <c r="C53" s="67"/>
    </row>
    <row r="54" spans="3:3">
      <c r="C54" s="67"/>
    </row>
    <row r="55" spans="3:3">
      <c r="C55" s="67"/>
    </row>
    <row r="56" spans="3:3">
      <c r="C56" s="67"/>
    </row>
    <row r="57" spans="3:3">
      <c r="C57" s="67"/>
    </row>
    <row r="58" spans="3:3">
      <c r="C58" s="67"/>
    </row>
    <row r="59" spans="3:3">
      <c r="C59" s="67"/>
    </row>
    <row r="60" spans="3:3">
      <c r="C60" s="67"/>
    </row>
    <row r="61" spans="3:3">
      <c r="C61" s="67"/>
    </row>
    <row r="62" spans="3:3">
      <c r="C62" s="67"/>
    </row>
    <row r="63" spans="3:3">
      <c r="C63" s="67"/>
    </row>
    <row r="64" spans="3:3">
      <c r="C64" s="67"/>
    </row>
    <row r="65" spans="3:3">
      <c r="C65" s="67"/>
    </row>
    <row r="66" spans="3:3">
      <c r="C66" s="67"/>
    </row>
    <row r="67" spans="3:3">
      <c r="C67" s="67"/>
    </row>
    <row r="68" spans="3:3">
      <c r="C68" s="67"/>
    </row>
    <row r="69" spans="3:3">
      <c r="C69" s="67"/>
    </row>
    <row r="70" spans="3:3">
      <c r="C70" s="67"/>
    </row>
    <row r="71" spans="3:3">
      <c r="C71" s="67"/>
    </row>
    <row r="72" spans="3:3">
      <c r="C72" s="67"/>
    </row>
    <row r="73" spans="3:3">
      <c r="C73" s="67"/>
    </row>
    <row r="74" spans="3:3">
      <c r="C74" s="67"/>
    </row>
    <row r="75" spans="3:3">
      <c r="C75" s="67"/>
    </row>
    <row r="76" spans="3:3">
      <c r="C76" s="67"/>
    </row>
    <row r="77" spans="3:3">
      <c r="C77" s="67"/>
    </row>
    <row r="78" spans="3:3">
      <c r="C78" s="67"/>
    </row>
    <row r="79" spans="3:3">
      <c r="C79" s="67"/>
    </row>
    <row r="80" spans="3:3">
      <c r="C80" s="67"/>
    </row>
    <row r="81" spans="3:3">
      <c r="C81" s="67"/>
    </row>
    <row r="82" spans="3:3">
      <c r="C82" s="67"/>
    </row>
    <row r="83" spans="3:3">
      <c r="C83" s="67"/>
    </row>
    <row r="84" spans="3:3">
      <c r="C84" s="67"/>
    </row>
    <row r="85" spans="3:3">
      <c r="C85" s="67"/>
    </row>
    <row r="86" spans="3:3">
      <c r="C86" s="67"/>
    </row>
    <row r="87" spans="3:3">
      <c r="C87" s="67"/>
    </row>
    <row r="88" spans="3:3">
      <c r="C88" s="67"/>
    </row>
    <row r="89" spans="3:3">
      <c r="C89" s="67"/>
    </row>
    <row r="90" spans="3:3">
      <c r="C90" s="67"/>
    </row>
    <row r="91" spans="3:3">
      <c r="C91" s="67"/>
    </row>
    <row r="92" spans="3:3">
      <c r="C92" s="67"/>
    </row>
    <row r="93" spans="3:3">
      <c r="C93" s="67"/>
    </row>
    <row r="94" spans="3:3">
      <c r="C94" s="67"/>
    </row>
    <row r="95" spans="3:3">
      <c r="C95" s="67"/>
    </row>
    <row r="96" spans="3:3">
      <c r="C96" s="67"/>
    </row>
    <row r="97" spans="3:3">
      <c r="C97" s="67"/>
    </row>
    <row r="98" spans="3:3">
      <c r="C98" s="67"/>
    </row>
    <row r="99" spans="3:3">
      <c r="C99" s="67"/>
    </row>
    <row r="100" spans="3:3">
      <c r="C100" s="67"/>
    </row>
    <row r="101" spans="3:3">
      <c r="C101" s="67"/>
    </row>
    <row r="102" spans="3:3">
      <c r="C102" s="67"/>
    </row>
    <row r="103" spans="3:3">
      <c r="C103" s="67"/>
    </row>
    <row r="104" spans="3:3">
      <c r="C104" s="67"/>
    </row>
    <row r="105" spans="3:3">
      <c r="C105" s="67"/>
    </row>
    <row r="106" spans="3:3">
      <c r="C106" s="67"/>
    </row>
    <row r="107" spans="3:3">
      <c r="C107" s="67"/>
    </row>
    <row r="108" spans="3:3">
      <c r="C108" s="67"/>
    </row>
    <row r="109" spans="3:3">
      <c r="C109" s="67"/>
    </row>
    <row r="110" spans="3:3">
      <c r="C110" s="67"/>
    </row>
    <row r="111" spans="3:3">
      <c r="C111" s="67"/>
    </row>
    <row r="112" spans="3:3">
      <c r="C112" s="67"/>
    </row>
    <row r="113" spans="3:3">
      <c r="C113" s="67"/>
    </row>
    <row r="114" spans="3:3">
      <c r="C114" s="67"/>
    </row>
    <row r="115" spans="3:3">
      <c r="C115" s="67"/>
    </row>
    <row r="116" spans="3:3">
      <c r="C116" s="67"/>
    </row>
    <row r="117" spans="3:3">
      <c r="C117" s="67"/>
    </row>
    <row r="118" spans="3:3">
      <c r="C118" s="67"/>
    </row>
    <row r="119" spans="3:3">
      <c r="C119" s="67"/>
    </row>
    <row r="120" spans="3:3">
      <c r="C120" s="67"/>
    </row>
    <row r="121" spans="3:3">
      <c r="C121" s="67"/>
    </row>
    <row r="122" spans="3:3">
      <c r="C122" s="67"/>
    </row>
    <row r="123" spans="3:3">
      <c r="C123" s="67"/>
    </row>
    <row r="124" spans="3:3">
      <c r="C124" s="67"/>
    </row>
    <row r="125" spans="3:3">
      <c r="C125" s="67"/>
    </row>
    <row r="126" spans="3:3">
      <c r="C126" s="67"/>
    </row>
    <row r="127" spans="3:3">
      <c r="C127" s="67"/>
    </row>
    <row r="128" spans="3:3">
      <c r="C128" s="67"/>
    </row>
    <row r="129" spans="3:3">
      <c r="C129" s="67"/>
    </row>
    <row r="130" spans="3:3">
      <c r="C130" s="67"/>
    </row>
    <row r="131" spans="3:3">
      <c r="C131" s="67"/>
    </row>
    <row r="132" spans="3:3">
      <c r="C132" s="67"/>
    </row>
    <row r="133" spans="3:3">
      <c r="C133" s="67"/>
    </row>
    <row r="134" spans="3:3">
      <c r="C134" s="67"/>
    </row>
    <row r="135" spans="3:3">
      <c r="C135" s="67"/>
    </row>
    <row r="136" spans="3:3">
      <c r="C136" s="67"/>
    </row>
    <row r="137" spans="3:3">
      <c r="C137" s="67"/>
    </row>
    <row r="138" spans="3:3">
      <c r="C138" s="67"/>
    </row>
    <row r="139" spans="3:3">
      <c r="C139" s="67"/>
    </row>
    <row r="140" spans="3:3">
      <c r="C140" s="67"/>
    </row>
    <row r="141" spans="3:3">
      <c r="C141" s="67"/>
    </row>
    <row r="142" spans="3:3">
      <c r="C142" s="67"/>
    </row>
    <row r="143" spans="3:3">
      <c r="C143" s="67"/>
    </row>
    <row r="144" spans="3:3">
      <c r="C144" s="67"/>
    </row>
    <row r="145" spans="3:3">
      <c r="C145" s="67"/>
    </row>
    <row r="146" spans="3:3">
      <c r="C146" s="67"/>
    </row>
    <row r="147" spans="3:3">
      <c r="C147" s="67"/>
    </row>
    <row r="148" spans="3:3">
      <c r="C148" s="67"/>
    </row>
    <row r="149" spans="3:3">
      <c r="C149" s="67"/>
    </row>
    <row r="150" spans="3:3">
      <c r="C150" s="67"/>
    </row>
    <row r="151" spans="3:3">
      <c r="C151" s="67"/>
    </row>
    <row r="152" spans="3:3">
      <c r="C152" s="67"/>
    </row>
    <row r="153" spans="3:3">
      <c r="C153" s="67"/>
    </row>
    <row r="154" spans="3:3">
      <c r="C154" s="67"/>
    </row>
    <row r="155" spans="3:3">
      <c r="C155" s="67"/>
    </row>
    <row r="156" spans="3:3">
      <c r="C156" s="67"/>
    </row>
    <row r="157" spans="3:3">
      <c r="C157" s="67"/>
    </row>
    <row r="158" spans="3:3">
      <c r="C158" s="67"/>
    </row>
    <row r="159" spans="3:3">
      <c r="C159" s="67"/>
    </row>
  </sheetData>
  <mergeCells count="28">
    <mergeCell ref="D16:N16"/>
    <mergeCell ref="D17:N17"/>
    <mergeCell ref="D19:N19"/>
    <mergeCell ref="D21:N21"/>
    <mergeCell ref="D22:N22"/>
    <mergeCell ref="B10:B30"/>
    <mergeCell ref="D20:N20"/>
    <mergeCell ref="B2:N2"/>
    <mergeCell ref="B3:N3"/>
    <mergeCell ref="A4:O4"/>
    <mergeCell ref="B6:N6"/>
    <mergeCell ref="M7:N7"/>
    <mergeCell ref="D24:N24"/>
    <mergeCell ref="D25:N25"/>
    <mergeCell ref="D10:N10"/>
    <mergeCell ref="D9:N9"/>
    <mergeCell ref="D11:N11"/>
    <mergeCell ref="D12:N12"/>
    <mergeCell ref="D13:N13"/>
    <mergeCell ref="D14:N14"/>
    <mergeCell ref="D15:N15"/>
    <mergeCell ref="D29:N29"/>
    <mergeCell ref="D30:N30"/>
    <mergeCell ref="D23:N23"/>
    <mergeCell ref="D18:N18"/>
    <mergeCell ref="D26:N26"/>
    <mergeCell ref="D27:N27"/>
    <mergeCell ref="D28:N28"/>
  </mergeCells>
  <hyperlinks>
    <hyperlink ref="C10" location="'Cuadro 3.1'!A1" tooltip="Ir a Cuadro 3.1" display="Cuadro 3.1" xr:uid="{7090058F-4E9B-4689-87C0-72905967FE78}"/>
    <hyperlink ref="C27" location="'Cuadro 3.17'!A1" tooltip="Ir a Cuadro 3.17" display="Cuadro 3.17" xr:uid="{D0DFEFB7-1D3E-41AE-9173-0881102F10BA}"/>
    <hyperlink ref="C28:C29" location="'Cuadro 2.1'!A1" tooltip="Ir a Cuadro 2.1" display="Cuadro 2.1" xr:uid="{0DE006D6-FCC4-4FA1-8824-444099218633}"/>
    <hyperlink ref="C30" location="'Cuadro 3.20'!A1" tooltip="Ir a Cuadro 3.20" display="Cuadro 3.20" xr:uid="{DAE08FD9-ED4C-4907-9E72-03A2EF94A57C}"/>
    <hyperlink ref="C11" location="'Cuadro 3.2'!A1" tooltip="Ir a Cuadro 3.2" display="Cuadro 3.2" xr:uid="{A11F6A3A-6804-4921-B1FB-32B796B45538}"/>
    <hyperlink ref="C12" location="'Cuadro 3.3'!A1" tooltip="Ir a Cuadro 3.3" display="Cuadro 3.3" xr:uid="{FAF52F25-5F19-42CE-90E4-118071668128}"/>
    <hyperlink ref="C13" location="'Cuadro 3.4'!A1" tooltip="Ir a Cuadro 3.4" display="Cuadro 3.4" xr:uid="{2F9E8814-AFFA-4B82-8415-495523DDA7C2}"/>
    <hyperlink ref="C14" location="'Cuadro 3.5'!A1" tooltip="Ir a Cuadro 3.5" display="Cuadro 3.5" xr:uid="{5847531F-7040-4FC3-9B3D-F0F98379FFAA}"/>
    <hyperlink ref="C15" location="'Cuadro 3.6'!A1" tooltip="Ir a Cuadro 3.6" display="Cuadro 3.6" xr:uid="{EF97FE1B-28D0-4271-97FB-7B250263F75E}"/>
    <hyperlink ref="C16" location="'Cuadro 3.7'!A1" tooltip="Ir a Cuadro 3.7" display="Cuadro 3.7" xr:uid="{C7FF12F1-3D3D-4510-944C-CD4519EAF9AE}"/>
    <hyperlink ref="C17" location="'Cuadro 3.8'!A1" tooltip="Ir a Cuadro 3.8" display="Cuadro 3.8" xr:uid="{B958896E-5CF9-4AA4-BDE5-A90BDB715D35}"/>
    <hyperlink ref="C18" location="'Cuadro 3.9'!A1" tooltip="Ir a Cuadro 3.9" display="Cuadro 3.9" xr:uid="{B9BC3ECB-C9A8-4261-A77C-666CAAFAF4EB}"/>
    <hyperlink ref="C19" location="'Cuadro 3.10'!A1" tooltip="Ir a Cuadro 3.10" display="Cuadro 3.10" xr:uid="{CEF9120B-1978-425C-B3CA-5988DF27294A}"/>
    <hyperlink ref="C21" location="'Cuadro 3.11a'!A1" tooltip="Ir a Cuadro 3.11a" display="Cuadro 3.11a" xr:uid="{640939DC-1122-4119-91A5-30C15BBD467C}"/>
    <hyperlink ref="C22" location="'Cuadro 3.12'!A1" tooltip="Ir a Cuadro 3.12" display="Cuadro 3.12" xr:uid="{A51DF00B-3355-487D-83EF-C0351FA485C6}"/>
    <hyperlink ref="C23" location="'Cuadro 3.13'!A1" tooltip="Ir a Cuadro 3.13" display="Cuadro 3.13" xr:uid="{6149E981-C661-4B12-B83D-DB58A7E218F2}"/>
    <hyperlink ref="C24" location="'Cuadro 3.14'!A1" tooltip="Ir a Cuadro 3.14" display="Cuadro 3.14" xr:uid="{27EDDB6F-709B-4D69-A455-503F16CA48CF}"/>
    <hyperlink ref="C25" location="'Cuadro 3.15'!A1" tooltip="Ir a Cuadro 3.15" display="Cuadro 3.15" xr:uid="{F329A248-9D5D-4221-BAAE-E29B8776BDB9}"/>
    <hyperlink ref="C26" location="'Cuadro 3.16'!A1" tooltip="Ir a Cuadro 3.16" display="Cuadro 3.16" xr:uid="{823C7B9C-B2F3-4755-B9DA-BF65D80F16AB}"/>
    <hyperlink ref="C28" location="'Cuadro 3.18'!A1" tooltip="Ir a Cuadro 3.18" display="Cuadro 3.18" xr:uid="{00BD6C14-D6AD-4948-8F7E-4C58A275F4B2}"/>
    <hyperlink ref="C29" location="'Cuadro 3.19'!A1" tooltip="Ir a Cuadro 3.19" display="Cuadro 3.19" xr:uid="{5BB5EA0C-98BD-4C74-AF03-7AAED73E7CC0}"/>
    <hyperlink ref="C20" location="'Cuadro 3.11'!A1" tooltip="Ir a Cuadro 3.11" display="Cuadro 3.11" xr:uid="{4C9A387A-6D60-4742-99B6-F2D3E4FF18CB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B7AA-2063-4250-8FB0-BF8738D57A9B}">
  <dimension ref="A1:Q49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589" customWidth="1"/>
    <col min="3" max="3" width="0.85546875" style="586" customWidth="1"/>
    <col min="4" max="4" width="18.7109375" style="587" customWidth="1"/>
    <col min="5" max="5" width="1.7109375" style="587" customWidth="1"/>
    <col min="6" max="7" width="12.7109375" style="587" customWidth="1"/>
    <col min="8" max="8" width="1.7109375" style="587" customWidth="1"/>
    <col min="9" max="10" width="12.7109375" style="587" customWidth="1"/>
    <col min="11" max="11" width="1.7109375" style="587" customWidth="1"/>
    <col min="12" max="13" width="12.7109375" style="587" customWidth="1"/>
    <col min="14" max="14" width="1.7109375" style="587" customWidth="1"/>
    <col min="15" max="16" width="12.7109375" style="588" customWidth="1"/>
    <col min="17" max="16384" width="11.42578125" style="589"/>
  </cols>
  <sheetData>
    <row r="1" spans="1:17" s="577" customFormat="1" ht="13.5" customHeight="1">
      <c r="A1" s="53"/>
      <c r="B1" s="756" t="s">
        <v>268</v>
      </c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8"/>
      <c r="O1" s="579"/>
      <c r="P1" s="89" t="s">
        <v>191</v>
      </c>
    </row>
    <row r="2" spans="1:17" s="577" customFormat="1" ht="6.95" customHeight="1">
      <c r="A2" s="53"/>
      <c r="B2" s="756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9"/>
      <c r="P2" s="579"/>
    </row>
    <row r="3" spans="1:17" s="577" customFormat="1" ht="14.1" customHeight="1">
      <c r="A3" s="53"/>
      <c r="B3" s="756" t="s">
        <v>236</v>
      </c>
      <c r="C3" s="580"/>
      <c r="D3" s="581"/>
      <c r="E3" s="581"/>
      <c r="F3" s="581"/>
      <c r="G3" s="581"/>
      <c r="H3" s="581"/>
      <c r="I3" s="581"/>
      <c r="J3" s="578"/>
      <c r="K3" s="578"/>
      <c r="L3" s="578"/>
      <c r="M3" s="578"/>
      <c r="N3" s="578"/>
      <c r="O3" s="579"/>
      <c r="P3" s="579"/>
    </row>
    <row r="4" spans="1:17" s="577" customFormat="1" ht="6.95" customHeight="1">
      <c r="A4" s="53"/>
      <c r="C4" s="582"/>
      <c r="D4" s="578"/>
      <c r="E4" s="578"/>
      <c r="F4" s="578"/>
      <c r="G4" s="578"/>
      <c r="H4" s="578"/>
      <c r="I4" s="578"/>
      <c r="J4" s="578"/>
      <c r="K4" s="578"/>
      <c r="L4" s="578"/>
      <c r="M4" s="578"/>
      <c r="N4" s="578"/>
      <c r="O4" s="579"/>
      <c r="P4" s="579"/>
    </row>
    <row r="5" spans="1:17" s="577" customFormat="1" ht="20.100000000000001" customHeight="1">
      <c r="A5" s="53"/>
      <c r="B5" s="779" t="s">
        <v>0</v>
      </c>
      <c r="C5" s="779"/>
      <c r="D5" s="780"/>
      <c r="E5" s="779"/>
      <c r="F5" s="780"/>
      <c r="G5" s="779"/>
      <c r="H5" s="779"/>
      <c r="I5" s="780"/>
      <c r="J5" s="779"/>
      <c r="K5" s="779"/>
      <c r="L5" s="780"/>
      <c r="M5" s="779"/>
      <c r="N5" s="779"/>
      <c r="O5" s="583"/>
      <c r="P5" s="90" t="s">
        <v>117</v>
      </c>
      <c r="Q5" s="584"/>
    </row>
    <row r="6" spans="1:17" ht="6" customHeight="1">
      <c r="A6" s="53"/>
      <c r="B6" s="585"/>
    </row>
    <row r="7" spans="1:17" ht="15" customHeight="1">
      <c r="A7" s="53"/>
      <c r="B7" s="781" t="s">
        <v>1</v>
      </c>
      <c r="C7" s="781"/>
      <c r="D7" s="784" t="s">
        <v>237</v>
      </c>
      <c r="E7" s="590"/>
      <c r="F7" s="787" t="s">
        <v>238</v>
      </c>
      <c r="G7" s="787"/>
      <c r="H7" s="787"/>
      <c r="I7" s="787"/>
      <c r="J7" s="787"/>
      <c r="K7" s="787"/>
      <c r="L7" s="787"/>
      <c r="M7" s="787"/>
      <c r="N7" s="787"/>
      <c r="O7" s="787"/>
      <c r="P7" s="787"/>
      <c r="Q7" s="591"/>
    </row>
    <row r="8" spans="1:17" ht="24.75" customHeight="1">
      <c r="A8" s="53"/>
      <c r="B8" s="782"/>
      <c r="C8" s="782"/>
      <c r="D8" s="785"/>
      <c r="E8" s="592"/>
      <c r="F8" s="788" t="s">
        <v>2</v>
      </c>
      <c r="G8" s="788"/>
      <c r="H8" s="593"/>
      <c r="I8" s="788" t="s">
        <v>239</v>
      </c>
      <c r="J8" s="788"/>
      <c r="K8" s="594"/>
      <c r="L8" s="788" t="s">
        <v>240</v>
      </c>
      <c r="M8" s="788"/>
      <c r="N8" s="594"/>
      <c r="O8" s="788" t="s">
        <v>241</v>
      </c>
      <c r="P8" s="788"/>
    </row>
    <row r="9" spans="1:17">
      <c r="A9" s="54"/>
      <c r="B9" s="783"/>
      <c r="C9" s="783"/>
      <c r="D9" s="786"/>
      <c r="E9" s="595"/>
      <c r="F9" s="83" t="s">
        <v>3</v>
      </c>
      <c r="G9" s="83" t="s">
        <v>4</v>
      </c>
      <c r="H9" s="596"/>
      <c r="I9" s="83" t="s">
        <v>3</v>
      </c>
      <c r="J9" s="83" t="s">
        <v>4</v>
      </c>
      <c r="K9" s="596"/>
      <c r="L9" s="83" t="s">
        <v>3</v>
      </c>
      <c r="M9" s="83" t="s">
        <v>4</v>
      </c>
      <c r="N9" s="596"/>
      <c r="O9" s="83" t="s">
        <v>3</v>
      </c>
      <c r="P9" s="83" t="s">
        <v>4</v>
      </c>
      <c r="Q9" s="597"/>
    </row>
    <row r="10" spans="1:17" ht="6" customHeight="1">
      <c r="A10" s="54"/>
      <c r="B10" s="15"/>
      <c r="C10" s="598"/>
      <c r="D10" s="599"/>
      <c r="E10" s="599"/>
      <c r="F10" s="600"/>
      <c r="G10" s="600"/>
      <c r="H10" s="600"/>
      <c r="I10" s="600"/>
      <c r="J10" s="600"/>
      <c r="K10" s="600"/>
      <c r="L10" s="600"/>
      <c r="M10" s="600"/>
    </row>
    <row r="11" spans="1:17">
      <c r="A11" s="206"/>
      <c r="B11" s="16" t="s">
        <v>5</v>
      </c>
      <c r="C11" s="589"/>
      <c r="D11" s="601">
        <v>245318.59867594499</v>
      </c>
      <c r="E11" s="602"/>
      <c r="F11" s="601">
        <v>97960.761038796903</v>
      </c>
      <c r="G11" s="601">
        <v>0.25913207490000001</v>
      </c>
      <c r="H11" s="602"/>
      <c r="I11" s="601">
        <v>88747.563568536294</v>
      </c>
      <c r="J11" s="601">
        <v>0.23060258880000001</v>
      </c>
      <c r="K11" s="603"/>
      <c r="L11" s="601">
        <v>206795.536884114</v>
      </c>
      <c r="M11" s="601">
        <v>0.33431640730000001</v>
      </c>
      <c r="N11" s="602"/>
      <c r="O11" s="601">
        <v>32148.343314775801</v>
      </c>
      <c r="P11" s="601">
        <v>9.0408013600000003E-2</v>
      </c>
      <c r="Q11" s="604"/>
    </row>
    <row r="12" spans="1:17" ht="6" customHeight="1">
      <c r="A12" s="57"/>
      <c r="B12" s="16"/>
      <c r="C12" s="589"/>
      <c r="D12" s="603"/>
      <c r="E12" s="602"/>
      <c r="F12" s="603"/>
      <c r="G12" s="603"/>
      <c r="H12" s="602"/>
      <c r="I12" s="603"/>
      <c r="J12" s="603"/>
      <c r="K12" s="603"/>
      <c r="L12" s="603"/>
      <c r="M12" s="603"/>
      <c r="N12" s="602"/>
      <c r="O12" s="603"/>
      <c r="P12" s="603"/>
      <c r="Q12" s="604"/>
    </row>
    <row r="13" spans="1:17" ht="12.75" customHeight="1">
      <c r="A13" s="57"/>
      <c r="B13" s="17" t="s">
        <v>6</v>
      </c>
      <c r="D13" s="605">
        <v>8967.3004696325006</v>
      </c>
      <c r="E13" s="606"/>
      <c r="F13" s="605">
        <v>4859.2099992902004</v>
      </c>
      <c r="G13" s="605">
        <v>1.1472405341</v>
      </c>
      <c r="H13" s="606"/>
      <c r="I13" s="605">
        <v>3265.5118277935999</v>
      </c>
      <c r="J13" s="605">
        <v>0.80936805099999998</v>
      </c>
      <c r="K13" s="603"/>
      <c r="L13" s="605">
        <v>7637.9279614702</v>
      </c>
      <c r="M13" s="605">
        <v>1.2979547485</v>
      </c>
      <c r="N13" s="606"/>
      <c r="O13" s="605">
        <v>1159.1429604573</v>
      </c>
      <c r="P13" s="605">
        <v>0.29443792429999999</v>
      </c>
      <c r="Q13" s="604"/>
    </row>
    <row r="14" spans="1:17" ht="12.75" customHeight="1">
      <c r="A14" s="57"/>
      <c r="B14" s="17" t="s">
        <v>7</v>
      </c>
      <c r="D14" s="605">
        <v>30546.712730472598</v>
      </c>
      <c r="E14" s="606"/>
      <c r="F14" s="605">
        <v>16463.7175080868</v>
      </c>
      <c r="G14" s="605">
        <v>1.3365908417000001</v>
      </c>
      <c r="H14" s="606"/>
      <c r="I14" s="605">
        <v>8815.1728171522991</v>
      </c>
      <c r="J14" s="605">
        <v>0.79083393700000004</v>
      </c>
      <c r="K14" s="603"/>
      <c r="L14" s="605">
        <v>25570.454135712898</v>
      </c>
      <c r="M14" s="605">
        <v>1.3500171893999999</v>
      </c>
      <c r="N14" s="606"/>
      <c r="O14" s="605">
        <v>8624.8838562058008</v>
      </c>
      <c r="P14" s="605">
        <v>0.71390869069999996</v>
      </c>
      <c r="Q14" s="604"/>
    </row>
    <row r="15" spans="1:17" ht="12.75" customHeight="1">
      <c r="A15" s="54"/>
      <c r="B15" s="17" t="s">
        <v>8</v>
      </c>
      <c r="D15" s="605">
        <v>8722.5870993348999</v>
      </c>
      <c r="E15" s="606"/>
      <c r="F15" s="605">
        <v>3992.1156052093002</v>
      </c>
      <c r="G15" s="605">
        <v>1.6018483872</v>
      </c>
      <c r="H15" s="606"/>
      <c r="I15" s="605">
        <v>3814.9727659205</v>
      </c>
      <c r="J15" s="605">
        <v>1.3600816119000001</v>
      </c>
      <c r="K15" s="603"/>
      <c r="L15" s="605">
        <v>6921.5173755747001</v>
      </c>
      <c r="M15" s="605">
        <v>2.073617542</v>
      </c>
      <c r="N15" s="606"/>
      <c r="O15" s="605">
        <v>1586.7472175738999</v>
      </c>
      <c r="P15" s="605">
        <v>0.64096110799999995</v>
      </c>
      <c r="Q15" s="604"/>
    </row>
    <row r="16" spans="1:17" ht="12.75" customHeight="1">
      <c r="A16" s="54"/>
      <c r="B16" s="17" t="s">
        <v>9</v>
      </c>
      <c r="D16" s="605">
        <v>9823.9999164673009</v>
      </c>
      <c r="E16" s="606"/>
      <c r="F16" s="605">
        <v>2202.8937980923001</v>
      </c>
      <c r="G16" s="605">
        <v>0.82968825390000001</v>
      </c>
      <c r="H16" s="606"/>
      <c r="I16" s="605">
        <v>3285.2014492078001</v>
      </c>
      <c r="J16" s="605">
        <v>1.1528706994</v>
      </c>
      <c r="K16" s="603"/>
      <c r="L16" s="605">
        <v>8627.7534504734995</v>
      </c>
      <c r="M16" s="605">
        <v>1.4690562007000001</v>
      </c>
      <c r="N16" s="606"/>
      <c r="O16" s="605">
        <v>725.98150027689996</v>
      </c>
      <c r="P16" s="605">
        <v>0.28288535710000001</v>
      </c>
      <c r="Q16" s="604"/>
    </row>
    <row r="17" spans="1:17" ht="12.75" customHeight="1">
      <c r="A17" s="54"/>
      <c r="B17" s="17" t="s">
        <v>10</v>
      </c>
      <c r="D17" s="607">
        <v>20174.373876367401</v>
      </c>
      <c r="E17" s="606"/>
      <c r="F17" s="607">
        <v>9590.5858838835993</v>
      </c>
      <c r="G17" s="607">
        <v>1.0028441574</v>
      </c>
      <c r="H17" s="606"/>
      <c r="I17" s="607">
        <v>8893.1339337872996</v>
      </c>
      <c r="J17" s="607">
        <v>0.88674111109999998</v>
      </c>
      <c r="K17" s="603"/>
      <c r="L17" s="607">
        <v>15872.674300118</v>
      </c>
      <c r="M17" s="607">
        <v>1.3635192535</v>
      </c>
      <c r="N17" s="606"/>
      <c r="O17" s="607">
        <v>7584.7562836624002</v>
      </c>
      <c r="P17" s="607">
        <v>0.81132540239999995</v>
      </c>
      <c r="Q17" s="604"/>
    </row>
    <row r="18" spans="1:17" ht="12.75" customHeight="1">
      <c r="A18" s="58"/>
      <c r="B18" s="17" t="s">
        <v>11</v>
      </c>
      <c r="D18" s="607">
        <v>8619.0153653119996</v>
      </c>
      <c r="E18" s="606"/>
      <c r="F18" s="607">
        <v>3516.1771605416002</v>
      </c>
      <c r="G18" s="607">
        <v>1.2329888968</v>
      </c>
      <c r="H18" s="606"/>
      <c r="I18" s="607">
        <v>2445.2546487354002</v>
      </c>
      <c r="J18" s="607">
        <v>0.98243472769999995</v>
      </c>
      <c r="K18" s="603"/>
      <c r="L18" s="607">
        <v>6482.4937291401002</v>
      </c>
      <c r="M18" s="607">
        <v>1.3920541772999999</v>
      </c>
      <c r="N18" s="606"/>
      <c r="O18" s="607">
        <v>1052.8650646899</v>
      </c>
      <c r="P18" s="607">
        <v>0.46934629039999998</v>
      </c>
      <c r="Q18" s="604"/>
    </row>
    <row r="19" spans="1:17" ht="12.75" customHeight="1">
      <c r="A19" s="58"/>
      <c r="B19" s="17" t="s">
        <v>12</v>
      </c>
      <c r="D19" s="605">
        <v>63038.559215489498</v>
      </c>
      <c r="E19" s="606"/>
      <c r="F19" s="605">
        <v>16819.189811868298</v>
      </c>
      <c r="G19" s="605">
        <v>1.0989304112</v>
      </c>
      <c r="H19" s="606"/>
      <c r="I19" s="605">
        <v>13761.419691884001</v>
      </c>
      <c r="J19" s="605">
        <v>0.86899698479999998</v>
      </c>
      <c r="K19" s="603"/>
      <c r="L19" s="605">
        <v>53287.367466882897</v>
      </c>
      <c r="M19" s="605">
        <v>1.3191760704</v>
      </c>
      <c r="N19" s="606"/>
      <c r="O19" s="605">
        <v>820.66436501170006</v>
      </c>
      <c r="P19" s="605">
        <v>5.8159280200000003E-2</v>
      </c>
      <c r="Q19" s="604"/>
    </row>
    <row r="20" spans="1:17" ht="12.75" customHeight="1">
      <c r="B20" s="17" t="s">
        <v>13</v>
      </c>
      <c r="D20" s="605">
        <v>21528.302989013799</v>
      </c>
      <c r="E20" s="606"/>
      <c r="F20" s="605">
        <v>11704.354303394</v>
      </c>
      <c r="G20" s="605">
        <v>0.98684863899999997</v>
      </c>
      <c r="H20" s="606"/>
      <c r="I20" s="605">
        <v>9116.7547944963007</v>
      </c>
      <c r="J20" s="605">
        <v>0.77550980140000003</v>
      </c>
      <c r="K20" s="603"/>
      <c r="L20" s="605">
        <v>21640.5052695741</v>
      </c>
      <c r="M20" s="605">
        <v>1.2653687336999999</v>
      </c>
      <c r="N20" s="606"/>
      <c r="O20" s="605">
        <v>4202.1054149156998</v>
      </c>
      <c r="P20" s="605">
        <v>0.3688137085</v>
      </c>
      <c r="Q20" s="604"/>
    </row>
    <row r="21" spans="1:17" ht="12.75" customHeight="1">
      <c r="B21" s="17" t="s">
        <v>14</v>
      </c>
      <c r="D21" s="605">
        <v>50347.549406123697</v>
      </c>
      <c r="E21" s="606"/>
      <c r="F21" s="605">
        <v>39643.792019001397</v>
      </c>
      <c r="G21" s="605">
        <v>1.3287494805</v>
      </c>
      <c r="H21" s="606"/>
      <c r="I21" s="605">
        <v>29945.4710975981</v>
      </c>
      <c r="J21" s="605">
        <v>1.0605266927999999</v>
      </c>
      <c r="K21" s="603"/>
      <c r="L21" s="605">
        <v>48008.948099637397</v>
      </c>
      <c r="M21" s="605">
        <v>1.5295548304</v>
      </c>
      <c r="N21" s="606"/>
      <c r="O21" s="605">
        <v>18807.846997158598</v>
      </c>
      <c r="P21" s="605">
        <v>0.68915236599999996</v>
      </c>
      <c r="Q21" s="604"/>
    </row>
    <row r="22" spans="1:17" ht="12.75" customHeight="1">
      <c r="B22" s="17" t="s">
        <v>15</v>
      </c>
      <c r="D22" s="605">
        <v>12174.4839866041</v>
      </c>
      <c r="E22" s="606"/>
      <c r="F22" s="605">
        <v>4434.4597991216997</v>
      </c>
      <c r="G22" s="605">
        <v>0.88705559570000003</v>
      </c>
      <c r="H22" s="606"/>
      <c r="I22" s="605">
        <v>4015.4343993111002</v>
      </c>
      <c r="J22" s="605">
        <v>0.76530548369999996</v>
      </c>
      <c r="K22" s="603"/>
      <c r="L22" s="605">
        <v>11831.527299883401</v>
      </c>
      <c r="M22" s="605">
        <v>1.1931362479000001</v>
      </c>
      <c r="N22" s="606"/>
      <c r="O22" s="605">
        <v>1950.9834373232</v>
      </c>
      <c r="P22" s="605">
        <v>0.39382957829999998</v>
      </c>
      <c r="Q22" s="604"/>
    </row>
    <row r="23" spans="1:17" ht="12.75" customHeight="1">
      <c r="B23" s="17" t="s">
        <v>16</v>
      </c>
      <c r="D23" s="605">
        <v>39342.759310615002</v>
      </c>
      <c r="E23" s="606"/>
      <c r="F23" s="605">
        <v>19147.107153058201</v>
      </c>
      <c r="G23" s="605">
        <v>1.1510185339000001</v>
      </c>
      <c r="H23" s="606"/>
      <c r="I23" s="605">
        <v>16294.8415713508</v>
      </c>
      <c r="J23" s="605">
        <v>0.97795963549999998</v>
      </c>
      <c r="K23" s="603"/>
      <c r="L23" s="605">
        <v>36073.567298552101</v>
      </c>
      <c r="M23" s="605">
        <v>1.3904894292000001</v>
      </c>
      <c r="N23" s="606"/>
      <c r="O23" s="605">
        <v>2771.8689473959998</v>
      </c>
      <c r="P23" s="605">
        <v>0.17526643610000001</v>
      </c>
      <c r="Q23" s="604"/>
    </row>
    <row r="24" spans="1:17" ht="12.75" customHeight="1">
      <c r="B24" s="17" t="s">
        <v>17</v>
      </c>
      <c r="D24" s="605">
        <v>28850.313181142301</v>
      </c>
      <c r="E24" s="606"/>
      <c r="F24" s="605">
        <v>9022.4063996114</v>
      </c>
      <c r="G24" s="605">
        <v>0.87384490609999999</v>
      </c>
      <c r="H24" s="606"/>
      <c r="I24" s="605">
        <v>11893.409184731399</v>
      </c>
      <c r="J24" s="605">
        <v>1.1586300724</v>
      </c>
      <c r="K24" s="603"/>
      <c r="L24" s="605">
        <v>23584.9612443695</v>
      </c>
      <c r="M24" s="605">
        <v>1.3280932540999999</v>
      </c>
      <c r="N24" s="606"/>
      <c r="O24" s="605">
        <v>1333.3350416656001</v>
      </c>
      <c r="P24" s="605">
        <v>0.14229576190000001</v>
      </c>
      <c r="Q24" s="604"/>
    </row>
    <row r="25" spans="1:17" ht="12.75" customHeight="1">
      <c r="B25" s="17" t="s">
        <v>18</v>
      </c>
      <c r="D25" s="605">
        <v>24330.5739194446</v>
      </c>
      <c r="E25" s="606"/>
      <c r="F25" s="605">
        <v>8465.0632009861001</v>
      </c>
      <c r="G25" s="605">
        <v>0.94003999949999995</v>
      </c>
      <c r="H25" s="606"/>
      <c r="I25" s="605">
        <v>7842.3490489981996</v>
      </c>
      <c r="J25" s="605">
        <v>0.85002052610000001</v>
      </c>
      <c r="K25" s="603"/>
      <c r="L25" s="605">
        <v>21482.932276223099</v>
      </c>
      <c r="M25" s="605">
        <v>1.2344199534</v>
      </c>
      <c r="N25" s="606"/>
      <c r="O25" s="605">
        <v>1369.6590816696</v>
      </c>
      <c r="P25" s="605">
        <v>0.1592597241</v>
      </c>
      <c r="Q25" s="604"/>
    </row>
    <row r="26" spans="1:17" ht="12.75" customHeight="1">
      <c r="B26" s="17" t="s">
        <v>19</v>
      </c>
      <c r="D26" s="605">
        <v>55559.275928897499</v>
      </c>
      <c r="E26" s="606"/>
      <c r="F26" s="605">
        <v>33200.9288851491</v>
      </c>
      <c r="G26" s="605">
        <v>1.3488069648000001</v>
      </c>
      <c r="H26" s="606"/>
      <c r="I26" s="605">
        <v>25634.297860678202</v>
      </c>
      <c r="J26" s="605">
        <v>1.0030737170999999</v>
      </c>
      <c r="K26" s="603"/>
      <c r="L26" s="605">
        <v>46119.986599577402</v>
      </c>
      <c r="M26" s="605">
        <v>1.4599138315</v>
      </c>
      <c r="N26" s="606"/>
      <c r="O26" s="605">
        <v>7124.546707087</v>
      </c>
      <c r="P26" s="605">
        <v>0.30873418419999998</v>
      </c>
      <c r="Q26" s="604"/>
    </row>
    <row r="27" spans="1:17" ht="12.75" customHeight="1">
      <c r="B27" s="17" t="s">
        <v>20</v>
      </c>
      <c r="D27" s="605">
        <v>153845.18493733901</v>
      </c>
      <c r="E27" s="606"/>
      <c r="F27" s="605">
        <v>52351.838905065699</v>
      </c>
      <c r="G27" s="605">
        <v>1.0826538038</v>
      </c>
      <c r="H27" s="606"/>
      <c r="I27" s="605">
        <v>56532.315828339502</v>
      </c>
      <c r="J27" s="605">
        <v>1.1214345990000001</v>
      </c>
      <c r="K27" s="603"/>
      <c r="L27" s="605">
        <v>131204.09246898501</v>
      </c>
      <c r="M27" s="605">
        <v>1.5839153893</v>
      </c>
      <c r="N27" s="606"/>
      <c r="O27" s="605">
        <v>12815.848134243801</v>
      </c>
      <c r="P27" s="605">
        <v>0.27198599870000001</v>
      </c>
      <c r="Q27" s="604"/>
    </row>
    <row r="28" spans="1:17" ht="12.75" customHeight="1">
      <c r="B28" s="17" t="s">
        <v>21</v>
      </c>
      <c r="D28" s="605">
        <v>48544.014646115298</v>
      </c>
      <c r="E28" s="606"/>
      <c r="F28" s="605">
        <v>20420.191842033699</v>
      </c>
      <c r="G28" s="605">
        <v>1.3332157390999999</v>
      </c>
      <c r="H28" s="606"/>
      <c r="I28" s="605">
        <v>14685.263756590901</v>
      </c>
      <c r="J28" s="605">
        <v>0.98244557300000002</v>
      </c>
      <c r="K28" s="603"/>
      <c r="L28" s="605">
        <v>34800.277328721597</v>
      </c>
      <c r="M28" s="605">
        <v>1.5957955738</v>
      </c>
      <c r="N28" s="606"/>
      <c r="O28" s="605">
        <v>4308.0861470031005</v>
      </c>
      <c r="P28" s="605">
        <v>0.32715383920000002</v>
      </c>
      <c r="Q28" s="604"/>
    </row>
    <row r="29" spans="1:17" ht="12.75" customHeight="1">
      <c r="B29" s="17" t="s">
        <v>22</v>
      </c>
      <c r="D29" s="605">
        <v>20366.691328497</v>
      </c>
      <c r="E29" s="606"/>
      <c r="F29" s="605">
        <v>6609.5713563826002</v>
      </c>
      <c r="G29" s="605">
        <v>1.0928045272</v>
      </c>
      <c r="H29" s="606"/>
      <c r="I29" s="605">
        <v>5123.8689407062002</v>
      </c>
      <c r="J29" s="605">
        <v>0.86182535490000001</v>
      </c>
      <c r="K29" s="603"/>
      <c r="L29" s="605">
        <v>18361.487672503201</v>
      </c>
      <c r="M29" s="605">
        <v>1.4954270119999999</v>
      </c>
      <c r="N29" s="606"/>
      <c r="O29" s="605">
        <v>369</v>
      </c>
      <c r="P29" s="605">
        <v>6.3997768900000002E-2</v>
      </c>
      <c r="Q29" s="604"/>
    </row>
    <row r="30" spans="1:17" ht="12.75" customHeight="1">
      <c r="B30" s="17" t="s">
        <v>23</v>
      </c>
      <c r="D30" s="605">
        <v>10075.872713184701</v>
      </c>
      <c r="E30" s="606"/>
      <c r="F30" s="605">
        <v>5868.5237679389002</v>
      </c>
      <c r="G30" s="605">
        <v>1.5095314381</v>
      </c>
      <c r="H30" s="606"/>
      <c r="I30" s="605">
        <v>3280.6736859707999</v>
      </c>
      <c r="J30" s="605">
        <v>0.85007392319999997</v>
      </c>
      <c r="K30" s="603"/>
      <c r="L30" s="605">
        <v>8434.7008783248002</v>
      </c>
      <c r="M30" s="605">
        <v>1.4798017324999999</v>
      </c>
      <c r="N30" s="606"/>
      <c r="O30" s="605">
        <v>496.3907379332</v>
      </c>
      <c r="P30" s="605">
        <v>0.1361316041</v>
      </c>
      <c r="Q30" s="604"/>
    </row>
    <row r="31" spans="1:17" ht="12.75" customHeight="1">
      <c r="B31" s="17" t="s">
        <v>24</v>
      </c>
      <c r="D31" s="605">
        <v>46826.58478284</v>
      </c>
      <c r="E31" s="606"/>
      <c r="F31" s="605">
        <v>22190.325934831701</v>
      </c>
      <c r="G31" s="605">
        <v>1.1228270150999999</v>
      </c>
      <c r="H31" s="606"/>
      <c r="I31" s="605">
        <v>12588.2319581015</v>
      </c>
      <c r="J31" s="605">
        <v>0.72900988369999997</v>
      </c>
      <c r="K31" s="603"/>
      <c r="L31" s="605">
        <v>37074.547180637703</v>
      </c>
      <c r="M31" s="605">
        <v>1.2669307883000001</v>
      </c>
      <c r="N31" s="606"/>
      <c r="O31" s="605">
        <v>5894.2898011895004</v>
      </c>
      <c r="P31" s="605">
        <v>0.3594481055</v>
      </c>
      <c r="Q31" s="604"/>
    </row>
    <row r="32" spans="1:17" ht="12.75" customHeight="1">
      <c r="B32" s="17" t="s">
        <v>25</v>
      </c>
      <c r="D32" s="605">
        <v>51721.305046021</v>
      </c>
      <c r="E32" s="606"/>
      <c r="F32" s="605">
        <v>9698.4464014637997</v>
      </c>
      <c r="G32" s="605">
        <v>0.76612709189999995</v>
      </c>
      <c r="H32" s="606"/>
      <c r="I32" s="605">
        <v>12100.743074551699</v>
      </c>
      <c r="J32" s="605">
        <v>0.92549548940000004</v>
      </c>
      <c r="K32" s="603"/>
      <c r="L32" s="605">
        <v>42547.144422326899</v>
      </c>
      <c r="M32" s="605">
        <v>1.1469963822</v>
      </c>
      <c r="N32" s="606"/>
      <c r="O32" s="605">
        <v>1433.0983281624001</v>
      </c>
      <c r="P32" s="605">
        <v>0.12769101620000001</v>
      </c>
      <c r="Q32" s="604"/>
    </row>
    <row r="33" spans="1:17" ht="12.75" customHeight="1">
      <c r="B33" s="17" t="s">
        <v>26</v>
      </c>
      <c r="D33" s="605">
        <v>60553.044746405503</v>
      </c>
      <c r="E33" s="606"/>
      <c r="F33" s="605">
        <v>22118.302445504702</v>
      </c>
      <c r="G33" s="605">
        <v>1.1015242498</v>
      </c>
      <c r="H33" s="606"/>
      <c r="I33" s="605">
        <v>21164.689275278499</v>
      </c>
      <c r="J33" s="605">
        <v>1.087279399</v>
      </c>
      <c r="K33" s="603"/>
      <c r="L33" s="605">
        <v>46002.280336427299</v>
      </c>
      <c r="M33" s="605">
        <v>1.4743236465</v>
      </c>
      <c r="N33" s="606"/>
      <c r="O33" s="605">
        <v>6441.3808488191999</v>
      </c>
      <c r="P33" s="605">
        <v>0.37865185410000002</v>
      </c>
      <c r="Q33" s="604"/>
    </row>
    <row r="34" spans="1:17" ht="12.75" customHeight="1">
      <c r="B34" s="17" t="s">
        <v>27</v>
      </c>
      <c r="D34" s="605">
        <v>32602.288410915098</v>
      </c>
      <c r="E34" s="606"/>
      <c r="F34" s="605">
        <v>8392.4084672776007</v>
      </c>
      <c r="G34" s="605">
        <v>1.2328663245</v>
      </c>
      <c r="H34" s="606"/>
      <c r="I34" s="605">
        <v>8059.7248549847</v>
      </c>
      <c r="J34" s="605">
        <v>1.0356728548</v>
      </c>
      <c r="K34" s="603"/>
      <c r="L34" s="605">
        <v>27228.768426438201</v>
      </c>
      <c r="M34" s="605">
        <v>1.5136629661000001</v>
      </c>
      <c r="N34" s="606"/>
      <c r="O34" s="605">
        <v>528.15812026319998</v>
      </c>
      <c r="P34" s="605">
        <v>8.0377212099999998E-2</v>
      </c>
      <c r="Q34" s="604"/>
    </row>
    <row r="35" spans="1:17" ht="12.75" customHeight="1">
      <c r="B35" s="17" t="s">
        <v>28</v>
      </c>
      <c r="D35" s="605">
        <v>21975.205253110002</v>
      </c>
      <c r="E35" s="606"/>
      <c r="F35" s="605">
        <v>9555.1561663594002</v>
      </c>
      <c r="G35" s="605">
        <v>1.2980933460999999</v>
      </c>
      <c r="H35" s="606"/>
      <c r="I35" s="605">
        <v>4918.4260657921004</v>
      </c>
      <c r="J35" s="605">
        <v>0.81248948700000001</v>
      </c>
      <c r="K35" s="603"/>
      <c r="L35" s="605">
        <v>16590.224099263702</v>
      </c>
      <c r="M35" s="605">
        <v>1.4626603842000001</v>
      </c>
      <c r="N35" s="606"/>
      <c r="O35" s="605">
        <v>3623.9795445968998</v>
      </c>
      <c r="P35" s="605">
        <v>0.6723581327</v>
      </c>
      <c r="Q35" s="604"/>
    </row>
    <row r="36" spans="1:17" ht="12.75" customHeight="1">
      <c r="B36" s="17" t="s">
        <v>29</v>
      </c>
      <c r="D36" s="605">
        <v>15666.7398479494</v>
      </c>
      <c r="E36" s="606"/>
      <c r="F36" s="605">
        <v>7795.7540152744004</v>
      </c>
      <c r="G36" s="605">
        <v>0.97121813930000001</v>
      </c>
      <c r="H36" s="606"/>
      <c r="I36" s="605">
        <v>7589.9553998032998</v>
      </c>
      <c r="J36" s="605">
        <v>0.92781951309999999</v>
      </c>
      <c r="K36" s="603"/>
      <c r="L36" s="605">
        <v>14882.082672734099</v>
      </c>
      <c r="M36" s="605">
        <v>1.2884707839</v>
      </c>
      <c r="N36" s="606"/>
      <c r="O36" s="605">
        <v>2115.728811037</v>
      </c>
      <c r="P36" s="605">
        <v>0.27541740930000003</v>
      </c>
      <c r="Q36" s="604"/>
    </row>
    <row r="37" spans="1:17" ht="12.75" customHeight="1">
      <c r="B37" s="17" t="s">
        <v>30</v>
      </c>
      <c r="D37" s="605">
        <v>19480.778027771601</v>
      </c>
      <c r="E37" s="606"/>
      <c r="F37" s="605">
        <v>7070.5757162914997</v>
      </c>
      <c r="G37" s="605">
        <v>0.79633874449999997</v>
      </c>
      <c r="H37" s="606"/>
      <c r="I37" s="605">
        <v>7307.3899225641999</v>
      </c>
      <c r="J37" s="605">
        <v>0.79111312209999995</v>
      </c>
      <c r="K37" s="603"/>
      <c r="L37" s="605">
        <v>17697.139692004599</v>
      </c>
      <c r="M37" s="605">
        <v>1.0698260732</v>
      </c>
      <c r="N37" s="606"/>
      <c r="O37" s="605">
        <v>3243.4206266230999</v>
      </c>
      <c r="P37" s="605">
        <v>0.37632779109999998</v>
      </c>
      <c r="Q37" s="604"/>
    </row>
    <row r="38" spans="1:17" ht="12.75" customHeight="1">
      <c r="B38" s="17" t="s">
        <v>31</v>
      </c>
      <c r="D38" s="605">
        <v>25928.550404547899</v>
      </c>
      <c r="E38" s="606"/>
      <c r="F38" s="605">
        <v>10758.776355318099</v>
      </c>
      <c r="G38" s="605">
        <v>1.0692662850000001</v>
      </c>
      <c r="H38" s="606"/>
      <c r="I38" s="605">
        <v>7404.0748889287997</v>
      </c>
      <c r="J38" s="605">
        <v>0.78274633400000004</v>
      </c>
      <c r="K38" s="603"/>
      <c r="L38" s="605">
        <v>20296.342988481301</v>
      </c>
      <c r="M38" s="605">
        <v>1.2151868635</v>
      </c>
      <c r="N38" s="606"/>
      <c r="O38" s="605">
        <v>3953.4342817347001</v>
      </c>
      <c r="P38" s="605">
        <v>0.45427004259999998</v>
      </c>
      <c r="Q38" s="604"/>
    </row>
    <row r="39" spans="1:17" ht="12.75" customHeight="1">
      <c r="B39" s="17" t="s">
        <v>32</v>
      </c>
      <c r="D39" s="605">
        <v>24998.115892135302</v>
      </c>
      <c r="E39" s="606"/>
      <c r="F39" s="605">
        <v>6491.8690913671999</v>
      </c>
      <c r="G39" s="605">
        <v>0.87279426380000003</v>
      </c>
      <c r="H39" s="606"/>
      <c r="I39" s="605">
        <v>7709.4256506084002</v>
      </c>
      <c r="J39" s="605">
        <v>1.0096536986</v>
      </c>
      <c r="K39" s="603"/>
      <c r="L39" s="605">
        <v>20074.553062652802</v>
      </c>
      <c r="M39" s="605">
        <v>1.3141660798000001</v>
      </c>
      <c r="N39" s="606"/>
      <c r="O39" s="605">
        <v>4049.0563961175999</v>
      </c>
      <c r="P39" s="605">
        <v>0.57873373340000001</v>
      </c>
      <c r="Q39" s="604"/>
    </row>
    <row r="40" spans="1:17" ht="12.75" customHeight="1">
      <c r="B40" s="17" t="s">
        <v>33</v>
      </c>
      <c r="D40" s="605">
        <v>22249.9713929684</v>
      </c>
      <c r="E40" s="606"/>
      <c r="F40" s="605">
        <v>14230.4387191593</v>
      </c>
      <c r="G40" s="605">
        <v>1.2284716484</v>
      </c>
      <c r="H40" s="606"/>
      <c r="I40" s="605">
        <v>11827.6848057357</v>
      </c>
      <c r="J40" s="605">
        <v>1.0202567993</v>
      </c>
      <c r="K40" s="603"/>
      <c r="L40" s="605">
        <v>18931.826991932499</v>
      </c>
      <c r="M40" s="605">
        <v>1.584898031</v>
      </c>
      <c r="N40" s="606"/>
      <c r="O40" s="605">
        <v>3806.3734450086999</v>
      </c>
      <c r="P40" s="605">
        <v>0.3639878412</v>
      </c>
      <c r="Q40" s="604"/>
    </row>
    <row r="41" spans="1:17" ht="12.75" customHeight="1">
      <c r="B41" s="17" t="s">
        <v>34</v>
      </c>
      <c r="D41" s="605">
        <v>9032.6462727959006</v>
      </c>
      <c r="E41" s="606"/>
      <c r="F41" s="605">
        <v>2917.3039249803001</v>
      </c>
      <c r="G41" s="605">
        <v>0.83242261829999997</v>
      </c>
      <c r="H41" s="606"/>
      <c r="I41" s="605">
        <v>4109.2642810941998</v>
      </c>
      <c r="J41" s="605">
        <v>1.1070070865999999</v>
      </c>
      <c r="K41" s="603"/>
      <c r="L41" s="605">
        <v>7742.5499765431996</v>
      </c>
      <c r="M41" s="605">
        <v>1.3004019306000001</v>
      </c>
      <c r="N41" s="606"/>
      <c r="O41" s="605">
        <v>454.6381485906</v>
      </c>
      <c r="P41" s="605">
        <v>0.13583759740000001</v>
      </c>
      <c r="Q41" s="604"/>
    </row>
    <row r="42" spans="1:17" ht="12.75" customHeight="1">
      <c r="B42" s="17" t="s">
        <v>35</v>
      </c>
      <c r="D42" s="605">
        <v>73888.639891829996</v>
      </c>
      <c r="E42" s="606"/>
      <c r="F42" s="605">
        <v>22805.362196591301</v>
      </c>
      <c r="G42" s="605">
        <v>0.93284044970000002</v>
      </c>
      <c r="H42" s="606"/>
      <c r="I42" s="605">
        <v>24881.984839861201</v>
      </c>
      <c r="J42" s="605">
        <v>0.92424883739999997</v>
      </c>
      <c r="K42" s="603"/>
      <c r="L42" s="605">
        <v>62857.6709122908</v>
      </c>
      <c r="M42" s="605">
        <v>1.3163317918999999</v>
      </c>
      <c r="N42" s="606"/>
      <c r="O42" s="605">
        <v>10860.953327007201</v>
      </c>
      <c r="P42" s="605">
        <v>0.45278493580000001</v>
      </c>
      <c r="Q42" s="604"/>
    </row>
    <row r="43" spans="1:17" ht="12.75" customHeight="1">
      <c r="B43" s="17" t="s">
        <v>36</v>
      </c>
      <c r="D43" s="605">
        <v>22166.611550397301</v>
      </c>
      <c r="E43" s="606"/>
      <c r="F43" s="605">
        <v>6865.490408869</v>
      </c>
      <c r="G43" s="605">
        <v>0.95710146429999998</v>
      </c>
      <c r="H43" s="606"/>
      <c r="I43" s="605">
        <v>6097.2097918497002</v>
      </c>
      <c r="J43" s="605">
        <v>0.89603207669999996</v>
      </c>
      <c r="K43" s="603"/>
      <c r="L43" s="605">
        <v>19576.847036778501</v>
      </c>
      <c r="M43" s="605">
        <v>1.2954202791</v>
      </c>
      <c r="N43" s="606"/>
      <c r="O43" s="605">
        <v>1519.2484753404999</v>
      </c>
      <c r="P43" s="605">
        <v>0.22968013209999999</v>
      </c>
      <c r="Q43" s="604"/>
    </row>
    <row r="44" spans="1:17" ht="12.75" customHeight="1">
      <c r="B44" s="17" t="s">
        <v>37</v>
      </c>
      <c r="D44" s="605">
        <v>16223.618786687</v>
      </c>
      <c r="E44" s="606"/>
      <c r="F44" s="605">
        <v>4818.6552789269999</v>
      </c>
      <c r="G44" s="605">
        <v>0.99642445010000003</v>
      </c>
      <c r="H44" s="606"/>
      <c r="I44" s="605">
        <v>6124.6590259149998</v>
      </c>
      <c r="J44" s="605">
        <v>1.2014012811999999</v>
      </c>
      <c r="K44" s="603"/>
      <c r="L44" s="605">
        <v>13538.356008209001</v>
      </c>
      <c r="M44" s="605">
        <v>1.6034874180000001</v>
      </c>
      <c r="N44" s="606"/>
      <c r="O44" s="605">
        <v>1122.8408214241001</v>
      </c>
      <c r="P44" s="605">
        <v>0.2432959163</v>
      </c>
      <c r="Q44" s="604"/>
    </row>
    <row r="45" spans="1:17" ht="6" customHeight="1">
      <c r="B45" s="608"/>
      <c r="C45" s="609"/>
      <c r="D45" s="610"/>
      <c r="E45" s="611"/>
      <c r="F45" s="610"/>
      <c r="G45" s="611"/>
      <c r="H45" s="611"/>
      <c r="I45" s="610"/>
      <c r="J45" s="611"/>
      <c r="K45" s="612"/>
      <c r="L45" s="610"/>
      <c r="M45" s="611"/>
      <c r="N45" s="613"/>
      <c r="O45" s="610"/>
      <c r="P45" s="611"/>
      <c r="Q45" s="604"/>
    </row>
    <row r="46" spans="1:17" ht="6" customHeight="1">
      <c r="B46" s="17"/>
      <c r="D46" s="614"/>
      <c r="E46" s="615"/>
      <c r="F46" s="614"/>
      <c r="G46" s="615"/>
      <c r="H46" s="615"/>
      <c r="I46" s="614"/>
      <c r="J46" s="615"/>
      <c r="K46" s="616"/>
      <c r="L46" s="614"/>
      <c r="M46" s="615"/>
      <c r="N46" s="617"/>
      <c r="O46" s="614"/>
      <c r="P46" s="615"/>
      <c r="Q46" s="604"/>
    </row>
    <row r="47" spans="1:17" s="619" customFormat="1" ht="12" customHeight="1">
      <c r="A47" s="54"/>
      <c r="B47" s="5" t="s">
        <v>242</v>
      </c>
      <c r="C47" s="618"/>
      <c r="D47" s="614"/>
      <c r="E47" s="615"/>
      <c r="F47" s="614"/>
      <c r="G47" s="615"/>
      <c r="H47" s="615"/>
      <c r="I47" s="614"/>
      <c r="J47" s="615"/>
      <c r="K47" s="616"/>
      <c r="L47" s="614"/>
      <c r="M47" s="615"/>
      <c r="N47" s="617"/>
      <c r="O47" s="614"/>
      <c r="P47" s="615"/>
      <c r="Q47" s="604"/>
    </row>
    <row r="48" spans="1:17" s="619" customFormat="1" ht="12" customHeight="1">
      <c r="A48" s="54"/>
      <c r="B48" s="5" t="s">
        <v>243</v>
      </c>
      <c r="C48" s="618"/>
      <c r="D48" s="614"/>
      <c r="E48" s="615"/>
      <c r="F48" s="614"/>
      <c r="G48" s="615"/>
      <c r="H48" s="615"/>
      <c r="I48" s="614"/>
      <c r="J48" s="615"/>
      <c r="K48" s="616"/>
      <c r="L48" s="614"/>
      <c r="M48" s="615"/>
      <c r="N48" s="617"/>
      <c r="O48" s="614"/>
      <c r="P48" s="615"/>
      <c r="Q48" s="604"/>
    </row>
    <row r="49" spans="2:16" s="59" customFormat="1" ht="14.25">
      <c r="B49" s="82" t="s">
        <v>209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D1D084BC-92BB-4135-B43D-2B17C769900F}"/>
  </hyperlinks>
  <pageMargins left="0.70866141732283472" right="0.70866141732283472" top="0.74803149606299213" bottom="0.74803149606299213" header="0.31496062992125984" footer="0.31496062992125984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9EECD-3283-4848-B2E8-AC8FD66E1B4E}">
  <dimension ref="A1:P51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1.85546875" style="3" customWidth="1"/>
    <col min="3" max="3" width="1.7109375" style="3" customWidth="1"/>
    <col min="4" max="4" width="18.42578125" style="628" customWidth="1"/>
    <col min="5" max="5" width="1.7109375" style="3" customWidth="1"/>
    <col min="6" max="6" width="11.42578125" style="628"/>
    <col min="7" max="7" width="11.42578125" style="93"/>
    <col min="8" max="8" width="1.7109375" style="3" customWidth="1"/>
    <col min="9" max="9" width="11.42578125" style="628"/>
    <col min="10" max="10" width="11.42578125" style="93"/>
    <col min="11" max="11" width="1.7109375" style="3" customWidth="1"/>
    <col min="12" max="12" width="11.42578125" style="628"/>
    <col min="13" max="13" width="11.42578125" style="93"/>
    <col min="14" max="14" width="1.7109375" style="3" customWidth="1"/>
    <col min="15" max="15" width="11.42578125" style="628"/>
    <col min="16" max="16" width="11.42578125" style="93"/>
    <col min="17" max="16384" width="11.42578125" style="3"/>
  </cols>
  <sheetData>
    <row r="1" spans="1:16" s="62" customFormat="1" ht="14.1" customHeight="1">
      <c r="A1" s="53"/>
      <c r="B1" s="756" t="s">
        <v>268</v>
      </c>
      <c r="C1" s="61"/>
      <c r="D1" s="620"/>
      <c r="F1" s="621"/>
      <c r="G1" s="92"/>
      <c r="I1" s="621"/>
      <c r="J1" s="92"/>
      <c r="L1" s="621"/>
      <c r="M1" s="92"/>
      <c r="O1" s="621"/>
      <c r="P1" s="89" t="s">
        <v>191</v>
      </c>
    </row>
    <row r="2" spans="1:16" s="62" customFormat="1" ht="6.95" customHeight="1">
      <c r="A2" s="53"/>
      <c r="B2" s="756"/>
      <c r="C2" s="61"/>
      <c r="D2" s="620"/>
      <c r="F2" s="621"/>
      <c r="G2" s="92"/>
      <c r="I2" s="621"/>
      <c r="J2" s="92"/>
      <c r="L2" s="621"/>
      <c r="M2" s="92"/>
      <c r="O2" s="621"/>
      <c r="P2" s="92"/>
    </row>
    <row r="3" spans="1:16" s="62" customFormat="1" ht="14.1" customHeight="1">
      <c r="A3" s="53"/>
      <c r="B3" s="756" t="s">
        <v>236</v>
      </c>
      <c r="C3" s="622"/>
      <c r="D3" s="623"/>
      <c r="E3" s="622"/>
      <c r="F3" s="623"/>
      <c r="G3" s="624"/>
      <c r="H3" s="622"/>
      <c r="I3" s="623"/>
      <c r="J3" s="92"/>
      <c r="L3" s="621"/>
      <c r="M3" s="92"/>
      <c r="O3" s="621"/>
      <c r="P3" s="92"/>
    </row>
    <row r="4" spans="1:16" s="62" customFormat="1" ht="6.95" customHeight="1">
      <c r="A4" s="53"/>
      <c r="B4" s="625"/>
      <c r="C4" s="61"/>
      <c r="D4" s="620"/>
      <c r="F4" s="621"/>
      <c r="G4" s="92"/>
      <c r="I4" s="621"/>
      <c r="J4" s="92"/>
      <c r="L4" s="621"/>
      <c r="M4" s="92"/>
      <c r="O4" s="621"/>
      <c r="P4" s="92"/>
    </row>
    <row r="5" spans="1:16" s="62" customFormat="1" ht="20.100000000000001" customHeight="1">
      <c r="A5" s="53"/>
      <c r="B5" s="789" t="s">
        <v>38</v>
      </c>
      <c r="C5" s="789"/>
      <c r="D5" s="789"/>
      <c r="E5" s="789"/>
      <c r="F5" s="789"/>
      <c r="G5" s="789"/>
      <c r="H5" s="789"/>
      <c r="I5" s="789"/>
      <c r="J5" s="789"/>
      <c r="K5" s="789"/>
      <c r="L5" s="789"/>
      <c r="M5" s="789"/>
      <c r="N5" s="789"/>
      <c r="O5" s="626"/>
      <c r="P5" s="90" t="s">
        <v>118</v>
      </c>
    </row>
    <row r="6" spans="1:16" ht="6" customHeight="1">
      <c r="A6" s="53"/>
      <c r="B6" s="385"/>
      <c r="C6" s="5"/>
      <c r="D6" s="627"/>
    </row>
    <row r="7" spans="1:16" ht="12.75">
      <c r="A7" s="53"/>
      <c r="B7" s="790" t="s">
        <v>39</v>
      </c>
      <c r="C7" s="7"/>
      <c r="D7" s="793" t="s">
        <v>237</v>
      </c>
      <c r="E7" s="629"/>
      <c r="F7" s="796" t="s">
        <v>244</v>
      </c>
      <c r="G7" s="796"/>
      <c r="H7" s="796"/>
      <c r="I7" s="796"/>
      <c r="J7" s="796"/>
      <c r="K7" s="796"/>
      <c r="L7" s="796"/>
      <c r="M7" s="796"/>
      <c r="N7" s="796"/>
      <c r="O7" s="796"/>
      <c r="P7" s="796"/>
    </row>
    <row r="8" spans="1:16" ht="16.5" customHeight="1">
      <c r="A8" s="53"/>
      <c r="B8" s="791"/>
      <c r="C8" s="49"/>
      <c r="D8" s="794"/>
      <c r="F8" s="797" t="s">
        <v>2</v>
      </c>
      <c r="G8" s="797"/>
      <c r="H8" s="630"/>
      <c r="I8" s="797" t="s">
        <v>239</v>
      </c>
      <c r="J8" s="797"/>
      <c r="K8" s="631"/>
      <c r="L8" s="797" t="s">
        <v>240</v>
      </c>
      <c r="M8" s="797"/>
      <c r="N8" s="631"/>
      <c r="O8" s="797" t="s">
        <v>241</v>
      </c>
      <c r="P8" s="797"/>
    </row>
    <row r="9" spans="1:16" ht="16.5" customHeight="1">
      <c r="A9" s="54"/>
      <c r="B9" s="792"/>
      <c r="C9" s="9"/>
      <c r="D9" s="795"/>
      <c r="E9" s="632"/>
      <c r="F9" s="633" t="s">
        <v>3</v>
      </c>
      <c r="G9" s="118" t="s">
        <v>4</v>
      </c>
      <c r="H9" s="52"/>
      <c r="I9" s="633" t="s">
        <v>3</v>
      </c>
      <c r="J9" s="118" t="s">
        <v>4</v>
      </c>
      <c r="K9" s="52"/>
      <c r="L9" s="633" t="s">
        <v>3</v>
      </c>
      <c r="M9" s="118" t="s">
        <v>4</v>
      </c>
      <c r="N9" s="52"/>
      <c r="O9" s="633" t="s">
        <v>3</v>
      </c>
      <c r="P9" s="118" t="s">
        <v>4</v>
      </c>
    </row>
    <row r="10" spans="1:16" ht="6" customHeight="1">
      <c r="A10" s="54"/>
      <c r="B10" s="5"/>
      <c r="C10" s="5"/>
      <c r="D10" s="627"/>
    </row>
    <row r="11" spans="1:16" ht="15">
      <c r="A11" s="206"/>
      <c r="B11" s="21" t="s">
        <v>40</v>
      </c>
      <c r="C11" s="10"/>
      <c r="D11" s="532">
        <v>245318.59867594499</v>
      </c>
      <c r="E11" s="634"/>
      <c r="F11" s="532">
        <v>97960.761038796903</v>
      </c>
      <c r="G11" s="532">
        <v>0.25913207490000001</v>
      </c>
      <c r="H11" s="634"/>
      <c r="I11" s="532">
        <v>88747.563568536294</v>
      </c>
      <c r="J11" s="532">
        <v>0.23060258880000001</v>
      </c>
      <c r="K11" s="80"/>
      <c r="L11" s="532">
        <v>206795.536884114</v>
      </c>
      <c r="M11" s="532">
        <v>0.33431640730000001</v>
      </c>
      <c r="N11" s="634"/>
      <c r="O11" s="532">
        <v>32148.343314775801</v>
      </c>
      <c r="P11" s="532">
        <v>9.0408013600000003E-2</v>
      </c>
    </row>
    <row r="12" spans="1:16" ht="6" customHeight="1">
      <c r="A12" s="57"/>
      <c r="B12" s="635"/>
      <c r="C12" s="10"/>
      <c r="D12" s="636"/>
      <c r="E12" s="634"/>
      <c r="F12" s="636"/>
      <c r="G12" s="603"/>
      <c r="H12" s="634"/>
      <c r="I12" s="636"/>
      <c r="J12" s="603"/>
      <c r="K12" s="80"/>
      <c r="L12" s="636"/>
      <c r="M12" s="603"/>
      <c r="N12" s="634"/>
      <c r="O12" s="636"/>
      <c r="P12" s="603"/>
    </row>
    <row r="13" spans="1:16" ht="12.75" customHeight="1">
      <c r="A13" s="57"/>
      <c r="B13" s="48" t="s">
        <v>245</v>
      </c>
      <c r="C13" s="10"/>
      <c r="D13" s="530">
        <v>255847.88407351499</v>
      </c>
      <c r="E13" s="637"/>
      <c r="F13" s="530">
        <v>80119.361111687103</v>
      </c>
      <c r="G13" s="530">
        <v>0.23179400050000001</v>
      </c>
      <c r="H13" s="637"/>
      <c r="I13" s="530">
        <v>85562.333199786197</v>
      </c>
      <c r="J13" s="530">
        <v>0.23830033349999999</v>
      </c>
      <c r="K13" s="80"/>
      <c r="L13" s="530">
        <v>210241.79556474899</v>
      </c>
      <c r="M13" s="530">
        <v>0.33251479699999997</v>
      </c>
      <c r="N13" s="637"/>
      <c r="O13" s="530">
        <v>31066.992483599399</v>
      </c>
      <c r="P13" s="530">
        <v>9.6175687699999998E-2</v>
      </c>
    </row>
    <row r="14" spans="1:16" ht="12.75" customHeight="1">
      <c r="A14" s="57"/>
      <c r="B14" s="48" t="s">
        <v>42</v>
      </c>
      <c r="C14" s="10"/>
      <c r="D14" s="530">
        <v>72850.065421979394</v>
      </c>
      <c r="E14" s="637"/>
      <c r="F14" s="530">
        <v>30105.294397716902</v>
      </c>
      <c r="G14" s="530">
        <v>2.4060824876</v>
      </c>
      <c r="H14" s="637"/>
      <c r="I14" s="530">
        <v>19293.2090910636</v>
      </c>
      <c r="J14" s="530">
        <v>2.1395897045000001</v>
      </c>
      <c r="K14" s="80"/>
      <c r="L14" s="530">
        <v>43052.736928171398</v>
      </c>
      <c r="M14" s="530">
        <v>2.6140586509000001</v>
      </c>
      <c r="N14" s="637"/>
      <c r="O14" s="530">
        <v>3429.1889785848002</v>
      </c>
      <c r="P14" s="530">
        <v>0.43725230399999998</v>
      </c>
    </row>
    <row r="15" spans="1:16" ht="12.75" customHeight="1">
      <c r="A15" s="54"/>
      <c r="B15" s="48" t="s">
        <v>43</v>
      </c>
      <c r="C15" s="10"/>
      <c r="D15" s="530">
        <v>93881.537553467802</v>
      </c>
      <c r="E15" s="637"/>
      <c r="F15" s="530">
        <v>46355.418630554901</v>
      </c>
      <c r="G15" s="530">
        <v>1.7349367286999999</v>
      </c>
      <c r="H15" s="637"/>
      <c r="I15" s="530">
        <v>20395.578203998499</v>
      </c>
      <c r="J15" s="530">
        <v>1.0283055925</v>
      </c>
      <c r="K15" s="80"/>
      <c r="L15" s="530">
        <v>58854.426264934002</v>
      </c>
      <c r="M15" s="530">
        <v>1.7890521855999999</v>
      </c>
      <c r="N15" s="637"/>
      <c r="O15" s="530">
        <v>7792.2084493070997</v>
      </c>
      <c r="P15" s="530">
        <v>0.42304671109999997</v>
      </c>
    </row>
    <row r="16" spans="1:16" ht="12.75" customHeight="1">
      <c r="A16" s="54"/>
      <c r="B16" s="48" t="s">
        <v>246</v>
      </c>
      <c r="C16" s="10"/>
      <c r="D16" s="530">
        <v>40679.796946334602</v>
      </c>
      <c r="E16" s="637"/>
      <c r="F16" s="530">
        <v>34448.087856461498</v>
      </c>
      <c r="G16" s="530">
        <v>2.0581826626000002</v>
      </c>
      <c r="H16" s="637"/>
      <c r="I16" s="530">
        <v>11150.684858305</v>
      </c>
      <c r="J16" s="530">
        <v>1.3991089899</v>
      </c>
      <c r="K16" s="80"/>
      <c r="L16" s="530">
        <v>11115.994798940001</v>
      </c>
      <c r="M16" s="530">
        <v>1.3900326928</v>
      </c>
      <c r="N16" s="637"/>
      <c r="O16" s="530">
        <v>2840.6001126523001</v>
      </c>
      <c r="P16" s="530">
        <v>0.39094745730000002</v>
      </c>
    </row>
    <row r="17" spans="1:16" ht="6" customHeight="1">
      <c r="A17" s="54"/>
      <c r="B17" s="635"/>
      <c r="C17" s="10"/>
      <c r="D17" s="638"/>
      <c r="E17" s="391"/>
      <c r="F17" s="638"/>
      <c r="G17" s="524"/>
      <c r="H17" s="391"/>
      <c r="I17" s="638"/>
      <c r="J17" s="524"/>
      <c r="K17" s="391"/>
      <c r="L17" s="638"/>
      <c r="M17" s="524"/>
      <c r="N17" s="391"/>
      <c r="O17" s="638"/>
      <c r="P17" s="524"/>
    </row>
    <row r="18" spans="1:16" s="43" customFormat="1" ht="14.25" customHeight="1">
      <c r="A18" s="58"/>
      <c r="B18" s="299" t="s">
        <v>41</v>
      </c>
      <c r="C18" s="10"/>
      <c r="D18" s="639">
        <v>130448.21952647</v>
      </c>
      <c r="E18" s="634"/>
      <c r="F18" s="639">
        <v>25073.517797478198</v>
      </c>
      <c r="G18" s="639">
        <v>0.33927707750000002</v>
      </c>
      <c r="H18" s="634"/>
      <c r="I18" s="639">
        <v>39160.391967026699</v>
      </c>
      <c r="J18" s="639">
        <v>0.49007532799999998</v>
      </c>
      <c r="K18" s="640"/>
      <c r="L18" s="639">
        <v>120691.762956369</v>
      </c>
      <c r="M18" s="639">
        <v>0.64619338299999995</v>
      </c>
      <c r="N18" s="634"/>
      <c r="O18" s="639">
        <v>12380.144933153</v>
      </c>
      <c r="P18" s="639">
        <v>0.1674028856</v>
      </c>
    </row>
    <row r="19" spans="1:16" ht="6" customHeight="1">
      <c r="A19" s="58"/>
      <c r="B19" s="299"/>
      <c r="C19" s="10"/>
      <c r="D19" s="638"/>
      <c r="E19" s="391"/>
      <c r="F19" s="638"/>
      <c r="G19" s="524"/>
      <c r="H19" s="391"/>
      <c r="I19" s="638"/>
      <c r="J19" s="524"/>
      <c r="K19" s="391"/>
      <c r="L19" s="638"/>
      <c r="M19" s="524"/>
      <c r="N19" s="391"/>
      <c r="O19" s="638"/>
      <c r="P19" s="524"/>
    </row>
    <row r="20" spans="1:16">
      <c r="B20" s="48" t="s">
        <v>245</v>
      </c>
      <c r="C20" s="6"/>
      <c r="D20" s="531">
        <v>131678.681077674</v>
      </c>
      <c r="E20" s="637"/>
      <c r="F20" s="531">
        <v>22677.015270296699</v>
      </c>
      <c r="G20" s="531">
        <v>0.31059645060000002</v>
      </c>
      <c r="H20" s="637"/>
      <c r="I20" s="531">
        <v>39050.440590108403</v>
      </c>
      <c r="J20" s="531">
        <v>0.4923592108</v>
      </c>
      <c r="K20" s="80"/>
      <c r="L20" s="531">
        <v>122030.53246534</v>
      </c>
      <c r="M20" s="531">
        <v>0.63764116640000001</v>
      </c>
      <c r="N20" s="637"/>
      <c r="O20" s="531">
        <v>12380.144933153</v>
      </c>
      <c r="P20" s="531">
        <v>0.1689055089</v>
      </c>
    </row>
    <row r="21" spans="1:16">
      <c r="B21" s="48" t="s">
        <v>42</v>
      </c>
      <c r="C21" s="6"/>
      <c r="D21" s="530">
        <v>11987.739897559501</v>
      </c>
      <c r="E21" s="637"/>
      <c r="F21" s="530">
        <v>3391.1752387631</v>
      </c>
      <c r="G21" s="530">
        <v>5.4862595285999998</v>
      </c>
      <c r="H21" s="637"/>
      <c r="I21" s="530">
        <v>2090.7673232572001</v>
      </c>
      <c r="J21" s="530">
        <v>7.8421222740000003</v>
      </c>
      <c r="K21" s="80"/>
      <c r="L21" s="530">
        <v>8965.1766886560999</v>
      </c>
      <c r="M21" s="530">
        <v>7.8480905535999996</v>
      </c>
      <c r="N21" s="637"/>
      <c r="O21" s="530">
        <v>0</v>
      </c>
      <c r="P21" s="530">
        <v>0</v>
      </c>
    </row>
    <row r="22" spans="1:16">
      <c r="B22" s="48" t="s">
        <v>43</v>
      </c>
      <c r="C22" s="6"/>
      <c r="D22" s="530">
        <v>2366.7044597920999</v>
      </c>
      <c r="E22" s="637"/>
      <c r="F22" s="530">
        <v>2355.8151455493999</v>
      </c>
      <c r="G22" s="530">
        <v>6.7189053218000003</v>
      </c>
      <c r="H22" s="637"/>
      <c r="I22" s="530">
        <v>176</v>
      </c>
      <c r="J22" s="530">
        <v>4.7542783648000002</v>
      </c>
      <c r="K22" s="80"/>
      <c r="L22" s="530">
        <v>143</v>
      </c>
      <c r="M22" s="530">
        <v>3.8876065512000002</v>
      </c>
      <c r="N22" s="637"/>
      <c r="O22" s="530">
        <v>0</v>
      </c>
      <c r="P22" s="530">
        <v>0</v>
      </c>
    </row>
    <row r="23" spans="1:16">
      <c r="B23" s="48" t="s">
        <v>246</v>
      </c>
      <c r="C23" s="6"/>
      <c r="D23" s="530">
        <v>7979.7946367336999</v>
      </c>
      <c r="E23" s="637"/>
      <c r="F23" s="530">
        <v>7067.2485766700001</v>
      </c>
      <c r="G23" s="530">
        <v>13.638503807299999</v>
      </c>
      <c r="H23" s="637"/>
      <c r="I23" s="530">
        <v>2110.6119965546</v>
      </c>
      <c r="J23" s="530">
        <v>8.1653714338000007</v>
      </c>
      <c r="K23" s="80"/>
      <c r="L23" s="530">
        <v>2422.5443236399001</v>
      </c>
      <c r="M23" s="530">
        <v>9.0588307161999992</v>
      </c>
      <c r="N23" s="637"/>
      <c r="O23" s="530">
        <v>0</v>
      </c>
      <c r="P23" s="530">
        <v>0</v>
      </c>
    </row>
    <row r="24" spans="1:16" ht="6" customHeight="1">
      <c r="B24" s="48"/>
      <c r="C24" s="6"/>
      <c r="D24" s="638"/>
      <c r="E24" s="391"/>
      <c r="F24" s="638"/>
      <c r="G24" s="524"/>
      <c r="H24" s="391"/>
      <c r="I24" s="638"/>
      <c r="J24" s="524"/>
      <c r="K24" s="391"/>
      <c r="L24" s="638"/>
      <c r="M24" s="524"/>
      <c r="N24" s="391"/>
      <c r="O24" s="638"/>
      <c r="P24" s="524"/>
    </row>
    <row r="25" spans="1:16" s="43" customFormat="1" ht="15">
      <c r="A25" s="59"/>
      <c r="B25" s="299" t="s">
        <v>44</v>
      </c>
      <c r="C25" s="641"/>
      <c r="D25" s="532">
        <v>120874.88248751601</v>
      </c>
      <c r="E25" s="634"/>
      <c r="F25" s="532">
        <v>35269.188208168198</v>
      </c>
      <c r="G25" s="532">
        <v>0.654140583</v>
      </c>
      <c r="H25" s="634"/>
      <c r="I25" s="532">
        <v>31899.521548373701</v>
      </c>
      <c r="J25" s="532">
        <v>0.54857964800000003</v>
      </c>
      <c r="K25" s="640"/>
      <c r="L25" s="532">
        <v>90890.982607614395</v>
      </c>
      <c r="M25" s="532">
        <v>0.91384527039999996</v>
      </c>
      <c r="N25" s="634"/>
      <c r="O25" s="532">
        <v>12336.456093708901</v>
      </c>
      <c r="P25" s="532">
        <v>0.25576658520000001</v>
      </c>
    </row>
    <row r="26" spans="1:16" ht="6" customHeight="1">
      <c r="B26" s="48"/>
      <c r="C26" s="6"/>
      <c r="D26" s="638"/>
      <c r="E26" s="391"/>
      <c r="F26" s="638"/>
      <c r="G26" s="524"/>
      <c r="H26" s="391"/>
      <c r="I26" s="638"/>
      <c r="J26" s="524"/>
      <c r="K26" s="391"/>
      <c r="L26" s="638"/>
      <c r="M26" s="524"/>
      <c r="N26" s="391"/>
      <c r="O26" s="638"/>
      <c r="P26" s="524"/>
    </row>
    <row r="27" spans="1:16" ht="9" customHeight="1">
      <c r="B27" s="48" t="s">
        <v>245</v>
      </c>
      <c r="C27" s="6"/>
      <c r="D27" s="530">
        <v>119550.711044626</v>
      </c>
      <c r="E27" s="637"/>
      <c r="F27" s="530">
        <v>30893.186599413999</v>
      </c>
      <c r="G27" s="530">
        <v>0.60302415259999997</v>
      </c>
      <c r="H27" s="637"/>
      <c r="I27" s="530">
        <v>31754.570416289302</v>
      </c>
      <c r="J27" s="530">
        <v>0.56739167450000005</v>
      </c>
      <c r="K27" s="80"/>
      <c r="L27" s="530">
        <v>91842.7203523153</v>
      </c>
      <c r="M27" s="530">
        <v>0.88892909799999997</v>
      </c>
      <c r="N27" s="637"/>
      <c r="O27" s="530">
        <v>12336.8782286362</v>
      </c>
      <c r="P27" s="530">
        <v>0.26472542929999998</v>
      </c>
    </row>
    <row r="28" spans="1:16">
      <c r="B28" s="48" t="s">
        <v>42</v>
      </c>
      <c r="C28" s="6"/>
      <c r="D28" s="530">
        <v>16979.733677788601</v>
      </c>
      <c r="E28" s="637"/>
      <c r="F28" s="530">
        <v>6616.1788550081001</v>
      </c>
      <c r="G28" s="530">
        <v>5.8354350427000004</v>
      </c>
      <c r="H28" s="637"/>
      <c r="I28" s="530">
        <v>4362.3928067059996</v>
      </c>
      <c r="J28" s="530">
        <v>4.9414894915999996</v>
      </c>
      <c r="K28" s="80"/>
      <c r="L28" s="530">
        <v>9143.5136167944001</v>
      </c>
      <c r="M28" s="530">
        <v>9.8029480376000002</v>
      </c>
      <c r="N28" s="637"/>
      <c r="O28" s="530">
        <v>65</v>
      </c>
      <c r="P28" s="530">
        <v>0.1231081575</v>
      </c>
    </row>
    <row r="29" spans="1:16">
      <c r="B29" s="48" t="s">
        <v>43</v>
      </c>
      <c r="C29" s="6"/>
      <c r="D29" s="530">
        <v>13809.141410299</v>
      </c>
      <c r="E29" s="637"/>
      <c r="F29" s="530">
        <v>6038.6038752268996</v>
      </c>
      <c r="G29" s="530">
        <v>8.9978650899999995</v>
      </c>
      <c r="H29" s="637"/>
      <c r="I29" s="530">
        <v>1827.4750340292001</v>
      </c>
      <c r="J29" s="530">
        <v>2.3385335470999999</v>
      </c>
      <c r="K29" s="80"/>
      <c r="L29" s="530">
        <v>9107.1622368552999</v>
      </c>
      <c r="M29" s="530">
        <v>8.0303461323000001</v>
      </c>
      <c r="N29" s="637"/>
      <c r="O29" s="530">
        <v>0</v>
      </c>
      <c r="P29" s="530">
        <v>0</v>
      </c>
    </row>
    <row r="30" spans="1:16">
      <c r="B30" s="48" t="s">
        <v>246</v>
      </c>
      <c r="C30" s="6"/>
      <c r="D30" s="530">
        <v>8098.5948915644003</v>
      </c>
      <c r="E30" s="637"/>
      <c r="F30" s="530">
        <v>5655.8028291153996</v>
      </c>
      <c r="G30" s="530">
        <v>7.8635585659</v>
      </c>
      <c r="H30" s="637"/>
      <c r="I30" s="530">
        <v>3233.7215402689999</v>
      </c>
      <c r="J30" s="530">
        <v>6.1377298168000003</v>
      </c>
      <c r="K30" s="80"/>
      <c r="L30" s="530">
        <v>4515.5785897268997</v>
      </c>
      <c r="M30" s="530">
        <v>7.4480509511999999</v>
      </c>
      <c r="N30" s="637"/>
      <c r="O30" s="530">
        <v>0</v>
      </c>
      <c r="P30" s="530">
        <v>0</v>
      </c>
    </row>
    <row r="31" spans="1:16" ht="6" customHeight="1">
      <c r="B31" s="48"/>
      <c r="C31" s="6"/>
      <c r="D31" s="638"/>
      <c r="E31" s="391"/>
      <c r="F31" s="638"/>
      <c r="G31" s="524"/>
      <c r="H31" s="391"/>
      <c r="I31" s="638"/>
      <c r="J31" s="524"/>
      <c r="K31" s="391"/>
      <c r="L31" s="638"/>
      <c r="M31" s="524"/>
      <c r="N31" s="391"/>
      <c r="O31" s="638"/>
      <c r="P31" s="524"/>
    </row>
    <row r="32" spans="1:16" s="43" customFormat="1" ht="15">
      <c r="A32" s="59"/>
      <c r="B32" s="299" t="s">
        <v>45</v>
      </c>
      <c r="C32" s="641"/>
      <c r="D32" s="532">
        <v>129177.384084488</v>
      </c>
      <c r="E32" s="634"/>
      <c r="F32" s="532">
        <v>45487.474099845997</v>
      </c>
      <c r="G32" s="532">
        <v>0.69517738529999995</v>
      </c>
      <c r="H32" s="634"/>
      <c r="I32" s="532">
        <v>41603.8607808167</v>
      </c>
      <c r="J32" s="532">
        <v>0.63231871210000001</v>
      </c>
      <c r="K32" s="640"/>
      <c r="L32" s="532">
        <v>97047.982503045801</v>
      </c>
      <c r="M32" s="532">
        <v>0.91863762400000004</v>
      </c>
      <c r="N32" s="634"/>
      <c r="O32" s="532">
        <v>12373.469218362099</v>
      </c>
      <c r="P32" s="532">
        <v>0.2135302328</v>
      </c>
    </row>
    <row r="33" spans="1:16" ht="6" customHeight="1">
      <c r="B33" s="299"/>
      <c r="C33" s="6"/>
      <c r="D33" s="638"/>
      <c r="E33" s="391"/>
      <c r="F33" s="638"/>
      <c r="G33" s="524"/>
      <c r="H33" s="391"/>
      <c r="I33" s="638"/>
      <c r="J33" s="524"/>
      <c r="K33" s="391"/>
      <c r="L33" s="638"/>
      <c r="M33" s="524"/>
      <c r="N33" s="391"/>
      <c r="O33" s="638"/>
      <c r="P33" s="524"/>
    </row>
    <row r="34" spans="1:16">
      <c r="B34" s="48" t="s">
        <v>245</v>
      </c>
      <c r="C34" s="6"/>
      <c r="D34" s="530">
        <v>130606.063777861</v>
      </c>
      <c r="E34" s="637"/>
      <c r="F34" s="530">
        <v>38424.594533271898</v>
      </c>
      <c r="G34" s="530">
        <v>0.63979807690000001</v>
      </c>
      <c r="H34" s="637"/>
      <c r="I34" s="530">
        <v>40942.613032107503</v>
      </c>
      <c r="J34" s="530">
        <v>0.61974408999999997</v>
      </c>
      <c r="K34" s="80"/>
      <c r="L34" s="530">
        <v>96381.538026622904</v>
      </c>
      <c r="M34" s="530">
        <v>0.9346319381</v>
      </c>
      <c r="N34" s="637"/>
      <c r="O34" s="530">
        <v>12198.6318140239</v>
      </c>
      <c r="P34" s="530">
        <v>0.22765705059999999</v>
      </c>
    </row>
    <row r="35" spans="1:16">
      <c r="B35" s="48" t="s">
        <v>42</v>
      </c>
      <c r="C35" s="6"/>
      <c r="D35" s="530">
        <v>36176.506099878003</v>
      </c>
      <c r="E35" s="637"/>
      <c r="F35" s="530">
        <v>16212.454429281899</v>
      </c>
      <c r="G35" s="530">
        <v>6.7220739287000004</v>
      </c>
      <c r="H35" s="637"/>
      <c r="I35" s="530">
        <v>6024.2228153855003</v>
      </c>
      <c r="J35" s="530">
        <v>4.8963508033999998</v>
      </c>
      <c r="K35" s="80"/>
      <c r="L35" s="530">
        <v>22191.323608543698</v>
      </c>
      <c r="M35" s="530">
        <v>6.1366797879000003</v>
      </c>
      <c r="N35" s="637"/>
      <c r="O35" s="530">
        <v>2650</v>
      </c>
      <c r="P35" s="530">
        <v>1.7744997603999999</v>
      </c>
    </row>
    <row r="36" spans="1:16">
      <c r="B36" s="48" t="s">
        <v>43</v>
      </c>
      <c r="C36" s="6"/>
      <c r="D36" s="530">
        <v>46267.576482650002</v>
      </c>
      <c r="E36" s="637"/>
      <c r="F36" s="530">
        <v>20288.317738727699</v>
      </c>
      <c r="G36" s="530">
        <v>6.0213139264000004</v>
      </c>
      <c r="H36" s="637"/>
      <c r="I36" s="530">
        <v>4580.8409787889004</v>
      </c>
      <c r="J36" s="530">
        <v>3.4218141643000002</v>
      </c>
      <c r="K36" s="80"/>
      <c r="L36" s="530">
        <v>27390.6614670253</v>
      </c>
      <c r="M36" s="530">
        <v>7.2798470352000004</v>
      </c>
      <c r="N36" s="637"/>
      <c r="O36" s="530">
        <v>313.98407602930001</v>
      </c>
      <c r="P36" s="530">
        <v>0.2176843467</v>
      </c>
    </row>
    <row r="37" spans="1:16">
      <c r="B37" s="48" t="s">
        <v>246</v>
      </c>
      <c r="C37" s="6"/>
      <c r="D37" s="530">
        <v>15701.0995512433</v>
      </c>
      <c r="E37" s="637"/>
      <c r="F37" s="530">
        <v>14322.986885365501</v>
      </c>
      <c r="G37" s="530">
        <v>3.7082345007000002</v>
      </c>
      <c r="H37" s="637"/>
      <c r="I37" s="530">
        <v>2805.7034768485</v>
      </c>
      <c r="J37" s="530">
        <v>2.0541962220999999</v>
      </c>
      <c r="K37" s="80"/>
      <c r="L37" s="530">
        <v>4236.4247898433996</v>
      </c>
      <c r="M37" s="530">
        <v>3.0902320359000002</v>
      </c>
      <c r="N37" s="637"/>
      <c r="O37" s="530">
        <v>1000</v>
      </c>
      <c r="P37" s="530">
        <v>0.76524333410000001</v>
      </c>
    </row>
    <row r="38" spans="1:16" ht="6" customHeight="1">
      <c r="B38" s="48"/>
      <c r="C38" s="6"/>
      <c r="D38" s="638"/>
      <c r="E38" s="391"/>
      <c r="F38" s="638"/>
      <c r="G38" s="524"/>
      <c r="H38" s="391"/>
      <c r="I38" s="638"/>
      <c r="J38" s="524"/>
      <c r="K38" s="391"/>
      <c r="L38" s="638"/>
      <c r="M38" s="524"/>
      <c r="N38" s="391"/>
      <c r="O38" s="638"/>
      <c r="P38" s="524"/>
    </row>
    <row r="39" spans="1:16" s="43" customFormat="1" ht="15">
      <c r="A39" s="59"/>
      <c r="B39" s="303" t="s">
        <v>110</v>
      </c>
      <c r="C39" s="641"/>
      <c r="D39" s="532">
        <v>113668.722195625</v>
      </c>
      <c r="E39" s="634"/>
      <c r="F39" s="532">
        <v>75359.021373638898</v>
      </c>
      <c r="G39" s="532">
        <v>0.3955324066</v>
      </c>
      <c r="H39" s="634"/>
      <c r="I39" s="532">
        <v>60242.305494540902</v>
      </c>
      <c r="J39" s="532">
        <v>0.33013529279999998</v>
      </c>
      <c r="K39" s="640"/>
      <c r="L39" s="532">
        <v>104563.417320322</v>
      </c>
      <c r="M39" s="532">
        <v>0.46155305229999999</v>
      </c>
      <c r="N39" s="634"/>
      <c r="O39" s="532">
        <v>23980.553039729399</v>
      </c>
      <c r="P39" s="532">
        <v>0.13670420599999999</v>
      </c>
    </row>
    <row r="40" spans="1:16" ht="6" customHeight="1">
      <c r="B40" s="299"/>
      <c r="C40" s="6"/>
      <c r="D40" s="638"/>
      <c r="E40" s="391"/>
      <c r="F40" s="638"/>
      <c r="G40" s="524"/>
      <c r="H40" s="391"/>
      <c r="I40" s="638"/>
      <c r="J40" s="524"/>
      <c r="K40" s="391"/>
      <c r="L40" s="638"/>
      <c r="M40" s="524"/>
      <c r="N40" s="391"/>
      <c r="O40" s="638"/>
      <c r="P40" s="524"/>
    </row>
    <row r="41" spans="1:16">
      <c r="B41" s="48" t="s">
        <v>245</v>
      </c>
      <c r="C41" s="6"/>
      <c r="D41" s="530">
        <v>133125.077833249</v>
      </c>
      <c r="E41" s="637"/>
      <c r="F41" s="530">
        <v>59090.494664109698</v>
      </c>
      <c r="G41" s="530">
        <v>0.3575944674</v>
      </c>
      <c r="H41" s="637"/>
      <c r="I41" s="530">
        <v>56062.755621033</v>
      </c>
      <c r="J41" s="530">
        <v>0.35350692979999998</v>
      </c>
      <c r="K41" s="80"/>
      <c r="L41" s="530">
        <v>109482.95461807201</v>
      </c>
      <c r="M41" s="530">
        <v>0.45830825730000002</v>
      </c>
      <c r="N41" s="637"/>
      <c r="O41" s="530">
        <v>22605.191330091799</v>
      </c>
      <c r="P41" s="530">
        <v>0.15124365570000001</v>
      </c>
    </row>
    <row r="42" spans="1:16">
      <c r="B42" s="48" t="s">
        <v>42</v>
      </c>
      <c r="C42" s="6"/>
      <c r="D42" s="530">
        <v>59719.6949397356</v>
      </c>
      <c r="E42" s="637"/>
      <c r="F42" s="530">
        <v>24254.442251539898</v>
      </c>
      <c r="G42" s="530">
        <v>2.8420455840000001</v>
      </c>
      <c r="H42" s="637"/>
      <c r="I42" s="530">
        <v>17678.655986869799</v>
      </c>
      <c r="J42" s="530">
        <v>2.6279019743999998</v>
      </c>
      <c r="K42" s="80"/>
      <c r="L42" s="530">
        <v>34599.206337543299</v>
      </c>
      <c r="M42" s="530">
        <v>3.1411840154999999</v>
      </c>
      <c r="N42" s="637"/>
      <c r="O42" s="530">
        <v>2175.4567453405002</v>
      </c>
      <c r="P42" s="530">
        <v>0.40182180680000001</v>
      </c>
    </row>
    <row r="43" spans="1:16">
      <c r="B43" s="48" t="s">
        <v>43</v>
      </c>
      <c r="C43" s="6"/>
      <c r="D43" s="530">
        <v>80478.324928738904</v>
      </c>
      <c r="E43" s="637"/>
      <c r="F43" s="530">
        <v>41172.738529086499</v>
      </c>
      <c r="G43" s="530">
        <v>1.8801311622000001</v>
      </c>
      <c r="H43" s="637"/>
      <c r="I43" s="530">
        <v>19789.514021381801</v>
      </c>
      <c r="J43" s="530">
        <v>1.0942351806999999</v>
      </c>
      <c r="K43" s="80"/>
      <c r="L43" s="530">
        <v>51289.709517260497</v>
      </c>
      <c r="M43" s="530">
        <v>1.9226239040999999</v>
      </c>
      <c r="N43" s="637"/>
      <c r="O43" s="530">
        <v>7785.8799449679</v>
      </c>
      <c r="P43" s="530">
        <v>0.47615654489999998</v>
      </c>
    </row>
    <row r="44" spans="1:16">
      <c r="B44" s="48" t="s">
        <v>246</v>
      </c>
      <c r="C44" s="6"/>
      <c r="D44" s="530">
        <v>35763.906257773902</v>
      </c>
      <c r="E44" s="637"/>
      <c r="F44" s="530">
        <v>29993.144142651399</v>
      </c>
      <c r="G44" s="530">
        <v>2.5047729823</v>
      </c>
      <c r="H44" s="637"/>
      <c r="I44" s="530">
        <v>10077.4085363864</v>
      </c>
      <c r="J44" s="530">
        <v>1.7402679641000001</v>
      </c>
      <c r="K44" s="80"/>
      <c r="L44" s="530">
        <v>8908.3598024586008</v>
      </c>
      <c r="M44" s="530">
        <v>1.5475089756</v>
      </c>
      <c r="N44" s="637"/>
      <c r="O44" s="530">
        <v>2658.7608015766</v>
      </c>
      <c r="P44" s="530">
        <v>0.51039629799999997</v>
      </c>
    </row>
    <row r="45" spans="1:16" ht="6" customHeight="1">
      <c r="B45" s="632"/>
      <c r="C45" s="642"/>
      <c r="D45" s="643"/>
      <c r="E45" s="644"/>
      <c r="F45" s="645"/>
      <c r="G45" s="646"/>
      <c r="H45" s="632"/>
      <c r="I45" s="645"/>
      <c r="J45" s="646"/>
      <c r="K45" s="632"/>
      <c r="L45" s="645"/>
      <c r="M45" s="646"/>
      <c r="N45" s="632"/>
      <c r="O45" s="645"/>
      <c r="P45" s="646"/>
    </row>
    <row r="46" spans="1:16" ht="6" customHeight="1">
      <c r="B46" s="5"/>
      <c r="C46" s="647"/>
      <c r="D46" s="648"/>
      <c r="E46" s="6"/>
    </row>
    <row r="47" spans="1:16" s="6" customFormat="1" ht="11.25">
      <c r="A47" s="54"/>
      <c r="B47" s="5" t="s">
        <v>242</v>
      </c>
      <c r="C47" s="385"/>
      <c r="D47" s="649"/>
      <c r="E47" s="27"/>
      <c r="F47" s="649"/>
      <c r="G47" s="94"/>
      <c r="H47" s="27"/>
      <c r="I47" s="649"/>
      <c r="J47" s="94"/>
      <c r="K47" s="27"/>
      <c r="L47" s="649"/>
      <c r="M47" s="94"/>
      <c r="N47" s="27"/>
      <c r="O47" s="649"/>
      <c r="P47" s="650"/>
    </row>
    <row r="48" spans="1:16" s="6" customFormat="1" ht="11.25">
      <c r="A48" s="54"/>
      <c r="B48" s="5" t="s">
        <v>243</v>
      </c>
      <c r="C48" s="385"/>
      <c r="D48" s="649"/>
      <c r="E48" s="27"/>
      <c r="F48" s="649"/>
      <c r="G48" s="94"/>
      <c r="H48" s="27"/>
      <c r="I48" s="649"/>
      <c r="J48" s="94"/>
      <c r="K48" s="27"/>
      <c r="L48" s="649"/>
      <c r="M48" s="94"/>
      <c r="N48" s="27"/>
      <c r="O48" s="649"/>
      <c r="P48" s="650"/>
    </row>
    <row r="49" spans="1:16" s="6" customFormat="1" ht="11.25">
      <c r="A49" s="54"/>
      <c r="B49" s="5" t="s">
        <v>247</v>
      </c>
      <c r="C49" s="385"/>
      <c r="D49" s="649"/>
      <c r="E49" s="27"/>
      <c r="F49" s="649"/>
      <c r="G49" s="94"/>
      <c r="H49" s="27"/>
      <c r="I49" s="649"/>
      <c r="J49" s="94"/>
      <c r="K49" s="27"/>
      <c r="L49" s="649"/>
      <c r="M49" s="94"/>
      <c r="N49" s="27"/>
      <c r="O49" s="649"/>
      <c r="P49" s="650"/>
    </row>
    <row r="50" spans="1:16" s="6" customFormat="1" ht="11.25">
      <c r="A50" s="54"/>
      <c r="B50" s="5" t="s">
        <v>248</v>
      </c>
      <c r="C50" s="385"/>
      <c r="D50" s="651"/>
      <c r="E50" s="27"/>
      <c r="F50" s="649"/>
      <c r="G50" s="94"/>
      <c r="H50" s="27"/>
      <c r="I50" s="649"/>
      <c r="J50" s="94"/>
      <c r="K50" s="27"/>
      <c r="L50" s="649"/>
      <c r="M50" s="94"/>
      <c r="N50" s="27"/>
      <c r="O50" s="649"/>
      <c r="P50" s="650"/>
    </row>
    <row r="51" spans="1:16" s="59" customFormat="1">
      <c r="B51" s="82" t="s">
        <v>209</v>
      </c>
      <c r="D51" s="652"/>
      <c r="F51" s="652"/>
      <c r="G51" s="88"/>
      <c r="I51" s="652"/>
      <c r="J51" s="88"/>
      <c r="L51" s="652"/>
      <c r="M51" s="88"/>
      <c r="O51" s="652"/>
      <c r="P51" s="88"/>
    </row>
  </sheetData>
  <mergeCells count="8">
    <mergeCell ref="B5:N5"/>
    <mergeCell ref="B7:B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BB17A878-F9DE-44BA-9E00-756422F35E8A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86EA-E15B-4389-ADD2-50AB30D9CA41}">
  <dimension ref="A1:S870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33" customWidth="1"/>
    <col min="3" max="3" width="1.7109375" style="685" customWidth="1"/>
    <col min="4" max="4" width="18.85546875" style="677" customWidth="1"/>
    <col min="5" max="5" width="1.7109375" customWidth="1"/>
    <col min="6" max="6" width="12.7109375" style="99" customWidth="1"/>
    <col min="7" max="7" width="1.7109375" style="99" customWidth="1"/>
    <col min="8" max="8" width="12.7109375" style="99" customWidth="1"/>
    <col min="9" max="9" width="1.7109375" style="99" customWidth="1"/>
    <col min="10" max="10" width="12.7109375" style="99" customWidth="1"/>
  </cols>
  <sheetData>
    <row r="1" spans="1:19" s="63" customFormat="1" ht="14.1" customHeight="1">
      <c r="A1" s="53"/>
      <c r="B1" s="756" t="s">
        <v>268</v>
      </c>
      <c r="C1" s="395"/>
      <c r="D1" s="653"/>
      <c r="E1" s="409"/>
      <c r="F1" s="654"/>
      <c r="G1" s="654"/>
      <c r="H1" s="654"/>
      <c r="I1" s="654"/>
      <c r="J1" s="89" t="s">
        <v>191</v>
      </c>
      <c r="K1" s="62"/>
      <c r="L1" s="62"/>
      <c r="M1" s="655"/>
      <c r="N1" s="655"/>
      <c r="O1" s="655"/>
      <c r="Q1" s="655"/>
      <c r="R1" s="655"/>
      <c r="S1" s="655"/>
    </row>
    <row r="2" spans="1:19" s="63" customFormat="1" ht="6.95" customHeight="1">
      <c r="A2" s="53"/>
      <c r="B2" s="756"/>
      <c r="C2" s="395"/>
      <c r="D2" s="653"/>
      <c r="E2" s="409"/>
      <c r="F2" s="654"/>
      <c r="G2" s="654"/>
      <c r="H2" s="654"/>
      <c r="I2" s="654"/>
      <c r="J2" s="654"/>
      <c r="K2" s="62"/>
      <c r="L2" s="62"/>
      <c r="M2" s="655"/>
      <c r="N2" s="655"/>
      <c r="O2" s="655"/>
      <c r="P2" s="655"/>
      <c r="Q2" s="655"/>
      <c r="R2" s="655"/>
      <c r="S2" s="655"/>
    </row>
    <row r="3" spans="1:19" s="63" customFormat="1" ht="14.1" customHeight="1">
      <c r="A3" s="53"/>
      <c r="B3" s="756" t="s">
        <v>236</v>
      </c>
      <c r="C3" s="656"/>
      <c r="D3" s="657"/>
      <c r="E3" s="656"/>
      <c r="F3" s="658"/>
      <c r="G3" s="658"/>
      <c r="H3" s="658"/>
      <c r="I3" s="658"/>
      <c r="J3" s="654"/>
      <c r="K3" s="62"/>
      <c r="L3" s="62"/>
      <c r="M3" s="655"/>
      <c r="N3" s="655"/>
      <c r="O3" s="655"/>
      <c r="P3" s="655"/>
      <c r="Q3" s="655"/>
      <c r="R3" s="655"/>
      <c r="S3" s="655"/>
    </row>
    <row r="4" spans="1:19" s="63" customFormat="1" ht="6.95" customHeight="1">
      <c r="A4" s="53"/>
      <c r="B4" s="656"/>
      <c r="C4" s="395"/>
      <c r="D4" s="653"/>
      <c r="E4" s="409"/>
      <c r="F4" s="654"/>
      <c r="G4" s="654"/>
      <c r="H4" s="654"/>
      <c r="I4" s="654"/>
      <c r="J4" s="654"/>
      <c r="K4" s="62"/>
      <c r="L4" s="62"/>
      <c r="M4" s="655"/>
      <c r="N4" s="655"/>
      <c r="O4" s="655"/>
      <c r="P4" s="655"/>
      <c r="Q4" s="655"/>
      <c r="R4" s="655"/>
      <c r="S4" s="655"/>
    </row>
    <row r="5" spans="1:19" s="63" customFormat="1" ht="30" customHeight="1">
      <c r="A5" s="53"/>
      <c r="B5" s="798" t="s">
        <v>249</v>
      </c>
      <c r="C5" s="798"/>
      <c r="D5" s="798"/>
      <c r="E5" s="798"/>
      <c r="F5" s="798"/>
      <c r="G5" s="798"/>
      <c r="H5" s="798"/>
      <c r="I5" s="659"/>
      <c r="J5" s="90" t="s">
        <v>119</v>
      </c>
      <c r="K5" s="62"/>
      <c r="L5" s="62"/>
      <c r="M5" s="655"/>
      <c r="N5" s="655"/>
      <c r="O5" s="655"/>
      <c r="P5" s="655"/>
      <c r="Q5" s="655"/>
      <c r="R5" s="655"/>
      <c r="S5" s="655"/>
    </row>
    <row r="6" spans="1:19" ht="6" customHeight="1">
      <c r="A6" s="53"/>
      <c r="B6" s="213"/>
      <c r="C6" s="213"/>
      <c r="D6" s="660"/>
      <c r="E6" s="407"/>
      <c r="F6" s="661"/>
      <c r="G6" s="661"/>
      <c r="H6" s="661"/>
      <c r="I6" s="661"/>
      <c r="J6" s="661"/>
      <c r="K6" s="3"/>
      <c r="L6" s="3"/>
      <c r="M6" s="1"/>
      <c r="N6" s="1"/>
      <c r="O6" s="1"/>
      <c r="P6" s="1"/>
      <c r="Q6" s="1"/>
      <c r="R6" s="1"/>
      <c r="S6" s="1"/>
    </row>
    <row r="7" spans="1:19" ht="21.75" customHeight="1">
      <c r="A7" s="53"/>
      <c r="B7" s="799" t="s">
        <v>39</v>
      </c>
      <c r="C7" s="399"/>
      <c r="D7" s="801" t="s">
        <v>120</v>
      </c>
      <c r="E7" s="662"/>
      <c r="F7" s="803" t="s">
        <v>250</v>
      </c>
      <c r="G7" s="804"/>
      <c r="H7" s="804"/>
      <c r="I7" s="804"/>
      <c r="J7" s="804"/>
      <c r="K7" s="3"/>
      <c r="L7" s="3"/>
      <c r="M7" s="1"/>
      <c r="N7" s="1"/>
      <c r="O7" s="1"/>
      <c r="P7" s="1"/>
      <c r="Q7" s="1"/>
      <c r="R7" s="1"/>
      <c r="S7" s="1"/>
    </row>
    <row r="8" spans="1:19" ht="23.25" customHeight="1">
      <c r="A8" s="53"/>
      <c r="B8" s="800"/>
      <c r="C8" s="401"/>
      <c r="D8" s="802"/>
      <c r="E8" s="420"/>
      <c r="F8" s="663" t="s">
        <v>2</v>
      </c>
      <c r="G8" s="664"/>
      <c r="H8" s="97" t="s">
        <v>121</v>
      </c>
      <c r="I8" s="663"/>
      <c r="J8" s="665" t="s">
        <v>47</v>
      </c>
      <c r="K8" s="3"/>
      <c r="L8" s="3"/>
      <c r="M8" s="1"/>
      <c r="N8" s="1"/>
      <c r="O8" s="1"/>
      <c r="P8" s="1"/>
      <c r="Q8" s="1"/>
      <c r="R8" s="1"/>
      <c r="S8" s="1"/>
    </row>
    <row r="9" spans="1:19" ht="6" customHeight="1">
      <c r="A9" s="54"/>
      <c r="B9" s="666"/>
      <c r="C9" s="400"/>
      <c r="D9" s="667"/>
      <c r="E9" s="407"/>
      <c r="F9" s="668"/>
      <c r="G9" s="669"/>
      <c r="H9" s="668"/>
      <c r="I9" s="670"/>
      <c r="J9" s="671"/>
      <c r="K9" s="3"/>
      <c r="L9" s="3"/>
      <c r="M9" s="1"/>
      <c r="N9" s="1"/>
      <c r="O9" s="1"/>
      <c r="P9" s="1"/>
      <c r="Q9" s="1"/>
      <c r="R9" s="1"/>
      <c r="S9" s="1"/>
    </row>
    <row r="10" spans="1:19" ht="15">
      <c r="A10" s="54"/>
      <c r="B10" s="38" t="s">
        <v>40</v>
      </c>
      <c r="C10" s="402"/>
      <c r="D10" s="532">
        <v>149959.111915257</v>
      </c>
      <c r="E10" s="672"/>
      <c r="F10" s="532">
        <v>55.953545932399997</v>
      </c>
      <c r="H10" s="532">
        <v>110.11173718089999</v>
      </c>
      <c r="I10" s="673"/>
      <c r="J10" s="532">
        <v>71.593297957000004</v>
      </c>
      <c r="K10" s="3"/>
      <c r="L10" s="3"/>
      <c r="M10" s="1"/>
      <c r="N10" s="1"/>
      <c r="O10" s="1"/>
      <c r="P10" s="1"/>
      <c r="Q10" s="1"/>
      <c r="R10" s="1"/>
      <c r="S10" s="1"/>
    </row>
    <row r="11" spans="1:19" ht="6" customHeight="1">
      <c r="A11" s="206"/>
      <c r="B11" s="635"/>
      <c r="C11" s="402"/>
      <c r="D11" s="674"/>
      <c r="E11" s="672"/>
      <c r="F11" s="603"/>
      <c r="H11" s="603"/>
      <c r="I11" s="673"/>
      <c r="J11" s="603"/>
      <c r="K11" s="3"/>
      <c r="L11" s="3"/>
      <c r="M11" s="1"/>
      <c r="N11" s="1"/>
      <c r="O11" s="1"/>
      <c r="P11" s="1"/>
      <c r="Q11" s="1"/>
      <c r="R11" s="1"/>
      <c r="S11" s="1"/>
    </row>
    <row r="12" spans="1:19" ht="12.75" customHeight="1">
      <c r="A12" s="57"/>
      <c r="B12" s="48" t="s">
        <v>245</v>
      </c>
      <c r="C12" s="402"/>
      <c r="D12" s="530">
        <v>134193.22215149799</v>
      </c>
      <c r="E12" s="675"/>
      <c r="F12" s="530">
        <v>48.925134385900002</v>
      </c>
      <c r="H12" s="530">
        <v>115.6738111805</v>
      </c>
      <c r="I12" s="676"/>
      <c r="J12" s="530">
        <v>79.629505236400007</v>
      </c>
      <c r="K12" s="3"/>
      <c r="L12" s="3"/>
      <c r="M12" s="1"/>
      <c r="N12" s="1"/>
      <c r="O12" s="1"/>
      <c r="P12" s="1"/>
      <c r="Q12" s="1"/>
      <c r="R12" s="1"/>
      <c r="S12" s="1"/>
    </row>
    <row r="13" spans="1:19" ht="12.75" customHeight="1">
      <c r="A13" s="57"/>
      <c r="B13" s="48" t="s">
        <v>42</v>
      </c>
      <c r="C13" s="402"/>
      <c r="D13" s="530">
        <v>57330.403621727397</v>
      </c>
      <c r="E13" s="675"/>
      <c r="F13" s="530">
        <v>252.27954113819999</v>
      </c>
      <c r="H13" s="530">
        <v>359.69525843439999</v>
      </c>
      <c r="I13" s="676"/>
      <c r="J13" s="530">
        <v>143.15497367859999</v>
      </c>
      <c r="K13" s="3"/>
      <c r="L13" s="3"/>
      <c r="M13" s="1"/>
      <c r="N13" s="1"/>
      <c r="O13" s="1"/>
      <c r="P13" s="1"/>
      <c r="Q13" s="1"/>
      <c r="R13" s="1"/>
      <c r="S13" s="1"/>
    </row>
    <row r="14" spans="1:19" ht="12.75" customHeight="1">
      <c r="A14" s="57"/>
      <c r="B14" s="48" t="s">
        <v>43</v>
      </c>
      <c r="C14" s="402"/>
      <c r="D14" s="530">
        <v>60288.540835348103</v>
      </c>
      <c r="E14" s="675"/>
      <c r="F14" s="530">
        <v>298.32642814360003</v>
      </c>
      <c r="H14" s="530">
        <v>702.10022860180004</v>
      </c>
      <c r="I14" s="676"/>
      <c r="J14" s="530">
        <v>247.88990253829999</v>
      </c>
      <c r="K14" s="3"/>
      <c r="L14" s="3"/>
      <c r="M14" s="1"/>
      <c r="N14" s="1"/>
      <c r="O14" s="1"/>
      <c r="P14" s="1"/>
      <c r="Q14" s="1"/>
      <c r="R14" s="1"/>
      <c r="S14" s="1"/>
    </row>
    <row r="15" spans="1:19" ht="12.75" customHeight="1">
      <c r="A15" s="54"/>
      <c r="B15" s="48" t="s">
        <v>246</v>
      </c>
      <c r="C15" s="402"/>
      <c r="D15" s="530">
        <v>34835.383183530503</v>
      </c>
      <c r="E15" s="675"/>
      <c r="F15" s="530">
        <v>54.835603894899997</v>
      </c>
      <c r="H15" s="530">
        <v>142.73266656160001</v>
      </c>
      <c r="I15" s="676"/>
      <c r="J15" s="530">
        <v>689.7937650261</v>
      </c>
      <c r="K15" s="3"/>
      <c r="L15" s="3"/>
      <c r="M15" s="1"/>
      <c r="N15" s="1"/>
      <c r="O15" s="1"/>
      <c r="P15" s="1"/>
      <c r="Q15" s="1"/>
      <c r="R15" s="1"/>
      <c r="S15" s="1"/>
    </row>
    <row r="16" spans="1:19" ht="6" customHeight="1">
      <c r="A16" s="54"/>
      <c r="B16" s="635"/>
      <c r="C16" s="402"/>
      <c r="K16" s="3"/>
      <c r="L16" s="3"/>
      <c r="M16" s="1"/>
      <c r="N16" s="1"/>
      <c r="O16" s="1"/>
      <c r="P16" s="1"/>
      <c r="Q16" s="1"/>
      <c r="R16" s="1"/>
      <c r="S16" s="1"/>
    </row>
    <row r="17" spans="1:19" ht="14.25" customHeight="1">
      <c r="A17" s="54"/>
      <c r="B17" s="303" t="s">
        <v>41</v>
      </c>
      <c r="C17" s="402"/>
      <c r="D17" s="639">
        <v>43616.176196422697</v>
      </c>
      <c r="E17" s="672"/>
      <c r="F17" s="639">
        <v>149.8575926451</v>
      </c>
      <c r="G17" s="678"/>
      <c r="H17" s="639">
        <v>135.66907520379999</v>
      </c>
      <c r="I17" s="673"/>
      <c r="J17" s="639">
        <v>522.08654845909996</v>
      </c>
      <c r="K17" s="3"/>
      <c r="L17" s="3"/>
      <c r="M17" s="1"/>
      <c r="N17" s="1"/>
      <c r="O17" s="1"/>
      <c r="P17" s="1"/>
      <c r="Q17" s="1"/>
      <c r="R17" s="1"/>
      <c r="S17" s="1"/>
    </row>
    <row r="18" spans="1:19" ht="6" customHeight="1">
      <c r="A18" s="58"/>
      <c r="B18" s="303"/>
      <c r="C18" s="402"/>
      <c r="K18" s="3"/>
      <c r="L18" s="3"/>
      <c r="M18" s="1"/>
      <c r="N18" s="1"/>
      <c r="O18" s="1"/>
      <c r="P18" s="1"/>
      <c r="Q18" s="1"/>
      <c r="R18" s="1"/>
      <c r="S18" s="1"/>
    </row>
    <row r="19" spans="1:19">
      <c r="A19" s="58"/>
      <c r="B19" s="529" t="s">
        <v>245</v>
      </c>
      <c r="C19" s="404"/>
      <c r="D19" s="531">
        <v>40605.759380602802</v>
      </c>
      <c r="E19" s="675"/>
      <c r="F19" s="531">
        <v>164.5600150672</v>
      </c>
      <c r="H19" s="531">
        <v>135.66907520379999</v>
      </c>
      <c r="I19" s="676"/>
      <c r="J19" s="531">
        <v>558.9742774353</v>
      </c>
      <c r="K19" s="3"/>
      <c r="L19" s="3"/>
      <c r="M19" s="1"/>
      <c r="N19" s="1"/>
      <c r="O19" s="1"/>
      <c r="P19" s="1"/>
      <c r="Q19" s="1"/>
      <c r="R19" s="1"/>
      <c r="S19" s="1"/>
    </row>
    <row r="20" spans="1:19">
      <c r="B20" s="529" t="s">
        <v>42</v>
      </c>
      <c r="C20" s="404"/>
      <c r="D20" s="530">
        <v>10612.6433586936</v>
      </c>
      <c r="E20" s="675"/>
      <c r="F20" s="530">
        <v>369.0417488571</v>
      </c>
      <c r="H20" s="530">
        <v>0</v>
      </c>
      <c r="I20" s="676"/>
      <c r="J20" s="530">
        <v>347.70472800559997</v>
      </c>
      <c r="K20" s="3"/>
      <c r="L20" s="3"/>
      <c r="M20" s="1"/>
      <c r="N20" s="1"/>
      <c r="O20" s="1"/>
      <c r="P20" s="1"/>
      <c r="Q20" s="1"/>
      <c r="R20" s="1"/>
      <c r="S20" s="1"/>
    </row>
    <row r="21" spans="1:19">
      <c r="B21" s="529" t="s">
        <v>43</v>
      </c>
      <c r="C21" s="404"/>
      <c r="D21" s="530">
        <v>2355.8151455493999</v>
      </c>
      <c r="E21" s="675"/>
      <c r="F21" s="530">
        <v>183.52742968300001</v>
      </c>
      <c r="H21" s="530">
        <v>0</v>
      </c>
      <c r="I21" s="676"/>
      <c r="J21" s="530">
        <v>0</v>
      </c>
      <c r="K21" s="3"/>
      <c r="L21" s="3"/>
      <c r="M21" s="1"/>
      <c r="N21" s="1"/>
      <c r="O21" s="1"/>
      <c r="P21" s="1"/>
      <c r="Q21" s="1"/>
      <c r="R21" s="1"/>
      <c r="S21" s="1"/>
    </row>
    <row r="22" spans="1:19">
      <c r="B22" s="529" t="s">
        <v>246</v>
      </c>
      <c r="C22" s="404"/>
      <c r="D22" s="530">
        <v>7067.2485766700001</v>
      </c>
      <c r="E22" s="675"/>
      <c r="F22" s="530">
        <v>220.23571484030001</v>
      </c>
      <c r="H22" s="530">
        <v>0</v>
      </c>
      <c r="I22" s="676"/>
      <c r="J22" s="530">
        <v>0</v>
      </c>
      <c r="K22" s="3"/>
      <c r="L22" s="3"/>
      <c r="M22" s="1"/>
      <c r="N22" s="1"/>
      <c r="O22" s="1"/>
      <c r="P22" s="1"/>
      <c r="Q22" s="1"/>
      <c r="R22" s="1"/>
      <c r="S22" s="1"/>
    </row>
    <row r="23" spans="1:19" ht="6" customHeight="1">
      <c r="B23" s="529"/>
      <c r="C23" s="404"/>
      <c r="K23" s="3"/>
      <c r="L23" s="3"/>
      <c r="M23" s="1"/>
      <c r="N23" s="1"/>
      <c r="O23" s="1"/>
      <c r="P23" s="1"/>
      <c r="Q23" s="1"/>
      <c r="R23" s="1"/>
      <c r="S23" s="1"/>
    </row>
    <row r="24" spans="1:19" ht="15">
      <c r="B24" s="303" t="s">
        <v>44</v>
      </c>
      <c r="C24" s="404"/>
      <c r="D24" s="532">
        <v>53421.2520729526</v>
      </c>
      <c r="E24" s="672"/>
      <c r="F24" s="532">
        <v>67.393443811400005</v>
      </c>
      <c r="G24" s="678"/>
      <c r="H24" s="532">
        <v>333.5415656994</v>
      </c>
      <c r="I24" s="673"/>
      <c r="J24" s="532">
        <v>270.52358226159998</v>
      </c>
      <c r="K24" s="3"/>
      <c r="L24" s="3"/>
      <c r="M24" s="1"/>
      <c r="N24" s="1"/>
      <c r="O24" s="1"/>
      <c r="P24" s="1"/>
      <c r="Q24" s="1"/>
      <c r="R24" s="1"/>
      <c r="S24" s="1"/>
    </row>
    <row r="25" spans="1:19" ht="6" customHeight="1">
      <c r="B25" s="529"/>
      <c r="C25" s="404"/>
      <c r="K25" s="3"/>
      <c r="L25" s="3"/>
      <c r="M25" s="1"/>
      <c r="N25" s="1"/>
      <c r="O25" s="1"/>
      <c r="P25" s="1"/>
      <c r="Q25" s="1"/>
      <c r="R25" s="1"/>
      <c r="S25" s="1"/>
    </row>
    <row r="26" spans="1:19" ht="9.75" customHeight="1">
      <c r="B26" s="529" t="s">
        <v>245</v>
      </c>
      <c r="C26" s="404"/>
      <c r="D26" s="530">
        <v>47654.977267076501</v>
      </c>
      <c r="E26" s="675"/>
      <c r="F26" s="530">
        <v>73.935789689900005</v>
      </c>
      <c r="H26" s="530">
        <v>340.07316048289999</v>
      </c>
      <c r="I26" s="676"/>
      <c r="J26" s="530">
        <v>286.8510723476</v>
      </c>
      <c r="K26" s="3"/>
      <c r="L26" s="3"/>
      <c r="M26" s="1"/>
      <c r="N26" s="1"/>
      <c r="O26" s="1"/>
      <c r="P26" s="1"/>
      <c r="Q26" s="1"/>
      <c r="R26" s="1"/>
      <c r="S26" s="1"/>
    </row>
    <row r="27" spans="1:19">
      <c r="B27" s="529" t="s">
        <v>42</v>
      </c>
      <c r="C27" s="404"/>
      <c r="D27" s="530">
        <v>11357.3232103926</v>
      </c>
      <c r="E27" s="675"/>
      <c r="F27" s="530">
        <v>170.65069903209999</v>
      </c>
      <c r="H27" s="530">
        <v>0</v>
      </c>
      <c r="I27" s="676"/>
      <c r="J27" s="530">
        <v>382.36572386900002</v>
      </c>
      <c r="K27" s="3"/>
      <c r="L27" s="3"/>
      <c r="M27" s="1"/>
      <c r="N27" s="1"/>
      <c r="O27" s="1"/>
      <c r="P27" s="1"/>
      <c r="Q27" s="1"/>
      <c r="R27" s="1"/>
      <c r="S27" s="1"/>
    </row>
    <row r="28" spans="1:19">
      <c r="B28" s="529" t="s">
        <v>43</v>
      </c>
      <c r="C28" s="404"/>
      <c r="D28" s="530">
        <v>12252.6925301378</v>
      </c>
      <c r="E28" s="675"/>
      <c r="F28" s="530">
        <v>215.1698018852</v>
      </c>
      <c r="H28" s="530">
        <v>0</v>
      </c>
      <c r="I28" s="676"/>
      <c r="J28" s="530">
        <v>955.87230088479998</v>
      </c>
      <c r="K28" s="3"/>
      <c r="L28" s="3"/>
      <c r="M28" s="1"/>
      <c r="N28" s="1"/>
      <c r="O28" s="1"/>
      <c r="P28" s="1"/>
      <c r="Q28" s="1"/>
      <c r="R28" s="1"/>
      <c r="S28" s="1"/>
    </row>
    <row r="29" spans="1:19">
      <c r="B29" s="529" t="s">
        <v>246</v>
      </c>
      <c r="C29" s="404"/>
      <c r="D29" s="530">
        <v>5774.1640328444</v>
      </c>
      <c r="E29" s="675"/>
      <c r="F29" s="530">
        <v>120.24521971759999</v>
      </c>
      <c r="H29" s="530">
        <v>0</v>
      </c>
      <c r="I29" s="676"/>
      <c r="J29" s="530">
        <v>380.325636557</v>
      </c>
      <c r="K29" s="3"/>
      <c r="L29" s="3"/>
      <c r="M29" s="1"/>
      <c r="N29" s="1"/>
      <c r="O29" s="1"/>
      <c r="P29" s="1"/>
      <c r="Q29" s="1"/>
      <c r="R29" s="1"/>
      <c r="S29" s="1"/>
    </row>
    <row r="30" spans="1:19" ht="6" customHeight="1">
      <c r="B30" s="529"/>
      <c r="C30" s="404"/>
      <c r="K30" s="3"/>
      <c r="L30" s="3"/>
      <c r="M30" s="1"/>
      <c r="N30" s="1"/>
      <c r="O30" s="1"/>
      <c r="P30" s="1"/>
      <c r="Q30" s="1"/>
      <c r="R30" s="1"/>
      <c r="S30" s="1"/>
    </row>
    <row r="31" spans="1:19" ht="15">
      <c r="B31" s="303" t="s">
        <v>45</v>
      </c>
      <c r="C31" s="404"/>
      <c r="D31" s="532">
        <v>75220.593851478596</v>
      </c>
      <c r="E31" s="672"/>
      <c r="F31" s="532">
        <v>65.128619570699996</v>
      </c>
      <c r="G31" s="678"/>
      <c r="H31" s="532">
        <v>123.32548632530001</v>
      </c>
      <c r="I31" s="673"/>
      <c r="J31" s="532">
        <v>179.63081720170001</v>
      </c>
      <c r="K31" s="3"/>
      <c r="L31" s="3"/>
      <c r="M31" s="1"/>
      <c r="N31" s="1"/>
      <c r="O31" s="1"/>
      <c r="P31" s="1"/>
      <c r="Q31" s="1"/>
      <c r="R31" s="1"/>
      <c r="S31" s="1"/>
    </row>
    <row r="32" spans="1:19" ht="6" customHeight="1">
      <c r="B32" s="303"/>
      <c r="C32" s="404"/>
      <c r="K32" s="3"/>
      <c r="L32" s="3"/>
      <c r="M32" s="1"/>
      <c r="N32" s="1"/>
      <c r="O32" s="1"/>
      <c r="P32" s="1"/>
      <c r="Q32" s="1"/>
      <c r="R32" s="1"/>
      <c r="S32" s="1"/>
    </row>
    <row r="33" spans="1:19">
      <c r="B33" s="529" t="s">
        <v>245</v>
      </c>
      <c r="C33" s="404"/>
      <c r="D33" s="530">
        <v>70305.199736878305</v>
      </c>
      <c r="E33" s="675"/>
      <c r="F33" s="530">
        <v>78.150492145100003</v>
      </c>
      <c r="H33" s="530">
        <v>122.0273833071</v>
      </c>
      <c r="I33" s="676"/>
      <c r="J33" s="530">
        <v>194.5747555806</v>
      </c>
      <c r="K33" s="3"/>
      <c r="L33" s="3"/>
      <c r="M33" s="1"/>
      <c r="N33" s="1"/>
      <c r="O33" s="1"/>
      <c r="P33" s="1"/>
      <c r="Q33" s="1"/>
      <c r="R33" s="1"/>
      <c r="S33" s="1"/>
    </row>
    <row r="34" spans="1:19">
      <c r="B34" s="529" t="s">
        <v>42</v>
      </c>
      <c r="C34" s="404"/>
      <c r="D34" s="530">
        <v>31749.7621219965</v>
      </c>
      <c r="E34" s="675"/>
      <c r="F34" s="530">
        <v>273.68564664989998</v>
      </c>
      <c r="H34" s="530">
        <v>244.0841777899</v>
      </c>
      <c r="I34" s="676"/>
      <c r="J34" s="530">
        <v>518.94022651390003</v>
      </c>
      <c r="K34" s="3"/>
      <c r="L34" s="3"/>
      <c r="M34" s="1"/>
      <c r="N34" s="1"/>
      <c r="O34" s="1"/>
      <c r="P34" s="1"/>
      <c r="Q34" s="1"/>
      <c r="R34" s="1"/>
      <c r="S34" s="1"/>
    </row>
    <row r="35" spans="1:19">
      <c r="B35" s="529" t="s">
        <v>43</v>
      </c>
      <c r="C35" s="404"/>
      <c r="D35" s="530">
        <v>22680.361094250999</v>
      </c>
      <c r="E35" s="675"/>
      <c r="F35" s="530">
        <v>247.12587861509999</v>
      </c>
      <c r="H35" s="530">
        <v>218.73748783830001</v>
      </c>
      <c r="I35" s="676"/>
      <c r="J35" s="530">
        <v>416.97958116680002</v>
      </c>
      <c r="K35" s="3"/>
      <c r="L35" s="3"/>
      <c r="M35" s="1"/>
      <c r="N35" s="1"/>
      <c r="O35" s="1"/>
      <c r="P35" s="1"/>
      <c r="Q35" s="1"/>
      <c r="R35" s="1"/>
      <c r="S35" s="1"/>
    </row>
    <row r="36" spans="1:19">
      <c r="B36" s="529" t="s">
        <v>246</v>
      </c>
      <c r="C36" s="404"/>
      <c r="D36" s="530">
        <v>14399.8056262544</v>
      </c>
      <c r="E36" s="675"/>
      <c r="F36" s="530">
        <v>80.342373819900004</v>
      </c>
      <c r="H36" s="530">
        <v>0</v>
      </c>
      <c r="I36" s="676"/>
      <c r="J36" s="530">
        <v>866.21868513009997</v>
      </c>
      <c r="K36" s="3"/>
      <c r="L36" s="3"/>
      <c r="M36" s="1"/>
      <c r="N36" s="1"/>
      <c r="O36" s="1"/>
      <c r="P36" s="1"/>
      <c r="Q36" s="1"/>
      <c r="R36" s="1"/>
      <c r="S36" s="1"/>
    </row>
    <row r="37" spans="1:19" ht="6" customHeight="1">
      <c r="B37" s="529"/>
      <c r="C37" s="404"/>
      <c r="K37" s="3"/>
      <c r="L37" s="3"/>
      <c r="M37" s="1"/>
      <c r="N37" s="1"/>
      <c r="O37" s="1"/>
      <c r="P37" s="1"/>
      <c r="Q37" s="1"/>
      <c r="R37" s="1"/>
      <c r="S37" s="1"/>
    </row>
    <row r="38" spans="1:19" ht="15">
      <c r="B38" s="303" t="s">
        <v>110</v>
      </c>
      <c r="C38" s="404"/>
      <c r="D38" s="532">
        <v>110276.82710978101</v>
      </c>
      <c r="E38" s="672"/>
      <c r="F38" s="532">
        <v>78.9604837973</v>
      </c>
      <c r="G38" s="678"/>
      <c r="H38" s="532">
        <v>163.99929221319999</v>
      </c>
      <c r="I38" s="673"/>
      <c r="J38" s="532">
        <v>79.068747008000003</v>
      </c>
      <c r="K38" s="3"/>
      <c r="L38" s="3"/>
      <c r="M38" s="1"/>
      <c r="N38" s="1"/>
      <c r="O38" s="1"/>
      <c r="P38" s="1"/>
      <c r="Q38" s="1"/>
      <c r="R38" s="1"/>
      <c r="S38" s="1"/>
    </row>
    <row r="39" spans="1:19" ht="6" customHeight="1">
      <c r="B39" s="303"/>
      <c r="C39" s="404"/>
      <c r="K39" s="3"/>
      <c r="L39" s="3"/>
      <c r="M39" s="1"/>
      <c r="N39" s="1"/>
      <c r="O39" s="1"/>
      <c r="P39" s="1"/>
      <c r="Q39" s="1"/>
      <c r="R39" s="1"/>
      <c r="S39" s="1"/>
    </row>
    <row r="40" spans="1:19">
      <c r="B40" s="529" t="s">
        <v>245</v>
      </c>
      <c r="C40" s="404"/>
      <c r="D40" s="530">
        <v>96012.718986096006</v>
      </c>
      <c r="E40" s="675"/>
      <c r="F40" s="530">
        <v>70.097335215800001</v>
      </c>
      <c r="H40" s="530">
        <v>178.504662118</v>
      </c>
      <c r="I40" s="676"/>
      <c r="J40" s="530">
        <v>88.032219937099995</v>
      </c>
      <c r="K40" s="3"/>
      <c r="L40" s="3"/>
      <c r="M40" s="1"/>
      <c r="N40" s="1"/>
      <c r="O40" s="1"/>
      <c r="P40" s="1"/>
      <c r="Q40" s="1"/>
      <c r="R40" s="1"/>
      <c r="S40" s="1"/>
    </row>
    <row r="41" spans="1:19">
      <c r="B41" s="529" t="s">
        <v>42</v>
      </c>
      <c r="C41" s="404"/>
      <c r="D41" s="530">
        <v>45135.103677578401</v>
      </c>
      <c r="E41" s="675"/>
      <c r="F41" s="530">
        <v>334.19313269320003</v>
      </c>
      <c r="H41" s="530">
        <v>426.04151280100001</v>
      </c>
      <c r="I41" s="676"/>
      <c r="J41" s="530">
        <v>146.5476881157</v>
      </c>
      <c r="K41" s="3"/>
      <c r="L41" s="3"/>
      <c r="M41" s="1"/>
      <c r="N41" s="1"/>
      <c r="O41" s="1"/>
      <c r="P41" s="1"/>
      <c r="Q41" s="1"/>
      <c r="R41" s="1"/>
      <c r="S41" s="1"/>
    </row>
    <row r="42" spans="1:19">
      <c r="B42" s="529" t="s">
        <v>43</v>
      </c>
      <c r="C42" s="404"/>
      <c r="D42" s="530">
        <v>54448.4254818423</v>
      </c>
      <c r="E42" s="675"/>
      <c r="F42" s="530">
        <v>334.44148595910002</v>
      </c>
      <c r="H42" s="530">
        <v>840.65530280680002</v>
      </c>
      <c r="I42" s="676"/>
      <c r="J42" s="530">
        <v>264.0797390299</v>
      </c>
      <c r="K42" s="3"/>
      <c r="L42" s="3"/>
      <c r="M42" s="1"/>
      <c r="N42" s="1"/>
      <c r="O42" s="1"/>
      <c r="P42" s="1"/>
      <c r="Q42" s="1"/>
      <c r="R42" s="1"/>
      <c r="S42" s="1"/>
    </row>
    <row r="43" spans="1:19">
      <c r="B43" s="529" t="s">
        <v>246</v>
      </c>
      <c r="C43" s="404"/>
      <c r="D43" s="530">
        <v>30378.6528132315</v>
      </c>
      <c r="E43" s="675"/>
      <c r="F43" s="530">
        <v>67.5480126402</v>
      </c>
      <c r="H43" s="530">
        <v>130.7484243911</v>
      </c>
      <c r="I43" s="676"/>
      <c r="J43" s="530">
        <v>752.02485516659999</v>
      </c>
      <c r="K43" s="3"/>
      <c r="L43" s="3"/>
      <c r="M43" s="1"/>
      <c r="N43" s="1"/>
      <c r="O43" s="1"/>
      <c r="P43" s="1"/>
      <c r="Q43" s="1"/>
      <c r="R43" s="1"/>
      <c r="S43" s="1"/>
    </row>
    <row r="44" spans="1:19" ht="6" customHeight="1">
      <c r="B44" s="420"/>
      <c r="C44" s="406"/>
      <c r="D44" s="679"/>
      <c r="E44" s="420"/>
      <c r="F44" s="680"/>
      <c r="G44" s="680"/>
      <c r="H44" s="680"/>
      <c r="I44" s="680"/>
      <c r="J44" s="680"/>
      <c r="K44" s="3"/>
      <c r="L44" s="3"/>
      <c r="M44" s="1"/>
      <c r="N44" s="1"/>
      <c r="O44" s="1"/>
      <c r="P44" s="1"/>
      <c r="Q44" s="1"/>
      <c r="R44" s="1"/>
      <c r="S44" s="1"/>
    </row>
    <row r="45" spans="1:19" ht="6" customHeight="1">
      <c r="B45" s="529"/>
      <c r="C45" s="213"/>
      <c r="D45" s="681"/>
      <c r="E45" s="407"/>
      <c r="F45" s="661"/>
      <c r="G45" s="661"/>
      <c r="H45" s="661"/>
      <c r="I45" s="661"/>
      <c r="J45" s="661"/>
      <c r="K45" s="3"/>
      <c r="L45" s="3"/>
      <c r="M45" s="1"/>
      <c r="N45" s="1"/>
      <c r="O45" s="1"/>
      <c r="P45" s="1"/>
      <c r="Q45" s="1"/>
      <c r="R45" s="1"/>
      <c r="S45" s="1"/>
    </row>
    <row r="46" spans="1:19" s="80" customFormat="1" ht="12.75" customHeight="1">
      <c r="A46" s="54"/>
      <c r="B46" s="682" t="s">
        <v>122</v>
      </c>
      <c r="C46" s="213"/>
      <c r="D46" s="681"/>
      <c r="E46" s="404"/>
      <c r="F46" s="683"/>
      <c r="G46" s="683"/>
      <c r="H46" s="683"/>
      <c r="I46" s="683"/>
      <c r="J46" s="683"/>
      <c r="K46" s="6"/>
      <c r="L46" s="6"/>
      <c r="M46" s="39"/>
      <c r="N46" s="39"/>
      <c r="O46" s="39"/>
      <c r="P46" s="39"/>
      <c r="Q46" s="39"/>
      <c r="R46" s="39"/>
      <c r="S46" s="39"/>
    </row>
    <row r="47" spans="1:19" s="80" customFormat="1" ht="11.25">
      <c r="A47" s="54"/>
      <c r="B47" s="5" t="s">
        <v>123</v>
      </c>
      <c r="C47" s="213"/>
      <c r="D47" s="681"/>
      <c r="E47" s="404"/>
      <c r="F47" s="683"/>
      <c r="G47" s="683"/>
      <c r="H47" s="683"/>
      <c r="I47" s="683"/>
      <c r="J47" s="683"/>
      <c r="K47" s="6"/>
      <c r="L47" s="6"/>
      <c r="M47" s="39"/>
      <c r="N47" s="39"/>
      <c r="O47" s="39"/>
      <c r="P47" s="39"/>
      <c r="Q47" s="39"/>
      <c r="R47" s="39"/>
      <c r="S47" s="39"/>
    </row>
    <row r="48" spans="1:19" s="80" customFormat="1" ht="11.25">
      <c r="A48" s="54"/>
      <c r="B48" s="5" t="s">
        <v>247</v>
      </c>
      <c r="C48" s="213"/>
      <c r="D48" s="681"/>
      <c r="E48" s="404"/>
      <c r="F48" s="683"/>
      <c r="G48" s="683"/>
      <c r="H48" s="683"/>
      <c r="I48" s="683"/>
      <c r="J48" s="683"/>
      <c r="K48" s="6"/>
      <c r="L48" s="6"/>
      <c r="M48" s="39"/>
      <c r="N48" s="39"/>
      <c r="O48" s="39"/>
      <c r="P48" s="39"/>
      <c r="Q48" s="39"/>
      <c r="R48" s="39"/>
      <c r="S48" s="39"/>
    </row>
    <row r="49" spans="1:19" s="80" customFormat="1" ht="11.25">
      <c r="A49" s="54"/>
      <c r="B49" s="5" t="s">
        <v>248</v>
      </c>
      <c r="C49" s="213"/>
      <c r="D49" s="681"/>
      <c r="E49" s="404"/>
      <c r="F49" s="683"/>
      <c r="G49" s="683"/>
      <c r="H49" s="683"/>
      <c r="I49" s="683"/>
      <c r="J49" s="683"/>
      <c r="K49" s="6"/>
      <c r="L49" s="6"/>
      <c r="M49" s="39"/>
      <c r="N49" s="39"/>
      <c r="O49" s="39"/>
      <c r="P49" s="39"/>
      <c r="Q49" s="39"/>
      <c r="R49" s="39"/>
      <c r="S49" s="39"/>
    </row>
    <row r="50" spans="1:19" s="80" customFormat="1" ht="11.25">
      <c r="A50" s="54"/>
      <c r="B50" s="684" t="s">
        <v>46</v>
      </c>
      <c r="C50" s="213"/>
      <c r="D50" s="681"/>
      <c r="E50" s="404"/>
      <c r="F50" s="683"/>
      <c r="G50" s="683"/>
      <c r="H50" s="683"/>
      <c r="I50" s="683"/>
      <c r="J50" s="683"/>
      <c r="K50" s="6"/>
      <c r="L50" s="6"/>
      <c r="M50" s="39"/>
      <c r="N50" s="39"/>
      <c r="O50" s="39"/>
      <c r="P50" s="39"/>
      <c r="Q50" s="39"/>
      <c r="R50" s="39"/>
      <c r="S50" s="39"/>
    </row>
    <row r="51" spans="1:19" s="59" customFormat="1">
      <c r="B51" s="82" t="s">
        <v>209</v>
      </c>
      <c r="D51" s="91"/>
      <c r="F51" s="88"/>
      <c r="G51" s="88"/>
      <c r="H51" s="88"/>
      <c r="I51" s="88"/>
      <c r="J51" s="88"/>
    </row>
    <row r="52" spans="1:19">
      <c r="C52"/>
    </row>
    <row r="53" spans="1:19">
      <c r="C53"/>
    </row>
    <row r="54" spans="1:19">
      <c r="C54"/>
    </row>
    <row r="55" spans="1:19">
      <c r="C55"/>
    </row>
    <row r="56" spans="1:19">
      <c r="C56"/>
    </row>
    <row r="57" spans="1:19">
      <c r="C57"/>
    </row>
    <row r="58" spans="1:19">
      <c r="C58"/>
    </row>
    <row r="59" spans="1:19">
      <c r="C59"/>
    </row>
    <row r="60" spans="1:19">
      <c r="C60"/>
    </row>
    <row r="61" spans="1:19">
      <c r="C61"/>
    </row>
    <row r="62" spans="1:19">
      <c r="C62"/>
    </row>
    <row r="63" spans="1:19">
      <c r="C63"/>
    </row>
    <row r="64" spans="1:19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</sheetData>
  <mergeCells count="4">
    <mergeCell ref="B5:H5"/>
    <mergeCell ref="B7:B8"/>
    <mergeCell ref="D7:D8"/>
    <mergeCell ref="F7:J7"/>
  </mergeCells>
  <hyperlinks>
    <hyperlink ref="J1" location="Índice!A1" tooltip="Ir a ÍNDICE" display="INDICE" xr:uid="{B2C6ED88-B01E-46BD-919F-CC91335BCE39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183-C795-4FB4-9730-D94072B986E6}">
  <dimension ref="A1:Q49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29" customWidth="1"/>
    <col min="3" max="3" width="1.7109375" customWidth="1"/>
    <col min="4" max="4" width="18.7109375" style="546" customWidth="1"/>
    <col min="5" max="5" width="1.7109375" customWidth="1"/>
    <col min="6" max="6" width="14.28515625" style="99" customWidth="1"/>
    <col min="7" max="7" width="1.7109375" style="99" customWidth="1"/>
    <col min="8" max="8" width="14.28515625" style="99" customWidth="1"/>
    <col min="9" max="9" width="1.7109375" style="99" customWidth="1"/>
    <col min="10" max="10" width="14.28515625" style="99" customWidth="1"/>
    <col min="12" max="12" width="4.85546875" customWidth="1"/>
  </cols>
  <sheetData>
    <row r="1" spans="1:16" s="63" customFormat="1" ht="14.1" customHeight="1">
      <c r="A1" s="53"/>
      <c r="B1" s="756" t="s">
        <v>268</v>
      </c>
      <c r="C1" s="61"/>
      <c r="D1" s="538"/>
      <c r="E1" s="62"/>
      <c r="F1" s="92"/>
      <c r="G1" s="92"/>
      <c r="H1" s="92"/>
      <c r="I1" s="92"/>
      <c r="J1" s="89" t="s">
        <v>191</v>
      </c>
      <c r="K1" s="62"/>
      <c r="L1" s="62"/>
      <c r="M1" s="62"/>
      <c r="N1" s="62"/>
      <c r="O1" s="62"/>
    </row>
    <row r="2" spans="1:16" s="63" customFormat="1" ht="6.95" customHeight="1">
      <c r="A2" s="53"/>
      <c r="B2" s="756"/>
      <c r="C2" s="61"/>
      <c r="D2" s="538"/>
      <c r="E2" s="62"/>
      <c r="F2" s="92"/>
      <c r="G2" s="92"/>
      <c r="H2" s="92"/>
      <c r="I2" s="92"/>
      <c r="J2" s="92"/>
      <c r="K2" s="62"/>
      <c r="L2" s="62"/>
      <c r="M2" s="62"/>
      <c r="N2" s="62"/>
      <c r="O2" s="62"/>
      <c r="P2" s="62"/>
    </row>
    <row r="3" spans="1:16" s="63" customFormat="1" ht="14.1" customHeight="1">
      <c r="A3" s="53"/>
      <c r="B3" s="756" t="s">
        <v>236</v>
      </c>
      <c r="C3" s="60"/>
      <c r="D3" s="539"/>
      <c r="E3" s="60"/>
      <c r="F3" s="103"/>
      <c r="G3" s="103"/>
      <c r="H3" s="103"/>
      <c r="I3" s="103"/>
      <c r="J3" s="92"/>
      <c r="K3" s="62"/>
      <c r="L3" s="62"/>
      <c r="M3" s="62"/>
      <c r="N3" s="62"/>
      <c r="O3" s="62"/>
      <c r="P3" s="62"/>
    </row>
    <row r="4" spans="1:16" s="63" customFormat="1" ht="6.95" customHeight="1">
      <c r="A4" s="53"/>
      <c r="B4" s="60"/>
      <c r="C4" s="61"/>
      <c r="D4" s="538"/>
      <c r="E4" s="62"/>
      <c r="F4" s="92"/>
      <c r="G4" s="92"/>
      <c r="H4" s="92"/>
      <c r="I4" s="92"/>
      <c r="J4" s="92"/>
      <c r="K4" s="62"/>
      <c r="L4" s="62"/>
      <c r="M4" s="62"/>
      <c r="N4" s="62"/>
      <c r="O4" s="62"/>
      <c r="P4" s="62"/>
    </row>
    <row r="5" spans="1:16" s="63" customFormat="1" ht="30" customHeight="1">
      <c r="A5" s="53"/>
      <c r="B5" s="805" t="s">
        <v>210</v>
      </c>
      <c r="C5" s="805"/>
      <c r="D5" s="805"/>
      <c r="E5" s="805"/>
      <c r="F5" s="805"/>
      <c r="G5" s="805"/>
      <c r="H5" s="805"/>
      <c r="I5" s="805"/>
      <c r="J5" s="90" t="s">
        <v>124</v>
      </c>
      <c r="K5" s="62"/>
      <c r="L5" s="62"/>
      <c r="M5" s="62"/>
      <c r="N5" s="62"/>
      <c r="O5" s="62"/>
      <c r="P5" s="62"/>
    </row>
    <row r="6" spans="1:16" ht="6" customHeight="1">
      <c r="A6" s="53"/>
      <c r="B6" s="5"/>
      <c r="C6" s="5"/>
      <c r="D6" s="540"/>
      <c r="E6" s="23"/>
      <c r="F6" s="104"/>
      <c r="G6" s="104"/>
      <c r="H6" s="104"/>
      <c r="I6" s="104"/>
      <c r="J6" s="104"/>
      <c r="K6" s="3"/>
      <c r="L6" s="3"/>
      <c r="M6" s="3"/>
      <c r="N6" s="3"/>
      <c r="O6" s="3"/>
      <c r="P6" s="3"/>
    </row>
    <row r="7" spans="1:16" ht="23.25" customHeight="1">
      <c r="A7" s="53"/>
      <c r="B7" s="790" t="s">
        <v>50</v>
      </c>
      <c r="C7" s="7"/>
      <c r="D7" s="806" t="s">
        <v>120</v>
      </c>
      <c r="E7" s="28"/>
      <c r="F7" s="808" t="s">
        <v>125</v>
      </c>
      <c r="G7" s="809"/>
      <c r="H7" s="809"/>
      <c r="I7" s="809"/>
      <c r="J7" s="809"/>
      <c r="K7" s="3"/>
      <c r="L7" s="3"/>
      <c r="M7" s="3"/>
      <c r="N7" s="3"/>
      <c r="O7" s="3"/>
      <c r="P7" s="3"/>
    </row>
    <row r="8" spans="1:16" ht="22.5">
      <c r="A8" s="54"/>
      <c r="B8" s="792"/>
      <c r="C8" s="9"/>
      <c r="D8" s="807"/>
      <c r="E8" s="29"/>
      <c r="F8" s="95" t="s">
        <v>2</v>
      </c>
      <c r="G8" s="96"/>
      <c r="H8" s="97" t="s">
        <v>121</v>
      </c>
      <c r="I8" s="95"/>
      <c r="J8" s="98" t="s">
        <v>47</v>
      </c>
      <c r="K8" s="3"/>
      <c r="L8" s="3"/>
      <c r="M8" s="3"/>
      <c r="N8" s="3"/>
      <c r="O8" s="3"/>
      <c r="P8" s="3"/>
    </row>
    <row r="9" spans="1:16" ht="6" customHeight="1">
      <c r="A9" s="55"/>
      <c r="B9" s="31"/>
      <c r="C9" s="10"/>
      <c r="D9" s="422"/>
      <c r="E9" s="23"/>
      <c r="F9" s="104"/>
      <c r="G9" s="104"/>
      <c r="H9" s="104"/>
      <c r="I9" s="104"/>
      <c r="J9" s="104"/>
      <c r="K9" s="3"/>
      <c r="L9" s="3"/>
      <c r="M9" s="3"/>
      <c r="N9" s="3"/>
      <c r="O9" s="3"/>
      <c r="P9" s="3"/>
    </row>
    <row r="10" spans="1:16" ht="15">
      <c r="A10" s="56"/>
      <c r="B10" s="21" t="s">
        <v>40</v>
      </c>
      <c r="C10" s="10"/>
      <c r="D10" s="267">
        <v>149959.111915257</v>
      </c>
      <c r="E10" s="40"/>
      <c r="F10" s="84">
        <v>55.953545932399997</v>
      </c>
      <c r="H10" s="84">
        <v>110.11173718089999</v>
      </c>
      <c r="I10" s="100"/>
      <c r="J10" s="84">
        <v>71.593297957000004</v>
      </c>
      <c r="K10" s="3"/>
      <c r="L10" s="3"/>
      <c r="M10" s="3"/>
      <c r="N10" s="3"/>
      <c r="O10" s="3"/>
      <c r="P10" s="3"/>
    </row>
    <row r="11" spans="1:16" ht="6" customHeight="1">
      <c r="A11" s="57"/>
      <c r="B11" s="24"/>
      <c r="C11" s="10"/>
      <c r="D11" s="541"/>
      <c r="E11" s="40"/>
      <c r="F11" s="85"/>
      <c r="H11" s="85"/>
      <c r="I11" s="100"/>
      <c r="J11" s="85"/>
      <c r="K11" s="3"/>
      <c r="L11" s="3"/>
      <c r="M11" s="3"/>
      <c r="N11" s="3"/>
      <c r="O11" s="3"/>
      <c r="P11" s="3"/>
    </row>
    <row r="12" spans="1:16">
      <c r="A12" s="57"/>
      <c r="B12" s="17" t="s">
        <v>6</v>
      </c>
      <c r="C12" s="27"/>
      <c r="D12" s="268">
        <v>8996.7269773400003</v>
      </c>
      <c r="E12" s="41"/>
      <c r="F12" s="86">
        <v>136.28631549470001</v>
      </c>
      <c r="H12" s="86">
        <v>517.66770341350002</v>
      </c>
      <c r="I12" s="101"/>
      <c r="J12" s="86">
        <v>320.72418502879998</v>
      </c>
      <c r="K12" s="3"/>
      <c r="L12" s="3"/>
      <c r="M12" s="3"/>
      <c r="N12" s="3"/>
      <c r="O12" s="3"/>
      <c r="P12" s="3"/>
    </row>
    <row r="13" spans="1:16">
      <c r="A13" s="57"/>
      <c r="B13" s="17" t="s">
        <v>7</v>
      </c>
      <c r="C13" s="27"/>
      <c r="D13" s="268">
        <v>28599.6941311384</v>
      </c>
      <c r="E13" s="41"/>
      <c r="F13" s="86">
        <v>192.59196466200001</v>
      </c>
      <c r="H13" s="86">
        <v>534.58184898239995</v>
      </c>
      <c r="I13" s="101"/>
      <c r="J13" s="86">
        <v>267.87454345899999</v>
      </c>
      <c r="K13" s="3"/>
      <c r="L13" s="3"/>
      <c r="M13" s="3"/>
      <c r="N13" s="3"/>
      <c r="O13" s="3"/>
      <c r="P13" s="3"/>
    </row>
    <row r="14" spans="1:16">
      <c r="A14" s="54"/>
      <c r="B14" s="17" t="s">
        <v>8</v>
      </c>
      <c r="C14" s="27"/>
      <c r="D14" s="268">
        <v>5765.3930994514003</v>
      </c>
      <c r="E14" s="41"/>
      <c r="F14" s="86">
        <v>291.8435604288</v>
      </c>
      <c r="H14" s="86">
        <v>843.08642433509999</v>
      </c>
      <c r="I14" s="101"/>
      <c r="J14" s="86">
        <v>391.63831572250001</v>
      </c>
      <c r="K14" s="3"/>
      <c r="L14" s="3"/>
      <c r="M14" s="3"/>
      <c r="N14" s="3"/>
      <c r="O14" s="3"/>
      <c r="P14" s="3"/>
    </row>
    <row r="15" spans="1:16">
      <c r="A15" s="54"/>
      <c r="B15" s="17" t="s">
        <v>9</v>
      </c>
      <c r="C15" s="27"/>
      <c r="D15" s="268">
        <v>3130.4043842422998</v>
      </c>
      <c r="E15" s="41"/>
      <c r="F15" s="86">
        <v>210.2193894689</v>
      </c>
      <c r="H15" s="86">
        <v>191.54889089459999</v>
      </c>
      <c r="I15" s="101"/>
      <c r="J15" s="86">
        <v>210.76033597879999</v>
      </c>
      <c r="K15" s="3"/>
      <c r="L15" s="3"/>
      <c r="M15" s="3"/>
      <c r="N15" s="3"/>
      <c r="O15" s="3"/>
      <c r="P15" s="3"/>
    </row>
    <row r="16" spans="1:16">
      <c r="A16" s="54"/>
      <c r="B16" s="17" t="s">
        <v>10</v>
      </c>
      <c r="C16" s="27"/>
      <c r="D16" s="269">
        <v>16616.110696227399</v>
      </c>
      <c r="E16" s="41"/>
      <c r="F16" s="87">
        <v>110.72982884450001</v>
      </c>
      <c r="H16" s="87">
        <v>269.86271273070003</v>
      </c>
      <c r="I16" s="101"/>
      <c r="J16" s="87">
        <v>355.78304105310002</v>
      </c>
      <c r="K16" s="3"/>
      <c r="L16" s="3"/>
      <c r="M16" s="3"/>
      <c r="N16" s="3"/>
      <c r="O16" s="3"/>
      <c r="P16" s="3"/>
    </row>
    <row r="17" spans="1:16">
      <c r="A17" s="58"/>
      <c r="B17" s="17" t="s">
        <v>11</v>
      </c>
      <c r="C17" s="27"/>
      <c r="D17" s="269">
        <v>6148.6020947548996</v>
      </c>
      <c r="E17" s="41"/>
      <c r="F17" s="87">
        <v>84.6712224053</v>
      </c>
      <c r="H17" s="87">
        <v>421.91320682809999</v>
      </c>
      <c r="I17" s="101"/>
      <c r="J17" s="87">
        <v>238.99833021309999</v>
      </c>
      <c r="K17" s="3"/>
      <c r="L17" s="3"/>
      <c r="M17" s="3"/>
      <c r="N17" s="3"/>
      <c r="O17" s="3"/>
      <c r="P17" s="3"/>
    </row>
    <row r="18" spans="1:16">
      <c r="A18" s="58"/>
      <c r="B18" s="17" t="s">
        <v>12</v>
      </c>
      <c r="C18" s="27"/>
      <c r="D18" s="268">
        <v>20977.0739963458</v>
      </c>
      <c r="E18" s="41"/>
      <c r="F18" s="86">
        <v>108.2210566844</v>
      </c>
      <c r="H18" s="86">
        <v>383.7650497226</v>
      </c>
      <c r="I18" s="101"/>
      <c r="J18" s="86">
        <v>573.14164921940005</v>
      </c>
      <c r="K18" s="3"/>
      <c r="L18" s="3"/>
      <c r="M18" s="3"/>
      <c r="N18" s="3"/>
      <c r="O18" s="3"/>
      <c r="P18" s="3"/>
    </row>
    <row r="19" spans="1:16">
      <c r="B19" s="17" t="s">
        <v>13</v>
      </c>
      <c r="C19" s="27"/>
      <c r="D19" s="268">
        <v>20978.496868349601</v>
      </c>
      <c r="E19" s="41"/>
      <c r="F19" s="86">
        <v>179.57627513989999</v>
      </c>
      <c r="H19" s="86">
        <v>592.00669710470004</v>
      </c>
      <c r="I19" s="101"/>
      <c r="J19" s="86">
        <v>262.68000227559997</v>
      </c>
      <c r="K19" s="3"/>
      <c r="L19" s="3"/>
      <c r="M19" s="3"/>
      <c r="N19" s="3"/>
      <c r="O19" s="3"/>
      <c r="P19" s="3"/>
    </row>
    <row r="20" spans="1:16">
      <c r="B20" s="17" t="s">
        <v>14</v>
      </c>
      <c r="C20" s="27"/>
      <c r="D20" s="268">
        <v>42447.962778729598</v>
      </c>
      <c r="E20" s="41"/>
      <c r="F20" s="86">
        <v>310.35261128079998</v>
      </c>
      <c r="H20" s="86">
        <v>493.31022167340001</v>
      </c>
      <c r="I20" s="101"/>
      <c r="J20" s="86">
        <v>524.64966604970004</v>
      </c>
      <c r="K20" s="3"/>
      <c r="L20" s="3"/>
      <c r="M20" s="3"/>
      <c r="N20" s="3"/>
      <c r="O20" s="3"/>
      <c r="P20" s="3"/>
    </row>
    <row r="21" spans="1:16">
      <c r="B21" s="17" t="s">
        <v>15</v>
      </c>
      <c r="C21" s="27"/>
      <c r="D21" s="268">
        <v>7592.7696679368</v>
      </c>
      <c r="E21" s="41"/>
      <c r="F21" s="86">
        <v>142.0151289353</v>
      </c>
      <c r="H21" s="86">
        <v>168.21951920500001</v>
      </c>
      <c r="I21" s="101"/>
      <c r="J21" s="86">
        <v>460.26611284450001</v>
      </c>
      <c r="K21" s="3"/>
      <c r="L21" s="3"/>
      <c r="M21" s="3"/>
      <c r="N21" s="3"/>
      <c r="O21" s="3"/>
      <c r="P21" s="3"/>
    </row>
    <row r="22" spans="1:16">
      <c r="B22" s="17" t="s">
        <v>16</v>
      </c>
      <c r="C22" s="27"/>
      <c r="D22" s="268">
        <v>36326.667390058603</v>
      </c>
      <c r="E22" s="41"/>
      <c r="F22" s="86">
        <v>173.28081569599999</v>
      </c>
      <c r="H22" s="86">
        <v>575.98356901470004</v>
      </c>
      <c r="I22" s="101"/>
      <c r="J22" s="86">
        <v>220.48623614249999</v>
      </c>
      <c r="K22" s="3"/>
      <c r="L22" s="3"/>
      <c r="M22" s="3"/>
      <c r="N22" s="3"/>
      <c r="O22" s="3"/>
      <c r="P22" s="3"/>
    </row>
    <row r="23" spans="1:16">
      <c r="B23" s="17" t="s">
        <v>17</v>
      </c>
      <c r="C23" s="27"/>
      <c r="D23" s="268">
        <v>11378.336645506201</v>
      </c>
      <c r="E23" s="41"/>
      <c r="F23" s="86">
        <v>93.693209218099994</v>
      </c>
      <c r="H23" s="86">
        <v>120.33465586120001</v>
      </c>
      <c r="I23" s="101"/>
      <c r="J23" s="86">
        <v>604.10409678079998</v>
      </c>
      <c r="K23" s="3"/>
      <c r="L23" s="3"/>
      <c r="M23" s="3"/>
      <c r="N23" s="3"/>
      <c r="O23" s="3"/>
      <c r="P23" s="3"/>
    </row>
    <row r="24" spans="1:16">
      <c r="B24" s="17" t="s">
        <v>18</v>
      </c>
      <c r="C24" s="27"/>
      <c r="D24" s="268">
        <v>13519.818149725499</v>
      </c>
      <c r="E24" s="41"/>
      <c r="F24" s="86">
        <v>93.292905958800006</v>
      </c>
      <c r="H24" s="86">
        <v>379.36794839179998</v>
      </c>
      <c r="I24" s="101"/>
      <c r="J24" s="86">
        <v>660.26503908840004</v>
      </c>
      <c r="K24" s="3"/>
      <c r="L24" s="3"/>
      <c r="M24" s="3"/>
      <c r="N24" s="3"/>
      <c r="O24" s="3"/>
      <c r="P24" s="3"/>
    </row>
    <row r="25" spans="1:16">
      <c r="B25" s="17" t="s">
        <v>19</v>
      </c>
      <c r="C25" s="27"/>
      <c r="D25" s="268">
        <v>46932.109913101202</v>
      </c>
      <c r="E25" s="41"/>
      <c r="F25" s="86">
        <v>162.2683691371</v>
      </c>
      <c r="H25" s="86">
        <v>303.1082839796</v>
      </c>
      <c r="I25" s="101"/>
      <c r="J25" s="86">
        <v>386.60879441729998</v>
      </c>
      <c r="K25" s="3"/>
      <c r="L25" s="3"/>
      <c r="M25" s="3"/>
      <c r="N25" s="3"/>
      <c r="O25" s="3"/>
      <c r="P25" s="3"/>
    </row>
    <row r="26" spans="1:16">
      <c r="B26" s="17" t="s">
        <v>20</v>
      </c>
      <c r="C26" s="27"/>
      <c r="D26" s="268">
        <v>81737.391066809505</v>
      </c>
      <c r="E26" s="41"/>
      <c r="F26" s="86">
        <v>167.22805713450001</v>
      </c>
      <c r="H26" s="86">
        <v>120.6454256607</v>
      </c>
      <c r="I26" s="101"/>
      <c r="J26" s="86">
        <v>309.03367859690002</v>
      </c>
      <c r="K26" s="3"/>
      <c r="L26" s="3"/>
      <c r="M26" s="3"/>
      <c r="N26" s="3"/>
      <c r="O26" s="3"/>
      <c r="P26" s="3"/>
    </row>
    <row r="27" spans="1:16">
      <c r="B27" s="17" t="s">
        <v>21</v>
      </c>
      <c r="C27" s="27"/>
      <c r="D27" s="268">
        <v>26533.3394769933</v>
      </c>
      <c r="E27" s="41"/>
      <c r="F27" s="86">
        <v>78.150309217200004</v>
      </c>
      <c r="H27" s="86">
        <v>240.41165496470001</v>
      </c>
      <c r="I27" s="101"/>
      <c r="J27" s="86">
        <v>546.33432154310003</v>
      </c>
      <c r="K27" s="3"/>
      <c r="L27" s="3"/>
      <c r="M27" s="3"/>
      <c r="N27" s="3"/>
      <c r="O27" s="3"/>
      <c r="P27" s="3"/>
    </row>
    <row r="28" spans="1:16">
      <c r="B28" s="17" t="s">
        <v>22</v>
      </c>
      <c r="C28" s="27"/>
      <c r="D28" s="268">
        <v>7660.3056181727998</v>
      </c>
      <c r="E28" s="41"/>
      <c r="F28" s="86">
        <v>139.02187642070001</v>
      </c>
      <c r="H28" s="86">
        <v>216.7410438611</v>
      </c>
      <c r="I28" s="101"/>
      <c r="J28" s="86">
        <v>477.36524540030001</v>
      </c>
      <c r="K28" s="3"/>
      <c r="L28" s="3"/>
      <c r="M28" s="3"/>
      <c r="N28" s="3"/>
      <c r="O28" s="3"/>
      <c r="P28" s="3"/>
    </row>
    <row r="29" spans="1:16">
      <c r="B29" s="17" t="s">
        <v>23</v>
      </c>
      <c r="C29" s="27"/>
      <c r="D29" s="268">
        <v>7831.9928616446005</v>
      </c>
      <c r="E29" s="41"/>
      <c r="F29" s="86">
        <v>237.61230311689999</v>
      </c>
      <c r="H29" s="86">
        <v>318.66870665649998</v>
      </c>
      <c r="I29" s="101"/>
      <c r="J29" s="86">
        <v>265.78405788779997</v>
      </c>
      <c r="K29" s="3"/>
      <c r="L29" s="3"/>
      <c r="M29" s="3"/>
      <c r="N29" s="3"/>
      <c r="O29" s="3"/>
      <c r="P29" s="3"/>
    </row>
    <row r="30" spans="1:16">
      <c r="B30" s="17" t="s">
        <v>24</v>
      </c>
      <c r="C30" s="27"/>
      <c r="D30" s="268">
        <v>46170.712135613197</v>
      </c>
      <c r="E30" s="41"/>
      <c r="F30" s="86">
        <v>212.18556246009999</v>
      </c>
      <c r="H30" s="86">
        <v>256.13857010800001</v>
      </c>
      <c r="I30" s="101"/>
      <c r="J30" s="86">
        <v>269.38415629479999</v>
      </c>
      <c r="K30" s="3"/>
      <c r="L30" s="3"/>
      <c r="M30" s="3"/>
      <c r="N30" s="3"/>
      <c r="O30" s="3"/>
      <c r="P30" s="3"/>
    </row>
    <row r="31" spans="1:16">
      <c r="B31" s="17" t="s">
        <v>25</v>
      </c>
      <c r="C31" s="27"/>
      <c r="D31" s="268">
        <v>15818.670395443</v>
      </c>
      <c r="E31" s="41"/>
      <c r="F31" s="86">
        <v>300.64740922850001</v>
      </c>
      <c r="H31" s="86">
        <v>142.3028176748</v>
      </c>
      <c r="I31" s="101"/>
      <c r="J31" s="86">
        <v>229.8552417608</v>
      </c>
      <c r="K31" s="3"/>
      <c r="L31" s="3"/>
      <c r="M31" s="3"/>
      <c r="N31" s="3"/>
      <c r="O31" s="3"/>
      <c r="P31" s="3"/>
    </row>
    <row r="32" spans="1:16">
      <c r="B32" s="17" t="s">
        <v>26</v>
      </c>
      <c r="C32" s="27"/>
      <c r="D32" s="268">
        <v>33481.379554085499</v>
      </c>
      <c r="E32" s="41"/>
      <c r="F32" s="86">
        <v>166.04091588509999</v>
      </c>
      <c r="H32" s="86">
        <v>103.8937007114</v>
      </c>
      <c r="I32" s="101"/>
      <c r="J32" s="86">
        <v>355.2376494106</v>
      </c>
      <c r="K32" s="3"/>
      <c r="L32" s="3"/>
      <c r="M32" s="3"/>
      <c r="N32" s="3"/>
      <c r="O32" s="3"/>
      <c r="P32" s="3"/>
    </row>
    <row r="33" spans="1:17">
      <c r="B33" s="17" t="s">
        <v>27</v>
      </c>
      <c r="C33" s="27"/>
      <c r="D33" s="268">
        <v>16735.4402941109</v>
      </c>
      <c r="E33" s="41"/>
      <c r="F33" s="86">
        <v>273.09226619240002</v>
      </c>
      <c r="H33" s="86">
        <v>443.06341168630001</v>
      </c>
      <c r="I33" s="101"/>
      <c r="J33" s="86">
        <v>351.20602449239999</v>
      </c>
      <c r="K33" s="3"/>
      <c r="L33" s="3"/>
      <c r="M33" s="3"/>
      <c r="N33" s="3"/>
      <c r="O33" s="3"/>
      <c r="P33" s="3"/>
    </row>
    <row r="34" spans="1:17">
      <c r="B34" s="17" t="s">
        <v>28</v>
      </c>
      <c r="C34" s="27"/>
      <c r="D34" s="268">
        <v>22382.957983198899</v>
      </c>
      <c r="E34" s="41"/>
      <c r="F34" s="86">
        <v>139.6303563232</v>
      </c>
      <c r="H34" s="86">
        <v>170.46502338560001</v>
      </c>
      <c r="I34" s="101"/>
      <c r="J34" s="86">
        <v>142.04778155790001</v>
      </c>
      <c r="K34" s="3"/>
      <c r="L34" s="3"/>
      <c r="M34" s="3"/>
      <c r="N34" s="3"/>
      <c r="O34" s="3"/>
      <c r="P34" s="3"/>
    </row>
    <row r="35" spans="1:17">
      <c r="B35" s="17" t="s">
        <v>29</v>
      </c>
      <c r="C35" s="27"/>
      <c r="D35" s="268">
        <v>12741.632545247599</v>
      </c>
      <c r="E35" s="41"/>
      <c r="F35" s="86">
        <v>164.00433801849999</v>
      </c>
      <c r="H35" s="86">
        <v>277.39774875849997</v>
      </c>
      <c r="I35" s="101"/>
      <c r="J35" s="86">
        <v>308.04703250850002</v>
      </c>
      <c r="K35" s="3"/>
      <c r="L35" s="3"/>
      <c r="M35" s="3"/>
      <c r="N35" s="3"/>
      <c r="O35" s="3"/>
      <c r="P35" s="3"/>
    </row>
    <row r="36" spans="1:17">
      <c r="B36" s="17" t="s">
        <v>30</v>
      </c>
      <c r="C36" s="27"/>
      <c r="D36" s="268">
        <v>16982.034734604102</v>
      </c>
      <c r="E36" s="41"/>
      <c r="F36" s="86">
        <v>156.92885179289999</v>
      </c>
      <c r="H36" s="86">
        <v>755.06182545230001</v>
      </c>
      <c r="I36" s="101"/>
      <c r="J36" s="86">
        <v>315.3875802965</v>
      </c>
      <c r="K36" s="3"/>
      <c r="L36" s="3"/>
      <c r="M36" s="3"/>
      <c r="N36" s="3"/>
      <c r="O36" s="3"/>
      <c r="P36" s="3"/>
    </row>
    <row r="37" spans="1:17">
      <c r="B37" s="17" t="s">
        <v>31</v>
      </c>
      <c r="C37" s="27"/>
      <c r="D37" s="268">
        <v>21046.001252571099</v>
      </c>
      <c r="E37" s="41"/>
      <c r="F37" s="86">
        <v>177.58240570109999</v>
      </c>
      <c r="H37" s="86">
        <v>410.76180169470001</v>
      </c>
      <c r="I37" s="101"/>
      <c r="J37" s="86">
        <v>229.4242134555</v>
      </c>
      <c r="K37" s="3"/>
      <c r="L37" s="3"/>
      <c r="M37" s="3"/>
      <c r="N37" s="3"/>
      <c r="O37" s="3"/>
      <c r="P37" s="3"/>
    </row>
    <row r="38" spans="1:17">
      <c r="B38" s="17" t="s">
        <v>32</v>
      </c>
      <c r="C38" s="27"/>
      <c r="D38" s="268">
        <v>9797.4399393478998</v>
      </c>
      <c r="E38" s="41"/>
      <c r="F38" s="86">
        <v>119.0802595615</v>
      </c>
      <c r="H38" s="86">
        <v>1011.8346541764</v>
      </c>
      <c r="I38" s="101"/>
      <c r="J38" s="86">
        <v>451.98680197969998</v>
      </c>
      <c r="K38" s="3"/>
      <c r="L38" s="3"/>
      <c r="M38" s="3"/>
      <c r="N38" s="3"/>
      <c r="O38" s="3"/>
      <c r="P38" s="3"/>
    </row>
    <row r="39" spans="1:17">
      <c r="B39" s="17" t="s">
        <v>33</v>
      </c>
      <c r="C39" s="27"/>
      <c r="D39" s="268">
        <v>20848.959694713001</v>
      </c>
      <c r="E39" s="41"/>
      <c r="F39" s="86">
        <v>111.2006344</v>
      </c>
      <c r="H39" s="86">
        <v>1089.6658393543</v>
      </c>
      <c r="I39" s="101"/>
      <c r="J39" s="86">
        <v>181.4780694319</v>
      </c>
      <c r="K39" s="3"/>
      <c r="L39" s="3"/>
      <c r="M39" s="3"/>
      <c r="N39" s="3"/>
      <c r="O39" s="3"/>
      <c r="P39" s="3"/>
    </row>
    <row r="40" spans="1:17">
      <c r="B40" s="17" t="s">
        <v>34</v>
      </c>
      <c r="C40" s="27"/>
      <c r="D40" s="268">
        <v>3769.2836240842998</v>
      </c>
      <c r="E40" s="41"/>
      <c r="F40" s="86">
        <v>113.8027882753</v>
      </c>
      <c r="H40" s="86">
        <v>131.1579068149</v>
      </c>
      <c r="I40" s="101"/>
      <c r="J40" s="86">
        <v>249.33580971160001</v>
      </c>
      <c r="K40" s="3"/>
      <c r="L40" s="3"/>
      <c r="M40" s="3"/>
      <c r="N40" s="3"/>
      <c r="O40" s="3"/>
      <c r="P40" s="3"/>
    </row>
    <row r="41" spans="1:17">
      <c r="B41" s="17" t="s">
        <v>35</v>
      </c>
      <c r="C41" s="27"/>
      <c r="D41" s="268">
        <v>33937.893504230502</v>
      </c>
      <c r="E41" s="41"/>
      <c r="F41" s="86">
        <v>269.95156284910001</v>
      </c>
      <c r="H41" s="86">
        <v>76.5090272666</v>
      </c>
      <c r="I41" s="101"/>
      <c r="J41" s="86">
        <v>335.65578733820001</v>
      </c>
      <c r="K41" s="3"/>
      <c r="L41" s="3"/>
      <c r="M41" s="3"/>
      <c r="N41" s="3"/>
      <c r="O41" s="3"/>
      <c r="P41" s="3"/>
    </row>
    <row r="42" spans="1:17">
      <c r="B42" s="17" t="s">
        <v>36</v>
      </c>
      <c r="C42" s="27"/>
      <c r="D42" s="268">
        <v>14710.6343218232</v>
      </c>
      <c r="E42" s="41"/>
      <c r="F42" s="86">
        <v>217.61173657309999</v>
      </c>
      <c r="H42" s="86">
        <v>135.4551597123</v>
      </c>
      <c r="I42" s="101"/>
      <c r="J42" s="86">
        <v>297.09019449060003</v>
      </c>
      <c r="K42" s="3"/>
      <c r="L42" s="3"/>
      <c r="M42" s="3"/>
      <c r="N42" s="3"/>
      <c r="O42" s="3"/>
      <c r="P42" s="3"/>
    </row>
    <row r="43" spans="1:17">
      <c r="B43" s="19" t="s">
        <v>37</v>
      </c>
      <c r="C43" s="27"/>
      <c r="D43" s="268">
        <v>7872.9783471780001</v>
      </c>
      <c r="E43" s="41"/>
      <c r="F43" s="86">
        <v>129.58655344030001</v>
      </c>
      <c r="H43" s="86">
        <v>360.7542075275</v>
      </c>
      <c r="I43" s="101"/>
      <c r="J43" s="86">
        <v>573.92334101009999</v>
      </c>
      <c r="K43" s="3"/>
      <c r="L43" s="3"/>
      <c r="M43" s="3"/>
      <c r="N43" s="3"/>
      <c r="O43" s="3"/>
      <c r="P43" s="3"/>
    </row>
    <row r="44" spans="1:17" ht="6" customHeight="1">
      <c r="B44" s="32"/>
      <c r="C44" s="33"/>
      <c r="D44" s="542"/>
      <c r="E44" s="32"/>
      <c r="F44" s="105"/>
      <c r="G44" s="105"/>
      <c r="H44" s="105"/>
      <c r="I44" s="105"/>
      <c r="J44" s="105"/>
      <c r="K44" s="8"/>
      <c r="L44" s="8"/>
      <c r="M44" s="8"/>
      <c r="N44" s="8"/>
      <c r="O44" s="8"/>
      <c r="P44" s="8"/>
      <c r="Q44" s="25"/>
    </row>
    <row r="45" spans="1:17" ht="6" customHeight="1">
      <c r="B45" s="11"/>
      <c r="C45" s="12"/>
      <c r="D45" s="543"/>
      <c r="E45" s="34"/>
      <c r="F45" s="106"/>
      <c r="G45" s="106"/>
      <c r="H45" s="106"/>
      <c r="I45" s="106"/>
      <c r="J45" s="106"/>
      <c r="K45" s="8"/>
      <c r="L45" s="8"/>
      <c r="M45" s="8"/>
      <c r="N45" s="8"/>
      <c r="O45" s="8"/>
      <c r="P45" s="8"/>
      <c r="Q45" s="25"/>
    </row>
    <row r="46" spans="1:17" s="80" customFormat="1" ht="12.75" customHeight="1">
      <c r="A46" s="54"/>
      <c r="B46" s="30" t="s">
        <v>122</v>
      </c>
      <c r="C46" s="12"/>
      <c r="D46" s="543"/>
      <c r="E46" s="26"/>
      <c r="F46" s="107"/>
      <c r="G46" s="107"/>
      <c r="H46" s="107"/>
      <c r="I46" s="107"/>
      <c r="J46" s="107"/>
      <c r="K46" s="14"/>
      <c r="L46" s="14"/>
      <c r="M46" s="14"/>
      <c r="N46" s="14"/>
      <c r="O46" s="14"/>
      <c r="P46" s="14"/>
      <c r="Q46" s="81"/>
    </row>
    <row r="47" spans="1:17" s="80" customFormat="1" ht="11.25">
      <c r="A47" s="54"/>
      <c r="B47" s="12" t="s">
        <v>123</v>
      </c>
      <c r="C47" s="12"/>
      <c r="D47" s="543"/>
      <c r="E47" s="26"/>
      <c r="F47" s="107"/>
      <c r="G47" s="107"/>
      <c r="H47" s="107"/>
      <c r="I47" s="107"/>
      <c r="J47" s="107"/>
      <c r="K47" s="14"/>
      <c r="L47" s="14"/>
      <c r="M47" s="14"/>
      <c r="N47" s="14"/>
      <c r="O47" s="14"/>
      <c r="P47" s="14"/>
      <c r="Q47" s="81"/>
    </row>
    <row r="48" spans="1:17" s="80" customFormat="1" ht="11.25">
      <c r="A48" s="54"/>
      <c r="B48" s="13" t="s">
        <v>46</v>
      </c>
      <c r="C48" s="5"/>
      <c r="D48" s="544"/>
      <c r="E48" s="27"/>
      <c r="F48" s="94"/>
      <c r="G48" s="94"/>
      <c r="H48" s="94"/>
      <c r="I48" s="94"/>
      <c r="J48" s="94"/>
      <c r="K48" s="6"/>
      <c r="L48" s="6"/>
      <c r="M48" s="6"/>
      <c r="N48" s="6"/>
      <c r="O48" s="6"/>
      <c r="P48" s="6"/>
    </row>
    <row r="49" spans="2:10" s="59" customFormat="1">
      <c r="B49" s="82" t="s">
        <v>209</v>
      </c>
      <c r="D49" s="545"/>
      <c r="F49" s="88"/>
      <c r="G49" s="88"/>
      <c r="H49" s="88"/>
      <c r="I49" s="88"/>
      <c r="J49" s="88"/>
    </row>
  </sheetData>
  <mergeCells count="4">
    <mergeCell ref="B5:I5"/>
    <mergeCell ref="B7:B8"/>
    <mergeCell ref="D7:D8"/>
    <mergeCell ref="F7:J7"/>
  </mergeCells>
  <hyperlinks>
    <hyperlink ref="J1" location="Índice!A1" tooltip="Ir a ÍNDICE" display="INDICE" xr:uid="{3BC14532-3862-4D8A-992A-980EA4B39B3E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8989-BDEF-4E10-87BE-01CC540BAE90}">
  <dimension ref="A1:AA49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200" customWidth="1"/>
    <col min="3" max="3" width="1.7109375" style="200" customWidth="1" collapsed="1"/>
    <col min="4" max="4" width="18.7109375" style="555" customWidth="1" collapsed="1"/>
    <col min="5" max="5" width="1.7109375" style="555" customWidth="1" collapsed="1"/>
    <col min="6" max="7" width="11.42578125" style="555" customWidth="1" collapsed="1"/>
    <col min="8" max="8" width="1.7109375" style="555" customWidth="1" collapsed="1"/>
    <col min="9" max="10" width="11.42578125" style="555" customWidth="1" collapsed="1"/>
    <col min="11" max="11" width="1.7109375" style="555" customWidth="1" collapsed="1"/>
    <col min="12" max="12" width="11.42578125" style="555" customWidth="1"/>
    <col min="13" max="13" width="11.42578125" style="555"/>
    <col min="14" max="14" width="1.7109375" style="555" customWidth="1"/>
    <col min="15" max="16" width="11.42578125" style="555" collapsed="1"/>
    <col min="17" max="17" width="11.42578125" style="200" collapsed="1"/>
    <col min="18" max="25" width="11.42578125" style="200"/>
    <col min="26" max="26" width="11.42578125" style="200" collapsed="1"/>
    <col min="27" max="27" width="11.42578125" style="200"/>
    <col min="28" max="16384" width="11.42578125" style="200" collapsed="1"/>
  </cols>
  <sheetData>
    <row r="1" spans="1:18" s="197" customFormat="1" ht="14.1" customHeight="1">
      <c r="A1" s="53"/>
      <c r="B1" s="756" t="s">
        <v>268</v>
      </c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57" t="s">
        <v>191</v>
      </c>
    </row>
    <row r="2" spans="1:18" s="197" customFormat="1" ht="6.95" customHeight="1">
      <c r="A2" s="53"/>
      <c r="B2" s="756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</row>
    <row r="3" spans="1:18" s="197" customFormat="1" ht="14.1" customHeight="1">
      <c r="A3" s="53"/>
      <c r="B3" s="756" t="s">
        <v>236</v>
      </c>
      <c r="C3" s="198"/>
      <c r="D3" s="548"/>
      <c r="E3" s="548"/>
      <c r="F3" s="548"/>
      <c r="G3" s="548"/>
      <c r="H3" s="548"/>
      <c r="I3" s="548"/>
      <c r="J3" s="547"/>
      <c r="K3" s="547"/>
      <c r="L3" s="547"/>
      <c r="M3" s="547"/>
      <c r="N3" s="547"/>
      <c r="O3" s="547"/>
      <c r="P3" s="547"/>
    </row>
    <row r="4" spans="1:18" s="197" customFormat="1" ht="6.95" customHeight="1">
      <c r="A4" s="53"/>
      <c r="C4" s="198"/>
      <c r="D4" s="547"/>
      <c r="E4" s="547"/>
      <c r="F4" s="547"/>
      <c r="G4" s="547"/>
      <c r="H4" s="547"/>
      <c r="I4" s="547"/>
      <c r="J4" s="547"/>
      <c r="K4" s="547"/>
      <c r="L4" s="547"/>
      <c r="M4" s="547"/>
      <c r="N4" s="547"/>
      <c r="O4" s="547"/>
      <c r="P4" s="547"/>
    </row>
    <row r="5" spans="1:18" s="197" customFormat="1" ht="20.100000000000001" customHeight="1">
      <c r="A5" s="53"/>
      <c r="B5" s="810" t="s">
        <v>51</v>
      </c>
      <c r="C5" s="810"/>
      <c r="D5" s="810"/>
      <c r="E5" s="810"/>
      <c r="F5" s="810"/>
      <c r="G5" s="810"/>
      <c r="H5" s="810"/>
      <c r="I5" s="810"/>
      <c r="J5" s="810"/>
      <c r="K5" s="810"/>
      <c r="L5" s="810"/>
      <c r="M5" s="810"/>
      <c r="N5" s="547"/>
      <c r="O5" s="547"/>
      <c r="P5" s="558" t="s">
        <v>126</v>
      </c>
    </row>
    <row r="6" spans="1:18" ht="6" customHeight="1">
      <c r="A6" s="53"/>
      <c r="B6" s="199"/>
      <c r="D6" s="549"/>
      <c r="E6" s="549"/>
      <c r="F6" s="549"/>
      <c r="G6" s="549"/>
      <c r="H6" s="549"/>
      <c r="I6" s="549"/>
      <c r="J6" s="559"/>
      <c r="K6" s="560"/>
    </row>
    <row r="7" spans="1:18" ht="15" customHeight="1">
      <c r="A7" s="53"/>
      <c r="B7" s="781" t="s">
        <v>1</v>
      </c>
      <c r="C7" s="781"/>
      <c r="D7" s="811" t="s">
        <v>52</v>
      </c>
      <c r="E7" s="561"/>
      <c r="F7" s="814" t="s">
        <v>53</v>
      </c>
      <c r="G7" s="814"/>
      <c r="H7" s="814"/>
      <c r="I7" s="814"/>
      <c r="J7" s="814"/>
      <c r="K7" s="814"/>
      <c r="L7" s="814"/>
      <c r="M7" s="814"/>
      <c r="N7" s="814"/>
      <c r="O7" s="814"/>
      <c r="P7" s="814"/>
    </row>
    <row r="8" spans="1:18" ht="16.5" customHeight="1">
      <c r="A8" s="53"/>
      <c r="B8" s="782"/>
      <c r="C8" s="782"/>
      <c r="D8" s="812"/>
      <c r="E8" s="562"/>
      <c r="F8" s="815" t="s">
        <v>54</v>
      </c>
      <c r="G8" s="815"/>
      <c r="H8" s="563"/>
      <c r="I8" s="816" t="s">
        <v>55</v>
      </c>
      <c r="J8" s="816"/>
      <c r="K8" s="564"/>
      <c r="L8" s="817" t="s">
        <v>56</v>
      </c>
      <c r="M8" s="817"/>
      <c r="N8" s="565"/>
      <c r="O8" s="818" t="s">
        <v>57</v>
      </c>
      <c r="P8" s="818"/>
    </row>
    <row r="9" spans="1:18" ht="16.5" customHeight="1">
      <c r="A9" s="54"/>
      <c r="B9" s="783"/>
      <c r="C9" s="783"/>
      <c r="D9" s="813"/>
      <c r="E9" s="566"/>
      <c r="F9" s="567" t="s">
        <v>3</v>
      </c>
      <c r="G9" s="567" t="s">
        <v>4</v>
      </c>
      <c r="H9" s="568"/>
      <c r="I9" s="567" t="s">
        <v>3</v>
      </c>
      <c r="J9" s="567" t="s">
        <v>4</v>
      </c>
      <c r="K9" s="569"/>
      <c r="L9" s="567" t="s">
        <v>3</v>
      </c>
      <c r="M9" s="567" t="s">
        <v>4</v>
      </c>
      <c r="N9" s="569"/>
      <c r="O9" s="570" t="s">
        <v>3</v>
      </c>
      <c r="P9" s="570" t="s">
        <v>4</v>
      </c>
      <c r="Q9" s="201"/>
      <c r="R9" s="201"/>
    </row>
    <row r="10" spans="1:18" ht="6" customHeight="1">
      <c r="A10" s="54"/>
      <c r="B10" s="15"/>
      <c r="C10" s="205"/>
      <c r="D10" s="550"/>
      <c r="E10" s="550"/>
      <c r="F10" s="571"/>
      <c r="G10" s="572"/>
      <c r="H10" s="572"/>
      <c r="I10" s="572"/>
      <c r="J10" s="572"/>
    </row>
    <row r="11" spans="1:18" s="202" customFormat="1" ht="12.75" customHeight="1">
      <c r="A11" s="206"/>
      <c r="B11" s="16" t="s">
        <v>5</v>
      </c>
      <c r="D11" s="267">
        <v>97960.761038796903</v>
      </c>
      <c r="E11" s="573"/>
      <c r="F11" s="267">
        <v>50871.0733470185</v>
      </c>
      <c r="G11" s="267">
        <v>0.72207181040000001</v>
      </c>
      <c r="H11" s="573"/>
      <c r="I11" s="267">
        <v>74467.979946692707</v>
      </c>
      <c r="J11" s="267">
        <v>0.76614635769999995</v>
      </c>
      <c r="K11" s="541"/>
      <c r="L11" s="267">
        <v>26058.5320998551</v>
      </c>
      <c r="M11" s="267">
        <v>0.42536107699999998</v>
      </c>
      <c r="N11" s="573"/>
      <c r="O11" s="267">
        <v>6157.3879509522003</v>
      </c>
      <c r="P11" s="267">
        <v>0.1062860655</v>
      </c>
    </row>
    <row r="12" spans="1:18" s="202" customFormat="1" ht="6" customHeight="1">
      <c r="A12" s="57"/>
      <c r="B12" s="16"/>
      <c r="D12" s="541"/>
      <c r="E12" s="573"/>
      <c r="F12" s="541"/>
      <c r="G12" s="541"/>
      <c r="H12" s="573"/>
      <c r="I12" s="541"/>
      <c r="J12" s="541"/>
      <c r="K12" s="541"/>
      <c r="L12" s="541"/>
      <c r="M12" s="541"/>
      <c r="N12" s="573"/>
      <c r="O12" s="541"/>
      <c r="P12" s="541"/>
    </row>
    <row r="13" spans="1:18" ht="12.75" customHeight="1">
      <c r="A13" s="57"/>
      <c r="B13" s="17" t="s">
        <v>6</v>
      </c>
      <c r="D13" s="268">
        <v>4859.2099992902004</v>
      </c>
      <c r="E13" s="574"/>
      <c r="F13" s="268">
        <v>2318.9641653854001</v>
      </c>
      <c r="G13" s="268">
        <v>2.3588719369</v>
      </c>
      <c r="H13" s="574"/>
      <c r="I13" s="268">
        <v>3464.2442563769</v>
      </c>
      <c r="J13" s="268">
        <v>2.7061568744</v>
      </c>
      <c r="K13" s="541"/>
      <c r="L13" s="268">
        <v>1488.1993980333</v>
      </c>
      <c r="M13" s="268">
        <v>1.7043373926000001</v>
      </c>
      <c r="N13" s="574"/>
      <c r="O13" s="268">
        <v>0</v>
      </c>
      <c r="P13" s="268">
        <v>0</v>
      </c>
    </row>
    <row r="14" spans="1:18" ht="12.75" customHeight="1">
      <c r="A14" s="57"/>
      <c r="B14" s="17" t="s">
        <v>7</v>
      </c>
      <c r="D14" s="268">
        <v>16463.7175080868</v>
      </c>
      <c r="E14" s="574"/>
      <c r="F14" s="268">
        <v>9508.7419246567006</v>
      </c>
      <c r="G14" s="268">
        <v>3.0189323874</v>
      </c>
      <c r="H14" s="574"/>
      <c r="I14" s="268">
        <v>11951.7145543108</v>
      </c>
      <c r="J14" s="268">
        <v>2.9670432555000001</v>
      </c>
      <c r="K14" s="541"/>
      <c r="L14" s="268">
        <v>4317.8628418179997</v>
      </c>
      <c r="M14" s="268">
        <v>1.584366486</v>
      </c>
      <c r="N14" s="574"/>
      <c r="O14" s="268">
        <v>1054.8369542256</v>
      </c>
      <c r="P14" s="268">
        <v>0.41340818210000002</v>
      </c>
    </row>
    <row r="15" spans="1:18" ht="12.75" customHeight="1">
      <c r="A15" s="54"/>
      <c r="B15" s="17" t="s">
        <v>8</v>
      </c>
      <c r="D15" s="268">
        <v>3992.1156052093002</v>
      </c>
      <c r="E15" s="574"/>
      <c r="F15" s="268">
        <v>2509.2079434931002</v>
      </c>
      <c r="G15" s="268">
        <v>3.4954296157</v>
      </c>
      <c r="H15" s="574"/>
      <c r="I15" s="268">
        <v>3034.0393754073002</v>
      </c>
      <c r="J15" s="268">
        <v>3.4756375037999998</v>
      </c>
      <c r="K15" s="541"/>
      <c r="L15" s="268">
        <v>926.52831329610001</v>
      </c>
      <c r="M15" s="268">
        <v>1.5325054197000001</v>
      </c>
      <c r="N15" s="574"/>
      <c r="O15" s="268">
        <v>205.50669088859999</v>
      </c>
      <c r="P15" s="268">
        <v>0.35666324770000002</v>
      </c>
    </row>
    <row r="16" spans="1:18" ht="12.75" customHeight="1">
      <c r="A16" s="54"/>
      <c r="B16" s="17" t="s">
        <v>9</v>
      </c>
      <c r="D16" s="268">
        <v>2202.8937980923001</v>
      </c>
      <c r="E16" s="574"/>
      <c r="F16" s="268">
        <v>1145.6968213662999</v>
      </c>
      <c r="G16" s="268">
        <v>3.4831870061000001</v>
      </c>
      <c r="H16" s="574"/>
      <c r="I16" s="268">
        <v>1544.2451769295001</v>
      </c>
      <c r="J16" s="268">
        <v>4.0333465885999997</v>
      </c>
      <c r="K16" s="541"/>
      <c r="L16" s="268">
        <v>677.05020674699995</v>
      </c>
      <c r="M16" s="268">
        <v>2.5656973588</v>
      </c>
      <c r="N16" s="574"/>
      <c r="O16" s="268">
        <v>0</v>
      </c>
      <c r="P16" s="268">
        <v>0</v>
      </c>
    </row>
    <row r="17" spans="1:16" ht="12.75" customHeight="1">
      <c r="A17" s="54"/>
      <c r="B17" s="17" t="s">
        <v>10</v>
      </c>
      <c r="D17" s="269">
        <v>9590.5858838835993</v>
      </c>
      <c r="E17" s="574"/>
      <c r="F17" s="269">
        <v>5601.9446880577998</v>
      </c>
      <c r="G17" s="269">
        <v>3.4873568462</v>
      </c>
      <c r="H17" s="574"/>
      <c r="I17" s="269">
        <v>7033.8168971370997</v>
      </c>
      <c r="J17" s="269">
        <v>3.6414666124999999</v>
      </c>
      <c r="K17" s="541"/>
      <c r="L17" s="269">
        <v>3373.3980427551001</v>
      </c>
      <c r="M17" s="269">
        <v>2.3592585835</v>
      </c>
      <c r="N17" s="574"/>
      <c r="O17" s="269">
        <v>1468.2924322718</v>
      </c>
      <c r="P17" s="269">
        <v>1.0823361790999999</v>
      </c>
    </row>
    <row r="18" spans="1:16" ht="12.75" customHeight="1">
      <c r="A18" s="58"/>
      <c r="B18" s="17" t="s">
        <v>11</v>
      </c>
      <c r="D18" s="269">
        <v>3516.1771605416002</v>
      </c>
      <c r="E18" s="574"/>
      <c r="F18" s="269">
        <v>1935.2458371091</v>
      </c>
      <c r="G18" s="269">
        <v>2.7472638928999999</v>
      </c>
      <c r="H18" s="574"/>
      <c r="I18" s="269">
        <v>2562.4663998782999</v>
      </c>
      <c r="J18" s="269">
        <v>2.5764494274</v>
      </c>
      <c r="K18" s="541"/>
      <c r="L18" s="269">
        <v>1013.4906679782</v>
      </c>
      <c r="M18" s="269">
        <v>1.6489830138999999</v>
      </c>
      <c r="N18" s="574"/>
      <c r="O18" s="269">
        <v>183.5047683304</v>
      </c>
      <c r="P18" s="269">
        <v>0.31436722160000002</v>
      </c>
    </row>
    <row r="19" spans="1:16" ht="12.75" customHeight="1">
      <c r="A19" s="58"/>
      <c r="B19" s="17" t="s">
        <v>12</v>
      </c>
      <c r="D19" s="268">
        <v>16819.189811868298</v>
      </c>
      <c r="E19" s="574"/>
      <c r="F19" s="268">
        <v>6115.5299184623</v>
      </c>
      <c r="G19" s="268">
        <v>2.7267899330000001</v>
      </c>
      <c r="H19" s="574"/>
      <c r="I19" s="268">
        <v>14048.0672865365</v>
      </c>
      <c r="J19" s="268">
        <v>3.0068321</v>
      </c>
      <c r="K19" s="541"/>
      <c r="L19" s="268">
        <v>3640.8893419054002</v>
      </c>
      <c r="M19" s="268">
        <v>1.7765553540000001</v>
      </c>
      <c r="N19" s="574"/>
      <c r="O19" s="268">
        <v>0</v>
      </c>
      <c r="P19" s="268">
        <v>0</v>
      </c>
    </row>
    <row r="20" spans="1:16" ht="12.75" customHeight="1">
      <c r="B20" s="17" t="s">
        <v>13</v>
      </c>
      <c r="D20" s="268">
        <v>11704.354303394</v>
      </c>
      <c r="E20" s="574"/>
      <c r="F20" s="268">
        <v>7583.7772940457999</v>
      </c>
      <c r="G20" s="268">
        <v>3.2043867268000001</v>
      </c>
      <c r="H20" s="574"/>
      <c r="I20" s="268">
        <v>8651.6708397983002</v>
      </c>
      <c r="J20" s="268">
        <v>3.2213498402999998</v>
      </c>
      <c r="K20" s="541"/>
      <c r="L20" s="268">
        <v>3248.3615080626</v>
      </c>
      <c r="M20" s="268">
        <v>1.6789405341000001</v>
      </c>
      <c r="N20" s="574"/>
      <c r="O20" s="268">
        <v>0</v>
      </c>
      <c r="P20" s="268">
        <v>0</v>
      </c>
    </row>
    <row r="21" spans="1:16" ht="12.75" customHeight="1">
      <c r="B21" s="17" t="s">
        <v>14</v>
      </c>
      <c r="D21" s="268">
        <v>39643.792019001397</v>
      </c>
      <c r="E21" s="574"/>
      <c r="F21" s="268">
        <v>24057.2157789546</v>
      </c>
      <c r="G21" s="268">
        <v>2.5435056770000002</v>
      </c>
      <c r="H21" s="574"/>
      <c r="I21" s="268">
        <v>28323.591425310999</v>
      </c>
      <c r="J21" s="268">
        <v>2.6347055351000002</v>
      </c>
      <c r="K21" s="541"/>
      <c r="L21" s="268">
        <v>9915.5869948121999</v>
      </c>
      <c r="M21" s="268">
        <v>1.2917001034</v>
      </c>
      <c r="N21" s="574"/>
      <c r="O21" s="268">
        <v>3777.4334821231</v>
      </c>
      <c r="P21" s="268">
        <v>0.51137365440000004</v>
      </c>
    </row>
    <row r="22" spans="1:16" ht="12.75" customHeight="1">
      <c r="B22" s="17" t="s">
        <v>15</v>
      </c>
      <c r="D22" s="268">
        <v>4434.4597991216997</v>
      </c>
      <c r="E22" s="574"/>
      <c r="F22" s="268">
        <v>2237.8847106969001</v>
      </c>
      <c r="G22" s="268">
        <v>3.3157060624999999</v>
      </c>
      <c r="H22" s="574"/>
      <c r="I22" s="268">
        <v>3193.2072197293</v>
      </c>
      <c r="J22" s="268">
        <v>3.5770977445000001</v>
      </c>
      <c r="K22" s="541"/>
      <c r="L22" s="268">
        <v>1385.3825481905001</v>
      </c>
      <c r="M22" s="268">
        <v>2.3193237499000001</v>
      </c>
      <c r="N22" s="574"/>
      <c r="O22" s="268">
        <v>0</v>
      </c>
      <c r="P22" s="268">
        <v>0</v>
      </c>
    </row>
    <row r="23" spans="1:16" ht="12.75" customHeight="1">
      <c r="B23" s="17" t="s">
        <v>16</v>
      </c>
      <c r="D23" s="268">
        <v>19147.107153058201</v>
      </c>
      <c r="E23" s="574"/>
      <c r="F23" s="268">
        <v>8231.4970795355002</v>
      </c>
      <c r="G23" s="268">
        <v>2.9672773561999999</v>
      </c>
      <c r="H23" s="574"/>
      <c r="I23" s="268">
        <v>15284.4763794955</v>
      </c>
      <c r="J23" s="268">
        <v>3.3301618778000002</v>
      </c>
      <c r="K23" s="541"/>
      <c r="L23" s="268">
        <v>4862.1072954986003</v>
      </c>
      <c r="M23" s="268">
        <v>1.8235333586</v>
      </c>
      <c r="N23" s="574"/>
      <c r="O23" s="268">
        <v>1112.3812296151</v>
      </c>
      <c r="P23" s="268">
        <v>0.44598402240000001</v>
      </c>
    </row>
    <row r="24" spans="1:16" ht="12.75" customHeight="1">
      <c r="B24" s="17" t="s">
        <v>17</v>
      </c>
      <c r="D24" s="268">
        <v>9022.4063996114</v>
      </c>
      <c r="E24" s="574"/>
      <c r="F24" s="268">
        <v>3434.5210942927001</v>
      </c>
      <c r="G24" s="268">
        <v>3.3871040270999999</v>
      </c>
      <c r="H24" s="574"/>
      <c r="I24" s="268">
        <v>7750.5953687439996</v>
      </c>
      <c r="J24" s="268">
        <v>3.7937226912000002</v>
      </c>
      <c r="K24" s="541"/>
      <c r="L24" s="268">
        <v>1957.4359536956999</v>
      </c>
      <c r="M24" s="268">
        <v>2.1698122502000001</v>
      </c>
      <c r="N24" s="574"/>
      <c r="O24" s="268">
        <v>0</v>
      </c>
      <c r="P24" s="268">
        <v>0</v>
      </c>
    </row>
    <row r="25" spans="1:16" ht="12.75" customHeight="1">
      <c r="B25" s="17" t="s">
        <v>18</v>
      </c>
      <c r="D25" s="268">
        <v>8465.0632009861001</v>
      </c>
      <c r="E25" s="574"/>
      <c r="F25" s="268">
        <v>4225.0298444140999</v>
      </c>
      <c r="G25" s="268">
        <v>4.2013786983000001</v>
      </c>
      <c r="H25" s="574"/>
      <c r="I25" s="268">
        <v>6473.0816653385</v>
      </c>
      <c r="J25" s="268">
        <v>4.1305335592999999</v>
      </c>
      <c r="K25" s="541"/>
      <c r="L25" s="268">
        <v>1607.4998568945</v>
      </c>
      <c r="M25" s="268">
        <v>1.8127116687</v>
      </c>
      <c r="N25" s="574"/>
      <c r="O25" s="268">
        <v>570</v>
      </c>
      <c r="P25" s="268">
        <v>0.65726425560000001</v>
      </c>
    </row>
    <row r="26" spans="1:16" ht="12.75" customHeight="1">
      <c r="B26" s="17" t="s">
        <v>19</v>
      </c>
      <c r="D26" s="268">
        <v>33200.9288851491</v>
      </c>
      <c r="E26" s="574"/>
      <c r="F26" s="268">
        <v>19449.294993898799</v>
      </c>
      <c r="G26" s="268">
        <v>2.4097976407999999</v>
      </c>
      <c r="H26" s="574"/>
      <c r="I26" s="268">
        <v>23914.9366107639</v>
      </c>
      <c r="J26" s="268">
        <v>2.5872122672</v>
      </c>
      <c r="K26" s="541"/>
      <c r="L26" s="268">
        <v>7320.0646398689996</v>
      </c>
      <c r="M26" s="268">
        <v>1.1618495790000001</v>
      </c>
      <c r="N26" s="574"/>
      <c r="O26" s="268">
        <v>1198</v>
      </c>
      <c r="P26" s="268">
        <v>0.1981311375</v>
      </c>
    </row>
    <row r="27" spans="1:16" ht="12.75" customHeight="1">
      <c r="B27" s="17" t="s">
        <v>20</v>
      </c>
      <c r="D27" s="268">
        <v>52351.838905065699</v>
      </c>
      <c r="E27" s="574"/>
      <c r="F27" s="268">
        <v>24255.114753152899</v>
      </c>
      <c r="G27" s="268">
        <v>2.858185438</v>
      </c>
      <c r="H27" s="574"/>
      <c r="I27" s="268">
        <v>42779.797591278599</v>
      </c>
      <c r="J27" s="268">
        <v>3.2013298505000001</v>
      </c>
      <c r="K27" s="541"/>
      <c r="L27" s="268">
        <v>15111.327530885899</v>
      </c>
      <c r="M27" s="268">
        <v>1.871827677</v>
      </c>
      <c r="N27" s="574"/>
      <c r="O27" s="268">
        <v>3805.9213076468</v>
      </c>
      <c r="P27" s="268">
        <v>0.5080641803</v>
      </c>
    </row>
    <row r="28" spans="1:16" ht="12.75" customHeight="1">
      <c r="B28" s="17" t="s">
        <v>21</v>
      </c>
      <c r="D28" s="268">
        <v>20420.191842033699</v>
      </c>
      <c r="E28" s="574"/>
      <c r="F28" s="268">
        <v>8927.1676627078996</v>
      </c>
      <c r="G28" s="268">
        <v>3.0695739677999998</v>
      </c>
      <c r="H28" s="574"/>
      <c r="I28" s="268">
        <v>13313.595538068699</v>
      </c>
      <c r="J28" s="268">
        <v>3.4030632798</v>
      </c>
      <c r="K28" s="541"/>
      <c r="L28" s="268">
        <v>6423.1020407119004</v>
      </c>
      <c r="M28" s="268">
        <v>2.5495665379000001</v>
      </c>
      <c r="N28" s="574"/>
      <c r="O28" s="268">
        <v>0</v>
      </c>
      <c r="P28" s="268">
        <v>0</v>
      </c>
    </row>
    <row r="29" spans="1:16" ht="12.75" customHeight="1">
      <c r="B29" s="17" t="s">
        <v>22</v>
      </c>
      <c r="D29" s="268">
        <v>6609.5713563826002</v>
      </c>
      <c r="E29" s="574"/>
      <c r="F29" s="268">
        <v>3689.7360478620999</v>
      </c>
      <c r="G29" s="268">
        <v>3.4252149708999999</v>
      </c>
      <c r="H29" s="574"/>
      <c r="I29" s="268">
        <v>4854.2365925614004</v>
      </c>
      <c r="J29" s="268">
        <v>3.3881587851999999</v>
      </c>
      <c r="K29" s="541"/>
      <c r="L29" s="268">
        <v>1784.1741035666</v>
      </c>
      <c r="M29" s="268">
        <v>1.8246424671000001</v>
      </c>
      <c r="N29" s="574"/>
      <c r="O29" s="268">
        <v>422.00118483249997</v>
      </c>
      <c r="P29" s="268">
        <v>0.46876084179999999</v>
      </c>
    </row>
    <row r="30" spans="1:16" ht="12.75" customHeight="1">
      <c r="B30" s="17" t="s">
        <v>23</v>
      </c>
      <c r="D30" s="268">
        <v>5868.5237679389002</v>
      </c>
      <c r="E30" s="574"/>
      <c r="F30" s="268">
        <v>2569.3481087214</v>
      </c>
      <c r="G30" s="268">
        <v>2.9112860655000001</v>
      </c>
      <c r="H30" s="574"/>
      <c r="I30" s="268">
        <v>4272.8585688802996</v>
      </c>
      <c r="J30" s="268">
        <v>3.6263826384</v>
      </c>
      <c r="K30" s="541"/>
      <c r="L30" s="268">
        <v>1490.8028348481</v>
      </c>
      <c r="M30" s="268">
        <v>1.8304000707999999</v>
      </c>
      <c r="N30" s="574"/>
      <c r="O30" s="268">
        <v>226</v>
      </c>
      <c r="P30" s="268">
        <v>0.3252996165</v>
      </c>
    </row>
    <row r="31" spans="1:16" ht="12.75" customHeight="1">
      <c r="B31" s="17" t="s">
        <v>24</v>
      </c>
      <c r="D31" s="268">
        <v>22190.325934831701</v>
      </c>
      <c r="E31" s="574"/>
      <c r="F31" s="268">
        <v>12067.214003213499</v>
      </c>
      <c r="G31" s="268">
        <v>3.4966170331000002</v>
      </c>
      <c r="H31" s="574"/>
      <c r="I31" s="268">
        <v>17442.248118705898</v>
      </c>
      <c r="J31" s="268">
        <v>3.4912205924999999</v>
      </c>
      <c r="K31" s="541"/>
      <c r="L31" s="268">
        <v>6385.0561449483002</v>
      </c>
      <c r="M31" s="268">
        <v>2.0885374088000002</v>
      </c>
      <c r="N31" s="574"/>
      <c r="O31" s="268">
        <v>984</v>
      </c>
      <c r="P31" s="268">
        <v>0.3238861005</v>
      </c>
    </row>
    <row r="32" spans="1:16" ht="12.75" customHeight="1">
      <c r="B32" s="17" t="s">
        <v>25</v>
      </c>
      <c r="D32" s="268">
        <v>9698.4464014637997</v>
      </c>
      <c r="E32" s="574"/>
      <c r="F32" s="268">
        <v>3790.4421893301001</v>
      </c>
      <c r="G32" s="268">
        <v>4.4006782354</v>
      </c>
      <c r="H32" s="574"/>
      <c r="I32" s="268">
        <v>7910.8745194665998</v>
      </c>
      <c r="J32" s="268">
        <v>5.8157585021999996</v>
      </c>
      <c r="K32" s="541"/>
      <c r="L32" s="268">
        <v>2324.4100912759</v>
      </c>
      <c r="M32" s="268">
        <v>2.8696779315000001</v>
      </c>
      <c r="N32" s="574"/>
      <c r="O32" s="268">
        <v>0</v>
      </c>
      <c r="P32" s="268">
        <v>0</v>
      </c>
    </row>
    <row r="33" spans="1:17" ht="12.75" customHeight="1">
      <c r="B33" s="17" t="s">
        <v>26</v>
      </c>
      <c r="D33" s="268">
        <v>22118.302445504702</v>
      </c>
      <c r="E33" s="574"/>
      <c r="F33" s="268">
        <v>10430.8309657789</v>
      </c>
      <c r="G33" s="268">
        <v>3.1548189228000001</v>
      </c>
      <c r="H33" s="574"/>
      <c r="I33" s="268">
        <v>16439.811399925798</v>
      </c>
      <c r="J33" s="268">
        <v>3.3100456564999998</v>
      </c>
      <c r="K33" s="541"/>
      <c r="L33" s="268">
        <v>3443.5853408910998</v>
      </c>
      <c r="M33" s="268">
        <v>1.4293893950000001</v>
      </c>
      <c r="N33" s="574"/>
      <c r="O33" s="268">
        <v>575</v>
      </c>
      <c r="P33" s="268">
        <v>0.23992790150000001</v>
      </c>
    </row>
    <row r="34" spans="1:17" ht="12.75" customHeight="1">
      <c r="B34" s="17" t="s">
        <v>27</v>
      </c>
      <c r="D34" s="268">
        <v>8392.4084672776007</v>
      </c>
      <c r="E34" s="574"/>
      <c r="F34" s="268">
        <v>4796.7786998983001</v>
      </c>
      <c r="G34" s="268">
        <v>3.8856341491999999</v>
      </c>
      <c r="H34" s="574"/>
      <c r="I34" s="268">
        <v>6869.1061091008996</v>
      </c>
      <c r="J34" s="268">
        <v>4.0562421083000002</v>
      </c>
      <c r="K34" s="541"/>
      <c r="L34" s="268">
        <v>1580.8159184005001</v>
      </c>
      <c r="M34" s="268">
        <v>1.5136792795</v>
      </c>
      <c r="N34" s="574"/>
      <c r="O34" s="268">
        <v>229</v>
      </c>
      <c r="P34" s="268">
        <v>0.2176724119</v>
      </c>
    </row>
    <row r="35" spans="1:17" ht="12.75" customHeight="1">
      <c r="B35" s="17" t="s">
        <v>28</v>
      </c>
      <c r="D35" s="268">
        <v>9555.1561663594002</v>
      </c>
      <c r="E35" s="574"/>
      <c r="F35" s="268">
        <v>4011.0165985584999</v>
      </c>
      <c r="G35" s="268">
        <v>2.4038590583000001</v>
      </c>
      <c r="H35" s="574"/>
      <c r="I35" s="268">
        <v>6927.8941107295004</v>
      </c>
      <c r="J35" s="268">
        <v>2.7228747415000001</v>
      </c>
      <c r="K35" s="541"/>
      <c r="L35" s="268">
        <v>3817.5639731961001</v>
      </c>
      <c r="M35" s="268">
        <v>2.3178803348999999</v>
      </c>
      <c r="N35" s="574"/>
      <c r="O35" s="268">
        <v>463.62484834179998</v>
      </c>
      <c r="P35" s="268">
        <v>0.31786065330000002</v>
      </c>
    </row>
    <row r="36" spans="1:17" ht="12.75" customHeight="1">
      <c r="B36" s="17" t="s">
        <v>29</v>
      </c>
      <c r="D36" s="268">
        <v>7795.7540152744004</v>
      </c>
      <c r="E36" s="574"/>
      <c r="F36" s="268">
        <v>4138.3962112089002</v>
      </c>
      <c r="G36" s="268">
        <v>3.0739235939</v>
      </c>
      <c r="H36" s="574"/>
      <c r="I36" s="268">
        <v>5595.2455682333002</v>
      </c>
      <c r="J36" s="268">
        <v>3.2004725407999999</v>
      </c>
      <c r="K36" s="541"/>
      <c r="L36" s="268">
        <v>2600.9930860354998</v>
      </c>
      <c r="M36" s="268">
        <v>2.2332270734000002</v>
      </c>
      <c r="N36" s="574"/>
      <c r="O36" s="268">
        <v>688.75830303529995</v>
      </c>
      <c r="P36" s="268">
        <v>0.63674822939999998</v>
      </c>
    </row>
    <row r="37" spans="1:17" ht="12.75" customHeight="1">
      <c r="B37" s="17" t="s">
        <v>30</v>
      </c>
      <c r="D37" s="268">
        <v>7070.5757162914997</v>
      </c>
      <c r="E37" s="574"/>
      <c r="F37" s="268">
        <v>3216.249570685</v>
      </c>
      <c r="G37" s="268">
        <v>3.3075450798000001</v>
      </c>
      <c r="H37" s="574"/>
      <c r="I37" s="268">
        <v>6018.5011881228002</v>
      </c>
      <c r="J37" s="268">
        <v>4.3336105011999999</v>
      </c>
      <c r="K37" s="541"/>
      <c r="L37" s="268">
        <v>2667.8664525367999</v>
      </c>
      <c r="M37" s="268">
        <v>2.8699765817</v>
      </c>
      <c r="N37" s="574"/>
      <c r="O37" s="268">
        <v>740</v>
      </c>
      <c r="P37" s="268">
        <v>0.84213499709999995</v>
      </c>
    </row>
    <row r="38" spans="1:17" ht="12.75" customHeight="1">
      <c r="B38" s="17" t="s">
        <v>31</v>
      </c>
      <c r="D38" s="268">
        <v>10758.776355318099</v>
      </c>
      <c r="E38" s="574"/>
      <c r="F38" s="268">
        <v>5443.5662257718996</v>
      </c>
      <c r="G38" s="268">
        <v>3.4399813138000002</v>
      </c>
      <c r="H38" s="574"/>
      <c r="I38" s="268">
        <v>6717.6596495036001</v>
      </c>
      <c r="J38" s="268">
        <v>3.5339002437000002</v>
      </c>
      <c r="K38" s="541"/>
      <c r="L38" s="268">
        <v>4507.4220895609997</v>
      </c>
      <c r="M38" s="268">
        <v>3.0462302056000001</v>
      </c>
      <c r="N38" s="574"/>
      <c r="O38" s="268">
        <v>0</v>
      </c>
      <c r="P38" s="268">
        <v>0</v>
      </c>
    </row>
    <row r="39" spans="1:17" ht="12.75" customHeight="1">
      <c r="B39" s="17" t="s">
        <v>32</v>
      </c>
      <c r="D39" s="268">
        <v>6491.8690913671999</v>
      </c>
      <c r="E39" s="574"/>
      <c r="F39" s="268">
        <v>2798.4275071911002</v>
      </c>
      <c r="G39" s="268">
        <v>3.7933767346999998</v>
      </c>
      <c r="H39" s="574"/>
      <c r="I39" s="268">
        <v>5226.1367461645996</v>
      </c>
      <c r="J39" s="268">
        <v>3.9634535426999999</v>
      </c>
      <c r="K39" s="541"/>
      <c r="L39" s="268">
        <v>1061.6896712237001</v>
      </c>
      <c r="M39" s="268">
        <v>1.7214883239000001</v>
      </c>
      <c r="N39" s="574"/>
      <c r="O39" s="268">
        <v>0</v>
      </c>
      <c r="P39" s="268">
        <v>0</v>
      </c>
    </row>
    <row r="40" spans="1:17" ht="12.75" customHeight="1">
      <c r="B40" s="17" t="s">
        <v>33</v>
      </c>
      <c r="D40" s="268">
        <v>14230.4387191593</v>
      </c>
      <c r="E40" s="574"/>
      <c r="F40" s="268">
        <v>7978.7028119344996</v>
      </c>
      <c r="G40" s="268">
        <v>3.3101918494000002</v>
      </c>
      <c r="H40" s="574"/>
      <c r="I40" s="268">
        <v>9977.6558128126999</v>
      </c>
      <c r="J40" s="268">
        <v>3.3231001956999999</v>
      </c>
      <c r="K40" s="541"/>
      <c r="L40" s="268">
        <v>4071.3646519080999</v>
      </c>
      <c r="M40" s="268">
        <v>2.0776838050999999</v>
      </c>
      <c r="N40" s="574"/>
      <c r="O40" s="268">
        <v>0</v>
      </c>
      <c r="P40" s="268">
        <v>0</v>
      </c>
    </row>
    <row r="41" spans="1:17" ht="12.75" customHeight="1">
      <c r="B41" s="17" t="s">
        <v>34</v>
      </c>
      <c r="D41" s="268">
        <v>2917.3039249803001</v>
      </c>
      <c r="E41" s="574"/>
      <c r="F41" s="268">
        <v>1398.6600375047001</v>
      </c>
      <c r="G41" s="268">
        <v>3.4986336199000001</v>
      </c>
      <c r="H41" s="574"/>
      <c r="I41" s="268">
        <v>2198.1643880228999</v>
      </c>
      <c r="J41" s="268">
        <v>3.6656320598000001</v>
      </c>
      <c r="K41" s="541"/>
      <c r="L41" s="268">
        <v>796.30577818749998</v>
      </c>
      <c r="M41" s="268">
        <v>2.2219873462000002</v>
      </c>
      <c r="N41" s="574"/>
      <c r="O41" s="268">
        <v>0</v>
      </c>
      <c r="P41" s="268">
        <v>0</v>
      </c>
    </row>
    <row r="42" spans="1:17" ht="12.75" customHeight="1">
      <c r="B42" s="17" t="s">
        <v>35</v>
      </c>
      <c r="D42" s="268">
        <v>22805.362196591301</v>
      </c>
      <c r="E42" s="574"/>
      <c r="F42" s="268">
        <v>12062.9932339119</v>
      </c>
      <c r="G42" s="268">
        <v>3.6089813528999999</v>
      </c>
      <c r="H42" s="574"/>
      <c r="I42" s="268">
        <v>16415.3910534026</v>
      </c>
      <c r="J42" s="268">
        <v>3.4745549273999998</v>
      </c>
      <c r="K42" s="541"/>
      <c r="L42" s="268">
        <v>5346.3073782207002</v>
      </c>
      <c r="M42" s="268">
        <v>2.0970209995000002</v>
      </c>
      <c r="N42" s="574"/>
      <c r="O42" s="268">
        <v>0</v>
      </c>
      <c r="P42" s="268">
        <v>0</v>
      </c>
    </row>
    <row r="43" spans="1:17" ht="12.75" customHeight="1">
      <c r="B43" s="17" t="s">
        <v>36</v>
      </c>
      <c r="D43" s="268">
        <v>6865.490408869</v>
      </c>
      <c r="E43" s="574"/>
      <c r="F43" s="268">
        <v>4072.8357035008999</v>
      </c>
      <c r="G43" s="268">
        <v>4.0457049755999996</v>
      </c>
      <c r="H43" s="574"/>
      <c r="I43" s="268">
        <v>4837.0813049772996</v>
      </c>
      <c r="J43" s="268">
        <v>4.3911353705999998</v>
      </c>
      <c r="K43" s="541"/>
      <c r="L43" s="268">
        <v>1865.0563095506</v>
      </c>
      <c r="M43" s="268">
        <v>2.4868774672999998</v>
      </c>
      <c r="N43" s="574"/>
      <c r="O43" s="268">
        <v>0</v>
      </c>
      <c r="P43" s="268">
        <v>0</v>
      </c>
    </row>
    <row r="44" spans="1:17" ht="12.75" customHeight="1">
      <c r="B44" s="17" t="s">
        <v>37</v>
      </c>
      <c r="D44" s="268">
        <v>4818.6552789269999</v>
      </c>
      <c r="E44" s="574"/>
      <c r="F44" s="268">
        <v>2495.3593174713001</v>
      </c>
      <c r="G44" s="268">
        <v>3.7073403527000002</v>
      </c>
      <c r="H44" s="574"/>
      <c r="I44" s="268">
        <v>3494.0886487514999</v>
      </c>
      <c r="J44" s="268">
        <v>4.2954017233000004</v>
      </c>
      <c r="K44" s="541"/>
      <c r="L44" s="268">
        <v>1436.6948799346001</v>
      </c>
      <c r="M44" s="268">
        <v>2.3647607423000001</v>
      </c>
      <c r="N44" s="574"/>
      <c r="O44" s="268">
        <v>0</v>
      </c>
      <c r="P44" s="268">
        <v>0</v>
      </c>
    </row>
    <row r="45" spans="1:17" ht="6" customHeight="1">
      <c r="B45" s="207"/>
      <c r="C45" s="207"/>
      <c r="D45" s="551"/>
      <c r="E45" s="575"/>
      <c r="F45" s="551"/>
      <c r="G45" s="575"/>
      <c r="H45" s="575"/>
      <c r="I45" s="551"/>
      <c r="J45" s="575"/>
      <c r="K45" s="575"/>
      <c r="L45" s="575"/>
      <c r="M45" s="575"/>
      <c r="N45" s="575"/>
      <c r="O45" s="575"/>
      <c r="P45" s="575"/>
      <c r="Q45" s="201"/>
    </row>
    <row r="46" spans="1:17" ht="6" customHeight="1">
      <c r="C46" s="209"/>
      <c r="D46" s="552"/>
      <c r="E46" s="552"/>
      <c r="F46" s="552"/>
      <c r="G46" s="576"/>
      <c r="H46" s="576"/>
      <c r="I46" s="552"/>
      <c r="J46" s="576"/>
    </row>
    <row r="47" spans="1:17" s="39" customFormat="1" ht="11.25">
      <c r="A47" s="54"/>
      <c r="B47" s="210" t="s">
        <v>58</v>
      </c>
      <c r="C47" s="211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41"/>
      <c r="O47" s="541"/>
      <c r="P47" s="541"/>
    </row>
    <row r="48" spans="1:17" s="39" customFormat="1" ht="11.25">
      <c r="A48" s="54"/>
      <c r="B48" s="210" t="s">
        <v>59</v>
      </c>
      <c r="C48" s="212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41"/>
      <c r="O48" s="541"/>
      <c r="P48" s="541"/>
    </row>
    <row r="49" spans="2:16" s="59" customFormat="1" ht="14.25">
      <c r="B49" s="82" t="s">
        <v>209</v>
      </c>
      <c r="D49" s="545"/>
      <c r="E49" s="545"/>
      <c r="F49" s="545"/>
      <c r="G49" s="545"/>
      <c r="H49" s="545"/>
      <c r="I49" s="545"/>
      <c r="J49" s="545"/>
      <c r="K49" s="545"/>
      <c r="L49" s="545"/>
      <c r="M49" s="545"/>
      <c r="N49" s="545"/>
      <c r="O49" s="545"/>
      <c r="P49" s="545"/>
    </row>
  </sheetData>
  <mergeCells count="8">
    <mergeCell ref="B5:M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B65FB68C-5F43-4832-940A-79AE7B2750BF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0D8A-5318-4C6C-9F01-FC9CB4C12AE6}">
  <dimension ref="A1:V5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28515625" style="283" customWidth="1" collapsed="1"/>
    <col min="3" max="3" width="1.7109375" style="283" customWidth="1"/>
    <col min="4" max="4" width="22" style="300" customWidth="1" collapsed="1"/>
    <col min="5" max="5" width="1.7109375" style="301" customWidth="1"/>
    <col min="6" max="7" width="12.7109375" style="300" customWidth="1" collapsed="1"/>
    <col min="8" max="8" width="11.42578125" style="300" collapsed="1"/>
    <col min="9" max="15" width="11.42578125" style="283" collapsed="1"/>
    <col min="16" max="22" width="11.42578125" style="283"/>
    <col min="23" max="16384" width="11.42578125" style="283" collapsed="1"/>
  </cols>
  <sheetData>
    <row r="1" spans="1:9" s="273" customFormat="1" ht="14.1" customHeight="1">
      <c r="A1" s="53"/>
      <c r="B1" s="756" t="s">
        <v>268</v>
      </c>
      <c r="C1" s="270"/>
      <c r="D1" s="271"/>
      <c r="E1" s="272"/>
      <c r="F1" s="271"/>
      <c r="G1" s="271"/>
      <c r="H1" s="165" t="s">
        <v>191</v>
      </c>
    </row>
    <row r="2" spans="1:9" s="273" customFormat="1" ht="6.95" customHeight="1">
      <c r="A2" s="53"/>
      <c r="B2" s="756"/>
      <c r="C2" s="270"/>
      <c r="D2" s="271"/>
      <c r="E2" s="272"/>
      <c r="F2" s="271"/>
      <c r="G2" s="271"/>
      <c r="H2" s="271"/>
    </row>
    <row r="3" spans="1:9" s="273" customFormat="1" ht="14.1" customHeight="1">
      <c r="A3" s="53"/>
      <c r="B3" s="756" t="s">
        <v>236</v>
      </c>
      <c r="C3" s="274"/>
      <c r="D3" s="275"/>
      <c r="E3" s="276"/>
      <c r="F3" s="275"/>
      <c r="G3" s="275"/>
      <c r="H3" s="275"/>
      <c r="I3" s="274"/>
    </row>
    <row r="4" spans="1:9" s="277" customFormat="1" ht="6.95" customHeight="1">
      <c r="A4" s="53"/>
      <c r="B4" s="273"/>
      <c r="C4" s="273"/>
      <c r="D4" s="271"/>
      <c r="E4" s="272"/>
      <c r="F4" s="271"/>
      <c r="G4" s="271"/>
      <c r="H4" s="271"/>
    </row>
    <row r="5" spans="1:9" s="277" customFormat="1" ht="30" customHeight="1">
      <c r="A5" s="53"/>
      <c r="B5" s="819" t="s">
        <v>207</v>
      </c>
      <c r="C5" s="819"/>
      <c r="D5" s="819"/>
      <c r="E5" s="819"/>
      <c r="F5" s="819"/>
      <c r="G5" s="278"/>
      <c r="H5" s="166" t="s">
        <v>127</v>
      </c>
    </row>
    <row r="6" spans="1:9" ht="6" customHeight="1">
      <c r="A6" s="53"/>
      <c r="B6" s="279"/>
      <c r="C6" s="279"/>
      <c r="D6" s="280"/>
      <c r="E6" s="281"/>
      <c r="F6" s="280"/>
      <c r="G6" s="282"/>
      <c r="H6" s="282"/>
    </row>
    <row r="7" spans="1:9" ht="27" customHeight="1">
      <c r="A7" s="53"/>
      <c r="B7" s="820" t="s">
        <v>60</v>
      </c>
      <c r="C7" s="284"/>
      <c r="D7" s="822" t="s">
        <v>61</v>
      </c>
      <c r="E7" s="285"/>
      <c r="F7" s="824" t="s">
        <v>128</v>
      </c>
      <c r="G7" s="824"/>
      <c r="H7" s="824"/>
    </row>
    <row r="8" spans="1:9" ht="23.25" customHeight="1">
      <c r="A8" s="53"/>
      <c r="B8" s="821"/>
      <c r="C8" s="286"/>
      <c r="D8" s="823"/>
      <c r="E8" s="287"/>
      <c r="F8" s="288" t="s">
        <v>62</v>
      </c>
      <c r="G8" s="288" t="s">
        <v>63</v>
      </c>
      <c r="H8" s="288" t="s">
        <v>129</v>
      </c>
    </row>
    <row r="9" spans="1:9" ht="6" customHeight="1">
      <c r="A9" s="54"/>
      <c r="B9" s="289"/>
      <c r="C9" s="289"/>
      <c r="D9" s="290"/>
      <c r="E9" s="291"/>
      <c r="F9" s="292"/>
      <c r="G9" s="293"/>
      <c r="H9" s="282"/>
    </row>
    <row r="10" spans="1:9" ht="15" customHeight="1">
      <c r="A10" s="54"/>
      <c r="B10" s="294" t="s">
        <v>5</v>
      </c>
      <c r="C10" s="294"/>
      <c r="D10" s="267">
        <v>206795.536884114</v>
      </c>
      <c r="E10" s="295"/>
      <c r="F10" s="267">
        <v>121499.17655608</v>
      </c>
      <c r="G10" s="267">
        <v>151520.39257983401</v>
      </c>
      <c r="H10" s="267">
        <v>21973.645581927402</v>
      </c>
    </row>
    <row r="11" spans="1:9" ht="6" customHeight="1">
      <c r="A11" s="206"/>
      <c r="B11" s="294"/>
      <c r="C11" s="294"/>
      <c r="D11" s="158"/>
      <c r="E11" s="296"/>
      <c r="F11" s="158"/>
      <c r="G11" s="158"/>
      <c r="H11" s="158"/>
    </row>
    <row r="12" spans="1:9" ht="15" customHeight="1">
      <c r="A12" s="57"/>
      <c r="B12" s="297" t="s">
        <v>64</v>
      </c>
      <c r="C12" s="297"/>
      <c r="D12" s="268">
        <v>169653.434519567</v>
      </c>
      <c r="E12" s="296"/>
      <c r="F12" s="268">
        <v>101152.826906216</v>
      </c>
      <c r="G12" s="268">
        <v>118880.510727328</v>
      </c>
      <c r="H12" s="268">
        <v>18875.8357332138</v>
      </c>
    </row>
    <row r="13" spans="1:9" ht="15" customHeight="1">
      <c r="A13" s="57"/>
      <c r="B13" s="298" t="s">
        <v>130</v>
      </c>
      <c r="C13" s="298"/>
      <c r="D13" s="268">
        <v>155223.30508725601</v>
      </c>
      <c r="E13" s="296"/>
      <c r="F13" s="268">
        <v>92718.886083211793</v>
      </c>
      <c r="G13" s="268">
        <v>110921.268066278</v>
      </c>
      <c r="H13" s="268">
        <v>10053.971033407001</v>
      </c>
    </row>
    <row r="14" spans="1:9" ht="15" customHeight="1">
      <c r="A14" s="57"/>
      <c r="B14" s="298" t="s">
        <v>65</v>
      </c>
      <c r="C14" s="298"/>
      <c r="D14" s="268">
        <v>58576.545339777702</v>
      </c>
      <c r="E14" s="296"/>
      <c r="F14" s="268">
        <v>35483.0864185432</v>
      </c>
      <c r="G14" s="268">
        <v>38928.863668972197</v>
      </c>
      <c r="H14" s="268">
        <v>15057.1591975459</v>
      </c>
    </row>
    <row r="15" spans="1:9" ht="15" customHeight="1">
      <c r="A15" s="54"/>
      <c r="B15" s="297" t="s">
        <v>66</v>
      </c>
      <c r="C15" s="297"/>
      <c r="D15" s="268">
        <v>137586.96757397201</v>
      </c>
      <c r="E15" s="296"/>
      <c r="F15" s="268">
        <v>68973.132953290202</v>
      </c>
      <c r="G15" s="268">
        <v>102420.39531823101</v>
      </c>
      <c r="H15" s="268">
        <v>8767.0477796081996</v>
      </c>
    </row>
    <row r="16" spans="1:9" ht="14.25" customHeight="1">
      <c r="A16" s="54"/>
      <c r="B16" s="297" t="s">
        <v>57</v>
      </c>
      <c r="C16" s="297"/>
      <c r="D16" s="269">
        <v>13187.2929797781</v>
      </c>
      <c r="E16" s="296"/>
      <c r="F16" s="269">
        <v>6837.2755641254998</v>
      </c>
      <c r="G16" s="269">
        <v>10476.827835939701</v>
      </c>
      <c r="H16" s="269">
        <v>3967.8647020932999</v>
      </c>
    </row>
    <row r="17" spans="1:9" ht="6" customHeight="1">
      <c r="A17" s="54"/>
      <c r="B17" s="297"/>
      <c r="C17" s="297"/>
      <c r="D17" s="164"/>
      <c r="E17" s="108"/>
      <c r="F17" s="167"/>
      <c r="G17" s="167"/>
      <c r="H17" s="164"/>
    </row>
    <row r="18" spans="1:9" ht="15" customHeight="1">
      <c r="A18" s="58"/>
      <c r="B18" s="299" t="s">
        <v>41</v>
      </c>
      <c r="C18" s="299"/>
      <c r="D18" s="324">
        <v>120691.762956369</v>
      </c>
      <c r="E18" s="295"/>
      <c r="F18" s="324">
        <v>62853.670274542601</v>
      </c>
      <c r="G18" s="324">
        <v>86858.203333499303</v>
      </c>
      <c r="H18" s="324">
        <v>11647.837341119901</v>
      </c>
    </row>
    <row r="19" spans="1:9" ht="6" customHeight="1">
      <c r="A19" s="58"/>
      <c r="B19" s="299"/>
      <c r="C19" s="299"/>
    </row>
    <row r="20" spans="1:9" ht="13.5" customHeight="1">
      <c r="B20" s="297" t="s">
        <v>64</v>
      </c>
      <c r="C20" s="297"/>
      <c r="D20" s="268">
        <v>86295.202094808294</v>
      </c>
      <c r="E20" s="296"/>
      <c r="F20" s="268">
        <v>45474.782998135001</v>
      </c>
      <c r="G20" s="268">
        <v>59853.688317936198</v>
      </c>
      <c r="H20" s="268">
        <v>8923.6987057658007</v>
      </c>
    </row>
    <row r="21" spans="1:9" ht="15" customHeight="1">
      <c r="B21" s="298" t="s">
        <v>130</v>
      </c>
      <c r="C21" s="298"/>
      <c r="D21" s="268">
        <v>75377.494377276904</v>
      </c>
      <c r="E21" s="296"/>
      <c r="F21" s="268">
        <v>39955.316363314902</v>
      </c>
      <c r="G21" s="268">
        <v>51446.905942589401</v>
      </c>
      <c r="H21" s="268">
        <v>3352.2597610951998</v>
      </c>
    </row>
    <row r="22" spans="1:9" ht="15" customHeight="1">
      <c r="B22" s="298" t="s">
        <v>65</v>
      </c>
      <c r="C22" s="298"/>
      <c r="D22" s="268">
        <v>30671.473709823898</v>
      </c>
      <c r="E22" s="296"/>
      <c r="F22" s="268">
        <v>17366.484239998001</v>
      </c>
      <c r="G22" s="268">
        <v>19857.077717253102</v>
      </c>
      <c r="H22" s="268">
        <v>8262.4705569298003</v>
      </c>
    </row>
    <row r="23" spans="1:9" ht="15" customHeight="1">
      <c r="B23" s="297" t="s">
        <v>66</v>
      </c>
      <c r="C23" s="297"/>
      <c r="D23" s="268">
        <v>94941.796355028593</v>
      </c>
      <c r="E23" s="296"/>
      <c r="F23" s="268">
        <v>40740.270966363802</v>
      </c>
      <c r="G23" s="268">
        <v>72722.628382222305</v>
      </c>
      <c r="H23" s="268">
        <v>5195.5930718047002</v>
      </c>
    </row>
    <row r="24" spans="1:9" ht="15" customHeight="1">
      <c r="B24" s="297" t="s">
        <v>57</v>
      </c>
      <c r="C24" s="297"/>
      <c r="D24" s="268">
        <v>4624.8671733255997</v>
      </c>
      <c r="E24" s="296"/>
      <c r="F24" s="268">
        <v>1632.7555048020999</v>
      </c>
      <c r="G24" s="268">
        <v>3763.6610508602998</v>
      </c>
      <c r="H24" s="268">
        <v>1570.6167578375</v>
      </c>
    </row>
    <row r="25" spans="1:9" ht="6" customHeight="1">
      <c r="B25" s="297"/>
      <c r="C25" s="297"/>
    </row>
    <row r="26" spans="1:9" ht="15" customHeight="1">
      <c r="B26" s="299" t="s">
        <v>44</v>
      </c>
      <c r="C26" s="299"/>
      <c r="D26" s="267">
        <v>90890.982607614395</v>
      </c>
      <c r="E26" s="295"/>
      <c r="F26" s="267">
        <v>46963.318637948003</v>
      </c>
      <c r="G26" s="267">
        <v>65788.576207179794</v>
      </c>
      <c r="H26" s="267">
        <v>7293.6602299115002</v>
      </c>
      <c r="I26" s="302"/>
    </row>
    <row r="27" spans="1:9" ht="6" customHeight="1">
      <c r="B27" s="299"/>
      <c r="C27" s="299"/>
    </row>
    <row r="28" spans="1:9" ht="12.75" customHeight="1">
      <c r="B28" s="297" t="s">
        <v>64</v>
      </c>
      <c r="C28" s="297"/>
      <c r="D28" s="268">
        <v>73114.235475802605</v>
      </c>
      <c r="E28" s="296"/>
      <c r="F28" s="268">
        <v>39262.854992258399</v>
      </c>
      <c r="G28" s="268">
        <v>48632.436093615499</v>
      </c>
      <c r="H28" s="268">
        <v>6334.7549450708002</v>
      </c>
    </row>
    <row r="29" spans="1:9" ht="15" customHeight="1">
      <c r="B29" s="298" t="s">
        <v>130</v>
      </c>
      <c r="C29" s="298"/>
      <c r="D29" s="268">
        <v>65306.830332792102</v>
      </c>
      <c r="E29" s="296"/>
      <c r="F29" s="268">
        <v>35262.519195826302</v>
      </c>
      <c r="G29" s="268">
        <v>45734.730692759404</v>
      </c>
      <c r="H29" s="268">
        <v>3740.4633912059999</v>
      </c>
    </row>
    <row r="30" spans="1:9" ht="15" customHeight="1">
      <c r="B30" s="298" t="s">
        <v>65</v>
      </c>
      <c r="C30" s="298"/>
      <c r="D30" s="268">
        <v>21888.893022636301</v>
      </c>
      <c r="E30" s="296"/>
      <c r="F30" s="268">
        <v>10537.7917726903</v>
      </c>
      <c r="G30" s="268">
        <v>15222.093122271101</v>
      </c>
      <c r="H30" s="268">
        <v>4633.4726013770996</v>
      </c>
    </row>
    <row r="31" spans="1:9" ht="15" customHeight="1">
      <c r="B31" s="297" t="s">
        <v>66</v>
      </c>
      <c r="C31" s="297"/>
      <c r="D31" s="268">
        <v>48819.025158979501</v>
      </c>
      <c r="E31" s="296"/>
      <c r="F31" s="268">
        <v>23220.783674578099</v>
      </c>
      <c r="G31" s="268">
        <v>37731.535142933899</v>
      </c>
      <c r="H31" s="268">
        <v>3692.8133023854002</v>
      </c>
    </row>
    <row r="32" spans="1:9" ht="15" customHeight="1">
      <c r="B32" s="297" t="s">
        <v>57</v>
      </c>
      <c r="C32" s="297"/>
      <c r="D32" s="268">
        <v>2710.2804528929</v>
      </c>
      <c r="E32" s="296"/>
      <c r="F32" s="268">
        <v>2302.9378628178001</v>
      </c>
      <c r="G32" s="268">
        <v>1435.4060981711</v>
      </c>
      <c r="H32" s="268">
        <v>0</v>
      </c>
    </row>
    <row r="33" spans="2:8" ht="6" customHeight="1">
      <c r="B33" s="297"/>
      <c r="C33" s="297"/>
      <c r="D33" s="164"/>
      <c r="E33" s="108"/>
      <c r="F33" s="164"/>
      <c r="G33" s="164"/>
      <c r="H33" s="164"/>
    </row>
    <row r="34" spans="2:8" ht="15" customHeight="1">
      <c r="B34" s="303" t="s">
        <v>45</v>
      </c>
      <c r="C34" s="303"/>
      <c r="D34" s="267">
        <v>97047.982503045801</v>
      </c>
      <c r="E34" s="295"/>
      <c r="F34" s="267">
        <v>55963.807867408701</v>
      </c>
      <c r="G34" s="267">
        <v>63468.723974013497</v>
      </c>
      <c r="H34" s="267">
        <v>7365.8091936115998</v>
      </c>
    </row>
    <row r="35" spans="2:8" ht="6" customHeight="1">
      <c r="B35" s="303"/>
      <c r="C35" s="303"/>
    </row>
    <row r="36" spans="2:8" ht="11.25" customHeight="1">
      <c r="B36" s="297" t="s">
        <v>64</v>
      </c>
      <c r="C36" s="297"/>
      <c r="D36" s="268">
        <v>82060.167103418004</v>
      </c>
      <c r="E36" s="296"/>
      <c r="F36" s="268">
        <v>47865.873642904502</v>
      </c>
      <c r="G36" s="268">
        <v>50985.297216832303</v>
      </c>
      <c r="H36" s="268">
        <v>6442.7374897276004</v>
      </c>
    </row>
    <row r="37" spans="2:8" ht="15" customHeight="1">
      <c r="B37" s="298" t="s">
        <v>130</v>
      </c>
      <c r="C37" s="298"/>
      <c r="D37" s="268">
        <v>75273.015614495103</v>
      </c>
      <c r="E37" s="296"/>
      <c r="F37" s="268">
        <v>44001.565349128097</v>
      </c>
      <c r="G37" s="268">
        <v>48781.512222210797</v>
      </c>
      <c r="H37" s="268">
        <v>3712.6840939970002</v>
      </c>
    </row>
    <row r="38" spans="2:8" ht="15" customHeight="1">
      <c r="B38" s="298" t="s">
        <v>65</v>
      </c>
      <c r="C38" s="298"/>
      <c r="D38" s="268">
        <v>20537.878284823299</v>
      </c>
      <c r="E38" s="296"/>
      <c r="F38" s="268">
        <v>14811.2066898919</v>
      </c>
      <c r="G38" s="268">
        <v>11433.1009204972</v>
      </c>
      <c r="H38" s="268">
        <v>4895.9766135062</v>
      </c>
    </row>
    <row r="39" spans="2:8" ht="15" customHeight="1">
      <c r="B39" s="297" t="s">
        <v>66</v>
      </c>
      <c r="C39" s="297"/>
      <c r="D39" s="268">
        <v>53588.825316647897</v>
      </c>
      <c r="E39" s="296"/>
      <c r="F39" s="268">
        <v>25893.513176957302</v>
      </c>
      <c r="G39" s="268">
        <v>38646.966070006201</v>
      </c>
      <c r="H39" s="268">
        <v>3010.5952788997001</v>
      </c>
    </row>
    <row r="40" spans="2:8" ht="15" customHeight="1">
      <c r="B40" s="297" t="s">
        <v>57</v>
      </c>
      <c r="C40" s="297"/>
      <c r="D40" s="268">
        <v>5150.1010168608</v>
      </c>
      <c r="E40" s="296"/>
      <c r="F40" s="268">
        <v>3992.9192606690999</v>
      </c>
      <c r="G40" s="268">
        <v>2954.5778040187001</v>
      </c>
      <c r="H40" s="268">
        <v>1283.5205491147999</v>
      </c>
    </row>
    <row r="41" spans="2:8" ht="6" customHeight="1">
      <c r="B41" s="297"/>
      <c r="C41" s="297"/>
      <c r="D41" s="164"/>
      <c r="E41" s="108"/>
      <c r="F41" s="164"/>
      <c r="G41" s="164"/>
      <c r="H41" s="164"/>
    </row>
    <row r="42" spans="2:8" ht="15" customHeight="1">
      <c r="B42" s="303" t="s">
        <v>110</v>
      </c>
      <c r="C42" s="303"/>
      <c r="D42" s="267">
        <v>104563.417320322</v>
      </c>
      <c r="E42" s="295"/>
      <c r="F42" s="267">
        <v>74610.900644639507</v>
      </c>
      <c r="G42" s="267">
        <v>84658.704987003803</v>
      </c>
      <c r="H42" s="267">
        <v>15482.7762629602</v>
      </c>
    </row>
    <row r="43" spans="2:8" ht="6" customHeight="1">
      <c r="B43" s="303"/>
      <c r="C43" s="303"/>
    </row>
    <row r="44" spans="2:8" ht="11.25" customHeight="1">
      <c r="B44" s="297" t="s">
        <v>64</v>
      </c>
      <c r="C44" s="297"/>
      <c r="D44" s="268">
        <v>97670.623918174198</v>
      </c>
      <c r="F44" s="268">
        <v>66302.959415096499</v>
      </c>
      <c r="G44" s="268">
        <v>75186.583032096096</v>
      </c>
      <c r="H44" s="268">
        <v>13965.199227377499</v>
      </c>
    </row>
    <row r="45" spans="2:8" ht="15" customHeight="1">
      <c r="B45" s="298" t="s">
        <v>130</v>
      </c>
      <c r="C45" s="298"/>
      <c r="D45" s="268">
        <v>93241.311034955594</v>
      </c>
      <c r="F45" s="268">
        <v>62238.2737108398</v>
      </c>
      <c r="G45" s="268">
        <v>72371.188717269499</v>
      </c>
      <c r="H45" s="268">
        <v>7878.4261418101996</v>
      </c>
    </row>
    <row r="46" spans="2:8" ht="15" customHeight="1">
      <c r="B46" s="298" t="s">
        <v>65</v>
      </c>
      <c r="C46" s="298"/>
      <c r="D46" s="268">
        <v>39926.450403360097</v>
      </c>
      <c r="F46" s="268">
        <v>25122.105482471499</v>
      </c>
      <c r="G46" s="268">
        <v>27547.496941874499</v>
      </c>
      <c r="H46" s="268">
        <v>10630.6146599525</v>
      </c>
    </row>
    <row r="47" spans="2:8" ht="15" customHeight="1">
      <c r="B47" s="297" t="s">
        <v>66</v>
      </c>
      <c r="C47" s="297"/>
      <c r="D47" s="268">
        <v>68354.214003055502</v>
      </c>
      <c r="F47" s="268">
        <v>43468.143949461999</v>
      </c>
      <c r="G47" s="268">
        <v>47826.147310345499</v>
      </c>
      <c r="H47" s="268">
        <v>5212.1382735438001</v>
      </c>
    </row>
    <row r="48" spans="2:8" ht="15" customHeight="1">
      <c r="B48" s="297" t="s">
        <v>57</v>
      </c>
      <c r="C48" s="297"/>
      <c r="D48" s="268">
        <v>10892.4808536162</v>
      </c>
      <c r="E48" s="304"/>
      <c r="F48" s="268">
        <v>4778.6524857018003</v>
      </c>
      <c r="G48" s="268">
        <v>9209.1724020941001</v>
      </c>
      <c r="H48" s="268">
        <v>3410.2328797485002</v>
      </c>
    </row>
    <row r="49" spans="1:8" ht="6" customHeight="1">
      <c r="B49" s="305"/>
      <c r="C49" s="306"/>
      <c r="D49" s="307"/>
      <c r="E49" s="308"/>
      <c r="F49" s="307"/>
      <c r="G49" s="307"/>
      <c r="H49" s="309"/>
    </row>
    <row r="50" spans="1:8" ht="6" customHeight="1">
      <c r="B50" s="297"/>
      <c r="C50" s="310"/>
      <c r="D50" s="311"/>
      <c r="E50" s="304"/>
      <c r="F50" s="311"/>
      <c r="G50" s="311"/>
      <c r="H50" s="282"/>
    </row>
    <row r="51" spans="1:8" s="317" customFormat="1" ht="11.25">
      <c r="A51" s="54"/>
      <c r="B51" s="312" t="s">
        <v>90</v>
      </c>
      <c r="C51" s="313"/>
      <c r="D51" s="314"/>
      <c r="E51" s="315"/>
      <c r="F51" s="314"/>
      <c r="G51" s="314"/>
      <c r="H51" s="316"/>
    </row>
    <row r="52" spans="1:8" s="313" customFormat="1" ht="11.25">
      <c r="A52" s="54"/>
      <c r="B52" s="318" t="s">
        <v>131</v>
      </c>
      <c r="C52" s="318"/>
      <c r="D52" s="319"/>
      <c r="E52" s="320"/>
      <c r="F52" s="321"/>
      <c r="G52" s="321"/>
      <c r="H52" s="321"/>
    </row>
    <row r="53" spans="1:8" s="313" customFormat="1" ht="11.25">
      <c r="A53" s="54"/>
      <c r="B53" s="318" t="s">
        <v>132</v>
      </c>
      <c r="C53" s="318"/>
      <c r="D53" s="319"/>
      <c r="E53" s="320"/>
      <c r="F53" s="321"/>
      <c r="G53" s="321"/>
      <c r="H53" s="321"/>
    </row>
    <row r="54" spans="1:8" s="59" customFormat="1">
      <c r="B54" s="82" t="s">
        <v>209</v>
      </c>
      <c r="D54" s="162"/>
      <c r="E54" s="91"/>
      <c r="F54" s="162"/>
      <c r="G54" s="162"/>
      <c r="H54" s="162"/>
    </row>
    <row r="57" spans="1:8">
      <c r="B57" s="322"/>
      <c r="C57" s="322"/>
      <c r="H57" s="323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795D9245-E6C2-4474-8793-80986FB8CEF6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07E0-8D92-429D-93DC-8D4DB8658E9D}">
  <dimension ref="A1:AR48"/>
  <sheetViews>
    <sheetView showGridLines="0" zoomScaleNormal="100" zoomScaleSheetLayoutView="100" workbookViewId="0"/>
  </sheetViews>
  <sheetFormatPr baseColWidth="10" defaultColWidth="11.42578125" defaultRowHeight="12.75" customHeight="1"/>
  <cols>
    <col min="1" max="1" width="1.7109375" style="59" customWidth="1"/>
    <col min="2" max="2" width="24.28515625" style="340" customWidth="1"/>
    <col min="3" max="3" width="1.7109375" style="359" customWidth="1" collapsed="1"/>
    <col min="4" max="4" width="18.7109375" style="380" customWidth="1" collapsed="1"/>
    <col min="5" max="5" width="1.7109375" style="359" customWidth="1"/>
    <col min="6" max="6" width="11.42578125" style="380" customWidth="1" collapsed="1"/>
    <col min="7" max="7" width="11.42578125" style="381" customWidth="1" collapsed="1"/>
    <col min="8" max="8" width="1.7109375" style="340" customWidth="1" collapsed="1"/>
    <col min="9" max="9" width="11.42578125" style="375" customWidth="1"/>
    <col min="10" max="10" width="11.5703125" style="381" customWidth="1"/>
    <col min="11" max="11" width="1.7109375" style="340" customWidth="1"/>
    <col min="12" max="12" width="11.42578125" style="375" customWidth="1" collapsed="1"/>
    <col min="13" max="13" width="11.28515625" style="381" customWidth="1" collapsed="1"/>
    <col min="14" max="14" width="1.7109375" style="340" customWidth="1" collapsed="1"/>
    <col min="15" max="15" width="11.42578125" style="375" customWidth="1" collapsed="1"/>
    <col min="16" max="16" width="11.42578125" style="381" customWidth="1" collapsed="1"/>
    <col min="17" max="17" width="11.42578125" style="340" collapsed="1"/>
    <col min="18" max="41" width="11.42578125" style="340"/>
    <col min="42" max="42" width="11.42578125" style="340" collapsed="1"/>
    <col min="43" max="44" width="11.42578125" style="340"/>
    <col min="45" max="16384" width="11.42578125" style="340" collapsed="1"/>
  </cols>
  <sheetData>
    <row r="1" spans="1:17" s="329" customFormat="1" ht="14.1" customHeight="1">
      <c r="A1" s="168"/>
      <c r="B1" s="756" t="s">
        <v>268</v>
      </c>
      <c r="C1" s="325"/>
      <c r="D1" s="326"/>
      <c r="E1" s="327"/>
      <c r="F1" s="326"/>
      <c r="G1" s="328"/>
      <c r="I1" s="330"/>
      <c r="J1" s="328"/>
      <c r="L1" s="330"/>
      <c r="M1" s="328"/>
      <c r="O1" s="330"/>
      <c r="P1" s="89" t="s">
        <v>191</v>
      </c>
    </row>
    <row r="2" spans="1:17" s="329" customFormat="1" ht="6.95" customHeight="1">
      <c r="A2" s="53"/>
      <c r="B2" s="756"/>
      <c r="C2" s="325"/>
      <c r="D2" s="326"/>
      <c r="E2" s="327"/>
      <c r="F2" s="326"/>
      <c r="G2" s="328"/>
      <c r="I2" s="330"/>
      <c r="J2" s="328"/>
      <c r="L2" s="330"/>
      <c r="M2" s="328"/>
      <c r="O2" s="330"/>
      <c r="P2" s="328"/>
    </row>
    <row r="3" spans="1:17" s="329" customFormat="1" ht="14.1" customHeight="1">
      <c r="A3" s="53"/>
      <c r="B3" s="756" t="s">
        <v>236</v>
      </c>
      <c r="C3" s="331"/>
      <c r="D3" s="332"/>
      <c r="E3" s="331"/>
      <c r="F3" s="332"/>
      <c r="G3" s="333"/>
      <c r="H3" s="331"/>
      <c r="I3" s="332"/>
      <c r="J3" s="328"/>
      <c r="L3" s="330"/>
      <c r="M3" s="328"/>
      <c r="O3" s="330"/>
      <c r="P3" s="328"/>
    </row>
    <row r="4" spans="1:17" s="329" customFormat="1" ht="6.95" customHeight="1">
      <c r="A4" s="53"/>
      <c r="C4" s="325"/>
      <c r="D4" s="334"/>
      <c r="E4" s="325"/>
      <c r="F4" s="334"/>
      <c r="G4" s="328"/>
      <c r="I4" s="330"/>
      <c r="J4" s="328"/>
      <c r="L4" s="330"/>
      <c r="M4" s="328"/>
      <c r="O4" s="330"/>
      <c r="P4" s="328"/>
    </row>
    <row r="5" spans="1:17" s="329" customFormat="1" ht="20.100000000000001" customHeight="1">
      <c r="A5" s="53"/>
      <c r="B5" s="827" t="s">
        <v>190</v>
      </c>
      <c r="C5" s="827"/>
      <c r="D5" s="828"/>
      <c r="E5" s="827"/>
      <c r="F5" s="828"/>
      <c r="G5" s="827"/>
      <c r="H5" s="827"/>
      <c r="I5" s="828"/>
      <c r="J5" s="827"/>
      <c r="K5" s="827"/>
      <c r="L5" s="828"/>
      <c r="M5" s="827"/>
      <c r="N5" s="827"/>
      <c r="O5" s="335"/>
      <c r="P5" s="90" t="s">
        <v>133</v>
      </c>
      <c r="Q5" s="336"/>
    </row>
    <row r="6" spans="1:17" ht="6" customHeight="1">
      <c r="A6" s="53"/>
      <c r="B6" s="337"/>
      <c r="C6" s="829"/>
      <c r="D6" s="830"/>
      <c r="E6" s="829"/>
      <c r="F6" s="830"/>
      <c r="G6" s="829"/>
      <c r="H6" s="829"/>
      <c r="I6" s="830"/>
      <c r="J6" s="829"/>
      <c r="K6" s="829"/>
      <c r="L6" s="830"/>
      <c r="M6" s="829"/>
      <c r="N6" s="829"/>
      <c r="O6" s="831"/>
      <c r="P6" s="338"/>
      <c r="Q6" s="339"/>
    </row>
    <row r="7" spans="1:17" ht="16.5" customHeight="1">
      <c r="A7" s="53"/>
      <c r="B7" s="832" t="s">
        <v>1</v>
      </c>
      <c r="C7" s="832"/>
      <c r="D7" s="835" t="s">
        <v>67</v>
      </c>
      <c r="E7" s="341"/>
      <c r="F7" s="838" t="s">
        <v>68</v>
      </c>
      <c r="G7" s="839"/>
      <c r="H7" s="839"/>
      <c r="I7" s="838"/>
      <c r="J7" s="839"/>
      <c r="K7" s="839"/>
      <c r="L7" s="838"/>
      <c r="M7" s="839"/>
      <c r="N7" s="839"/>
      <c r="O7" s="838"/>
      <c r="P7" s="839"/>
      <c r="Q7" s="342"/>
    </row>
    <row r="8" spans="1:17" ht="24" customHeight="1">
      <c r="A8" s="53"/>
      <c r="B8" s="833"/>
      <c r="C8" s="833"/>
      <c r="D8" s="836"/>
      <c r="E8" s="343"/>
      <c r="F8" s="838" t="s">
        <v>69</v>
      </c>
      <c r="G8" s="839"/>
      <c r="H8" s="344"/>
      <c r="I8" s="838" t="s">
        <v>70</v>
      </c>
      <c r="J8" s="839"/>
      <c r="K8" s="344"/>
      <c r="L8" s="838" t="s">
        <v>71</v>
      </c>
      <c r="M8" s="839"/>
      <c r="N8" s="345"/>
      <c r="O8" s="838" t="s">
        <v>72</v>
      </c>
      <c r="P8" s="839"/>
      <c r="Q8" s="339"/>
    </row>
    <row r="9" spans="1:17" ht="17.25" customHeight="1">
      <c r="A9" s="54"/>
      <c r="B9" s="834"/>
      <c r="C9" s="834"/>
      <c r="D9" s="837"/>
      <c r="E9" s="346"/>
      <c r="F9" s="169" t="s">
        <v>3</v>
      </c>
      <c r="G9" s="83" t="s">
        <v>4</v>
      </c>
      <c r="H9" s="347"/>
      <c r="I9" s="169" t="s">
        <v>3</v>
      </c>
      <c r="J9" s="83" t="s">
        <v>4</v>
      </c>
      <c r="K9" s="346"/>
      <c r="L9" s="169" t="s">
        <v>3</v>
      </c>
      <c r="M9" s="83" t="s">
        <v>4</v>
      </c>
      <c r="N9" s="347"/>
      <c r="O9" s="169" t="s">
        <v>3</v>
      </c>
      <c r="P9" s="83" t="s">
        <v>4</v>
      </c>
    </row>
    <row r="10" spans="1:17" ht="6" customHeight="1">
      <c r="A10" s="54"/>
      <c r="B10" s="15"/>
      <c r="C10" s="348"/>
      <c r="D10" s="349"/>
      <c r="E10" s="348"/>
      <c r="F10" s="349"/>
      <c r="G10" s="350"/>
      <c r="H10" s="345"/>
      <c r="I10" s="351"/>
      <c r="J10" s="350"/>
      <c r="K10" s="345"/>
      <c r="L10" s="352"/>
      <c r="M10" s="353"/>
      <c r="N10" s="354"/>
      <c r="O10" s="355"/>
      <c r="P10" s="353"/>
    </row>
    <row r="11" spans="1:17" s="356" customFormat="1" ht="12.75" customHeight="1">
      <c r="A11" s="206"/>
      <c r="B11" s="16" t="s">
        <v>5</v>
      </c>
      <c r="D11" s="267">
        <v>206795.536884114</v>
      </c>
      <c r="E11" s="357"/>
      <c r="F11" s="267">
        <v>113746.473976744</v>
      </c>
      <c r="G11" s="267">
        <v>0.45858654049999997</v>
      </c>
      <c r="H11" s="357"/>
      <c r="I11" s="267">
        <v>69058.655634377807</v>
      </c>
      <c r="J11" s="267">
        <v>0.28161655629999999</v>
      </c>
      <c r="K11" s="39"/>
      <c r="L11" s="267">
        <v>188320.741680356</v>
      </c>
      <c r="M11" s="267">
        <v>0.52121986350000005</v>
      </c>
      <c r="N11" s="357"/>
      <c r="O11" s="267">
        <v>47965.609512428702</v>
      </c>
      <c r="P11" s="267">
        <v>0.1948670827</v>
      </c>
      <c r="Q11" s="358"/>
    </row>
    <row r="12" spans="1:17" s="356" customFormat="1" ht="6" customHeight="1">
      <c r="A12" s="57"/>
      <c r="B12" s="16"/>
      <c r="D12" s="158"/>
      <c r="E12" s="357"/>
      <c r="F12" s="158"/>
      <c r="G12" s="85"/>
      <c r="H12" s="357"/>
      <c r="I12" s="158"/>
      <c r="J12" s="85"/>
      <c r="K12" s="39"/>
      <c r="L12" s="158"/>
      <c r="M12" s="85"/>
      <c r="N12" s="357"/>
      <c r="O12" s="158"/>
      <c r="P12" s="85"/>
      <c r="Q12" s="358"/>
    </row>
    <row r="13" spans="1:17" ht="12.75" customHeight="1">
      <c r="A13" s="57"/>
      <c r="B13" s="17" t="s">
        <v>6</v>
      </c>
      <c r="D13" s="268">
        <v>7637.9279614702</v>
      </c>
      <c r="E13" s="360"/>
      <c r="F13" s="268">
        <v>7704.5627319104997</v>
      </c>
      <c r="G13" s="268">
        <v>2.6057581835999999</v>
      </c>
      <c r="H13" s="360"/>
      <c r="I13" s="268">
        <v>3549.3624183377001</v>
      </c>
      <c r="J13" s="268">
        <v>1.372675646</v>
      </c>
      <c r="K13" s="39"/>
      <c r="L13" s="268">
        <v>6694.8218328664998</v>
      </c>
      <c r="M13" s="268">
        <v>2.2821274294</v>
      </c>
      <c r="N13" s="360"/>
      <c r="O13" s="268">
        <v>2905.2239721170999</v>
      </c>
      <c r="P13" s="268">
        <v>1.0669612812</v>
      </c>
      <c r="Q13" s="339"/>
    </row>
    <row r="14" spans="1:17" ht="12.75" customHeight="1">
      <c r="A14" s="57"/>
      <c r="B14" s="17" t="s">
        <v>7</v>
      </c>
      <c r="D14" s="268">
        <v>25570.454135712898</v>
      </c>
      <c r="E14" s="360"/>
      <c r="F14" s="268">
        <v>23027.4774688947</v>
      </c>
      <c r="G14" s="268">
        <v>2.6760790777999999</v>
      </c>
      <c r="H14" s="360"/>
      <c r="I14" s="268">
        <v>10139.868865626</v>
      </c>
      <c r="J14" s="268">
        <v>1.3381299513</v>
      </c>
      <c r="K14" s="39"/>
      <c r="L14" s="268">
        <v>20999.733401545898</v>
      </c>
      <c r="M14" s="268">
        <v>2.6301435245000002</v>
      </c>
      <c r="N14" s="360"/>
      <c r="O14" s="268">
        <v>4770.2672946427001</v>
      </c>
      <c r="P14" s="268">
        <v>0.67286978409999998</v>
      </c>
      <c r="Q14" s="339"/>
    </row>
    <row r="15" spans="1:17" ht="12.75" customHeight="1">
      <c r="A15" s="54"/>
      <c r="B15" s="17" t="s">
        <v>8</v>
      </c>
      <c r="D15" s="268">
        <v>6921.5173755747001</v>
      </c>
      <c r="E15" s="360"/>
      <c r="F15" s="268">
        <v>4014.3297019673</v>
      </c>
      <c r="G15" s="268">
        <v>2.6426141875</v>
      </c>
      <c r="H15" s="360"/>
      <c r="I15" s="268">
        <v>2247.4027572794998</v>
      </c>
      <c r="J15" s="268">
        <v>1.4388673972999999</v>
      </c>
      <c r="K15" s="39"/>
      <c r="L15" s="268">
        <v>6618.3886732168003</v>
      </c>
      <c r="M15" s="268">
        <v>3.1295820799</v>
      </c>
      <c r="N15" s="360"/>
      <c r="O15" s="268">
        <v>1806.4267049335999</v>
      </c>
      <c r="P15" s="268">
        <v>1.2001019194</v>
      </c>
      <c r="Q15" s="339"/>
    </row>
    <row r="16" spans="1:17" ht="12.75" customHeight="1">
      <c r="A16" s="54"/>
      <c r="B16" s="17" t="s">
        <v>9</v>
      </c>
      <c r="D16" s="268">
        <v>8627.7534504734995</v>
      </c>
      <c r="E16" s="360"/>
      <c r="F16" s="268">
        <v>2168.2984305926998</v>
      </c>
      <c r="G16" s="268">
        <v>1.1829816207999999</v>
      </c>
      <c r="H16" s="360"/>
      <c r="I16" s="268">
        <v>1970.3672848602</v>
      </c>
      <c r="J16" s="268">
        <v>0.97112860310000004</v>
      </c>
      <c r="K16" s="39"/>
      <c r="L16" s="268">
        <v>7864.1198483882999</v>
      </c>
      <c r="M16" s="268">
        <v>1.8638566222999999</v>
      </c>
      <c r="N16" s="360"/>
      <c r="O16" s="268">
        <v>2595.1537095957001</v>
      </c>
      <c r="P16" s="268">
        <v>1.2561282358999999</v>
      </c>
      <c r="Q16" s="339"/>
    </row>
    <row r="17" spans="1:17" ht="12.75" customHeight="1">
      <c r="A17" s="54"/>
      <c r="B17" s="17" t="s">
        <v>10</v>
      </c>
      <c r="D17" s="269">
        <v>15872.674300118</v>
      </c>
      <c r="E17" s="360"/>
      <c r="F17" s="269">
        <v>14743.961469280201</v>
      </c>
      <c r="G17" s="269">
        <v>2.0789188220999999</v>
      </c>
      <c r="H17" s="360"/>
      <c r="I17" s="269">
        <v>11285.687739069401</v>
      </c>
      <c r="J17" s="269">
        <v>1.7650770746</v>
      </c>
      <c r="K17" s="39"/>
      <c r="L17" s="269">
        <v>15282.599689655801</v>
      </c>
      <c r="M17" s="269">
        <v>2.3014683159999998</v>
      </c>
      <c r="N17" s="360"/>
      <c r="O17" s="269">
        <v>5703.1238261181998</v>
      </c>
      <c r="P17" s="269">
        <v>0.902707182</v>
      </c>
      <c r="Q17" s="339"/>
    </row>
    <row r="18" spans="1:17" ht="12.75" customHeight="1">
      <c r="A18" s="58"/>
      <c r="B18" s="17" t="s">
        <v>11</v>
      </c>
      <c r="D18" s="269">
        <v>6482.4937291401002</v>
      </c>
      <c r="E18" s="360"/>
      <c r="F18" s="269">
        <v>4202.9676053167004</v>
      </c>
      <c r="G18" s="269">
        <v>2.561370315</v>
      </c>
      <c r="H18" s="360"/>
      <c r="I18" s="269">
        <v>2590.0614802132</v>
      </c>
      <c r="J18" s="269">
        <v>1.5406801268000001</v>
      </c>
      <c r="K18" s="39"/>
      <c r="L18" s="269">
        <v>4039.2749113547002</v>
      </c>
      <c r="M18" s="269">
        <v>2.3955801474</v>
      </c>
      <c r="N18" s="360"/>
      <c r="O18" s="269">
        <v>1836.8871146212</v>
      </c>
      <c r="P18" s="269">
        <v>1.2993644139</v>
      </c>
      <c r="Q18" s="339"/>
    </row>
    <row r="19" spans="1:17" ht="12.75" customHeight="1">
      <c r="A19" s="58"/>
      <c r="B19" s="17" t="s">
        <v>12</v>
      </c>
      <c r="D19" s="268">
        <v>53287.367466882897</v>
      </c>
      <c r="E19" s="360"/>
      <c r="F19" s="268">
        <v>13296.4440741203</v>
      </c>
      <c r="G19" s="268">
        <v>1.2195463887</v>
      </c>
      <c r="H19" s="360"/>
      <c r="I19" s="268">
        <v>12618.5937997439</v>
      </c>
      <c r="J19" s="268">
        <v>1.0309248686000001</v>
      </c>
      <c r="K19" s="39"/>
      <c r="L19" s="268">
        <v>45702.104592718199</v>
      </c>
      <c r="M19" s="268">
        <v>1.6931491532</v>
      </c>
      <c r="N19" s="360"/>
      <c r="O19" s="268">
        <v>9457.1627776221994</v>
      </c>
      <c r="P19" s="268">
        <v>0.86420303350000005</v>
      </c>
      <c r="Q19" s="339"/>
    </row>
    <row r="20" spans="1:17" ht="12.75" customHeight="1">
      <c r="B20" s="17" t="s">
        <v>13</v>
      </c>
      <c r="D20" s="268">
        <v>21640.5052695741</v>
      </c>
      <c r="E20" s="360"/>
      <c r="F20" s="268">
        <v>19249.5421249635</v>
      </c>
      <c r="G20" s="268">
        <v>2.0941639971999999</v>
      </c>
      <c r="H20" s="360"/>
      <c r="I20" s="268">
        <v>12973.8311959687</v>
      </c>
      <c r="J20" s="268">
        <v>1.5631740772</v>
      </c>
      <c r="K20" s="39"/>
      <c r="L20" s="268">
        <v>16590.423934797102</v>
      </c>
      <c r="M20" s="268">
        <v>1.8217316153000001</v>
      </c>
      <c r="N20" s="360"/>
      <c r="O20" s="268">
        <v>5633.9406592651003</v>
      </c>
      <c r="P20" s="268">
        <v>0.68692490750000001</v>
      </c>
      <c r="Q20" s="339"/>
    </row>
    <row r="21" spans="1:17" ht="12.75" customHeight="1">
      <c r="B21" s="17" t="s">
        <v>14</v>
      </c>
      <c r="D21" s="268">
        <v>48008.948099637397</v>
      </c>
      <c r="E21" s="360"/>
      <c r="F21" s="268">
        <v>28577.374974412702</v>
      </c>
      <c r="G21" s="268">
        <v>1.8618847397</v>
      </c>
      <c r="H21" s="360"/>
      <c r="I21" s="268">
        <v>21994.801450615199</v>
      </c>
      <c r="J21" s="268">
        <v>1.4907520221999999</v>
      </c>
      <c r="K21" s="39"/>
      <c r="L21" s="268">
        <v>40549.371348528999</v>
      </c>
      <c r="M21" s="268">
        <v>2.2884160303000001</v>
      </c>
      <c r="N21" s="360"/>
      <c r="O21" s="268">
        <v>14461.376369617001</v>
      </c>
      <c r="P21" s="268">
        <v>1.0143495673</v>
      </c>
      <c r="Q21" s="339"/>
    </row>
    <row r="22" spans="1:17" ht="12.75" customHeight="1">
      <c r="B22" s="17" t="s">
        <v>15</v>
      </c>
      <c r="D22" s="268">
        <v>11831.527299883401</v>
      </c>
      <c r="E22" s="360"/>
      <c r="F22" s="268">
        <v>6578.0329220986996</v>
      </c>
      <c r="G22" s="268">
        <v>1.6798720069999999</v>
      </c>
      <c r="H22" s="360"/>
      <c r="I22" s="268">
        <v>4812.4920990364999</v>
      </c>
      <c r="J22" s="268">
        <v>1.2433948107999999</v>
      </c>
      <c r="K22" s="39"/>
      <c r="L22" s="268">
        <v>10544.2004970976</v>
      </c>
      <c r="M22" s="268">
        <v>2.1326911148000001</v>
      </c>
      <c r="N22" s="360"/>
      <c r="O22" s="268">
        <v>4557.4861647226999</v>
      </c>
      <c r="P22" s="268">
        <v>1.1600670284000001</v>
      </c>
      <c r="Q22" s="339"/>
    </row>
    <row r="23" spans="1:17" ht="12.75" customHeight="1">
      <c r="B23" s="17" t="s">
        <v>16</v>
      </c>
      <c r="D23" s="268">
        <v>36073.567298552101</v>
      </c>
      <c r="E23" s="360"/>
      <c r="F23" s="268">
        <v>30483.876862312001</v>
      </c>
      <c r="G23" s="268">
        <v>2.5717620709000002</v>
      </c>
      <c r="H23" s="360"/>
      <c r="I23" s="268">
        <v>12661.068253351599</v>
      </c>
      <c r="J23" s="268">
        <v>1.1588067784</v>
      </c>
      <c r="K23" s="39"/>
      <c r="L23" s="268">
        <v>35447.652923075002</v>
      </c>
      <c r="M23" s="268">
        <v>2.4909282646999999</v>
      </c>
      <c r="N23" s="360"/>
      <c r="O23" s="268">
        <v>12004.4193779458</v>
      </c>
      <c r="P23" s="268">
        <v>1.0561853955</v>
      </c>
      <c r="Q23" s="339"/>
    </row>
    <row r="24" spans="1:17" ht="12.75" customHeight="1">
      <c r="B24" s="17" t="s">
        <v>17</v>
      </c>
      <c r="D24" s="268">
        <v>23584.9612443695</v>
      </c>
      <c r="E24" s="360"/>
      <c r="F24" s="268">
        <v>6111.5562161690004</v>
      </c>
      <c r="G24" s="268">
        <v>0.86883171830000006</v>
      </c>
      <c r="H24" s="360"/>
      <c r="I24" s="268">
        <v>6194.7514445937004</v>
      </c>
      <c r="J24" s="268">
        <v>0.89147478170000005</v>
      </c>
      <c r="K24" s="39"/>
      <c r="L24" s="268">
        <v>22412.939340672801</v>
      </c>
      <c r="M24" s="268">
        <v>1.3994284441</v>
      </c>
      <c r="N24" s="360"/>
      <c r="O24" s="268">
        <v>4804.9758444566996</v>
      </c>
      <c r="P24" s="268">
        <v>0.68914112760000001</v>
      </c>
      <c r="Q24" s="339"/>
    </row>
    <row r="25" spans="1:17" ht="12.75" customHeight="1">
      <c r="B25" s="17" t="s">
        <v>18</v>
      </c>
      <c r="D25" s="268">
        <v>21482.932276223099</v>
      </c>
      <c r="E25" s="360"/>
      <c r="F25" s="268">
        <v>12825.8173902608</v>
      </c>
      <c r="G25" s="268">
        <v>2.0415748760999999</v>
      </c>
      <c r="H25" s="360"/>
      <c r="I25" s="268">
        <v>5025.6947585485996</v>
      </c>
      <c r="J25" s="268">
        <v>0.76489483940000003</v>
      </c>
      <c r="K25" s="39"/>
      <c r="L25" s="268">
        <v>26508.539754629201</v>
      </c>
      <c r="M25" s="268">
        <v>2.3056026386999999</v>
      </c>
      <c r="N25" s="360"/>
      <c r="O25" s="268">
        <v>3306.9839877351001</v>
      </c>
      <c r="P25" s="268">
        <v>0.49220761140000002</v>
      </c>
      <c r="Q25" s="339"/>
    </row>
    <row r="26" spans="1:17" ht="12.75" customHeight="1">
      <c r="B26" s="17" t="s">
        <v>19</v>
      </c>
      <c r="D26" s="268">
        <v>46119.986599577402</v>
      </c>
      <c r="E26" s="360"/>
      <c r="F26" s="268">
        <v>33975.620854652298</v>
      </c>
      <c r="G26" s="268">
        <v>2.6319912167999999</v>
      </c>
      <c r="H26" s="360"/>
      <c r="I26" s="268">
        <v>21014.719193132201</v>
      </c>
      <c r="J26" s="268">
        <v>1.4169604036000001</v>
      </c>
      <c r="K26" s="39"/>
      <c r="L26" s="268">
        <v>45575.096860948201</v>
      </c>
      <c r="M26" s="268">
        <v>2.6539753560000001</v>
      </c>
      <c r="N26" s="360"/>
      <c r="O26" s="268">
        <v>18048.523395444001</v>
      </c>
      <c r="P26" s="268">
        <v>1.3433801158000001</v>
      </c>
      <c r="Q26" s="339"/>
    </row>
    <row r="27" spans="1:17" ht="12.75" customHeight="1">
      <c r="B27" s="17" t="s">
        <v>20</v>
      </c>
      <c r="D27" s="268">
        <v>131204.09246898501</v>
      </c>
      <c r="E27" s="360"/>
      <c r="F27" s="268">
        <v>56038.895506421803</v>
      </c>
      <c r="G27" s="268">
        <v>1.8789973592</v>
      </c>
      <c r="H27" s="360"/>
      <c r="I27" s="268">
        <v>41193.119693592198</v>
      </c>
      <c r="J27" s="268">
        <v>1.3994937194999999</v>
      </c>
      <c r="K27" s="39"/>
      <c r="L27" s="268">
        <v>121063.67529091401</v>
      </c>
      <c r="M27" s="268">
        <v>2.4033482497</v>
      </c>
      <c r="N27" s="360"/>
      <c r="O27" s="268">
        <v>14522.7704430348</v>
      </c>
      <c r="P27" s="268">
        <v>0.47407103880000001</v>
      </c>
      <c r="Q27" s="339"/>
    </row>
    <row r="28" spans="1:17" ht="12.75" customHeight="1">
      <c r="B28" s="17" t="s">
        <v>21</v>
      </c>
      <c r="D28" s="268">
        <v>34800.277328721597</v>
      </c>
      <c r="E28" s="360"/>
      <c r="F28" s="268">
        <v>18868.809598553598</v>
      </c>
      <c r="G28" s="268">
        <v>2.2140487158000002</v>
      </c>
      <c r="H28" s="360"/>
      <c r="I28" s="268">
        <v>9127.8017874354991</v>
      </c>
      <c r="J28" s="268">
        <v>1.0798866582</v>
      </c>
      <c r="K28" s="39"/>
      <c r="L28" s="268">
        <v>30565.530776034499</v>
      </c>
      <c r="M28" s="268">
        <v>2.461547098</v>
      </c>
      <c r="N28" s="360"/>
      <c r="O28" s="268">
        <v>13690.085475915799</v>
      </c>
      <c r="P28" s="268">
        <v>1.4166844971999999</v>
      </c>
      <c r="Q28" s="339"/>
    </row>
    <row r="29" spans="1:17" ht="12.75" customHeight="1">
      <c r="B29" s="17" t="s">
        <v>22</v>
      </c>
      <c r="D29" s="268">
        <v>18361.487672503201</v>
      </c>
      <c r="E29" s="360"/>
      <c r="F29" s="268">
        <v>4774.5738052868001</v>
      </c>
      <c r="G29" s="268">
        <v>1.1868846530999999</v>
      </c>
      <c r="H29" s="360"/>
      <c r="I29" s="268">
        <v>3969.9595960386</v>
      </c>
      <c r="J29" s="268">
        <v>0.90955985979999998</v>
      </c>
      <c r="K29" s="39"/>
      <c r="L29" s="268">
        <v>15861.8499209653</v>
      </c>
      <c r="M29" s="268">
        <v>1.7386900757999999</v>
      </c>
      <c r="N29" s="360"/>
      <c r="O29" s="268">
        <v>4466.0894747604998</v>
      </c>
      <c r="P29" s="268">
        <v>1.0378908</v>
      </c>
      <c r="Q29" s="339"/>
    </row>
    <row r="30" spans="1:17" ht="12.75" customHeight="1">
      <c r="B30" s="17" t="s">
        <v>23</v>
      </c>
      <c r="D30" s="268">
        <v>8434.7008783248002</v>
      </c>
      <c r="E30" s="360"/>
      <c r="F30" s="268">
        <v>5153.0405796061004</v>
      </c>
      <c r="G30" s="268">
        <v>2.0423766739999998</v>
      </c>
      <c r="H30" s="360"/>
      <c r="I30" s="268">
        <v>3409.9882444906998</v>
      </c>
      <c r="J30" s="268">
        <v>1.3187204732</v>
      </c>
      <c r="K30" s="39"/>
      <c r="L30" s="268">
        <v>7692.2777131541998</v>
      </c>
      <c r="M30" s="268">
        <v>2.2293333876000001</v>
      </c>
      <c r="N30" s="360"/>
      <c r="O30" s="268">
        <v>3428.5089023321998</v>
      </c>
      <c r="P30" s="268">
        <v>1.2974155064999999</v>
      </c>
      <c r="Q30" s="339"/>
    </row>
    <row r="31" spans="1:17" ht="12.75" customHeight="1">
      <c r="B31" s="17" t="s">
        <v>24</v>
      </c>
      <c r="D31" s="268">
        <v>37074.547180637703</v>
      </c>
      <c r="E31" s="360"/>
      <c r="F31" s="268">
        <v>42572.197039210798</v>
      </c>
      <c r="G31" s="268">
        <v>2.9183818901</v>
      </c>
      <c r="H31" s="360"/>
      <c r="I31" s="268">
        <v>13145.125774030201</v>
      </c>
      <c r="J31" s="268">
        <v>1.2121439674000001</v>
      </c>
      <c r="K31" s="39"/>
      <c r="L31" s="268">
        <v>31409.640689853899</v>
      </c>
      <c r="M31" s="268">
        <v>2.5606083553999999</v>
      </c>
      <c r="N31" s="360"/>
      <c r="O31" s="268">
        <v>6086.3789296990999</v>
      </c>
      <c r="P31" s="268">
        <v>0.51627237299999995</v>
      </c>
      <c r="Q31" s="339"/>
    </row>
    <row r="32" spans="1:17" ht="12.75" customHeight="1">
      <c r="B32" s="17" t="s">
        <v>25</v>
      </c>
      <c r="D32" s="268">
        <v>42547.144422326899</v>
      </c>
      <c r="E32" s="360"/>
      <c r="F32" s="268">
        <v>11752.443609735001</v>
      </c>
      <c r="G32" s="268">
        <v>1.2976930709000001</v>
      </c>
      <c r="H32" s="360"/>
      <c r="I32" s="268">
        <v>6133.8247732738</v>
      </c>
      <c r="J32" s="268">
        <v>0.63620394410000003</v>
      </c>
      <c r="K32" s="39"/>
      <c r="L32" s="268">
        <v>39228.738898031799</v>
      </c>
      <c r="M32" s="268">
        <v>1.5942007289</v>
      </c>
      <c r="N32" s="360"/>
      <c r="O32" s="268">
        <v>7966.5331924190996</v>
      </c>
      <c r="P32" s="268">
        <v>0.83892103129999995</v>
      </c>
      <c r="Q32" s="339"/>
    </row>
    <row r="33" spans="1:17" ht="12.75" customHeight="1">
      <c r="B33" s="17" t="s">
        <v>26</v>
      </c>
      <c r="D33" s="268">
        <v>46002.280336427299</v>
      </c>
      <c r="E33" s="360"/>
      <c r="F33" s="268">
        <v>23680.853542538502</v>
      </c>
      <c r="G33" s="268">
        <v>1.9015142394</v>
      </c>
      <c r="H33" s="360"/>
      <c r="I33" s="268">
        <v>12170.3756238316</v>
      </c>
      <c r="J33" s="268">
        <v>0.96571039800000003</v>
      </c>
      <c r="K33" s="39"/>
      <c r="L33" s="268">
        <v>40945.180597895298</v>
      </c>
      <c r="M33" s="268">
        <v>2.3316820636000002</v>
      </c>
      <c r="N33" s="360"/>
      <c r="O33" s="268">
        <v>14745.6383465115</v>
      </c>
      <c r="P33" s="268">
        <v>1.2163447725000001</v>
      </c>
      <c r="Q33" s="339"/>
    </row>
    <row r="34" spans="1:17" ht="12.75" customHeight="1">
      <c r="B34" s="17" t="s">
        <v>27</v>
      </c>
      <c r="D34" s="268">
        <v>27228.768426438201</v>
      </c>
      <c r="E34" s="360"/>
      <c r="F34" s="268">
        <v>15574.998585429699</v>
      </c>
      <c r="G34" s="268">
        <v>2.9290023179000002</v>
      </c>
      <c r="H34" s="360"/>
      <c r="I34" s="268">
        <v>5013.5729616272001</v>
      </c>
      <c r="J34" s="268">
        <v>1.1599567895</v>
      </c>
      <c r="K34" s="39"/>
      <c r="L34" s="268">
        <v>24271.740300129099</v>
      </c>
      <c r="M34" s="268">
        <v>3.0137710447999999</v>
      </c>
      <c r="N34" s="360"/>
      <c r="O34" s="268">
        <v>3070.4497246339001</v>
      </c>
      <c r="P34" s="268">
        <v>0.62114668110000004</v>
      </c>
      <c r="Q34" s="339"/>
    </row>
    <row r="35" spans="1:17" ht="12.75" customHeight="1">
      <c r="B35" s="17" t="s">
        <v>28</v>
      </c>
      <c r="D35" s="268">
        <v>16590.224099263702</v>
      </c>
      <c r="E35" s="360"/>
      <c r="F35" s="268">
        <v>16436.9535672083</v>
      </c>
      <c r="G35" s="268">
        <v>3.2790369171</v>
      </c>
      <c r="H35" s="360"/>
      <c r="I35" s="268">
        <v>4461.0620847572</v>
      </c>
      <c r="J35" s="268">
        <v>1.3405324639</v>
      </c>
      <c r="K35" s="39"/>
      <c r="L35" s="268">
        <v>8543.2042908209005</v>
      </c>
      <c r="M35" s="268">
        <v>2.8166030448999999</v>
      </c>
      <c r="N35" s="360"/>
      <c r="O35" s="268">
        <v>2490.2420718159001</v>
      </c>
      <c r="P35" s="268">
        <v>0.74111992569999996</v>
      </c>
      <c r="Q35" s="339"/>
    </row>
    <row r="36" spans="1:17" ht="12.75" customHeight="1">
      <c r="B36" s="17" t="s">
        <v>29</v>
      </c>
      <c r="D36" s="268">
        <v>14882.082672734099</v>
      </c>
      <c r="E36" s="360"/>
      <c r="F36" s="268">
        <v>11373.0348375182</v>
      </c>
      <c r="G36" s="268">
        <v>1.8513597061</v>
      </c>
      <c r="H36" s="360"/>
      <c r="I36" s="268">
        <v>6403.7532029774002</v>
      </c>
      <c r="J36" s="268">
        <v>1.0674372328999999</v>
      </c>
      <c r="K36" s="39"/>
      <c r="L36" s="268">
        <v>13647.481566872</v>
      </c>
      <c r="M36" s="268">
        <v>2.0248507233000002</v>
      </c>
      <c r="N36" s="360"/>
      <c r="O36" s="268">
        <v>6554.9775249376999</v>
      </c>
      <c r="P36" s="268">
        <v>1.1343316346000001</v>
      </c>
      <c r="Q36" s="339"/>
    </row>
    <row r="37" spans="1:17" ht="12.75" customHeight="1">
      <c r="B37" s="17" t="s">
        <v>30</v>
      </c>
      <c r="D37" s="268">
        <v>17697.139692004599</v>
      </c>
      <c r="E37" s="360"/>
      <c r="F37" s="268">
        <v>14663.1249096349</v>
      </c>
      <c r="G37" s="268">
        <v>1.9490022988</v>
      </c>
      <c r="H37" s="360"/>
      <c r="I37" s="268">
        <v>9646.1611629602994</v>
      </c>
      <c r="J37" s="268">
        <v>1.4016661733</v>
      </c>
      <c r="K37" s="39"/>
      <c r="L37" s="268">
        <v>13318.0846240953</v>
      </c>
      <c r="M37" s="268">
        <v>1.9915510590000001</v>
      </c>
      <c r="N37" s="360"/>
      <c r="O37" s="268">
        <v>8085.2189790554003</v>
      </c>
      <c r="P37" s="268">
        <v>1.1755857748</v>
      </c>
      <c r="Q37" s="339"/>
    </row>
    <row r="38" spans="1:17" ht="12.75" customHeight="1">
      <c r="B38" s="17" t="s">
        <v>31</v>
      </c>
      <c r="D38" s="268">
        <v>20296.342988481301</v>
      </c>
      <c r="E38" s="360"/>
      <c r="F38" s="268">
        <v>18119.444903514301</v>
      </c>
      <c r="G38" s="268">
        <v>2.4910874316</v>
      </c>
      <c r="H38" s="360"/>
      <c r="I38" s="268">
        <v>9804.5315316183005</v>
      </c>
      <c r="J38" s="268">
        <v>1.499403469</v>
      </c>
      <c r="K38" s="39"/>
      <c r="L38" s="268">
        <v>13367.332817876701</v>
      </c>
      <c r="M38" s="268">
        <v>2.0084789632</v>
      </c>
      <c r="N38" s="360"/>
      <c r="O38" s="268">
        <v>6379.0951590042996</v>
      </c>
      <c r="P38" s="268">
        <v>1.0056229028999999</v>
      </c>
      <c r="Q38" s="339"/>
    </row>
    <row r="39" spans="1:17" ht="12.75" customHeight="1">
      <c r="B39" s="17" t="s">
        <v>32</v>
      </c>
      <c r="D39" s="268">
        <v>20074.553062652802</v>
      </c>
      <c r="E39" s="360"/>
      <c r="F39" s="268">
        <v>9413.1565977450991</v>
      </c>
      <c r="G39" s="268">
        <v>1.8062665452</v>
      </c>
      <c r="H39" s="360"/>
      <c r="I39" s="268">
        <v>4113.0290932272001</v>
      </c>
      <c r="J39" s="268">
        <v>0.78772366149999995</v>
      </c>
      <c r="K39" s="39"/>
      <c r="L39" s="268">
        <v>18536.726743096999</v>
      </c>
      <c r="M39" s="268">
        <v>1.9904608419000001</v>
      </c>
      <c r="N39" s="360"/>
      <c r="O39" s="268">
        <v>7319.4203067545996</v>
      </c>
      <c r="P39" s="268">
        <v>1.3180042750000001</v>
      </c>
      <c r="Q39" s="339"/>
    </row>
    <row r="40" spans="1:17" ht="12.75" customHeight="1">
      <c r="B40" s="17" t="s">
        <v>33</v>
      </c>
      <c r="D40" s="268">
        <v>18931.826991932499</v>
      </c>
      <c r="E40" s="360"/>
      <c r="F40" s="268">
        <v>16512.860375196102</v>
      </c>
      <c r="G40" s="268">
        <v>2.0572396404000002</v>
      </c>
      <c r="H40" s="360"/>
      <c r="I40" s="268">
        <v>12158.364915841499</v>
      </c>
      <c r="J40" s="268">
        <v>1.6383347071000001</v>
      </c>
      <c r="K40" s="39"/>
      <c r="L40" s="268">
        <v>17545.458010705599</v>
      </c>
      <c r="M40" s="268">
        <v>2.2673967205999999</v>
      </c>
      <c r="N40" s="360"/>
      <c r="O40" s="268">
        <v>5950.8868181112002</v>
      </c>
      <c r="P40" s="268">
        <v>0.84285433990000003</v>
      </c>
      <c r="Q40" s="339"/>
    </row>
    <row r="41" spans="1:17" ht="12.75" customHeight="1">
      <c r="B41" s="17" t="s">
        <v>34</v>
      </c>
      <c r="D41" s="268">
        <v>7742.5499765431996</v>
      </c>
      <c r="E41" s="360"/>
      <c r="F41" s="268">
        <v>2335.0667094577002</v>
      </c>
      <c r="G41" s="268">
        <v>0.91764915599999997</v>
      </c>
      <c r="H41" s="360"/>
      <c r="I41" s="268">
        <v>1719.5991984267</v>
      </c>
      <c r="J41" s="268">
        <v>0.68843876979999996</v>
      </c>
      <c r="K41" s="39"/>
      <c r="L41" s="268">
        <v>7722.3841252864004</v>
      </c>
      <c r="M41" s="268">
        <v>1.4821454825</v>
      </c>
      <c r="N41" s="360"/>
      <c r="O41" s="268">
        <v>2752.7075156986998</v>
      </c>
      <c r="P41" s="268">
        <v>1.1291475464</v>
      </c>
      <c r="Q41" s="339"/>
    </row>
    <row r="42" spans="1:17" ht="12.75" customHeight="1">
      <c r="B42" s="17" t="s">
        <v>35</v>
      </c>
      <c r="D42" s="268">
        <v>62857.6709122908</v>
      </c>
      <c r="E42" s="360"/>
      <c r="F42" s="268">
        <v>25047.3417581662</v>
      </c>
      <c r="G42" s="268">
        <v>1.5101037022999999</v>
      </c>
      <c r="H42" s="360"/>
      <c r="I42" s="268">
        <v>18566.0817051167</v>
      </c>
      <c r="J42" s="268">
        <v>1.0768350226000001</v>
      </c>
      <c r="K42" s="39"/>
      <c r="L42" s="268">
        <v>59992.836339411602</v>
      </c>
      <c r="M42" s="268">
        <v>1.9993960165</v>
      </c>
      <c r="N42" s="360"/>
      <c r="O42" s="268">
        <v>17642.708329771001</v>
      </c>
      <c r="P42" s="268">
        <v>0.99322943230000005</v>
      </c>
      <c r="Q42" s="339"/>
    </row>
    <row r="43" spans="1:17" ht="12.75" customHeight="1">
      <c r="B43" s="17" t="s">
        <v>36</v>
      </c>
      <c r="D43" s="268">
        <v>19576.847036778501</v>
      </c>
      <c r="E43" s="360"/>
      <c r="F43" s="268">
        <v>11141.2083320191</v>
      </c>
      <c r="G43" s="268">
        <v>2.0618454483000002</v>
      </c>
      <c r="H43" s="360"/>
      <c r="I43" s="268">
        <v>6450.2787360753</v>
      </c>
      <c r="J43" s="268">
        <v>1.1898631931999999</v>
      </c>
      <c r="K43" s="39"/>
      <c r="L43" s="268">
        <v>14853.676878021</v>
      </c>
      <c r="M43" s="268">
        <v>2.0791133457000002</v>
      </c>
      <c r="N43" s="360"/>
      <c r="O43" s="268">
        <v>5629.6459098989999</v>
      </c>
      <c r="P43" s="268">
        <v>1.0024597716999999</v>
      </c>
      <c r="Q43" s="339"/>
    </row>
    <row r="44" spans="1:17" ht="12.75" customHeight="1">
      <c r="B44" s="17" t="s">
        <v>37</v>
      </c>
      <c r="D44" s="268">
        <v>13538.356008209001</v>
      </c>
      <c r="E44" s="360"/>
      <c r="F44" s="268">
        <v>6272.4305133687003</v>
      </c>
      <c r="G44" s="268">
        <v>1.8479669774</v>
      </c>
      <c r="H44" s="360"/>
      <c r="I44" s="268">
        <v>3911.2854255041998</v>
      </c>
      <c r="J44" s="268">
        <v>1.1205117587</v>
      </c>
      <c r="K44" s="39"/>
      <c r="L44" s="268">
        <v>11254.7762350394</v>
      </c>
      <c r="M44" s="268">
        <v>2.0821428328999998</v>
      </c>
      <c r="N44" s="360"/>
      <c r="O44" s="268">
        <v>4060.7178682227</v>
      </c>
      <c r="P44" s="268">
        <v>1.1897888378999999</v>
      </c>
      <c r="Q44" s="339"/>
    </row>
    <row r="45" spans="1:17" ht="6" customHeight="1">
      <c r="B45" s="361"/>
      <c r="C45" s="362"/>
      <c r="D45" s="208"/>
      <c r="E45" s="363"/>
      <c r="F45" s="208"/>
      <c r="G45" s="364"/>
      <c r="H45" s="365"/>
      <c r="I45" s="366"/>
      <c r="J45" s="364"/>
      <c r="K45" s="365"/>
      <c r="L45" s="208"/>
      <c r="M45" s="364"/>
      <c r="N45" s="367"/>
      <c r="O45" s="208"/>
      <c r="P45" s="364"/>
      <c r="Q45" s="339"/>
    </row>
    <row r="46" spans="1:17" ht="6" customHeight="1">
      <c r="C46" s="368"/>
      <c r="D46" s="369"/>
      <c r="E46" s="368"/>
      <c r="F46" s="369"/>
      <c r="G46" s="370"/>
      <c r="H46" s="371"/>
      <c r="I46" s="372"/>
      <c r="J46" s="370"/>
      <c r="K46" s="371"/>
      <c r="L46" s="372"/>
      <c r="M46" s="373"/>
      <c r="N46" s="374"/>
      <c r="P46" s="373"/>
    </row>
    <row r="47" spans="1:17" s="376" customFormat="1" ht="11.25">
      <c r="A47" s="54"/>
      <c r="B47" s="825" t="s">
        <v>73</v>
      </c>
      <c r="C47" s="825"/>
      <c r="D47" s="826"/>
      <c r="E47" s="825"/>
      <c r="F47" s="826"/>
      <c r="G47" s="825"/>
      <c r="H47" s="825"/>
      <c r="I47" s="826"/>
      <c r="J47" s="825"/>
      <c r="K47" s="825"/>
      <c r="L47" s="826"/>
      <c r="M47" s="825"/>
      <c r="N47" s="825"/>
      <c r="O47" s="826"/>
      <c r="P47" s="825"/>
    </row>
    <row r="48" spans="1:17" s="376" customFormat="1" ht="11.25">
      <c r="A48" s="54"/>
      <c r="B48" s="377" t="s">
        <v>134</v>
      </c>
      <c r="C48" s="377"/>
      <c r="D48" s="378"/>
      <c r="E48" s="377"/>
      <c r="F48" s="378"/>
      <c r="G48" s="379"/>
      <c r="H48" s="377"/>
      <c r="I48" s="378"/>
      <c r="J48" s="379"/>
      <c r="K48" s="377"/>
      <c r="L48" s="378"/>
      <c r="M48" s="379"/>
      <c r="N48" s="377"/>
      <c r="O48" s="378"/>
      <c r="P48" s="379"/>
    </row>
  </sheetData>
  <mergeCells count="10">
    <mergeCell ref="B47:P47"/>
    <mergeCell ref="B5:N5"/>
    <mergeCell ref="C6:O6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5E0992D7-1642-4E44-A98F-DC66B6AFFFA5}"/>
  </hyperlinks>
  <pageMargins left="0.70866141732283472" right="0.70866141732283472" top="0.59055118110236227" bottom="0.59055118110236227" header="0.23622047244094491" footer="0.23622047244094491"/>
  <pageSetup orientation="portrait" r:id="rId1"/>
  <colBreaks count="1" manualBreakCount="1">
    <brk id="12" max="5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ECE2-073A-49F8-899D-D16D1E3D7DB8}">
  <dimension ref="A1:AP50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" customWidth="1"/>
    <col min="4" max="4" width="22.140625" style="170" customWidth="1"/>
    <col min="5" max="5" width="1.7109375" style="3" customWidth="1"/>
    <col min="6" max="6" width="13" style="170" customWidth="1"/>
    <col min="7" max="7" width="11.42578125" style="93"/>
    <col min="8" max="8" width="1.7109375" style="3" customWidth="1"/>
    <col min="9" max="9" width="16.85546875" style="170" customWidth="1"/>
    <col min="10" max="10" width="11.42578125" style="93"/>
    <col min="11" max="11" width="1.7109375" style="3" customWidth="1"/>
    <col min="12" max="12" width="16.85546875" style="170" customWidth="1"/>
    <col min="13" max="13" width="11.42578125" style="93"/>
    <col min="14" max="14" width="1.7109375" style="3" customWidth="1"/>
    <col min="15" max="15" width="17.42578125" style="170" customWidth="1"/>
    <col min="16" max="16" width="11.42578125" style="93"/>
    <col min="17" max="17" width="1.7109375" style="3" customWidth="1"/>
    <col min="18" max="18" width="16.85546875" style="170" customWidth="1"/>
    <col min="19" max="19" width="11.42578125" style="93"/>
    <col min="20" max="20" width="1.7109375" style="3" customWidth="1"/>
    <col min="21" max="21" width="16.710937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3" style="170" customWidth="1"/>
    <col min="28" max="28" width="11.42578125" style="93"/>
    <col min="29" max="16384" width="11.42578125" style="3"/>
  </cols>
  <sheetData>
    <row r="1" spans="1:42" s="62" customFormat="1" ht="14.1" customHeight="1">
      <c r="A1" s="53"/>
      <c r="B1" s="756" t="s">
        <v>268</v>
      </c>
      <c r="C1" s="61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42" s="62" customFormat="1" ht="6.95" customHeight="1">
      <c r="A2" s="53"/>
      <c r="B2" s="756"/>
      <c r="C2" s="61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42" s="62" customFormat="1" ht="14.1" customHeight="1">
      <c r="A3" s="53"/>
      <c r="B3" s="756" t="s">
        <v>236</v>
      </c>
      <c r="C3" s="382"/>
      <c r="D3" s="383"/>
      <c r="E3" s="382"/>
      <c r="F3" s="383"/>
      <c r="G3" s="384"/>
      <c r="H3" s="382"/>
      <c r="I3" s="383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42" s="62" customFormat="1" ht="6.95" customHeight="1">
      <c r="A4" s="53"/>
      <c r="B4" s="150"/>
      <c r="C4" s="61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42" s="62" customFormat="1" ht="20.100000000000001" customHeight="1">
      <c r="A5" s="53"/>
      <c r="B5" s="842" t="s">
        <v>189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  <c r="Q5" s="842"/>
      <c r="R5" s="842"/>
      <c r="S5" s="842"/>
      <c r="T5" s="842"/>
      <c r="U5" s="842"/>
      <c r="V5" s="842"/>
      <c r="W5" s="842"/>
      <c r="X5" s="842"/>
      <c r="Y5" s="109"/>
      <c r="Z5" s="64"/>
      <c r="AA5" s="176"/>
      <c r="AB5" s="90" t="s">
        <v>135</v>
      </c>
    </row>
    <row r="6" spans="1:42" ht="6" customHeight="1">
      <c r="A6" s="53"/>
      <c r="B6" s="385"/>
      <c r="C6" s="5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42" ht="15.75" customHeight="1">
      <c r="A7" s="53"/>
      <c r="B7" s="790" t="s">
        <v>39</v>
      </c>
      <c r="C7" s="7"/>
      <c r="D7" s="843" t="s">
        <v>136</v>
      </c>
      <c r="E7" s="35"/>
      <c r="F7" s="846" t="s">
        <v>74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</row>
    <row r="8" spans="1:42" ht="16.5" customHeight="1">
      <c r="A8" s="53"/>
      <c r="B8" s="791"/>
      <c r="C8" s="49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387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</row>
    <row r="9" spans="1:42" ht="16.5" customHeight="1">
      <c r="A9" s="54"/>
      <c r="B9" s="792"/>
      <c r="C9" s="9"/>
      <c r="D9" s="845"/>
      <c r="E9" s="32"/>
      <c r="F9" s="185" t="s">
        <v>3</v>
      </c>
      <c r="G9" s="118" t="s">
        <v>4</v>
      </c>
      <c r="H9" s="52"/>
      <c r="I9" s="185" t="s">
        <v>3</v>
      </c>
      <c r="J9" s="118" t="s">
        <v>4</v>
      </c>
      <c r="K9" s="52"/>
      <c r="L9" s="185" t="s">
        <v>3</v>
      </c>
      <c r="M9" s="118" t="s">
        <v>4</v>
      </c>
      <c r="N9" s="52"/>
      <c r="O9" s="185" t="s">
        <v>3</v>
      </c>
      <c r="P9" s="118" t="s">
        <v>4</v>
      </c>
      <c r="Q9" s="52"/>
      <c r="R9" s="185" t="s">
        <v>3</v>
      </c>
      <c r="S9" s="118" t="s">
        <v>4</v>
      </c>
      <c r="T9" s="52"/>
      <c r="U9" s="185" t="s">
        <v>3</v>
      </c>
      <c r="V9" s="118" t="s">
        <v>4</v>
      </c>
      <c r="W9" s="390"/>
      <c r="X9" s="185" t="s">
        <v>3</v>
      </c>
      <c r="Y9" s="118" t="s">
        <v>4</v>
      </c>
      <c r="Z9" s="390"/>
      <c r="AA9" s="185" t="s">
        <v>3</v>
      </c>
      <c r="AB9" s="118" t="s">
        <v>4</v>
      </c>
      <c r="AC9" s="391"/>
      <c r="AD9" s="391"/>
      <c r="AE9" s="391"/>
      <c r="AF9" s="391"/>
      <c r="AG9" s="391"/>
      <c r="AH9" s="391"/>
      <c r="AI9" s="391"/>
      <c r="AJ9" s="391"/>
      <c r="AK9" s="391"/>
      <c r="AL9" s="391"/>
      <c r="AM9" s="391"/>
      <c r="AN9" s="391"/>
      <c r="AO9" s="391"/>
      <c r="AP9" s="391"/>
    </row>
    <row r="10" spans="1:42" ht="6" customHeight="1">
      <c r="A10" s="54"/>
      <c r="B10" s="5"/>
      <c r="C10" s="5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42" ht="15">
      <c r="A11" s="206"/>
      <c r="B11" s="21" t="s">
        <v>40</v>
      </c>
      <c r="C11" s="10"/>
      <c r="D11" s="267">
        <v>113746.473976744</v>
      </c>
      <c r="E11" s="392"/>
      <c r="F11" s="267">
        <v>45949.783229394401</v>
      </c>
      <c r="G11" s="267">
        <v>0.88490645430000003</v>
      </c>
      <c r="H11" s="392"/>
      <c r="I11" s="267">
        <v>27465.8405248819</v>
      </c>
      <c r="J11" s="267">
        <v>0.541387693</v>
      </c>
      <c r="L11" s="267">
        <v>25869.255231654599</v>
      </c>
      <c r="M11" s="267">
        <v>0.52385524100000003</v>
      </c>
      <c r="O11" s="267">
        <v>38982.143484014501</v>
      </c>
      <c r="P11" s="267">
        <v>0.74952321310000003</v>
      </c>
      <c r="R11" s="267">
        <v>51979.841443532998</v>
      </c>
      <c r="S11" s="267">
        <v>0.92626857169999999</v>
      </c>
      <c r="U11" s="267">
        <v>52402.346163201801</v>
      </c>
      <c r="V11" s="267">
        <v>0.92312983500000001</v>
      </c>
      <c r="X11" s="267">
        <v>58188.637098621402</v>
      </c>
      <c r="Y11" s="267">
        <v>1.0488328675</v>
      </c>
      <c r="AA11" s="267">
        <v>8124.2565967414002</v>
      </c>
      <c r="AB11" s="267">
        <v>0.16354652859999999</v>
      </c>
    </row>
    <row r="12" spans="1:42" ht="6" customHeight="1">
      <c r="A12" s="57"/>
      <c r="B12" s="141"/>
      <c r="C12" s="10"/>
      <c r="D12" s="158"/>
      <c r="E12" s="392"/>
      <c r="F12" s="158"/>
      <c r="G12" s="85"/>
      <c r="H12" s="392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42">
      <c r="A13" s="57"/>
      <c r="B13" s="48" t="s">
        <v>137</v>
      </c>
      <c r="C13" s="27"/>
      <c r="D13" s="268">
        <v>102781.476315637</v>
      </c>
      <c r="E13" s="393"/>
      <c r="F13" s="268">
        <v>37655.490362801902</v>
      </c>
      <c r="G13" s="268">
        <v>0.89197110160000004</v>
      </c>
      <c r="H13" s="393"/>
      <c r="I13" s="268">
        <v>21872.825467161601</v>
      </c>
      <c r="J13" s="268">
        <v>0.52917320099999998</v>
      </c>
      <c r="L13" s="268">
        <v>21039.326227664598</v>
      </c>
      <c r="M13" s="268">
        <v>0.51657018200000004</v>
      </c>
      <c r="O13" s="268">
        <v>37225.7243904602</v>
      </c>
      <c r="P13" s="268">
        <v>0.84342871500000005</v>
      </c>
      <c r="R13" s="268">
        <v>46152.797607583903</v>
      </c>
      <c r="S13" s="268">
        <v>0.97252127580000003</v>
      </c>
      <c r="U13" s="268">
        <v>47734.724446150598</v>
      </c>
      <c r="V13" s="268">
        <v>1.008896206</v>
      </c>
      <c r="X13" s="268">
        <v>52551.818550240598</v>
      </c>
      <c r="Y13" s="268">
        <v>1.1412313397</v>
      </c>
      <c r="AA13" s="268">
        <v>6907.2177261687002</v>
      </c>
      <c r="AB13" s="268">
        <v>0.16708909150000001</v>
      </c>
    </row>
    <row r="14" spans="1:42">
      <c r="A14" s="57"/>
      <c r="B14" s="48" t="s">
        <v>42</v>
      </c>
      <c r="C14" s="27"/>
      <c r="D14" s="268">
        <v>35247.487598591797</v>
      </c>
      <c r="E14" s="393"/>
      <c r="F14" s="268">
        <v>9486.1389772536004</v>
      </c>
      <c r="G14" s="268">
        <v>3.0636687213</v>
      </c>
      <c r="H14" s="393"/>
      <c r="I14" s="268">
        <v>4602.4064033606001</v>
      </c>
      <c r="J14" s="268">
        <v>1.5321697951</v>
      </c>
      <c r="L14" s="268">
        <v>7398.1071746558</v>
      </c>
      <c r="M14" s="268">
        <v>2.4270353853</v>
      </c>
      <c r="O14" s="268">
        <v>8038.1746231794996</v>
      </c>
      <c r="P14" s="268">
        <v>2.6003656868</v>
      </c>
      <c r="R14" s="268">
        <v>17686.9569975577</v>
      </c>
      <c r="S14" s="268">
        <v>5.0603388476999998</v>
      </c>
      <c r="U14" s="268">
        <v>14360.5006427924</v>
      </c>
      <c r="V14" s="268">
        <v>4.1830238310999999</v>
      </c>
      <c r="X14" s="268">
        <v>19312.582369526299</v>
      </c>
      <c r="Y14" s="268">
        <v>5.2313290393000003</v>
      </c>
      <c r="AA14" s="268">
        <v>2096.86504096</v>
      </c>
      <c r="AB14" s="268">
        <v>0.7013210245</v>
      </c>
    </row>
    <row r="15" spans="1:42">
      <c r="A15" s="54"/>
      <c r="B15" s="48" t="s">
        <v>43</v>
      </c>
      <c r="C15" s="27"/>
      <c r="D15" s="268">
        <v>48088.231866106398</v>
      </c>
      <c r="E15" s="393"/>
      <c r="F15" s="268">
        <v>24162.3661532804</v>
      </c>
      <c r="G15" s="268">
        <v>3.6511924756999998</v>
      </c>
      <c r="H15" s="393"/>
      <c r="I15" s="268">
        <v>17240.925143793898</v>
      </c>
      <c r="J15" s="268">
        <v>2.7376541203000002</v>
      </c>
      <c r="L15" s="268">
        <v>11970.715103266701</v>
      </c>
      <c r="M15" s="268">
        <v>2.1763112976999999</v>
      </c>
      <c r="O15" s="268">
        <v>8400.0728807330997</v>
      </c>
      <c r="P15" s="268">
        <v>1.5553093647</v>
      </c>
      <c r="R15" s="268">
        <v>16243.2761900965</v>
      </c>
      <c r="S15" s="268">
        <v>2.8934280975000002</v>
      </c>
      <c r="U15" s="268">
        <v>16882.319240707799</v>
      </c>
      <c r="V15" s="268">
        <v>2.9520167455999999</v>
      </c>
      <c r="X15" s="268">
        <v>18479.827326507999</v>
      </c>
      <c r="Y15" s="268">
        <v>3.1852265325000002</v>
      </c>
      <c r="AA15" s="268">
        <v>3516.7790661343001</v>
      </c>
      <c r="AB15" s="268">
        <v>0.6636537468</v>
      </c>
    </row>
    <row r="16" spans="1:42">
      <c r="A16" s="54"/>
      <c r="B16" s="48" t="s">
        <v>138</v>
      </c>
      <c r="C16" s="27"/>
      <c r="D16" s="268">
        <v>4676.9766944042003</v>
      </c>
      <c r="E16" s="393"/>
      <c r="F16" s="268">
        <v>456.83476224999998</v>
      </c>
      <c r="G16" s="268">
        <v>3.4954110886</v>
      </c>
      <c r="H16" s="393"/>
      <c r="I16" s="268">
        <v>267</v>
      </c>
      <c r="J16" s="268">
        <v>1.9645216086999999</v>
      </c>
      <c r="L16" s="268">
        <v>0</v>
      </c>
      <c r="M16" s="268">
        <v>0</v>
      </c>
      <c r="O16" s="268">
        <v>3564.6983042047</v>
      </c>
      <c r="P16" s="268">
        <v>17.932152371299999</v>
      </c>
      <c r="R16" s="268">
        <v>964.51542237540002</v>
      </c>
      <c r="S16" s="268">
        <v>6.9194556057999996</v>
      </c>
      <c r="U16" s="268">
        <v>2565.5607574174001</v>
      </c>
      <c r="V16" s="268">
        <v>15.3632338236</v>
      </c>
      <c r="X16" s="268">
        <v>1172.4581015967999</v>
      </c>
      <c r="Y16" s="268">
        <v>8.2538956278000004</v>
      </c>
      <c r="AA16" s="268">
        <v>0</v>
      </c>
      <c r="AB16" s="268">
        <v>0</v>
      </c>
    </row>
    <row r="17" spans="1:28" ht="6" customHeight="1">
      <c r="A17" s="54"/>
      <c r="B17" s="48"/>
      <c r="C17" s="27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299" t="s">
        <v>41</v>
      </c>
      <c r="C18" s="27"/>
      <c r="D18" s="324">
        <v>30669.9987311966</v>
      </c>
      <c r="E18" s="392"/>
      <c r="F18" s="324">
        <v>3017.5228189630998</v>
      </c>
      <c r="G18" s="324">
        <v>2.0242784435000001</v>
      </c>
      <c r="H18" s="392"/>
      <c r="I18" s="324">
        <v>268</v>
      </c>
      <c r="J18" s="324">
        <v>0.17085234799999999</v>
      </c>
      <c r="L18" s="324">
        <v>1192.6901765097</v>
      </c>
      <c r="M18" s="324">
        <v>0.77492835699999996</v>
      </c>
      <c r="O18" s="324">
        <v>3239.1488147533</v>
      </c>
      <c r="P18" s="324">
        <v>1.9991460590000001</v>
      </c>
      <c r="R18" s="324">
        <v>12481.294909398801</v>
      </c>
      <c r="S18" s="324">
        <v>4.321302974</v>
      </c>
      <c r="U18" s="324">
        <v>17300.7296619927</v>
      </c>
      <c r="V18" s="324">
        <v>4.2665040571999997</v>
      </c>
      <c r="X18" s="324">
        <v>5651.7405578577</v>
      </c>
      <c r="Y18" s="324">
        <v>3.1551247544000001</v>
      </c>
      <c r="AA18" s="324">
        <v>443</v>
      </c>
      <c r="AB18" s="324">
        <v>0.28258765850000001</v>
      </c>
    </row>
    <row r="19" spans="1:28" ht="6" customHeight="1">
      <c r="A19" s="58"/>
      <c r="B19" s="48"/>
      <c r="C19" s="27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>
      <c r="B20" s="48" t="s">
        <v>137</v>
      </c>
      <c r="C20" s="27"/>
      <c r="D20" s="269">
        <v>28593.096342282901</v>
      </c>
      <c r="E20" s="393"/>
      <c r="F20" s="269">
        <v>3017.5228189630998</v>
      </c>
      <c r="G20" s="269">
        <v>2.2534433435999999</v>
      </c>
      <c r="H20" s="393"/>
      <c r="I20" s="269">
        <v>268</v>
      </c>
      <c r="J20" s="269">
        <v>0.18978011459999999</v>
      </c>
      <c r="L20" s="269">
        <v>1192.6901765097</v>
      </c>
      <c r="M20" s="269">
        <v>0.86110997330000005</v>
      </c>
      <c r="O20" s="269">
        <v>3239.1488147533</v>
      </c>
      <c r="P20" s="269">
        <v>2.2073363634000001</v>
      </c>
      <c r="R20" s="269">
        <v>12349.834112869101</v>
      </c>
      <c r="S20" s="269">
        <v>4.6002579039000002</v>
      </c>
      <c r="U20" s="269">
        <v>16131.1879344711</v>
      </c>
      <c r="V20" s="269">
        <v>4.6927552609000003</v>
      </c>
      <c r="X20" s="269">
        <v>4095.5549199789998</v>
      </c>
      <c r="Y20" s="269">
        <v>2.6944520185999998</v>
      </c>
      <c r="AA20" s="269">
        <v>443</v>
      </c>
      <c r="AB20" s="269">
        <v>0.31391433889999998</v>
      </c>
    </row>
    <row r="21" spans="1:28">
      <c r="B21" s="48" t="s">
        <v>42</v>
      </c>
      <c r="C21" s="27"/>
      <c r="D21" s="268">
        <v>8709.5576236683992</v>
      </c>
      <c r="E21" s="393"/>
      <c r="F21" s="268">
        <v>0</v>
      </c>
      <c r="G21" s="268">
        <v>0</v>
      </c>
      <c r="H21" s="393"/>
      <c r="I21" s="268">
        <v>0</v>
      </c>
      <c r="J21" s="268">
        <v>0</v>
      </c>
      <c r="L21" s="268">
        <v>0</v>
      </c>
      <c r="M21" s="268">
        <v>0</v>
      </c>
      <c r="O21" s="268">
        <v>0</v>
      </c>
      <c r="P21" s="268">
        <v>0</v>
      </c>
      <c r="R21" s="268">
        <v>808</v>
      </c>
      <c r="S21" s="268">
        <v>2.7197764743000001</v>
      </c>
      <c r="U21" s="268">
        <v>6207.1626368253001</v>
      </c>
      <c r="V21" s="268">
        <v>11.344232245300001</v>
      </c>
      <c r="X21" s="268">
        <v>2703.0893436954998</v>
      </c>
      <c r="Y21" s="268">
        <v>12.3771427769</v>
      </c>
      <c r="AA21" s="268">
        <v>0</v>
      </c>
      <c r="AB21" s="268">
        <v>0</v>
      </c>
    </row>
    <row r="22" spans="1:28">
      <c r="B22" s="48" t="s">
        <v>43</v>
      </c>
      <c r="C22" s="27"/>
      <c r="D22" s="268">
        <v>143</v>
      </c>
      <c r="E22" s="393"/>
      <c r="F22" s="268">
        <v>0</v>
      </c>
      <c r="G22" s="268">
        <v>0</v>
      </c>
      <c r="H22" s="393"/>
      <c r="I22" s="268">
        <v>0</v>
      </c>
      <c r="J22" s="268">
        <v>0</v>
      </c>
      <c r="L22" s="268">
        <v>0</v>
      </c>
      <c r="M22" s="268">
        <v>0</v>
      </c>
      <c r="O22" s="268">
        <v>0</v>
      </c>
      <c r="P22" s="268">
        <v>0</v>
      </c>
      <c r="R22" s="268">
        <v>0</v>
      </c>
      <c r="S22" s="268">
        <v>0</v>
      </c>
      <c r="U22" s="268">
        <v>143</v>
      </c>
      <c r="V22" s="268">
        <v>0</v>
      </c>
      <c r="X22" s="268">
        <v>0</v>
      </c>
      <c r="Y22" s="268">
        <v>0</v>
      </c>
      <c r="AA22" s="268">
        <v>0</v>
      </c>
      <c r="AB22" s="268">
        <v>0</v>
      </c>
    </row>
    <row r="23" spans="1:28">
      <c r="B23" s="48" t="s">
        <v>138</v>
      </c>
      <c r="C23" s="27"/>
      <c r="D23" s="268">
        <v>0</v>
      </c>
      <c r="E23" s="393"/>
      <c r="F23" s="268">
        <v>0</v>
      </c>
      <c r="G23" s="268">
        <v>0</v>
      </c>
      <c r="H23" s="393"/>
      <c r="I23" s="268">
        <v>0</v>
      </c>
      <c r="J23" s="268">
        <v>0</v>
      </c>
      <c r="L23" s="268">
        <v>0</v>
      </c>
      <c r="M23" s="268">
        <v>0</v>
      </c>
      <c r="O23" s="268">
        <v>0</v>
      </c>
      <c r="P23" s="268">
        <v>0</v>
      </c>
      <c r="R23" s="268">
        <v>0</v>
      </c>
      <c r="S23" s="268">
        <v>0</v>
      </c>
      <c r="U23" s="268">
        <v>0</v>
      </c>
      <c r="V23" s="268">
        <v>0</v>
      </c>
      <c r="X23" s="268">
        <v>0</v>
      </c>
      <c r="Y23" s="268">
        <v>0</v>
      </c>
      <c r="AA23" s="268">
        <v>0</v>
      </c>
      <c r="AB23" s="268">
        <v>0</v>
      </c>
    </row>
    <row r="24" spans="1:28" ht="6" customHeight="1">
      <c r="B24" s="48"/>
      <c r="C24" s="27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299" t="s">
        <v>44</v>
      </c>
      <c r="C25" s="27"/>
      <c r="D25" s="267">
        <v>38858.9232057728</v>
      </c>
      <c r="E25" s="392"/>
      <c r="F25" s="267">
        <v>2389.4015987272001</v>
      </c>
      <c r="G25" s="267">
        <v>0.72171289689999996</v>
      </c>
      <c r="H25" s="392"/>
      <c r="I25" s="267">
        <v>2170.7395866250999</v>
      </c>
      <c r="J25" s="267">
        <v>0.65515818650000002</v>
      </c>
      <c r="L25" s="267">
        <v>2016.4059611099999</v>
      </c>
      <c r="M25" s="267">
        <v>0.55895777749999997</v>
      </c>
      <c r="O25" s="267">
        <v>13011.6826708791</v>
      </c>
      <c r="P25" s="267">
        <v>3.2499293365000002</v>
      </c>
      <c r="R25" s="267">
        <v>20952.281369902499</v>
      </c>
      <c r="S25" s="267">
        <v>4.5887386494999998</v>
      </c>
      <c r="U25" s="267">
        <v>17571.984966839002</v>
      </c>
      <c r="V25" s="267">
        <v>3.7444421458999999</v>
      </c>
      <c r="X25" s="267">
        <v>14981.936228230899</v>
      </c>
      <c r="Y25" s="267">
        <v>4.2358111020000004</v>
      </c>
      <c r="AA25" s="267">
        <v>1219.8073618404001</v>
      </c>
      <c r="AB25" s="267">
        <v>0.35217959529999998</v>
      </c>
    </row>
    <row r="26" spans="1:28" ht="6" customHeight="1">
      <c r="B26" s="48"/>
      <c r="C26" s="27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>
      <c r="B27" s="48" t="s">
        <v>137</v>
      </c>
      <c r="C27" s="27"/>
      <c r="D27" s="268">
        <v>36575.445544290102</v>
      </c>
      <c r="E27" s="393"/>
      <c r="F27" s="268">
        <v>2389.4015987272001</v>
      </c>
      <c r="G27" s="268">
        <v>0.83736899899999995</v>
      </c>
      <c r="H27" s="393"/>
      <c r="I27" s="268">
        <v>1956.0596496378</v>
      </c>
      <c r="J27" s="268">
        <v>0.67095642420000001</v>
      </c>
      <c r="L27" s="268">
        <v>1916.6340287076</v>
      </c>
      <c r="M27" s="268">
        <v>0.61004886680000003</v>
      </c>
      <c r="O27" s="268">
        <v>12966.4875609716</v>
      </c>
      <c r="P27" s="268">
        <v>3.6850716396999998</v>
      </c>
      <c r="R27" s="268">
        <v>20246.428911295599</v>
      </c>
      <c r="S27" s="268">
        <v>5.3261856155</v>
      </c>
      <c r="U27" s="268">
        <v>16986.720780223899</v>
      </c>
      <c r="V27" s="268">
        <v>4.3997006619999999</v>
      </c>
      <c r="X27" s="268">
        <v>14450.6955614048</v>
      </c>
      <c r="Y27" s="268">
        <v>4.6239586139000002</v>
      </c>
      <c r="AA27" s="268">
        <v>1063.7297589144</v>
      </c>
      <c r="AB27" s="268">
        <v>0.35301836669999997</v>
      </c>
    </row>
    <row r="28" spans="1:28">
      <c r="B28" s="48" t="s">
        <v>42</v>
      </c>
      <c r="C28" s="27"/>
      <c r="D28" s="268">
        <v>7416.6359696591999</v>
      </c>
      <c r="E28" s="393"/>
      <c r="F28" s="268">
        <v>0</v>
      </c>
      <c r="G28" s="268">
        <v>0</v>
      </c>
      <c r="H28" s="393"/>
      <c r="I28" s="268">
        <v>581</v>
      </c>
      <c r="J28" s="268">
        <v>2.6910687671</v>
      </c>
      <c r="L28" s="268">
        <v>482</v>
      </c>
      <c r="M28" s="268">
        <v>2.2446591246000001</v>
      </c>
      <c r="O28" s="268">
        <v>1064</v>
      </c>
      <c r="P28" s="268">
        <v>4.1281946915000001</v>
      </c>
      <c r="R28" s="268">
        <v>2187.8112350018</v>
      </c>
      <c r="S28" s="268">
        <v>9.7321779604999996</v>
      </c>
      <c r="U28" s="268">
        <v>4688.7684797974998</v>
      </c>
      <c r="V28" s="268">
        <v>16.650961167799998</v>
      </c>
      <c r="X28" s="268">
        <v>4525.8840589885003</v>
      </c>
      <c r="Y28" s="268">
        <v>14.3784467218</v>
      </c>
      <c r="AA28" s="268">
        <v>597</v>
      </c>
      <c r="AB28" s="268">
        <v>2.7632966721000001</v>
      </c>
    </row>
    <row r="29" spans="1:28">
      <c r="B29" s="48" t="s">
        <v>43</v>
      </c>
      <c r="C29" s="27"/>
      <c r="D29" s="268">
        <v>7903.2838955293</v>
      </c>
      <c r="E29" s="393"/>
      <c r="F29" s="268">
        <v>0</v>
      </c>
      <c r="G29" s="268">
        <v>0</v>
      </c>
      <c r="H29" s="393"/>
      <c r="I29" s="268">
        <v>648.54915002639996</v>
      </c>
      <c r="J29" s="268">
        <v>3.1512029641999999</v>
      </c>
      <c r="L29" s="268">
        <v>231</v>
      </c>
      <c r="M29" s="268">
        <v>1.0953008085</v>
      </c>
      <c r="O29" s="268">
        <v>0</v>
      </c>
      <c r="P29" s="268">
        <v>0</v>
      </c>
      <c r="R29" s="268">
        <v>4391.8925305613002</v>
      </c>
      <c r="S29" s="268">
        <v>11.6416267219</v>
      </c>
      <c r="U29" s="268">
        <v>3796.0364103327001</v>
      </c>
      <c r="V29" s="268">
        <v>8.1683673522000007</v>
      </c>
      <c r="X29" s="268">
        <v>2086.3259915117001</v>
      </c>
      <c r="Y29" s="268">
        <v>10.0461722264</v>
      </c>
      <c r="AA29" s="268">
        <v>0</v>
      </c>
      <c r="AB29" s="268">
        <v>0</v>
      </c>
    </row>
    <row r="30" spans="1:28">
      <c r="B30" s="48" t="s">
        <v>138</v>
      </c>
      <c r="C30" s="27"/>
      <c r="D30" s="268">
        <v>1320.6683913837001</v>
      </c>
      <c r="E30" s="393"/>
      <c r="F30" s="268">
        <v>0</v>
      </c>
      <c r="G30" s="268">
        <v>0</v>
      </c>
      <c r="H30" s="393"/>
      <c r="I30" s="268">
        <v>0</v>
      </c>
      <c r="J30" s="268">
        <v>0</v>
      </c>
      <c r="L30" s="268">
        <v>0</v>
      </c>
      <c r="M30" s="268">
        <v>0</v>
      </c>
      <c r="O30" s="268">
        <v>386</v>
      </c>
      <c r="P30" s="268">
        <v>25.3550424371</v>
      </c>
      <c r="R30" s="268">
        <v>0</v>
      </c>
      <c r="S30" s="268">
        <v>0</v>
      </c>
      <c r="U30" s="268">
        <v>1263</v>
      </c>
      <c r="V30" s="268">
        <v>25.3550424371</v>
      </c>
      <c r="X30" s="268">
        <v>0</v>
      </c>
      <c r="Y30" s="268">
        <v>0</v>
      </c>
      <c r="AA30" s="268">
        <v>0</v>
      </c>
      <c r="AB30" s="268">
        <v>0</v>
      </c>
    </row>
    <row r="31" spans="1:28" ht="6" customHeight="1">
      <c r="B31" s="48"/>
      <c r="C31" s="27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03" t="s">
        <v>45</v>
      </c>
      <c r="C32" s="27"/>
      <c r="D32" s="267">
        <v>61986.053558021202</v>
      </c>
      <c r="E32" s="392"/>
      <c r="F32" s="267">
        <v>21305.038107203</v>
      </c>
      <c r="G32" s="267">
        <v>2.5509013446000002</v>
      </c>
      <c r="H32" s="392"/>
      <c r="I32" s="267">
        <v>11788.2840736046</v>
      </c>
      <c r="J32" s="267">
        <v>1.4113611843</v>
      </c>
      <c r="L32" s="267">
        <v>12971.212180848001</v>
      </c>
      <c r="M32" s="267">
        <v>1.7479966023</v>
      </c>
      <c r="O32" s="267">
        <v>19270.923026537199</v>
      </c>
      <c r="P32" s="267">
        <v>2.3994497865</v>
      </c>
      <c r="R32" s="267">
        <v>29904.885362503599</v>
      </c>
      <c r="S32" s="267">
        <v>3.4273867683999999</v>
      </c>
      <c r="U32" s="267">
        <v>28772.823961080099</v>
      </c>
      <c r="V32" s="267">
        <v>3.3354468056000002</v>
      </c>
      <c r="X32" s="267">
        <v>30749.9552165317</v>
      </c>
      <c r="Y32" s="267">
        <v>3.6770887532000001</v>
      </c>
      <c r="AA32" s="267">
        <v>2082.9188654385998</v>
      </c>
      <c r="AB32" s="267">
        <v>0.27765277939999999</v>
      </c>
    </row>
    <row r="33" spans="1:28" ht="6" customHeight="1">
      <c r="B33" s="48"/>
      <c r="C33" s="27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>
      <c r="B34" s="48" t="s">
        <v>137</v>
      </c>
      <c r="C34" s="27"/>
      <c r="D34" s="268">
        <v>54871.210383878701</v>
      </c>
      <c r="E34" s="393"/>
      <c r="F34" s="268">
        <v>12340.946063789999</v>
      </c>
      <c r="G34" s="268">
        <v>1.8506930531000001</v>
      </c>
      <c r="H34" s="393"/>
      <c r="I34" s="268">
        <v>8330.7115422393999</v>
      </c>
      <c r="J34" s="268">
        <v>1.2656137689</v>
      </c>
      <c r="L34" s="268">
        <v>10475.666061906501</v>
      </c>
      <c r="M34" s="268">
        <v>1.6668569175000001</v>
      </c>
      <c r="O34" s="268">
        <v>18715.817628865301</v>
      </c>
      <c r="P34" s="268">
        <v>2.6721733598999999</v>
      </c>
      <c r="R34" s="268">
        <v>29510.354968428699</v>
      </c>
      <c r="S34" s="268">
        <v>3.7991600498999998</v>
      </c>
      <c r="U34" s="268">
        <v>27794.239401732098</v>
      </c>
      <c r="V34" s="268">
        <v>3.6875082331</v>
      </c>
      <c r="X34" s="268">
        <v>28872.055377092202</v>
      </c>
      <c r="Y34" s="268">
        <v>3.9958894613</v>
      </c>
      <c r="AA34" s="268">
        <v>1999.9567495322999</v>
      </c>
      <c r="AB34" s="268">
        <v>0.31144352580000001</v>
      </c>
    </row>
    <row r="35" spans="1:28">
      <c r="B35" s="48" t="s">
        <v>42</v>
      </c>
      <c r="C35" s="27"/>
      <c r="D35" s="268">
        <v>17441.0017669962</v>
      </c>
      <c r="E35" s="393"/>
      <c r="F35" s="268">
        <v>637.58450420320003</v>
      </c>
      <c r="G35" s="268">
        <v>1.2571506794</v>
      </c>
      <c r="H35" s="393"/>
      <c r="I35" s="268">
        <v>3593.0791808698</v>
      </c>
      <c r="J35" s="268">
        <v>6.0235151125000002</v>
      </c>
      <c r="L35" s="268">
        <v>3871.1544789636</v>
      </c>
      <c r="M35" s="268">
        <v>6.7614777780999997</v>
      </c>
      <c r="O35" s="268">
        <v>3354.4635934826001</v>
      </c>
      <c r="P35" s="268">
        <v>5.5281960497</v>
      </c>
      <c r="R35" s="268">
        <v>4756.3477107393001</v>
      </c>
      <c r="S35" s="268">
        <v>8.0674445600000002</v>
      </c>
      <c r="U35" s="268">
        <v>7280.1315235372003</v>
      </c>
      <c r="V35" s="268">
        <v>10.875684847500001</v>
      </c>
      <c r="X35" s="268">
        <v>11799.547660821599</v>
      </c>
      <c r="Y35" s="268">
        <v>16.841165544900001</v>
      </c>
      <c r="AA35" s="268">
        <v>0</v>
      </c>
      <c r="AB35" s="268">
        <v>0</v>
      </c>
    </row>
    <row r="36" spans="1:28">
      <c r="B36" s="48" t="s">
        <v>43</v>
      </c>
      <c r="C36" s="27"/>
      <c r="D36" s="268">
        <v>27018.762503106998</v>
      </c>
      <c r="E36" s="393"/>
      <c r="F36" s="268">
        <v>17249.876202454299</v>
      </c>
      <c r="G36" s="268">
        <v>16.201677511900002</v>
      </c>
      <c r="H36" s="393"/>
      <c r="I36" s="268">
        <v>9064.1694048600002</v>
      </c>
      <c r="J36" s="268">
        <v>6.6178774228000004</v>
      </c>
      <c r="L36" s="268">
        <v>3838.5863283244998</v>
      </c>
      <c r="M36" s="268">
        <v>8.0028638181999998</v>
      </c>
      <c r="O36" s="268">
        <v>0</v>
      </c>
      <c r="P36" s="268">
        <v>0</v>
      </c>
      <c r="R36" s="268">
        <v>811.89223422819998</v>
      </c>
      <c r="S36" s="268">
        <v>2.0089834331</v>
      </c>
      <c r="U36" s="268">
        <v>5089.6428165442003</v>
      </c>
      <c r="V36" s="268">
        <v>11.277434598099999</v>
      </c>
      <c r="X36" s="268">
        <v>2671.2375867292999</v>
      </c>
      <c r="Y36" s="268">
        <v>7.8721914311000001</v>
      </c>
      <c r="AA36" s="268">
        <v>582</v>
      </c>
      <c r="AB36" s="268">
        <v>1.2492797762000001</v>
      </c>
    </row>
    <row r="37" spans="1:28">
      <c r="B37" s="48" t="s">
        <v>138</v>
      </c>
      <c r="C37" s="27"/>
      <c r="D37" s="268">
        <v>1546.5975559271999</v>
      </c>
      <c r="E37" s="393"/>
      <c r="F37" s="268">
        <v>0</v>
      </c>
      <c r="G37" s="268">
        <v>0</v>
      </c>
      <c r="H37" s="393"/>
      <c r="I37" s="268">
        <v>0</v>
      </c>
      <c r="J37" s="268">
        <v>0</v>
      </c>
      <c r="L37" s="268">
        <v>0</v>
      </c>
      <c r="M37" s="268">
        <v>0</v>
      </c>
      <c r="O37" s="268">
        <v>859</v>
      </c>
      <c r="P37" s="268">
        <v>22.169853479</v>
      </c>
      <c r="R37" s="268">
        <v>0</v>
      </c>
      <c r="S37" s="268">
        <v>0</v>
      </c>
      <c r="U37" s="268">
        <v>528.60665905760004</v>
      </c>
      <c r="V37" s="268">
        <v>16.289999486500001</v>
      </c>
      <c r="X37" s="268">
        <v>1172.4581015967999</v>
      </c>
      <c r="Y37" s="268">
        <v>23.870913777999998</v>
      </c>
      <c r="AA37" s="268">
        <v>0</v>
      </c>
      <c r="AB37" s="268">
        <v>0</v>
      </c>
    </row>
    <row r="38" spans="1:28" ht="6" customHeight="1">
      <c r="B38" s="48"/>
      <c r="C38" s="27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03" t="s">
        <v>110</v>
      </c>
      <c r="C39" s="27"/>
      <c r="D39" s="267">
        <v>81681.233220125898</v>
      </c>
      <c r="E39" s="392"/>
      <c r="F39" s="267">
        <v>40529.782211553997</v>
      </c>
      <c r="G39" s="267">
        <v>1.0509404277000001</v>
      </c>
      <c r="H39" s="392"/>
      <c r="I39" s="267">
        <v>24710.8239438774</v>
      </c>
      <c r="J39" s="267">
        <v>0.65751101869999995</v>
      </c>
      <c r="L39" s="267">
        <v>22259.326538392099</v>
      </c>
      <c r="M39" s="267">
        <v>0.59295427160000003</v>
      </c>
      <c r="O39" s="267">
        <v>31152.469714964798</v>
      </c>
      <c r="P39" s="267">
        <v>0.81198865379999996</v>
      </c>
      <c r="R39" s="267">
        <v>34851.366818697403</v>
      </c>
      <c r="S39" s="267">
        <v>0.88322468369999996</v>
      </c>
      <c r="U39" s="267">
        <v>36194.482759124403</v>
      </c>
      <c r="V39" s="267">
        <v>0.8954623129</v>
      </c>
      <c r="X39" s="267">
        <v>46732.8274031888</v>
      </c>
      <c r="Y39" s="267">
        <v>1.1216333961</v>
      </c>
      <c r="AA39" s="267">
        <v>7744.7282231010004</v>
      </c>
      <c r="AB39" s="267">
        <v>0.2083958323</v>
      </c>
    </row>
    <row r="40" spans="1:28" ht="6" customHeight="1">
      <c r="B40" s="48"/>
      <c r="C40" s="27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>
      <c r="B41" s="48" t="s">
        <v>137</v>
      </c>
      <c r="C41" s="27"/>
      <c r="D41" s="268">
        <v>73650.206097658796</v>
      </c>
      <c r="E41" s="393"/>
      <c r="F41" s="268">
        <v>35366.966518924601</v>
      </c>
      <c r="G41" s="268">
        <v>1.1019697872000001</v>
      </c>
      <c r="H41" s="393"/>
      <c r="I41" s="268">
        <v>20127.6363680381</v>
      </c>
      <c r="J41" s="268">
        <v>0.65436185309999995</v>
      </c>
      <c r="L41" s="268">
        <v>18105.735909273899</v>
      </c>
      <c r="M41" s="268">
        <v>0.59118088970000005</v>
      </c>
      <c r="O41" s="268">
        <v>29306.725271933999</v>
      </c>
      <c r="P41" s="268">
        <v>0.91141804100000001</v>
      </c>
      <c r="R41" s="268">
        <v>26430.668337528099</v>
      </c>
      <c r="S41" s="268">
        <v>0.82272365069999998</v>
      </c>
      <c r="U41" s="268">
        <v>30940.5925442066</v>
      </c>
      <c r="V41" s="268">
        <v>0.93432039870000005</v>
      </c>
      <c r="X41" s="268">
        <v>41261.3848401695</v>
      </c>
      <c r="Y41" s="268">
        <v>1.2110264283000001</v>
      </c>
      <c r="AA41" s="268">
        <v>6510.1505141356001</v>
      </c>
      <c r="AB41" s="268">
        <v>0.2132408405</v>
      </c>
    </row>
    <row r="42" spans="1:28">
      <c r="B42" s="48" t="s">
        <v>42</v>
      </c>
      <c r="C42" s="27"/>
      <c r="D42" s="268">
        <v>28413.6227234416</v>
      </c>
      <c r="E42" s="393"/>
      <c r="F42" s="268">
        <v>9464.6879872380996</v>
      </c>
      <c r="G42" s="268">
        <v>4.3700926775999998</v>
      </c>
      <c r="H42" s="393"/>
      <c r="I42" s="268">
        <v>2816.8006144729002</v>
      </c>
      <c r="J42" s="268">
        <v>1.4236852506</v>
      </c>
      <c r="L42" s="268">
        <v>6286.0026064020003</v>
      </c>
      <c r="M42" s="268">
        <v>2.9971173320000002</v>
      </c>
      <c r="O42" s="268">
        <v>7226.8754847947002</v>
      </c>
      <c r="P42" s="268">
        <v>3.4599929172000001</v>
      </c>
      <c r="R42" s="268">
        <v>16875.017697413001</v>
      </c>
      <c r="S42" s="268">
        <v>6.9496390360999998</v>
      </c>
      <c r="U42" s="268">
        <v>9628.6159885259003</v>
      </c>
      <c r="V42" s="268">
        <v>4.3289834219000003</v>
      </c>
      <c r="X42" s="268">
        <v>14351.1739681578</v>
      </c>
      <c r="Y42" s="268">
        <v>5.8552135215999996</v>
      </c>
      <c r="AA42" s="268">
        <v>2010.0830828600001</v>
      </c>
      <c r="AB42" s="268">
        <v>0.97869517530000005</v>
      </c>
    </row>
    <row r="43" spans="1:28">
      <c r="B43" s="48" t="s">
        <v>43</v>
      </c>
      <c r="C43" s="27"/>
      <c r="D43" s="268">
        <v>38986.948732566598</v>
      </c>
      <c r="E43" s="393"/>
      <c r="F43" s="268">
        <v>16919.270348486902</v>
      </c>
      <c r="G43" s="268">
        <v>3.4786421757000001</v>
      </c>
      <c r="H43" s="393"/>
      <c r="I43" s="268">
        <v>14651.6114067329</v>
      </c>
      <c r="J43" s="268">
        <v>2.9448432401</v>
      </c>
      <c r="L43" s="268">
        <v>11336.2213318009</v>
      </c>
      <c r="M43" s="268">
        <v>2.3485157815000002</v>
      </c>
      <c r="O43" s="268">
        <v>8400.0728807330997</v>
      </c>
      <c r="P43" s="268">
        <v>1.7730583045999999</v>
      </c>
      <c r="R43" s="268">
        <v>15617.174276665901</v>
      </c>
      <c r="S43" s="268">
        <v>3.1822902335999999</v>
      </c>
      <c r="U43" s="268">
        <v>15642.1832720564</v>
      </c>
      <c r="V43" s="268">
        <v>3.1202730853</v>
      </c>
      <c r="X43" s="268">
        <v>18166.335668756699</v>
      </c>
      <c r="Y43" s="268">
        <v>3.5185987867000001</v>
      </c>
      <c r="AA43" s="268">
        <v>3468.2864645240002</v>
      </c>
      <c r="AB43" s="268">
        <v>0.75727516669999995</v>
      </c>
    </row>
    <row r="44" spans="1:28">
      <c r="B44" s="48" t="s">
        <v>138</v>
      </c>
      <c r="C44" s="27"/>
      <c r="D44" s="268">
        <v>4211.6483708876003</v>
      </c>
      <c r="E44" s="393"/>
      <c r="F44" s="268">
        <v>456.83476224999998</v>
      </c>
      <c r="G44" s="268">
        <v>5.7560184025999996</v>
      </c>
      <c r="H44" s="393"/>
      <c r="I44" s="268">
        <v>267</v>
      </c>
      <c r="J44" s="268">
        <v>3.1182203436</v>
      </c>
      <c r="L44" s="268">
        <v>0</v>
      </c>
      <c r="M44" s="268">
        <v>0</v>
      </c>
      <c r="O44" s="268">
        <v>3438.0513376038998</v>
      </c>
      <c r="P44" s="268">
        <v>24.39175694</v>
      </c>
      <c r="R44" s="268">
        <v>964.51542237540002</v>
      </c>
      <c r="S44" s="268">
        <v>11.041804601700001</v>
      </c>
      <c r="U44" s="268">
        <v>2169.679238966</v>
      </c>
      <c r="V44" s="268">
        <v>20.460413520900001</v>
      </c>
      <c r="X44" s="268">
        <v>0</v>
      </c>
      <c r="Y44" s="268">
        <v>0</v>
      </c>
      <c r="AA44" s="268">
        <v>0</v>
      </c>
      <c r="AB44" s="268">
        <v>0</v>
      </c>
    </row>
    <row r="45" spans="1:28" ht="6" customHeight="1">
      <c r="B45" s="32"/>
      <c r="C45" s="33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5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41" t="s">
        <v>73</v>
      </c>
      <c r="C47" s="841"/>
      <c r="D47" s="841"/>
      <c r="E47" s="841"/>
      <c r="F47" s="841"/>
      <c r="G47" s="841"/>
      <c r="H47" s="841"/>
      <c r="I47" s="841"/>
      <c r="J47" s="841"/>
      <c r="K47" s="841"/>
      <c r="L47" s="841"/>
      <c r="M47" s="841"/>
      <c r="N47" s="841"/>
      <c r="O47" s="841"/>
      <c r="P47" s="841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</sheetData>
  <mergeCells count="13">
    <mergeCell ref="X8:Y8"/>
    <mergeCell ref="AA8:AB8"/>
    <mergeCell ref="B47:P47"/>
    <mergeCell ref="B5:X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E685EB14-3FB8-4B62-8367-49821D4110BD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77C5-172A-4A47-BE72-3B9B6E0AF231}">
  <dimension ref="A1:AB64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4.7109375" style="3" customWidth="1"/>
    <col min="3" max="3" width="1.7109375" style="391" customWidth="1"/>
    <col min="4" max="4" width="20.710937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8" style="170" customWidth="1"/>
    <col min="10" max="10" width="11.42578125" style="93"/>
    <col min="11" max="11" width="1.7109375" style="3" customWidth="1"/>
    <col min="12" max="12" width="16.42578125" style="170" customWidth="1"/>
    <col min="13" max="13" width="11.42578125" style="93"/>
    <col min="14" max="14" width="1.7109375" style="3" customWidth="1"/>
    <col min="15" max="15" width="18" style="170" customWidth="1"/>
    <col min="16" max="16" width="11.42578125" style="93"/>
    <col min="17" max="17" width="1.7109375" style="3" customWidth="1"/>
    <col min="18" max="18" width="18" style="170" customWidth="1"/>
    <col min="19" max="19" width="11.42578125" style="93"/>
    <col min="20" max="20" width="1.7109375" style="3" customWidth="1"/>
    <col min="21" max="21" width="17" style="170" customWidth="1"/>
    <col min="22" max="22" width="11.42578125" style="93"/>
    <col min="23" max="23" width="1.7109375" style="3" customWidth="1"/>
    <col min="24" max="24" width="18.7109375" style="170" customWidth="1"/>
    <col min="25" max="25" width="11.42578125" style="93"/>
    <col min="26" max="26" width="1.7109375" style="3" customWidth="1"/>
    <col min="27" max="27" width="15.7109375" style="170" customWidth="1"/>
    <col min="28" max="28" width="11.42578125" style="93"/>
    <col min="29" max="16384" width="11.42578125" style="3"/>
  </cols>
  <sheetData>
    <row r="1" spans="1:28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71"/>
      <c r="M1" s="92"/>
      <c r="O1" s="171"/>
      <c r="P1" s="92"/>
      <c r="R1" s="171"/>
      <c r="S1" s="92"/>
      <c r="U1" s="171"/>
      <c r="V1" s="92"/>
      <c r="X1" s="171"/>
      <c r="Y1" s="92"/>
      <c r="AA1" s="171"/>
      <c r="AB1" s="89" t="s">
        <v>191</v>
      </c>
    </row>
    <row r="2" spans="1:28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  <c r="M2" s="92"/>
      <c r="O2" s="171"/>
      <c r="P2" s="92"/>
      <c r="R2" s="171"/>
      <c r="S2" s="92"/>
      <c r="U2" s="171"/>
      <c r="V2" s="92"/>
      <c r="X2" s="171"/>
      <c r="Y2" s="92"/>
      <c r="AA2" s="171"/>
      <c r="AB2" s="92"/>
    </row>
    <row r="3" spans="1:28" s="62" customFormat="1" ht="14.1" customHeight="1">
      <c r="A3" s="53"/>
      <c r="B3" s="756" t="s">
        <v>236</v>
      </c>
      <c r="C3" s="396"/>
      <c r="D3" s="397"/>
      <c r="E3" s="396"/>
      <c r="F3" s="397"/>
      <c r="G3" s="398"/>
      <c r="H3" s="396"/>
      <c r="I3" s="397"/>
      <c r="J3" s="92"/>
      <c r="L3" s="171"/>
      <c r="M3" s="92"/>
      <c r="O3" s="171"/>
      <c r="P3" s="92"/>
      <c r="R3" s="171"/>
      <c r="S3" s="92"/>
      <c r="U3" s="171"/>
      <c r="V3" s="92"/>
      <c r="X3" s="171"/>
      <c r="Y3" s="92"/>
      <c r="AA3" s="171"/>
      <c r="AB3" s="92"/>
    </row>
    <row r="4" spans="1:28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  <c r="M4" s="92"/>
      <c r="O4" s="171"/>
      <c r="P4" s="92"/>
      <c r="R4" s="171"/>
      <c r="S4" s="92"/>
      <c r="U4" s="171"/>
      <c r="V4" s="92"/>
      <c r="X4" s="171"/>
      <c r="Y4" s="92"/>
      <c r="AA4" s="171"/>
      <c r="AB4" s="92"/>
    </row>
    <row r="5" spans="1:28" s="62" customFormat="1" ht="20.100000000000001" customHeight="1">
      <c r="A5" s="53"/>
      <c r="B5" s="848" t="s">
        <v>188</v>
      </c>
      <c r="C5" s="848"/>
      <c r="D5" s="848"/>
      <c r="E5" s="848"/>
      <c r="F5" s="848"/>
      <c r="G5" s="848"/>
      <c r="H5" s="848"/>
      <c r="I5" s="848"/>
      <c r="J5" s="848"/>
      <c r="K5" s="848"/>
      <c r="L5" s="848"/>
      <c r="M5" s="848"/>
      <c r="N5" s="848"/>
      <c r="O5" s="848"/>
      <c r="P5" s="848"/>
      <c r="Q5" s="64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90" t="s">
        <v>139</v>
      </c>
    </row>
    <row r="6" spans="1:28" ht="6" customHeight="1">
      <c r="A6" s="53"/>
      <c r="B6" s="385"/>
      <c r="C6" s="21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23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</row>
    <row r="7" spans="1:28" ht="12.75" customHeight="1">
      <c r="A7" s="53"/>
      <c r="B7" s="790" t="s">
        <v>39</v>
      </c>
      <c r="C7" s="399"/>
      <c r="D7" s="843" t="s">
        <v>140</v>
      </c>
      <c r="E7" s="35"/>
      <c r="F7" s="846" t="s">
        <v>74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</row>
    <row r="8" spans="1:28" ht="16.5" customHeight="1">
      <c r="A8" s="53"/>
      <c r="B8" s="791"/>
      <c r="C8" s="400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387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</row>
    <row r="9" spans="1:28" ht="16.5" customHeight="1">
      <c r="A9" s="54"/>
      <c r="B9" s="792"/>
      <c r="C9" s="401"/>
      <c r="D9" s="845"/>
      <c r="E9" s="32"/>
      <c r="F9" s="389" t="s">
        <v>3</v>
      </c>
      <c r="G9" s="118" t="s">
        <v>4</v>
      </c>
      <c r="H9" s="52"/>
      <c r="I9" s="389" t="s">
        <v>3</v>
      </c>
      <c r="J9" s="118" t="s">
        <v>4</v>
      </c>
      <c r="K9" s="52"/>
      <c r="L9" s="389" t="s">
        <v>3</v>
      </c>
      <c r="M9" s="118" t="s">
        <v>4</v>
      </c>
      <c r="N9" s="52"/>
      <c r="O9" s="389" t="s">
        <v>3</v>
      </c>
      <c r="P9" s="118" t="s">
        <v>4</v>
      </c>
      <c r="Q9" s="52"/>
      <c r="R9" s="389" t="s">
        <v>3</v>
      </c>
      <c r="S9" s="118" t="s">
        <v>4</v>
      </c>
      <c r="T9" s="52"/>
      <c r="U9" s="389" t="s">
        <v>3</v>
      </c>
      <c r="V9" s="118" t="s">
        <v>4</v>
      </c>
      <c r="W9" s="390"/>
      <c r="X9" s="389" t="s">
        <v>3</v>
      </c>
      <c r="Y9" s="118" t="s">
        <v>4</v>
      </c>
      <c r="Z9" s="390"/>
      <c r="AA9" s="389" t="s">
        <v>3</v>
      </c>
      <c r="AB9" s="118" t="s">
        <v>4</v>
      </c>
    </row>
    <row r="10" spans="1:28" ht="6" customHeight="1">
      <c r="A10" s="54"/>
      <c r="B10" s="5"/>
      <c r="C10" s="21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23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</row>
    <row r="11" spans="1:28" ht="15">
      <c r="A11" s="206"/>
      <c r="B11" s="21" t="s">
        <v>40</v>
      </c>
      <c r="C11" s="402"/>
      <c r="D11" s="267">
        <v>69058.655634377807</v>
      </c>
      <c r="E11" s="403"/>
      <c r="F11" s="267">
        <v>24046.682390259401</v>
      </c>
      <c r="G11" s="267">
        <v>0.64613830090000002</v>
      </c>
      <c r="H11" s="403"/>
      <c r="I11" s="267">
        <v>18727.911637298501</v>
      </c>
      <c r="J11" s="267">
        <v>0.51271168879999995</v>
      </c>
      <c r="L11" s="267">
        <v>17360.896245082</v>
      </c>
      <c r="M11" s="267">
        <v>0.48273548509999997</v>
      </c>
      <c r="O11" s="267">
        <v>27307.7412166672</v>
      </c>
      <c r="P11" s="267">
        <v>0.70738348470000001</v>
      </c>
      <c r="R11" s="267">
        <v>24291.591624502798</v>
      </c>
      <c r="S11" s="267">
        <v>0.64936636160000005</v>
      </c>
      <c r="U11" s="267">
        <v>28526.479335014999</v>
      </c>
      <c r="V11" s="267">
        <v>0.7477385138</v>
      </c>
      <c r="X11" s="267">
        <v>34956.937650559703</v>
      </c>
      <c r="Y11" s="267">
        <v>0.85578249480000002</v>
      </c>
      <c r="AA11" s="267">
        <v>8777.0825246626991</v>
      </c>
      <c r="AB11" s="267">
        <v>0.24798576520000001</v>
      </c>
    </row>
    <row r="12" spans="1:28" ht="6" customHeight="1">
      <c r="A12" s="57"/>
      <c r="B12" s="141"/>
      <c r="C12" s="402"/>
      <c r="D12" s="158"/>
      <c r="E12" s="403"/>
      <c r="F12" s="158"/>
      <c r="G12" s="85"/>
      <c r="H12" s="403"/>
      <c r="I12" s="158"/>
      <c r="J12" s="85"/>
      <c r="L12" s="158"/>
      <c r="M12" s="85"/>
      <c r="O12" s="158"/>
      <c r="P12" s="85"/>
      <c r="R12" s="158"/>
      <c r="S12" s="85"/>
      <c r="U12" s="158"/>
      <c r="V12" s="85"/>
      <c r="X12" s="158"/>
      <c r="Y12" s="85"/>
      <c r="AA12" s="158"/>
      <c r="AB12" s="85"/>
    </row>
    <row r="13" spans="1:28" ht="10.5" customHeight="1">
      <c r="A13" s="57"/>
      <c r="B13" s="48" t="s">
        <v>137</v>
      </c>
      <c r="C13" s="404"/>
      <c r="D13" s="268">
        <v>65102.6600075799</v>
      </c>
      <c r="E13" s="405"/>
      <c r="F13" s="268">
        <v>23030.757210297299</v>
      </c>
      <c r="G13" s="268">
        <v>0.67759155900000001</v>
      </c>
      <c r="H13" s="405"/>
      <c r="I13" s="268">
        <v>18080.958230112999</v>
      </c>
      <c r="J13" s="268">
        <v>0.54550041279999995</v>
      </c>
      <c r="L13" s="268">
        <v>16844.296532480599</v>
      </c>
      <c r="M13" s="268">
        <v>0.51383695959999998</v>
      </c>
      <c r="O13" s="268">
        <v>22298.689177486202</v>
      </c>
      <c r="P13" s="268">
        <v>0.64077577220000004</v>
      </c>
      <c r="R13" s="268">
        <v>22683.917795330999</v>
      </c>
      <c r="S13" s="268">
        <v>0.66558563059999998</v>
      </c>
      <c r="U13" s="268">
        <v>27471.209905672298</v>
      </c>
      <c r="V13" s="268">
        <v>0.78342363000000004</v>
      </c>
      <c r="X13" s="268">
        <v>32291.127905706799</v>
      </c>
      <c r="Y13" s="268">
        <v>0.88034027439999996</v>
      </c>
      <c r="AA13" s="268">
        <v>8209.7185477417006</v>
      </c>
      <c r="AB13" s="268">
        <v>0.25570380749999999</v>
      </c>
    </row>
    <row r="14" spans="1:28">
      <c r="A14" s="57"/>
      <c r="B14" s="48" t="s">
        <v>42</v>
      </c>
      <c r="C14" s="404"/>
      <c r="D14" s="268">
        <v>18339.634573882799</v>
      </c>
      <c r="E14" s="405"/>
      <c r="F14" s="268">
        <v>3563.8396428571</v>
      </c>
      <c r="G14" s="268">
        <v>3.6036564454</v>
      </c>
      <c r="H14" s="405"/>
      <c r="I14" s="268">
        <v>1149.8043311798999</v>
      </c>
      <c r="J14" s="268">
        <v>1.1975550892</v>
      </c>
      <c r="L14" s="268">
        <v>918.34906217629998</v>
      </c>
      <c r="M14" s="268">
        <v>0.98725630559999999</v>
      </c>
      <c r="O14" s="268">
        <v>8431.9235646440993</v>
      </c>
      <c r="P14" s="268">
        <v>7.7527164316999997</v>
      </c>
      <c r="R14" s="268">
        <v>6819.5893571386996</v>
      </c>
      <c r="S14" s="268">
        <v>5.3775433013000002</v>
      </c>
      <c r="U14" s="268">
        <v>3558.4367354218998</v>
      </c>
      <c r="V14" s="268">
        <v>4.0191481145000001</v>
      </c>
      <c r="X14" s="268">
        <v>10706.1902964165</v>
      </c>
      <c r="Y14" s="268">
        <v>7.2740957334000003</v>
      </c>
      <c r="AA14" s="268">
        <v>1815.6081625725001</v>
      </c>
      <c r="AB14" s="268">
        <v>1.8720132178</v>
      </c>
    </row>
    <row r="15" spans="1:28">
      <c r="A15" s="54"/>
      <c r="B15" s="48" t="s">
        <v>43</v>
      </c>
      <c r="C15" s="404"/>
      <c r="D15" s="268">
        <v>23055.225328992601</v>
      </c>
      <c r="E15" s="405"/>
      <c r="F15" s="268">
        <v>6531.2501367409004</v>
      </c>
      <c r="G15" s="268">
        <v>2.7494454037999998</v>
      </c>
      <c r="H15" s="405"/>
      <c r="I15" s="268">
        <v>5004.1920402245996</v>
      </c>
      <c r="J15" s="268">
        <v>2.1554253391999998</v>
      </c>
      <c r="L15" s="268">
        <v>4208.9730099909002</v>
      </c>
      <c r="M15" s="268">
        <v>1.8301868846</v>
      </c>
      <c r="O15" s="268">
        <v>13704.5584438613</v>
      </c>
      <c r="P15" s="268">
        <v>5.0572762631000003</v>
      </c>
      <c r="R15" s="268">
        <v>6624.6559506679996</v>
      </c>
      <c r="S15" s="268">
        <v>2.7388831910999998</v>
      </c>
      <c r="U15" s="268">
        <v>6907.6196701061999</v>
      </c>
      <c r="V15" s="268">
        <v>2.8725516987000002</v>
      </c>
      <c r="X15" s="268">
        <v>10491.5995137298</v>
      </c>
      <c r="Y15" s="268">
        <v>3.9991578462000001</v>
      </c>
      <c r="AA15" s="268">
        <v>2593.5221225199002</v>
      </c>
      <c r="AB15" s="268">
        <v>1.1414986556</v>
      </c>
    </row>
    <row r="16" spans="1:28">
      <c r="A16" s="54"/>
      <c r="B16" s="48" t="s">
        <v>138</v>
      </c>
      <c r="C16" s="404"/>
      <c r="D16" s="268">
        <v>2374.520013417</v>
      </c>
      <c r="E16" s="405"/>
      <c r="F16" s="268">
        <v>945.90961513239995</v>
      </c>
      <c r="G16" s="268">
        <v>14.1322755387</v>
      </c>
      <c r="H16" s="405"/>
      <c r="I16" s="268">
        <v>575</v>
      </c>
      <c r="J16" s="268">
        <v>9.1454583763000006</v>
      </c>
      <c r="L16" s="268">
        <v>0</v>
      </c>
      <c r="M16" s="268">
        <v>0</v>
      </c>
      <c r="O16" s="268">
        <v>396</v>
      </c>
      <c r="P16" s="268">
        <v>6.4934601254000004</v>
      </c>
      <c r="R16" s="268">
        <v>457.10064537250003</v>
      </c>
      <c r="S16" s="268">
        <v>8.0583788521000006</v>
      </c>
      <c r="U16" s="268">
        <v>155</v>
      </c>
      <c r="V16" s="268">
        <v>2.6341129122</v>
      </c>
      <c r="X16" s="268">
        <v>2007.2643074593</v>
      </c>
      <c r="Y16" s="268">
        <v>19.284531527399999</v>
      </c>
      <c r="AA16" s="268">
        <v>0</v>
      </c>
      <c r="AB16" s="268">
        <v>0</v>
      </c>
    </row>
    <row r="17" spans="1:28" ht="6" customHeight="1">
      <c r="A17" s="54"/>
      <c r="B17" s="48"/>
      <c r="C17" s="404"/>
      <c r="D17" s="163"/>
      <c r="E17"/>
      <c r="F17" s="173"/>
      <c r="G17" s="102"/>
      <c r="H17" s="1"/>
      <c r="I17" s="173"/>
      <c r="J17" s="102"/>
      <c r="L17" s="173"/>
      <c r="M17" s="102"/>
      <c r="O17" s="173"/>
      <c r="P17" s="102"/>
      <c r="R17" s="163"/>
      <c r="S17" s="99"/>
      <c r="U17" s="163"/>
      <c r="V17" s="99"/>
      <c r="X17" s="163"/>
      <c r="Y17" s="99"/>
      <c r="AA17" s="163"/>
      <c r="AB17" s="99"/>
    </row>
    <row r="18" spans="1:28" ht="15">
      <c r="A18" s="58"/>
      <c r="B18" s="299" t="s">
        <v>41</v>
      </c>
      <c r="C18" s="404"/>
      <c r="D18" s="324">
        <v>21501.706171871399</v>
      </c>
      <c r="E18" s="403"/>
      <c r="F18" s="324">
        <v>7369.2204452351998</v>
      </c>
      <c r="G18" s="324">
        <v>2.1449464540999998</v>
      </c>
      <c r="H18" s="403"/>
      <c r="I18" s="324">
        <v>5495.2127290511999</v>
      </c>
      <c r="J18" s="324">
        <v>1.4497475894</v>
      </c>
      <c r="L18" s="324">
        <v>4095.2709554172002</v>
      </c>
      <c r="M18" s="324">
        <v>1.1449224093000001</v>
      </c>
      <c r="O18" s="324">
        <v>6742.5407758128003</v>
      </c>
      <c r="P18" s="324">
        <v>1.7562251073999999</v>
      </c>
      <c r="R18" s="324">
        <v>5653.2942273397002</v>
      </c>
      <c r="S18" s="324">
        <v>1.5696238744</v>
      </c>
      <c r="U18" s="324">
        <v>6685.4612741029996</v>
      </c>
      <c r="V18" s="324">
        <v>1.6502520364</v>
      </c>
      <c r="X18" s="324">
        <v>8274.2848552088999</v>
      </c>
      <c r="Y18" s="324">
        <v>2.2209644047000001</v>
      </c>
      <c r="AA18" s="324">
        <v>3337.3716005264</v>
      </c>
      <c r="AB18" s="324">
        <v>1.0005038143</v>
      </c>
    </row>
    <row r="19" spans="1:28" ht="6" customHeight="1">
      <c r="A19" s="58"/>
      <c r="B19" s="48"/>
      <c r="C19" s="404"/>
      <c r="D19" s="163"/>
      <c r="E19"/>
      <c r="F19" s="173"/>
      <c r="G19" s="102"/>
      <c r="H19" s="1"/>
      <c r="I19" s="173"/>
      <c r="J19" s="102"/>
      <c r="L19" s="173"/>
      <c r="M19" s="102"/>
      <c r="O19" s="173"/>
      <c r="P19" s="102"/>
      <c r="R19" s="163"/>
      <c r="S19" s="99"/>
      <c r="U19" s="163"/>
      <c r="V19" s="99"/>
      <c r="X19" s="163"/>
      <c r="Y19" s="99"/>
      <c r="AA19" s="163"/>
      <c r="AB19" s="99"/>
    </row>
    <row r="20" spans="1:28" ht="12" customHeight="1">
      <c r="B20" s="48" t="s">
        <v>137</v>
      </c>
      <c r="C20" s="404"/>
      <c r="D20" s="269">
        <v>21496.0336432033</v>
      </c>
      <c r="E20" s="405"/>
      <c r="F20" s="269">
        <v>7369.2204452351998</v>
      </c>
      <c r="G20" s="269">
        <v>2.1529570379999998</v>
      </c>
      <c r="H20" s="405"/>
      <c r="I20" s="269">
        <v>5495.2127290511999</v>
      </c>
      <c r="J20" s="269">
        <v>1.4545667304000001</v>
      </c>
      <c r="L20" s="269">
        <v>4095.2709554172002</v>
      </c>
      <c r="M20" s="269">
        <v>1.148904256</v>
      </c>
      <c r="O20" s="269">
        <v>6742.5407758128003</v>
      </c>
      <c r="P20" s="269">
        <v>1.7621314248</v>
      </c>
      <c r="R20" s="269">
        <v>5608.5323945639002</v>
      </c>
      <c r="S20" s="269">
        <v>1.5626370818999999</v>
      </c>
      <c r="U20" s="269">
        <v>6685.4612741029996</v>
      </c>
      <c r="V20" s="269">
        <v>1.6551625028000001</v>
      </c>
      <c r="X20" s="269">
        <v>8264.8850663066005</v>
      </c>
      <c r="Y20" s="269">
        <v>2.225716657</v>
      </c>
      <c r="AA20" s="269">
        <v>3337.3716005264</v>
      </c>
      <c r="AB20" s="269">
        <v>1.004191056</v>
      </c>
    </row>
    <row r="21" spans="1:28">
      <c r="B21" s="48" t="s">
        <v>42</v>
      </c>
      <c r="C21" s="404"/>
      <c r="D21" s="268">
        <v>864.94855338340005</v>
      </c>
      <c r="E21" s="405"/>
      <c r="F21" s="268">
        <v>0</v>
      </c>
      <c r="G21" s="268">
        <v>0</v>
      </c>
      <c r="H21" s="405"/>
      <c r="I21" s="268">
        <v>0</v>
      </c>
      <c r="J21" s="268">
        <v>0</v>
      </c>
      <c r="L21" s="268">
        <v>0</v>
      </c>
      <c r="M21" s="268">
        <v>0</v>
      </c>
      <c r="O21" s="268">
        <v>0</v>
      </c>
      <c r="P21" s="268">
        <v>0</v>
      </c>
      <c r="R21" s="268">
        <v>710</v>
      </c>
      <c r="S21" s="268">
        <v>34.217424812300003</v>
      </c>
      <c r="U21" s="268">
        <v>0</v>
      </c>
      <c r="V21" s="268">
        <v>0</v>
      </c>
      <c r="X21" s="268">
        <v>494</v>
      </c>
      <c r="Y21" s="268">
        <v>34.217424812300003</v>
      </c>
      <c r="AA21" s="268">
        <v>0</v>
      </c>
      <c r="AB21" s="268">
        <v>0</v>
      </c>
    </row>
    <row r="22" spans="1:28">
      <c r="B22" s="48" t="s">
        <v>43</v>
      </c>
      <c r="C22" s="404"/>
      <c r="D22" s="268">
        <v>0</v>
      </c>
      <c r="E22" s="405"/>
      <c r="F22" s="268">
        <v>0</v>
      </c>
      <c r="G22" s="268">
        <v>0</v>
      </c>
      <c r="H22" s="405"/>
      <c r="I22" s="268">
        <v>0</v>
      </c>
      <c r="J22" s="268">
        <v>0</v>
      </c>
      <c r="L22" s="268">
        <v>0</v>
      </c>
      <c r="M22" s="268">
        <v>0</v>
      </c>
      <c r="O22" s="268">
        <v>0</v>
      </c>
      <c r="P22" s="268">
        <v>0</v>
      </c>
      <c r="R22" s="268">
        <v>0</v>
      </c>
      <c r="S22" s="268">
        <v>0</v>
      </c>
      <c r="U22" s="268">
        <v>0</v>
      </c>
      <c r="V22" s="268">
        <v>0</v>
      </c>
      <c r="X22" s="268">
        <v>0</v>
      </c>
      <c r="Y22" s="268">
        <v>0</v>
      </c>
      <c r="AA22" s="268">
        <v>0</v>
      </c>
      <c r="AB22" s="268">
        <v>0</v>
      </c>
    </row>
    <row r="23" spans="1:28">
      <c r="B23" s="48" t="s">
        <v>138</v>
      </c>
      <c r="C23" s="404"/>
      <c r="D23" s="268">
        <v>0</v>
      </c>
      <c r="E23" s="405"/>
      <c r="F23" s="268">
        <v>0</v>
      </c>
      <c r="G23" s="268">
        <v>0</v>
      </c>
      <c r="H23" s="405"/>
      <c r="I23" s="268">
        <v>0</v>
      </c>
      <c r="J23" s="268">
        <v>0</v>
      </c>
      <c r="L23" s="268">
        <v>0</v>
      </c>
      <c r="M23" s="268">
        <v>0</v>
      </c>
      <c r="O23" s="268">
        <v>0</v>
      </c>
      <c r="P23" s="268">
        <v>0</v>
      </c>
      <c r="R23" s="268">
        <v>0</v>
      </c>
      <c r="S23" s="268">
        <v>0</v>
      </c>
      <c r="U23" s="268">
        <v>0</v>
      </c>
      <c r="V23" s="268">
        <v>0</v>
      </c>
      <c r="X23" s="268">
        <v>0</v>
      </c>
      <c r="Y23" s="268">
        <v>0</v>
      </c>
      <c r="AA23" s="268">
        <v>0</v>
      </c>
      <c r="AB23" s="268">
        <v>0</v>
      </c>
    </row>
    <row r="24" spans="1:28" ht="6" customHeight="1">
      <c r="B24" s="48"/>
      <c r="C24" s="404"/>
      <c r="D24" s="163"/>
      <c r="E24"/>
      <c r="F24" s="173"/>
      <c r="G24" s="102"/>
      <c r="H24" s="1"/>
      <c r="I24" s="173"/>
      <c r="J24" s="102"/>
      <c r="L24" s="173"/>
      <c r="M24" s="102"/>
      <c r="O24" s="173"/>
      <c r="P24" s="102"/>
      <c r="R24" s="163"/>
      <c r="S24" s="99"/>
      <c r="U24" s="163"/>
      <c r="V24" s="99"/>
      <c r="X24" s="163"/>
      <c r="Y24" s="99"/>
      <c r="AA24" s="163"/>
      <c r="AB24" s="99"/>
    </row>
    <row r="25" spans="1:28" ht="15">
      <c r="B25" s="299" t="s">
        <v>44</v>
      </c>
      <c r="C25" s="404"/>
      <c r="D25" s="267">
        <v>19506.378108113098</v>
      </c>
      <c r="E25" s="403"/>
      <c r="F25" s="267">
        <v>6455.0029451536002</v>
      </c>
      <c r="G25" s="267">
        <v>2.1048018412</v>
      </c>
      <c r="H25" s="403"/>
      <c r="I25" s="267">
        <v>3587.4025106069998</v>
      </c>
      <c r="J25" s="267">
        <v>1.2310852979</v>
      </c>
      <c r="L25" s="267">
        <v>3180.7194257524998</v>
      </c>
      <c r="M25" s="267">
        <v>1.1068043019</v>
      </c>
      <c r="O25" s="267">
        <v>6405.4243021861002</v>
      </c>
      <c r="P25" s="267">
        <v>1.9758195431000001</v>
      </c>
      <c r="R25" s="267">
        <v>6298.7526090688998</v>
      </c>
      <c r="S25" s="267">
        <v>2.0467698443</v>
      </c>
      <c r="U25" s="267">
        <v>7523.2613439513998</v>
      </c>
      <c r="V25" s="267">
        <v>2.2074111364000002</v>
      </c>
      <c r="X25" s="267">
        <v>8568.6754431612007</v>
      </c>
      <c r="Y25" s="267">
        <v>2.4574430613999998</v>
      </c>
      <c r="AA25" s="267">
        <v>1719.5830890073</v>
      </c>
      <c r="AB25" s="267">
        <v>0.60642651530000002</v>
      </c>
    </row>
    <row r="26" spans="1:28" ht="6" customHeight="1">
      <c r="B26" s="48"/>
      <c r="C26" s="404"/>
      <c r="D26" s="163"/>
      <c r="E26"/>
      <c r="F26" s="163"/>
      <c r="G26" s="102"/>
      <c r="H26" s="1"/>
      <c r="I26" s="173"/>
      <c r="J26" s="102"/>
      <c r="L26" s="173"/>
      <c r="M26" s="102"/>
      <c r="O26" s="173"/>
      <c r="P26" s="102"/>
      <c r="R26" s="163"/>
      <c r="S26" s="99"/>
      <c r="U26" s="163"/>
      <c r="V26" s="99"/>
      <c r="X26" s="163"/>
      <c r="Y26" s="99"/>
      <c r="AA26" s="163"/>
      <c r="AB26" s="99"/>
    </row>
    <row r="27" spans="1:28" ht="9.75" customHeight="1">
      <c r="B27" s="48" t="s">
        <v>137</v>
      </c>
      <c r="C27" s="404"/>
      <c r="D27" s="268">
        <v>19105.309280788901</v>
      </c>
      <c r="E27" s="405"/>
      <c r="F27" s="268">
        <v>6455.0029451536002</v>
      </c>
      <c r="G27" s="268">
        <v>2.1582520660000002</v>
      </c>
      <c r="H27" s="405"/>
      <c r="I27" s="268">
        <v>3587.4025106069998</v>
      </c>
      <c r="J27" s="268">
        <v>1.2651118492</v>
      </c>
      <c r="L27" s="268">
        <v>3175.0395376056999</v>
      </c>
      <c r="M27" s="268">
        <v>1.1346788400000001</v>
      </c>
      <c r="O27" s="268">
        <v>6405.4243021861002</v>
      </c>
      <c r="P27" s="268">
        <v>2.0219636829000001</v>
      </c>
      <c r="R27" s="268">
        <v>5937.0325441463001</v>
      </c>
      <c r="S27" s="268">
        <v>2.0242916490999998</v>
      </c>
      <c r="U27" s="268">
        <v>7475.5999302143</v>
      </c>
      <c r="V27" s="268">
        <v>2.2520949237000001</v>
      </c>
      <c r="X27" s="268">
        <v>8378.6898548380996</v>
      </c>
      <c r="Y27" s="268">
        <v>2.5146193008000002</v>
      </c>
      <c r="AA27" s="268">
        <v>1719.5830890073</v>
      </c>
      <c r="AB27" s="268">
        <v>0.62469292990000003</v>
      </c>
    </row>
    <row r="28" spans="1:28">
      <c r="B28" s="48" t="s">
        <v>42</v>
      </c>
      <c r="C28" s="404"/>
      <c r="D28" s="268">
        <v>2812.7109698651998</v>
      </c>
      <c r="E28" s="405"/>
      <c r="F28" s="268">
        <v>0</v>
      </c>
      <c r="G28" s="268">
        <v>0</v>
      </c>
      <c r="H28" s="405"/>
      <c r="I28" s="268">
        <v>0</v>
      </c>
      <c r="J28" s="268">
        <v>0</v>
      </c>
      <c r="L28" s="268">
        <v>0</v>
      </c>
      <c r="M28" s="268">
        <v>0</v>
      </c>
      <c r="O28" s="268">
        <v>0</v>
      </c>
      <c r="P28" s="268">
        <v>0</v>
      </c>
      <c r="R28" s="268">
        <v>2103.7892004666001</v>
      </c>
      <c r="S28" s="268">
        <v>22.4538686858</v>
      </c>
      <c r="U28" s="268">
        <v>838.41696070629996</v>
      </c>
      <c r="V28" s="268">
        <v>13.1626956953</v>
      </c>
      <c r="X28" s="268">
        <v>1479.1791642665</v>
      </c>
      <c r="Y28" s="268">
        <v>19.6472953273</v>
      </c>
      <c r="AA28" s="268">
        <v>0</v>
      </c>
      <c r="AB28" s="268">
        <v>0</v>
      </c>
    </row>
    <row r="29" spans="1:28">
      <c r="B29" s="48" t="s">
        <v>43</v>
      </c>
      <c r="C29" s="404"/>
      <c r="D29" s="268">
        <v>1448.4667755941</v>
      </c>
      <c r="E29" s="405"/>
      <c r="F29" s="268">
        <v>0</v>
      </c>
      <c r="G29" s="268">
        <v>0</v>
      </c>
      <c r="H29" s="405"/>
      <c r="I29" s="268">
        <v>0</v>
      </c>
      <c r="J29" s="268">
        <v>0</v>
      </c>
      <c r="L29" s="268">
        <v>190</v>
      </c>
      <c r="M29" s="268">
        <v>10.1632863041</v>
      </c>
      <c r="O29" s="268">
        <v>0</v>
      </c>
      <c r="P29" s="268">
        <v>0</v>
      </c>
      <c r="R29" s="268">
        <v>0</v>
      </c>
      <c r="S29" s="268">
        <v>0</v>
      </c>
      <c r="U29" s="268">
        <v>227.98245546530001</v>
      </c>
      <c r="V29" s="268">
        <v>13.8311111253</v>
      </c>
      <c r="X29" s="268">
        <v>1392.0416660430999</v>
      </c>
      <c r="Y29" s="268">
        <v>23.101450739299999</v>
      </c>
      <c r="AA29" s="268">
        <v>0</v>
      </c>
      <c r="AB29" s="268">
        <v>0</v>
      </c>
    </row>
    <row r="30" spans="1:28">
      <c r="B30" s="48" t="s">
        <v>138</v>
      </c>
      <c r="C30" s="404"/>
      <c r="D30" s="268">
        <v>0</v>
      </c>
      <c r="E30" s="405"/>
      <c r="F30" s="268">
        <v>0</v>
      </c>
      <c r="G30" s="268">
        <v>0</v>
      </c>
      <c r="H30" s="405"/>
      <c r="I30" s="268">
        <v>0</v>
      </c>
      <c r="J30" s="268">
        <v>0</v>
      </c>
      <c r="L30" s="268">
        <v>0</v>
      </c>
      <c r="M30" s="268">
        <v>0</v>
      </c>
      <c r="O30" s="268">
        <v>0</v>
      </c>
      <c r="P30" s="268">
        <v>0</v>
      </c>
      <c r="R30" s="268">
        <v>0</v>
      </c>
      <c r="S30" s="268">
        <v>0</v>
      </c>
      <c r="U30" s="268">
        <v>0</v>
      </c>
      <c r="V30" s="268">
        <v>0</v>
      </c>
      <c r="X30" s="268">
        <v>0</v>
      </c>
      <c r="Y30" s="268">
        <v>0</v>
      </c>
      <c r="AA30" s="268">
        <v>0</v>
      </c>
      <c r="AB30" s="268">
        <v>0</v>
      </c>
    </row>
    <row r="31" spans="1:28" ht="6" customHeight="1">
      <c r="B31" s="48"/>
      <c r="C31" s="404"/>
      <c r="D31" s="163"/>
      <c r="E31"/>
      <c r="F31" s="163"/>
      <c r="G31" s="102"/>
      <c r="H31" s="1"/>
      <c r="I31" s="173"/>
      <c r="J31" s="102"/>
      <c r="L31" s="173"/>
      <c r="M31" s="102"/>
      <c r="O31" s="173"/>
      <c r="P31" s="102"/>
      <c r="R31" s="163"/>
      <c r="S31" s="99"/>
      <c r="U31" s="163"/>
      <c r="V31" s="99"/>
      <c r="X31" s="163"/>
      <c r="Y31" s="99"/>
      <c r="AA31" s="163"/>
      <c r="AB31" s="99"/>
    </row>
    <row r="32" spans="1:28" ht="15">
      <c r="B32" s="303" t="s">
        <v>45</v>
      </c>
      <c r="C32" s="404"/>
      <c r="D32" s="267">
        <v>29588.666015636602</v>
      </c>
      <c r="E32" s="403"/>
      <c r="F32" s="267">
        <v>8588.6916614755992</v>
      </c>
      <c r="G32" s="267">
        <v>1.5823880447000001</v>
      </c>
      <c r="H32" s="403"/>
      <c r="I32" s="267">
        <v>8357.4978151022005</v>
      </c>
      <c r="J32" s="267">
        <v>1.5483335569000001</v>
      </c>
      <c r="L32" s="267">
        <v>6048.8776684289996</v>
      </c>
      <c r="M32" s="267">
        <v>1.1273227590999999</v>
      </c>
      <c r="O32" s="267">
        <v>10778.246428984899</v>
      </c>
      <c r="P32" s="267">
        <v>1.8529475301</v>
      </c>
      <c r="R32" s="267">
        <v>9856.3653207191001</v>
      </c>
      <c r="S32" s="267">
        <v>1.8361654603999999</v>
      </c>
      <c r="U32" s="267">
        <v>10571.5487161848</v>
      </c>
      <c r="V32" s="267">
        <v>1.9466349182</v>
      </c>
      <c r="X32" s="267">
        <v>17130.463428874398</v>
      </c>
      <c r="Y32" s="267">
        <v>2.5819913256000002</v>
      </c>
      <c r="AA32" s="267">
        <v>2347.7600617807002</v>
      </c>
      <c r="AB32" s="267">
        <v>0.45214299670000002</v>
      </c>
    </row>
    <row r="33" spans="1:28" ht="6" customHeight="1">
      <c r="B33" s="48"/>
      <c r="C33" s="404"/>
      <c r="D33" s="163"/>
      <c r="E33"/>
      <c r="F33" s="163"/>
      <c r="G33" s="102"/>
      <c r="H33" s="1"/>
      <c r="I33" s="173"/>
      <c r="J33" s="102"/>
      <c r="L33" s="173"/>
      <c r="M33" s="102"/>
      <c r="O33" s="173"/>
      <c r="P33" s="102"/>
      <c r="R33" s="163"/>
      <c r="S33" s="99"/>
      <c r="U33" s="163"/>
      <c r="V33" s="99"/>
      <c r="X33" s="163"/>
      <c r="Y33" s="99"/>
      <c r="AA33" s="163"/>
      <c r="AB33" s="99"/>
    </row>
    <row r="34" spans="1:28" ht="10.5" customHeight="1">
      <c r="B34" s="48" t="s">
        <v>137</v>
      </c>
      <c r="C34" s="404"/>
      <c r="D34" s="268">
        <v>28568.1560537226</v>
      </c>
      <c r="E34" s="405"/>
      <c r="F34" s="268">
        <v>8580.1925651992005</v>
      </c>
      <c r="G34" s="268">
        <v>1.6408667525</v>
      </c>
      <c r="H34" s="405"/>
      <c r="I34" s="268">
        <v>8347.3851004461994</v>
      </c>
      <c r="J34" s="268">
        <v>1.6145589793999999</v>
      </c>
      <c r="L34" s="268">
        <v>6032.0411178654003</v>
      </c>
      <c r="M34" s="268">
        <v>1.1701496952999999</v>
      </c>
      <c r="O34" s="268">
        <v>7612.7077366680996</v>
      </c>
      <c r="P34" s="268">
        <v>1.4035669947</v>
      </c>
      <c r="R34" s="268">
        <v>9722.0446761344992</v>
      </c>
      <c r="S34" s="268">
        <v>1.8019255956</v>
      </c>
      <c r="U34" s="268">
        <v>10561.3170229223</v>
      </c>
      <c r="V34" s="268">
        <v>2.0179499652000001</v>
      </c>
      <c r="X34" s="268">
        <v>16861.9828141047</v>
      </c>
      <c r="Y34" s="268">
        <v>2.7406072214999999</v>
      </c>
      <c r="AA34" s="268">
        <v>2347.7600617807002</v>
      </c>
      <c r="AB34" s="268">
        <v>0.4724538097</v>
      </c>
    </row>
    <row r="35" spans="1:28">
      <c r="B35" s="48" t="s">
        <v>42</v>
      </c>
      <c r="C35" s="404"/>
      <c r="D35" s="268">
        <v>9168.4256918331994</v>
      </c>
      <c r="E35" s="405"/>
      <c r="F35" s="268">
        <v>456</v>
      </c>
      <c r="G35" s="268">
        <v>2.9893356694</v>
      </c>
      <c r="H35" s="405"/>
      <c r="I35" s="268">
        <v>0</v>
      </c>
      <c r="J35" s="268">
        <v>0</v>
      </c>
      <c r="L35" s="268">
        <v>0</v>
      </c>
      <c r="M35" s="268">
        <v>0</v>
      </c>
      <c r="O35" s="268">
        <v>7627.1447475448003</v>
      </c>
      <c r="P35" s="268">
        <v>27.826251900300001</v>
      </c>
      <c r="R35" s="268">
        <v>460</v>
      </c>
      <c r="S35" s="268">
        <v>3.0149238555000002</v>
      </c>
      <c r="U35" s="268">
        <v>0</v>
      </c>
      <c r="V35" s="268">
        <v>0</v>
      </c>
      <c r="X35" s="268">
        <v>5051.1157183339001</v>
      </c>
      <c r="Y35" s="268">
        <v>26.647008187800001</v>
      </c>
      <c r="AA35" s="268">
        <v>0</v>
      </c>
      <c r="AB35" s="268">
        <v>0</v>
      </c>
    </row>
    <row r="36" spans="1:28">
      <c r="B36" s="48" t="s">
        <v>43</v>
      </c>
      <c r="C36" s="404"/>
      <c r="D36" s="268">
        <v>2556.2363369856998</v>
      </c>
      <c r="E36" s="405"/>
      <c r="F36" s="268">
        <v>0</v>
      </c>
      <c r="G36" s="268">
        <v>0</v>
      </c>
      <c r="H36" s="405"/>
      <c r="I36" s="268">
        <v>451</v>
      </c>
      <c r="J36" s="268">
        <v>5.8996529541999996</v>
      </c>
      <c r="L36" s="268">
        <v>451</v>
      </c>
      <c r="M36" s="268">
        <v>5.8996529541999996</v>
      </c>
      <c r="O36" s="268">
        <v>209.61870145579999</v>
      </c>
      <c r="P36" s="268">
        <v>3.9588689174999998</v>
      </c>
      <c r="R36" s="268">
        <v>1556.8070224865</v>
      </c>
      <c r="S36" s="268">
        <v>21.257368533899999</v>
      </c>
      <c r="U36" s="268">
        <v>465</v>
      </c>
      <c r="V36" s="268">
        <v>8.1864821022999994</v>
      </c>
      <c r="X36" s="268">
        <v>1153.2029309709999</v>
      </c>
      <c r="Y36" s="268">
        <v>13.586995485599999</v>
      </c>
      <c r="AA36" s="268">
        <v>0</v>
      </c>
      <c r="AB36" s="268">
        <v>0</v>
      </c>
    </row>
    <row r="37" spans="1:28">
      <c r="B37" s="48" t="s">
        <v>138</v>
      </c>
      <c r="C37" s="404"/>
      <c r="D37" s="268">
        <v>0</v>
      </c>
      <c r="E37" s="405"/>
      <c r="F37" s="268">
        <v>0</v>
      </c>
      <c r="G37" s="268">
        <v>0</v>
      </c>
      <c r="H37" s="405"/>
      <c r="I37" s="268">
        <v>0</v>
      </c>
      <c r="J37" s="268">
        <v>0</v>
      </c>
      <c r="L37" s="268">
        <v>0</v>
      </c>
      <c r="M37" s="268">
        <v>0</v>
      </c>
      <c r="O37" s="268">
        <v>0</v>
      </c>
      <c r="P37" s="268">
        <v>0</v>
      </c>
      <c r="R37" s="268">
        <v>0</v>
      </c>
      <c r="S37" s="268">
        <v>0</v>
      </c>
      <c r="U37" s="268">
        <v>0</v>
      </c>
      <c r="V37" s="268">
        <v>0</v>
      </c>
      <c r="X37" s="268">
        <v>0</v>
      </c>
      <c r="Y37" s="268">
        <v>0</v>
      </c>
      <c r="AA37" s="268">
        <v>0</v>
      </c>
      <c r="AB37" s="268">
        <v>0</v>
      </c>
    </row>
    <row r="38" spans="1:28" ht="6" customHeight="1">
      <c r="B38" s="48"/>
      <c r="C38" s="404"/>
      <c r="D38" s="163"/>
      <c r="E38"/>
      <c r="F38" s="163"/>
      <c r="G38" s="99"/>
      <c r="H38"/>
      <c r="I38" s="163"/>
      <c r="J38" s="99"/>
      <c r="L38" s="163"/>
      <c r="M38" s="99"/>
      <c r="O38" s="163"/>
      <c r="P38" s="99"/>
      <c r="R38" s="163"/>
      <c r="S38" s="99"/>
      <c r="U38" s="163"/>
      <c r="V38" s="99"/>
      <c r="X38" s="163"/>
      <c r="Y38" s="99"/>
      <c r="AA38" s="163"/>
      <c r="AB38" s="99"/>
    </row>
    <row r="39" spans="1:28" ht="15">
      <c r="B39" s="303" t="s">
        <v>110</v>
      </c>
      <c r="C39" s="404"/>
      <c r="D39" s="267">
        <v>55280.552581112002</v>
      </c>
      <c r="E39" s="403"/>
      <c r="F39" s="267">
        <v>20211.5025797118</v>
      </c>
      <c r="G39" s="267">
        <v>0.80094808910000004</v>
      </c>
      <c r="H39" s="403"/>
      <c r="I39" s="267">
        <v>15421.4164347634</v>
      </c>
      <c r="J39" s="267">
        <v>0.62873435290000002</v>
      </c>
      <c r="L39" s="267">
        <v>15424.7715419465</v>
      </c>
      <c r="M39" s="267">
        <v>0.63574626400000001</v>
      </c>
      <c r="O39" s="267">
        <v>23303.450767386501</v>
      </c>
      <c r="P39" s="267">
        <v>0.90102252890000001</v>
      </c>
      <c r="R39" s="267">
        <v>20525.580777776198</v>
      </c>
      <c r="S39" s="267">
        <v>0.80674018960000005</v>
      </c>
      <c r="U39" s="267">
        <v>24525.5718851864</v>
      </c>
      <c r="V39" s="267">
        <v>0.95703486500000001</v>
      </c>
      <c r="X39" s="267">
        <v>28047.258759132601</v>
      </c>
      <c r="Y39" s="267">
        <v>1.0395230025</v>
      </c>
      <c r="AA39" s="267">
        <v>7578.2705901179997</v>
      </c>
      <c r="AB39" s="267">
        <v>0.31563307350000003</v>
      </c>
    </row>
    <row r="40" spans="1:28" ht="6" customHeight="1">
      <c r="B40" s="48"/>
      <c r="C40" s="404"/>
      <c r="D40" s="163"/>
      <c r="E40"/>
      <c r="F40" s="163"/>
      <c r="G40" s="99"/>
      <c r="H40"/>
      <c r="I40" s="163"/>
      <c r="J40" s="99"/>
      <c r="L40" s="163"/>
      <c r="M40" s="99"/>
      <c r="O40" s="163"/>
      <c r="P40" s="99"/>
      <c r="R40" s="163"/>
      <c r="S40" s="99"/>
      <c r="U40" s="163"/>
      <c r="V40" s="99"/>
      <c r="X40" s="163"/>
      <c r="Y40" s="99"/>
      <c r="AA40" s="163"/>
      <c r="AB40" s="99"/>
    </row>
    <row r="41" spans="1:28" ht="9" customHeight="1">
      <c r="B41" s="48" t="s">
        <v>137</v>
      </c>
      <c r="C41" s="404"/>
      <c r="D41" s="268">
        <v>50992.9150184311</v>
      </c>
      <c r="E41" s="405"/>
      <c r="F41" s="268">
        <v>18995.357333605101</v>
      </c>
      <c r="G41" s="268">
        <v>0.8524708902</v>
      </c>
      <c r="H41" s="405"/>
      <c r="I41" s="268">
        <v>14634.7324127674</v>
      </c>
      <c r="J41" s="268">
        <v>0.68189801880000001</v>
      </c>
      <c r="L41" s="268">
        <v>14848.9961062314</v>
      </c>
      <c r="M41" s="268">
        <v>0.69508158890000005</v>
      </c>
      <c r="O41" s="268">
        <v>18782.622376699099</v>
      </c>
      <c r="P41" s="268">
        <v>0.83540892069999995</v>
      </c>
      <c r="R41" s="268">
        <v>18797.2865810322</v>
      </c>
      <c r="S41" s="268">
        <v>0.84708214469999998</v>
      </c>
      <c r="U41" s="268">
        <v>23309.700097999699</v>
      </c>
      <c r="V41" s="268">
        <v>1.0222630193</v>
      </c>
      <c r="X41" s="268">
        <v>24897.383560461301</v>
      </c>
      <c r="Y41" s="268">
        <v>1.0632823348</v>
      </c>
      <c r="AA41" s="268">
        <v>6913.2109851675996</v>
      </c>
      <c r="AB41" s="268">
        <v>0.3286132054</v>
      </c>
    </row>
    <row r="42" spans="1:28">
      <c r="B42" s="48" t="s">
        <v>42</v>
      </c>
      <c r="C42" s="404"/>
      <c r="D42" s="268">
        <v>15608.4172047294</v>
      </c>
      <c r="E42" s="405"/>
      <c r="F42" s="268">
        <v>3534.546222643</v>
      </c>
      <c r="G42" s="268">
        <v>4.7423923063000002</v>
      </c>
      <c r="H42" s="405"/>
      <c r="I42" s="268">
        <v>1149.8043311798999</v>
      </c>
      <c r="J42" s="268">
        <v>1.6070066034999999</v>
      </c>
      <c r="L42" s="268">
        <v>918.34906217629998</v>
      </c>
      <c r="M42" s="268">
        <v>1.3362829821</v>
      </c>
      <c r="O42" s="268">
        <v>3594.9962447825001</v>
      </c>
      <c r="P42" s="268">
        <v>4.7261729821999996</v>
      </c>
      <c r="R42" s="268">
        <v>6431.5760121451003</v>
      </c>
      <c r="S42" s="268">
        <v>6.2389570443000002</v>
      </c>
      <c r="U42" s="268">
        <v>3458.2551959043999</v>
      </c>
      <c r="V42" s="268">
        <v>5.1996180815999997</v>
      </c>
      <c r="X42" s="268">
        <v>9310.0340312526005</v>
      </c>
      <c r="Y42" s="268">
        <v>7.3638098699999999</v>
      </c>
      <c r="AA42" s="268">
        <v>1815.6081625725001</v>
      </c>
      <c r="AB42" s="268">
        <v>2.5038301318</v>
      </c>
    </row>
    <row r="43" spans="1:28">
      <c r="B43" s="48" t="s">
        <v>43</v>
      </c>
      <c r="C43" s="404"/>
      <c r="D43" s="268">
        <v>22867.2476428646</v>
      </c>
      <c r="E43" s="405"/>
      <c r="F43" s="268">
        <v>6531.2501367409004</v>
      </c>
      <c r="G43" s="268">
        <v>2.8459562765999999</v>
      </c>
      <c r="H43" s="405"/>
      <c r="I43" s="268">
        <v>4983.8275427072003</v>
      </c>
      <c r="J43" s="268">
        <v>2.2263804006000001</v>
      </c>
      <c r="L43" s="268">
        <v>4180.4249543356</v>
      </c>
      <c r="M43" s="268">
        <v>1.8851532995</v>
      </c>
      <c r="O43" s="268">
        <v>13702.955233861499</v>
      </c>
      <c r="P43" s="268">
        <v>5.2096634143999996</v>
      </c>
      <c r="R43" s="268">
        <v>6439.1318016839996</v>
      </c>
      <c r="S43" s="268">
        <v>2.7579281383000001</v>
      </c>
      <c r="U43" s="268">
        <v>6888.1788962567998</v>
      </c>
      <c r="V43" s="268">
        <v>2.9645062949000001</v>
      </c>
      <c r="X43" s="268">
        <v>10334.6989968985</v>
      </c>
      <c r="Y43" s="268">
        <v>4.0932190345999997</v>
      </c>
      <c r="AA43" s="268">
        <v>2593.5221225199002</v>
      </c>
      <c r="AB43" s="268">
        <v>1.1822504026</v>
      </c>
    </row>
    <row r="44" spans="1:28">
      <c r="B44" s="48" t="s">
        <v>138</v>
      </c>
      <c r="C44" s="404"/>
      <c r="D44" s="268">
        <v>2374.520013417</v>
      </c>
      <c r="E44" s="405"/>
      <c r="F44" s="268">
        <v>945.90961513239995</v>
      </c>
      <c r="G44" s="268">
        <v>14.1322755387</v>
      </c>
      <c r="H44" s="405"/>
      <c r="I44" s="268">
        <v>575</v>
      </c>
      <c r="J44" s="268">
        <v>9.1454583763000006</v>
      </c>
      <c r="L44" s="268">
        <v>0</v>
      </c>
      <c r="M44" s="268">
        <v>0</v>
      </c>
      <c r="O44" s="268">
        <v>396</v>
      </c>
      <c r="P44" s="268">
        <v>6.4934601254000004</v>
      </c>
      <c r="R44" s="268">
        <v>457.10064537250003</v>
      </c>
      <c r="S44" s="268">
        <v>8.0583788521000006</v>
      </c>
      <c r="U44" s="268">
        <v>155</v>
      </c>
      <c r="V44" s="268">
        <v>2.6341129122</v>
      </c>
      <c r="X44" s="268">
        <v>2007.2643074593</v>
      </c>
      <c r="Y44" s="268">
        <v>19.284531527399999</v>
      </c>
      <c r="AA44" s="268">
        <v>0</v>
      </c>
      <c r="AB44" s="268">
        <v>0</v>
      </c>
    </row>
    <row r="45" spans="1:28" ht="6" customHeight="1">
      <c r="B45" s="32"/>
      <c r="C45" s="406"/>
      <c r="D45" s="160"/>
      <c r="E45" s="32"/>
      <c r="F45" s="174"/>
      <c r="G45" s="105"/>
      <c r="H45" s="32"/>
      <c r="I45" s="174"/>
      <c r="J45" s="105"/>
      <c r="K45" s="32"/>
      <c r="L45" s="174"/>
      <c r="M45" s="105"/>
      <c r="N45" s="32"/>
      <c r="O45" s="174"/>
      <c r="P45" s="105"/>
      <c r="Q45" s="32"/>
      <c r="R45" s="174"/>
      <c r="S45" s="105"/>
      <c r="T45" s="32"/>
      <c r="U45" s="174"/>
      <c r="V45" s="105"/>
      <c r="W45" s="32"/>
      <c r="X45" s="174"/>
      <c r="Y45" s="105"/>
      <c r="Z45" s="32"/>
      <c r="AA45" s="174"/>
      <c r="AB45" s="105"/>
    </row>
    <row r="46" spans="1:28" ht="6" customHeight="1">
      <c r="B46" s="5"/>
      <c r="C46" s="213"/>
      <c r="D46" s="161"/>
      <c r="E46" s="23"/>
      <c r="F46" s="172"/>
      <c r="G46" s="104"/>
      <c r="H46" s="23"/>
      <c r="I46" s="172"/>
      <c r="J46" s="104"/>
      <c r="K46" s="23"/>
      <c r="L46" s="172"/>
      <c r="M46" s="104"/>
      <c r="N46" s="23"/>
      <c r="O46" s="172"/>
      <c r="P46" s="104"/>
      <c r="Q46" s="23"/>
      <c r="R46" s="172"/>
      <c r="S46" s="104"/>
      <c r="T46" s="23"/>
      <c r="U46" s="172"/>
      <c r="V46" s="104"/>
      <c r="W46" s="23"/>
      <c r="X46" s="172"/>
      <c r="Y46" s="104"/>
      <c r="Z46" s="23"/>
      <c r="AA46" s="172"/>
      <c r="AB46" s="104"/>
    </row>
    <row r="47" spans="1:28" s="6" customFormat="1" ht="11.25">
      <c r="A47" s="54"/>
      <c r="B47" s="847" t="s">
        <v>73</v>
      </c>
      <c r="C47" s="847"/>
      <c r="D47" s="847"/>
      <c r="E47" s="847"/>
      <c r="F47" s="847"/>
      <c r="G47" s="847"/>
      <c r="H47" s="847"/>
      <c r="I47" s="847"/>
      <c r="J47" s="847"/>
      <c r="K47" s="847"/>
      <c r="L47" s="847"/>
      <c r="M47" s="847"/>
      <c r="N47" s="847"/>
      <c r="O47" s="847"/>
      <c r="P47" s="847"/>
      <c r="Q47" s="27"/>
      <c r="R47" s="175"/>
      <c r="S47" s="94"/>
      <c r="T47" s="27"/>
      <c r="U47" s="175"/>
      <c r="V47" s="94"/>
      <c r="W47" s="27"/>
      <c r="X47" s="175"/>
      <c r="Y47" s="94"/>
      <c r="Z47" s="27"/>
      <c r="AA47" s="175"/>
      <c r="AB47" s="94"/>
    </row>
    <row r="48" spans="1:28" s="6" customFormat="1" ht="11.25">
      <c r="A48" s="54"/>
      <c r="B48" s="5" t="s">
        <v>48</v>
      </c>
      <c r="C48" s="5"/>
      <c r="D48" s="161"/>
      <c r="E48" s="27"/>
      <c r="F48" s="175"/>
      <c r="G48" s="94"/>
      <c r="H48" s="27"/>
      <c r="I48" s="175"/>
      <c r="J48" s="94"/>
      <c r="K48" s="27"/>
      <c r="L48" s="175"/>
      <c r="M48" s="94"/>
      <c r="N48" s="27"/>
      <c r="O48" s="175"/>
      <c r="P48" s="94"/>
      <c r="Q48" s="27"/>
      <c r="R48" s="175"/>
      <c r="S48" s="94"/>
      <c r="T48" s="27"/>
      <c r="U48" s="175"/>
      <c r="V48" s="94"/>
      <c r="W48" s="27"/>
      <c r="X48" s="175"/>
      <c r="Y48" s="94"/>
      <c r="Z48" s="27"/>
      <c r="AA48" s="175"/>
      <c r="AB48" s="94"/>
    </row>
    <row r="49" spans="1:28" s="6" customFormat="1" ht="11.25">
      <c r="A49" s="54"/>
      <c r="B49" s="5" t="s">
        <v>49</v>
      </c>
      <c r="C49" s="5"/>
      <c r="D49" s="161"/>
      <c r="E49" s="27"/>
      <c r="F49" s="175"/>
      <c r="G49" s="94"/>
      <c r="H49" s="27"/>
      <c r="I49" s="175"/>
      <c r="J49" s="94"/>
      <c r="K49" s="27"/>
      <c r="L49" s="175"/>
      <c r="M49" s="94"/>
      <c r="N49" s="27"/>
      <c r="O49" s="175"/>
      <c r="P49" s="94"/>
      <c r="Q49" s="27"/>
      <c r="R49" s="175"/>
      <c r="S49" s="94"/>
      <c r="T49" s="27"/>
      <c r="U49" s="175"/>
      <c r="V49" s="94"/>
      <c r="W49" s="27"/>
      <c r="X49" s="175"/>
      <c r="Y49" s="94"/>
      <c r="Z49" s="27"/>
      <c r="AA49" s="175"/>
      <c r="AB49" s="94"/>
    </row>
    <row r="50" spans="1:28" s="59" customFormat="1">
      <c r="B50" s="82" t="s">
        <v>209</v>
      </c>
      <c r="D50" s="162"/>
      <c r="F50" s="162"/>
      <c r="G50" s="88"/>
      <c r="I50" s="162"/>
      <c r="J50" s="88"/>
      <c r="L50" s="162"/>
      <c r="M50" s="88"/>
      <c r="O50" s="162"/>
      <c r="P50" s="88"/>
      <c r="R50" s="162"/>
      <c r="S50" s="88"/>
      <c r="U50" s="162"/>
      <c r="V50" s="88"/>
      <c r="X50" s="162"/>
      <c r="Y50" s="88"/>
      <c r="AA50" s="162"/>
      <c r="AB50" s="88"/>
    </row>
    <row r="51" spans="1:28">
      <c r="B51" s="23"/>
      <c r="C51" s="407"/>
      <c r="D51" s="172"/>
      <c r="E51" s="23"/>
      <c r="F51" s="172"/>
      <c r="G51" s="104"/>
      <c r="H51" s="23"/>
      <c r="I51" s="172"/>
      <c r="J51" s="104"/>
      <c r="K51" s="23"/>
      <c r="L51" s="172"/>
      <c r="M51" s="104"/>
      <c r="N51" s="23"/>
      <c r="O51" s="172"/>
      <c r="P51" s="104"/>
      <c r="Q51" s="23"/>
      <c r="R51" s="172"/>
      <c r="S51" s="104"/>
      <c r="T51" s="23"/>
      <c r="U51" s="172"/>
      <c r="V51" s="104"/>
      <c r="W51" s="23"/>
      <c r="X51" s="172"/>
      <c r="Y51" s="104"/>
      <c r="Z51" s="23"/>
      <c r="AA51" s="172"/>
      <c r="AB51" s="104"/>
    </row>
    <row r="52" spans="1:28">
      <c r="B52" s="23"/>
      <c r="C52" s="407"/>
      <c r="D52" s="172"/>
      <c r="E52" s="23"/>
      <c r="F52" s="172"/>
      <c r="G52" s="104"/>
      <c r="H52" s="23"/>
      <c r="I52" s="172"/>
      <c r="J52" s="104"/>
      <c r="K52" s="23"/>
      <c r="L52" s="172"/>
      <c r="M52" s="104"/>
      <c r="N52" s="23"/>
      <c r="O52" s="172"/>
      <c r="P52" s="104"/>
      <c r="Q52" s="23"/>
      <c r="R52" s="172"/>
      <c r="S52" s="104"/>
      <c r="T52" s="23"/>
      <c r="U52" s="172"/>
      <c r="V52" s="104"/>
      <c r="W52" s="23"/>
      <c r="X52" s="172"/>
      <c r="Y52" s="104"/>
      <c r="Z52" s="23"/>
      <c r="AA52" s="172"/>
      <c r="AB52" s="104"/>
    </row>
    <row r="53" spans="1:28">
      <c r="B53" s="23"/>
      <c r="C53" s="407"/>
      <c r="D53" s="172"/>
      <c r="E53" s="23"/>
      <c r="F53" s="172"/>
      <c r="G53" s="104"/>
      <c r="H53" s="23"/>
      <c r="I53" s="172"/>
      <c r="J53" s="104"/>
      <c r="K53" s="23"/>
      <c r="L53" s="172"/>
      <c r="M53" s="104"/>
      <c r="N53" s="23"/>
      <c r="O53" s="172"/>
      <c r="P53" s="104"/>
      <c r="Q53" s="23"/>
      <c r="R53" s="172"/>
      <c r="S53" s="104"/>
      <c r="T53" s="23"/>
      <c r="U53" s="172"/>
      <c r="V53" s="104"/>
      <c r="W53" s="23"/>
      <c r="X53" s="172"/>
      <c r="Y53" s="104"/>
      <c r="Z53" s="23"/>
      <c r="AA53" s="172"/>
      <c r="AB53" s="104"/>
    </row>
    <row r="54" spans="1:28">
      <c r="B54" s="23"/>
      <c r="C54" s="407"/>
      <c r="D54" s="172"/>
      <c r="E54" s="23"/>
      <c r="F54" s="172"/>
      <c r="G54" s="104"/>
      <c r="H54" s="23"/>
      <c r="I54" s="172"/>
      <c r="J54" s="104"/>
      <c r="K54" s="23"/>
      <c r="L54" s="172"/>
      <c r="M54" s="104"/>
      <c r="N54" s="23"/>
      <c r="O54" s="172"/>
      <c r="P54" s="104"/>
      <c r="Q54" s="23"/>
      <c r="R54" s="172"/>
      <c r="S54" s="104"/>
      <c r="T54" s="23"/>
      <c r="U54" s="172"/>
      <c r="V54" s="104"/>
      <c r="W54" s="23"/>
      <c r="X54" s="172"/>
      <c r="Y54" s="104"/>
      <c r="Z54" s="23"/>
      <c r="AA54" s="172"/>
      <c r="AB54" s="104"/>
    </row>
    <row r="55" spans="1:28">
      <c r="B55" s="23"/>
      <c r="C55" s="407"/>
      <c r="D55" s="172"/>
      <c r="E55" s="23"/>
      <c r="F55" s="172"/>
      <c r="G55" s="104"/>
      <c r="H55" s="23"/>
      <c r="I55" s="172"/>
      <c r="J55" s="104"/>
      <c r="K55" s="23"/>
      <c r="L55" s="172"/>
      <c r="M55" s="104"/>
      <c r="N55" s="23"/>
      <c r="O55" s="172"/>
      <c r="P55" s="104"/>
      <c r="Q55" s="23"/>
      <c r="R55" s="172"/>
      <c r="S55" s="104"/>
      <c r="T55" s="23"/>
      <c r="U55" s="172"/>
      <c r="V55" s="104"/>
      <c r="W55" s="23"/>
      <c r="X55" s="172"/>
      <c r="Y55" s="104"/>
      <c r="Z55" s="23"/>
      <c r="AA55" s="172"/>
      <c r="AB55" s="104"/>
    </row>
    <row r="56" spans="1:28">
      <c r="B56" s="23"/>
      <c r="C56" s="407"/>
      <c r="D56" s="172"/>
      <c r="E56" s="23"/>
      <c r="F56" s="172"/>
      <c r="G56" s="104"/>
      <c r="H56" s="23"/>
      <c r="I56" s="172"/>
      <c r="J56" s="104"/>
      <c r="K56" s="23"/>
      <c r="L56" s="172"/>
      <c r="M56" s="104"/>
      <c r="N56" s="23"/>
      <c r="O56" s="172"/>
      <c r="P56" s="104"/>
      <c r="Q56" s="23"/>
      <c r="R56" s="172"/>
      <c r="S56" s="104"/>
      <c r="T56" s="23"/>
      <c r="U56" s="172"/>
      <c r="V56" s="104"/>
      <c r="W56" s="23"/>
      <c r="X56" s="172"/>
      <c r="Y56" s="104"/>
      <c r="Z56" s="23"/>
      <c r="AA56" s="172"/>
      <c r="AB56" s="104"/>
    </row>
    <row r="57" spans="1:28">
      <c r="B57" s="23"/>
      <c r="C57" s="407"/>
      <c r="D57" s="172"/>
      <c r="E57" s="23"/>
      <c r="F57" s="172"/>
      <c r="G57" s="104"/>
      <c r="H57" s="23"/>
      <c r="I57" s="172"/>
      <c r="J57" s="104"/>
      <c r="K57" s="23"/>
      <c r="L57" s="172"/>
      <c r="M57" s="104"/>
      <c r="N57" s="23"/>
      <c r="O57" s="172"/>
      <c r="P57" s="104"/>
      <c r="Q57" s="23"/>
      <c r="R57" s="172"/>
      <c r="S57" s="104"/>
      <c r="T57" s="23"/>
      <c r="U57" s="172"/>
      <c r="V57" s="104"/>
      <c r="W57" s="23"/>
      <c r="X57" s="172"/>
      <c r="Y57" s="104"/>
      <c r="Z57" s="23"/>
      <c r="AA57" s="172"/>
      <c r="AB57" s="104"/>
    </row>
    <row r="58" spans="1:28">
      <c r="B58" s="23"/>
      <c r="C58" s="407"/>
      <c r="D58" s="172"/>
      <c r="E58" s="23"/>
      <c r="F58" s="172"/>
      <c r="G58" s="104"/>
      <c r="H58" s="23"/>
      <c r="I58" s="172"/>
      <c r="J58" s="104"/>
      <c r="K58" s="23"/>
      <c r="L58" s="172"/>
      <c r="M58" s="104"/>
      <c r="N58" s="23"/>
      <c r="O58" s="172"/>
      <c r="P58" s="104"/>
      <c r="Q58" s="23"/>
      <c r="R58" s="172"/>
      <c r="S58" s="104"/>
      <c r="T58" s="23"/>
      <c r="U58" s="172"/>
      <c r="V58" s="104"/>
      <c r="W58" s="23"/>
      <c r="X58" s="172"/>
      <c r="Y58" s="104"/>
      <c r="Z58" s="23"/>
      <c r="AA58" s="172"/>
      <c r="AB58" s="104"/>
    </row>
    <row r="59" spans="1:28">
      <c r="B59" s="23"/>
      <c r="C59" s="407"/>
      <c r="D59" s="172"/>
      <c r="E59" s="23"/>
      <c r="F59" s="172"/>
      <c r="G59" s="104"/>
      <c r="H59" s="23"/>
      <c r="I59" s="172"/>
      <c r="J59" s="104"/>
      <c r="K59" s="23"/>
      <c r="L59" s="172"/>
      <c r="M59" s="104"/>
      <c r="N59" s="23"/>
      <c r="O59" s="172"/>
      <c r="P59" s="104"/>
      <c r="Q59" s="23"/>
      <c r="R59" s="172"/>
      <c r="S59" s="104"/>
      <c r="T59" s="23"/>
      <c r="U59" s="172"/>
      <c r="V59" s="104"/>
      <c r="W59" s="23"/>
      <c r="X59" s="172"/>
      <c r="Y59" s="104"/>
      <c r="Z59" s="23"/>
      <c r="AA59" s="172"/>
      <c r="AB59" s="104"/>
    </row>
    <row r="60" spans="1:28">
      <c r="B60" s="23"/>
      <c r="C60" s="407"/>
      <c r="D60" s="172"/>
      <c r="E60" s="23"/>
      <c r="F60" s="172"/>
      <c r="G60" s="104"/>
      <c r="H60" s="23"/>
      <c r="I60" s="172"/>
      <c r="J60" s="104"/>
      <c r="K60" s="23"/>
      <c r="L60" s="172"/>
      <c r="M60" s="104"/>
      <c r="N60" s="23"/>
      <c r="O60" s="172"/>
      <c r="P60" s="104"/>
      <c r="Q60" s="23"/>
      <c r="R60" s="172"/>
      <c r="S60" s="104"/>
      <c r="T60" s="23"/>
      <c r="U60" s="172"/>
      <c r="V60" s="104"/>
      <c r="W60" s="23"/>
      <c r="X60" s="172"/>
      <c r="Y60" s="104"/>
      <c r="Z60" s="23"/>
      <c r="AA60" s="172"/>
      <c r="AB60" s="104"/>
    </row>
    <row r="61" spans="1:28">
      <c r="B61" s="23"/>
      <c r="C61" s="407"/>
      <c r="D61" s="172"/>
      <c r="E61" s="23"/>
      <c r="F61" s="172"/>
      <c r="G61" s="104"/>
      <c r="H61" s="23"/>
      <c r="I61" s="172"/>
      <c r="J61" s="104"/>
      <c r="K61" s="23"/>
      <c r="L61" s="172"/>
      <c r="M61" s="104"/>
      <c r="N61" s="23"/>
      <c r="O61" s="172"/>
      <c r="P61" s="104"/>
      <c r="Q61" s="23"/>
      <c r="R61" s="172"/>
      <c r="S61" s="104"/>
      <c r="T61" s="23"/>
      <c r="U61" s="172"/>
      <c r="V61" s="104"/>
      <c r="W61" s="23"/>
      <c r="X61" s="172"/>
      <c r="Y61" s="104"/>
      <c r="Z61" s="23"/>
      <c r="AA61" s="172"/>
      <c r="AB61" s="104"/>
    </row>
    <row r="62" spans="1:28">
      <c r="B62" s="23"/>
      <c r="C62" s="407"/>
      <c r="D62" s="172"/>
      <c r="E62" s="23"/>
      <c r="F62" s="172"/>
      <c r="G62" s="104"/>
      <c r="H62" s="23"/>
      <c r="I62" s="172"/>
      <c r="J62" s="104"/>
      <c r="K62" s="23"/>
      <c r="L62" s="172"/>
      <c r="M62" s="104"/>
      <c r="N62" s="23"/>
      <c r="O62" s="172"/>
      <c r="P62" s="104"/>
      <c r="Q62" s="23"/>
      <c r="R62" s="172"/>
      <c r="S62" s="104"/>
      <c r="T62" s="23"/>
      <c r="U62" s="172"/>
      <c r="V62" s="104"/>
      <c r="W62" s="23"/>
      <c r="X62" s="172"/>
      <c r="Y62" s="104"/>
      <c r="Z62" s="23"/>
      <c r="AA62" s="172"/>
      <c r="AB62" s="104"/>
    </row>
    <row r="63" spans="1:28">
      <c r="B63" s="23"/>
      <c r="C63" s="407"/>
      <c r="D63" s="172"/>
      <c r="E63" s="23"/>
      <c r="F63" s="172"/>
      <c r="G63" s="104"/>
      <c r="H63" s="23"/>
      <c r="I63" s="172"/>
      <c r="J63" s="104"/>
      <c r="K63" s="23"/>
      <c r="L63" s="172"/>
      <c r="M63" s="104"/>
      <c r="N63" s="23"/>
      <c r="O63" s="172"/>
      <c r="P63" s="104"/>
      <c r="Q63" s="23"/>
      <c r="R63" s="172"/>
      <c r="S63" s="104"/>
      <c r="T63" s="23"/>
      <c r="U63" s="172"/>
      <c r="V63" s="104"/>
      <c r="W63" s="23"/>
      <c r="X63" s="172"/>
      <c r="Y63" s="104"/>
      <c r="Z63" s="23"/>
      <c r="AA63" s="172"/>
      <c r="AB63" s="104"/>
    </row>
    <row r="64" spans="1:28">
      <c r="B64" s="23"/>
      <c r="C64" s="407"/>
      <c r="D64" s="172"/>
      <c r="E64" s="23"/>
      <c r="F64" s="172"/>
      <c r="G64" s="104"/>
      <c r="H64" s="23"/>
      <c r="I64" s="172"/>
      <c r="J64" s="104"/>
      <c r="K64" s="23"/>
      <c r="L64" s="172"/>
      <c r="M64" s="104"/>
      <c r="N64" s="23"/>
      <c r="O64" s="172"/>
      <c r="P64" s="104"/>
      <c r="Q64" s="23"/>
      <c r="R64" s="172"/>
      <c r="S64" s="104"/>
      <c r="T64" s="23"/>
      <c r="U64" s="172"/>
      <c r="V64" s="104"/>
      <c r="W64" s="23"/>
      <c r="X64" s="172"/>
      <c r="Y64" s="104"/>
      <c r="Z64" s="23"/>
      <c r="AA64" s="172"/>
      <c r="AB64" s="104"/>
    </row>
  </sheetData>
  <mergeCells count="13">
    <mergeCell ref="X8:Y8"/>
    <mergeCell ref="AA8:AB8"/>
    <mergeCell ref="B47:P47"/>
    <mergeCell ref="B5:P5"/>
    <mergeCell ref="B7:B9"/>
    <mergeCell ref="D7:D9"/>
    <mergeCell ref="F7:AB7"/>
    <mergeCell ref="F8:G8"/>
    <mergeCell ref="I8:J8"/>
    <mergeCell ref="L8:M8"/>
    <mergeCell ref="O8:P8"/>
    <mergeCell ref="R8:S8"/>
    <mergeCell ref="U8:V8"/>
  </mergeCells>
  <hyperlinks>
    <hyperlink ref="AB1" location="Índice!A1" tooltip="Ir a ÍNDICE" display="INDICE" xr:uid="{4D7A4ABF-AAC9-4798-AA05-DAA435D3E292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62A3-5FAB-4B5E-ADC2-CB8F49965170}">
  <dimension ref="A1:AF68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39.140625" style="3" customWidth="1"/>
    <col min="3" max="3" width="1.7109375" style="391" customWidth="1"/>
    <col min="4" max="4" width="24.28515625" style="170" customWidth="1"/>
    <col min="5" max="5" width="1.7109375" style="3" customWidth="1"/>
    <col min="6" max="6" width="12.85546875" style="170" customWidth="1"/>
    <col min="7" max="7" width="11.42578125" style="93"/>
    <col min="8" max="8" width="1.7109375" style="3" customWidth="1"/>
    <col min="9" max="9" width="17.7109375" style="170" customWidth="1"/>
    <col min="10" max="10" width="11.42578125" style="93"/>
    <col min="11" max="11" width="1.7109375" style="3" customWidth="1"/>
    <col min="12" max="12" width="17.28515625" style="170" customWidth="1"/>
    <col min="13" max="13" width="11.42578125" style="93"/>
    <col min="14" max="14" width="1.7109375" style="3" customWidth="1"/>
    <col min="15" max="15" width="17.7109375" style="170" customWidth="1"/>
    <col min="16" max="16" width="11.42578125" style="93"/>
    <col min="17" max="17" width="1.7109375" style="391" customWidth="1"/>
    <col min="18" max="18" width="17.42578125" style="170" customWidth="1"/>
    <col min="19" max="19" width="11.42578125" style="93"/>
    <col min="20" max="20" width="1.7109375" style="3" customWidth="1"/>
    <col min="21" max="21" width="18.42578125" style="170" customWidth="1"/>
    <col min="22" max="22" width="11.42578125" style="93"/>
    <col min="23" max="23" width="1.7109375" style="3" customWidth="1"/>
    <col min="24" max="24" width="17.28515625" style="170" customWidth="1"/>
    <col min="25" max="25" width="11.42578125" style="93"/>
    <col min="26" max="26" width="1.7109375" style="3" customWidth="1"/>
    <col min="27" max="27" width="14.85546875" style="170" customWidth="1"/>
    <col min="28" max="28" width="11.42578125" style="93"/>
    <col min="29" max="29" width="1.7109375" style="3" customWidth="1"/>
    <col min="30" max="30" width="12.85546875" style="170" customWidth="1"/>
    <col min="31" max="31" width="11.42578125" style="93"/>
    <col min="32" max="16384" width="11.42578125" style="3"/>
  </cols>
  <sheetData>
    <row r="1" spans="1:32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71"/>
      <c r="M1" s="92"/>
      <c r="O1" s="171"/>
      <c r="P1" s="92"/>
      <c r="Q1" s="409"/>
      <c r="R1" s="171"/>
      <c r="S1" s="92"/>
      <c r="U1" s="171"/>
      <c r="V1" s="92"/>
      <c r="X1" s="171"/>
      <c r="Y1" s="92"/>
      <c r="AA1" s="171"/>
      <c r="AB1" s="92"/>
      <c r="AD1" s="171"/>
      <c r="AE1" s="89" t="s">
        <v>191</v>
      </c>
    </row>
    <row r="2" spans="1:32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  <c r="M2" s="92"/>
      <c r="O2" s="171"/>
      <c r="P2" s="92"/>
      <c r="Q2" s="409"/>
      <c r="R2" s="171"/>
      <c r="S2" s="92"/>
      <c r="U2" s="171"/>
      <c r="V2" s="92"/>
      <c r="X2" s="171"/>
      <c r="Y2" s="92"/>
      <c r="AA2" s="171"/>
      <c r="AB2" s="92"/>
      <c r="AD2" s="171"/>
      <c r="AE2" s="92"/>
    </row>
    <row r="3" spans="1:32" s="62" customFormat="1" ht="14.1" customHeight="1">
      <c r="A3" s="53"/>
      <c r="B3" s="756" t="s">
        <v>236</v>
      </c>
      <c r="C3" s="410"/>
      <c r="D3" s="411"/>
      <c r="E3" s="410"/>
      <c r="F3" s="411"/>
      <c r="G3" s="412"/>
      <c r="H3" s="410"/>
      <c r="I3" s="411"/>
      <c r="J3" s="92"/>
      <c r="L3" s="171"/>
      <c r="M3" s="92"/>
      <c r="O3" s="171"/>
      <c r="P3" s="92"/>
      <c r="Q3" s="409"/>
      <c r="R3" s="171"/>
      <c r="S3" s="92"/>
      <c r="U3" s="171"/>
      <c r="V3" s="92"/>
      <c r="X3" s="171"/>
      <c r="Y3" s="92"/>
      <c r="AA3" s="171"/>
      <c r="AB3" s="92"/>
      <c r="AD3" s="171"/>
      <c r="AE3" s="92"/>
    </row>
    <row r="4" spans="1:32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  <c r="M4" s="92"/>
      <c r="O4" s="171"/>
      <c r="P4" s="92"/>
      <c r="Q4" s="409"/>
      <c r="R4" s="171"/>
      <c r="S4" s="92"/>
      <c r="U4" s="171"/>
      <c r="V4" s="92"/>
      <c r="X4" s="171"/>
      <c r="Y4" s="92"/>
      <c r="AA4" s="171"/>
      <c r="AB4" s="92"/>
      <c r="AD4" s="171"/>
      <c r="AE4" s="92"/>
    </row>
    <row r="5" spans="1:32" s="62" customFormat="1" ht="20.100000000000001" customHeight="1">
      <c r="A5" s="53"/>
      <c r="B5" s="848" t="s">
        <v>187</v>
      </c>
      <c r="C5" s="848"/>
      <c r="D5" s="848"/>
      <c r="E5" s="848"/>
      <c r="F5" s="848"/>
      <c r="G5" s="848"/>
      <c r="H5" s="848"/>
      <c r="I5" s="848"/>
      <c r="J5" s="848"/>
      <c r="K5" s="848"/>
      <c r="L5" s="848"/>
      <c r="M5" s="848"/>
      <c r="N5" s="848"/>
      <c r="O5" s="848"/>
      <c r="P5" s="848"/>
      <c r="Q5" s="413"/>
      <c r="R5" s="176"/>
      <c r="S5" s="109"/>
      <c r="T5" s="64"/>
      <c r="U5" s="176"/>
      <c r="V5" s="109"/>
      <c r="W5" s="64"/>
      <c r="X5" s="176"/>
      <c r="Y5" s="109"/>
      <c r="Z5" s="64"/>
      <c r="AA5" s="176"/>
      <c r="AB5" s="109"/>
      <c r="AC5" s="64"/>
      <c r="AD5" s="176"/>
      <c r="AE5" s="90" t="s">
        <v>141</v>
      </c>
    </row>
    <row r="6" spans="1:32" ht="6" customHeight="1">
      <c r="A6" s="53"/>
      <c r="B6" s="385"/>
      <c r="C6" s="213"/>
      <c r="D6" s="155"/>
      <c r="E6" s="23"/>
      <c r="F6" s="172"/>
      <c r="G6" s="104"/>
      <c r="H6" s="23"/>
      <c r="I6" s="172"/>
      <c r="J6" s="104"/>
      <c r="K6" s="23"/>
      <c r="L6" s="172"/>
      <c r="M6" s="104"/>
      <c r="N6" s="23"/>
      <c r="O6" s="172"/>
      <c r="P6" s="104"/>
      <c r="Q6" s="407"/>
      <c r="R6" s="172"/>
      <c r="S6" s="104"/>
      <c r="T6" s="23"/>
      <c r="U6" s="172"/>
      <c r="V6" s="104"/>
      <c r="W6" s="23"/>
      <c r="X6" s="172"/>
      <c r="Y6" s="104"/>
      <c r="Z6" s="23"/>
      <c r="AA6" s="172"/>
      <c r="AB6" s="104"/>
      <c r="AC6" s="23"/>
      <c r="AD6" s="172"/>
      <c r="AE6" s="104"/>
    </row>
    <row r="7" spans="1:32" ht="16.5" customHeight="1">
      <c r="A7" s="53"/>
      <c r="B7" s="790" t="s">
        <v>82</v>
      </c>
      <c r="C7" s="399"/>
      <c r="D7" s="843" t="s">
        <v>142</v>
      </c>
      <c r="E7" s="35"/>
      <c r="F7" s="846" t="s">
        <v>83</v>
      </c>
      <c r="G7" s="846"/>
      <c r="H7" s="846"/>
      <c r="I7" s="846"/>
      <c r="J7" s="846"/>
      <c r="K7" s="846"/>
      <c r="L7" s="846"/>
      <c r="M7" s="846"/>
      <c r="N7" s="846"/>
      <c r="O7" s="846"/>
      <c r="P7" s="846"/>
      <c r="Q7" s="846"/>
      <c r="R7" s="846"/>
      <c r="S7" s="846"/>
      <c r="T7" s="846"/>
      <c r="U7" s="846"/>
      <c r="V7" s="846"/>
      <c r="W7" s="846"/>
      <c r="X7" s="846"/>
      <c r="Y7" s="846"/>
      <c r="Z7" s="846"/>
      <c r="AA7" s="846"/>
      <c r="AB7" s="846"/>
      <c r="AC7" s="35"/>
      <c r="AD7" s="850" t="s">
        <v>84</v>
      </c>
      <c r="AE7" s="850"/>
    </row>
    <row r="8" spans="1:32" ht="17.25" customHeight="1">
      <c r="A8" s="53"/>
      <c r="B8" s="791"/>
      <c r="C8" s="400"/>
      <c r="D8" s="844"/>
      <c r="E8" s="23"/>
      <c r="F8" s="840" t="s">
        <v>75</v>
      </c>
      <c r="G8" s="840"/>
      <c r="H8" s="386"/>
      <c r="I8" s="840" t="s">
        <v>76</v>
      </c>
      <c r="J8" s="840"/>
      <c r="K8" s="387"/>
      <c r="L8" s="840" t="s">
        <v>77</v>
      </c>
      <c r="M8" s="840"/>
      <c r="N8" s="387"/>
      <c r="O8" s="840" t="s">
        <v>78</v>
      </c>
      <c r="P8" s="840"/>
      <c r="Q8" s="414"/>
      <c r="R8" s="840" t="s">
        <v>79</v>
      </c>
      <c r="S8" s="840"/>
      <c r="T8" s="387"/>
      <c r="U8" s="840" t="s">
        <v>80</v>
      </c>
      <c r="V8" s="840"/>
      <c r="W8" s="388"/>
      <c r="X8" s="840" t="s">
        <v>81</v>
      </c>
      <c r="Y8" s="840"/>
      <c r="Z8" s="388"/>
      <c r="AA8" s="840" t="s">
        <v>57</v>
      </c>
      <c r="AB8" s="840"/>
      <c r="AC8" s="23"/>
      <c r="AD8" s="851"/>
      <c r="AE8" s="851"/>
    </row>
    <row r="9" spans="1:32" ht="16.5" customHeight="1">
      <c r="A9" s="54"/>
      <c r="B9" s="792"/>
      <c r="C9" s="401"/>
      <c r="D9" s="845"/>
      <c r="E9" s="32"/>
      <c r="F9" s="394" t="s">
        <v>3</v>
      </c>
      <c r="G9" s="118" t="s">
        <v>4</v>
      </c>
      <c r="H9" s="52"/>
      <c r="I9" s="394" t="s">
        <v>3</v>
      </c>
      <c r="J9" s="118" t="s">
        <v>4</v>
      </c>
      <c r="K9" s="52"/>
      <c r="L9" s="394" t="s">
        <v>3</v>
      </c>
      <c r="M9" s="118" t="s">
        <v>4</v>
      </c>
      <c r="N9" s="52"/>
      <c r="O9" s="394" t="s">
        <v>3</v>
      </c>
      <c r="P9" s="118" t="s">
        <v>4</v>
      </c>
      <c r="Q9" s="52"/>
      <c r="R9" s="394" t="s">
        <v>3</v>
      </c>
      <c r="S9" s="118" t="s">
        <v>4</v>
      </c>
      <c r="T9" s="52"/>
      <c r="U9" s="394" t="s">
        <v>3</v>
      </c>
      <c r="V9" s="118" t="s">
        <v>4</v>
      </c>
      <c r="W9" s="390"/>
      <c r="X9" s="394" t="s">
        <v>3</v>
      </c>
      <c r="Y9" s="118" t="s">
        <v>4</v>
      </c>
      <c r="Z9" s="390"/>
      <c r="AA9" s="394" t="s">
        <v>3</v>
      </c>
      <c r="AB9" s="118" t="s">
        <v>4</v>
      </c>
      <c r="AC9" s="390"/>
      <c r="AD9" s="394" t="s">
        <v>3</v>
      </c>
      <c r="AE9" s="118" t="s">
        <v>4</v>
      </c>
      <c r="AF9" s="391"/>
    </row>
    <row r="10" spans="1:32" ht="6" customHeight="1">
      <c r="A10" s="54"/>
      <c r="B10" s="5"/>
      <c r="C10" s="213"/>
      <c r="D10" s="155"/>
      <c r="E10" s="23"/>
      <c r="F10" s="172"/>
      <c r="G10" s="104"/>
      <c r="H10" s="23"/>
      <c r="I10" s="172"/>
      <c r="J10" s="104"/>
      <c r="K10" s="23"/>
      <c r="L10" s="172"/>
      <c r="M10" s="104"/>
      <c r="N10" s="23"/>
      <c r="O10" s="172"/>
      <c r="P10" s="104"/>
      <c r="Q10" s="407"/>
      <c r="R10" s="172"/>
      <c r="S10" s="104"/>
      <c r="T10" s="23"/>
      <c r="U10" s="172"/>
      <c r="V10" s="104"/>
      <c r="W10" s="23"/>
      <c r="X10" s="172"/>
      <c r="Y10" s="104"/>
      <c r="Z10" s="23"/>
      <c r="AA10" s="172"/>
      <c r="AB10" s="104"/>
      <c r="AC10" s="23"/>
      <c r="AD10" s="172"/>
      <c r="AE10" s="104"/>
    </row>
    <row r="11" spans="1:32" ht="15">
      <c r="A11" s="206"/>
      <c r="B11" s="21" t="s">
        <v>40</v>
      </c>
      <c r="C11" s="402"/>
      <c r="D11" s="267">
        <v>188320.741680356</v>
      </c>
      <c r="E11" s="415"/>
      <c r="F11" s="157"/>
      <c r="G11" s="84"/>
      <c r="H11" s="415"/>
      <c r="I11" s="157"/>
      <c r="J11" s="84"/>
      <c r="L11" s="157"/>
      <c r="M11" s="84"/>
      <c r="O11" s="157"/>
      <c r="P11" s="84"/>
      <c r="Q11" s="3"/>
      <c r="R11" s="157"/>
      <c r="S11" s="84"/>
      <c r="U11" s="157"/>
      <c r="V11" s="84"/>
      <c r="X11" s="157"/>
      <c r="Y11" s="84"/>
      <c r="AA11" s="157"/>
      <c r="AB11" s="84"/>
      <c r="AD11" s="157"/>
      <c r="AE11" s="84"/>
    </row>
    <row r="12" spans="1:32" ht="6" customHeight="1">
      <c r="A12" s="57"/>
      <c r="B12" s="141"/>
      <c r="C12" s="402"/>
      <c r="D12" s="158"/>
      <c r="E12" s="415"/>
      <c r="F12" s="158"/>
      <c r="G12" s="85"/>
      <c r="H12" s="415"/>
      <c r="I12" s="158"/>
      <c r="J12" s="85"/>
      <c r="L12" s="158"/>
      <c r="M12" s="85"/>
      <c r="O12" s="158"/>
      <c r="P12" s="85"/>
      <c r="Q12" s="3"/>
      <c r="R12" s="158"/>
      <c r="S12" s="85"/>
      <c r="U12" s="158"/>
      <c r="V12" s="85"/>
      <c r="X12" s="158"/>
      <c r="Y12" s="85"/>
      <c r="AA12" s="158"/>
      <c r="AB12" s="85"/>
      <c r="AD12" s="158"/>
      <c r="AE12" s="85"/>
    </row>
    <row r="13" spans="1:32" ht="15" customHeight="1">
      <c r="A13" s="57"/>
      <c r="B13" s="416" t="s">
        <v>85</v>
      </c>
      <c r="C13" s="402"/>
      <c r="D13" s="267">
        <v>188320.741680356</v>
      </c>
      <c r="E13" s="415"/>
      <c r="F13" s="267">
        <v>85294.104860312204</v>
      </c>
      <c r="G13" s="267">
        <v>0.50767722500000001</v>
      </c>
      <c r="H13" s="415"/>
      <c r="I13" s="267">
        <v>47229.666689791396</v>
      </c>
      <c r="J13" s="267">
        <v>0.29719541459999999</v>
      </c>
      <c r="K13" s="43"/>
      <c r="L13" s="267">
        <v>43804.7862829066</v>
      </c>
      <c r="M13" s="267">
        <v>0.28080157989999999</v>
      </c>
      <c r="N13" s="43"/>
      <c r="O13" s="267">
        <v>52796.570328337097</v>
      </c>
      <c r="P13" s="267">
        <v>0.33235425870000002</v>
      </c>
      <c r="Q13" s="43"/>
      <c r="R13" s="267">
        <v>45137.241055370199</v>
      </c>
      <c r="S13" s="267">
        <v>0.28165982350000002</v>
      </c>
      <c r="T13" s="43"/>
      <c r="U13" s="267">
        <v>51672.227730305</v>
      </c>
      <c r="V13" s="267">
        <v>0.33700802569999999</v>
      </c>
      <c r="W13" s="43"/>
      <c r="X13" s="267">
        <v>44668.079937833703</v>
      </c>
      <c r="Y13" s="267">
        <v>0.2993263645</v>
      </c>
      <c r="Z13" s="43"/>
      <c r="AA13" s="267">
        <v>19423.238638857601</v>
      </c>
      <c r="AB13" s="267">
        <v>0.14118193109999999</v>
      </c>
      <c r="AC13" s="43"/>
      <c r="AD13" s="753" t="s">
        <v>266</v>
      </c>
      <c r="AE13" s="753" t="s">
        <v>266</v>
      </c>
    </row>
    <row r="14" spans="1:32" ht="15" customHeight="1">
      <c r="A14" s="57"/>
      <c r="B14" s="417" t="s">
        <v>115</v>
      </c>
      <c r="C14" s="404"/>
      <c r="D14" s="268">
        <v>158183.21953710701</v>
      </c>
      <c r="E14" s="418"/>
      <c r="F14" s="268">
        <v>70139.408879237701</v>
      </c>
      <c r="G14" s="268">
        <v>0.56836840479999995</v>
      </c>
      <c r="H14" s="418"/>
      <c r="I14" s="268">
        <v>40910.314621257799</v>
      </c>
      <c r="J14" s="268">
        <v>0.35360669620000001</v>
      </c>
      <c r="L14" s="268">
        <v>37434.882027929401</v>
      </c>
      <c r="M14" s="268">
        <v>0.32797002720000001</v>
      </c>
      <c r="O14" s="268">
        <v>44673.891536995601</v>
      </c>
      <c r="P14" s="268">
        <v>0.4003931194</v>
      </c>
      <c r="Q14" s="3"/>
      <c r="R14" s="268">
        <v>40244.885942614499</v>
      </c>
      <c r="S14" s="268">
        <v>0.34601539609999998</v>
      </c>
      <c r="U14" s="268">
        <v>42358.871080598998</v>
      </c>
      <c r="V14" s="268">
        <v>0.38412631590000001</v>
      </c>
      <c r="X14" s="268">
        <v>35520.460583642598</v>
      </c>
      <c r="Y14" s="268">
        <v>0.33131335470000001</v>
      </c>
      <c r="AA14" s="268">
        <v>17679.628722612899</v>
      </c>
      <c r="AB14" s="268">
        <v>0.17664881739999999</v>
      </c>
      <c r="AD14" s="177" t="s">
        <v>266</v>
      </c>
      <c r="AE14" s="177" t="s">
        <v>266</v>
      </c>
    </row>
    <row r="15" spans="1:32" ht="15" customHeight="1">
      <c r="A15" s="54"/>
      <c r="B15" s="417" t="s">
        <v>113</v>
      </c>
      <c r="C15" s="404"/>
      <c r="D15" s="268">
        <v>24549.731656092201</v>
      </c>
      <c r="E15" s="418"/>
      <c r="F15" s="268">
        <v>13035.8207839591</v>
      </c>
      <c r="G15" s="268">
        <v>2.2765703598</v>
      </c>
      <c r="H15" s="418"/>
      <c r="I15" s="268">
        <v>7939.7527135152995</v>
      </c>
      <c r="J15" s="268">
        <v>1.5497747032</v>
      </c>
      <c r="L15" s="268">
        <v>7276.7543321554003</v>
      </c>
      <c r="M15" s="268">
        <v>1.4335006995999999</v>
      </c>
      <c r="O15" s="268">
        <v>10694.9846858816</v>
      </c>
      <c r="P15" s="268">
        <v>2.0178237800000001</v>
      </c>
      <c r="Q15" s="3"/>
      <c r="R15" s="268">
        <v>7066.9651866276999</v>
      </c>
      <c r="S15" s="268">
        <v>1.4078592054000001</v>
      </c>
      <c r="U15" s="268">
        <v>8657.6586171857998</v>
      </c>
      <c r="V15" s="268">
        <v>1.6991547472999999</v>
      </c>
      <c r="X15" s="268">
        <v>5791.1290731109002</v>
      </c>
      <c r="Y15" s="268">
        <v>1.1741432195999999</v>
      </c>
      <c r="AA15" s="268">
        <v>1186.3313196573999</v>
      </c>
      <c r="AB15" s="268">
        <v>0.25073719</v>
      </c>
      <c r="AD15" s="177" t="s">
        <v>266</v>
      </c>
      <c r="AE15" s="177" t="s">
        <v>266</v>
      </c>
    </row>
    <row r="16" spans="1:32" ht="15" customHeight="1">
      <c r="A16" s="54"/>
      <c r="B16" s="417" t="s">
        <v>114</v>
      </c>
      <c r="C16" s="404"/>
      <c r="D16" s="268">
        <v>74653.548312541694</v>
      </c>
      <c r="E16" s="418"/>
      <c r="F16" s="268">
        <v>35339.3523960694</v>
      </c>
      <c r="G16" s="268">
        <v>0.90278181580000005</v>
      </c>
      <c r="H16" s="418"/>
      <c r="I16" s="268">
        <v>18796.0905304386</v>
      </c>
      <c r="J16" s="268">
        <v>0.52656420469999998</v>
      </c>
      <c r="L16" s="268">
        <v>18870.117005850701</v>
      </c>
      <c r="M16" s="268">
        <v>0.52250432300000005</v>
      </c>
      <c r="O16" s="268">
        <v>24307.5806225331</v>
      </c>
      <c r="P16" s="268">
        <v>0.62581158270000004</v>
      </c>
      <c r="Q16" s="3"/>
      <c r="R16" s="268">
        <v>20460.0370505174</v>
      </c>
      <c r="S16" s="268">
        <v>0.54873698810000004</v>
      </c>
      <c r="U16" s="268">
        <v>21469.598083505702</v>
      </c>
      <c r="V16" s="268">
        <v>0.57230159709999995</v>
      </c>
      <c r="X16" s="268">
        <v>20659.799517853498</v>
      </c>
      <c r="Y16" s="268">
        <v>0.59098258849999996</v>
      </c>
      <c r="AA16" s="268">
        <v>8109.7711105636999</v>
      </c>
      <c r="AB16" s="268">
        <v>0.24232689029999999</v>
      </c>
      <c r="AD16" s="177" t="s">
        <v>266</v>
      </c>
      <c r="AE16" s="177" t="s">
        <v>266</v>
      </c>
      <c r="AF16" s="391"/>
    </row>
    <row r="17" spans="1:32" ht="15" customHeight="1">
      <c r="A17" s="54"/>
      <c r="B17" s="416" t="s">
        <v>86</v>
      </c>
      <c r="C17" s="404"/>
      <c r="D17" s="324">
        <v>188320.741680356</v>
      </c>
      <c r="E17" s="415"/>
      <c r="F17" s="324">
        <v>64812.684881289599</v>
      </c>
      <c r="G17" s="324">
        <v>0.4217570947</v>
      </c>
      <c r="H17" s="415"/>
      <c r="I17" s="324">
        <v>37751.976925824703</v>
      </c>
      <c r="J17" s="324">
        <v>0.2520417754</v>
      </c>
      <c r="K17" s="43"/>
      <c r="L17" s="324">
        <v>43463.276474452898</v>
      </c>
      <c r="M17" s="324">
        <v>0.28526371750000001</v>
      </c>
      <c r="N17" s="43"/>
      <c r="O17" s="324">
        <v>48669.608293895697</v>
      </c>
      <c r="P17" s="324">
        <v>0.31084025679999999</v>
      </c>
      <c r="Q17" s="43"/>
      <c r="R17" s="324">
        <v>44632.914897958297</v>
      </c>
      <c r="S17" s="324">
        <v>0.28801637699999999</v>
      </c>
      <c r="T17" s="43"/>
      <c r="U17" s="324">
        <v>50405.762509426699</v>
      </c>
      <c r="V17" s="324">
        <v>0.33087565000000002</v>
      </c>
      <c r="W17" s="43"/>
      <c r="X17" s="324">
        <v>63756.790631495503</v>
      </c>
      <c r="Y17" s="324">
        <v>0.40202494999999999</v>
      </c>
      <c r="Z17" s="43"/>
      <c r="AA17" s="324">
        <v>20357.249434704201</v>
      </c>
      <c r="AB17" s="324">
        <v>0.14805937990000001</v>
      </c>
      <c r="AC17" s="43"/>
      <c r="AD17" s="324">
        <v>52413.758162910497</v>
      </c>
      <c r="AE17" s="324">
        <v>0.35569572820000001</v>
      </c>
      <c r="AF17" s="391"/>
    </row>
    <row r="18" spans="1:32" ht="15" customHeight="1">
      <c r="A18" s="58"/>
      <c r="B18" s="417" t="s">
        <v>115</v>
      </c>
      <c r="C18" s="404"/>
      <c r="D18" s="269">
        <v>158183.21953710701</v>
      </c>
      <c r="E18" s="418"/>
      <c r="F18" s="269">
        <v>52721.623482761002</v>
      </c>
      <c r="G18" s="269">
        <v>0.46941270499999999</v>
      </c>
      <c r="H18" s="418"/>
      <c r="I18" s="269">
        <v>32682.9445681568</v>
      </c>
      <c r="J18" s="269">
        <v>0.29954037210000001</v>
      </c>
      <c r="L18" s="269">
        <v>38860.198097474</v>
      </c>
      <c r="M18" s="269">
        <v>0.35138198920000002</v>
      </c>
      <c r="O18" s="269">
        <v>42367.303776459703</v>
      </c>
      <c r="P18" s="269">
        <v>0.37476690330000001</v>
      </c>
      <c r="Q18" s="3"/>
      <c r="R18" s="269">
        <v>39331.708628747998</v>
      </c>
      <c r="S18" s="269">
        <v>0.3463551607</v>
      </c>
      <c r="U18" s="269">
        <v>42225.988663334399</v>
      </c>
      <c r="V18" s="269">
        <v>0.39433498989999999</v>
      </c>
      <c r="X18" s="269">
        <v>52862.225205251299</v>
      </c>
      <c r="Y18" s="269">
        <v>0.46532348070000001</v>
      </c>
      <c r="AA18" s="269">
        <v>18076.968103851301</v>
      </c>
      <c r="AB18" s="269">
        <v>0.18079346190000001</v>
      </c>
      <c r="AD18" s="269">
        <v>45573.278012582101</v>
      </c>
      <c r="AE18" s="269">
        <v>0.43261731460000002</v>
      </c>
    </row>
    <row r="19" spans="1:32" ht="15" customHeight="1">
      <c r="A19" s="58"/>
      <c r="B19" s="417" t="s">
        <v>113</v>
      </c>
      <c r="C19" s="404"/>
      <c r="D19" s="268">
        <v>24549.731656092201</v>
      </c>
      <c r="E19" s="418"/>
      <c r="F19" s="268">
        <v>12347.5486974619</v>
      </c>
      <c r="G19" s="268">
        <v>2.1960556854000002</v>
      </c>
      <c r="H19" s="418"/>
      <c r="I19" s="268">
        <v>6334.7283599384</v>
      </c>
      <c r="J19" s="268">
        <v>1.2631133763</v>
      </c>
      <c r="L19" s="268">
        <v>6672.6884038542003</v>
      </c>
      <c r="M19" s="268">
        <v>1.3321884939999999</v>
      </c>
      <c r="O19" s="268">
        <v>10133.393595928599</v>
      </c>
      <c r="P19" s="268">
        <v>1.9282614013999999</v>
      </c>
      <c r="Q19" s="3"/>
      <c r="R19" s="268">
        <v>8331.2692238964992</v>
      </c>
      <c r="S19" s="268">
        <v>1.6059877005000001</v>
      </c>
      <c r="U19" s="268">
        <v>7048.5352647981999</v>
      </c>
      <c r="V19" s="268">
        <v>1.4233680286999999</v>
      </c>
      <c r="X19" s="268">
        <v>9473.6934704763007</v>
      </c>
      <c r="Y19" s="268">
        <v>1.8164566204999999</v>
      </c>
      <c r="AA19" s="268">
        <v>1268.0690044314999</v>
      </c>
      <c r="AB19" s="268">
        <v>0.2683898327</v>
      </c>
      <c r="AD19" s="268">
        <v>2234.5912377882</v>
      </c>
      <c r="AE19" s="268">
        <v>0.46841102649999999</v>
      </c>
    </row>
    <row r="20" spans="1:32" ht="15" customHeight="1">
      <c r="B20" s="417" t="s">
        <v>114</v>
      </c>
      <c r="C20" s="404"/>
      <c r="D20" s="268">
        <v>74653.548312541694</v>
      </c>
      <c r="E20" s="418"/>
      <c r="F20" s="268">
        <v>29545.181288058899</v>
      </c>
      <c r="G20" s="268">
        <v>0.79605869969999998</v>
      </c>
      <c r="H20" s="418"/>
      <c r="I20" s="268">
        <v>15583.373950925399</v>
      </c>
      <c r="J20" s="268">
        <v>0.44905052839999998</v>
      </c>
      <c r="L20" s="268">
        <v>17307.144048211499</v>
      </c>
      <c r="M20" s="268">
        <v>0.49075700639999997</v>
      </c>
      <c r="O20" s="268">
        <v>20767.010920146698</v>
      </c>
      <c r="P20" s="268">
        <v>0.55820158789999996</v>
      </c>
      <c r="Q20" s="3"/>
      <c r="R20" s="268">
        <v>19655.576533021202</v>
      </c>
      <c r="S20" s="268">
        <v>0.52612198740000005</v>
      </c>
      <c r="U20" s="268">
        <v>22775.125827810101</v>
      </c>
      <c r="V20" s="268">
        <v>0.58998415140000005</v>
      </c>
      <c r="X20" s="268">
        <v>26465.538163457099</v>
      </c>
      <c r="Y20" s="268">
        <v>0.69095576680000004</v>
      </c>
      <c r="AA20" s="268">
        <v>9219.1772341220003</v>
      </c>
      <c r="AB20" s="268">
        <v>0.27525185940000002</v>
      </c>
      <c r="AD20" s="268">
        <v>17335.975800802898</v>
      </c>
      <c r="AE20" s="268">
        <v>0.50745729949999996</v>
      </c>
    </row>
    <row r="21" spans="1:32" ht="6" customHeight="1">
      <c r="B21" s="48"/>
      <c r="C21" s="404"/>
      <c r="Q21" s="3"/>
    </row>
    <row r="22" spans="1:32" ht="15" customHeight="1">
      <c r="B22" s="299" t="s">
        <v>41</v>
      </c>
      <c r="C22" s="404"/>
      <c r="D22" s="267">
        <v>119954.26651658599</v>
      </c>
      <c r="E22" s="415"/>
      <c r="F22" s="157"/>
      <c r="G22" s="84"/>
      <c r="H22" s="415"/>
      <c r="I22" s="157"/>
      <c r="J22" s="84"/>
      <c r="K22" s="43"/>
      <c r="L22" s="157"/>
      <c r="M22" s="84"/>
      <c r="N22" s="43"/>
      <c r="O22" s="157"/>
      <c r="P22" s="84"/>
      <c r="Q22" s="43"/>
      <c r="R22" s="157"/>
      <c r="S22" s="84"/>
      <c r="T22" s="43"/>
      <c r="U22" s="157"/>
      <c r="V22" s="84"/>
      <c r="W22" s="43"/>
      <c r="X22" s="157"/>
      <c r="Y22" s="84"/>
      <c r="Z22" s="43"/>
      <c r="AA22" s="157"/>
      <c r="AB22" s="84"/>
      <c r="AC22" s="43"/>
      <c r="AD22" s="157"/>
      <c r="AE22" s="84"/>
    </row>
    <row r="23" spans="1:32" ht="6" customHeight="1">
      <c r="B23" s="141"/>
      <c r="C23" s="402"/>
      <c r="D23" s="164"/>
      <c r="E23" s="31"/>
      <c r="F23" s="167"/>
      <c r="G23" s="113"/>
      <c r="H23" s="2"/>
      <c r="I23" s="167"/>
      <c r="J23" s="113"/>
      <c r="L23" s="167"/>
      <c r="M23" s="113"/>
      <c r="O23" s="167"/>
      <c r="P23" s="113"/>
      <c r="Q23" s="3"/>
      <c r="R23" s="167"/>
      <c r="S23" s="113"/>
      <c r="U23" s="167"/>
      <c r="V23" s="113"/>
      <c r="X23" s="167"/>
      <c r="Y23" s="113"/>
      <c r="AA23" s="164"/>
      <c r="AB23" s="111"/>
      <c r="AD23" s="164"/>
      <c r="AE23" s="111"/>
    </row>
    <row r="24" spans="1:32" ht="15" customHeight="1">
      <c r="B24" s="22" t="s">
        <v>85</v>
      </c>
      <c r="C24" s="404"/>
      <c r="D24" s="267">
        <v>119954.26651658599</v>
      </c>
      <c r="E24" s="415"/>
      <c r="F24" s="267">
        <v>52658.680538212699</v>
      </c>
      <c r="G24" s="267">
        <v>0.86575683420000005</v>
      </c>
      <c r="H24" s="415"/>
      <c r="I24" s="267">
        <v>22722.861073108099</v>
      </c>
      <c r="J24" s="267">
        <v>0.38931366550000002</v>
      </c>
      <c r="K24" s="43"/>
      <c r="L24" s="267">
        <v>24498.876966391999</v>
      </c>
      <c r="M24" s="267">
        <v>0.41876503479999999</v>
      </c>
      <c r="N24" s="43"/>
      <c r="O24" s="267">
        <v>30564.512606344801</v>
      </c>
      <c r="P24" s="267">
        <v>0.55680092670000003</v>
      </c>
      <c r="Q24" s="43"/>
      <c r="R24" s="267">
        <v>29318.1060078593</v>
      </c>
      <c r="S24" s="267">
        <v>0.47164217209999998</v>
      </c>
      <c r="T24" s="43"/>
      <c r="U24" s="267">
        <v>35103.762869614096</v>
      </c>
      <c r="V24" s="267">
        <v>0.65510569959999998</v>
      </c>
      <c r="W24" s="43"/>
      <c r="X24" s="267">
        <v>33933.3958216842</v>
      </c>
      <c r="Y24" s="267">
        <v>0.63450411699999998</v>
      </c>
      <c r="Z24" s="43"/>
      <c r="AA24" s="267">
        <v>8605.5734294731992</v>
      </c>
      <c r="AB24" s="267">
        <v>0.17537643820000001</v>
      </c>
      <c r="AC24" s="43"/>
      <c r="AD24" s="753" t="s">
        <v>266</v>
      </c>
      <c r="AE24" s="753" t="s">
        <v>266</v>
      </c>
    </row>
    <row r="25" spans="1:32" ht="15" customHeight="1">
      <c r="B25" s="417" t="s">
        <v>115</v>
      </c>
      <c r="C25" s="404"/>
      <c r="D25" s="268">
        <v>102407.77342179501</v>
      </c>
      <c r="E25" s="418"/>
      <c r="F25" s="268">
        <v>40819.918254672397</v>
      </c>
      <c r="G25" s="268">
        <v>0.92154946429999995</v>
      </c>
      <c r="H25" s="418"/>
      <c r="I25" s="268">
        <v>20221.070867531798</v>
      </c>
      <c r="J25" s="268">
        <v>0.47887065950000002</v>
      </c>
      <c r="L25" s="268">
        <v>21621.858455204499</v>
      </c>
      <c r="M25" s="268">
        <v>0.50116393140000004</v>
      </c>
      <c r="O25" s="268">
        <v>25230.045804587</v>
      </c>
      <c r="P25" s="268">
        <v>0.66948624840000004</v>
      </c>
      <c r="Q25" s="3"/>
      <c r="R25" s="268">
        <v>26458.956679375198</v>
      </c>
      <c r="S25" s="268">
        <v>0.60157299580000001</v>
      </c>
      <c r="U25" s="268">
        <v>28228.9367450346</v>
      </c>
      <c r="V25" s="268">
        <v>0.75601023820000002</v>
      </c>
      <c r="X25" s="268">
        <v>25677.6890588608</v>
      </c>
      <c r="Y25" s="268">
        <v>0.69986102139999995</v>
      </c>
      <c r="AA25" s="268">
        <v>7766.7975406796004</v>
      </c>
      <c r="AB25" s="268">
        <v>0.2248149602</v>
      </c>
      <c r="AD25" s="177" t="s">
        <v>266</v>
      </c>
      <c r="AE25" s="177" t="s">
        <v>266</v>
      </c>
    </row>
    <row r="26" spans="1:32" ht="15" customHeight="1">
      <c r="B26" s="417" t="s">
        <v>113</v>
      </c>
      <c r="C26" s="404"/>
      <c r="D26" s="268">
        <v>6025.6444200760998</v>
      </c>
      <c r="E26" s="418"/>
      <c r="F26" s="268">
        <v>2257.5205936533998</v>
      </c>
      <c r="G26" s="268">
        <v>5.2106855490999999</v>
      </c>
      <c r="H26" s="418"/>
      <c r="I26" s="268">
        <v>1303.1922344766001</v>
      </c>
      <c r="J26" s="268">
        <v>3.7429220513999999</v>
      </c>
      <c r="L26" s="268">
        <v>1871.5782110294001</v>
      </c>
      <c r="M26" s="268">
        <v>4.7559875249000001</v>
      </c>
      <c r="O26" s="268">
        <v>1715.700459482</v>
      </c>
      <c r="P26" s="268">
        <v>4.7201746073999997</v>
      </c>
      <c r="Q26" s="3"/>
      <c r="R26" s="268">
        <v>2170.2267162672001</v>
      </c>
      <c r="S26" s="268">
        <v>5.9584141376000002</v>
      </c>
      <c r="U26" s="268">
        <v>2556.1518920080998</v>
      </c>
      <c r="V26" s="268">
        <v>6.4932722108999998</v>
      </c>
      <c r="X26" s="268">
        <v>1824.0880217552999</v>
      </c>
      <c r="Y26" s="268">
        <v>5.2487051118999997</v>
      </c>
      <c r="AA26" s="268">
        <v>0</v>
      </c>
      <c r="AB26" s="268">
        <v>0</v>
      </c>
      <c r="AD26" s="177" t="s">
        <v>266</v>
      </c>
      <c r="AE26" s="177" t="s">
        <v>266</v>
      </c>
    </row>
    <row r="27" spans="1:32" ht="15" customHeight="1">
      <c r="B27" s="417" t="s">
        <v>114</v>
      </c>
      <c r="C27" s="404"/>
      <c r="D27" s="268">
        <v>50690.858991016503</v>
      </c>
      <c r="E27" s="418"/>
      <c r="F27" s="268">
        <v>22499.516822814701</v>
      </c>
      <c r="G27" s="268">
        <v>1.3405768337999999</v>
      </c>
      <c r="H27" s="418"/>
      <c r="I27" s="268">
        <v>9529.2427839580996</v>
      </c>
      <c r="J27" s="268">
        <v>0.63264554630000003</v>
      </c>
      <c r="L27" s="268">
        <v>10879.9866527995</v>
      </c>
      <c r="M27" s="268">
        <v>0.71195002819999997</v>
      </c>
      <c r="O27" s="268">
        <v>16464.422251954798</v>
      </c>
      <c r="P27" s="268">
        <v>0.97264395889999999</v>
      </c>
      <c r="Q27" s="3"/>
      <c r="R27" s="268">
        <v>16141.012314425299</v>
      </c>
      <c r="S27" s="268">
        <v>0.92936144840000001</v>
      </c>
      <c r="U27" s="268">
        <v>15539.9632291039</v>
      </c>
      <c r="V27" s="268">
        <v>0.95506975329999999</v>
      </c>
      <c r="X27" s="268">
        <v>16505.0671261766</v>
      </c>
      <c r="Y27" s="268">
        <v>1.0946492807999999</v>
      </c>
      <c r="AA27" s="268">
        <v>3583.3166594561999</v>
      </c>
      <c r="AB27" s="268">
        <v>0.2461909078</v>
      </c>
      <c r="AD27" s="177" t="s">
        <v>266</v>
      </c>
      <c r="AE27" s="177" t="s">
        <v>266</v>
      </c>
    </row>
    <row r="28" spans="1:32" ht="15" customHeight="1">
      <c r="B28" s="22" t="s">
        <v>86</v>
      </c>
      <c r="C28" s="404"/>
      <c r="D28" s="267">
        <v>119954.26651658599</v>
      </c>
      <c r="E28" s="415"/>
      <c r="F28" s="267">
        <v>37529.255012295398</v>
      </c>
      <c r="G28" s="267">
        <v>0.66617705989999998</v>
      </c>
      <c r="H28" s="415"/>
      <c r="I28" s="267">
        <v>16916.923489794299</v>
      </c>
      <c r="J28" s="267">
        <v>0.31499545179999999</v>
      </c>
      <c r="K28" s="43"/>
      <c r="L28" s="267">
        <v>23557.4108779497</v>
      </c>
      <c r="M28" s="267">
        <v>0.40828753849999999</v>
      </c>
      <c r="N28" s="43"/>
      <c r="O28" s="267">
        <v>29028.6525574892</v>
      </c>
      <c r="P28" s="267">
        <v>0.50568903170000001</v>
      </c>
      <c r="Q28" s="43"/>
      <c r="R28" s="267">
        <v>27957.501029321302</v>
      </c>
      <c r="S28" s="267">
        <v>0.4945153913</v>
      </c>
      <c r="T28" s="43"/>
      <c r="U28" s="267">
        <v>33692.720115792697</v>
      </c>
      <c r="V28" s="267">
        <v>0.6164802774</v>
      </c>
      <c r="W28" s="43"/>
      <c r="X28" s="267">
        <v>39546.270627872902</v>
      </c>
      <c r="Y28" s="267">
        <v>0.73055242580000002</v>
      </c>
      <c r="Z28" s="43"/>
      <c r="AA28" s="267">
        <v>9780.2065169517009</v>
      </c>
      <c r="AB28" s="267">
        <v>0.19958447479999999</v>
      </c>
      <c r="AC28" s="43"/>
      <c r="AD28" s="267">
        <v>33617.094476530503</v>
      </c>
      <c r="AE28" s="267">
        <v>0.62278877020000001</v>
      </c>
    </row>
    <row r="29" spans="1:32" ht="15" customHeight="1">
      <c r="B29" s="417" t="s">
        <v>115</v>
      </c>
      <c r="C29" s="404"/>
      <c r="D29" s="268">
        <v>102407.77342179501</v>
      </c>
      <c r="E29" s="418"/>
      <c r="F29" s="268">
        <v>28880.6948130563</v>
      </c>
      <c r="G29" s="268">
        <v>0.70979774529999995</v>
      </c>
      <c r="H29" s="418"/>
      <c r="I29" s="268">
        <v>15139.311334288401</v>
      </c>
      <c r="J29" s="268">
        <v>0.389203729</v>
      </c>
      <c r="L29" s="268">
        <v>20850.721239042799</v>
      </c>
      <c r="M29" s="268">
        <v>0.51029541410000001</v>
      </c>
      <c r="O29" s="268">
        <v>25081.9540233353</v>
      </c>
      <c r="P29" s="268">
        <v>0.59954649999999998</v>
      </c>
      <c r="Q29" s="3"/>
      <c r="R29" s="268">
        <v>25200.0020243486</v>
      </c>
      <c r="S29" s="268">
        <v>0.61883087439999995</v>
      </c>
      <c r="U29" s="268">
        <v>28023.835691869001</v>
      </c>
      <c r="V29" s="268">
        <v>0.76028362719999998</v>
      </c>
      <c r="X29" s="268">
        <v>29801.070121134999</v>
      </c>
      <c r="Y29" s="268">
        <v>0.81858109830000003</v>
      </c>
      <c r="AA29" s="268">
        <v>8544.8741984198005</v>
      </c>
      <c r="AB29" s="268">
        <v>0.24751539040000001</v>
      </c>
      <c r="AD29" s="268">
        <v>30674.6696068319</v>
      </c>
      <c r="AE29" s="268">
        <v>0.82200107700000002</v>
      </c>
    </row>
    <row r="30" spans="1:32" ht="15" customHeight="1">
      <c r="B30" s="417" t="s">
        <v>113</v>
      </c>
      <c r="C30" s="404"/>
      <c r="D30" s="268">
        <v>6025.6444200760998</v>
      </c>
      <c r="E30" s="418"/>
      <c r="F30" s="268">
        <v>2198.9424730993001</v>
      </c>
      <c r="G30" s="268">
        <v>5.1887481400000004</v>
      </c>
      <c r="H30" s="418"/>
      <c r="I30" s="268">
        <v>1152.8391041251</v>
      </c>
      <c r="J30" s="268">
        <v>3.3412787115999998</v>
      </c>
      <c r="L30" s="268">
        <v>1835.6214206638999</v>
      </c>
      <c r="M30" s="268">
        <v>4.7001634387999998</v>
      </c>
      <c r="O30" s="268">
        <v>1711.7407513989999</v>
      </c>
      <c r="P30" s="268">
        <v>4.7026567067</v>
      </c>
      <c r="Q30" s="3"/>
      <c r="R30" s="268">
        <v>1802.6563732448001</v>
      </c>
      <c r="S30" s="268">
        <v>5.0056387072000001</v>
      </c>
      <c r="U30" s="268">
        <v>2150.9168716825998</v>
      </c>
      <c r="V30" s="268">
        <v>5.6285858162000002</v>
      </c>
      <c r="X30" s="268">
        <v>2513.9634043497999</v>
      </c>
      <c r="Y30" s="268">
        <v>6.7414583704000002</v>
      </c>
      <c r="AA30" s="268">
        <v>261</v>
      </c>
      <c r="AB30" s="268">
        <v>0.77408225750000004</v>
      </c>
      <c r="AD30" s="268">
        <v>629.72533695250002</v>
      </c>
      <c r="AE30" s="268">
        <v>1.8535131489000001</v>
      </c>
    </row>
    <row r="31" spans="1:32" ht="15" customHeight="1">
      <c r="B31" s="417" t="s">
        <v>114</v>
      </c>
      <c r="C31" s="404"/>
      <c r="D31" s="268">
        <v>50690.858991016503</v>
      </c>
      <c r="E31" s="418"/>
      <c r="F31" s="268">
        <v>19221.153894601499</v>
      </c>
      <c r="G31" s="268">
        <v>1.2009375846000001</v>
      </c>
      <c r="H31" s="418"/>
      <c r="I31" s="268">
        <v>7518.1355867423999</v>
      </c>
      <c r="J31" s="268">
        <v>0.50845281330000003</v>
      </c>
      <c r="L31" s="268">
        <v>10404.6713960014</v>
      </c>
      <c r="M31" s="268">
        <v>0.69220493679999995</v>
      </c>
      <c r="O31" s="268">
        <v>13629.3628326738</v>
      </c>
      <c r="P31" s="268">
        <v>0.82334566200000003</v>
      </c>
      <c r="Q31" s="3"/>
      <c r="R31" s="268">
        <v>14980.083880230701</v>
      </c>
      <c r="S31" s="268">
        <v>0.86093293940000004</v>
      </c>
      <c r="U31" s="268">
        <v>16020.261772890401</v>
      </c>
      <c r="V31" s="268">
        <v>0.93792726959999995</v>
      </c>
      <c r="X31" s="268">
        <v>19007.248292213699</v>
      </c>
      <c r="Y31" s="268">
        <v>1.1648955668000001</v>
      </c>
      <c r="AA31" s="268">
        <v>4423.6140806870999</v>
      </c>
      <c r="AB31" s="268">
        <v>0.30347045169999998</v>
      </c>
      <c r="AD31" s="268">
        <v>10590.915610902501</v>
      </c>
      <c r="AE31" s="268">
        <v>0.73475453759999998</v>
      </c>
    </row>
    <row r="32" spans="1:32" ht="6" customHeight="1">
      <c r="B32" s="48"/>
      <c r="C32" s="404"/>
    </row>
    <row r="33" spans="2:31" ht="15" customHeight="1">
      <c r="B33" s="299" t="s">
        <v>44</v>
      </c>
      <c r="C33" s="404"/>
      <c r="D33" s="267">
        <v>90092.149654014298</v>
      </c>
      <c r="E33" s="415"/>
      <c r="F33" s="157"/>
      <c r="G33" s="84"/>
      <c r="H33" s="415"/>
      <c r="I33" s="157"/>
      <c r="J33" s="84"/>
      <c r="K33" s="43"/>
      <c r="L33" s="157"/>
      <c r="M33" s="84"/>
      <c r="N33" s="43"/>
      <c r="O33" s="157"/>
      <c r="P33" s="84"/>
      <c r="Q33" s="43"/>
      <c r="R33" s="157"/>
      <c r="S33" s="84"/>
      <c r="T33" s="43"/>
      <c r="U33" s="157"/>
      <c r="V33" s="84"/>
      <c r="W33" s="43"/>
      <c r="X33" s="157"/>
      <c r="Y33" s="84"/>
      <c r="Z33" s="43"/>
      <c r="AA33" s="157"/>
      <c r="AB33" s="84"/>
      <c r="AC33" s="43"/>
      <c r="AD33" s="157"/>
      <c r="AE33" s="84"/>
    </row>
    <row r="34" spans="2:31" ht="6" customHeight="1">
      <c r="B34" s="141"/>
      <c r="C34" s="402"/>
    </row>
    <row r="35" spans="2:31" ht="15" customHeight="1">
      <c r="B35" s="22" t="s">
        <v>85</v>
      </c>
      <c r="C35" s="404"/>
      <c r="D35" s="267">
        <v>90092.149654014298</v>
      </c>
      <c r="E35" s="415"/>
      <c r="F35" s="267">
        <v>33448.494808815303</v>
      </c>
      <c r="G35" s="267">
        <v>0.99560483649999998</v>
      </c>
      <c r="H35" s="415"/>
      <c r="I35" s="267">
        <v>21268.270007667699</v>
      </c>
      <c r="J35" s="267">
        <v>0.67458378659999996</v>
      </c>
      <c r="K35" s="43"/>
      <c r="L35" s="267">
        <v>17815.904219656099</v>
      </c>
      <c r="M35" s="267">
        <v>0.61960546569999997</v>
      </c>
      <c r="N35" s="43"/>
      <c r="O35" s="267">
        <v>22895.766162478802</v>
      </c>
      <c r="P35" s="267">
        <v>0.68229759720000005</v>
      </c>
      <c r="Q35" s="43"/>
      <c r="R35" s="267">
        <v>20555.881792596399</v>
      </c>
      <c r="S35" s="267">
        <v>0.7367306548</v>
      </c>
      <c r="T35" s="43"/>
      <c r="U35" s="267">
        <v>20599.913597979899</v>
      </c>
      <c r="V35" s="267">
        <v>0.70737924760000004</v>
      </c>
      <c r="W35" s="43"/>
      <c r="X35" s="267">
        <v>14676.1117052832</v>
      </c>
      <c r="Y35" s="267">
        <v>0.51925283649999998</v>
      </c>
      <c r="Z35" s="43"/>
      <c r="AA35" s="267">
        <v>7320.2899638094004</v>
      </c>
      <c r="AB35" s="267">
        <v>0.2893136382</v>
      </c>
      <c r="AC35" s="43"/>
      <c r="AD35" s="753" t="s">
        <v>266</v>
      </c>
      <c r="AE35" s="753" t="s">
        <v>266</v>
      </c>
    </row>
    <row r="36" spans="2:31" ht="15" customHeight="1">
      <c r="B36" s="417" t="s">
        <v>115</v>
      </c>
      <c r="C36" s="404"/>
      <c r="D36" s="268">
        <v>70283.422355315604</v>
      </c>
      <c r="E36" s="418"/>
      <c r="F36" s="268">
        <v>25523.801163087301</v>
      </c>
      <c r="G36" s="268">
        <v>1.0246677341999999</v>
      </c>
      <c r="H36" s="418"/>
      <c r="I36" s="268">
        <v>17081.794988797501</v>
      </c>
      <c r="J36" s="268">
        <v>0.72195819260000005</v>
      </c>
      <c r="L36" s="268">
        <v>13567.894821973699</v>
      </c>
      <c r="M36" s="268">
        <v>0.63401258579999997</v>
      </c>
      <c r="O36" s="268">
        <v>19768.629168416701</v>
      </c>
      <c r="P36" s="268">
        <v>0.81106621639999998</v>
      </c>
      <c r="Q36" s="3"/>
      <c r="R36" s="268">
        <v>17936.199423747199</v>
      </c>
      <c r="S36" s="268">
        <v>0.85015522899999996</v>
      </c>
      <c r="U36" s="268">
        <v>17208.961985206399</v>
      </c>
      <c r="V36" s="268">
        <v>0.80341621050000001</v>
      </c>
      <c r="X36" s="268">
        <v>12715.322307033601</v>
      </c>
      <c r="Y36" s="268">
        <v>0.61276674590000002</v>
      </c>
      <c r="AA36" s="268">
        <v>7065.3063093149003</v>
      </c>
      <c r="AB36" s="268">
        <v>0.363813365</v>
      </c>
      <c r="AD36" s="177" t="s">
        <v>266</v>
      </c>
      <c r="AE36" s="177" t="s">
        <v>266</v>
      </c>
    </row>
    <row r="37" spans="2:31" ht="15" customHeight="1">
      <c r="B37" s="417" t="s">
        <v>113</v>
      </c>
      <c r="C37" s="404"/>
      <c r="D37" s="268">
        <v>6195.6425079917999</v>
      </c>
      <c r="E37" s="418"/>
      <c r="F37" s="268">
        <v>1969.4012676295999</v>
      </c>
      <c r="G37" s="268">
        <v>4.4324277556</v>
      </c>
      <c r="H37" s="418"/>
      <c r="I37" s="268">
        <v>1866.7622773133</v>
      </c>
      <c r="J37" s="268">
        <v>4.4583612430999997</v>
      </c>
      <c r="L37" s="268">
        <v>1252.1705155448999</v>
      </c>
      <c r="M37" s="268">
        <v>2.9798633814</v>
      </c>
      <c r="O37" s="268">
        <v>1484.6858491237001</v>
      </c>
      <c r="P37" s="268">
        <v>3.8652313855</v>
      </c>
      <c r="Q37" s="3"/>
      <c r="R37" s="268">
        <v>2429.7084598773999</v>
      </c>
      <c r="S37" s="268">
        <v>5.7328974407000004</v>
      </c>
      <c r="U37" s="268">
        <v>1502.8860882042</v>
      </c>
      <c r="V37" s="268">
        <v>3.3958915145000002</v>
      </c>
      <c r="X37" s="268">
        <v>2034.4634018171</v>
      </c>
      <c r="Y37" s="268">
        <v>5.1106590815999997</v>
      </c>
      <c r="AA37" s="268">
        <v>451</v>
      </c>
      <c r="AB37" s="268">
        <v>1.2415485181999999</v>
      </c>
      <c r="AD37" s="177" t="s">
        <v>266</v>
      </c>
      <c r="AE37" s="177" t="s">
        <v>266</v>
      </c>
    </row>
    <row r="38" spans="2:31" ht="15" customHeight="1">
      <c r="B38" s="417" t="s">
        <v>114</v>
      </c>
      <c r="C38" s="404"/>
      <c r="D38" s="268">
        <v>34686.589171056003</v>
      </c>
      <c r="E38" s="418"/>
      <c r="F38" s="268">
        <v>14903.239953942</v>
      </c>
      <c r="G38" s="268">
        <v>2.2321518894999999</v>
      </c>
      <c r="H38" s="418"/>
      <c r="I38" s="268">
        <v>8560.6515098061009</v>
      </c>
      <c r="J38" s="268">
        <v>1.3226040542999999</v>
      </c>
      <c r="L38" s="268">
        <v>9410.8144350234998</v>
      </c>
      <c r="M38" s="268">
        <v>1.5062016449</v>
      </c>
      <c r="O38" s="268">
        <v>10183.997374311401</v>
      </c>
      <c r="P38" s="268">
        <v>1.4431530777999999</v>
      </c>
      <c r="Q38" s="3"/>
      <c r="R38" s="268">
        <v>8830.9165557993001</v>
      </c>
      <c r="S38" s="268">
        <v>1.4195809168</v>
      </c>
      <c r="U38" s="268">
        <v>7216.6785690834004</v>
      </c>
      <c r="V38" s="268">
        <v>1.0782595735</v>
      </c>
      <c r="X38" s="268">
        <v>7277.2260794678996</v>
      </c>
      <c r="Y38" s="268">
        <v>1.1797413591999999</v>
      </c>
      <c r="AA38" s="268">
        <v>1915.6050393196001</v>
      </c>
      <c r="AB38" s="268">
        <v>0.3447530345</v>
      </c>
      <c r="AD38" s="177" t="s">
        <v>266</v>
      </c>
      <c r="AE38" s="177" t="s">
        <v>266</v>
      </c>
    </row>
    <row r="39" spans="2:31" ht="15" customHeight="1">
      <c r="B39" s="22" t="s">
        <v>86</v>
      </c>
      <c r="C39" s="404"/>
      <c r="D39" s="267">
        <v>90092.149654014298</v>
      </c>
      <c r="E39" s="415"/>
      <c r="F39" s="267">
        <v>26436.5080143423</v>
      </c>
      <c r="G39" s="267">
        <v>0.89683560490000003</v>
      </c>
      <c r="H39" s="415"/>
      <c r="I39" s="267">
        <v>16876.456733232</v>
      </c>
      <c r="J39" s="267">
        <v>0.59095428670000005</v>
      </c>
      <c r="K39" s="43"/>
      <c r="L39" s="267">
        <v>15722.857760043</v>
      </c>
      <c r="M39" s="267">
        <v>0.56815320930000002</v>
      </c>
      <c r="N39" s="43"/>
      <c r="O39" s="267">
        <v>20153.497745740198</v>
      </c>
      <c r="P39" s="267">
        <v>0.72450169190000002</v>
      </c>
      <c r="Q39" s="43"/>
      <c r="R39" s="267">
        <v>18352.866237413498</v>
      </c>
      <c r="S39" s="267">
        <v>0.66488617490000002</v>
      </c>
      <c r="T39" s="43"/>
      <c r="U39" s="267">
        <v>20517.490126510202</v>
      </c>
      <c r="V39" s="267">
        <v>0.71867956259999999</v>
      </c>
      <c r="W39" s="43"/>
      <c r="X39" s="267">
        <v>27906.719845630301</v>
      </c>
      <c r="Y39" s="267">
        <v>0.90457101279999996</v>
      </c>
      <c r="Z39" s="43"/>
      <c r="AA39" s="267">
        <v>8096.6530645186003</v>
      </c>
      <c r="AB39" s="267">
        <v>0.31755994830000001</v>
      </c>
      <c r="AC39" s="43"/>
      <c r="AD39" s="267">
        <v>28036.6815523593</v>
      </c>
      <c r="AE39" s="267">
        <v>1.0374640347999999</v>
      </c>
    </row>
    <row r="40" spans="2:31" ht="15" customHeight="1">
      <c r="B40" s="417" t="s">
        <v>115</v>
      </c>
      <c r="C40" s="404"/>
      <c r="D40" s="268">
        <v>70283.422355315604</v>
      </c>
      <c r="E40" s="418"/>
      <c r="F40" s="268">
        <v>20463.0164683619</v>
      </c>
      <c r="G40" s="268">
        <v>0.92138196299999997</v>
      </c>
      <c r="H40" s="418"/>
      <c r="I40" s="268">
        <v>13257.988650306501</v>
      </c>
      <c r="J40" s="268">
        <v>0.62129349860000005</v>
      </c>
      <c r="L40" s="268">
        <v>13518.4670072018</v>
      </c>
      <c r="M40" s="268">
        <v>0.64596652389999998</v>
      </c>
      <c r="O40" s="268">
        <v>17903.060531684001</v>
      </c>
      <c r="P40" s="268">
        <v>0.84965109650000004</v>
      </c>
      <c r="Q40" s="3"/>
      <c r="R40" s="268">
        <v>16124.7639090393</v>
      </c>
      <c r="S40" s="268">
        <v>0.7518636648</v>
      </c>
      <c r="U40" s="268">
        <v>15974.260638190101</v>
      </c>
      <c r="V40" s="268">
        <v>0.78099159279999997</v>
      </c>
      <c r="X40" s="268">
        <v>24043.987542920098</v>
      </c>
      <c r="Y40" s="268">
        <v>1.0354372882</v>
      </c>
      <c r="AA40" s="268">
        <v>7783.0210315570002</v>
      </c>
      <c r="AB40" s="268">
        <v>0.3968998205</v>
      </c>
      <c r="AD40" s="268">
        <v>20956.8708478888</v>
      </c>
      <c r="AE40" s="268">
        <v>1.0443861685</v>
      </c>
    </row>
    <row r="41" spans="2:31" ht="15" customHeight="1">
      <c r="B41" s="417" t="s">
        <v>113</v>
      </c>
      <c r="C41" s="404"/>
      <c r="D41" s="268">
        <v>6195.6425079917999</v>
      </c>
      <c r="F41" s="268">
        <v>1799.1322908558</v>
      </c>
      <c r="G41" s="268">
        <v>4.1483336499999997</v>
      </c>
      <c r="I41" s="268">
        <v>1610.3808245257001</v>
      </c>
      <c r="J41" s="268">
        <v>3.9866322223999999</v>
      </c>
      <c r="L41" s="268">
        <v>1361.8208399052</v>
      </c>
      <c r="M41" s="268">
        <v>3.1735321053000001</v>
      </c>
      <c r="O41" s="268">
        <v>1281.6598612737</v>
      </c>
      <c r="P41" s="268">
        <v>3.5040295004000002</v>
      </c>
      <c r="R41" s="268">
        <v>2307.0832234663999</v>
      </c>
      <c r="S41" s="268">
        <v>5.2098007630999996</v>
      </c>
      <c r="U41" s="268">
        <v>1999.0909562249999</v>
      </c>
      <c r="V41" s="268">
        <v>4.8186081912000001</v>
      </c>
      <c r="X41" s="268">
        <v>2308.8939708500002</v>
      </c>
      <c r="Y41" s="268">
        <v>5.6064935358000003</v>
      </c>
      <c r="AA41" s="268">
        <v>451</v>
      </c>
      <c r="AB41" s="268">
        <v>1.2415485181999999</v>
      </c>
      <c r="AD41" s="268">
        <v>410.26089260369997</v>
      </c>
      <c r="AE41" s="268">
        <v>1.1563469213999999</v>
      </c>
    </row>
    <row r="42" spans="2:31" ht="15" customHeight="1">
      <c r="B42" s="417" t="s">
        <v>114</v>
      </c>
      <c r="C42" s="404"/>
      <c r="D42" s="268">
        <v>34686.589171056003</v>
      </c>
      <c r="F42" s="268">
        <v>13113.536166419901</v>
      </c>
      <c r="G42" s="268">
        <v>2.0769983916000001</v>
      </c>
      <c r="I42" s="268">
        <v>7559.7708237461002</v>
      </c>
      <c r="J42" s="268">
        <v>1.2691677594999999</v>
      </c>
      <c r="L42" s="268">
        <v>6961.7436818705</v>
      </c>
      <c r="M42" s="268">
        <v>1.1382256032</v>
      </c>
      <c r="O42" s="268">
        <v>7855.6993358014997</v>
      </c>
      <c r="P42" s="268">
        <v>1.2630100748999999</v>
      </c>
      <c r="R42" s="268">
        <v>7040.4615510420999</v>
      </c>
      <c r="S42" s="268">
        <v>1.1873069688</v>
      </c>
      <c r="U42" s="268">
        <v>10433.925299164899</v>
      </c>
      <c r="V42" s="268">
        <v>1.5252245992</v>
      </c>
      <c r="X42" s="268">
        <v>10653.920971146301</v>
      </c>
      <c r="Y42" s="268">
        <v>1.5351944852999999</v>
      </c>
      <c r="AA42" s="268">
        <v>2192.9584279384999</v>
      </c>
      <c r="AB42" s="268">
        <v>0.39964583679999999</v>
      </c>
      <c r="AD42" s="268">
        <v>9576.5812802090004</v>
      </c>
      <c r="AE42" s="268">
        <v>1.5996114291000001</v>
      </c>
    </row>
    <row r="43" spans="2:31" ht="6" customHeight="1">
      <c r="B43" s="48"/>
      <c r="C43" s="404"/>
      <c r="D43" s="159"/>
      <c r="F43" s="159"/>
      <c r="G43" s="86"/>
      <c r="I43" s="159"/>
      <c r="J43" s="86"/>
      <c r="L43" s="159"/>
      <c r="M43" s="86"/>
      <c r="O43" s="159"/>
      <c r="P43" s="86"/>
      <c r="R43" s="159"/>
      <c r="S43" s="86"/>
      <c r="U43" s="159"/>
      <c r="V43" s="86"/>
      <c r="X43" s="159"/>
      <c r="Y43" s="86"/>
      <c r="AA43" s="159"/>
      <c r="AB43" s="86"/>
      <c r="AD43" s="159"/>
      <c r="AE43" s="86"/>
    </row>
    <row r="44" spans="2:31" ht="15" customHeight="1">
      <c r="B44" s="299" t="s">
        <v>45</v>
      </c>
      <c r="C44" s="404"/>
      <c r="D44" s="267">
        <v>79837.131136115306</v>
      </c>
      <c r="E44" s="43"/>
      <c r="F44" s="157"/>
      <c r="G44" s="84"/>
      <c r="H44" s="43"/>
      <c r="I44" s="157"/>
      <c r="J44" s="84"/>
      <c r="K44" s="43"/>
      <c r="L44" s="157"/>
      <c r="M44" s="84"/>
      <c r="N44" s="43"/>
      <c r="O44" s="157"/>
      <c r="P44" s="84"/>
      <c r="Q44" s="419"/>
      <c r="R44" s="157"/>
      <c r="S44" s="84"/>
      <c r="T44" s="43"/>
      <c r="U44" s="157"/>
      <c r="V44" s="84"/>
      <c r="W44" s="43"/>
      <c r="X44" s="157"/>
      <c r="Y44" s="84"/>
      <c r="Z44" s="43"/>
      <c r="AA44" s="157"/>
      <c r="AB44" s="84"/>
      <c r="AC44" s="43"/>
      <c r="AD44" s="157"/>
      <c r="AE44" s="84"/>
    </row>
    <row r="45" spans="2:31" ht="6" customHeight="1">
      <c r="B45" s="141"/>
      <c r="C45" s="402"/>
      <c r="D45" s="159"/>
      <c r="E45" s="23"/>
      <c r="F45" s="159"/>
      <c r="G45" s="86"/>
      <c r="I45" s="159"/>
      <c r="J45" s="86"/>
      <c r="L45" s="159"/>
      <c r="M45" s="86"/>
      <c r="O45" s="159"/>
      <c r="P45" s="86"/>
      <c r="R45" s="159"/>
      <c r="S45" s="86"/>
      <c r="U45" s="159"/>
      <c r="V45" s="86"/>
      <c r="X45" s="159"/>
      <c r="Y45" s="86"/>
      <c r="AA45" s="159"/>
      <c r="AB45" s="86"/>
      <c r="AD45" s="159"/>
      <c r="AE45" s="86"/>
    </row>
    <row r="46" spans="2:31" ht="15" customHeight="1">
      <c r="B46" s="22" t="s">
        <v>85</v>
      </c>
      <c r="C46" s="404"/>
      <c r="D46" s="267">
        <v>79837.131136115306</v>
      </c>
      <c r="E46" s="44"/>
      <c r="F46" s="267">
        <v>30785.283404943799</v>
      </c>
      <c r="G46" s="267">
        <v>1.3368329763</v>
      </c>
      <c r="H46" s="43"/>
      <c r="I46" s="267">
        <v>20033.229993261299</v>
      </c>
      <c r="J46" s="267">
        <v>0.82452624050000001</v>
      </c>
      <c r="K46" s="43"/>
      <c r="L46" s="267">
        <v>19596.715940406699</v>
      </c>
      <c r="M46" s="267">
        <v>0.8176556586</v>
      </c>
      <c r="N46" s="43"/>
      <c r="O46" s="267">
        <v>24865.701980717</v>
      </c>
      <c r="P46" s="267">
        <v>0.99124991510000005</v>
      </c>
      <c r="Q46" s="419"/>
      <c r="R46" s="267">
        <v>17945.449506352899</v>
      </c>
      <c r="S46" s="267">
        <v>0.72278364370000003</v>
      </c>
      <c r="T46" s="43"/>
      <c r="U46" s="267">
        <v>21700.490451366099</v>
      </c>
      <c r="V46" s="267">
        <v>0.91137617469999999</v>
      </c>
      <c r="W46" s="43"/>
      <c r="X46" s="267">
        <v>15752.6750107322</v>
      </c>
      <c r="Y46" s="267">
        <v>0.69558366130000004</v>
      </c>
      <c r="Z46" s="43"/>
      <c r="AA46" s="267">
        <v>6512.9560480123</v>
      </c>
      <c r="AB46" s="267">
        <v>0.31982722749999998</v>
      </c>
      <c r="AC46" s="43"/>
      <c r="AD46" s="753" t="s">
        <v>266</v>
      </c>
      <c r="AE46" s="753" t="s">
        <v>266</v>
      </c>
    </row>
    <row r="47" spans="2:31" ht="15" customHeight="1">
      <c r="B47" s="417" t="s">
        <v>115</v>
      </c>
      <c r="C47" s="404"/>
      <c r="D47" s="268">
        <v>66904.214081422295</v>
      </c>
      <c r="E47" s="23"/>
      <c r="F47" s="268">
        <v>25927.0437051812</v>
      </c>
      <c r="G47" s="268">
        <v>1.4930234795999999</v>
      </c>
      <c r="I47" s="268">
        <v>18421.6648621739</v>
      </c>
      <c r="J47" s="268">
        <v>0.99670862159999996</v>
      </c>
      <c r="L47" s="268">
        <v>17033.9246539612</v>
      </c>
      <c r="M47" s="268">
        <v>0.97149036700000002</v>
      </c>
      <c r="O47" s="268">
        <v>20739.747430877502</v>
      </c>
      <c r="P47" s="268">
        <v>1.1854713952</v>
      </c>
      <c r="R47" s="268">
        <v>16270.7647572225</v>
      </c>
      <c r="S47" s="268">
        <v>0.87339886960000002</v>
      </c>
      <c r="U47" s="268">
        <v>17611.0495633471</v>
      </c>
      <c r="V47" s="268">
        <v>0.99027160110000001</v>
      </c>
      <c r="X47" s="268">
        <v>13217.2984702747</v>
      </c>
      <c r="Y47" s="268">
        <v>0.76590461379999997</v>
      </c>
      <c r="AA47" s="268">
        <v>6426.0342742641997</v>
      </c>
      <c r="AB47" s="268">
        <v>0.41787722519999998</v>
      </c>
      <c r="AD47" s="177" t="s">
        <v>266</v>
      </c>
      <c r="AE47" s="177" t="s">
        <v>266</v>
      </c>
    </row>
    <row r="48" spans="2:31" ht="15" customHeight="1">
      <c r="B48" s="417" t="s">
        <v>113</v>
      </c>
      <c r="C48" s="404"/>
      <c r="D48" s="268">
        <v>11360.616308881101</v>
      </c>
      <c r="E48" s="23"/>
      <c r="F48" s="268">
        <v>4697.1337844980999</v>
      </c>
      <c r="G48" s="268">
        <v>4.7102437768999996</v>
      </c>
      <c r="I48" s="268">
        <v>3205.9081396696001</v>
      </c>
      <c r="J48" s="268">
        <v>3.1216529497000001</v>
      </c>
      <c r="L48" s="268">
        <v>3303.8605499224</v>
      </c>
      <c r="M48" s="268">
        <v>3.1452926697999999</v>
      </c>
      <c r="O48" s="268">
        <v>7297.1453651216998</v>
      </c>
      <c r="P48" s="268">
        <v>6.3713268662999996</v>
      </c>
      <c r="R48" s="268">
        <v>2224.3122532594002</v>
      </c>
      <c r="S48" s="268">
        <v>2.2769719807</v>
      </c>
      <c r="U48" s="268">
        <v>3013.1587495023</v>
      </c>
      <c r="V48" s="268">
        <v>3.2319466146</v>
      </c>
      <c r="X48" s="268">
        <v>3210.2473424956002</v>
      </c>
      <c r="Y48" s="268">
        <v>3.1272525965</v>
      </c>
      <c r="AA48" s="268">
        <v>360</v>
      </c>
      <c r="AB48" s="268">
        <v>0.38190242250000001</v>
      </c>
      <c r="AD48" s="177" t="s">
        <v>266</v>
      </c>
      <c r="AE48" s="177" t="s">
        <v>266</v>
      </c>
    </row>
    <row r="49" spans="2:31" ht="15" customHeight="1">
      <c r="B49" s="417" t="s">
        <v>114</v>
      </c>
      <c r="C49" s="404"/>
      <c r="D49" s="268">
        <v>26837.2010418256</v>
      </c>
      <c r="E49" s="23"/>
      <c r="F49" s="268">
        <v>12606.606847025299</v>
      </c>
      <c r="G49" s="268">
        <v>2.5338462052000001</v>
      </c>
      <c r="I49" s="268">
        <v>6231.8588960479001</v>
      </c>
      <c r="J49" s="268">
        <v>1.4404816314</v>
      </c>
      <c r="L49" s="268">
        <v>6936.2028138782998</v>
      </c>
      <c r="M49" s="268">
        <v>1.4713962654999999</v>
      </c>
      <c r="O49" s="268">
        <v>10019.7314737631</v>
      </c>
      <c r="P49" s="268">
        <v>2.0048910791000001</v>
      </c>
      <c r="R49" s="268">
        <v>6103.1278747854003</v>
      </c>
      <c r="S49" s="268">
        <v>1.4096952868999999</v>
      </c>
      <c r="U49" s="268">
        <v>9338.3033355298994</v>
      </c>
      <c r="V49" s="268">
        <v>1.8797644199000001</v>
      </c>
      <c r="X49" s="268">
        <v>6007.1647380831</v>
      </c>
      <c r="Y49" s="268">
        <v>1.3764943476</v>
      </c>
      <c r="AA49" s="268">
        <v>1253.2935011401</v>
      </c>
      <c r="AB49" s="268">
        <v>0.30185701320000002</v>
      </c>
      <c r="AD49" s="177" t="s">
        <v>266</v>
      </c>
      <c r="AE49" s="177" t="s">
        <v>266</v>
      </c>
    </row>
    <row r="50" spans="2:31" ht="15" customHeight="1">
      <c r="B50" s="22" t="s">
        <v>86</v>
      </c>
      <c r="C50" s="404"/>
      <c r="D50" s="267">
        <v>79837.131136115306</v>
      </c>
      <c r="E50" s="44"/>
      <c r="F50" s="267">
        <v>23469.088727542599</v>
      </c>
      <c r="G50" s="267">
        <v>1.1005082149000001</v>
      </c>
      <c r="H50" s="43"/>
      <c r="I50" s="267">
        <v>17540.689847220699</v>
      </c>
      <c r="J50" s="267">
        <v>0.73070495430000004</v>
      </c>
      <c r="K50" s="43"/>
      <c r="L50" s="267">
        <v>17592.4009771417</v>
      </c>
      <c r="M50" s="267">
        <v>0.76905870519999997</v>
      </c>
      <c r="N50" s="43"/>
      <c r="O50" s="267">
        <v>21649.207228639301</v>
      </c>
      <c r="P50" s="267">
        <v>0.8678879155</v>
      </c>
      <c r="Q50" s="419"/>
      <c r="R50" s="267">
        <v>19143.8927021538</v>
      </c>
      <c r="S50" s="267">
        <v>0.78338981119999995</v>
      </c>
      <c r="T50" s="43"/>
      <c r="U50" s="267">
        <v>18629.628376341199</v>
      </c>
      <c r="V50" s="267">
        <v>0.81904063299999996</v>
      </c>
      <c r="W50" s="43"/>
      <c r="X50" s="267">
        <v>28187.992555803699</v>
      </c>
      <c r="Y50" s="267">
        <v>1.1142166995</v>
      </c>
      <c r="Z50" s="43"/>
      <c r="AA50" s="267">
        <v>5293.6639030562001</v>
      </c>
      <c r="AB50" s="267">
        <v>0.26533809559999999</v>
      </c>
      <c r="AC50" s="43"/>
      <c r="AD50" s="267">
        <v>20483.619005150202</v>
      </c>
      <c r="AE50" s="267">
        <v>0.95992504410000001</v>
      </c>
    </row>
    <row r="51" spans="2:31" ht="15" customHeight="1">
      <c r="B51" s="417" t="s">
        <v>115</v>
      </c>
      <c r="C51" s="404"/>
      <c r="D51" s="268">
        <v>66904.214081422295</v>
      </c>
      <c r="E51" s="23"/>
      <c r="F51" s="268">
        <v>19513.444742760101</v>
      </c>
      <c r="G51" s="268">
        <v>1.2177612884</v>
      </c>
      <c r="I51" s="268">
        <v>15524.967854365899</v>
      </c>
      <c r="J51" s="268">
        <v>0.84954172299999997</v>
      </c>
      <c r="L51" s="268">
        <v>15693.1884780826</v>
      </c>
      <c r="M51" s="268">
        <v>0.93030971330000001</v>
      </c>
      <c r="O51" s="268">
        <v>18718.449872115601</v>
      </c>
      <c r="P51" s="268">
        <v>1.0813479173</v>
      </c>
      <c r="R51" s="268">
        <v>16819.067846213198</v>
      </c>
      <c r="S51" s="268">
        <v>0.92686459229999996</v>
      </c>
      <c r="U51" s="268">
        <v>15546.6182952237</v>
      </c>
      <c r="V51" s="268">
        <v>0.93462087130000004</v>
      </c>
      <c r="X51" s="268">
        <v>24810.338155917601</v>
      </c>
      <c r="Y51" s="268">
        <v>1.3274159113999999</v>
      </c>
      <c r="AA51" s="268">
        <v>4987.2356944559997</v>
      </c>
      <c r="AB51" s="268">
        <v>0.3298873511</v>
      </c>
      <c r="AD51" s="268">
        <v>19251.333731439699</v>
      </c>
      <c r="AE51" s="268">
        <v>1.2052879253</v>
      </c>
    </row>
    <row r="52" spans="2:31" ht="15" customHeight="1">
      <c r="B52" s="417" t="s">
        <v>113</v>
      </c>
      <c r="C52" s="404"/>
      <c r="D52" s="268">
        <v>11360.616308881101</v>
      </c>
      <c r="E52" s="23"/>
      <c r="F52" s="268">
        <v>3832.4101802226</v>
      </c>
      <c r="G52" s="268">
        <v>3.8484667793999998</v>
      </c>
      <c r="I52" s="268">
        <v>3421.6545705258</v>
      </c>
      <c r="J52" s="268">
        <v>3.3162171412000001</v>
      </c>
      <c r="L52" s="268">
        <v>1504.9815945718001</v>
      </c>
      <c r="M52" s="268">
        <v>1.5929216084</v>
      </c>
      <c r="O52" s="268">
        <v>7140.2579458542004</v>
      </c>
      <c r="P52" s="268">
        <v>6.0710367216999996</v>
      </c>
      <c r="R52" s="268">
        <v>3990.6129561049001</v>
      </c>
      <c r="S52" s="268">
        <v>3.680026394</v>
      </c>
      <c r="U52" s="268">
        <v>2337.8962826631</v>
      </c>
      <c r="V52" s="268">
        <v>2.5566819761000001</v>
      </c>
      <c r="X52" s="268">
        <v>3948.0506164853</v>
      </c>
      <c r="Y52" s="268">
        <v>3.7828695593999999</v>
      </c>
      <c r="AA52" s="268">
        <v>360</v>
      </c>
      <c r="AB52" s="268">
        <v>0.38190242250000001</v>
      </c>
      <c r="AD52" s="268">
        <v>156</v>
      </c>
      <c r="AE52" s="268">
        <v>0.1655383352</v>
      </c>
    </row>
    <row r="53" spans="2:31" ht="15" customHeight="1">
      <c r="B53" s="417" t="s">
        <v>114</v>
      </c>
      <c r="C53" s="404"/>
      <c r="D53" s="268">
        <v>26837.2010418256</v>
      </c>
      <c r="E53" s="23"/>
      <c r="F53" s="268">
        <v>9586.8566567383004</v>
      </c>
      <c r="G53" s="268">
        <v>2.0418115660999998</v>
      </c>
      <c r="I53" s="268">
        <v>6331.0776435939997</v>
      </c>
      <c r="J53" s="268">
        <v>1.4015308177000001</v>
      </c>
      <c r="L53" s="268">
        <v>6297.3370533253001</v>
      </c>
      <c r="M53" s="268">
        <v>1.3687334873000001</v>
      </c>
      <c r="O53" s="268">
        <v>8881.5850811053006</v>
      </c>
      <c r="P53" s="268">
        <v>1.8617102209</v>
      </c>
      <c r="R53" s="268">
        <v>6349.4495428689997</v>
      </c>
      <c r="S53" s="268">
        <v>1.428723816</v>
      </c>
      <c r="U53" s="268">
        <v>8078.8954700468003</v>
      </c>
      <c r="V53" s="268">
        <v>1.6911304116999999</v>
      </c>
      <c r="X53" s="268">
        <v>9559.9806629440009</v>
      </c>
      <c r="Y53" s="268">
        <v>1.9139239346000001</v>
      </c>
      <c r="AA53" s="268">
        <v>1684.1702408010999</v>
      </c>
      <c r="AB53" s="268">
        <v>0.4073067984</v>
      </c>
      <c r="AD53" s="268">
        <v>5232.5782274517996</v>
      </c>
      <c r="AE53" s="268">
        <v>1.1943266568999999</v>
      </c>
    </row>
    <row r="54" spans="2:31" ht="6" customHeight="1">
      <c r="B54" s="48"/>
      <c r="C54" s="404"/>
      <c r="D54" s="159"/>
      <c r="E54" s="23"/>
      <c r="F54" s="159"/>
      <c r="G54" s="86"/>
      <c r="I54" s="159"/>
      <c r="J54" s="86"/>
      <c r="L54" s="159"/>
      <c r="M54" s="86"/>
      <c r="O54" s="159"/>
      <c r="P54" s="86"/>
      <c r="R54" s="159"/>
      <c r="S54" s="86"/>
      <c r="U54" s="159"/>
      <c r="V54" s="86"/>
      <c r="X54" s="159"/>
      <c r="Y54" s="86"/>
      <c r="AA54" s="159"/>
      <c r="AB54" s="86"/>
      <c r="AD54" s="159"/>
      <c r="AE54" s="86"/>
    </row>
    <row r="55" spans="2:31" ht="15" customHeight="1">
      <c r="B55" s="303" t="s">
        <v>110</v>
      </c>
      <c r="C55" s="404"/>
      <c r="D55" s="267">
        <v>82197.598005874403</v>
      </c>
      <c r="E55" s="44"/>
      <c r="F55" s="157"/>
      <c r="G55" s="84"/>
      <c r="H55" s="43"/>
      <c r="I55" s="157"/>
      <c r="J55" s="84"/>
      <c r="K55" s="43"/>
      <c r="L55" s="157"/>
      <c r="M55" s="84"/>
      <c r="N55" s="43"/>
      <c r="O55" s="157"/>
      <c r="P55" s="84"/>
      <c r="Q55" s="419"/>
      <c r="R55" s="157"/>
      <c r="S55" s="84"/>
      <c r="T55" s="43"/>
      <c r="U55" s="157"/>
      <c r="V55" s="84"/>
      <c r="W55" s="43"/>
      <c r="X55" s="157"/>
      <c r="Y55" s="84"/>
      <c r="Z55" s="43"/>
      <c r="AA55" s="157"/>
      <c r="AB55" s="84"/>
      <c r="AC55" s="43"/>
      <c r="AD55" s="157"/>
      <c r="AE55" s="84"/>
    </row>
    <row r="56" spans="2:31" ht="6" customHeight="1">
      <c r="B56" s="141"/>
      <c r="C56" s="402"/>
      <c r="D56" s="156"/>
      <c r="E56" s="44"/>
      <c r="F56" s="156"/>
      <c r="G56" s="112"/>
      <c r="H56" s="43"/>
      <c r="I56" s="156"/>
      <c r="J56" s="112"/>
      <c r="K56" s="43"/>
      <c r="L56" s="156"/>
      <c r="M56" s="112"/>
      <c r="N56" s="43"/>
      <c r="O56" s="156"/>
      <c r="P56" s="112"/>
      <c r="Q56" s="419"/>
      <c r="R56" s="156"/>
      <c r="S56" s="112"/>
      <c r="T56" s="43"/>
      <c r="U56" s="156"/>
      <c r="V56" s="112"/>
      <c r="W56" s="43"/>
      <c r="X56" s="156"/>
      <c r="Y56" s="112"/>
      <c r="Z56" s="43"/>
      <c r="AA56" s="156"/>
      <c r="AB56" s="112"/>
      <c r="AC56" s="43"/>
      <c r="AD56" s="156"/>
      <c r="AE56" s="112"/>
    </row>
    <row r="57" spans="2:31" ht="15" customHeight="1">
      <c r="B57" s="22" t="s">
        <v>85</v>
      </c>
      <c r="C57" s="404"/>
      <c r="D57" s="422">
        <v>82197.598005874403</v>
      </c>
      <c r="E57" s="44"/>
      <c r="F57" s="422">
        <v>49382.301304526904</v>
      </c>
      <c r="G57" s="422">
        <v>0.95936616109999995</v>
      </c>
      <c r="H57" s="43"/>
      <c r="I57" s="422">
        <v>29578.739112919899</v>
      </c>
      <c r="J57" s="422">
        <v>0.63177264710000003</v>
      </c>
      <c r="K57" s="43"/>
      <c r="L57" s="422">
        <v>24895.0822291693</v>
      </c>
      <c r="M57" s="422">
        <v>0.54404506370000005</v>
      </c>
      <c r="N57" s="43"/>
      <c r="O57" s="422">
        <v>26977.389848633102</v>
      </c>
      <c r="P57" s="422">
        <v>0.5875809501</v>
      </c>
      <c r="Q57" s="419"/>
      <c r="R57" s="422">
        <v>20841.693423190602</v>
      </c>
      <c r="S57" s="422">
        <v>0.4587027924</v>
      </c>
      <c r="T57" s="43"/>
      <c r="U57" s="422">
        <v>23301.454609795001</v>
      </c>
      <c r="V57" s="422">
        <v>0.50602826349999996</v>
      </c>
      <c r="W57" s="43"/>
      <c r="X57" s="422">
        <v>19499.409954199</v>
      </c>
      <c r="Y57" s="422">
        <v>0.43318742780000002</v>
      </c>
      <c r="Z57" s="43"/>
      <c r="AA57" s="422">
        <v>14394.4803148417</v>
      </c>
      <c r="AB57" s="422">
        <v>0.33368072259999998</v>
      </c>
      <c r="AC57" s="43"/>
      <c r="AD57" s="753" t="s">
        <v>266</v>
      </c>
      <c r="AE57" s="753" t="s">
        <v>266</v>
      </c>
    </row>
    <row r="58" spans="2:31" ht="15" customHeight="1">
      <c r="B58" s="417" t="s">
        <v>115</v>
      </c>
      <c r="C58" s="404"/>
      <c r="D58" s="421">
        <v>72467.037490135597</v>
      </c>
      <c r="E58" s="23"/>
      <c r="F58" s="421">
        <v>43953.2579451563</v>
      </c>
      <c r="G58" s="421">
        <v>1.1568790725</v>
      </c>
      <c r="I58" s="421">
        <v>25446.7576773828</v>
      </c>
      <c r="J58" s="421">
        <v>0.76591188040000002</v>
      </c>
      <c r="L58" s="421">
        <v>21471.787389606401</v>
      </c>
      <c r="M58" s="421">
        <v>0.65062637180000005</v>
      </c>
      <c r="O58" s="421">
        <v>23546.746447497299</v>
      </c>
      <c r="P58" s="421">
        <v>0.71876314819999998</v>
      </c>
      <c r="R58" s="421">
        <v>18283.0481380893</v>
      </c>
      <c r="S58" s="421">
        <v>0.55951576650000001</v>
      </c>
      <c r="U58" s="421">
        <v>19776.340665974902</v>
      </c>
      <c r="V58" s="421">
        <v>0.60085775190000001</v>
      </c>
      <c r="X58" s="421">
        <v>16308.985389854801</v>
      </c>
      <c r="Y58" s="421">
        <v>0.50783050640000005</v>
      </c>
      <c r="AA58" s="421">
        <v>12689.903781868101</v>
      </c>
      <c r="AB58" s="421">
        <v>0.40984289969999999</v>
      </c>
      <c r="AD58" s="177" t="s">
        <v>266</v>
      </c>
      <c r="AE58" s="177" t="s">
        <v>266</v>
      </c>
    </row>
    <row r="59" spans="2:31" ht="15" customHeight="1">
      <c r="B59" s="417" t="s">
        <v>113</v>
      </c>
      <c r="C59" s="404"/>
      <c r="D59" s="421">
        <v>19991.597813504599</v>
      </c>
      <c r="E59" s="23"/>
      <c r="F59" s="421">
        <v>11785.356046310801</v>
      </c>
      <c r="G59" s="421">
        <v>2.9999163028</v>
      </c>
      <c r="I59" s="421">
        <v>6897.7325804768998</v>
      </c>
      <c r="J59" s="421">
        <v>2.0702518492999999</v>
      </c>
      <c r="L59" s="421">
        <v>6079.8785413203996</v>
      </c>
      <c r="M59" s="421">
        <v>1.8749803866999999</v>
      </c>
      <c r="O59" s="421">
        <v>7490.6147911505996</v>
      </c>
      <c r="P59" s="421">
        <v>2.2286415489000002</v>
      </c>
      <c r="R59" s="421">
        <v>5863.5368805020998</v>
      </c>
      <c r="S59" s="421">
        <v>1.7953392693000001</v>
      </c>
      <c r="U59" s="421">
        <v>7555.3522745728997</v>
      </c>
      <c r="V59" s="421">
        <v>2.2679906104000001</v>
      </c>
      <c r="X59" s="421">
        <v>3970.535165061</v>
      </c>
      <c r="Y59" s="421">
        <v>1.2564789448</v>
      </c>
      <c r="AA59" s="421">
        <v>1036.5235163758</v>
      </c>
      <c r="AB59" s="421">
        <v>0.33599508210000001</v>
      </c>
      <c r="AD59" s="177" t="s">
        <v>266</v>
      </c>
      <c r="AE59" s="177" t="s">
        <v>266</v>
      </c>
    </row>
    <row r="60" spans="2:31" ht="15" customHeight="1">
      <c r="B60" s="417" t="s">
        <v>114</v>
      </c>
      <c r="C60" s="404"/>
      <c r="D60" s="421">
        <v>32886.672492945203</v>
      </c>
      <c r="E60" s="23"/>
      <c r="F60" s="421">
        <v>19016.005710801099</v>
      </c>
      <c r="G60" s="421">
        <v>1.7469484039000001</v>
      </c>
      <c r="I60" s="421">
        <v>12266.269023364999</v>
      </c>
      <c r="J60" s="421">
        <v>1.2251184386</v>
      </c>
      <c r="L60" s="421">
        <v>10051.510754294701</v>
      </c>
      <c r="M60" s="421">
        <v>1.0215272036</v>
      </c>
      <c r="O60" s="421">
        <v>10755.112937760299</v>
      </c>
      <c r="P60" s="421">
        <v>1.0932256375</v>
      </c>
      <c r="R60" s="421">
        <v>6545.8063294479998</v>
      </c>
      <c r="S60" s="421">
        <v>0.70621682399999997</v>
      </c>
      <c r="U60" s="421">
        <v>8953.7045936042996</v>
      </c>
      <c r="V60" s="421">
        <v>0.93310705059999999</v>
      </c>
      <c r="X60" s="421">
        <v>8084.9259536589998</v>
      </c>
      <c r="Y60" s="421">
        <v>0.85906380059999998</v>
      </c>
      <c r="AA60" s="421">
        <v>6905.6456553409998</v>
      </c>
      <c r="AB60" s="421">
        <v>0.74743203700000005</v>
      </c>
      <c r="AD60" s="177" t="s">
        <v>266</v>
      </c>
      <c r="AE60" s="177" t="s">
        <v>266</v>
      </c>
    </row>
    <row r="61" spans="2:31" ht="15" customHeight="1">
      <c r="B61" s="22" t="s">
        <v>86</v>
      </c>
      <c r="C61" s="404"/>
      <c r="D61" s="422">
        <v>82197.598005874403</v>
      </c>
      <c r="E61" s="44"/>
      <c r="F61" s="422">
        <v>39306.659431518798</v>
      </c>
      <c r="G61" s="422">
        <v>0.8208330627</v>
      </c>
      <c r="H61" s="43"/>
      <c r="I61" s="422">
        <v>23384.045123332799</v>
      </c>
      <c r="J61" s="422">
        <v>0.5239499822</v>
      </c>
      <c r="K61" s="43"/>
      <c r="L61" s="422">
        <v>27918.9896487279</v>
      </c>
      <c r="M61" s="422">
        <v>0.60970372979999998</v>
      </c>
      <c r="N61" s="43"/>
      <c r="O61" s="422">
        <v>25774.644206306599</v>
      </c>
      <c r="P61" s="422">
        <v>0.55472658019999999</v>
      </c>
      <c r="Q61" s="419"/>
      <c r="R61" s="422">
        <v>22737.365051703298</v>
      </c>
      <c r="S61" s="422">
        <v>0.49626208560000001</v>
      </c>
      <c r="T61" s="43"/>
      <c r="U61" s="422">
        <v>25258.495854337099</v>
      </c>
      <c r="V61" s="422">
        <v>0.54935052529999995</v>
      </c>
      <c r="W61" s="43"/>
      <c r="X61" s="422">
        <v>30499.377275394399</v>
      </c>
      <c r="Y61" s="422">
        <v>0.64239454559999998</v>
      </c>
      <c r="Z61" s="43"/>
      <c r="AA61" s="422">
        <v>15006.2152679095</v>
      </c>
      <c r="AB61" s="422">
        <v>0.3475612864</v>
      </c>
      <c r="AC61" s="43"/>
      <c r="AD61" s="422">
        <v>20286.0443778361</v>
      </c>
      <c r="AE61" s="422">
        <v>0.46002804079999998</v>
      </c>
    </row>
    <row r="62" spans="2:31" ht="15" customHeight="1">
      <c r="B62" s="417" t="s">
        <v>115</v>
      </c>
      <c r="C62" s="404"/>
      <c r="D62" s="421">
        <v>72467.037490135597</v>
      </c>
      <c r="E62" s="23"/>
      <c r="F62" s="421">
        <v>33879.736610304899</v>
      </c>
      <c r="G62" s="421">
        <v>0.9758432145</v>
      </c>
      <c r="I62" s="421">
        <v>20549.5392041917</v>
      </c>
      <c r="J62" s="421">
        <v>0.64405117489999997</v>
      </c>
      <c r="L62" s="421">
        <v>25442.410691990099</v>
      </c>
      <c r="M62" s="421">
        <v>0.76825518390000003</v>
      </c>
      <c r="O62" s="421">
        <v>22538.966676448701</v>
      </c>
      <c r="P62" s="421">
        <v>0.67648643109999995</v>
      </c>
      <c r="R62" s="421">
        <v>19452.621237408101</v>
      </c>
      <c r="S62" s="421">
        <v>0.5908572379</v>
      </c>
      <c r="U62" s="421">
        <v>22379.106513821302</v>
      </c>
      <c r="V62" s="421">
        <v>0.68320789179999997</v>
      </c>
      <c r="X62" s="421">
        <v>26726.164480601401</v>
      </c>
      <c r="Y62" s="421">
        <v>0.78382089180000003</v>
      </c>
      <c r="AA62" s="421">
        <v>12973.587187479099</v>
      </c>
      <c r="AB62" s="421">
        <v>0.42031157000000002</v>
      </c>
      <c r="AD62" s="421">
        <v>18062.358094928801</v>
      </c>
      <c r="AE62" s="421">
        <v>0.57536450819999996</v>
      </c>
    </row>
    <row r="63" spans="2:31" ht="15" customHeight="1">
      <c r="B63" s="417" t="s">
        <v>113</v>
      </c>
      <c r="C63" s="404"/>
      <c r="D63" s="421">
        <v>19991.597813504599</v>
      </c>
      <c r="E63" s="23"/>
      <c r="F63" s="421">
        <v>11388.6946594735</v>
      </c>
      <c r="G63" s="421">
        <v>2.9731514971999999</v>
      </c>
      <c r="I63" s="421">
        <v>4949.6160451299002</v>
      </c>
      <c r="J63" s="421">
        <v>1.5315943118999999</v>
      </c>
      <c r="L63" s="421">
        <v>6085.6995435965</v>
      </c>
      <c r="M63" s="421">
        <v>1.8636524776000001</v>
      </c>
      <c r="O63" s="421">
        <v>6865.1055226175004</v>
      </c>
      <c r="P63" s="421">
        <v>2.0741634813999998</v>
      </c>
      <c r="R63" s="421">
        <v>6710.8026109535003</v>
      </c>
      <c r="S63" s="421">
        <v>2.0178755674</v>
      </c>
      <c r="U63" s="421">
        <v>5966.0105858491997</v>
      </c>
      <c r="V63" s="421">
        <v>1.8396617707</v>
      </c>
      <c r="X63" s="421">
        <v>7906.5011816340002</v>
      </c>
      <c r="Y63" s="421">
        <v>2.3375704667999999</v>
      </c>
      <c r="AA63" s="421">
        <v>1098.5795374027</v>
      </c>
      <c r="AB63" s="421">
        <v>0.35648826410000001</v>
      </c>
      <c r="AD63" s="421">
        <v>2098.6171637532998</v>
      </c>
      <c r="AE63" s="421">
        <v>0.67265947280000005</v>
      </c>
    </row>
    <row r="64" spans="2:31" ht="15" customHeight="1">
      <c r="B64" s="417" t="s">
        <v>114</v>
      </c>
      <c r="C64" s="404"/>
      <c r="D64" s="421">
        <v>32886.672492945203</v>
      </c>
      <c r="E64" s="23"/>
      <c r="F64" s="421">
        <v>15478.770266383</v>
      </c>
      <c r="G64" s="421">
        <v>1.5258032793</v>
      </c>
      <c r="I64" s="421">
        <v>9440.2074671917999</v>
      </c>
      <c r="J64" s="421">
        <v>0.99220804969999998</v>
      </c>
      <c r="L64" s="421">
        <v>10156.6588596608</v>
      </c>
      <c r="M64" s="421">
        <v>1.0596201833000001</v>
      </c>
      <c r="O64" s="421">
        <v>10242.785057073001</v>
      </c>
      <c r="P64" s="421">
        <v>1.0567144377</v>
      </c>
      <c r="R64" s="421">
        <v>8488.5315242133001</v>
      </c>
      <c r="S64" s="421">
        <v>0.89014144110000004</v>
      </c>
      <c r="U64" s="421">
        <v>9376.6849171843005</v>
      </c>
      <c r="V64" s="421">
        <v>0.95941194100000005</v>
      </c>
      <c r="X64" s="421">
        <v>11586.6285132584</v>
      </c>
      <c r="Y64" s="421">
        <v>1.1490181238999999</v>
      </c>
      <c r="AA64" s="421">
        <v>7601.2743189963003</v>
      </c>
      <c r="AB64" s="421">
        <v>0.8202187138</v>
      </c>
      <c r="AD64" s="421">
        <v>8323.3274335394999</v>
      </c>
      <c r="AE64" s="421">
        <v>0.89083750340000001</v>
      </c>
    </row>
    <row r="65" spans="1:31" ht="6" customHeight="1">
      <c r="B65" s="20"/>
      <c r="C65" s="406"/>
      <c r="D65" s="160"/>
      <c r="E65" s="32"/>
      <c r="F65" s="174"/>
      <c r="G65" s="105"/>
      <c r="H65" s="32"/>
      <c r="I65" s="174"/>
      <c r="J65" s="105"/>
      <c r="K65" s="32"/>
      <c r="L65" s="174"/>
      <c r="M65" s="105"/>
      <c r="N65" s="32"/>
      <c r="O65" s="174"/>
      <c r="P65" s="105"/>
      <c r="Q65" s="420"/>
      <c r="R65" s="174"/>
      <c r="S65" s="105"/>
      <c r="T65" s="32"/>
      <c r="U65" s="174"/>
      <c r="V65" s="105"/>
      <c r="W65" s="32"/>
      <c r="X65" s="174"/>
      <c r="Y65" s="105"/>
      <c r="Z65" s="32"/>
      <c r="AA65" s="174"/>
      <c r="AB65" s="105"/>
      <c r="AC65" s="32"/>
      <c r="AD65" s="174"/>
      <c r="AE65" s="105"/>
    </row>
    <row r="66" spans="1:31" ht="6" customHeight="1">
      <c r="B66" s="5"/>
      <c r="C66" s="213"/>
      <c r="D66" s="161"/>
      <c r="E66" s="27"/>
      <c r="F66" s="172"/>
      <c r="G66" s="104"/>
      <c r="H66" s="23"/>
      <c r="I66" s="172"/>
      <c r="J66" s="104"/>
      <c r="K66" s="23"/>
      <c r="L66" s="172"/>
      <c r="M66" s="104"/>
      <c r="N66" s="23"/>
      <c r="O66" s="172"/>
      <c r="P66" s="104"/>
      <c r="Q66" s="407"/>
      <c r="R66" s="172"/>
      <c r="S66" s="104"/>
      <c r="T66" s="23"/>
      <c r="U66" s="172"/>
      <c r="V66" s="104"/>
      <c r="W66" s="23"/>
      <c r="X66" s="172"/>
      <c r="Y66" s="104"/>
      <c r="Z66" s="23"/>
      <c r="AA66" s="172"/>
      <c r="AB66" s="104"/>
      <c r="AC66" s="23"/>
      <c r="AD66" s="172"/>
      <c r="AE66" s="104"/>
    </row>
    <row r="67" spans="1:31" s="6" customFormat="1" ht="11.25">
      <c r="A67" s="54"/>
      <c r="B67" s="849" t="s">
        <v>73</v>
      </c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404"/>
      <c r="R67" s="175"/>
      <c r="S67" s="94"/>
      <c r="T67" s="27"/>
      <c r="U67" s="175"/>
      <c r="V67" s="94"/>
      <c r="W67" s="27"/>
      <c r="X67" s="175"/>
      <c r="Y67" s="94"/>
      <c r="Z67" s="27"/>
      <c r="AA67" s="175"/>
      <c r="AB67" s="94"/>
      <c r="AC67" s="27"/>
      <c r="AD67" s="175"/>
      <c r="AE67" s="94"/>
    </row>
    <row r="68" spans="1:31" s="59" customFormat="1">
      <c r="B68" s="82" t="s">
        <v>209</v>
      </c>
      <c r="D68" s="162"/>
      <c r="F68" s="162"/>
      <c r="G68" s="88"/>
      <c r="I68" s="162"/>
      <c r="J68" s="88"/>
      <c r="L68" s="162"/>
      <c r="M68" s="88"/>
      <c r="O68" s="162"/>
      <c r="P68" s="88"/>
      <c r="R68" s="162"/>
      <c r="S68" s="88"/>
      <c r="U68" s="162"/>
      <c r="V68" s="88"/>
      <c r="X68" s="162"/>
      <c r="Y68" s="88"/>
      <c r="AA68" s="162"/>
      <c r="AB68" s="88"/>
      <c r="AD68" s="162"/>
      <c r="AE68" s="88"/>
    </row>
  </sheetData>
  <mergeCells count="14">
    <mergeCell ref="AD7:AE8"/>
    <mergeCell ref="F8:G8"/>
    <mergeCell ref="I8:J8"/>
    <mergeCell ref="L8:M8"/>
    <mergeCell ref="O8:P8"/>
    <mergeCell ref="R8:S8"/>
    <mergeCell ref="U8:V8"/>
    <mergeCell ref="X8:Y8"/>
    <mergeCell ref="AA8:AB8"/>
    <mergeCell ref="B67:P67"/>
    <mergeCell ref="B5:P5"/>
    <mergeCell ref="B7:B9"/>
    <mergeCell ref="D7:D9"/>
    <mergeCell ref="F7:AB7"/>
  </mergeCells>
  <hyperlinks>
    <hyperlink ref="AE1" location="Índice!A1" tooltip="Ir a ÍNDICE" display="INDICE" xr:uid="{F4C8EE53-DA80-4F84-B9DC-3199F76FDDC2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DAAF-4E25-4E53-BE54-8EAFD883418C}">
  <dimension ref="A1:BF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450" customWidth="1"/>
    <col min="3" max="3" width="1.85546875" style="483" customWidth="1" collapsed="1"/>
    <col min="4" max="4" width="18.7109375" style="484" customWidth="1" collapsed="1"/>
    <col min="5" max="5" width="1.7109375" style="485" customWidth="1" collapsed="1"/>
    <col min="6" max="6" width="12.7109375" style="484" customWidth="1" collapsed="1"/>
    <col min="7" max="7" width="12.7109375" style="486" customWidth="1" collapsed="1"/>
    <col min="8" max="8" width="1.7109375" style="450" customWidth="1" collapsed="1"/>
    <col min="9" max="9" width="12.7109375" style="484" customWidth="1"/>
    <col min="10" max="10" width="12.7109375" style="486" customWidth="1"/>
    <col min="11" max="11" width="1.7109375" style="450" customWidth="1"/>
    <col min="12" max="12" width="12.7109375" style="484" customWidth="1"/>
    <col min="13" max="13" width="12.7109375" style="486" customWidth="1"/>
    <col min="14" max="14" width="1.7109375" style="450" customWidth="1"/>
    <col min="15" max="15" width="14" style="484" customWidth="1"/>
    <col min="16" max="16" width="12.7109375" style="486" customWidth="1"/>
    <col min="17" max="17" width="1.7109375" style="450" customWidth="1"/>
    <col min="18" max="18" width="12.7109375" style="484" customWidth="1" collapsed="1"/>
    <col min="19" max="19" width="12.7109375" style="486" customWidth="1" collapsed="1"/>
    <col min="20" max="20" width="1.7109375" style="450" customWidth="1" collapsed="1"/>
    <col min="21" max="21" width="14.85546875" style="484" customWidth="1"/>
    <col min="22" max="22" width="14.85546875" style="486" customWidth="1"/>
    <col min="23" max="23" width="1.7109375" style="450" customWidth="1"/>
    <col min="24" max="24" width="14.85546875" style="484" customWidth="1" collapsed="1"/>
    <col min="25" max="25" width="11.42578125" style="486"/>
    <col min="26" max="26" width="1.7109375" style="450" customWidth="1"/>
    <col min="27" max="27" width="14.85546875" style="484" customWidth="1" collapsed="1"/>
    <col min="28" max="28" width="11.42578125" style="486"/>
    <col min="29" max="56" width="11.42578125" style="450"/>
    <col min="57" max="57" width="11.42578125" style="450" collapsed="1"/>
    <col min="58" max="58" width="11.42578125" style="450"/>
    <col min="59" max="16384" width="11.42578125" style="450" collapsed="1"/>
  </cols>
  <sheetData>
    <row r="1" spans="1:28" s="433" customFormat="1" ht="14.1" customHeight="1">
      <c r="A1" s="53"/>
      <c r="B1" s="756" t="s">
        <v>268</v>
      </c>
      <c r="C1" s="426"/>
      <c r="D1" s="427"/>
      <c r="E1" s="428"/>
      <c r="F1" s="427"/>
      <c r="G1" s="429"/>
      <c r="H1" s="430"/>
      <c r="I1" s="427"/>
      <c r="J1" s="429"/>
      <c r="K1" s="430"/>
      <c r="L1" s="427"/>
      <c r="M1" s="429"/>
      <c r="N1" s="430"/>
      <c r="O1" s="427"/>
      <c r="P1" s="431"/>
      <c r="Q1" s="430"/>
      <c r="R1" s="427"/>
      <c r="S1" s="429"/>
      <c r="T1" s="430"/>
      <c r="U1" s="427"/>
      <c r="V1" s="429"/>
      <c r="W1" s="430"/>
      <c r="X1" s="432"/>
      <c r="Y1" s="89"/>
      <c r="Z1" s="430"/>
      <c r="AA1" s="432"/>
      <c r="AB1" s="89" t="s">
        <v>191</v>
      </c>
    </row>
    <row r="2" spans="1:28" s="433" customFormat="1" ht="6.95" customHeight="1">
      <c r="A2" s="53"/>
      <c r="B2" s="756"/>
      <c r="C2" s="426"/>
      <c r="D2" s="427"/>
      <c r="E2" s="428"/>
      <c r="F2" s="427"/>
      <c r="G2" s="429"/>
      <c r="H2" s="430"/>
      <c r="I2" s="427"/>
      <c r="J2" s="429"/>
      <c r="K2" s="430"/>
      <c r="L2" s="427"/>
      <c r="M2" s="429"/>
      <c r="N2" s="430"/>
      <c r="O2" s="427"/>
      <c r="P2" s="429"/>
      <c r="Q2" s="430"/>
      <c r="R2" s="427"/>
      <c r="S2" s="429"/>
      <c r="T2" s="430"/>
      <c r="U2" s="427"/>
      <c r="V2" s="429"/>
      <c r="W2" s="430"/>
      <c r="X2" s="432"/>
      <c r="Y2" s="431"/>
      <c r="Z2" s="430"/>
      <c r="AA2" s="432"/>
      <c r="AB2" s="431"/>
    </row>
    <row r="3" spans="1:28" s="433" customFormat="1" ht="14.1" customHeight="1">
      <c r="A3" s="53"/>
      <c r="B3" s="756" t="s">
        <v>236</v>
      </c>
      <c r="C3" s="434"/>
      <c r="D3" s="435"/>
      <c r="E3" s="436"/>
      <c r="F3" s="435"/>
      <c r="G3" s="437"/>
      <c r="H3" s="434"/>
      <c r="I3" s="435"/>
      <c r="J3" s="429"/>
      <c r="K3" s="430"/>
      <c r="L3" s="427"/>
      <c r="M3" s="429"/>
      <c r="N3" s="430"/>
      <c r="O3" s="427"/>
      <c r="P3" s="429"/>
      <c r="Q3" s="430"/>
      <c r="R3" s="427"/>
      <c r="S3" s="429"/>
      <c r="T3" s="430"/>
      <c r="U3" s="427"/>
      <c r="V3" s="429"/>
      <c r="W3" s="430"/>
      <c r="X3" s="432"/>
      <c r="Y3" s="431"/>
      <c r="Z3" s="430"/>
      <c r="AA3" s="432"/>
      <c r="AB3" s="431"/>
    </row>
    <row r="4" spans="1:28" s="433" customFormat="1" ht="6.95" customHeight="1">
      <c r="A4" s="53"/>
      <c r="C4" s="426"/>
      <c r="D4" s="432"/>
      <c r="E4" s="438"/>
      <c r="F4" s="432"/>
      <c r="G4" s="431"/>
      <c r="I4" s="432"/>
      <c r="J4" s="431"/>
      <c r="L4" s="432"/>
      <c r="M4" s="431"/>
      <c r="O4" s="432"/>
      <c r="P4" s="431"/>
      <c r="R4" s="432"/>
      <c r="S4" s="431"/>
      <c r="U4" s="432"/>
      <c r="V4" s="431"/>
      <c r="X4" s="432"/>
      <c r="Y4" s="431"/>
      <c r="AA4" s="432"/>
      <c r="AB4" s="431"/>
    </row>
    <row r="5" spans="1:28" s="433" customFormat="1" ht="20.100000000000001" customHeight="1">
      <c r="A5" s="127"/>
      <c r="B5" s="855" t="s">
        <v>186</v>
      </c>
      <c r="C5" s="855"/>
      <c r="D5" s="855"/>
      <c r="E5" s="855"/>
      <c r="F5" s="855"/>
      <c r="G5" s="855"/>
      <c r="H5" s="855"/>
      <c r="I5" s="855"/>
      <c r="J5" s="855"/>
      <c r="K5" s="855"/>
      <c r="L5" s="855"/>
      <c r="M5" s="855"/>
      <c r="N5" s="855"/>
      <c r="O5" s="855"/>
      <c r="P5" s="855"/>
      <c r="Q5" s="855"/>
      <c r="R5" s="855"/>
      <c r="S5" s="855"/>
      <c r="T5" s="855"/>
      <c r="U5" s="439"/>
      <c r="V5" s="440"/>
      <c r="W5" s="441"/>
      <c r="X5" s="178"/>
      <c r="Y5" s="90"/>
      <c r="Z5" s="441"/>
      <c r="AA5" s="178"/>
      <c r="AB5" s="90" t="s">
        <v>143</v>
      </c>
    </row>
    <row r="6" spans="1:28" ht="6" customHeight="1">
      <c r="A6" s="127"/>
      <c r="B6" s="442"/>
      <c r="C6" s="443"/>
      <c r="D6" s="444"/>
      <c r="E6" s="445"/>
      <c r="F6" s="444"/>
      <c r="G6" s="446"/>
      <c r="H6" s="447"/>
      <c r="I6" s="444"/>
      <c r="J6" s="446"/>
      <c r="K6" s="447"/>
      <c r="L6" s="444"/>
      <c r="M6" s="446"/>
      <c r="N6" s="447"/>
      <c r="O6" s="444"/>
      <c r="P6" s="446"/>
      <c r="Q6" s="447"/>
      <c r="R6" s="444"/>
      <c r="S6" s="446"/>
      <c r="T6" s="447"/>
      <c r="U6" s="444"/>
      <c r="V6" s="446"/>
      <c r="W6" s="447"/>
      <c r="X6" s="448"/>
      <c r="Y6" s="449"/>
      <c r="Z6" s="447"/>
      <c r="AA6" s="448"/>
      <c r="AB6" s="449"/>
    </row>
    <row r="7" spans="1:28" ht="15.75" customHeight="1">
      <c r="A7" s="127"/>
      <c r="B7" s="856" t="s">
        <v>1</v>
      </c>
      <c r="C7" s="856"/>
      <c r="D7" s="859" t="s">
        <v>61</v>
      </c>
      <c r="E7" s="451"/>
      <c r="F7" s="862" t="s">
        <v>144</v>
      </c>
      <c r="G7" s="862"/>
      <c r="H7" s="862"/>
      <c r="I7" s="862"/>
      <c r="J7" s="862"/>
      <c r="K7" s="862"/>
      <c r="L7" s="862"/>
      <c r="M7" s="862"/>
      <c r="N7" s="862"/>
      <c r="O7" s="862"/>
      <c r="P7" s="862"/>
      <c r="Q7" s="862"/>
      <c r="R7" s="862"/>
      <c r="S7" s="862"/>
      <c r="T7" s="862"/>
      <c r="U7" s="862"/>
      <c r="V7" s="862"/>
      <c r="W7" s="862"/>
      <c r="X7" s="862"/>
      <c r="Y7" s="862"/>
      <c r="Z7" s="452"/>
      <c r="AA7" s="852" t="s">
        <v>211</v>
      </c>
      <c r="AB7" s="852"/>
    </row>
    <row r="8" spans="1:28" ht="34.5" customHeight="1">
      <c r="A8" s="127"/>
      <c r="B8" s="857"/>
      <c r="C8" s="857"/>
      <c r="D8" s="860"/>
      <c r="E8" s="453"/>
      <c r="F8" s="853" t="s">
        <v>168</v>
      </c>
      <c r="G8" s="853"/>
      <c r="H8" s="454"/>
      <c r="I8" s="853" t="s">
        <v>169</v>
      </c>
      <c r="J8" s="853"/>
      <c r="K8" s="454"/>
      <c r="L8" s="853" t="s">
        <v>170</v>
      </c>
      <c r="M8" s="853"/>
      <c r="N8" s="454"/>
      <c r="O8" s="853" t="s">
        <v>145</v>
      </c>
      <c r="P8" s="853"/>
      <c r="Q8" s="454"/>
      <c r="R8" s="853" t="s">
        <v>171</v>
      </c>
      <c r="S8" s="853"/>
      <c r="T8" s="454"/>
      <c r="U8" s="853" t="s">
        <v>116</v>
      </c>
      <c r="V8" s="853"/>
      <c r="W8" s="454"/>
      <c r="X8" s="853" t="s">
        <v>87</v>
      </c>
      <c r="Y8" s="853"/>
      <c r="Z8" s="454"/>
      <c r="AA8" s="853"/>
      <c r="AB8" s="853"/>
    </row>
    <row r="9" spans="1:28" ht="16.5" customHeight="1">
      <c r="A9" s="128"/>
      <c r="B9" s="858"/>
      <c r="C9" s="858"/>
      <c r="D9" s="861"/>
      <c r="E9" s="455"/>
      <c r="F9" s="203" t="s">
        <v>3</v>
      </c>
      <c r="G9" s="204" t="s">
        <v>4</v>
      </c>
      <c r="H9" s="242"/>
      <c r="I9" s="203" t="s">
        <v>3</v>
      </c>
      <c r="J9" s="204" t="s">
        <v>4</v>
      </c>
      <c r="K9" s="242"/>
      <c r="L9" s="203" t="s">
        <v>3</v>
      </c>
      <c r="M9" s="204" t="s">
        <v>4</v>
      </c>
      <c r="N9" s="242"/>
      <c r="O9" s="203" t="s">
        <v>3</v>
      </c>
      <c r="P9" s="204" t="s">
        <v>4</v>
      </c>
      <c r="Q9" s="242"/>
      <c r="R9" s="203" t="s">
        <v>3</v>
      </c>
      <c r="S9" s="204" t="s">
        <v>4</v>
      </c>
      <c r="T9" s="456"/>
      <c r="U9" s="203" t="s">
        <v>3</v>
      </c>
      <c r="V9" s="204" t="s">
        <v>4</v>
      </c>
      <c r="W9" s="456"/>
      <c r="X9" s="203" t="s">
        <v>3</v>
      </c>
      <c r="Y9" s="204" t="s">
        <v>4</v>
      </c>
      <c r="Z9" s="456"/>
      <c r="AA9" s="203" t="s">
        <v>3</v>
      </c>
      <c r="AB9" s="204" t="s">
        <v>4</v>
      </c>
    </row>
    <row r="10" spans="1:28" ht="6" customHeight="1">
      <c r="A10" s="128"/>
      <c r="B10" s="36"/>
      <c r="C10" s="443"/>
      <c r="D10" s="448"/>
      <c r="E10" s="457"/>
      <c r="F10" s="448"/>
      <c r="G10" s="449"/>
      <c r="H10" s="458"/>
      <c r="I10" s="448"/>
      <c r="J10" s="449"/>
      <c r="K10" s="458"/>
      <c r="L10" s="448"/>
      <c r="M10" s="449"/>
      <c r="N10" s="458"/>
      <c r="O10" s="448"/>
      <c r="P10" s="449"/>
      <c r="Q10" s="458"/>
      <c r="R10" s="448"/>
      <c r="S10" s="449"/>
      <c r="T10" s="458"/>
      <c r="U10" s="448"/>
      <c r="V10" s="449"/>
      <c r="W10" s="458"/>
      <c r="X10" s="448"/>
      <c r="Y10" s="449"/>
      <c r="Z10" s="458"/>
      <c r="AA10" s="448"/>
      <c r="AB10" s="449"/>
    </row>
    <row r="11" spans="1:28" s="464" customFormat="1">
      <c r="A11" s="459"/>
      <c r="B11" s="37" t="s">
        <v>5</v>
      </c>
      <c r="C11" s="460"/>
      <c r="D11" s="267">
        <v>206795.536884114</v>
      </c>
      <c r="E11" s="461"/>
      <c r="F11" s="267">
        <v>109895.20860061199</v>
      </c>
      <c r="G11" s="267">
        <v>0.44584008670000003</v>
      </c>
      <c r="H11" s="462"/>
      <c r="I11" s="267">
        <v>33253.114216368704</v>
      </c>
      <c r="J11" s="267">
        <v>0.1385233931</v>
      </c>
      <c r="K11" s="39"/>
      <c r="L11" s="267">
        <v>26172.702792034801</v>
      </c>
      <c r="M11" s="267">
        <v>0.10900305489999999</v>
      </c>
      <c r="N11" s="462"/>
      <c r="O11" s="267">
        <v>58516.089872993602</v>
      </c>
      <c r="P11" s="267">
        <v>0.23807434429999999</v>
      </c>
      <c r="Q11" s="463"/>
      <c r="R11" s="267">
        <v>35753.764965975402</v>
      </c>
      <c r="S11" s="267">
        <v>0.145014744</v>
      </c>
      <c r="T11" s="463"/>
      <c r="U11" s="267">
        <v>188704.22661977401</v>
      </c>
      <c r="V11" s="267">
        <v>0.46378839910000003</v>
      </c>
      <c r="W11" s="463"/>
      <c r="X11" s="267">
        <v>38972.7868148005</v>
      </c>
      <c r="Y11" s="267">
        <v>0.16142535359999999</v>
      </c>
      <c r="Z11" s="463"/>
      <c r="AA11" s="267">
        <v>28331.7692548753</v>
      </c>
      <c r="AB11" s="267">
        <v>0.1174333483</v>
      </c>
    </row>
    <row r="12" spans="1:28" s="464" customFormat="1" ht="6" customHeight="1">
      <c r="A12" s="129"/>
      <c r="B12" s="37"/>
      <c r="C12" s="460"/>
      <c r="D12" s="158"/>
      <c r="E12" s="461"/>
      <c r="F12" s="158"/>
      <c r="G12" s="85"/>
      <c r="H12" s="462"/>
      <c r="I12" s="158"/>
      <c r="J12" s="85"/>
      <c r="K12" s="39"/>
      <c r="L12" s="158"/>
      <c r="M12" s="85"/>
      <c r="N12" s="462"/>
      <c r="O12" s="158"/>
      <c r="P12" s="85"/>
      <c r="Q12" s="463"/>
      <c r="R12" s="158"/>
      <c r="S12" s="85"/>
      <c r="T12" s="463"/>
      <c r="U12" s="158"/>
      <c r="V12" s="85"/>
      <c r="W12" s="463"/>
      <c r="X12" s="158"/>
      <c r="Y12" s="85"/>
      <c r="Z12" s="463"/>
      <c r="AA12" s="158"/>
      <c r="AB12" s="85"/>
    </row>
    <row r="13" spans="1:28" s="464" customFormat="1" ht="12.75" customHeight="1">
      <c r="A13" s="129"/>
      <c r="B13" s="17" t="s">
        <v>6</v>
      </c>
      <c r="C13" s="460"/>
      <c r="D13" s="268">
        <v>7637.9279614702</v>
      </c>
      <c r="E13" s="465"/>
      <c r="F13" s="268">
        <v>7124.1102862412999</v>
      </c>
      <c r="G13" s="268">
        <v>2.4525604916999999</v>
      </c>
      <c r="H13" s="466"/>
      <c r="I13" s="268">
        <v>2136.0259861174</v>
      </c>
      <c r="J13" s="268">
        <v>0.80283505629999996</v>
      </c>
      <c r="K13" s="39"/>
      <c r="L13" s="268">
        <v>1880.2083948386</v>
      </c>
      <c r="M13" s="268">
        <v>0.70705306280000002</v>
      </c>
      <c r="N13" s="466"/>
      <c r="O13" s="268">
        <v>2927.6944243897001</v>
      </c>
      <c r="P13" s="268">
        <v>1.0945882648</v>
      </c>
      <c r="Q13" s="463"/>
      <c r="R13" s="268">
        <v>1439.0874708843</v>
      </c>
      <c r="S13" s="268">
        <v>0.5334707045</v>
      </c>
      <c r="T13" s="463"/>
      <c r="U13" s="268">
        <v>6248.2663148778001</v>
      </c>
      <c r="V13" s="268">
        <v>1.9333378129000001</v>
      </c>
      <c r="W13" s="463"/>
      <c r="X13" s="268">
        <v>1711.6744356733</v>
      </c>
      <c r="Y13" s="268">
        <v>0.6317476219</v>
      </c>
      <c r="Z13" s="463"/>
      <c r="AA13" s="268">
        <v>1738.0997580517001</v>
      </c>
      <c r="AB13" s="268">
        <v>0.6574366962</v>
      </c>
    </row>
    <row r="14" spans="1:28" s="464" customFormat="1" ht="12.75" customHeight="1">
      <c r="A14" s="129"/>
      <c r="B14" s="17" t="s">
        <v>7</v>
      </c>
      <c r="C14" s="460"/>
      <c r="D14" s="268">
        <v>25570.454135712898</v>
      </c>
      <c r="E14" s="465"/>
      <c r="F14" s="268">
        <v>23693.680392255399</v>
      </c>
      <c r="G14" s="268">
        <v>2.8397747376</v>
      </c>
      <c r="H14" s="466"/>
      <c r="I14" s="268">
        <v>3907.6636250957999</v>
      </c>
      <c r="J14" s="268">
        <v>0.53263398559999997</v>
      </c>
      <c r="K14" s="39"/>
      <c r="L14" s="268">
        <v>3065.8175898047002</v>
      </c>
      <c r="M14" s="268">
        <v>0.4193719722</v>
      </c>
      <c r="N14" s="466"/>
      <c r="O14" s="268">
        <v>9214.2848314738003</v>
      </c>
      <c r="P14" s="268">
        <v>1.2446257151</v>
      </c>
      <c r="Q14" s="463"/>
      <c r="R14" s="268">
        <v>2635.5033708307001</v>
      </c>
      <c r="S14" s="268">
        <v>0.3598868536</v>
      </c>
      <c r="T14" s="463"/>
      <c r="U14" s="268">
        <v>21921.620904891999</v>
      </c>
      <c r="V14" s="268">
        <v>2.6463794382999999</v>
      </c>
      <c r="W14" s="463"/>
      <c r="X14" s="268">
        <v>2946.1248177831999</v>
      </c>
      <c r="Y14" s="268">
        <v>0.39680260989999999</v>
      </c>
      <c r="Z14" s="463"/>
      <c r="AA14" s="268">
        <v>4163.0565221472998</v>
      </c>
      <c r="AB14" s="268">
        <v>0.57237363799999996</v>
      </c>
    </row>
    <row r="15" spans="1:28" s="464" customFormat="1" ht="12.75" customHeight="1">
      <c r="A15" s="128"/>
      <c r="B15" s="17" t="s">
        <v>8</v>
      </c>
      <c r="C15" s="460"/>
      <c r="D15" s="268">
        <v>6921.5173755747001</v>
      </c>
      <c r="E15" s="465"/>
      <c r="F15" s="268">
        <v>2890.7680994123002</v>
      </c>
      <c r="G15" s="268">
        <v>1.8980072478000001</v>
      </c>
      <c r="H15" s="466"/>
      <c r="I15" s="268">
        <v>1358.2455087295</v>
      </c>
      <c r="J15" s="268">
        <v>0.92414342049999998</v>
      </c>
      <c r="K15" s="39"/>
      <c r="L15" s="268">
        <v>592.58080668330001</v>
      </c>
      <c r="M15" s="268">
        <v>0.3948257355</v>
      </c>
      <c r="N15" s="466"/>
      <c r="O15" s="268">
        <v>1524.6416288466</v>
      </c>
      <c r="P15" s="268">
        <v>0.98652323460000002</v>
      </c>
      <c r="Q15" s="463"/>
      <c r="R15" s="268">
        <v>860.26794890710005</v>
      </c>
      <c r="S15" s="268">
        <v>0.54496042219999996</v>
      </c>
      <c r="T15" s="463"/>
      <c r="U15" s="268">
        <v>6392.7428700975997</v>
      </c>
      <c r="V15" s="268">
        <v>2.5012409544</v>
      </c>
      <c r="W15" s="463"/>
      <c r="X15" s="268">
        <v>1371.4354230260001</v>
      </c>
      <c r="Y15" s="268">
        <v>0.90318126669999999</v>
      </c>
      <c r="Z15" s="463"/>
      <c r="AA15" s="268">
        <v>1206.5457701692001</v>
      </c>
      <c r="AB15" s="268">
        <v>0.80880978390000002</v>
      </c>
    </row>
    <row r="16" spans="1:28" s="464" customFormat="1" ht="12.75" customHeight="1">
      <c r="A16" s="128"/>
      <c r="B16" s="17" t="s">
        <v>9</v>
      </c>
      <c r="C16" s="460"/>
      <c r="D16" s="268">
        <v>8627.7534504734995</v>
      </c>
      <c r="E16" s="465"/>
      <c r="F16" s="268">
        <v>2406.5317403442</v>
      </c>
      <c r="G16" s="268">
        <v>1.2558632032000001</v>
      </c>
      <c r="H16" s="466"/>
      <c r="I16" s="268">
        <v>855.95397372069999</v>
      </c>
      <c r="J16" s="268">
        <v>0.42926904049999998</v>
      </c>
      <c r="K16" s="39"/>
      <c r="L16" s="268">
        <v>986.46662103469998</v>
      </c>
      <c r="M16" s="268">
        <v>0.50692303660000004</v>
      </c>
      <c r="N16" s="466"/>
      <c r="O16" s="268">
        <v>1610.1361082209</v>
      </c>
      <c r="P16" s="268">
        <v>0.80277565959999997</v>
      </c>
      <c r="Q16" s="463"/>
      <c r="R16" s="268">
        <v>930.88631223829998</v>
      </c>
      <c r="S16" s="268">
        <v>0.43362953170000001</v>
      </c>
      <c r="T16" s="463"/>
      <c r="U16" s="268">
        <v>7827.1777373021996</v>
      </c>
      <c r="V16" s="268">
        <v>1.8588379643999999</v>
      </c>
      <c r="W16" s="463"/>
      <c r="X16" s="268">
        <v>1526.0023369623</v>
      </c>
      <c r="Y16" s="268">
        <v>0.75022529039999997</v>
      </c>
      <c r="Z16" s="463"/>
      <c r="AA16" s="268">
        <v>1033.8200030292001</v>
      </c>
      <c r="AB16" s="268">
        <v>0.49901100300000001</v>
      </c>
    </row>
    <row r="17" spans="1:28" s="464" customFormat="1" ht="12.75" customHeight="1">
      <c r="A17" s="128"/>
      <c r="B17" s="17" t="s">
        <v>10</v>
      </c>
      <c r="C17" s="460"/>
      <c r="D17" s="269">
        <v>15872.674300118</v>
      </c>
      <c r="E17" s="465"/>
      <c r="F17" s="269">
        <v>15745.7851157226</v>
      </c>
      <c r="G17" s="269">
        <v>2.1865122078999999</v>
      </c>
      <c r="H17" s="466"/>
      <c r="I17" s="269">
        <v>3515.0891440896999</v>
      </c>
      <c r="J17" s="269">
        <v>0.56013701410000005</v>
      </c>
      <c r="K17" s="39"/>
      <c r="L17" s="269">
        <v>2902.7948229789999</v>
      </c>
      <c r="M17" s="269">
        <v>0.46355158340000002</v>
      </c>
      <c r="N17" s="466"/>
      <c r="O17" s="269">
        <v>7194.9187238651002</v>
      </c>
      <c r="P17" s="269">
        <v>1.1205080950999999</v>
      </c>
      <c r="Q17" s="463"/>
      <c r="R17" s="269">
        <v>2772.3967882884999</v>
      </c>
      <c r="S17" s="269">
        <v>0.44189880349999999</v>
      </c>
      <c r="T17" s="463"/>
      <c r="U17" s="269">
        <v>12122.439152806999</v>
      </c>
      <c r="V17" s="269">
        <v>1.7938215373999999</v>
      </c>
      <c r="W17" s="463"/>
      <c r="X17" s="269">
        <v>3079.0683602869999</v>
      </c>
      <c r="Y17" s="269">
        <v>0.49026723480000001</v>
      </c>
      <c r="Z17" s="463"/>
      <c r="AA17" s="269">
        <v>3265.2667631854001</v>
      </c>
      <c r="AB17" s="269">
        <v>0.51624160409999997</v>
      </c>
    </row>
    <row r="18" spans="1:28" s="464" customFormat="1" ht="12.75" customHeight="1">
      <c r="A18" s="130"/>
      <c r="B18" s="17" t="s">
        <v>11</v>
      </c>
      <c r="C18" s="460"/>
      <c r="D18" s="269">
        <v>6482.4937291401002</v>
      </c>
      <c r="E18" s="465"/>
      <c r="F18" s="269">
        <v>4004.0945164039999</v>
      </c>
      <c r="G18" s="269">
        <v>2.4518276555999998</v>
      </c>
      <c r="H18" s="466"/>
      <c r="I18" s="269">
        <v>1230.8160874304001</v>
      </c>
      <c r="J18" s="269">
        <v>0.83714476159999995</v>
      </c>
      <c r="K18" s="39"/>
      <c r="L18" s="269">
        <v>736.1031610668</v>
      </c>
      <c r="M18" s="269">
        <v>0.52992921510000002</v>
      </c>
      <c r="N18" s="466"/>
      <c r="O18" s="269">
        <v>1600.5539194861001</v>
      </c>
      <c r="P18" s="269">
        <v>1.1657026268999999</v>
      </c>
      <c r="Q18" s="463"/>
      <c r="R18" s="269">
        <v>1057.0808629057001</v>
      </c>
      <c r="S18" s="269">
        <v>0.74171377910000003</v>
      </c>
      <c r="T18" s="463"/>
      <c r="U18" s="269">
        <v>4224.6256802172002</v>
      </c>
      <c r="V18" s="269">
        <v>2.1085632256000002</v>
      </c>
      <c r="W18" s="463"/>
      <c r="X18" s="269">
        <v>1627.6237646754</v>
      </c>
      <c r="Y18" s="269">
        <v>1.0703690215999999</v>
      </c>
      <c r="Z18" s="463"/>
      <c r="AA18" s="269">
        <v>949.83710503129998</v>
      </c>
      <c r="AB18" s="269">
        <v>0.66269663710000004</v>
      </c>
    </row>
    <row r="19" spans="1:28" s="464" customFormat="1" ht="12.75" customHeight="1">
      <c r="A19" s="130"/>
      <c r="B19" s="17" t="s">
        <v>12</v>
      </c>
      <c r="C19" s="460"/>
      <c r="D19" s="268">
        <v>53287.367466882897</v>
      </c>
      <c r="E19" s="465"/>
      <c r="F19" s="268">
        <v>11120.0222797239</v>
      </c>
      <c r="G19" s="268">
        <v>1.017572854</v>
      </c>
      <c r="H19" s="466"/>
      <c r="I19" s="268">
        <v>4334.6423641156998</v>
      </c>
      <c r="J19" s="268">
        <v>0.40740377890000001</v>
      </c>
      <c r="K19" s="39"/>
      <c r="L19" s="268">
        <v>1898.4187499074001</v>
      </c>
      <c r="M19" s="268">
        <v>0.17877860970000001</v>
      </c>
      <c r="N19" s="466"/>
      <c r="O19" s="268">
        <v>9372.5573508251</v>
      </c>
      <c r="P19" s="268">
        <v>0.79583471039999998</v>
      </c>
      <c r="Q19" s="463"/>
      <c r="R19" s="268">
        <v>9696.9815863819003</v>
      </c>
      <c r="S19" s="268">
        <v>0.81419000100000005</v>
      </c>
      <c r="T19" s="463"/>
      <c r="U19" s="268">
        <v>45849.321891945001</v>
      </c>
      <c r="V19" s="268">
        <v>1.6114412711999999</v>
      </c>
      <c r="W19" s="463"/>
      <c r="X19" s="268">
        <v>16193.054335946699</v>
      </c>
      <c r="Y19" s="268">
        <v>1.4292401638000001</v>
      </c>
      <c r="Z19" s="463"/>
      <c r="AA19" s="268">
        <v>4279.2993507504998</v>
      </c>
      <c r="AB19" s="268">
        <v>0.40147320069999998</v>
      </c>
    </row>
    <row r="20" spans="1:28" s="464" customFormat="1" ht="12.75" customHeight="1">
      <c r="A20" s="131"/>
      <c r="B20" s="17" t="s">
        <v>13</v>
      </c>
      <c r="C20" s="460"/>
      <c r="D20" s="268">
        <v>21640.5052695741</v>
      </c>
      <c r="E20" s="465"/>
      <c r="F20" s="268">
        <v>18123.589338890899</v>
      </c>
      <c r="G20" s="268">
        <v>2.0316930518</v>
      </c>
      <c r="H20" s="466"/>
      <c r="I20" s="268">
        <v>6026.6172996902997</v>
      </c>
      <c r="J20" s="268">
        <v>0.74101082969999998</v>
      </c>
      <c r="K20" s="39"/>
      <c r="L20" s="268">
        <v>3066.9495151888</v>
      </c>
      <c r="M20" s="268">
        <v>0.37977709399999998</v>
      </c>
      <c r="N20" s="466"/>
      <c r="O20" s="268">
        <v>11188.5185360389</v>
      </c>
      <c r="P20" s="268">
        <v>1.3124212146000001</v>
      </c>
      <c r="Q20" s="463"/>
      <c r="R20" s="268">
        <v>4014.5684802138999</v>
      </c>
      <c r="S20" s="268">
        <v>0.49856527220000002</v>
      </c>
      <c r="T20" s="463"/>
      <c r="U20" s="268">
        <v>18216.245469534999</v>
      </c>
      <c r="V20" s="268">
        <v>1.9037818283000001</v>
      </c>
      <c r="W20" s="463"/>
      <c r="X20" s="268">
        <v>5408.9680654779004</v>
      </c>
      <c r="Y20" s="268">
        <v>0.65927747520000002</v>
      </c>
      <c r="Z20" s="463"/>
      <c r="AA20" s="268">
        <v>4089.8001581537001</v>
      </c>
      <c r="AB20" s="268">
        <v>0.49619193909999998</v>
      </c>
    </row>
    <row r="21" spans="1:28" s="464" customFormat="1" ht="12.75" customHeight="1">
      <c r="A21" s="131"/>
      <c r="B21" s="17" t="s">
        <v>14</v>
      </c>
      <c r="C21" s="460"/>
      <c r="D21" s="268">
        <v>48008.948099637397</v>
      </c>
      <c r="E21" s="465"/>
      <c r="F21" s="268">
        <v>17438.868496113399</v>
      </c>
      <c r="G21" s="268">
        <v>1.2002852112</v>
      </c>
      <c r="H21" s="466"/>
      <c r="I21" s="268">
        <v>13924.437082913</v>
      </c>
      <c r="J21" s="268">
        <v>0.98008206480000004</v>
      </c>
      <c r="K21" s="39"/>
      <c r="L21" s="268">
        <v>14024.7724665202</v>
      </c>
      <c r="M21" s="268">
        <v>0.98164143130000003</v>
      </c>
      <c r="N21" s="466"/>
      <c r="O21" s="268">
        <v>17802.885575795899</v>
      </c>
      <c r="P21" s="268">
        <v>1.2402511777</v>
      </c>
      <c r="Q21" s="463"/>
      <c r="R21" s="268">
        <v>11790.9851667276</v>
      </c>
      <c r="S21" s="268">
        <v>0.810948267</v>
      </c>
      <c r="T21" s="463"/>
      <c r="U21" s="268">
        <v>40694.477052940703</v>
      </c>
      <c r="V21" s="268">
        <v>1.9101500033000001</v>
      </c>
      <c r="W21" s="463"/>
      <c r="X21" s="268">
        <v>10950.0637549523</v>
      </c>
      <c r="Y21" s="268">
        <v>0.78290172010000003</v>
      </c>
      <c r="Z21" s="463"/>
      <c r="AA21" s="268">
        <v>8271.5001497950998</v>
      </c>
      <c r="AB21" s="268">
        <v>0.58044098399999999</v>
      </c>
    </row>
    <row r="22" spans="1:28" s="464" customFormat="1" ht="12.75" customHeight="1">
      <c r="A22" s="131"/>
      <c r="B22" s="17" t="s">
        <v>15</v>
      </c>
      <c r="C22" s="460"/>
      <c r="D22" s="268">
        <v>11831.527299883401</v>
      </c>
      <c r="E22" s="465"/>
      <c r="F22" s="268">
        <v>5922.8440228199997</v>
      </c>
      <c r="G22" s="268">
        <v>1.5059612406</v>
      </c>
      <c r="H22" s="466"/>
      <c r="I22" s="268">
        <v>2947.6315272506999</v>
      </c>
      <c r="J22" s="268">
        <v>0.78260472790000002</v>
      </c>
      <c r="K22" s="39"/>
      <c r="L22" s="268">
        <v>1151.5761540586</v>
      </c>
      <c r="M22" s="268">
        <v>0.30297507350000003</v>
      </c>
      <c r="N22" s="466"/>
      <c r="O22" s="268">
        <v>3283.3927006264998</v>
      </c>
      <c r="P22" s="268">
        <v>0.83282544599999997</v>
      </c>
      <c r="Q22" s="463"/>
      <c r="R22" s="268">
        <v>2128.2569505776</v>
      </c>
      <c r="S22" s="268">
        <v>0.57029149489999997</v>
      </c>
      <c r="T22" s="463"/>
      <c r="U22" s="268">
        <v>10452.5154353622</v>
      </c>
      <c r="V22" s="268">
        <v>2.0003820725999999</v>
      </c>
      <c r="W22" s="463"/>
      <c r="X22" s="268">
        <v>2483.7025057281999</v>
      </c>
      <c r="Y22" s="268">
        <v>0.65056906839999995</v>
      </c>
      <c r="Z22" s="463"/>
      <c r="AA22" s="268">
        <v>2026.8567636493001</v>
      </c>
      <c r="AB22" s="268">
        <v>0.52985742479999998</v>
      </c>
    </row>
    <row r="23" spans="1:28" s="464" customFormat="1" ht="12.75" customHeight="1">
      <c r="A23" s="131"/>
      <c r="B23" s="17" t="s">
        <v>16</v>
      </c>
      <c r="C23" s="460"/>
      <c r="D23" s="268">
        <v>36073.567298552101</v>
      </c>
      <c r="E23" s="465"/>
      <c r="F23" s="268">
        <v>27062.754950949198</v>
      </c>
      <c r="G23" s="268">
        <v>2.2685554775000001</v>
      </c>
      <c r="H23" s="466"/>
      <c r="I23" s="268">
        <v>7200.0295365873999</v>
      </c>
      <c r="J23" s="268">
        <v>0.63334672619999999</v>
      </c>
      <c r="K23" s="39"/>
      <c r="L23" s="268">
        <v>5527.6776292639997</v>
      </c>
      <c r="M23" s="268">
        <v>0.48424676529999999</v>
      </c>
      <c r="N23" s="466"/>
      <c r="O23" s="268">
        <v>13788.4519540691</v>
      </c>
      <c r="P23" s="268">
        <v>1.1589540857</v>
      </c>
      <c r="Q23" s="463"/>
      <c r="R23" s="268">
        <v>6932.2235517214003</v>
      </c>
      <c r="S23" s="268">
        <v>0.6101214465</v>
      </c>
      <c r="T23" s="463"/>
      <c r="U23" s="268">
        <v>33031.688662000503</v>
      </c>
      <c r="V23" s="268">
        <v>2.2241103798999999</v>
      </c>
      <c r="W23" s="463"/>
      <c r="X23" s="268">
        <v>6664.9314580594</v>
      </c>
      <c r="Y23" s="268">
        <v>0.59906767750000001</v>
      </c>
      <c r="Z23" s="463"/>
      <c r="AA23" s="268">
        <v>5773.4835267550998</v>
      </c>
      <c r="AB23" s="268">
        <v>0.52204841479999997</v>
      </c>
    </row>
    <row r="24" spans="1:28" s="464" customFormat="1" ht="12.75" customHeight="1">
      <c r="A24" s="131"/>
      <c r="B24" s="17" t="s">
        <v>17</v>
      </c>
      <c r="C24" s="460"/>
      <c r="D24" s="268">
        <v>23584.9612443695</v>
      </c>
      <c r="E24" s="465"/>
      <c r="F24" s="268">
        <v>4171.1712583717999</v>
      </c>
      <c r="G24" s="268">
        <v>0.60402405749999999</v>
      </c>
      <c r="H24" s="466"/>
      <c r="I24" s="268">
        <v>5633.4723308126004</v>
      </c>
      <c r="J24" s="268">
        <v>0.79949817710000004</v>
      </c>
      <c r="K24" s="39"/>
      <c r="L24" s="268">
        <v>3235.7160564878</v>
      </c>
      <c r="M24" s="268">
        <v>0.46197583730000003</v>
      </c>
      <c r="N24" s="466"/>
      <c r="O24" s="268">
        <v>7274.2869560178997</v>
      </c>
      <c r="P24" s="268">
        <v>1.0011021020999999</v>
      </c>
      <c r="Q24" s="463"/>
      <c r="R24" s="268">
        <v>6826.3519109371</v>
      </c>
      <c r="S24" s="268">
        <v>0.96528696489999999</v>
      </c>
      <c r="T24" s="463"/>
      <c r="U24" s="268">
        <v>21470.2369541101</v>
      </c>
      <c r="V24" s="268">
        <v>1.1825178976999999</v>
      </c>
      <c r="W24" s="463"/>
      <c r="X24" s="268">
        <v>2700.3428074557</v>
      </c>
      <c r="Y24" s="268">
        <v>0.3867238516</v>
      </c>
      <c r="Z24" s="463"/>
      <c r="AA24" s="268">
        <v>3781.2545058479</v>
      </c>
      <c r="AB24" s="268">
        <v>0.54617453439999997</v>
      </c>
    </row>
    <row r="25" spans="1:28" s="464" customFormat="1" ht="12.75" customHeight="1">
      <c r="A25" s="131"/>
      <c r="B25" s="17" t="s">
        <v>18</v>
      </c>
      <c r="C25" s="460"/>
      <c r="D25" s="268">
        <v>21482.932276223099</v>
      </c>
      <c r="E25" s="465"/>
      <c r="F25" s="268">
        <v>10028.8983812676</v>
      </c>
      <c r="G25" s="268">
        <v>1.5820244398000001</v>
      </c>
      <c r="H25" s="466"/>
      <c r="I25" s="268">
        <v>3247.0590321926002</v>
      </c>
      <c r="J25" s="268">
        <v>0.49943196220000002</v>
      </c>
      <c r="K25" s="39"/>
      <c r="L25" s="268">
        <v>3656.9787759168998</v>
      </c>
      <c r="M25" s="268">
        <v>0.5494419036</v>
      </c>
      <c r="N25" s="466"/>
      <c r="O25" s="268">
        <v>5796.0982216582997</v>
      </c>
      <c r="P25" s="268">
        <v>0.84396308369999995</v>
      </c>
      <c r="Q25" s="463"/>
      <c r="R25" s="268">
        <v>3018.0343758520999</v>
      </c>
      <c r="S25" s="268">
        <v>0.44725942569999999</v>
      </c>
      <c r="T25" s="463"/>
      <c r="U25" s="268">
        <v>23852.542584123999</v>
      </c>
      <c r="V25" s="268">
        <v>1.8156196475999999</v>
      </c>
      <c r="W25" s="463"/>
      <c r="X25" s="268">
        <v>3156.8686893136</v>
      </c>
      <c r="Y25" s="268">
        <v>0.4840836288</v>
      </c>
      <c r="Z25" s="463"/>
      <c r="AA25" s="268">
        <v>2857.90648126</v>
      </c>
      <c r="AB25" s="268">
        <v>0.42627282960000001</v>
      </c>
    </row>
    <row r="26" spans="1:28" s="464" customFormat="1" ht="12.75" customHeight="1">
      <c r="A26" s="131"/>
      <c r="B26" s="17" t="s">
        <v>19</v>
      </c>
      <c r="C26" s="460"/>
      <c r="D26" s="268">
        <v>46119.986599577402</v>
      </c>
      <c r="E26" s="465"/>
      <c r="F26" s="268">
        <v>34279.301797411499</v>
      </c>
      <c r="G26" s="268">
        <v>2.5777635494000002</v>
      </c>
      <c r="H26" s="466"/>
      <c r="I26" s="268">
        <v>4929.6394183420998</v>
      </c>
      <c r="J26" s="268">
        <v>0.3754715099</v>
      </c>
      <c r="K26" s="39"/>
      <c r="L26" s="268">
        <v>7919.2708550567004</v>
      </c>
      <c r="M26" s="268">
        <v>0.56948846060000002</v>
      </c>
      <c r="N26" s="466"/>
      <c r="O26" s="268">
        <v>20756.126494258799</v>
      </c>
      <c r="P26" s="268">
        <v>1.5528585036</v>
      </c>
      <c r="Q26" s="463"/>
      <c r="R26" s="268">
        <v>11873.285090048499</v>
      </c>
      <c r="S26" s="268">
        <v>0.86276193739999996</v>
      </c>
      <c r="T26" s="463"/>
      <c r="U26" s="268">
        <v>46777.1632735889</v>
      </c>
      <c r="V26" s="268">
        <v>2.4354403779</v>
      </c>
      <c r="W26" s="463"/>
      <c r="X26" s="268">
        <v>8843.3509638808991</v>
      </c>
      <c r="Y26" s="268">
        <v>0.6696534005</v>
      </c>
      <c r="Z26" s="463"/>
      <c r="AA26" s="268">
        <v>6132.4154494822997</v>
      </c>
      <c r="AB26" s="268">
        <v>0.4651652791</v>
      </c>
    </row>
    <row r="27" spans="1:28" s="464" customFormat="1" ht="12.75" customHeight="1">
      <c r="A27" s="131"/>
      <c r="B27" s="17" t="s">
        <v>20</v>
      </c>
      <c r="C27" s="460"/>
      <c r="D27" s="268">
        <v>131204.09246898501</v>
      </c>
      <c r="E27" s="465"/>
      <c r="F27" s="268">
        <v>60354.7136542281</v>
      </c>
      <c r="G27" s="268">
        <v>2.0279986736</v>
      </c>
      <c r="H27" s="466"/>
      <c r="I27" s="268">
        <v>20161.107298941799</v>
      </c>
      <c r="J27" s="268">
        <v>0.68288675089999995</v>
      </c>
      <c r="K27" s="39"/>
      <c r="L27" s="268">
        <v>12347.8372971963</v>
      </c>
      <c r="M27" s="268">
        <v>0.4218758326</v>
      </c>
      <c r="N27" s="466"/>
      <c r="O27" s="268">
        <v>30378.044685834298</v>
      </c>
      <c r="P27" s="268">
        <v>1.0178001036</v>
      </c>
      <c r="Q27" s="463"/>
      <c r="R27" s="268">
        <v>16339.508669216601</v>
      </c>
      <c r="S27" s="268">
        <v>0.54348043450000005</v>
      </c>
      <c r="T27" s="463"/>
      <c r="U27" s="268">
        <v>123227.594626128</v>
      </c>
      <c r="V27" s="268">
        <v>2.1467779821000001</v>
      </c>
      <c r="W27" s="463"/>
      <c r="X27" s="268">
        <v>22628.555802971001</v>
      </c>
      <c r="Y27" s="268">
        <v>0.76625974240000005</v>
      </c>
      <c r="Z27" s="463"/>
      <c r="AA27" s="268">
        <v>18629.458923521499</v>
      </c>
      <c r="AB27" s="268">
        <v>0.62879132800000004</v>
      </c>
    </row>
    <row r="28" spans="1:28" s="464" customFormat="1" ht="12.75" customHeight="1">
      <c r="A28" s="131"/>
      <c r="B28" s="17" t="s">
        <v>21</v>
      </c>
      <c r="C28" s="460"/>
      <c r="D28" s="268">
        <v>34800.277328721597</v>
      </c>
      <c r="E28" s="465"/>
      <c r="F28" s="268">
        <v>19795.102310808499</v>
      </c>
      <c r="G28" s="268">
        <v>2.3320031605999998</v>
      </c>
      <c r="H28" s="466"/>
      <c r="I28" s="268">
        <v>3327.5056486303001</v>
      </c>
      <c r="J28" s="268">
        <v>0.39610849739999998</v>
      </c>
      <c r="K28" s="39"/>
      <c r="L28" s="268">
        <v>3085.9437238333999</v>
      </c>
      <c r="M28" s="268">
        <v>0.36860900460000001</v>
      </c>
      <c r="N28" s="466"/>
      <c r="O28" s="268">
        <v>10151.078751929201</v>
      </c>
      <c r="P28" s="268">
        <v>1.1836825986999999</v>
      </c>
      <c r="Q28" s="463"/>
      <c r="R28" s="268">
        <v>6981.6357037019998</v>
      </c>
      <c r="S28" s="268">
        <v>0.78867944209999996</v>
      </c>
      <c r="T28" s="463"/>
      <c r="U28" s="268">
        <v>29352.531493688501</v>
      </c>
      <c r="V28" s="268">
        <v>1.9989946535000001</v>
      </c>
      <c r="W28" s="463"/>
      <c r="X28" s="268">
        <v>7819.8831592299002</v>
      </c>
      <c r="Y28" s="268">
        <v>0.91423607790000005</v>
      </c>
      <c r="Z28" s="463"/>
      <c r="AA28" s="268">
        <v>2329.3677325260001</v>
      </c>
      <c r="AB28" s="268">
        <v>0.27931742430000001</v>
      </c>
    </row>
    <row r="29" spans="1:28" s="464" customFormat="1" ht="12.75" customHeight="1">
      <c r="A29" s="131"/>
      <c r="B29" s="17" t="s">
        <v>22</v>
      </c>
      <c r="C29" s="460"/>
      <c r="D29" s="268">
        <v>18361.487672503201</v>
      </c>
      <c r="E29" s="465"/>
      <c r="F29" s="268">
        <v>4364.4785580088001</v>
      </c>
      <c r="G29" s="268">
        <v>1.115995801</v>
      </c>
      <c r="H29" s="466"/>
      <c r="I29" s="268">
        <v>2539.9796331054999</v>
      </c>
      <c r="J29" s="268">
        <v>0.62591130589999999</v>
      </c>
      <c r="K29" s="39"/>
      <c r="L29" s="268">
        <v>1929.7596981285999</v>
      </c>
      <c r="M29" s="268">
        <v>0.46440358129999998</v>
      </c>
      <c r="N29" s="466"/>
      <c r="O29" s="268">
        <v>3608.4970118722999</v>
      </c>
      <c r="P29" s="268">
        <v>0.84724253979999997</v>
      </c>
      <c r="Q29" s="463"/>
      <c r="R29" s="268">
        <v>2115.7231643559999</v>
      </c>
      <c r="S29" s="268">
        <v>0.51786099249999995</v>
      </c>
      <c r="T29" s="463"/>
      <c r="U29" s="268">
        <v>15814.765983470699</v>
      </c>
      <c r="V29" s="268">
        <v>1.5797838101999999</v>
      </c>
      <c r="W29" s="463"/>
      <c r="X29" s="268">
        <v>2414.4091557622</v>
      </c>
      <c r="Y29" s="268">
        <v>0.60811259340000001</v>
      </c>
      <c r="Z29" s="463"/>
      <c r="AA29" s="268">
        <v>2225.7099607463001</v>
      </c>
      <c r="AB29" s="268">
        <v>0.51978980470000002</v>
      </c>
    </row>
    <row r="30" spans="1:28" s="464" customFormat="1" ht="12.75" customHeight="1">
      <c r="A30" s="131"/>
      <c r="B30" s="17" t="s">
        <v>23</v>
      </c>
      <c r="C30" s="460"/>
      <c r="D30" s="268">
        <v>8434.7008783248002</v>
      </c>
      <c r="E30" s="465"/>
      <c r="F30" s="268">
        <v>3343.7086442210998</v>
      </c>
      <c r="G30" s="268">
        <v>1.3692088604999999</v>
      </c>
      <c r="H30" s="466"/>
      <c r="I30" s="268">
        <v>2333.4485558125998</v>
      </c>
      <c r="J30" s="268">
        <v>0.89762361609999997</v>
      </c>
      <c r="K30" s="39"/>
      <c r="L30" s="268">
        <v>837.94239676719997</v>
      </c>
      <c r="M30" s="268">
        <v>0.33528298020000002</v>
      </c>
      <c r="N30" s="466"/>
      <c r="O30" s="268">
        <v>3216.1912471170999</v>
      </c>
      <c r="P30" s="268">
        <v>1.2263910563</v>
      </c>
      <c r="Q30" s="463"/>
      <c r="R30" s="268">
        <v>1308.3346879054</v>
      </c>
      <c r="S30" s="268">
        <v>0.53460092560000005</v>
      </c>
      <c r="T30" s="463"/>
      <c r="U30" s="268">
        <v>7702.1271744243004</v>
      </c>
      <c r="V30" s="268">
        <v>2.1758863628</v>
      </c>
      <c r="W30" s="463"/>
      <c r="X30" s="268">
        <v>1618.2467876454</v>
      </c>
      <c r="Y30" s="268">
        <v>0.64203292270000001</v>
      </c>
      <c r="Z30" s="463"/>
      <c r="AA30" s="268">
        <v>1163.8833110173</v>
      </c>
      <c r="AB30" s="268">
        <v>0.47178004559999998</v>
      </c>
    </row>
    <row r="31" spans="1:28" s="464" customFormat="1" ht="12.75" customHeight="1">
      <c r="A31" s="131"/>
      <c r="B31" s="17" t="s">
        <v>24</v>
      </c>
      <c r="C31" s="460"/>
      <c r="D31" s="268">
        <v>37074.547180637703</v>
      </c>
      <c r="E31" s="465"/>
      <c r="F31" s="268">
        <v>41854.643718271996</v>
      </c>
      <c r="G31" s="268">
        <v>2.9922607748000001</v>
      </c>
      <c r="H31" s="466"/>
      <c r="I31" s="268">
        <v>5596.3587115180999</v>
      </c>
      <c r="J31" s="268">
        <v>0.47739157869999999</v>
      </c>
      <c r="K31" s="39"/>
      <c r="L31" s="268">
        <v>4992.3848655427</v>
      </c>
      <c r="M31" s="268">
        <v>0.42419405710000002</v>
      </c>
      <c r="N31" s="466"/>
      <c r="O31" s="268">
        <v>11319.9732073738</v>
      </c>
      <c r="P31" s="268">
        <v>1.0120065698</v>
      </c>
      <c r="Q31" s="463"/>
      <c r="R31" s="268">
        <v>4862.1620323314</v>
      </c>
      <c r="S31" s="268">
        <v>0.4136703176</v>
      </c>
      <c r="T31" s="463"/>
      <c r="U31" s="268">
        <v>30198.6171240765</v>
      </c>
      <c r="V31" s="268">
        <v>2.3828620158999998</v>
      </c>
      <c r="W31" s="463"/>
      <c r="X31" s="268">
        <v>8112.8812668966002</v>
      </c>
      <c r="Y31" s="268">
        <v>0.67812720500000001</v>
      </c>
      <c r="Z31" s="463"/>
      <c r="AA31" s="268">
        <v>6503.1151710491004</v>
      </c>
      <c r="AB31" s="268">
        <v>0.54723358060000005</v>
      </c>
    </row>
    <row r="32" spans="1:28" s="464" customFormat="1" ht="12.75" customHeight="1">
      <c r="A32" s="131"/>
      <c r="B32" s="17" t="s">
        <v>25</v>
      </c>
      <c r="C32" s="460"/>
      <c r="D32" s="268">
        <v>42547.144422326899</v>
      </c>
      <c r="E32" s="465"/>
      <c r="F32" s="268">
        <v>8685.1013839793995</v>
      </c>
      <c r="G32" s="268">
        <v>0.94609843019999995</v>
      </c>
      <c r="H32" s="466"/>
      <c r="I32" s="268">
        <v>5765.3043123458001</v>
      </c>
      <c r="J32" s="268">
        <v>0.63252081729999998</v>
      </c>
      <c r="K32" s="39"/>
      <c r="L32" s="268">
        <v>2392.6318981405998</v>
      </c>
      <c r="M32" s="268">
        <v>0.26302989840000002</v>
      </c>
      <c r="N32" s="466"/>
      <c r="O32" s="268">
        <v>11811.603843004201</v>
      </c>
      <c r="P32" s="268">
        <v>1.1151459548</v>
      </c>
      <c r="Q32" s="463"/>
      <c r="R32" s="268">
        <v>7458.9758970909998</v>
      </c>
      <c r="S32" s="268">
        <v>0.79754699360000003</v>
      </c>
      <c r="T32" s="463"/>
      <c r="U32" s="268">
        <v>38651.7942637491</v>
      </c>
      <c r="V32" s="268">
        <v>1.3093014217000001</v>
      </c>
      <c r="W32" s="463"/>
      <c r="X32" s="268">
        <v>5852.3558347126</v>
      </c>
      <c r="Y32" s="268">
        <v>0.64636799140000001</v>
      </c>
      <c r="Z32" s="463"/>
      <c r="AA32" s="268">
        <v>3811.9330928275999</v>
      </c>
      <c r="AB32" s="268">
        <v>0.415366703</v>
      </c>
    </row>
    <row r="33" spans="1:28" s="464" customFormat="1" ht="12.75" customHeight="1">
      <c r="A33" s="131"/>
      <c r="B33" s="17" t="s">
        <v>26</v>
      </c>
      <c r="C33" s="460"/>
      <c r="D33" s="268">
        <v>46002.280336427299</v>
      </c>
      <c r="E33" s="465"/>
      <c r="F33" s="268">
        <v>20312.265320700601</v>
      </c>
      <c r="G33" s="268">
        <v>1.6589071492</v>
      </c>
      <c r="H33" s="466"/>
      <c r="I33" s="268">
        <v>4521.4509750938996</v>
      </c>
      <c r="J33" s="268">
        <v>0.38666728239999998</v>
      </c>
      <c r="K33" s="39"/>
      <c r="L33" s="268">
        <v>8306.2596691962008</v>
      </c>
      <c r="M33" s="268">
        <v>0.69006236030000001</v>
      </c>
      <c r="N33" s="466"/>
      <c r="O33" s="268">
        <v>11904.289883523301</v>
      </c>
      <c r="P33" s="268">
        <v>0.94548088109999995</v>
      </c>
      <c r="Q33" s="463"/>
      <c r="R33" s="268">
        <v>10421.7885980178</v>
      </c>
      <c r="S33" s="268">
        <v>0.82685511970000003</v>
      </c>
      <c r="T33" s="463"/>
      <c r="U33" s="268">
        <v>41581.252919643201</v>
      </c>
      <c r="V33" s="268">
        <v>1.9403021658999999</v>
      </c>
      <c r="W33" s="463"/>
      <c r="X33" s="268">
        <v>7659.9984399569003</v>
      </c>
      <c r="Y33" s="268">
        <v>0.62635118970000003</v>
      </c>
      <c r="Z33" s="463"/>
      <c r="AA33" s="268">
        <v>4117.1321329293996</v>
      </c>
      <c r="AB33" s="268">
        <v>0.34227489589999999</v>
      </c>
    </row>
    <row r="34" spans="1:28" s="464" customFormat="1" ht="12.75" customHeight="1">
      <c r="A34" s="131"/>
      <c r="B34" s="17" t="s">
        <v>27</v>
      </c>
      <c r="C34" s="460"/>
      <c r="D34" s="268">
        <v>27228.768426438201</v>
      </c>
      <c r="E34" s="465"/>
      <c r="F34" s="268">
        <v>13528.3197922855</v>
      </c>
      <c r="G34" s="268">
        <v>2.5544993586000002</v>
      </c>
      <c r="H34" s="466"/>
      <c r="I34" s="268">
        <v>3750.0471362713001</v>
      </c>
      <c r="J34" s="268">
        <v>0.76083315510000005</v>
      </c>
      <c r="K34" s="39"/>
      <c r="L34" s="268">
        <v>1339.5931350994999</v>
      </c>
      <c r="M34" s="268">
        <v>0.28396222760000001</v>
      </c>
      <c r="N34" s="466"/>
      <c r="O34" s="268">
        <v>6294.3447610208996</v>
      </c>
      <c r="P34" s="268">
        <v>1.2355991841</v>
      </c>
      <c r="Q34" s="463"/>
      <c r="R34" s="268">
        <v>1941.3510537386001</v>
      </c>
      <c r="S34" s="268">
        <v>0.39955287360000002</v>
      </c>
      <c r="T34" s="463"/>
      <c r="U34" s="268">
        <v>21438.441390412601</v>
      </c>
      <c r="V34" s="268">
        <v>2.3101618378</v>
      </c>
      <c r="W34" s="463"/>
      <c r="X34" s="268">
        <v>3854.8152745872999</v>
      </c>
      <c r="Y34" s="268">
        <v>0.77689577700000001</v>
      </c>
      <c r="Z34" s="463"/>
      <c r="AA34" s="268">
        <v>4489.2915552205995</v>
      </c>
      <c r="AB34" s="268">
        <v>0.89521884559999998</v>
      </c>
    </row>
    <row r="35" spans="1:28" s="464" customFormat="1" ht="12.75" customHeight="1">
      <c r="A35" s="131"/>
      <c r="B35" s="17" t="s">
        <v>28</v>
      </c>
      <c r="C35" s="460"/>
      <c r="D35" s="268">
        <v>16590.224099263702</v>
      </c>
      <c r="E35" s="465"/>
      <c r="F35" s="268">
        <v>16165.792901397401</v>
      </c>
      <c r="G35" s="268">
        <v>3.2974461931999999</v>
      </c>
      <c r="H35" s="466"/>
      <c r="I35" s="268">
        <v>1599.9190393988999</v>
      </c>
      <c r="J35" s="268">
        <v>0.47001177560000001</v>
      </c>
      <c r="K35" s="39"/>
      <c r="L35" s="268">
        <v>1227.4777876773001</v>
      </c>
      <c r="M35" s="268">
        <v>0.35068672200000001</v>
      </c>
      <c r="N35" s="466"/>
      <c r="O35" s="268">
        <v>4600.4087640089001</v>
      </c>
      <c r="P35" s="268">
        <v>1.3186461783000001</v>
      </c>
      <c r="Q35" s="463"/>
      <c r="R35" s="268">
        <v>2990.9029580164001</v>
      </c>
      <c r="S35" s="268">
        <v>0.89010279489999999</v>
      </c>
      <c r="T35" s="463"/>
      <c r="U35" s="268">
        <v>8563.6536005061007</v>
      </c>
      <c r="V35" s="268">
        <v>2.7088875853999999</v>
      </c>
      <c r="W35" s="463"/>
      <c r="X35" s="268">
        <v>3326.8193784256</v>
      </c>
      <c r="Y35" s="268">
        <v>0.91981158839999999</v>
      </c>
      <c r="Z35" s="463"/>
      <c r="AA35" s="268">
        <v>1594.0244683828</v>
      </c>
      <c r="AB35" s="268">
        <v>0.46524196109999999</v>
      </c>
    </row>
    <row r="36" spans="1:28" s="464" customFormat="1" ht="12.75" customHeight="1">
      <c r="A36" s="131"/>
      <c r="B36" s="17" t="s">
        <v>29</v>
      </c>
      <c r="C36" s="460"/>
      <c r="D36" s="268">
        <v>14882.082672734099</v>
      </c>
      <c r="E36" s="465"/>
      <c r="F36" s="268">
        <v>11921.1973169269</v>
      </c>
      <c r="G36" s="268">
        <v>1.9606478147999999</v>
      </c>
      <c r="H36" s="466"/>
      <c r="I36" s="268">
        <v>3015.2941334996999</v>
      </c>
      <c r="J36" s="268">
        <v>0.52343704059999996</v>
      </c>
      <c r="K36" s="39"/>
      <c r="L36" s="268">
        <v>2090.9358619674999</v>
      </c>
      <c r="M36" s="268">
        <v>0.36700098219999999</v>
      </c>
      <c r="N36" s="466"/>
      <c r="O36" s="268">
        <v>5814.8044662144002</v>
      </c>
      <c r="P36" s="268">
        <v>0.99240709770000002</v>
      </c>
      <c r="Q36" s="463"/>
      <c r="R36" s="268">
        <v>3090.7901722883998</v>
      </c>
      <c r="S36" s="268">
        <v>0.53549159670000002</v>
      </c>
      <c r="T36" s="463"/>
      <c r="U36" s="268">
        <v>13931.847945674401</v>
      </c>
      <c r="V36" s="268">
        <v>1.9580826769999999</v>
      </c>
      <c r="W36" s="463"/>
      <c r="X36" s="268">
        <v>3198.5491680444002</v>
      </c>
      <c r="Y36" s="268">
        <v>0.55673823759999996</v>
      </c>
      <c r="Z36" s="463"/>
      <c r="AA36" s="268">
        <v>2945.5190830034999</v>
      </c>
      <c r="AB36" s="268">
        <v>0.52488951039999998</v>
      </c>
    </row>
    <row r="37" spans="1:28" s="464" customFormat="1" ht="12.75" customHeight="1">
      <c r="A37" s="131"/>
      <c r="B37" s="17" t="s">
        <v>30</v>
      </c>
      <c r="C37" s="460"/>
      <c r="D37" s="268">
        <v>17697.139692004599</v>
      </c>
      <c r="E37" s="465"/>
      <c r="F37" s="268">
        <v>12277.861146536199</v>
      </c>
      <c r="G37" s="268">
        <v>1.6869212340999999</v>
      </c>
      <c r="H37" s="466"/>
      <c r="I37" s="268">
        <v>4935.9662579883998</v>
      </c>
      <c r="J37" s="268">
        <v>0.730815506</v>
      </c>
      <c r="K37" s="39"/>
      <c r="L37" s="268">
        <v>1957.7376873083999</v>
      </c>
      <c r="M37" s="268">
        <v>0.29919006050000002</v>
      </c>
      <c r="N37" s="466"/>
      <c r="O37" s="268">
        <v>6303.5028756270003</v>
      </c>
      <c r="P37" s="268">
        <v>0.92630214089999996</v>
      </c>
      <c r="Q37" s="463"/>
      <c r="R37" s="268">
        <v>3870.8953819036001</v>
      </c>
      <c r="S37" s="268">
        <v>0.57796972710000005</v>
      </c>
      <c r="T37" s="463"/>
      <c r="U37" s="268">
        <v>14310.003885851</v>
      </c>
      <c r="V37" s="268">
        <v>1.7140568809000001</v>
      </c>
      <c r="W37" s="463"/>
      <c r="X37" s="268">
        <v>5049.8084193413997</v>
      </c>
      <c r="Y37" s="268">
        <v>0.74834990560000003</v>
      </c>
      <c r="Z37" s="463"/>
      <c r="AA37" s="268">
        <v>3356.8011479883999</v>
      </c>
      <c r="AB37" s="268">
        <v>0.51554794199999998</v>
      </c>
    </row>
    <row r="38" spans="1:28" s="464" customFormat="1" ht="12.75" customHeight="1">
      <c r="A38" s="131"/>
      <c r="B38" s="17" t="s">
        <v>31</v>
      </c>
      <c r="C38" s="460"/>
      <c r="D38" s="268">
        <v>20296.342988481301</v>
      </c>
      <c r="E38" s="465"/>
      <c r="F38" s="268">
        <v>18912.388825141199</v>
      </c>
      <c r="G38" s="268">
        <v>2.5821497428</v>
      </c>
      <c r="H38" s="466"/>
      <c r="I38" s="268">
        <v>3615.3884614058002</v>
      </c>
      <c r="J38" s="268">
        <v>0.58091493589999998</v>
      </c>
      <c r="K38" s="39"/>
      <c r="L38" s="268">
        <v>3004.2483492142001</v>
      </c>
      <c r="M38" s="268">
        <v>0.48485190979999998</v>
      </c>
      <c r="N38" s="466"/>
      <c r="O38" s="268">
        <v>7183.3288792370004</v>
      </c>
      <c r="P38" s="268">
        <v>1.1680373868</v>
      </c>
      <c r="Q38" s="463"/>
      <c r="R38" s="268">
        <v>3319.5102147429002</v>
      </c>
      <c r="S38" s="268">
        <v>0.53422498890000003</v>
      </c>
      <c r="T38" s="463"/>
      <c r="U38" s="268">
        <v>15155.8061646394</v>
      </c>
      <c r="V38" s="268">
        <v>2.1765924610999998</v>
      </c>
      <c r="W38" s="463"/>
      <c r="X38" s="268">
        <v>5885.3455394831999</v>
      </c>
      <c r="Y38" s="268">
        <v>0.90877980059999997</v>
      </c>
      <c r="Z38" s="463"/>
      <c r="AA38" s="268">
        <v>2648.4678547623998</v>
      </c>
      <c r="AB38" s="268">
        <v>0.42482954299999998</v>
      </c>
    </row>
    <row r="39" spans="1:28" s="464" customFormat="1" ht="12.75" customHeight="1">
      <c r="A39" s="131"/>
      <c r="B39" s="17" t="s">
        <v>32</v>
      </c>
      <c r="C39" s="460"/>
      <c r="D39" s="268">
        <v>20074.553062652802</v>
      </c>
      <c r="E39" s="465"/>
      <c r="F39" s="268">
        <v>8051.6377258635002</v>
      </c>
      <c r="G39" s="268">
        <v>1.5285935953000001</v>
      </c>
      <c r="H39" s="466"/>
      <c r="I39" s="268">
        <v>3350.9769012306001</v>
      </c>
      <c r="J39" s="268">
        <v>0.65506541819999997</v>
      </c>
      <c r="K39" s="39"/>
      <c r="L39" s="268">
        <v>2052.7005279473001</v>
      </c>
      <c r="M39" s="268">
        <v>0.40488642339999997</v>
      </c>
      <c r="N39" s="466"/>
      <c r="O39" s="268">
        <v>4644.2564990501996</v>
      </c>
      <c r="P39" s="268">
        <v>0.81724280680000005</v>
      </c>
      <c r="Q39" s="463"/>
      <c r="R39" s="268">
        <v>3093.2126143534001</v>
      </c>
      <c r="S39" s="268">
        <v>0.57080364699999997</v>
      </c>
      <c r="T39" s="463"/>
      <c r="U39" s="268">
        <v>18710.4939813891</v>
      </c>
      <c r="V39" s="268">
        <v>1.7428658775000001</v>
      </c>
      <c r="W39" s="463"/>
      <c r="X39" s="268">
        <v>3373.1756987301001</v>
      </c>
      <c r="Y39" s="268">
        <v>0.65682042370000004</v>
      </c>
      <c r="Z39" s="463"/>
      <c r="AA39" s="268">
        <v>1880.6642251177</v>
      </c>
      <c r="AB39" s="268">
        <v>0.36206016330000002</v>
      </c>
    </row>
    <row r="40" spans="1:28" s="464" customFormat="1" ht="12.75" customHeight="1">
      <c r="A40" s="131"/>
      <c r="B40" s="17" t="s">
        <v>33</v>
      </c>
      <c r="C40" s="460"/>
      <c r="D40" s="268">
        <v>18931.826991932499</v>
      </c>
      <c r="E40" s="465"/>
      <c r="F40" s="268">
        <v>17117.427275346799</v>
      </c>
      <c r="G40" s="268">
        <v>2.1346656666000001</v>
      </c>
      <c r="H40" s="466"/>
      <c r="I40" s="268">
        <v>3417.3392995740001</v>
      </c>
      <c r="J40" s="268">
        <v>0.47635878640000001</v>
      </c>
      <c r="K40" s="39"/>
      <c r="L40" s="268">
        <v>3424.3404359782999</v>
      </c>
      <c r="M40" s="268">
        <v>0.4786191132</v>
      </c>
      <c r="N40" s="466"/>
      <c r="O40" s="268">
        <v>5446.5502266277999</v>
      </c>
      <c r="P40" s="268">
        <v>0.76749850019999999</v>
      </c>
      <c r="Q40" s="463"/>
      <c r="R40" s="268">
        <v>4156.3901293233002</v>
      </c>
      <c r="S40" s="268">
        <v>0.58003230670000006</v>
      </c>
      <c r="T40" s="463"/>
      <c r="U40" s="268">
        <v>16927.7192207933</v>
      </c>
      <c r="V40" s="268">
        <v>2.0448230495000002</v>
      </c>
      <c r="W40" s="463"/>
      <c r="X40" s="268">
        <v>2946.2656044806999</v>
      </c>
      <c r="Y40" s="268">
        <v>0.41304229250000002</v>
      </c>
      <c r="Z40" s="463"/>
      <c r="AA40" s="268">
        <v>4692.3290032052</v>
      </c>
      <c r="AB40" s="268">
        <v>0.64905297120000005</v>
      </c>
    </row>
    <row r="41" spans="1:28" s="464" customFormat="1" ht="12.75" customHeight="1">
      <c r="A41" s="131"/>
      <c r="B41" s="17" t="s">
        <v>34</v>
      </c>
      <c r="C41" s="460"/>
      <c r="D41" s="268">
        <v>7742.5499765431996</v>
      </c>
      <c r="E41" s="465"/>
      <c r="F41" s="268">
        <v>2069.2434087285001</v>
      </c>
      <c r="G41" s="268">
        <v>0.82832866179999998</v>
      </c>
      <c r="H41" s="466"/>
      <c r="I41" s="268">
        <v>987.92433547500002</v>
      </c>
      <c r="J41" s="268">
        <v>0.39703881130000002</v>
      </c>
      <c r="K41" s="39"/>
      <c r="L41" s="268">
        <v>681.09240953760002</v>
      </c>
      <c r="M41" s="268">
        <v>0.27046322900000003</v>
      </c>
      <c r="N41" s="466"/>
      <c r="O41" s="268">
        <v>1116.1545882687999</v>
      </c>
      <c r="P41" s="268">
        <v>0.43702746040000001</v>
      </c>
      <c r="Q41" s="463"/>
      <c r="R41" s="268">
        <v>1721.5784939376999</v>
      </c>
      <c r="S41" s="268">
        <v>0.67081274719999995</v>
      </c>
      <c r="T41" s="463"/>
      <c r="U41" s="268">
        <v>7444.5694477784</v>
      </c>
      <c r="V41" s="268">
        <v>1.3243608093999999</v>
      </c>
      <c r="W41" s="463"/>
      <c r="X41" s="268">
        <v>1714.0484205959001</v>
      </c>
      <c r="Y41" s="268">
        <v>0.66495306600000004</v>
      </c>
      <c r="Z41" s="463"/>
      <c r="AA41" s="268">
        <v>1376.2179118583001</v>
      </c>
      <c r="AB41" s="268">
        <v>0.55729481510000001</v>
      </c>
    </row>
    <row r="42" spans="1:28" s="464" customFormat="1" ht="12.75" customHeight="1">
      <c r="A42" s="131"/>
      <c r="B42" s="17" t="s">
        <v>35</v>
      </c>
      <c r="C42" s="460"/>
      <c r="D42" s="268">
        <v>62857.6709122908</v>
      </c>
      <c r="E42" s="465"/>
      <c r="F42" s="268">
        <v>22125.4262210167</v>
      </c>
      <c r="G42" s="268">
        <v>1.3200550321</v>
      </c>
      <c r="H42" s="466"/>
      <c r="I42" s="268">
        <v>8632.0766629059999</v>
      </c>
      <c r="J42" s="268">
        <v>0.51797272760000002</v>
      </c>
      <c r="K42" s="39"/>
      <c r="L42" s="268">
        <v>4953.8878338462</v>
      </c>
      <c r="M42" s="268">
        <v>0.29633797740000001</v>
      </c>
      <c r="N42" s="466"/>
      <c r="O42" s="268">
        <v>16671.108733867299</v>
      </c>
      <c r="P42" s="268">
        <v>0.97528963479999997</v>
      </c>
      <c r="Q42" s="463"/>
      <c r="R42" s="268">
        <v>12413.4831284463</v>
      </c>
      <c r="S42" s="268">
        <v>0.70772415489999996</v>
      </c>
      <c r="T42" s="463"/>
      <c r="U42" s="268">
        <v>59864.542552843799</v>
      </c>
      <c r="V42" s="268">
        <v>1.7620670366</v>
      </c>
      <c r="W42" s="463"/>
      <c r="X42" s="268">
        <v>7430.6530523645997</v>
      </c>
      <c r="Y42" s="268">
        <v>0.45127371430000002</v>
      </c>
      <c r="Z42" s="463"/>
      <c r="AA42" s="268">
        <v>7181.8894927894999</v>
      </c>
      <c r="AB42" s="268">
        <v>0.4318447896</v>
      </c>
    </row>
    <row r="43" spans="1:28" s="464" customFormat="1" ht="12.75" customHeight="1">
      <c r="A43" s="131"/>
      <c r="B43" s="17" t="s">
        <v>36</v>
      </c>
      <c r="C43" s="460"/>
      <c r="D43" s="268">
        <v>19576.847036778501</v>
      </c>
      <c r="E43" s="465"/>
      <c r="F43" s="268">
        <v>9918.1318726123991</v>
      </c>
      <c r="G43" s="268">
        <v>1.8106409561000001</v>
      </c>
      <c r="H43" s="466"/>
      <c r="I43" s="268">
        <v>3317.4982341116001</v>
      </c>
      <c r="J43" s="268">
        <v>0.64940611820000005</v>
      </c>
      <c r="K43" s="39"/>
      <c r="L43" s="268">
        <v>2264.3087905080001</v>
      </c>
      <c r="M43" s="268">
        <v>0.4449886535</v>
      </c>
      <c r="N43" s="466"/>
      <c r="O43" s="268">
        <v>5770.5940616256003</v>
      </c>
      <c r="P43" s="268">
        <v>1.0788849653000001</v>
      </c>
      <c r="Q43" s="463"/>
      <c r="R43" s="268">
        <v>3797.3905338009999</v>
      </c>
      <c r="S43" s="268">
        <v>0.75049587829999997</v>
      </c>
      <c r="T43" s="463"/>
      <c r="U43" s="268">
        <v>15772.2689974968</v>
      </c>
      <c r="V43" s="268">
        <v>1.6044304548999999</v>
      </c>
      <c r="W43" s="463"/>
      <c r="X43" s="268">
        <v>3826.2870582687001</v>
      </c>
      <c r="Y43" s="268">
        <v>0.73169127810000001</v>
      </c>
      <c r="Z43" s="463"/>
      <c r="AA43" s="268">
        <v>1909.2533928201001</v>
      </c>
      <c r="AB43" s="268">
        <v>0.37318213569999997</v>
      </c>
    </row>
    <row r="44" spans="1:28" s="464" customFormat="1" ht="12.75" customHeight="1">
      <c r="A44" s="131"/>
      <c r="B44" s="17" t="s">
        <v>37</v>
      </c>
      <c r="C44" s="460"/>
      <c r="D44" s="268">
        <v>13538.356008209001</v>
      </c>
      <c r="E44" s="465"/>
      <c r="F44" s="268">
        <v>4521.4393466969004</v>
      </c>
      <c r="G44" s="268">
        <v>1.3609778848</v>
      </c>
      <c r="H44" s="466"/>
      <c r="I44" s="268">
        <v>2527.5161418322</v>
      </c>
      <c r="J44" s="268">
        <v>0.76995587129999998</v>
      </c>
      <c r="K44" s="39"/>
      <c r="L44" s="268">
        <v>987.78011638889996</v>
      </c>
      <c r="M44" s="268">
        <v>0.30734830070000002</v>
      </c>
      <c r="N44" s="466"/>
      <c r="O44" s="268">
        <v>3869.8736679379999</v>
      </c>
      <c r="P44" s="268">
        <v>1.1446040897</v>
      </c>
      <c r="Q44" s="463"/>
      <c r="R44" s="268">
        <v>2016.8154469919</v>
      </c>
      <c r="S44" s="268">
        <v>0.61292725169999995</v>
      </c>
      <c r="T44" s="463"/>
      <c r="U44" s="268">
        <v>11717.652094098101</v>
      </c>
      <c r="V44" s="268">
        <v>1.7108609506000001</v>
      </c>
      <c r="W44" s="463"/>
      <c r="X44" s="268">
        <v>1989.5742949267999</v>
      </c>
      <c r="Y44" s="268">
        <v>0.61100692560000003</v>
      </c>
      <c r="Z44" s="463"/>
      <c r="AA44" s="268">
        <v>1545.4722641415001</v>
      </c>
      <c r="AB44" s="268">
        <v>0.46144186320000002</v>
      </c>
    </row>
    <row r="45" spans="1:28" s="464" customFormat="1" ht="6" customHeight="1">
      <c r="A45" s="131"/>
      <c r="B45" s="18"/>
      <c r="C45" s="467"/>
      <c r="D45" s="208"/>
      <c r="E45" s="468"/>
      <c r="F45" s="208"/>
      <c r="G45" s="469"/>
      <c r="H45" s="470"/>
      <c r="I45" s="471"/>
      <c r="J45" s="469"/>
      <c r="K45" s="470"/>
      <c r="L45" s="471"/>
      <c r="M45" s="469"/>
      <c r="N45" s="470"/>
      <c r="O45" s="471"/>
      <c r="P45" s="469"/>
      <c r="Q45" s="470"/>
      <c r="R45" s="208"/>
      <c r="S45" s="469"/>
      <c r="T45" s="472"/>
      <c r="U45" s="473"/>
      <c r="V45" s="474"/>
      <c r="W45" s="472"/>
      <c r="X45" s="475"/>
      <c r="Y45" s="476"/>
      <c r="Z45" s="472"/>
      <c r="AA45" s="475"/>
      <c r="AB45" s="476"/>
    </row>
    <row r="46" spans="1:28" ht="6" customHeight="1">
      <c r="A46" s="131"/>
      <c r="B46" s="458"/>
      <c r="C46" s="443"/>
      <c r="D46" s="448"/>
      <c r="E46" s="457"/>
      <c r="F46" s="448"/>
      <c r="G46" s="449"/>
      <c r="H46" s="458"/>
      <c r="I46" s="448"/>
      <c r="J46" s="449"/>
      <c r="K46" s="458"/>
      <c r="L46" s="448"/>
      <c r="M46" s="449"/>
      <c r="N46" s="458"/>
      <c r="O46" s="448"/>
      <c r="P46" s="449"/>
      <c r="Q46" s="458"/>
      <c r="R46" s="448"/>
      <c r="S46" s="449"/>
      <c r="T46" s="458"/>
      <c r="U46" s="448"/>
      <c r="V46" s="449"/>
      <c r="W46" s="458"/>
      <c r="X46" s="448"/>
      <c r="Y46" s="449"/>
      <c r="Z46" s="458"/>
      <c r="AA46" s="448"/>
      <c r="AB46" s="449"/>
    </row>
    <row r="47" spans="1:28" s="479" customFormat="1" ht="11.25">
      <c r="A47" s="128"/>
      <c r="B47" s="854" t="s">
        <v>88</v>
      </c>
      <c r="C47" s="854"/>
      <c r="D47" s="854"/>
      <c r="E47" s="854"/>
      <c r="F47" s="854"/>
      <c r="G47" s="854"/>
      <c r="H47" s="854"/>
      <c r="I47" s="854"/>
      <c r="J47" s="854"/>
      <c r="K47" s="854"/>
      <c r="L47" s="854"/>
      <c r="M47" s="854"/>
      <c r="N47" s="854"/>
      <c r="O47" s="854"/>
      <c r="P47" s="854"/>
      <c r="Q47" s="854"/>
      <c r="R47" s="854"/>
      <c r="S47" s="854"/>
      <c r="T47" s="854"/>
      <c r="U47" s="180"/>
      <c r="V47" s="115"/>
      <c r="W47" s="408"/>
      <c r="X47" s="477"/>
      <c r="Y47" s="478"/>
      <c r="Z47" s="408"/>
      <c r="AA47" s="477"/>
      <c r="AB47" s="478"/>
    </row>
    <row r="48" spans="1:28" s="479" customFormat="1" ht="11.25">
      <c r="A48" s="128"/>
      <c r="B48" s="480" t="s">
        <v>212</v>
      </c>
      <c r="C48" s="408"/>
      <c r="D48" s="180"/>
      <c r="E48" s="114"/>
      <c r="F48" s="180"/>
      <c r="G48" s="115"/>
      <c r="H48" s="408"/>
      <c r="I48" s="180"/>
      <c r="J48" s="115"/>
      <c r="K48" s="408"/>
      <c r="L48" s="180"/>
      <c r="M48" s="115"/>
      <c r="N48" s="408"/>
      <c r="O48" s="180"/>
      <c r="P48" s="115"/>
      <c r="Q48" s="408"/>
      <c r="R48" s="180"/>
      <c r="S48" s="115"/>
      <c r="T48" s="408"/>
      <c r="U48" s="180"/>
      <c r="V48" s="115"/>
      <c r="W48" s="408"/>
      <c r="X48" s="477"/>
      <c r="Y48" s="478"/>
      <c r="Z48" s="408"/>
      <c r="AA48" s="477"/>
      <c r="AB48" s="478"/>
    </row>
    <row r="49" spans="1:28" s="479" customFormat="1" ht="11.25">
      <c r="A49" s="128"/>
      <c r="B49" s="408" t="s">
        <v>167</v>
      </c>
      <c r="C49" s="481"/>
      <c r="D49" s="180"/>
      <c r="E49" s="482"/>
      <c r="F49" s="180"/>
      <c r="G49" s="115"/>
      <c r="H49" s="408"/>
      <c r="I49" s="180"/>
      <c r="J49" s="115"/>
      <c r="K49" s="408"/>
      <c r="L49" s="180"/>
      <c r="M49" s="115"/>
      <c r="N49" s="408"/>
      <c r="O49" s="180"/>
      <c r="P49" s="115"/>
      <c r="Q49" s="408"/>
      <c r="R49" s="180"/>
      <c r="S49" s="115"/>
      <c r="T49" s="408"/>
      <c r="U49" s="180"/>
      <c r="V49" s="115"/>
      <c r="W49" s="408"/>
      <c r="X49" s="477"/>
      <c r="Y49" s="478"/>
      <c r="Z49" s="408"/>
      <c r="AA49" s="477"/>
      <c r="AB49" s="478"/>
    </row>
    <row r="50" spans="1:28" s="59" customFormat="1" ht="14.25">
      <c r="A50" s="131"/>
      <c r="B50" s="132" t="s">
        <v>213</v>
      </c>
      <c r="C50" s="131"/>
      <c r="D50" s="179"/>
      <c r="E50" s="133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  <c r="Q50" s="131"/>
      <c r="R50" s="179"/>
      <c r="S50" s="134"/>
      <c r="T50" s="131"/>
      <c r="U50" s="179"/>
      <c r="V50" s="134"/>
      <c r="W50" s="131"/>
      <c r="X50" s="179"/>
      <c r="Y50" s="134"/>
      <c r="Z50" s="131"/>
      <c r="AA50" s="179"/>
      <c r="AB50" s="134"/>
    </row>
  </sheetData>
  <mergeCells count="13">
    <mergeCell ref="B47:T47"/>
    <mergeCell ref="B5:T5"/>
    <mergeCell ref="B7:C9"/>
    <mergeCell ref="D7:D9"/>
    <mergeCell ref="F7:Y7"/>
    <mergeCell ref="AA7:AB8"/>
    <mergeCell ref="F8:G8"/>
    <mergeCell ref="I8:J8"/>
    <mergeCell ref="L8:M8"/>
    <mergeCell ref="O8:P8"/>
    <mergeCell ref="R8:S8"/>
    <mergeCell ref="U8:V8"/>
    <mergeCell ref="X8:Y8"/>
  </mergeCells>
  <hyperlinks>
    <hyperlink ref="AB1" location="Índice!A1" tooltip="Ir a ÍNDICE" display="INDICE" xr:uid="{FBE90A57-EFD7-4F95-A392-BCE8EAA4B5C2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73F8-A094-4A28-9C09-507185DFB947}">
  <dimension ref="A1:U31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48.85546875" style="45" customWidth="1"/>
    <col min="3" max="3" width="1.7109375" style="45" customWidth="1"/>
    <col min="4" max="4" width="26.85546875" style="189" customWidth="1"/>
    <col min="5" max="5" width="1.7109375" style="189" customWidth="1"/>
    <col min="6" max="6" width="12.7109375" style="189" customWidth="1"/>
    <col min="7" max="7" width="11.42578125" style="117"/>
    <col min="8" max="8" width="1.7109375" style="45" customWidth="1"/>
    <col min="9" max="9" width="11.42578125" style="189"/>
    <col min="10" max="10" width="11.42578125" style="117"/>
    <col min="11" max="11" width="1.7109375" style="45" customWidth="1"/>
    <col min="12" max="12" width="11.42578125" style="189"/>
    <col min="13" max="13" width="11.42578125" style="117"/>
    <col min="14" max="14" width="1.7109375" style="45" customWidth="1"/>
    <col min="15" max="15" width="11.42578125" style="189"/>
    <col min="16" max="16" width="11.42578125" style="117"/>
    <col min="17" max="17" width="1.7109375" style="45" customWidth="1"/>
    <col min="18" max="18" width="11.42578125" style="189"/>
    <col min="19" max="19" width="11.42578125" style="117"/>
    <col min="20" max="20" width="1.7109375" style="45" customWidth="1"/>
    <col min="21" max="21" width="15" style="189" customWidth="1"/>
    <col min="22" max="16384" width="11.42578125" style="45"/>
  </cols>
  <sheetData>
    <row r="1" spans="1:21" s="65" customFormat="1" ht="14.1" customHeight="1">
      <c r="A1" s="53"/>
      <c r="B1" s="756" t="s">
        <v>268</v>
      </c>
      <c r="C1" s="61"/>
      <c r="D1" s="154"/>
      <c r="E1" s="181"/>
      <c r="F1" s="181"/>
      <c r="G1" s="116"/>
      <c r="I1" s="181"/>
      <c r="J1" s="116"/>
      <c r="L1" s="181"/>
      <c r="M1" s="116"/>
      <c r="O1" s="181"/>
      <c r="P1" s="116"/>
      <c r="R1" s="181"/>
      <c r="S1" s="116"/>
      <c r="U1" s="165" t="s">
        <v>191</v>
      </c>
    </row>
    <row r="2" spans="1:21" s="65" customFormat="1" ht="6.95" customHeight="1">
      <c r="A2" s="53"/>
      <c r="B2" s="756"/>
      <c r="C2" s="61"/>
      <c r="D2" s="154"/>
      <c r="E2" s="181"/>
      <c r="F2" s="181"/>
      <c r="G2" s="116"/>
      <c r="I2" s="181"/>
      <c r="J2" s="116"/>
      <c r="L2" s="181"/>
      <c r="M2" s="116"/>
      <c r="O2" s="181"/>
      <c r="P2" s="116"/>
      <c r="R2" s="181"/>
      <c r="S2" s="116"/>
      <c r="U2" s="181"/>
    </row>
    <row r="3" spans="1:21" s="65" customFormat="1" ht="14.1" customHeight="1">
      <c r="A3" s="53"/>
      <c r="B3" s="756" t="s">
        <v>236</v>
      </c>
      <c r="C3" s="488"/>
      <c r="D3" s="489"/>
      <c r="E3" s="489"/>
      <c r="F3" s="489"/>
      <c r="G3" s="490"/>
      <c r="H3" s="488"/>
      <c r="I3" s="489"/>
      <c r="J3" s="116"/>
      <c r="L3" s="181"/>
      <c r="M3" s="116"/>
      <c r="O3" s="181"/>
      <c r="P3" s="116"/>
      <c r="R3" s="181"/>
      <c r="S3" s="116"/>
      <c r="U3" s="181"/>
    </row>
    <row r="4" spans="1:21" s="65" customFormat="1" ht="6.95" customHeight="1">
      <c r="A4" s="53"/>
      <c r="B4" s="150"/>
      <c r="C4" s="61"/>
      <c r="D4" s="154"/>
      <c r="E4" s="181"/>
      <c r="F4" s="181"/>
      <c r="G4" s="116"/>
      <c r="I4" s="181"/>
      <c r="J4" s="116"/>
      <c r="L4" s="181"/>
      <c r="M4" s="116"/>
      <c r="O4" s="181"/>
      <c r="P4" s="116"/>
      <c r="R4" s="181"/>
      <c r="S4" s="116"/>
      <c r="U4" s="181"/>
    </row>
    <row r="5" spans="1:21" s="65" customFormat="1" ht="20.100000000000001" customHeight="1">
      <c r="A5" s="53"/>
      <c r="B5" s="863" t="s">
        <v>199</v>
      </c>
      <c r="C5" s="863"/>
      <c r="D5" s="863"/>
      <c r="E5" s="863"/>
      <c r="F5" s="863"/>
      <c r="G5" s="863"/>
      <c r="H5" s="863"/>
      <c r="I5" s="863"/>
      <c r="J5" s="863"/>
      <c r="K5" s="863"/>
      <c r="L5" s="863"/>
      <c r="M5" s="863"/>
      <c r="N5" s="863"/>
      <c r="O5" s="863"/>
      <c r="P5" s="863"/>
      <c r="Q5" s="863"/>
      <c r="R5" s="863"/>
      <c r="S5" s="135"/>
      <c r="T5" s="136"/>
      <c r="U5" s="166" t="s">
        <v>192</v>
      </c>
    </row>
    <row r="6" spans="1:21" ht="6" customHeight="1">
      <c r="A6" s="53"/>
      <c r="B6" s="50"/>
      <c r="C6" s="5"/>
      <c r="D6" s="155"/>
      <c r="E6" s="182"/>
      <c r="F6" s="182"/>
      <c r="G6" s="138"/>
      <c r="H6" s="137"/>
      <c r="I6" s="182"/>
      <c r="J6" s="138"/>
      <c r="K6" s="137"/>
      <c r="L6" s="182"/>
      <c r="M6" s="138"/>
      <c r="N6" s="137"/>
      <c r="O6" s="182"/>
      <c r="P6" s="138"/>
      <c r="Q6" s="137"/>
      <c r="R6" s="182"/>
      <c r="S6" s="138"/>
      <c r="T6" s="137"/>
      <c r="U6" s="182"/>
    </row>
    <row r="7" spans="1:21" ht="19.5" customHeight="1">
      <c r="A7" s="53"/>
      <c r="B7" s="790" t="s">
        <v>175</v>
      </c>
      <c r="C7" s="7"/>
      <c r="D7" s="864" t="s">
        <v>214</v>
      </c>
      <c r="E7" s="183"/>
      <c r="F7" s="867" t="s">
        <v>144</v>
      </c>
      <c r="G7" s="867"/>
      <c r="H7" s="867"/>
      <c r="I7" s="867"/>
      <c r="J7" s="867"/>
      <c r="K7" s="867"/>
      <c r="L7" s="867"/>
      <c r="M7" s="867"/>
      <c r="N7" s="867"/>
      <c r="O7" s="867"/>
      <c r="P7" s="867"/>
      <c r="Q7" s="867"/>
      <c r="R7" s="867"/>
      <c r="S7" s="867"/>
      <c r="T7" s="139"/>
      <c r="U7" s="864" t="s">
        <v>267</v>
      </c>
    </row>
    <row r="8" spans="1:21" ht="35.25" customHeight="1">
      <c r="A8" s="53"/>
      <c r="B8" s="791"/>
      <c r="C8" s="49"/>
      <c r="D8" s="865"/>
      <c r="E8" s="182"/>
      <c r="F8" s="868" t="s">
        <v>174</v>
      </c>
      <c r="G8" s="868"/>
      <c r="H8" s="491"/>
      <c r="I8" s="868" t="s">
        <v>215</v>
      </c>
      <c r="J8" s="868"/>
      <c r="K8" s="491"/>
      <c r="L8" s="869" t="s">
        <v>176</v>
      </c>
      <c r="M8" s="869"/>
      <c r="N8" s="492"/>
      <c r="O8" s="869" t="s">
        <v>116</v>
      </c>
      <c r="P8" s="869"/>
      <c r="Q8" s="492"/>
      <c r="R8" s="869" t="s">
        <v>87</v>
      </c>
      <c r="S8" s="869"/>
      <c r="T8" s="137"/>
      <c r="U8" s="865"/>
    </row>
    <row r="9" spans="1:21" ht="16.5" customHeight="1">
      <c r="A9" s="54"/>
      <c r="B9" s="792"/>
      <c r="C9" s="9"/>
      <c r="D9" s="866"/>
      <c r="E9" s="184"/>
      <c r="F9" s="424" t="s">
        <v>3</v>
      </c>
      <c r="G9" s="118" t="s">
        <v>4</v>
      </c>
      <c r="H9" s="52"/>
      <c r="I9" s="424" t="s">
        <v>3</v>
      </c>
      <c r="J9" s="118" t="s">
        <v>4</v>
      </c>
      <c r="K9" s="52"/>
      <c r="L9" s="424" t="s">
        <v>3</v>
      </c>
      <c r="M9" s="118" t="s">
        <v>4</v>
      </c>
      <c r="N9" s="52"/>
      <c r="O9" s="424" t="s">
        <v>3</v>
      </c>
      <c r="P9" s="118" t="s">
        <v>4</v>
      </c>
      <c r="Q9" s="52"/>
      <c r="R9" s="424" t="s">
        <v>3</v>
      </c>
      <c r="S9" s="118" t="s">
        <v>4</v>
      </c>
      <c r="T9" s="140"/>
      <c r="U9" s="866"/>
    </row>
    <row r="10" spans="1:21" ht="6" customHeight="1">
      <c r="A10" s="54"/>
      <c r="B10" s="5"/>
      <c r="C10" s="5"/>
      <c r="D10" s="155"/>
      <c r="E10" s="182"/>
      <c r="F10" s="182"/>
      <c r="G10" s="138"/>
      <c r="H10" s="137"/>
      <c r="I10" s="182"/>
      <c r="J10" s="138"/>
      <c r="K10" s="137"/>
      <c r="L10" s="182"/>
      <c r="M10" s="138"/>
      <c r="N10" s="137"/>
      <c r="O10" s="182"/>
      <c r="P10" s="138"/>
      <c r="Q10" s="137"/>
      <c r="R10" s="182"/>
      <c r="S10" s="138"/>
      <c r="T10" s="137"/>
      <c r="U10" s="182"/>
    </row>
    <row r="11" spans="1:21" ht="15">
      <c r="A11" s="206"/>
      <c r="B11" s="21" t="s">
        <v>40</v>
      </c>
      <c r="C11" s="10"/>
      <c r="D11" s="267">
        <v>128930.432372289</v>
      </c>
      <c r="E11" s="493"/>
      <c r="F11" s="267">
        <v>11676.2354221315</v>
      </c>
      <c r="G11" s="267">
        <v>0.1125045237</v>
      </c>
      <c r="H11" s="137"/>
      <c r="I11" s="267">
        <v>23588.7261322044</v>
      </c>
      <c r="J11" s="267">
        <v>0.22229941959999999</v>
      </c>
      <c r="K11" s="137"/>
      <c r="L11" s="267">
        <v>21919.0011640634</v>
      </c>
      <c r="M11" s="267">
        <v>0.20643102460000001</v>
      </c>
      <c r="N11" s="137"/>
      <c r="O11" s="267">
        <v>119836.10997010701</v>
      </c>
      <c r="P11" s="267">
        <v>0.33658097170000001</v>
      </c>
      <c r="Q11" s="137"/>
      <c r="R11" s="267">
        <v>14641.437479542299</v>
      </c>
      <c r="S11" s="267">
        <v>0.1407568283</v>
      </c>
      <c r="T11" s="137"/>
      <c r="U11" s="267">
        <v>5262.9991835839</v>
      </c>
    </row>
    <row r="12" spans="1:21" ht="6" customHeight="1">
      <c r="A12" s="57"/>
      <c r="B12" s="141"/>
      <c r="C12" s="10"/>
      <c r="D12" s="186"/>
      <c r="E12" s="493"/>
      <c r="F12" s="158"/>
      <c r="G12" s="85"/>
      <c r="H12" s="494"/>
      <c r="I12" s="158"/>
      <c r="J12" s="85"/>
      <c r="K12" s="23"/>
      <c r="L12" s="158"/>
      <c r="M12" s="85"/>
      <c r="N12" s="23"/>
      <c r="O12" s="158"/>
      <c r="P12" s="85"/>
      <c r="Q12" s="23"/>
      <c r="R12" s="158"/>
      <c r="S12" s="85"/>
      <c r="T12" s="23"/>
      <c r="U12" s="158"/>
    </row>
    <row r="13" spans="1:21" ht="12.75" customHeight="1">
      <c r="A13" s="57"/>
      <c r="B13" s="142">
        <v>2019</v>
      </c>
      <c r="C13" s="10"/>
      <c r="D13" s="267">
        <v>105197.982648711</v>
      </c>
      <c r="E13" s="493"/>
      <c r="F13" s="159"/>
      <c r="G13" s="86"/>
      <c r="H13" s="495"/>
      <c r="I13" s="159"/>
      <c r="J13" s="86"/>
      <c r="K13" s="23"/>
      <c r="L13" s="159"/>
      <c r="M13" s="86"/>
      <c r="N13" s="23"/>
      <c r="O13" s="159"/>
      <c r="P13" s="86"/>
      <c r="Q13" s="23"/>
      <c r="R13" s="159"/>
      <c r="S13" s="86"/>
      <c r="T13" s="23"/>
      <c r="U13" s="159"/>
    </row>
    <row r="14" spans="1:21">
      <c r="A14" s="57"/>
      <c r="B14" s="48" t="s">
        <v>96</v>
      </c>
      <c r="C14" s="143"/>
      <c r="D14" s="268">
        <v>41806.767942193997</v>
      </c>
      <c r="E14" s="496"/>
      <c r="F14" s="268">
        <v>5122.2279233453</v>
      </c>
      <c r="G14" s="268">
        <v>0.34369997149999998</v>
      </c>
      <c r="H14" s="495"/>
      <c r="I14" s="268">
        <v>11798.4908511874</v>
      </c>
      <c r="J14" s="268">
        <v>0.7560736898</v>
      </c>
      <c r="K14" s="23"/>
      <c r="L14" s="268">
        <v>9617.8165567488995</v>
      </c>
      <c r="M14" s="268">
        <v>0.62758593640000004</v>
      </c>
      <c r="N14" s="23"/>
      <c r="O14" s="268">
        <v>38126.518607589802</v>
      </c>
      <c r="P14" s="268">
        <v>1.0269878192999999</v>
      </c>
      <c r="Q14" s="23"/>
      <c r="R14" s="268">
        <v>7009.6312941810002</v>
      </c>
      <c r="S14" s="268">
        <v>0.46290140190000001</v>
      </c>
      <c r="T14" s="23"/>
      <c r="U14" s="268">
        <v>9338.5786146916998</v>
      </c>
    </row>
    <row r="15" spans="1:21">
      <c r="A15" s="54"/>
      <c r="B15" s="48" t="s">
        <v>97</v>
      </c>
      <c r="C15" s="143"/>
      <c r="D15" s="268">
        <v>30475.5503761828</v>
      </c>
      <c r="E15" s="496"/>
      <c r="F15" s="268">
        <v>3087.1327145525001</v>
      </c>
      <c r="G15" s="268">
        <v>0.3587600326</v>
      </c>
      <c r="H15" s="495"/>
      <c r="I15" s="268">
        <v>9134.1044838806993</v>
      </c>
      <c r="J15" s="268">
        <v>0.98036655709999998</v>
      </c>
      <c r="K15" s="23"/>
      <c r="L15" s="268">
        <v>6251.3569565667003</v>
      </c>
      <c r="M15" s="268">
        <v>0.70597716759999996</v>
      </c>
      <c r="N15" s="23"/>
      <c r="O15" s="268">
        <v>28765.528434808199</v>
      </c>
      <c r="P15" s="268">
        <v>1.0848318061</v>
      </c>
      <c r="Q15" s="23"/>
      <c r="R15" s="268">
        <v>4942.6220639757003</v>
      </c>
      <c r="S15" s="268">
        <v>0.56919334779999997</v>
      </c>
      <c r="T15" s="23"/>
      <c r="U15" s="268">
        <v>6118.0466742801</v>
      </c>
    </row>
    <row r="16" spans="1:21">
      <c r="A16" s="54"/>
      <c r="B16" s="48" t="s">
        <v>98</v>
      </c>
      <c r="C16" s="143"/>
      <c r="D16" s="268">
        <v>28479.7065486426</v>
      </c>
      <c r="E16" s="496"/>
      <c r="F16" s="268">
        <v>2992.5512526939001</v>
      </c>
      <c r="G16" s="268">
        <v>0.42209707079999997</v>
      </c>
      <c r="H16" s="495"/>
      <c r="I16" s="268">
        <v>7006.0013996674998</v>
      </c>
      <c r="J16" s="268">
        <v>0.96722339469999996</v>
      </c>
      <c r="K16" s="23"/>
      <c r="L16" s="268">
        <v>5629.5679597751996</v>
      </c>
      <c r="M16" s="268">
        <v>0.77912189259999998</v>
      </c>
      <c r="N16" s="23"/>
      <c r="O16" s="268">
        <v>26473.303869908999</v>
      </c>
      <c r="P16" s="268">
        <v>1.2997646035999999</v>
      </c>
      <c r="Q16" s="23"/>
      <c r="R16" s="268">
        <v>4423.5509492548999</v>
      </c>
      <c r="S16" s="268">
        <v>0.61236057720000003</v>
      </c>
      <c r="T16" s="23"/>
      <c r="U16" s="268">
        <v>5952.5900843496001</v>
      </c>
    </row>
    <row r="17" spans="1:21" ht="15">
      <c r="A17" s="54"/>
      <c r="B17" s="48" t="s">
        <v>99</v>
      </c>
      <c r="C17" s="143"/>
      <c r="D17" s="269">
        <v>76791.534373789007</v>
      </c>
      <c r="E17" s="493"/>
      <c r="F17" s="269">
        <v>6246.0674678083997</v>
      </c>
      <c r="G17" s="269">
        <v>0.15240394400000001</v>
      </c>
      <c r="H17" s="495"/>
      <c r="I17" s="269">
        <v>11895.4332873404</v>
      </c>
      <c r="J17" s="269">
        <v>0.284473641</v>
      </c>
      <c r="K17" s="23"/>
      <c r="L17" s="269">
        <v>11359.920702756101</v>
      </c>
      <c r="M17" s="269">
        <v>0.27031330539999998</v>
      </c>
      <c r="N17" s="23"/>
      <c r="O17" s="269">
        <v>71924.014957903404</v>
      </c>
      <c r="P17" s="269">
        <v>0.55631103559999995</v>
      </c>
      <c r="Q17" s="23"/>
      <c r="R17" s="269">
        <v>4091.8362114639999</v>
      </c>
      <c r="S17" s="269">
        <v>9.98861999E-2</v>
      </c>
      <c r="T17" s="23"/>
      <c r="U17" s="269">
        <v>19932.760656281302</v>
      </c>
    </row>
    <row r="18" spans="1:21">
      <c r="A18" s="58"/>
      <c r="B18" s="48" t="s">
        <v>100</v>
      </c>
      <c r="C18" s="143"/>
      <c r="D18" s="269">
        <v>34226.712073121897</v>
      </c>
      <c r="E18" s="496"/>
      <c r="F18" s="269">
        <v>4695.2077909290001</v>
      </c>
      <c r="G18" s="269">
        <v>0.5330351123</v>
      </c>
      <c r="H18" s="495"/>
      <c r="I18" s="269">
        <v>7741.0215996681</v>
      </c>
      <c r="J18" s="269">
        <v>0.85419635260000004</v>
      </c>
      <c r="K18" s="23"/>
      <c r="L18" s="269">
        <v>7547.2122107652003</v>
      </c>
      <c r="M18" s="269">
        <v>0.83729722640000004</v>
      </c>
      <c r="N18" s="23"/>
      <c r="O18" s="269">
        <v>31934.482230632599</v>
      </c>
      <c r="P18" s="269">
        <v>1.2602321192999999</v>
      </c>
      <c r="Q18" s="23"/>
      <c r="R18" s="269">
        <v>2834.7401461294999</v>
      </c>
      <c r="S18" s="269">
        <v>0.3247595257</v>
      </c>
      <c r="T18" s="23"/>
      <c r="U18" s="269">
        <v>9339.1423124782996</v>
      </c>
    </row>
    <row r="19" spans="1:21" ht="6" customHeight="1">
      <c r="A19" s="58"/>
      <c r="B19" s="48"/>
      <c r="C19" s="143"/>
      <c r="D19" s="187"/>
      <c r="E19" s="182"/>
      <c r="F19" s="182"/>
      <c r="G19" s="138"/>
      <c r="H19" s="137"/>
      <c r="I19" s="182"/>
      <c r="J19" s="138"/>
      <c r="K19" s="137"/>
      <c r="L19" s="182"/>
      <c r="M19" s="138"/>
      <c r="N19" s="137"/>
      <c r="O19" s="182"/>
      <c r="P19" s="138"/>
      <c r="Q19" s="137"/>
      <c r="R19" s="182"/>
      <c r="S19" s="138"/>
      <c r="T19" s="137"/>
      <c r="U19" s="182"/>
    </row>
    <row r="20" spans="1:21">
      <c r="B20" s="142">
        <v>2020</v>
      </c>
      <c r="C20" s="143"/>
      <c r="D20" s="267">
        <v>84336.855950240904</v>
      </c>
      <c r="E20" s="496"/>
      <c r="F20" s="159"/>
      <c r="G20" s="86"/>
      <c r="H20" s="495"/>
      <c r="I20" s="159"/>
      <c r="J20" s="86"/>
      <c r="K20" s="23"/>
      <c r="L20" s="159"/>
      <c r="M20" s="86"/>
      <c r="N20" s="23"/>
      <c r="O20" s="159"/>
      <c r="P20" s="86"/>
      <c r="Q20" s="23"/>
      <c r="R20" s="159"/>
      <c r="S20" s="86"/>
      <c r="T20" s="23"/>
      <c r="U20" s="159"/>
    </row>
    <row r="21" spans="1:21">
      <c r="B21" s="48" t="s">
        <v>96</v>
      </c>
      <c r="C21" s="143"/>
      <c r="D21" s="268">
        <v>34325.502342670799</v>
      </c>
      <c r="E21" s="496"/>
      <c r="F21" s="268">
        <v>4905.3586005509997</v>
      </c>
      <c r="G21" s="268">
        <v>0.47706601840000001</v>
      </c>
      <c r="H21" s="495"/>
      <c r="I21" s="268">
        <v>8600.4494207945008</v>
      </c>
      <c r="J21" s="268">
        <v>0.81016347720000004</v>
      </c>
      <c r="K21" s="23"/>
      <c r="L21" s="268">
        <v>6265.4712624849999</v>
      </c>
      <c r="M21" s="268">
        <v>0.5990923346</v>
      </c>
      <c r="N21" s="23"/>
      <c r="O21" s="268">
        <v>31371.623680148001</v>
      </c>
      <c r="P21" s="268">
        <v>1.0813162635</v>
      </c>
      <c r="Q21" s="23"/>
      <c r="R21" s="268">
        <v>4494.8651974065997</v>
      </c>
      <c r="S21" s="268">
        <v>0.43468963370000002</v>
      </c>
      <c r="T21" s="23"/>
      <c r="U21" s="268">
        <v>8091.4624046296003</v>
      </c>
    </row>
    <row r="22" spans="1:21" ht="15">
      <c r="B22" s="48" t="s">
        <v>97</v>
      </c>
      <c r="C22" s="143"/>
      <c r="D22" s="268">
        <v>26428.7914393951</v>
      </c>
      <c r="E22" s="493"/>
      <c r="F22" s="268">
        <v>3239.2650400978</v>
      </c>
      <c r="G22" s="268">
        <v>0.60530976810000003</v>
      </c>
      <c r="H22" s="137"/>
      <c r="I22" s="268">
        <v>6402.8597994439997</v>
      </c>
      <c r="J22" s="268">
        <v>1.1690353214</v>
      </c>
      <c r="K22" s="137"/>
      <c r="L22" s="268">
        <v>5874.1580673319004</v>
      </c>
      <c r="M22" s="268">
        <v>1.0256736831</v>
      </c>
      <c r="N22" s="137"/>
      <c r="O22" s="268">
        <v>22481.005484353202</v>
      </c>
      <c r="P22" s="268">
        <v>1.6885640866</v>
      </c>
      <c r="Q22" s="137"/>
      <c r="R22" s="268">
        <v>6750.8797138857999</v>
      </c>
      <c r="S22" s="268">
        <v>1.2379967136000001</v>
      </c>
      <c r="T22" s="137"/>
      <c r="U22" s="268">
        <v>4953.9127530978003</v>
      </c>
    </row>
    <row r="23" spans="1:21" ht="15">
      <c r="B23" s="48" t="s">
        <v>98</v>
      </c>
      <c r="C23" s="143"/>
      <c r="D23" s="268">
        <v>22123.522360338</v>
      </c>
      <c r="E23" s="493"/>
      <c r="F23" s="268">
        <v>2174.4252114064998</v>
      </c>
      <c r="G23" s="268">
        <v>0.46221413909999998</v>
      </c>
      <c r="H23" s="495"/>
      <c r="I23" s="268">
        <v>4312.9015635612996</v>
      </c>
      <c r="J23" s="268">
        <v>0.91116491300000002</v>
      </c>
      <c r="K23" s="23"/>
      <c r="L23" s="268">
        <v>4646.4570036702999</v>
      </c>
      <c r="M23" s="268">
        <v>0.96678062409999999</v>
      </c>
      <c r="N23" s="23"/>
      <c r="O23" s="268">
        <v>19878.221291345199</v>
      </c>
      <c r="P23" s="268">
        <v>1.7653424178999999</v>
      </c>
      <c r="Q23" s="23"/>
      <c r="R23" s="268">
        <v>4050.968626455</v>
      </c>
      <c r="S23" s="268">
        <v>0.85783946700000002</v>
      </c>
      <c r="T23" s="23"/>
      <c r="U23" s="268">
        <v>5631.8908410344002</v>
      </c>
    </row>
    <row r="24" spans="1:21">
      <c r="B24" s="48" t="s">
        <v>99</v>
      </c>
      <c r="C24" s="143"/>
      <c r="D24" s="268">
        <v>64888.2046155934</v>
      </c>
      <c r="E24" s="182"/>
      <c r="F24" s="268">
        <v>3341.8387154379998</v>
      </c>
      <c r="G24" s="268">
        <v>0.1094985782</v>
      </c>
      <c r="H24" s="137"/>
      <c r="I24" s="268">
        <v>8530.8602264878991</v>
      </c>
      <c r="J24" s="268">
        <v>0.27951104389999998</v>
      </c>
      <c r="K24" s="137"/>
      <c r="L24" s="268">
        <v>12424.7947711</v>
      </c>
      <c r="M24" s="268">
        <v>0.4004689528</v>
      </c>
      <c r="N24" s="137"/>
      <c r="O24" s="268">
        <v>58877.985241839</v>
      </c>
      <c r="P24" s="268">
        <v>0.74378919440000002</v>
      </c>
      <c r="Q24" s="137"/>
      <c r="R24" s="268">
        <v>5252.0175171070996</v>
      </c>
      <c r="S24" s="268">
        <v>0.1725896261</v>
      </c>
      <c r="T24" s="137"/>
      <c r="U24" s="268">
        <v>20045.336980634798</v>
      </c>
    </row>
    <row r="25" spans="1:21">
      <c r="B25" s="48" t="s">
        <v>100</v>
      </c>
      <c r="C25" s="143"/>
      <c r="D25" s="268">
        <v>29779.4866986179</v>
      </c>
      <c r="E25" s="182"/>
      <c r="F25" s="268">
        <v>2518.9432488463999</v>
      </c>
      <c r="G25" s="268">
        <v>0.33953367429999998</v>
      </c>
      <c r="H25" s="137"/>
      <c r="I25" s="268">
        <v>5227.7389596281</v>
      </c>
      <c r="J25" s="268">
        <v>0.69764459840000004</v>
      </c>
      <c r="K25" s="137"/>
      <c r="L25" s="268">
        <v>4247.6335278488004</v>
      </c>
      <c r="M25" s="268">
        <v>0.57296556389999997</v>
      </c>
      <c r="N25" s="137"/>
      <c r="O25" s="268">
        <v>27576.634131959101</v>
      </c>
      <c r="P25" s="268">
        <v>1.4345824397</v>
      </c>
      <c r="Q25" s="137"/>
      <c r="R25" s="268">
        <v>2608.1240384613998</v>
      </c>
      <c r="S25" s="268">
        <v>0.35162259779999999</v>
      </c>
      <c r="T25" s="137"/>
      <c r="U25" s="268">
        <v>9152.1672719532999</v>
      </c>
    </row>
    <row r="26" spans="1:21" ht="6" customHeight="1">
      <c r="B26" s="20"/>
      <c r="C26" s="144"/>
      <c r="D26" s="184"/>
      <c r="E26" s="184"/>
      <c r="F26" s="184"/>
      <c r="G26" s="145"/>
      <c r="H26" s="140"/>
      <c r="I26" s="184"/>
      <c r="J26" s="145"/>
      <c r="K26" s="140"/>
      <c r="L26" s="184"/>
      <c r="M26" s="145"/>
      <c r="N26" s="140"/>
      <c r="O26" s="184"/>
      <c r="P26" s="145"/>
      <c r="Q26" s="140"/>
      <c r="R26" s="184"/>
      <c r="S26" s="145"/>
      <c r="T26" s="140"/>
      <c r="U26" s="184"/>
    </row>
    <row r="27" spans="1:21" ht="6" customHeight="1">
      <c r="B27" s="47"/>
      <c r="C27" s="5"/>
      <c r="D27" s="161"/>
      <c r="E27" s="188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  <c r="Q27" s="137"/>
      <c r="R27" s="182"/>
      <c r="S27" s="138"/>
      <c r="T27" s="137"/>
      <c r="U27" s="182"/>
    </row>
    <row r="28" spans="1:21" s="46" customFormat="1" ht="11.25">
      <c r="A28" s="54"/>
      <c r="B28" s="47" t="s">
        <v>216</v>
      </c>
      <c r="C28" s="5"/>
      <c r="D28" s="161"/>
      <c r="E28" s="188"/>
      <c r="F28" s="188"/>
      <c r="G28" s="146"/>
      <c r="H28" s="143"/>
      <c r="I28" s="188"/>
      <c r="J28" s="146"/>
      <c r="K28" s="143"/>
      <c r="L28" s="188"/>
      <c r="M28" s="146"/>
      <c r="N28" s="143"/>
      <c r="O28" s="188"/>
      <c r="P28" s="146"/>
      <c r="Q28" s="143"/>
      <c r="R28" s="188"/>
      <c r="S28" s="146"/>
      <c r="T28" s="143"/>
      <c r="U28" s="188"/>
    </row>
    <row r="29" spans="1:21" s="46" customFormat="1" ht="11.25">
      <c r="A29" s="54"/>
      <c r="B29" s="47" t="s">
        <v>217</v>
      </c>
      <c r="C29" s="5"/>
      <c r="D29" s="161"/>
      <c r="E29" s="188"/>
      <c r="F29" s="188"/>
      <c r="G29" s="146"/>
      <c r="H29" s="143"/>
      <c r="I29" s="188"/>
      <c r="J29" s="146"/>
      <c r="K29" s="143"/>
      <c r="L29" s="188"/>
      <c r="M29" s="146"/>
      <c r="N29" s="143"/>
      <c r="O29" s="188"/>
      <c r="P29" s="146"/>
      <c r="Q29" s="143"/>
      <c r="R29" s="188"/>
      <c r="S29" s="146"/>
      <c r="T29" s="143"/>
      <c r="U29" s="188"/>
    </row>
    <row r="30" spans="1:21" s="46" customFormat="1" ht="11.25">
      <c r="A30" s="54"/>
      <c r="B30" s="425" t="s">
        <v>218</v>
      </c>
      <c r="C30" s="5"/>
      <c r="D30" s="161"/>
      <c r="E30" s="188"/>
      <c r="F30" s="188"/>
      <c r="G30" s="146"/>
      <c r="H30" s="143"/>
      <c r="I30" s="188"/>
      <c r="J30" s="146"/>
      <c r="K30" s="143"/>
      <c r="L30" s="188"/>
      <c r="M30" s="146"/>
      <c r="N30" s="143"/>
      <c r="O30" s="188"/>
      <c r="P30" s="146"/>
      <c r="Q30" s="143"/>
      <c r="R30" s="188"/>
      <c r="S30" s="146"/>
      <c r="T30" s="143"/>
      <c r="U30" s="188"/>
    </row>
    <row r="31" spans="1:21" s="59" customFormat="1">
      <c r="B31" s="132" t="s">
        <v>213</v>
      </c>
      <c r="C31" s="131"/>
      <c r="D31" s="179"/>
      <c r="E31" s="179"/>
      <c r="F31" s="179"/>
      <c r="G31" s="134"/>
      <c r="H31" s="131"/>
      <c r="I31" s="179"/>
      <c r="J31" s="134"/>
      <c r="K31" s="131"/>
      <c r="L31" s="179"/>
      <c r="M31" s="134"/>
      <c r="N31" s="131"/>
      <c r="O31" s="179"/>
      <c r="P31" s="134"/>
      <c r="Q31" s="131"/>
      <c r="R31" s="179"/>
      <c r="S31" s="134"/>
      <c r="T31" s="131"/>
      <c r="U31" s="179"/>
    </row>
  </sheetData>
  <mergeCells count="10">
    <mergeCell ref="B5:R5"/>
    <mergeCell ref="B7:B9"/>
    <mergeCell ref="D7:D9"/>
    <mergeCell ref="F7:S7"/>
    <mergeCell ref="U7:U9"/>
    <mergeCell ref="F8:G8"/>
    <mergeCell ref="I8:J8"/>
    <mergeCell ref="L8:M8"/>
    <mergeCell ref="O8:P8"/>
    <mergeCell ref="R8:S8"/>
  </mergeCells>
  <hyperlinks>
    <hyperlink ref="U1" location="Índice!A1" tooltip="Ir a ÍNDICE" display="INDICE" xr:uid="{5842C789-2716-43E5-AB9E-28D4C5B1B535}"/>
  </hyperlink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3137-DAB1-4B74-B6AC-D1561AFDD0FC}">
  <dimension ref="A1:BA50"/>
  <sheetViews>
    <sheetView showGridLines="0" zoomScaleNormal="100" workbookViewId="0"/>
  </sheetViews>
  <sheetFormatPr baseColWidth="10" defaultColWidth="11.42578125" defaultRowHeight="15"/>
  <cols>
    <col min="1" max="1" width="1.7109375" style="59" customWidth="1"/>
    <col min="2" max="2" width="24.28515625" style="237" customWidth="1"/>
    <col min="3" max="3" width="1.7109375" style="264" customWidth="1" collapsed="1"/>
    <col min="4" max="4" width="17.140625" style="265" customWidth="1" collapsed="1"/>
    <col min="5" max="5" width="1.7109375" style="265" customWidth="1" collapsed="1"/>
    <col min="6" max="6" width="12.7109375" style="265" customWidth="1" collapsed="1"/>
    <col min="7" max="7" width="12.7109375" style="266" customWidth="1" collapsed="1"/>
    <col min="8" max="8" width="1.7109375" style="237" customWidth="1" collapsed="1"/>
    <col min="9" max="9" width="12.7109375" style="243" customWidth="1"/>
    <col min="10" max="10" width="12.7109375" style="244" customWidth="1"/>
    <col min="11" max="11" width="1.7109375" style="245" customWidth="1"/>
    <col min="12" max="12" width="12.7109375" style="243" customWidth="1"/>
    <col min="13" max="13" width="12.7109375" style="244" customWidth="1"/>
    <col min="14" max="14" width="1.7109375" style="245" customWidth="1"/>
    <col min="15" max="15" width="12.7109375" style="243" customWidth="1"/>
    <col min="16" max="16" width="12.7109375" style="244" customWidth="1"/>
    <col min="17" max="43" width="11.42578125" style="237"/>
    <col min="44" max="44" width="11.42578125" style="237" collapsed="1"/>
    <col min="45" max="49" width="11.42578125" style="237"/>
    <col min="50" max="50" width="11.42578125" style="237" collapsed="1"/>
    <col min="51" max="53" width="11.42578125" style="237"/>
    <col min="54" max="16384" width="11.42578125" style="237" collapsed="1"/>
  </cols>
  <sheetData>
    <row r="1" spans="1:16" s="221" customFormat="1" ht="14.1" customHeight="1">
      <c r="A1" s="53"/>
      <c r="B1" s="756" t="s">
        <v>268</v>
      </c>
      <c r="C1" s="214"/>
      <c r="D1" s="215"/>
      <c r="E1" s="215"/>
      <c r="F1" s="215"/>
      <c r="G1" s="216"/>
      <c r="H1" s="217"/>
      <c r="I1" s="218"/>
      <c r="J1" s="219"/>
      <c r="K1" s="220"/>
      <c r="L1" s="218"/>
      <c r="M1" s="219"/>
      <c r="N1" s="220"/>
      <c r="O1" s="218"/>
      <c r="P1" s="153" t="s">
        <v>191</v>
      </c>
    </row>
    <row r="2" spans="1:16" s="221" customFormat="1" ht="6.95" customHeight="1">
      <c r="A2" s="53"/>
      <c r="B2" s="756"/>
      <c r="C2" s="214"/>
      <c r="D2" s="215"/>
      <c r="E2" s="215"/>
      <c r="F2" s="215"/>
      <c r="G2" s="216"/>
      <c r="H2" s="217"/>
      <c r="I2" s="218"/>
      <c r="J2" s="219"/>
      <c r="K2" s="220"/>
      <c r="L2" s="218"/>
      <c r="M2" s="219"/>
      <c r="N2" s="220"/>
      <c r="O2" s="218"/>
      <c r="P2" s="223"/>
    </row>
    <row r="3" spans="1:16" s="221" customFormat="1" ht="14.1" customHeight="1">
      <c r="A3" s="53"/>
      <c r="B3" s="756" t="s">
        <v>236</v>
      </c>
      <c r="C3" s="222"/>
      <c r="D3" s="224"/>
      <c r="E3" s="224"/>
      <c r="F3" s="224"/>
      <c r="G3" s="225"/>
      <c r="H3" s="222"/>
      <c r="I3" s="226"/>
      <c r="J3" s="219"/>
      <c r="K3" s="220"/>
      <c r="L3" s="218"/>
      <c r="M3" s="219"/>
      <c r="N3" s="220"/>
      <c r="O3" s="218"/>
      <c r="P3" s="223"/>
    </row>
    <row r="4" spans="1:16" s="221" customFormat="1" ht="6.95" customHeight="1">
      <c r="A4" s="53"/>
      <c r="C4" s="214"/>
      <c r="D4" s="227"/>
      <c r="E4" s="227"/>
      <c r="F4" s="227"/>
      <c r="G4" s="228"/>
      <c r="I4" s="229"/>
      <c r="J4" s="223"/>
      <c r="K4" s="230"/>
      <c r="L4" s="229"/>
      <c r="M4" s="223"/>
      <c r="N4" s="230"/>
      <c r="O4" s="229"/>
      <c r="P4" s="223"/>
    </row>
    <row r="5" spans="1:16" s="221" customFormat="1" ht="20.100000000000001" customHeight="1">
      <c r="A5" s="53"/>
      <c r="B5" s="870" t="s">
        <v>185</v>
      </c>
      <c r="C5" s="870"/>
      <c r="D5" s="870"/>
      <c r="E5" s="870"/>
      <c r="F5" s="870"/>
      <c r="G5" s="870"/>
      <c r="H5" s="870"/>
      <c r="I5" s="870"/>
      <c r="J5" s="870"/>
      <c r="K5" s="870"/>
      <c r="L5" s="870"/>
      <c r="M5" s="870"/>
      <c r="N5" s="870"/>
      <c r="O5" s="231"/>
      <c r="P5" s="90" t="s">
        <v>146</v>
      </c>
    </row>
    <row r="6" spans="1:16" ht="6" customHeight="1">
      <c r="A6" s="53"/>
      <c r="B6" s="232"/>
      <c r="C6" s="233"/>
      <c r="D6" s="234"/>
      <c r="E6" s="234"/>
      <c r="F6" s="234"/>
      <c r="G6" s="235"/>
      <c r="H6" s="236"/>
      <c r="I6" s="234"/>
      <c r="J6" s="235"/>
      <c r="K6" s="236"/>
      <c r="L6" s="234"/>
      <c r="M6" s="235"/>
      <c r="N6" s="236"/>
      <c r="O6" s="234"/>
      <c r="P6" s="235"/>
    </row>
    <row r="7" spans="1:16" ht="16.5" customHeight="1">
      <c r="A7" s="53"/>
      <c r="B7" s="871" t="s">
        <v>1</v>
      </c>
      <c r="C7" s="871"/>
      <c r="D7" s="874" t="s">
        <v>89</v>
      </c>
      <c r="E7" s="238"/>
      <c r="F7" s="877" t="s">
        <v>144</v>
      </c>
      <c r="G7" s="877"/>
      <c r="H7" s="877"/>
      <c r="I7" s="877"/>
      <c r="J7" s="877"/>
      <c r="K7" s="877"/>
      <c r="L7" s="877"/>
      <c r="M7" s="877"/>
      <c r="N7" s="877"/>
      <c r="O7" s="877"/>
      <c r="P7" s="877"/>
    </row>
    <row r="8" spans="1:16" ht="34.5" customHeight="1">
      <c r="A8" s="53"/>
      <c r="B8" s="872"/>
      <c r="C8" s="872"/>
      <c r="D8" s="875"/>
      <c r="E8" s="239"/>
      <c r="F8" s="878" t="s">
        <v>168</v>
      </c>
      <c r="G8" s="878"/>
      <c r="H8" s="240"/>
      <c r="I8" s="878" t="s">
        <v>226</v>
      </c>
      <c r="J8" s="878"/>
      <c r="K8" s="240"/>
      <c r="L8" s="879" t="s">
        <v>145</v>
      </c>
      <c r="M8" s="879"/>
      <c r="N8" s="240"/>
      <c r="O8" s="880" t="s">
        <v>171</v>
      </c>
      <c r="P8" s="880"/>
    </row>
    <row r="9" spans="1:16" ht="16.5" customHeight="1">
      <c r="A9" s="54"/>
      <c r="B9" s="873"/>
      <c r="C9" s="873"/>
      <c r="D9" s="876"/>
      <c r="E9" s="241"/>
      <c r="F9" s="203" t="s">
        <v>3</v>
      </c>
      <c r="G9" s="204" t="s">
        <v>4</v>
      </c>
      <c r="H9" s="242"/>
      <c r="I9" s="203" t="s">
        <v>3</v>
      </c>
      <c r="J9" s="204" t="s">
        <v>4</v>
      </c>
      <c r="K9" s="242"/>
      <c r="L9" s="203" t="s">
        <v>3</v>
      </c>
      <c r="M9" s="204" t="s">
        <v>4</v>
      </c>
      <c r="N9" s="242"/>
      <c r="O9" s="203" t="s">
        <v>3</v>
      </c>
      <c r="P9" s="204" t="s">
        <v>4</v>
      </c>
    </row>
    <row r="10" spans="1:16" ht="6" customHeight="1">
      <c r="A10" s="54"/>
      <c r="B10" s="36"/>
      <c r="C10" s="233"/>
      <c r="D10" s="243"/>
      <c r="E10" s="243"/>
      <c r="F10" s="243"/>
      <c r="G10" s="244"/>
      <c r="H10" s="245"/>
    </row>
    <row r="11" spans="1:16" s="249" customFormat="1">
      <c r="A11" s="206"/>
      <c r="B11" s="37" t="s">
        <v>5</v>
      </c>
      <c r="C11" s="246"/>
      <c r="D11" s="267">
        <v>107562.164103577</v>
      </c>
      <c r="E11" s="247"/>
      <c r="F11" s="267">
        <v>95648.535264023303</v>
      </c>
      <c r="G11" s="267">
        <v>0.93626880739999996</v>
      </c>
      <c r="H11" s="248"/>
      <c r="I11" s="267">
        <v>27848.388348370499</v>
      </c>
      <c r="J11" s="267">
        <v>0.62245918899999997</v>
      </c>
      <c r="K11" s="39"/>
      <c r="L11" s="267">
        <v>34140.8190255675</v>
      </c>
      <c r="M11" s="267">
        <v>0.77229031400000003</v>
      </c>
      <c r="N11" s="248"/>
      <c r="O11" s="267">
        <v>13595.058597167101</v>
      </c>
      <c r="P11" s="267">
        <v>0.32604594149999999</v>
      </c>
    </row>
    <row r="12" spans="1:16" s="249" customFormat="1" ht="6" customHeight="1">
      <c r="A12" s="57"/>
      <c r="B12" s="37"/>
      <c r="C12" s="246"/>
      <c r="D12" s="158"/>
      <c r="E12" s="247"/>
      <c r="F12" s="158"/>
      <c r="G12" s="85"/>
      <c r="H12" s="248"/>
      <c r="I12" s="158"/>
      <c r="J12" s="85"/>
      <c r="K12" s="39"/>
      <c r="L12" s="158"/>
      <c r="M12" s="85"/>
      <c r="N12" s="248"/>
      <c r="O12" s="158"/>
      <c r="P12" s="85"/>
    </row>
    <row r="13" spans="1:16" s="249" customFormat="1" ht="12.75" customHeight="1">
      <c r="A13" s="57"/>
      <c r="B13" s="17" t="s">
        <v>6</v>
      </c>
      <c r="C13" s="246"/>
      <c r="D13" s="268">
        <v>6861.2126498592997</v>
      </c>
      <c r="E13" s="250"/>
      <c r="F13" s="268">
        <v>6480.2855419837997</v>
      </c>
      <c r="G13" s="268">
        <v>3.0644418670000002</v>
      </c>
      <c r="H13" s="251"/>
      <c r="I13" s="268">
        <v>1643.4353239729001</v>
      </c>
      <c r="J13" s="268">
        <v>2.2713866558000002</v>
      </c>
      <c r="K13" s="39"/>
      <c r="L13" s="268">
        <v>2340.5371134636998</v>
      </c>
      <c r="M13" s="268">
        <v>3.0796672802999998</v>
      </c>
      <c r="N13" s="251"/>
      <c r="O13" s="268">
        <v>998.43229438189996</v>
      </c>
      <c r="P13" s="268">
        <v>1.2840592357</v>
      </c>
    </row>
    <row r="14" spans="1:16" s="249" customFormat="1" ht="12.75" customHeight="1">
      <c r="A14" s="57"/>
      <c r="B14" s="17" t="s">
        <v>7</v>
      </c>
      <c r="C14" s="246"/>
      <c r="D14" s="268">
        <v>23624.4360214023</v>
      </c>
      <c r="E14" s="250"/>
      <c r="F14" s="268">
        <v>21546.8282010197</v>
      </c>
      <c r="G14" s="268">
        <v>3.4870285054000001</v>
      </c>
      <c r="H14" s="251"/>
      <c r="I14" s="268">
        <v>3449.7843680579999</v>
      </c>
      <c r="J14" s="268">
        <v>1.5287867811</v>
      </c>
      <c r="K14" s="39"/>
      <c r="L14" s="268">
        <v>6879.5461049631003</v>
      </c>
      <c r="M14" s="268">
        <v>3.0818528366</v>
      </c>
      <c r="N14" s="251"/>
      <c r="O14" s="268">
        <v>1073.474524875</v>
      </c>
      <c r="P14" s="268">
        <v>0.50837922599999996</v>
      </c>
    </row>
    <row r="15" spans="1:16" s="249" customFormat="1" ht="12.75" customHeight="1">
      <c r="A15" s="54"/>
      <c r="B15" s="17" t="s">
        <v>8</v>
      </c>
      <c r="C15" s="246"/>
      <c r="D15" s="268">
        <v>3490.3991026829999</v>
      </c>
      <c r="E15" s="250"/>
      <c r="F15" s="268">
        <v>2668.8579392861002</v>
      </c>
      <c r="G15" s="268">
        <v>3.7916364835</v>
      </c>
      <c r="H15" s="251"/>
      <c r="I15" s="268">
        <v>1187.0814048103</v>
      </c>
      <c r="J15" s="268">
        <v>3.2896756201000001</v>
      </c>
      <c r="K15" s="39"/>
      <c r="L15" s="268">
        <v>1122.6894871387999</v>
      </c>
      <c r="M15" s="268">
        <v>3.401960785</v>
      </c>
      <c r="N15" s="251"/>
      <c r="O15" s="268">
        <v>382.45043251819999</v>
      </c>
      <c r="P15" s="268">
        <v>1.2884870791</v>
      </c>
    </row>
    <row r="16" spans="1:16" s="249" customFormat="1" ht="12.75" customHeight="1">
      <c r="A16" s="54"/>
      <c r="B16" s="17" t="s">
        <v>9</v>
      </c>
      <c r="C16" s="246"/>
      <c r="D16" s="268">
        <v>2181.0900679319002</v>
      </c>
      <c r="E16" s="250"/>
      <c r="F16" s="268">
        <v>1865.8191337305</v>
      </c>
      <c r="G16" s="268">
        <v>5.1006295968000002</v>
      </c>
      <c r="H16" s="251"/>
      <c r="I16" s="268">
        <v>695.59648685679997</v>
      </c>
      <c r="J16" s="268">
        <v>3.0508885499999998</v>
      </c>
      <c r="K16" s="39"/>
      <c r="L16" s="268">
        <v>881.26622670890004</v>
      </c>
      <c r="M16" s="268">
        <v>3.8510895069000002</v>
      </c>
      <c r="N16" s="251"/>
      <c r="O16" s="268">
        <v>398.69591908799998</v>
      </c>
      <c r="P16" s="268">
        <v>1.8017983284000001</v>
      </c>
    </row>
    <row r="17" spans="1:16" s="249" customFormat="1" ht="12.75" customHeight="1">
      <c r="A17" s="54"/>
      <c r="B17" s="17" t="s">
        <v>10</v>
      </c>
      <c r="C17" s="246"/>
      <c r="D17" s="269">
        <v>13877.288610715301</v>
      </c>
      <c r="E17" s="250"/>
      <c r="F17" s="269">
        <v>13350.7170146383</v>
      </c>
      <c r="G17" s="269">
        <v>2.0830604736999998</v>
      </c>
      <c r="H17" s="251"/>
      <c r="I17" s="269">
        <v>2301.2256580813</v>
      </c>
      <c r="J17" s="269">
        <v>1.1198294977000001</v>
      </c>
      <c r="K17" s="39"/>
      <c r="L17" s="269">
        <v>4446.7729956555004</v>
      </c>
      <c r="M17" s="269">
        <v>2.1354703334999998</v>
      </c>
      <c r="N17" s="251"/>
      <c r="O17" s="269">
        <v>954.88533343009999</v>
      </c>
      <c r="P17" s="269">
        <v>0.47529291070000002</v>
      </c>
    </row>
    <row r="18" spans="1:16" s="249" customFormat="1" ht="12.75" customHeight="1">
      <c r="A18" s="58"/>
      <c r="B18" s="17" t="s">
        <v>11</v>
      </c>
      <c r="C18" s="246"/>
      <c r="D18" s="269">
        <v>4007.1194125410998</v>
      </c>
      <c r="E18" s="250"/>
      <c r="F18" s="269">
        <v>3565.4530097779998</v>
      </c>
      <c r="G18" s="269">
        <v>3.1202993347999999</v>
      </c>
      <c r="H18" s="251"/>
      <c r="I18" s="269">
        <v>861.21247480960005</v>
      </c>
      <c r="J18" s="269">
        <v>1.8422504906999999</v>
      </c>
      <c r="K18" s="39"/>
      <c r="L18" s="269">
        <v>1004.7184188271</v>
      </c>
      <c r="M18" s="269">
        <v>2.6071445982000001</v>
      </c>
      <c r="N18" s="251"/>
      <c r="O18" s="269">
        <v>491.85513388319998</v>
      </c>
      <c r="P18" s="269">
        <v>1.2802837623000001</v>
      </c>
    </row>
    <row r="19" spans="1:16" s="249" customFormat="1" ht="12.75" customHeight="1">
      <c r="A19" s="58"/>
      <c r="B19" s="17" t="s">
        <v>12</v>
      </c>
      <c r="C19" s="246"/>
      <c r="D19" s="268">
        <v>12322.085617005299</v>
      </c>
      <c r="E19" s="250"/>
      <c r="F19" s="268">
        <v>10717.413977922801</v>
      </c>
      <c r="G19" s="268">
        <v>8.591341624</v>
      </c>
      <c r="H19" s="251"/>
      <c r="I19" s="268">
        <v>3815.0615644011</v>
      </c>
      <c r="J19" s="268">
        <v>4.9106041211999996</v>
      </c>
      <c r="K19" s="39"/>
      <c r="L19" s="268">
        <v>5494.2720989623003</v>
      </c>
      <c r="M19" s="268">
        <v>7.3480553573999998</v>
      </c>
      <c r="N19" s="251"/>
      <c r="O19" s="268">
        <v>2080.3272699264999</v>
      </c>
      <c r="P19" s="268">
        <v>2.9361191607000001</v>
      </c>
    </row>
    <row r="20" spans="1:16" s="249" customFormat="1" ht="12.75" customHeight="1">
      <c r="A20" s="59"/>
      <c r="B20" s="17" t="s">
        <v>13</v>
      </c>
      <c r="C20" s="246"/>
      <c r="D20" s="268">
        <v>19418.402236094102</v>
      </c>
      <c r="E20" s="250"/>
      <c r="F20" s="268">
        <v>17057.164519780399</v>
      </c>
      <c r="G20" s="268">
        <v>3.0881484971000002</v>
      </c>
      <c r="H20" s="251"/>
      <c r="I20" s="268">
        <v>5006.8492006666002</v>
      </c>
      <c r="J20" s="268">
        <v>1.9718786413</v>
      </c>
      <c r="K20" s="39"/>
      <c r="L20" s="268">
        <v>8839.4571140355001</v>
      </c>
      <c r="M20" s="268">
        <v>3.1784170227000001</v>
      </c>
      <c r="N20" s="251"/>
      <c r="O20" s="268">
        <v>2080.6604451058001</v>
      </c>
      <c r="P20" s="268">
        <v>0.84558852220000003</v>
      </c>
    </row>
    <row r="21" spans="1:16" s="249" customFormat="1" ht="12.75" customHeight="1">
      <c r="A21" s="59"/>
      <c r="B21" s="17" t="s">
        <v>14</v>
      </c>
      <c r="C21" s="246"/>
      <c r="D21" s="268">
        <v>19330.006336355302</v>
      </c>
      <c r="E21" s="250"/>
      <c r="F21" s="268">
        <v>12181.4307763629</v>
      </c>
      <c r="G21" s="268">
        <v>5.8976059011000004</v>
      </c>
      <c r="H21" s="251"/>
      <c r="I21" s="268">
        <v>10700.159244942301</v>
      </c>
      <c r="J21" s="268">
        <v>5.8809367787999998</v>
      </c>
      <c r="K21" s="39"/>
      <c r="L21" s="268">
        <v>10833.148444845099</v>
      </c>
      <c r="M21" s="268">
        <v>6.1612911944000004</v>
      </c>
      <c r="N21" s="251"/>
      <c r="O21" s="268">
        <v>4967.3646963986002</v>
      </c>
      <c r="P21" s="268">
        <v>3.2844005582000002</v>
      </c>
    </row>
    <row r="22" spans="1:16" s="249" customFormat="1" ht="12.75" customHeight="1">
      <c r="A22" s="59"/>
      <c r="B22" s="17" t="s">
        <v>15</v>
      </c>
      <c r="C22" s="246"/>
      <c r="D22" s="268">
        <v>6324.3342984863002</v>
      </c>
      <c r="E22" s="250"/>
      <c r="F22" s="268">
        <v>5252.8102486427997</v>
      </c>
      <c r="G22" s="268">
        <v>4.2422292346999999</v>
      </c>
      <c r="H22" s="251"/>
      <c r="I22" s="268">
        <v>2388.4364317174</v>
      </c>
      <c r="J22" s="268">
        <v>3.3614202880000001</v>
      </c>
      <c r="K22" s="39"/>
      <c r="L22" s="268">
        <v>1881.1272676514</v>
      </c>
      <c r="M22" s="268">
        <v>2.8567404940999999</v>
      </c>
      <c r="N22" s="251"/>
      <c r="O22" s="268">
        <v>1011.0248237323</v>
      </c>
      <c r="P22" s="268">
        <v>1.6098946716</v>
      </c>
    </row>
    <row r="23" spans="1:16" s="249" customFormat="1" ht="12.75" customHeight="1">
      <c r="A23" s="59"/>
      <c r="B23" s="17" t="s">
        <v>16</v>
      </c>
      <c r="C23" s="246"/>
      <c r="D23" s="268">
        <v>28711.029782055099</v>
      </c>
      <c r="E23" s="250"/>
      <c r="F23" s="268">
        <v>25873.1082905488</v>
      </c>
      <c r="G23" s="268">
        <v>3.1458374506000002</v>
      </c>
      <c r="H23" s="251"/>
      <c r="I23" s="268">
        <v>7048.0016972145004</v>
      </c>
      <c r="J23" s="268">
        <v>2.4222510773999999</v>
      </c>
      <c r="K23" s="39"/>
      <c r="L23" s="268">
        <v>8487.6030386793991</v>
      </c>
      <c r="M23" s="268">
        <v>2.9503850988</v>
      </c>
      <c r="N23" s="251"/>
      <c r="O23" s="268">
        <v>1505.0053156051999</v>
      </c>
      <c r="P23" s="268">
        <v>0.58084101659999998</v>
      </c>
    </row>
    <row r="24" spans="1:16" s="249" customFormat="1" ht="12.75" customHeight="1">
      <c r="A24" s="59"/>
      <c r="B24" s="17" t="s">
        <v>17</v>
      </c>
      <c r="C24" s="246"/>
      <c r="D24" s="268">
        <v>6928.2097195503002</v>
      </c>
      <c r="E24" s="250"/>
      <c r="F24" s="268">
        <v>3216.6382906946001</v>
      </c>
      <c r="G24" s="268">
        <v>5.2491203322000004</v>
      </c>
      <c r="H24" s="251"/>
      <c r="I24" s="268">
        <v>5041.2497235642004</v>
      </c>
      <c r="J24" s="268">
        <v>6.9533174970999996</v>
      </c>
      <c r="K24" s="39"/>
      <c r="L24" s="268">
        <v>2861.3785085297</v>
      </c>
      <c r="M24" s="268">
        <v>5.0421565721999997</v>
      </c>
      <c r="N24" s="251"/>
      <c r="O24" s="268">
        <v>2887.6072514752</v>
      </c>
      <c r="P24" s="268">
        <v>4.8978980164000001</v>
      </c>
    </row>
    <row r="25" spans="1:16" s="249" customFormat="1" ht="12.75" customHeight="1">
      <c r="A25" s="59"/>
      <c r="B25" s="17" t="s">
        <v>18</v>
      </c>
      <c r="C25" s="246"/>
      <c r="D25" s="268">
        <v>10325.650035135901</v>
      </c>
      <c r="E25" s="250"/>
      <c r="F25" s="268">
        <v>8019.7659190819004</v>
      </c>
      <c r="G25" s="268">
        <v>7.5761973831000002</v>
      </c>
      <c r="H25" s="251"/>
      <c r="I25" s="268">
        <v>4187.2154552765996</v>
      </c>
      <c r="J25" s="268">
        <v>4.7265601058</v>
      </c>
      <c r="K25" s="39"/>
      <c r="L25" s="268">
        <v>3813.9987165813</v>
      </c>
      <c r="M25" s="268">
        <v>4.6952588731000002</v>
      </c>
      <c r="N25" s="251"/>
      <c r="O25" s="268">
        <v>742.36177164510002</v>
      </c>
      <c r="P25" s="268">
        <v>0.98404723969999996</v>
      </c>
    </row>
    <row r="26" spans="1:16" s="249" customFormat="1" ht="12.75" customHeight="1">
      <c r="A26" s="59"/>
      <c r="B26" s="17" t="s">
        <v>19</v>
      </c>
      <c r="C26" s="246"/>
      <c r="D26" s="268">
        <v>30007.281994917201</v>
      </c>
      <c r="E26" s="250"/>
      <c r="F26" s="268">
        <v>28374.3137412047</v>
      </c>
      <c r="G26" s="268">
        <v>4.8664387544999999</v>
      </c>
      <c r="H26" s="251"/>
      <c r="I26" s="268">
        <v>5171.5745305130004</v>
      </c>
      <c r="J26" s="268">
        <v>2.0153276816000001</v>
      </c>
      <c r="K26" s="39"/>
      <c r="L26" s="268">
        <v>12946.588830639699</v>
      </c>
      <c r="M26" s="268">
        <v>4.6534097809999997</v>
      </c>
      <c r="N26" s="251"/>
      <c r="O26" s="268">
        <v>3076.4380554321001</v>
      </c>
      <c r="P26" s="268">
        <v>1.1560462792999999</v>
      </c>
    </row>
    <row r="27" spans="1:16" s="249" customFormat="1" ht="12.75" customHeight="1">
      <c r="A27" s="59"/>
      <c r="B27" s="17" t="s">
        <v>20</v>
      </c>
      <c r="C27" s="246"/>
      <c r="D27" s="268">
        <v>57937.785315121</v>
      </c>
      <c r="E27" s="250"/>
      <c r="F27" s="268">
        <v>49070.336697560997</v>
      </c>
      <c r="G27" s="268">
        <v>4.7851064804999996</v>
      </c>
      <c r="H27" s="251"/>
      <c r="I27" s="268">
        <v>16973.3338171385</v>
      </c>
      <c r="J27" s="268">
        <v>3.8006052177999998</v>
      </c>
      <c r="K27" s="39"/>
      <c r="L27" s="268">
        <v>15852.7828558437</v>
      </c>
      <c r="M27" s="268">
        <v>3.7198501636999999</v>
      </c>
      <c r="N27" s="251"/>
      <c r="O27" s="268">
        <v>6951.0373470439999</v>
      </c>
      <c r="P27" s="268">
        <v>1.7257002322999999</v>
      </c>
    </row>
    <row r="28" spans="1:16" s="249" customFormat="1" ht="12.75" customHeight="1">
      <c r="A28" s="59"/>
      <c r="B28" s="17" t="s">
        <v>21</v>
      </c>
      <c r="C28" s="246"/>
      <c r="D28" s="268">
        <v>18276.1383696909</v>
      </c>
      <c r="E28" s="250"/>
      <c r="F28" s="268">
        <v>17389.903606776901</v>
      </c>
      <c r="G28" s="268">
        <v>6.1146928669999996</v>
      </c>
      <c r="H28" s="251"/>
      <c r="I28" s="268">
        <v>2513.0649041559</v>
      </c>
      <c r="J28" s="268">
        <v>2.3644695900000001</v>
      </c>
      <c r="K28" s="39"/>
      <c r="L28" s="268">
        <v>5283.3675606522002</v>
      </c>
      <c r="M28" s="268">
        <v>5.1130484009000003</v>
      </c>
      <c r="N28" s="251"/>
      <c r="O28" s="268">
        <v>2305.4648844285998</v>
      </c>
      <c r="P28" s="268">
        <v>2.2141132292000001</v>
      </c>
    </row>
    <row r="29" spans="1:16" s="249" customFormat="1" ht="12.75" customHeight="1">
      <c r="A29" s="59"/>
      <c r="B29" s="17" t="s">
        <v>22</v>
      </c>
      <c r="C29" s="246"/>
      <c r="D29" s="268">
        <v>4308.0862410981999</v>
      </c>
      <c r="E29" s="250"/>
      <c r="F29" s="268">
        <v>3210.4180020202998</v>
      </c>
      <c r="G29" s="268">
        <v>5.7631774797000004</v>
      </c>
      <c r="H29" s="251"/>
      <c r="I29" s="268">
        <v>1430.2575087985999</v>
      </c>
      <c r="J29" s="268">
        <v>3.8912683483000001</v>
      </c>
      <c r="K29" s="39"/>
      <c r="L29" s="268">
        <v>1644.2604980103999</v>
      </c>
      <c r="M29" s="268">
        <v>5.0618232803999996</v>
      </c>
      <c r="N29" s="251"/>
      <c r="O29" s="268">
        <v>1001.6991457376</v>
      </c>
      <c r="P29" s="268">
        <v>2.9214985505</v>
      </c>
    </row>
    <row r="30" spans="1:16" s="249" customFormat="1" ht="12.75" customHeight="1">
      <c r="A30" s="59"/>
      <c r="B30" s="17" t="s">
        <v>23</v>
      </c>
      <c r="C30" s="246"/>
      <c r="D30" s="268">
        <v>5052.9495395761996</v>
      </c>
      <c r="E30" s="250"/>
      <c r="F30" s="268">
        <v>3104.8762455750998</v>
      </c>
      <c r="G30" s="268">
        <v>5.3174044646</v>
      </c>
      <c r="H30" s="251"/>
      <c r="I30" s="268">
        <v>2211.5158802694</v>
      </c>
      <c r="J30" s="268">
        <v>4.2154194842999999</v>
      </c>
      <c r="K30" s="39"/>
      <c r="L30" s="268">
        <v>1525.4551409911001</v>
      </c>
      <c r="M30" s="268">
        <v>3.2682028177000002</v>
      </c>
      <c r="N30" s="251"/>
      <c r="O30" s="268">
        <v>341.35904851049997</v>
      </c>
      <c r="P30" s="268">
        <v>0.96251217990000004</v>
      </c>
    </row>
    <row r="31" spans="1:16" s="249" customFormat="1" ht="12.75" customHeight="1">
      <c r="A31" s="59"/>
      <c r="B31" s="17" t="s">
        <v>24</v>
      </c>
      <c r="C31" s="246"/>
      <c r="D31" s="268">
        <v>39716.065919595902</v>
      </c>
      <c r="E31" s="250"/>
      <c r="F31" s="268">
        <v>39567.217892337503</v>
      </c>
      <c r="G31" s="268">
        <v>1.9314234718000001</v>
      </c>
      <c r="H31" s="251"/>
      <c r="I31" s="268">
        <v>3591.2623520329998</v>
      </c>
      <c r="J31" s="268">
        <v>0.93133470559999998</v>
      </c>
      <c r="K31" s="39"/>
      <c r="L31" s="268">
        <v>6395.2086037655999</v>
      </c>
      <c r="M31" s="268">
        <v>1.7697451197</v>
      </c>
      <c r="N31" s="251"/>
      <c r="O31" s="268">
        <v>1278.2538253826001</v>
      </c>
      <c r="P31" s="268">
        <v>0.31971936639999998</v>
      </c>
    </row>
    <row r="32" spans="1:16" s="249" customFormat="1" ht="12.75" customHeight="1">
      <c r="A32" s="59"/>
      <c r="B32" s="17" t="s">
        <v>25</v>
      </c>
      <c r="C32" s="246"/>
      <c r="D32" s="268">
        <v>13418.796740222801</v>
      </c>
      <c r="E32" s="250"/>
      <c r="F32" s="268">
        <v>8571.8179518699999</v>
      </c>
      <c r="G32" s="268">
        <v>8.9912612681000006</v>
      </c>
      <c r="H32" s="251"/>
      <c r="I32" s="268">
        <v>3898.6171907485</v>
      </c>
      <c r="J32" s="268">
        <v>5.1273068886999997</v>
      </c>
      <c r="K32" s="39"/>
      <c r="L32" s="268">
        <v>5532.6366475113</v>
      </c>
      <c r="M32" s="268">
        <v>9.6628969565999991</v>
      </c>
      <c r="N32" s="251"/>
      <c r="O32" s="268">
        <v>3205.1435159972998</v>
      </c>
      <c r="P32" s="268">
        <v>6.3023970809999996</v>
      </c>
    </row>
    <row r="33" spans="1:16" s="249" customFormat="1" ht="12.75" customHeight="1">
      <c r="A33" s="59"/>
      <c r="B33" s="17" t="s">
        <v>26</v>
      </c>
      <c r="C33" s="246"/>
      <c r="D33" s="268">
        <v>20010.016418531301</v>
      </c>
      <c r="E33" s="250"/>
      <c r="F33" s="268">
        <v>18256.8157456507</v>
      </c>
      <c r="G33" s="268">
        <v>5.8751091642000004</v>
      </c>
      <c r="H33" s="251"/>
      <c r="I33" s="268">
        <v>4763.9332074086997</v>
      </c>
      <c r="J33" s="268">
        <v>3.3393209323000002</v>
      </c>
      <c r="K33" s="39"/>
      <c r="L33" s="268">
        <v>5320.698813772</v>
      </c>
      <c r="M33" s="268">
        <v>3.6996179163999998</v>
      </c>
      <c r="N33" s="251"/>
      <c r="O33" s="268">
        <v>4292.8121859004004</v>
      </c>
      <c r="P33" s="268">
        <v>3.1817916457000002</v>
      </c>
    </row>
    <row r="34" spans="1:16" s="249" customFormat="1" ht="12.75" customHeight="1">
      <c r="A34" s="59"/>
      <c r="B34" s="17" t="s">
        <v>27</v>
      </c>
      <c r="C34" s="246"/>
      <c r="D34" s="268">
        <v>12896.6103458827</v>
      </c>
      <c r="E34" s="250"/>
      <c r="F34" s="268">
        <v>11570.4747257242</v>
      </c>
      <c r="G34" s="268">
        <v>4.6269495951000001</v>
      </c>
      <c r="H34" s="251"/>
      <c r="I34" s="268">
        <v>3309.0550883092001</v>
      </c>
      <c r="J34" s="268">
        <v>3.2064140808000001</v>
      </c>
      <c r="K34" s="39"/>
      <c r="L34" s="268">
        <v>3131.4484779672998</v>
      </c>
      <c r="M34" s="268">
        <v>3.8745318267000002</v>
      </c>
      <c r="N34" s="251"/>
      <c r="O34" s="268">
        <v>830.68495833259999</v>
      </c>
      <c r="P34" s="268">
        <v>0.94084321530000004</v>
      </c>
    </row>
    <row r="35" spans="1:16" s="249" customFormat="1" ht="12.75" customHeight="1">
      <c r="A35" s="59"/>
      <c r="B35" s="17" t="s">
        <v>28</v>
      </c>
      <c r="C35" s="246"/>
      <c r="D35" s="268">
        <v>16680.567055432301</v>
      </c>
      <c r="E35" s="250"/>
      <c r="F35" s="268">
        <v>16249.694733218301</v>
      </c>
      <c r="G35" s="268">
        <v>2.7315258756</v>
      </c>
      <c r="H35" s="251"/>
      <c r="I35" s="268">
        <v>1343.5136060937</v>
      </c>
      <c r="J35" s="268">
        <v>1.1566102239</v>
      </c>
      <c r="K35" s="39"/>
      <c r="L35" s="268">
        <v>3110.8618404220001</v>
      </c>
      <c r="M35" s="268">
        <v>2.5946815560999998</v>
      </c>
      <c r="N35" s="251"/>
      <c r="O35" s="268">
        <v>1176.8333057955001</v>
      </c>
      <c r="P35" s="268">
        <v>0.92241511779999996</v>
      </c>
    </row>
    <row r="36" spans="1:16" s="249" customFormat="1" ht="12.75" customHeight="1">
      <c r="A36" s="59"/>
      <c r="B36" s="17" t="s">
        <v>29</v>
      </c>
      <c r="C36" s="246"/>
      <c r="D36" s="268">
        <v>11062.4273937752</v>
      </c>
      <c r="E36" s="250"/>
      <c r="F36" s="268">
        <v>10307.5664457986</v>
      </c>
      <c r="G36" s="268">
        <v>3.4766746801999999</v>
      </c>
      <c r="H36" s="251"/>
      <c r="I36" s="268">
        <v>2686.2432912495001</v>
      </c>
      <c r="J36" s="268">
        <v>2.3957396804000002</v>
      </c>
      <c r="K36" s="39"/>
      <c r="L36" s="268">
        <v>3150.8787467457</v>
      </c>
      <c r="M36" s="268">
        <v>2.8548548814000001</v>
      </c>
      <c r="N36" s="251"/>
      <c r="O36" s="268">
        <v>598.27251315770002</v>
      </c>
      <c r="P36" s="268">
        <v>0.55643458720000005</v>
      </c>
    </row>
    <row r="37" spans="1:16" s="249" customFormat="1" ht="12.75" customHeight="1">
      <c r="A37" s="59"/>
      <c r="B37" s="17" t="s">
        <v>30</v>
      </c>
      <c r="C37" s="246"/>
      <c r="D37" s="268">
        <v>14060.852144456299</v>
      </c>
      <c r="E37" s="250"/>
      <c r="F37" s="268">
        <v>11507.466282154701</v>
      </c>
      <c r="G37" s="268">
        <v>4.2774923327999996</v>
      </c>
      <c r="H37" s="251"/>
      <c r="I37" s="268">
        <v>3946.9393538959998</v>
      </c>
      <c r="J37" s="268">
        <v>2.4059738192000002</v>
      </c>
      <c r="K37" s="39"/>
      <c r="L37" s="268">
        <v>4563.1172408051998</v>
      </c>
      <c r="M37" s="268">
        <v>2.7818123382</v>
      </c>
      <c r="N37" s="251"/>
      <c r="O37" s="268">
        <v>741.57982712579997</v>
      </c>
      <c r="P37" s="268">
        <v>0.51970541510000001</v>
      </c>
    </row>
    <row r="38" spans="1:16" s="249" customFormat="1" ht="12.75" customHeight="1">
      <c r="A38" s="59"/>
      <c r="B38" s="17" t="s">
        <v>31</v>
      </c>
      <c r="C38" s="246"/>
      <c r="D38" s="268">
        <v>17402.866357381299</v>
      </c>
      <c r="E38" s="250"/>
      <c r="F38" s="268">
        <v>17057.098769457101</v>
      </c>
      <c r="G38" s="268">
        <v>2.8538434017999998</v>
      </c>
      <c r="H38" s="251"/>
      <c r="I38" s="268">
        <v>2755.3864060588999</v>
      </c>
      <c r="J38" s="268">
        <v>1.5427076288999999</v>
      </c>
      <c r="K38" s="39"/>
      <c r="L38" s="268">
        <v>5214.5723654522999</v>
      </c>
      <c r="M38" s="268">
        <v>2.7608634190000001</v>
      </c>
      <c r="N38" s="251"/>
      <c r="O38" s="268">
        <v>1051.9900189641</v>
      </c>
      <c r="P38" s="268">
        <v>0.55985815260000005</v>
      </c>
    </row>
    <row r="39" spans="1:16" s="249" customFormat="1" ht="12.75" customHeight="1">
      <c r="A39" s="59"/>
      <c r="B39" s="17" t="s">
        <v>32</v>
      </c>
      <c r="C39" s="246"/>
      <c r="D39" s="268">
        <v>6678.3788461424001</v>
      </c>
      <c r="E39" s="250"/>
      <c r="F39" s="268">
        <v>6174.5195158859997</v>
      </c>
      <c r="G39" s="268">
        <v>7.0147480672000002</v>
      </c>
      <c r="H39" s="251"/>
      <c r="I39" s="268">
        <v>1845.808251446</v>
      </c>
      <c r="J39" s="268">
        <v>3.8265351234999998</v>
      </c>
      <c r="K39" s="39"/>
      <c r="L39" s="268">
        <v>2328.4453364847</v>
      </c>
      <c r="M39" s="268">
        <v>5.1756430541</v>
      </c>
      <c r="N39" s="251"/>
      <c r="O39" s="268">
        <v>949.14469506700004</v>
      </c>
      <c r="P39" s="268">
        <v>2.0185123844000001</v>
      </c>
    </row>
    <row r="40" spans="1:16" s="249" customFormat="1" ht="12.75" customHeight="1">
      <c r="A40" s="59"/>
      <c r="B40" s="17" t="s">
        <v>33</v>
      </c>
      <c r="C40" s="246"/>
      <c r="D40" s="268">
        <v>14825.119385005401</v>
      </c>
      <c r="E40" s="250"/>
      <c r="F40" s="268">
        <v>14831.1193083779</v>
      </c>
      <c r="G40" s="268">
        <v>2.1819683676000001</v>
      </c>
      <c r="H40" s="251"/>
      <c r="I40" s="268">
        <v>2747.7941248021002</v>
      </c>
      <c r="J40" s="268">
        <v>1.3341504710000001</v>
      </c>
      <c r="K40" s="39"/>
      <c r="L40" s="268">
        <v>2679.2462284725998</v>
      </c>
      <c r="M40" s="268">
        <v>1.3123581255000001</v>
      </c>
      <c r="N40" s="251"/>
      <c r="O40" s="268">
        <v>2043.7131704256999</v>
      </c>
      <c r="P40" s="268">
        <v>1.010614664</v>
      </c>
    </row>
    <row r="41" spans="1:16" s="249" customFormat="1" ht="12.75" customHeight="1">
      <c r="A41" s="59"/>
      <c r="B41" s="17" t="s">
        <v>34</v>
      </c>
      <c r="C41" s="246"/>
      <c r="D41" s="268">
        <v>2082.5065133752</v>
      </c>
      <c r="E41" s="250"/>
      <c r="F41" s="268">
        <v>1686.3508685530001</v>
      </c>
      <c r="G41" s="268">
        <v>6.7947536784000002</v>
      </c>
      <c r="H41" s="251"/>
      <c r="I41" s="268">
        <v>799.34341963949998</v>
      </c>
      <c r="J41" s="268">
        <v>5.0270288852</v>
      </c>
      <c r="K41" s="39"/>
      <c r="L41" s="268">
        <v>642.39705515399999</v>
      </c>
      <c r="M41" s="268">
        <v>4.0413809767000002</v>
      </c>
      <c r="N41" s="251"/>
      <c r="O41" s="268">
        <v>511.52783109170002</v>
      </c>
      <c r="P41" s="268">
        <v>3.2417977888</v>
      </c>
    </row>
    <row r="42" spans="1:16" s="249" customFormat="1" ht="12.75" customHeight="1">
      <c r="A42" s="59"/>
      <c r="B42" s="17" t="s">
        <v>35</v>
      </c>
      <c r="C42" s="246"/>
      <c r="D42" s="268">
        <v>23230.519487733902</v>
      </c>
      <c r="E42" s="250"/>
      <c r="F42" s="268">
        <v>17597.3597324537</v>
      </c>
      <c r="G42" s="268">
        <v>6.7103906146999996</v>
      </c>
      <c r="H42" s="251"/>
      <c r="I42" s="268">
        <v>7300.4596350303</v>
      </c>
      <c r="J42" s="268">
        <v>3.9904447484999999</v>
      </c>
      <c r="K42" s="39"/>
      <c r="L42" s="268">
        <v>9946.8526582229006</v>
      </c>
      <c r="M42" s="268">
        <v>5.0712896739</v>
      </c>
      <c r="N42" s="251"/>
      <c r="O42" s="268">
        <v>5437.1680114390001</v>
      </c>
      <c r="P42" s="268">
        <v>3.5794920907000001</v>
      </c>
    </row>
    <row r="43" spans="1:16" s="249" customFormat="1" ht="12.75" customHeight="1">
      <c r="A43" s="59"/>
      <c r="B43" s="17" t="s">
        <v>36</v>
      </c>
      <c r="C43" s="246"/>
      <c r="D43" s="268">
        <v>10642.147113449601</v>
      </c>
      <c r="E43" s="250"/>
      <c r="F43" s="268">
        <v>9634.4715114287992</v>
      </c>
      <c r="G43" s="268">
        <v>3.1777668821999998</v>
      </c>
      <c r="H43" s="251"/>
      <c r="I43" s="268">
        <v>2809.3054775496998</v>
      </c>
      <c r="J43" s="268">
        <v>2.1342895737999998</v>
      </c>
      <c r="K43" s="39"/>
      <c r="L43" s="268">
        <v>3723.3622686446001</v>
      </c>
      <c r="M43" s="268">
        <v>2.9231033527000001</v>
      </c>
      <c r="N43" s="251"/>
      <c r="O43" s="268">
        <v>1189.3036901349001</v>
      </c>
      <c r="P43" s="268">
        <v>0.98143282460000003</v>
      </c>
    </row>
    <row r="44" spans="1:16" s="249" customFormat="1" ht="12.75" customHeight="1">
      <c r="A44" s="59"/>
      <c r="B44" s="17" t="s">
        <v>37</v>
      </c>
      <c r="C44" s="246"/>
      <c r="D44" s="268">
        <v>5920.2603842351</v>
      </c>
      <c r="E44" s="250"/>
      <c r="F44" s="268">
        <v>4035.4647070124001</v>
      </c>
      <c r="G44" s="268">
        <v>6.4295632850000004</v>
      </c>
      <c r="H44" s="251"/>
      <c r="I44" s="268">
        <v>2397.6673530978001</v>
      </c>
      <c r="J44" s="268">
        <v>5.5737779313000004</v>
      </c>
      <c r="K44" s="39"/>
      <c r="L44" s="268">
        <v>3323.7571900386001</v>
      </c>
      <c r="M44" s="268">
        <v>6.4337005086000003</v>
      </c>
      <c r="N44" s="251"/>
      <c r="O44" s="268">
        <v>866.93201312710005</v>
      </c>
      <c r="P44" s="268">
        <v>2.1101653107999998</v>
      </c>
    </row>
    <row r="45" spans="1:16" s="249" customFormat="1" ht="6" customHeight="1">
      <c r="A45" s="59"/>
      <c r="B45" s="252"/>
      <c r="C45" s="253"/>
      <c r="D45" s="208"/>
      <c r="E45" s="254"/>
      <c r="F45" s="208"/>
      <c r="G45" s="255"/>
      <c r="H45" s="256"/>
      <c r="I45" s="254"/>
      <c r="J45" s="255"/>
      <c r="K45" s="256"/>
      <c r="L45" s="254"/>
      <c r="M45" s="255"/>
      <c r="N45" s="256"/>
      <c r="O45" s="254"/>
      <c r="P45" s="255"/>
    </row>
    <row r="46" spans="1:16" ht="6" customHeight="1">
      <c r="B46" s="245"/>
      <c r="C46" s="233"/>
      <c r="D46" s="243"/>
      <c r="E46" s="243"/>
      <c r="F46" s="243"/>
      <c r="G46" s="244"/>
      <c r="H46" s="245"/>
    </row>
    <row r="47" spans="1:16" s="262" customFormat="1" ht="11.25">
      <c r="A47" s="54"/>
      <c r="B47" s="257" t="s">
        <v>90</v>
      </c>
      <c r="C47" s="258"/>
      <c r="D47" s="259"/>
      <c r="E47" s="259"/>
      <c r="F47" s="259"/>
      <c r="G47" s="260"/>
      <c r="H47" s="261"/>
      <c r="I47" s="259"/>
      <c r="J47" s="260"/>
      <c r="K47" s="261"/>
      <c r="L47" s="259"/>
      <c r="M47" s="260"/>
      <c r="N47" s="261"/>
      <c r="O47" s="259"/>
      <c r="P47" s="260"/>
    </row>
    <row r="48" spans="1:16" s="262" customFormat="1" ht="11.25">
      <c r="A48" s="54"/>
      <c r="B48" s="263" t="s">
        <v>212</v>
      </c>
      <c r="C48" s="258"/>
      <c r="D48" s="259"/>
      <c r="E48" s="259"/>
      <c r="F48" s="259"/>
      <c r="G48" s="260"/>
      <c r="H48" s="261"/>
      <c r="I48" s="259"/>
      <c r="J48" s="260"/>
      <c r="K48" s="261"/>
      <c r="L48" s="259"/>
      <c r="M48" s="260"/>
      <c r="N48" s="261"/>
      <c r="O48" s="259"/>
      <c r="P48" s="260"/>
    </row>
    <row r="49" spans="1:16" s="262" customFormat="1" ht="11.25">
      <c r="A49" s="54"/>
      <c r="B49" s="196" t="s">
        <v>167</v>
      </c>
      <c r="C49" s="258"/>
      <c r="D49" s="259"/>
      <c r="E49" s="259"/>
      <c r="F49" s="259"/>
      <c r="G49" s="260"/>
      <c r="H49" s="261"/>
      <c r="I49" s="259"/>
      <c r="J49" s="260"/>
      <c r="K49" s="261"/>
      <c r="L49" s="259"/>
      <c r="M49" s="260"/>
      <c r="N49" s="261"/>
      <c r="O49" s="259"/>
      <c r="P49" s="260"/>
    </row>
    <row r="50" spans="1:16" s="59" customFormat="1" ht="14.25">
      <c r="B50" s="132" t="s">
        <v>213</v>
      </c>
      <c r="C50" s="131"/>
      <c r="D50" s="179"/>
      <c r="E50" s="179"/>
      <c r="F50" s="179"/>
      <c r="G50" s="134"/>
      <c r="H50" s="131"/>
      <c r="I50" s="179"/>
      <c r="J50" s="134"/>
      <c r="K50" s="131"/>
      <c r="L50" s="179"/>
      <c r="M50" s="134"/>
      <c r="N50" s="131"/>
      <c r="O50" s="179"/>
      <c r="P50" s="134"/>
    </row>
  </sheetData>
  <mergeCells count="8">
    <mergeCell ref="B5:N5"/>
    <mergeCell ref="B7:C9"/>
    <mergeCell ref="D7:D9"/>
    <mergeCell ref="F7:P7"/>
    <mergeCell ref="F8:G8"/>
    <mergeCell ref="I8:J8"/>
    <mergeCell ref="L8:M8"/>
    <mergeCell ref="O8:P8"/>
  </mergeCells>
  <hyperlinks>
    <hyperlink ref="P1" location="Índice!A1" tooltip="Ir a ÍNDICE" display="INDICE" xr:uid="{54B713CD-FA43-4A3F-B162-61B1535832AC}"/>
  </hyperlink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02E5-6C37-487E-9A05-EB3236848E66}">
  <dimension ref="A1:O56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" customWidth="1"/>
    <col min="4" max="4" width="26.85546875" style="170" customWidth="1"/>
    <col min="5" max="5" width="1.7109375" style="170" customWidth="1"/>
    <col min="6" max="6" width="15.7109375" style="170" customWidth="1"/>
    <col min="7" max="7" width="15.7109375" style="93" customWidth="1"/>
    <col min="8" max="8" width="1.7109375" style="3" customWidth="1"/>
    <col min="9" max="9" width="15.7109375" style="170" customWidth="1"/>
    <col min="10" max="10" width="15.7109375" style="93" customWidth="1"/>
    <col min="11" max="11" width="1.7109375" style="3" customWidth="1"/>
    <col min="12" max="12" width="15.7109375" style="170" customWidth="1"/>
    <col min="13" max="13" width="15.7109375" style="93" customWidth="1"/>
    <col min="14" max="14" width="1.7109375" style="3" customWidth="1"/>
    <col min="15" max="15" width="15.7109375" style="170" customWidth="1"/>
    <col min="16" max="16384" width="11.42578125" style="3"/>
  </cols>
  <sheetData>
    <row r="1" spans="1:15" s="62" customFormat="1" ht="14.1" customHeight="1">
      <c r="A1" s="53"/>
      <c r="B1" s="756" t="s">
        <v>268</v>
      </c>
      <c r="C1" s="61"/>
      <c r="D1" s="154"/>
      <c r="E1" s="171"/>
      <c r="F1" s="171"/>
      <c r="G1" s="92"/>
      <c r="I1" s="171"/>
      <c r="J1" s="92"/>
      <c r="L1" s="171"/>
      <c r="M1" s="92"/>
      <c r="O1" s="165" t="s">
        <v>191</v>
      </c>
    </row>
    <row r="2" spans="1:15" s="62" customFormat="1" ht="6.95" customHeight="1">
      <c r="A2" s="53"/>
      <c r="B2" s="756"/>
      <c r="C2" s="61"/>
      <c r="D2" s="154"/>
      <c r="E2" s="171"/>
      <c r="F2" s="171"/>
      <c r="G2" s="92"/>
      <c r="I2" s="171"/>
      <c r="J2" s="92"/>
      <c r="L2" s="171"/>
      <c r="M2" s="92"/>
      <c r="O2" s="171"/>
    </row>
    <row r="3" spans="1:15" s="62" customFormat="1" ht="14.1" customHeight="1">
      <c r="A3" s="53"/>
      <c r="B3" s="756" t="s">
        <v>236</v>
      </c>
      <c r="C3" s="499"/>
      <c r="D3" s="500"/>
      <c r="E3" s="500"/>
      <c r="F3" s="500"/>
      <c r="G3" s="501"/>
      <c r="H3" s="499"/>
      <c r="I3" s="500"/>
      <c r="J3" s="92"/>
      <c r="L3" s="171"/>
      <c r="M3" s="92"/>
      <c r="O3" s="171"/>
    </row>
    <row r="4" spans="1:15" s="62" customFormat="1" ht="6.95" customHeight="1">
      <c r="A4" s="53"/>
      <c r="B4" s="150"/>
      <c r="C4" s="61"/>
      <c r="D4" s="154"/>
      <c r="E4" s="171"/>
      <c r="F4" s="171"/>
      <c r="G4" s="92"/>
      <c r="I4" s="171"/>
      <c r="J4" s="92"/>
      <c r="L4" s="171"/>
      <c r="M4" s="92"/>
      <c r="O4" s="171"/>
    </row>
    <row r="5" spans="1:15" s="62" customFormat="1" ht="20.100000000000001" customHeight="1">
      <c r="A5" s="53"/>
      <c r="B5" s="881" t="s">
        <v>195</v>
      </c>
      <c r="C5" s="881"/>
      <c r="D5" s="882"/>
      <c r="E5" s="881"/>
      <c r="F5" s="882"/>
      <c r="G5" s="881"/>
      <c r="H5" s="881"/>
      <c r="I5" s="882"/>
      <c r="J5" s="881"/>
      <c r="K5" s="881"/>
      <c r="L5" s="882"/>
      <c r="M5" s="881"/>
      <c r="N5" s="64"/>
      <c r="O5" s="166" t="s">
        <v>147</v>
      </c>
    </row>
    <row r="6" spans="1:15" ht="6" customHeight="1">
      <c r="A6" s="53"/>
      <c r="B6" s="385"/>
      <c r="C6" s="5"/>
      <c r="D6" s="155"/>
      <c r="E6" s="172"/>
      <c r="F6" s="172"/>
      <c r="G6" s="104"/>
      <c r="H6" s="23"/>
      <c r="I6" s="172"/>
      <c r="J6" s="104"/>
      <c r="K6" s="23"/>
      <c r="L6" s="172"/>
      <c r="M6" s="104"/>
      <c r="N6" s="23"/>
      <c r="O6" s="172"/>
    </row>
    <row r="7" spans="1:15" ht="19.5" customHeight="1">
      <c r="A7" s="53"/>
      <c r="B7" s="790" t="s">
        <v>91</v>
      </c>
      <c r="C7" s="7"/>
      <c r="D7" s="864" t="s">
        <v>92</v>
      </c>
      <c r="E7" s="190"/>
      <c r="F7" s="883" t="s">
        <v>148</v>
      </c>
      <c r="G7" s="884"/>
      <c r="H7" s="884"/>
      <c r="I7" s="883"/>
      <c r="J7" s="884"/>
      <c r="K7" s="884"/>
      <c r="L7" s="883"/>
      <c r="M7" s="884"/>
      <c r="N7" s="35"/>
      <c r="O7" s="864" t="s">
        <v>149</v>
      </c>
    </row>
    <row r="8" spans="1:15" ht="27" customHeight="1">
      <c r="A8" s="53"/>
      <c r="B8" s="791"/>
      <c r="C8" s="49"/>
      <c r="D8" s="865"/>
      <c r="E8" s="172"/>
      <c r="F8" s="885" t="s">
        <v>93</v>
      </c>
      <c r="G8" s="840"/>
      <c r="H8" s="386"/>
      <c r="I8" s="885" t="s">
        <v>94</v>
      </c>
      <c r="J8" s="840"/>
      <c r="K8" s="387"/>
      <c r="L8" s="885" t="s">
        <v>95</v>
      </c>
      <c r="M8" s="840"/>
      <c r="N8" s="23"/>
      <c r="O8" s="865"/>
    </row>
    <row r="9" spans="1:15" ht="16.5" customHeight="1">
      <c r="A9" s="54"/>
      <c r="B9" s="792"/>
      <c r="C9" s="9"/>
      <c r="D9" s="866"/>
      <c r="E9" s="174"/>
      <c r="F9" s="487" t="s">
        <v>3</v>
      </c>
      <c r="G9" s="118" t="s">
        <v>4</v>
      </c>
      <c r="H9" s="52"/>
      <c r="I9" s="487" t="s">
        <v>3</v>
      </c>
      <c r="J9" s="118" t="s">
        <v>4</v>
      </c>
      <c r="K9" s="52"/>
      <c r="L9" s="487" t="s">
        <v>3</v>
      </c>
      <c r="M9" s="118" t="s">
        <v>4</v>
      </c>
      <c r="N9" s="32"/>
      <c r="O9" s="866"/>
    </row>
    <row r="10" spans="1:15" ht="6" customHeight="1">
      <c r="A10" s="54"/>
      <c r="B10" s="5"/>
      <c r="C10" s="5"/>
      <c r="D10" s="155"/>
      <c r="E10" s="172"/>
      <c r="F10" s="172"/>
      <c r="G10" s="104"/>
      <c r="H10" s="23"/>
      <c r="I10" s="172"/>
      <c r="J10" s="104"/>
      <c r="K10" s="23"/>
      <c r="L10" s="172"/>
      <c r="M10" s="104"/>
      <c r="N10" s="23"/>
      <c r="O10" s="172"/>
    </row>
    <row r="11" spans="1:15" ht="15">
      <c r="A11" s="206"/>
      <c r="B11" s="21" t="s">
        <v>40</v>
      </c>
      <c r="C11" s="10"/>
      <c r="D11" s="267">
        <v>105197.982648711</v>
      </c>
      <c r="E11" s="502"/>
      <c r="F11" s="267">
        <v>100481.466264874</v>
      </c>
      <c r="G11" s="267">
        <v>0.3124274407</v>
      </c>
      <c r="H11" s="503"/>
      <c r="I11" s="267">
        <v>70919.843282397094</v>
      </c>
      <c r="J11" s="267">
        <v>0.63310427459999996</v>
      </c>
      <c r="K11" s="39"/>
      <c r="L11" s="267">
        <v>14210.764191439201</v>
      </c>
      <c r="M11" s="267">
        <v>0.19812246780000001</v>
      </c>
      <c r="N11" s="503"/>
      <c r="O11" s="267">
        <v>16146.038633764399</v>
      </c>
    </row>
    <row r="12" spans="1:15" ht="6" customHeight="1">
      <c r="A12" s="57"/>
      <c r="B12" s="141"/>
      <c r="C12" s="10"/>
      <c r="D12" s="158"/>
      <c r="E12" s="502"/>
      <c r="F12" s="158"/>
      <c r="G12" s="85"/>
      <c r="H12" s="503"/>
      <c r="I12" s="158"/>
      <c r="J12" s="85"/>
      <c r="K12" s="39"/>
      <c r="L12" s="158"/>
      <c r="M12" s="85"/>
      <c r="N12" s="503"/>
      <c r="O12" s="158"/>
    </row>
    <row r="13" spans="1:15">
      <c r="A13" s="57"/>
      <c r="B13" s="48" t="s">
        <v>96</v>
      </c>
      <c r="C13" s="27"/>
      <c r="D13" s="268">
        <v>41806.767942193997</v>
      </c>
      <c r="E13" s="504"/>
      <c r="F13" s="268">
        <v>39375.943434965797</v>
      </c>
      <c r="G13" s="268">
        <v>0.73255965430000003</v>
      </c>
      <c r="H13" s="505"/>
      <c r="I13" s="268">
        <v>33235.000746848098</v>
      </c>
      <c r="J13" s="268">
        <v>1.3081930738000001</v>
      </c>
      <c r="K13" s="39"/>
      <c r="L13" s="268">
        <v>9576.2327879239001</v>
      </c>
      <c r="M13" s="268">
        <v>0.63004080110000005</v>
      </c>
      <c r="N13" s="505"/>
      <c r="O13" s="268">
        <v>7145.5483524722003</v>
      </c>
    </row>
    <row r="14" spans="1:15">
      <c r="A14" s="57"/>
      <c r="B14" s="48" t="s">
        <v>97</v>
      </c>
      <c r="C14" s="27"/>
      <c r="D14" s="268">
        <v>30475.5503761828</v>
      </c>
      <c r="E14" s="504"/>
      <c r="F14" s="268">
        <v>29004.406158928799</v>
      </c>
      <c r="G14" s="268">
        <v>1.0311616076000001</v>
      </c>
      <c r="H14" s="505"/>
      <c r="I14" s="268">
        <v>23826.330145428899</v>
      </c>
      <c r="J14" s="268">
        <v>1.6449210396</v>
      </c>
      <c r="K14" s="39"/>
      <c r="L14" s="268">
        <v>9715.7911338975991</v>
      </c>
      <c r="M14" s="268">
        <v>1.0766148888</v>
      </c>
      <c r="N14" s="505"/>
      <c r="O14" s="268">
        <v>6017.5708114383997</v>
      </c>
    </row>
    <row r="15" spans="1:15">
      <c r="A15" s="54"/>
      <c r="B15" s="48" t="s">
        <v>98</v>
      </c>
      <c r="C15" s="27"/>
      <c r="D15" s="268">
        <v>28479.7065486426</v>
      </c>
      <c r="E15" s="504"/>
      <c r="F15" s="268">
        <v>26837.1005916863</v>
      </c>
      <c r="G15" s="268">
        <v>1.1464872047000001</v>
      </c>
      <c r="H15" s="505"/>
      <c r="I15" s="268">
        <v>23112.021573799899</v>
      </c>
      <c r="J15" s="268">
        <v>1.8549655987</v>
      </c>
      <c r="K15" s="39"/>
      <c r="L15" s="268">
        <v>7095.1049884209997</v>
      </c>
      <c r="M15" s="268">
        <v>0.9827369332</v>
      </c>
      <c r="N15" s="505"/>
      <c r="O15" s="268">
        <v>5175.8888540435</v>
      </c>
    </row>
    <row r="16" spans="1:15">
      <c r="A16" s="54"/>
      <c r="B16" s="48" t="s">
        <v>150</v>
      </c>
      <c r="C16" s="27"/>
      <c r="D16" s="268">
        <v>76791.534373789007</v>
      </c>
      <c r="E16" s="504"/>
      <c r="F16" s="268">
        <v>75063.141096094303</v>
      </c>
      <c r="G16" s="268">
        <v>0.3561200397</v>
      </c>
      <c r="H16" s="505"/>
      <c r="I16" s="268">
        <v>47059.7063362872</v>
      </c>
      <c r="J16" s="268">
        <v>0.83472379330000002</v>
      </c>
      <c r="K16" s="39"/>
      <c r="L16" s="177" t="s">
        <v>266</v>
      </c>
      <c r="M16" s="110" t="s">
        <v>266</v>
      </c>
      <c r="N16" s="505"/>
      <c r="O16" s="268">
        <v>10941.191647796901</v>
      </c>
    </row>
    <row r="17" spans="1:15">
      <c r="A17" s="54"/>
      <c r="B17" s="48" t="s">
        <v>151</v>
      </c>
      <c r="C17" s="27"/>
      <c r="D17" s="269">
        <v>34226.712073121897</v>
      </c>
      <c r="E17" s="504"/>
      <c r="F17" s="269">
        <v>32537.571511635</v>
      </c>
      <c r="G17" s="269">
        <v>0.99571124870000005</v>
      </c>
      <c r="H17" s="505"/>
      <c r="I17" s="269">
        <v>24110.320355863201</v>
      </c>
      <c r="J17" s="269">
        <v>1.8273917565</v>
      </c>
      <c r="K17" s="39"/>
      <c r="L17" s="191" t="s">
        <v>266</v>
      </c>
      <c r="M17" s="119" t="s">
        <v>266</v>
      </c>
      <c r="N17" s="505"/>
      <c r="O17" s="269">
        <v>5116.7123600022996</v>
      </c>
    </row>
    <row r="18" spans="1:15" ht="6" customHeight="1">
      <c r="A18" s="58"/>
      <c r="B18" s="48"/>
      <c r="C18" s="27"/>
    </row>
    <row r="19" spans="1:15" ht="15">
      <c r="A19" s="58"/>
      <c r="B19" s="299" t="s">
        <v>41</v>
      </c>
      <c r="C19" s="27"/>
      <c r="D19" s="324">
        <v>57109.176292574899</v>
      </c>
      <c r="E19" s="502"/>
      <c r="F19" s="324">
        <v>52220.426696654496</v>
      </c>
      <c r="G19" s="324">
        <v>0.75253990059999998</v>
      </c>
      <c r="H19" s="503"/>
      <c r="I19" s="324">
        <v>38103.828303873699</v>
      </c>
      <c r="J19" s="324">
        <v>1.2097907765</v>
      </c>
      <c r="K19" s="42"/>
      <c r="L19" s="324">
        <v>2898.1865462505998</v>
      </c>
      <c r="M19" s="324">
        <v>0.16696001269999999</v>
      </c>
      <c r="N19" s="503"/>
      <c r="O19" s="324">
        <v>8756.3061669333001</v>
      </c>
    </row>
    <row r="20" spans="1:15" ht="6" customHeight="1">
      <c r="B20" s="23"/>
      <c r="C20" s="23"/>
    </row>
    <row r="21" spans="1:15">
      <c r="B21" s="48" t="s">
        <v>96</v>
      </c>
      <c r="C21" s="27"/>
      <c r="D21" s="268">
        <v>22548.763717952999</v>
      </c>
      <c r="E21" s="504"/>
      <c r="F21" s="268">
        <v>21056.129314767299</v>
      </c>
      <c r="G21" s="268">
        <v>1.2220539673999999</v>
      </c>
      <c r="H21" s="505"/>
      <c r="I21" s="268">
        <v>17560.948493757998</v>
      </c>
      <c r="J21" s="268">
        <v>2.7207892467999999</v>
      </c>
      <c r="K21" s="39"/>
      <c r="L21" s="268">
        <v>1828.6910619347</v>
      </c>
      <c r="M21" s="268">
        <v>0.40011178749999998</v>
      </c>
      <c r="N21" s="505"/>
      <c r="O21" s="268">
        <v>3937.0044662033001</v>
      </c>
    </row>
    <row r="22" spans="1:15">
      <c r="B22" s="48" t="s">
        <v>97</v>
      </c>
      <c r="C22" s="27"/>
      <c r="D22" s="268">
        <v>18009.6428853691</v>
      </c>
      <c r="E22" s="504"/>
      <c r="F22" s="268">
        <v>17043.8723840936</v>
      </c>
      <c r="G22" s="268">
        <v>2.2473299657000001</v>
      </c>
      <c r="H22" s="505"/>
      <c r="I22" s="268">
        <v>14422.824081581201</v>
      </c>
      <c r="J22" s="268">
        <v>2.9099374679999999</v>
      </c>
      <c r="K22" s="39"/>
      <c r="L22" s="268">
        <v>2192.1834516560002</v>
      </c>
      <c r="M22" s="268">
        <v>0.82800137939999996</v>
      </c>
      <c r="N22" s="505"/>
      <c r="O22" s="268">
        <v>3942.6924334167002</v>
      </c>
    </row>
    <row r="23" spans="1:15">
      <c r="B23" s="48" t="s">
        <v>98</v>
      </c>
      <c r="C23" s="27"/>
      <c r="D23" s="268">
        <v>15648.560422308499</v>
      </c>
      <c r="E23" s="504"/>
      <c r="F23" s="268">
        <v>13808.5571859955</v>
      </c>
      <c r="G23" s="268">
        <v>2.6104889064000001</v>
      </c>
      <c r="H23" s="505"/>
      <c r="I23" s="268">
        <v>12442.8200874127</v>
      </c>
      <c r="J23" s="268">
        <v>3.1788961479000002</v>
      </c>
      <c r="K23" s="39"/>
      <c r="L23" s="268">
        <v>689.47017702000005</v>
      </c>
      <c r="M23" s="268">
        <v>0.30909252069999998</v>
      </c>
      <c r="N23" s="505"/>
      <c r="O23" s="268">
        <v>4143.0072929469998</v>
      </c>
    </row>
    <row r="24" spans="1:15">
      <c r="B24" s="48" t="s">
        <v>99</v>
      </c>
      <c r="C24" s="27"/>
      <c r="D24" s="268">
        <v>34948.539791784999</v>
      </c>
      <c r="E24" s="504"/>
      <c r="F24" s="268">
        <v>33794.796352330603</v>
      </c>
      <c r="G24" s="268">
        <v>0.73258271539999997</v>
      </c>
      <c r="H24" s="505"/>
      <c r="I24" s="268">
        <v>20630.548372487301</v>
      </c>
      <c r="J24" s="268">
        <v>1.7694039309</v>
      </c>
      <c r="K24" s="39"/>
      <c r="L24" s="177" t="s">
        <v>266</v>
      </c>
      <c r="M24" s="110" t="s">
        <v>266</v>
      </c>
      <c r="N24" s="505"/>
      <c r="O24" s="268">
        <v>3714.5987579684002</v>
      </c>
    </row>
    <row r="25" spans="1:15">
      <c r="B25" s="48" t="s">
        <v>100</v>
      </c>
      <c r="C25" s="27"/>
      <c r="D25" s="268">
        <v>17058.299676121798</v>
      </c>
      <c r="E25" s="504"/>
      <c r="F25" s="268">
        <v>15415.383135563399</v>
      </c>
      <c r="G25" s="268">
        <v>2.4065602466999998</v>
      </c>
      <c r="H25" s="505"/>
      <c r="I25" s="268">
        <v>11800.085964477001</v>
      </c>
      <c r="J25" s="268">
        <v>3.2981778218</v>
      </c>
      <c r="K25" s="39"/>
      <c r="L25" s="191" t="s">
        <v>266</v>
      </c>
      <c r="M25" s="119" t="s">
        <v>266</v>
      </c>
      <c r="N25" s="505"/>
      <c r="O25" s="268">
        <v>2150.7734364642001</v>
      </c>
    </row>
    <row r="26" spans="1:15" ht="6" customHeight="1">
      <c r="B26" s="48"/>
      <c r="C26" s="27"/>
    </row>
    <row r="27" spans="1:15" ht="15">
      <c r="B27" s="299" t="s">
        <v>44</v>
      </c>
      <c r="C27" s="27"/>
      <c r="D27" s="267">
        <v>41742.422530472402</v>
      </c>
      <c r="E27" s="502"/>
      <c r="F27" s="267">
        <v>39883.524749907097</v>
      </c>
      <c r="G27" s="267">
        <v>0.77266536289999999</v>
      </c>
      <c r="H27" s="503"/>
      <c r="I27" s="267">
        <v>27569.899812605701</v>
      </c>
      <c r="J27" s="267">
        <v>1.5263578429</v>
      </c>
      <c r="K27" s="42"/>
      <c r="L27" s="267">
        <v>4780.5730013660996</v>
      </c>
      <c r="M27" s="267">
        <v>0.43537395400000001</v>
      </c>
      <c r="N27" s="503"/>
      <c r="O27" s="267">
        <v>6749.9754182332999</v>
      </c>
    </row>
    <row r="28" spans="1:15" ht="6" customHeight="1">
      <c r="B28" s="299"/>
      <c r="C28" s="27"/>
    </row>
    <row r="29" spans="1:15" ht="9.75" customHeight="1">
      <c r="B29" s="48" t="s">
        <v>96</v>
      </c>
      <c r="C29" s="27"/>
      <c r="D29" s="268">
        <v>16547.492511329801</v>
      </c>
      <c r="E29" s="504"/>
      <c r="F29" s="268">
        <v>15549.8007626942</v>
      </c>
      <c r="G29" s="268">
        <v>1.9341628492</v>
      </c>
      <c r="H29" s="505"/>
      <c r="I29" s="268">
        <v>12480.0205428195</v>
      </c>
      <c r="J29" s="268">
        <v>2.5568177191000001</v>
      </c>
      <c r="K29" s="39"/>
      <c r="L29" s="268">
        <v>2107.8458197885002</v>
      </c>
      <c r="M29" s="268">
        <v>0.75948589430000002</v>
      </c>
      <c r="N29" s="505"/>
      <c r="O29" s="268">
        <v>3772.5267394678999</v>
      </c>
    </row>
    <row r="30" spans="1:15">
      <c r="B30" s="48" t="s">
        <v>97</v>
      </c>
      <c r="C30" s="27"/>
      <c r="D30" s="268">
        <v>12047.1748111503</v>
      </c>
      <c r="E30" s="504"/>
      <c r="F30" s="268">
        <v>11063.0145304252</v>
      </c>
      <c r="G30" s="268">
        <v>2.2498170912000002</v>
      </c>
      <c r="H30" s="505"/>
      <c r="I30" s="268">
        <v>9198.0031536053993</v>
      </c>
      <c r="J30" s="268">
        <v>3.4563378643</v>
      </c>
      <c r="K30" s="39"/>
      <c r="L30" s="268">
        <v>4160.1978671834004</v>
      </c>
      <c r="M30" s="268">
        <v>2.5613290292999999</v>
      </c>
      <c r="N30" s="505"/>
      <c r="O30" s="268">
        <v>2167.5273931371999</v>
      </c>
    </row>
    <row r="31" spans="1:15">
      <c r="B31" s="48" t="s">
        <v>98</v>
      </c>
      <c r="C31" s="27"/>
      <c r="D31" s="268">
        <v>10820.363723820899</v>
      </c>
      <c r="E31" s="504"/>
      <c r="F31" s="268">
        <v>10284.6791908059</v>
      </c>
      <c r="G31" s="268">
        <v>2.1281831112999998</v>
      </c>
      <c r="H31" s="505"/>
      <c r="I31" s="268">
        <v>8467.2500620207993</v>
      </c>
      <c r="J31" s="268">
        <v>4.4172564225000004</v>
      </c>
      <c r="K31" s="39"/>
      <c r="L31" s="268">
        <v>1474.2353950438001</v>
      </c>
      <c r="M31" s="268">
        <v>1.3841339189999999</v>
      </c>
      <c r="N31" s="505"/>
      <c r="O31" s="268">
        <v>1468.6095464758</v>
      </c>
    </row>
    <row r="32" spans="1:15">
      <c r="B32" s="48" t="s">
        <v>150</v>
      </c>
      <c r="C32" s="27"/>
      <c r="D32" s="268">
        <v>29135.459634916599</v>
      </c>
      <c r="E32" s="504"/>
      <c r="F32" s="268">
        <v>28549.268944952801</v>
      </c>
      <c r="G32" s="268">
        <v>0.89246604149999997</v>
      </c>
      <c r="H32" s="505"/>
      <c r="I32" s="268">
        <v>16672.590311841901</v>
      </c>
      <c r="J32" s="268">
        <v>2.1227357777</v>
      </c>
      <c r="K32" s="39"/>
      <c r="L32" s="177" t="s">
        <v>266</v>
      </c>
      <c r="M32" s="110" t="s">
        <v>266</v>
      </c>
      <c r="N32" s="505"/>
      <c r="O32" s="268">
        <v>4571.6598736125998</v>
      </c>
    </row>
    <row r="33" spans="2:15">
      <c r="B33" s="48" t="s">
        <v>151</v>
      </c>
      <c r="C33" s="27"/>
      <c r="D33" s="268">
        <v>11694.6999540664</v>
      </c>
      <c r="E33" s="504"/>
      <c r="F33" s="268">
        <v>10933.458295586101</v>
      </c>
      <c r="G33" s="268">
        <v>2.2716599028000002</v>
      </c>
      <c r="H33" s="505"/>
      <c r="I33" s="268">
        <v>8257.6315270679006</v>
      </c>
      <c r="J33" s="268">
        <v>4.3946767921000003</v>
      </c>
      <c r="K33" s="39"/>
      <c r="L33" s="191" t="s">
        <v>266</v>
      </c>
      <c r="M33" s="119" t="s">
        <v>266</v>
      </c>
      <c r="N33" s="505"/>
      <c r="O33" s="268">
        <v>2400.1268716466002</v>
      </c>
    </row>
    <row r="34" spans="2:15" ht="6" customHeight="1">
      <c r="B34" s="48"/>
      <c r="C34" s="27"/>
    </row>
    <row r="35" spans="2:15" ht="15">
      <c r="B35" s="303" t="s">
        <v>45</v>
      </c>
      <c r="C35" s="27"/>
      <c r="D35" s="267">
        <v>47327.713065528304</v>
      </c>
      <c r="E35" s="502"/>
      <c r="F35" s="267">
        <v>46320.113126440301</v>
      </c>
      <c r="G35" s="267">
        <v>0.86160920060000001</v>
      </c>
      <c r="H35" s="503"/>
      <c r="I35" s="267">
        <v>32278.7417642113</v>
      </c>
      <c r="J35" s="267">
        <v>1.7170728246</v>
      </c>
      <c r="K35" s="42"/>
      <c r="L35" s="267">
        <v>7120.1071615981</v>
      </c>
      <c r="M35" s="267">
        <v>0.60162716199999999</v>
      </c>
      <c r="N35" s="505"/>
      <c r="O35" s="267">
        <v>5312.1526450027004</v>
      </c>
    </row>
    <row r="36" spans="2:15" ht="6" customHeight="1">
      <c r="B36" s="48"/>
      <c r="C36" s="27"/>
    </row>
    <row r="37" spans="2:15">
      <c r="B37" s="48" t="s">
        <v>96</v>
      </c>
      <c r="C37" s="27"/>
      <c r="D37" s="268">
        <v>19700.062525992998</v>
      </c>
      <c r="E37" s="504"/>
      <c r="F37" s="268">
        <v>18345.243129970499</v>
      </c>
      <c r="G37" s="268">
        <v>2.1552662951000001</v>
      </c>
      <c r="H37" s="505"/>
      <c r="I37" s="268">
        <v>15435.986228538201</v>
      </c>
      <c r="J37" s="268">
        <v>3.1200247994999999</v>
      </c>
      <c r="K37" s="39"/>
      <c r="L37" s="268">
        <v>4825.790194362</v>
      </c>
      <c r="M37" s="268">
        <v>1.9376411289</v>
      </c>
      <c r="N37" s="505"/>
      <c r="O37" s="268">
        <v>2458.1483739944001</v>
      </c>
    </row>
    <row r="38" spans="2:15">
      <c r="B38" s="48" t="s">
        <v>97</v>
      </c>
      <c r="C38" s="27"/>
      <c r="D38" s="268">
        <v>11877.614759259701</v>
      </c>
      <c r="E38" s="504"/>
      <c r="F38" s="268">
        <v>11657.6722090774</v>
      </c>
      <c r="G38" s="268">
        <v>1.9494602378000001</v>
      </c>
      <c r="H38" s="505"/>
      <c r="I38" s="268">
        <v>8305.591454251</v>
      </c>
      <c r="J38" s="268">
        <v>4.5607551832000004</v>
      </c>
      <c r="K38" s="39"/>
      <c r="L38" s="268">
        <v>5072.0929407887998</v>
      </c>
      <c r="M38" s="268">
        <v>3.5713862916000001</v>
      </c>
      <c r="N38" s="505"/>
      <c r="O38" s="268">
        <v>2004.1571794647</v>
      </c>
    </row>
    <row r="39" spans="2:15">
      <c r="B39" s="48" t="s">
        <v>98</v>
      </c>
      <c r="C39" s="27"/>
      <c r="D39" s="268">
        <v>12230.3446571928</v>
      </c>
      <c r="E39" s="504"/>
      <c r="F39" s="268">
        <v>12094.4254252551</v>
      </c>
      <c r="G39" s="268">
        <v>1.2613751927000001</v>
      </c>
      <c r="H39" s="505"/>
      <c r="I39" s="268">
        <v>10660.772386943499</v>
      </c>
      <c r="J39" s="268">
        <v>4.6510422274999996</v>
      </c>
      <c r="K39" s="39"/>
      <c r="L39" s="268">
        <v>1773.2622479487</v>
      </c>
      <c r="M39" s="268">
        <v>1.5736362864</v>
      </c>
      <c r="N39" s="505"/>
      <c r="O39" s="268">
        <v>763.28566081120005</v>
      </c>
    </row>
    <row r="40" spans="2:15">
      <c r="B40" s="48" t="s">
        <v>150</v>
      </c>
      <c r="C40" s="27"/>
      <c r="D40" s="268">
        <v>34451.120922894101</v>
      </c>
      <c r="E40" s="504"/>
      <c r="F40" s="268">
        <v>34109.150367643299</v>
      </c>
      <c r="G40" s="268">
        <v>0.86633551269999998</v>
      </c>
      <c r="H40" s="505"/>
      <c r="I40" s="268">
        <v>22959.006501630902</v>
      </c>
      <c r="J40" s="268">
        <v>2.3711985254000001</v>
      </c>
      <c r="K40" s="39"/>
      <c r="L40" s="177" t="s">
        <v>266</v>
      </c>
      <c r="M40" s="110" t="s">
        <v>266</v>
      </c>
      <c r="N40" s="505"/>
      <c r="O40" s="268">
        <v>4008.5558829417</v>
      </c>
    </row>
    <row r="41" spans="2:15">
      <c r="B41" s="48" t="s">
        <v>151</v>
      </c>
      <c r="C41" s="27"/>
      <c r="D41" s="268">
        <v>17893.286007160699</v>
      </c>
      <c r="E41" s="504"/>
      <c r="F41" s="268">
        <v>17665.1753003493</v>
      </c>
      <c r="G41" s="268">
        <v>1.9045798755000001</v>
      </c>
      <c r="H41" s="505"/>
      <c r="I41" s="268">
        <v>11567.698626596301</v>
      </c>
      <c r="J41" s="268">
        <v>5.4396813217000002</v>
      </c>
      <c r="K41" s="39"/>
      <c r="L41" s="191" t="s">
        <v>266</v>
      </c>
      <c r="M41" s="119" t="s">
        <v>266</v>
      </c>
      <c r="N41" s="505"/>
      <c r="O41" s="268">
        <v>1262.8661845183999</v>
      </c>
    </row>
    <row r="42" spans="2:15" ht="6" customHeight="1">
      <c r="B42" s="23"/>
      <c r="C42" s="23"/>
    </row>
    <row r="43" spans="2:15" ht="15">
      <c r="B43" s="303" t="s">
        <v>110</v>
      </c>
      <c r="C43" s="27"/>
      <c r="D43" s="267">
        <v>62344.187461609297</v>
      </c>
      <c r="E43" s="502"/>
      <c r="F43" s="267">
        <v>60786.202958133697</v>
      </c>
      <c r="G43" s="267">
        <v>0.38628253880000002</v>
      </c>
      <c r="H43" s="503"/>
      <c r="I43" s="267">
        <v>42361.3531046063</v>
      </c>
      <c r="J43" s="267">
        <v>0.96665924989999996</v>
      </c>
      <c r="K43" s="42"/>
      <c r="L43" s="267">
        <v>10954.292740008001</v>
      </c>
      <c r="M43" s="267">
        <v>0.34677760169999999</v>
      </c>
      <c r="N43" s="505"/>
      <c r="O43" s="267">
        <v>10499.549133337699</v>
      </c>
    </row>
    <row r="44" spans="2:15" ht="6" customHeight="1">
      <c r="B44" s="48"/>
      <c r="C44" s="27"/>
    </row>
    <row r="45" spans="2:15" ht="12" customHeight="1">
      <c r="B45" s="48" t="s">
        <v>96</v>
      </c>
      <c r="C45" s="27"/>
      <c r="D45" s="268">
        <v>24050.119596871798</v>
      </c>
      <c r="E45" s="504"/>
      <c r="F45" s="268">
        <v>22994.783982812402</v>
      </c>
      <c r="G45" s="268">
        <v>1.0919244563999999</v>
      </c>
      <c r="H45" s="505"/>
      <c r="I45" s="268">
        <v>20053.8719215456</v>
      </c>
      <c r="J45" s="268">
        <v>2.0692532454000001</v>
      </c>
      <c r="K45" s="39"/>
      <c r="L45" s="268">
        <v>7786.4535193186002</v>
      </c>
      <c r="M45" s="268">
        <v>1.4462705461000001</v>
      </c>
      <c r="N45" s="505"/>
      <c r="O45" s="268">
        <v>3909.5275497227999</v>
      </c>
    </row>
    <row r="46" spans="2:15">
      <c r="B46" s="48" t="s">
        <v>97</v>
      </c>
      <c r="C46" s="27"/>
      <c r="D46" s="268">
        <v>17848.3900710536</v>
      </c>
      <c r="E46" s="504"/>
      <c r="F46" s="268">
        <v>17112.440694059402</v>
      </c>
      <c r="G46" s="268">
        <v>1.5828234394</v>
      </c>
      <c r="H46" s="505"/>
      <c r="I46" s="268">
        <v>14368.552113822499</v>
      </c>
      <c r="J46" s="268">
        <v>2.8079992170999999</v>
      </c>
      <c r="K46" s="39"/>
      <c r="L46" s="268">
        <v>6823.3097524362001</v>
      </c>
      <c r="M46" s="268">
        <v>2.0374892720000002</v>
      </c>
      <c r="N46" s="505"/>
      <c r="O46" s="268">
        <v>3457.0961580716998</v>
      </c>
    </row>
    <row r="47" spans="2:15">
      <c r="B47" s="48" t="s">
        <v>98</v>
      </c>
      <c r="C47" s="27"/>
      <c r="D47" s="268">
        <v>17307.6468723121</v>
      </c>
      <c r="E47" s="504"/>
      <c r="F47" s="268">
        <v>16658.450233575899</v>
      </c>
      <c r="G47" s="268">
        <v>1.794025336</v>
      </c>
      <c r="H47" s="505"/>
      <c r="I47" s="268">
        <v>13928.222356103501</v>
      </c>
      <c r="J47" s="268">
        <v>3.1817472419000001</v>
      </c>
      <c r="K47" s="39"/>
      <c r="L47" s="268">
        <v>6674.3776242970998</v>
      </c>
      <c r="M47" s="268">
        <v>2.4314731227999999</v>
      </c>
      <c r="N47" s="505"/>
      <c r="O47" s="268">
        <v>2624.0992740367001</v>
      </c>
    </row>
    <row r="48" spans="2:15">
      <c r="B48" s="48" t="s">
        <v>150</v>
      </c>
      <c r="C48" s="27"/>
      <c r="D48" s="268">
        <v>51826.130354127599</v>
      </c>
      <c r="E48" s="504"/>
      <c r="F48" s="268">
        <v>50594.006265414697</v>
      </c>
      <c r="G48" s="268">
        <v>0.529850559</v>
      </c>
      <c r="H48" s="505"/>
      <c r="I48" s="268">
        <v>31563.613146111398</v>
      </c>
      <c r="J48" s="268">
        <v>1.1649433527999999</v>
      </c>
      <c r="K48" s="39"/>
      <c r="L48" s="177" t="s">
        <v>266</v>
      </c>
      <c r="M48" s="110" t="s">
        <v>266</v>
      </c>
      <c r="N48" s="505"/>
      <c r="O48" s="268">
        <v>8303.1823100817001</v>
      </c>
    </row>
    <row r="49" spans="1:15" ht="13.5" customHeight="1">
      <c r="B49" s="48" t="s">
        <v>151</v>
      </c>
      <c r="C49" s="27"/>
      <c r="D49" s="268">
        <v>20600.940084042701</v>
      </c>
      <c r="E49" s="504"/>
      <c r="F49" s="268">
        <v>19756.335337434401</v>
      </c>
      <c r="G49" s="268">
        <v>1.5460560125</v>
      </c>
      <c r="H49" s="505"/>
      <c r="I49" s="268">
        <v>15521.519930107401</v>
      </c>
      <c r="J49" s="268">
        <v>2.6208213842000001</v>
      </c>
      <c r="K49" s="39"/>
      <c r="L49" s="191" t="s">
        <v>266</v>
      </c>
      <c r="M49" s="119" t="s">
        <v>266</v>
      </c>
      <c r="N49" s="505"/>
      <c r="O49" s="268">
        <v>3768.2196061270001</v>
      </c>
    </row>
    <row r="50" spans="1:15" ht="6" customHeight="1">
      <c r="B50" s="20"/>
      <c r="C50" s="33"/>
      <c r="D50" s="160"/>
      <c r="E50" s="174"/>
      <c r="F50" s="174"/>
      <c r="G50" s="105"/>
      <c r="H50" s="32"/>
      <c r="I50" s="174"/>
      <c r="J50" s="105"/>
      <c r="K50" s="32"/>
      <c r="L50" s="174"/>
      <c r="M50" s="105"/>
      <c r="N50" s="32"/>
      <c r="O50" s="174"/>
    </row>
    <row r="51" spans="1:15" ht="6" customHeight="1">
      <c r="B51" s="47"/>
      <c r="C51" s="5"/>
      <c r="D51" s="161"/>
      <c r="E51" s="175"/>
      <c r="F51" s="172"/>
      <c r="G51" s="104"/>
      <c r="H51" s="23"/>
      <c r="I51" s="172"/>
      <c r="J51" s="104"/>
      <c r="K51" s="23"/>
      <c r="L51" s="172"/>
      <c r="M51" s="104"/>
      <c r="N51" s="23"/>
      <c r="O51" s="172"/>
    </row>
    <row r="52" spans="1:15" s="6" customFormat="1" ht="11.25">
      <c r="A52" s="54"/>
      <c r="B52" s="47" t="s">
        <v>152</v>
      </c>
      <c r="C52" s="5"/>
      <c r="D52" s="161"/>
      <c r="E52" s="175"/>
      <c r="F52" s="175"/>
      <c r="G52" s="94"/>
      <c r="H52" s="27"/>
      <c r="I52" s="175"/>
      <c r="J52" s="94"/>
      <c r="K52" s="27"/>
      <c r="L52" s="175"/>
      <c r="M52" s="94"/>
      <c r="N52" s="27"/>
      <c r="O52" s="175"/>
    </row>
    <row r="53" spans="1:15" s="6" customFormat="1" ht="11.25">
      <c r="A53" s="54"/>
      <c r="B53" s="47" t="s">
        <v>153</v>
      </c>
      <c r="C53" s="5"/>
      <c r="D53" s="161"/>
      <c r="E53" s="175"/>
      <c r="F53" s="175"/>
      <c r="G53" s="94"/>
      <c r="H53" s="27"/>
      <c r="I53" s="175"/>
      <c r="J53" s="94"/>
      <c r="K53" s="27"/>
      <c r="L53" s="175"/>
      <c r="M53" s="94"/>
      <c r="N53" s="27"/>
      <c r="O53" s="175"/>
    </row>
    <row r="54" spans="1:15" s="6" customFormat="1" ht="11.25">
      <c r="A54" s="54"/>
      <c r="B54" s="47" t="s">
        <v>154</v>
      </c>
      <c r="C54" s="5"/>
      <c r="D54" s="161"/>
      <c r="E54" s="175"/>
      <c r="F54" s="175"/>
      <c r="G54" s="94"/>
      <c r="H54" s="27"/>
      <c r="I54" s="175"/>
      <c r="J54" s="94"/>
      <c r="K54" s="27"/>
      <c r="L54" s="175"/>
      <c r="M54" s="94"/>
      <c r="N54" s="27"/>
      <c r="O54" s="175"/>
    </row>
    <row r="55" spans="1:15" s="6" customFormat="1" ht="11.25">
      <c r="A55" s="54"/>
      <c r="B55" s="47" t="s">
        <v>155</v>
      </c>
      <c r="C55" s="5"/>
      <c r="D55" s="161"/>
      <c r="E55" s="175"/>
      <c r="F55" s="175"/>
      <c r="G55" s="94"/>
      <c r="H55" s="27"/>
      <c r="I55" s="175"/>
      <c r="J55" s="94"/>
      <c r="K55" s="27"/>
      <c r="L55" s="175"/>
      <c r="M55" s="94"/>
      <c r="N55" s="27"/>
      <c r="O55" s="175"/>
    </row>
    <row r="56" spans="1:15" s="59" customFormat="1">
      <c r="B56" s="82" t="s">
        <v>209</v>
      </c>
      <c r="D56" s="162"/>
      <c r="E56" s="162"/>
      <c r="F56" s="162"/>
      <c r="G56" s="88"/>
      <c r="I56" s="162"/>
      <c r="J56" s="88"/>
      <c r="L56" s="162"/>
      <c r="M56" s="88"/>
      <c r="O56" s="162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4B7A89A3-2555-453E-A129-669772F87D71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A271-E057-4595-B860-0E9363C50D40}">
  <dimension ref="A1:P27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189" customWidth="1"/>
    <col min="5" max="5" width="1.7109375" style="45" customWidth="1"/>
    <col min="6" max="6" width="15.7109375" style="189" customWidth="1"/>
    <col min="7" max="7" width="15.7109375" style="117" customWidth="1"/>
    <col min="8" max="8" width="1.7109375" style="45" customWidth="1"/>
    <col min="9" max="9" width="15.7109375" style="189" customWidth="1"/>
    <col min="10" max="10" width="15.7109375" style="117" customWidth="1"/>
    <col min="11" max="11" width="1.7109375" style="45" customWidth="1"/>
    <col min="12" max="12" width="15.7109375" style="189" customWidth="1"/>
    <col min="13" max="13" width="15.7109375" style="117" customWidth="1"/>
    <col min="14" max="14" width="1.7109375" style="45" customWidth="1"/>
    <col min="15" max="15" width="15.7109375" style="18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56" t="s">
        <v>268</v>
      </c>
      <c r="C1" s="61"/>
      <c r="D1" s="192"/>
      <c r="E1" s="61"/>
      <c r="F1" s="154"/>
      <c r="G1" s="120"/>
      <c r="I1" s="181"/>
      <c r="J1" s="116"/>
      <c r="L1" s="181"/>
      <c r="M1" s="116"/>
      <c r="O1" s="181"/>
      <c r="P1" s="89" t="s">
        <v>191</v>
      </c>
    </row>
    <row r="2" spans="1:16" s="65" customFormat="1" ht="6.95" customHeight="1">
      <c r="A2" s="53"/>
      <c r="B2" s="756"/>
      <c r="C2" s="61"/>
      <c r="D2" s="192"/>
      <c r="E2" s="61"/>
      <c r="F2" s="154"/>
      <c r="G2" s="120"/>
      <c r="I2" s="181"/>
      <c r="J2" s="116"/>
      <c r="L2" s="181"/>
      <c r="M2" s="116"/>
      <c r="O2" s="181"/>
      <c r="P2" s="116"/>
    </row>
    <row r="3" spans="1:16" s="65" customFormat="1" ht="14.1" customHeight="1">
      <c r="A3" s="53"/>
      <c r="B3" s="756" t="s">
        <v>236</v>
      </c>
      <c r="C3" s="508"/>
      <c r="D3" s="509"/>
      <c r="E3" s="508"/>
      <c r="F3" s="509"/>
      <c r="G3" s="510"/>
      <c r="H3" s="508"/>
      <c r="I3" s="509"/>
      <c r="J3" s="116"/>
      <c r="L3" s="181"/>
      <c r="M3" s="116"/>
      <c r="O3" s="181"/>
      <c r="P3" s="116"/>
    </row>
    <row r="4" spans="1:16" s="65" customFormat="1" ht="6.95" customHeight="1">
      <c r="A4" s="53"/>
      <c r="B4" s="508"/>
      <c r="C4" s="61"/>
      <c r="D4" s="192"/>
      <c r="E4" s="61"/>
      <c r="F4" s="154"/>
      <c r="G4" s="120"/>
      <c r="I4" s="181"/>
      <c r="J4" s="116"/>
      <c r="L4" s="181"/>
      <c r="M4" s="116"/>
      <c r="O4" s="181"/>
      <c r="P4" s="116"/>
    </row>
    <row r="5" spans="1:16" s="65" customFormat="1" ht="20.100000000000001" customHeight="1">
      <c r="A5" s="53"/>
      <c r="B5" s="886" t="s">
        <v>197</v>
      </c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195"/>
      <c r="P5" s="90" t="s">
        <v>156</v>
      </c>
    </row>
    <row r="6" spans="1:16" ht="6" customHeight="1">
      <c r="A6" s="53"/>
      <c r="B6" s="4"/>
      <c r="C6" s="511"/>
      <c r="D6" s="512"/>
      <c r="E6" s="511"/>
      <c r="F6" s="513"/>
      <c r="G6" s="514"/>
      <c r="H6" s="137"/>
      <c r="I6" s="182"/>
      <c r="J6" s="138"/>
      <c r="K6" s="137"/>
      <c r="L6" s="182"/>
      <c r="M6" s="138"/>
      <c r="N6" s="137"/>
      <c r="O6" s="182"/>
      <c r="P6" s="138"/>
    </row>
    <row r="7" spans="1:16" ht="30" customHeight="1">
      <c r="A7" s="53"/>
      <c r="B7" s="790" t="s">
        <v>177</v>
      </c>
      <c r="C7" s="7"/>
      <c r="D7" s="864" t="s">
        <v>219</v>
      </c>
      <c r="E7" s="7"/>
      <c r="F7" s="887" t="s">
        <v>179</v>
      </c>
      <c r="G7" s="887"/>
      <c r="H7" s="139"/>
      <c r="I7" s="889" t="s">
        <v>178</v>
      </c>
      <c r="J7" s="889"/>
      <c r="K7" s="889"/>
      <c r="L7" s="889"/>
      <c r="M7" s="889"/>
      <c r="N7" s="889"/>
      <c r="O7" s="889"/>
      <c r="P7" s="889"/>
    </row>
    <row r="8" spans="1:16" ht="30" customHeight="1">
      <c r="A8" s="53"/>
      <c r="B8" s="791"/>
      <c r="C8" s="5"/>
      <c r="D8" s="865"/>
      <c r="E8" s="5"/>
      <c r="F8" s="888"/>
      <c r="G8" s="888"/>
      <c r="H8" s="137"/>
      <c r="I8" s="890" t="s">
        <v>93</v>
      </c>
      <c r="J8" s="890"/>
      <c r="K8" s="147"/>
      <c r="L8" s="890" t="s">
        <v>94</v>
      </c>
      <c r="M8" s="890"/>
      <c r="N8" s="498"/>
      <c r="O8" s="890" t="s">
        <v>95</v>
      </c>
      <c r="P8" s="890"/>
    </row>
    <row r="9" spans="1:16" ht="30" customHeight="1">
      <c r="A9" s="54"/>
      <c r="B9" s="792"/>
      <c r="C9" s="9"/>
      <c r="D9" s="866"/>
      <c r="E9" s="9"/>
      <c r="F9" s="497" t="s">
        <v>220</v>
      </c>
      <c r="G9" s="151" t="s">
        <v>221</v>
      </c>
      <c r="H9" s="140"/>
      <c r="I9" s="497" t="s">
        <v>220</v>
      </c>
      <c r="J9" s="151" t="s">
        <v>221</v>
      </c>
      <c r="K9" s="148"/>
      <c r="L9" s="497" t="s">
        <v>220</v>
      </c>
      <c r="M9" s="151" t="s">
        <v>221</v>
      </c>
      <c r="N9" s="149"/>
      <c r="O9" s="497" t="s">
        <v>220</v>
      </c>
      <c r="P9" s="151" t="s">
        <v>221</v>
      </c>
    </row>
    <row r="10" spans="1:16" ht="6" customHeight="1">
      <c r="A10" s="54"/>
      <c r="B10" s="5"/>
      <c r="C10" s="5"/>
      <c r="D10" s="193"/>
      <c r="E10" s="5"/>
      <c r="F10" s="155"/>
      <c r="G10" s="121"/>
      <c r="H10" s="137"/>
      <c r="I10" s="182"/>
      <c r="J10" s="138"/>
      <c r="K10" s="137"/>
      <c r="L10" s="182"/>
      <c r="M10" s="138"/>
      <c r="N10" s="137"/>
      <c r="O10" s="182"/>
      <c r="P10" s="138"/>
    </row>
    <row r="11" spans="1:16" ht="15">
      <c r="A11" s="206"/>
      <c r="B11" s="21" t="s">
        <v>40</v>
      </c>
      <c r="C11" s="10"/>
      <c r="D11" s="267">
        <v>103111.31632974499</v>
      </c>
      <c r="E11" s="515"/>
      <c r="F11" s="267">
        <v>14505000867.551001</v>
      </c>
      <c r="G11" s="267">
        <v>2076.8248656144001</v>
      </c>
      <c r="H11" s="137"/>
      <c r="I11" s="267">
        <v>10489980665.6392</v>
      </c>
      <c r="J11" s="267">
        <v>1530.7805377504999</v>
      </c>
      <c r="K11" s="137"/>
      <c r="L11" s="267">
        <v>5633711696.9647799</v>
      </c>
      <c r="M11" s="267">
        <v>1502.2983754666</v>
      </c>
      <c r="N11" s="137"/>
      <c r="O11" s="267">
        <v>1547837381.30252</v>
      </c>
      <c r="P11" s="267">
        <v>10018.2077428715</v>
      </c>
    </row>
    <row r="12" spans="1:16" ht="6.75" customHeight="1">
      <c r="A12" s="57"/>
      <c r="B12" s="141"/>
      <c r="C12" s="10"/>
      <c r="D12" s="158"/>
      <c r="E12" s="515"/>
      <c r="F12" s="158"/>
      <c r="G12" s="85"/>
      <c r="H12" s="137"/>
      <c r="I12" s="158"/>
      <c r="J12" s="85"/>
      <c r="K12" s="137"/>
      <c r="L12" s="158"/>
      <c r="M12" s="85"/>
      <c r="N12" s="137"/>
      <c r="O12" s="158"/>
      <c r="P12" s="85"/>
    </row>
    <row r="13" spans="1:16">
      <c r="A13" s="57"/>
      <c r="B13" s="48" t="s">
        <v>96</v>
      </c>
      <c r="C13" s="143"/>
      <c r="D13" s="268">
        <v>40670.766910925398</v>
      </c>
      <c r="E13" s="516"/>
      <c r="F13" s="268">
        <v>4984741479.5490198</v>
      </c>
      <c r="G13" s="268">
        <v>3300.63540504</v>
      </c>
      <c r="H13" s="137"/>
      <c r="I13" s="268">
        <v>3667729848.8189602</v>
      </c>
      <c r="J13" s="268">
        <v>2514.6608570119001</v>
      </c>
      <c r="K13" s="137"/>
      <c r="L13" s="268">
        <v>1728699674.7437799</v>
      </c>
      <c r="M13" s="268">
        <v>1671.9730983736999</v>
      </c>
      <c r="N13" s="137"/>
      <c r="O13" s="268">
        <v>1539653635.0255699</v>
      </c>
      <c r="P13" s="268">
        <v>19674.574468492799</v>
      </c>
    </row>
    <row r="14" spans="1:16">
      <c r="A14" s="57"/>
      <c r="B14" s="48" t="s">
        <v>97</v>
      </c>
      <c r="C14" s="143"/>
      <c r="D14" s="268">
        <v>29437.696440763801</v>
      </c>
      <c r="E14" s="516"/>
      <c r="F14" s="268">
        <v>5900954688.9804201</v>
      </c>
      <c r="G14" s="268">
        <v>6993.3569113049998</v>
      </c>
      <c r="H14" s="137"/>
      <c r="I14" s="268">
        <v>5345685779.1131697</v>
      </c>
      <c r="J14" s="268">
        <v>6571.9761347835001</v>
      </c>
      <c r="K14" s="137"/>
      <c r="L14" s="268">
        <v>1372774862.3081701</v>
      </c>
      <c r="M14" s="268">
        <v>2387.9074319515998</v>
      </c>
      <c r="N14" s="137"/>
      <c r="O14" s="268">
        <v>74454538.822752103</v>
      </c>
      <c r="P14" s="268">
        <v>890.96044800250002</v>
      </c>
    </row>
    <row r="15" spans="1:16">
      <c r="A15" s="54"/>
      <c r="B15" s="48" t="s">
        <v>98</v>
      </c>
      <c r="C15" s="143"/>
      <c r="D15" s="268">
        <v>27482.4522231226</v>
      </c>
      <c r="E15" s="516"/>
      <c r="F15" s="268">
        <v>3398076326.39821</v>
      </c>
      <c r="G15" s="268">
        <v>4944.1595729985002</v>
      </c>
      <c r="H15" s="137"/>
      <c r="I15" s="268">
        <v>2731875274.9151902</v>
      </c>
      <c r="J15" s="268">
        <v>4108.7585725953004</v>
      </c>
      <c r="K15" s="137"/>
      <c r="L15" s="268">
        <v>1101736704.67081</v>
      </c>
      <c r="M15" s="268">
        <v>2346.2820803794998</v>
      </c>
      <c r="N15" s="137"/>
      <c r="O15" s="268">
        <v>57802176.827993803</v>
      </c>
      <c r="P15" s="268">
        <v>1864.4688774081999</v>
      </c>
    </row>
    <row r="16" spans="1:16">
      <c r="A16" s="54"/>
      <c r="B16" s="48" t="s">
        <v>222</v>
      </c>
      <c r="C16" s="143"/>
      <c r="D16" s="268">
        <v>75605.737833017003</v>
      </c>
      <c r="E16" s="516"/>
      <c r="F16" s="268">
        <v>2770409014.0135698</v>
      </c>
      <c r="G16" s="268">
        <v>673.81961384800002</v>
      </c>
      <c r="H16" s="137"/>
      <c r="I16" s="268">
        <v>1964581461.4663799</v>
      </c>
      <c r="J16" s="268">
        <v>483.59150832239999</v>
      </c>
      <c r="K16" s="137"/>
      <c r="L16" s="268">
        <v>1104715316.8766201</v>
      </c>
      <c r="M16" s="268">
        <v>652.03818019729999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69">
        <v>33358.636238840903</v>
      </c>
      <c r="E17" s="516"/>
      <c r="F17" s="269">
        <v>2610985788.8895102</v>
      </c>
      <c r="G17" s="269">
        <v>2859.3329388029001</v>
      </c>
      <c r="H17" s="137"/>
      <c r="I17" s="269">
        <v>1522929275.9788599</v>
      </c>
      <c r="J17" s="269">
        <v>1677.5094608690999</v>
      </c>
      <c r="K17" s="137"/>
      <c r="L17" s="269">
        <v>1390941321.2460101</v>
      </c>
      <c r="M17" s="269">
        <v>2520.0402229567999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194"/>
      <c r="E18" s="144"/>
      <c r="F18" s="160"/>
      <c r="G18" s="122"/>
      <c r="H18" s="140"/>
      <c r="I18" s="184"/>
      <c r="J18" s="145"/>
      <c r="K18" s="140"/>
      <c r="L18" s="184"/>
      <c r="M18" s="145"/>
      <c r="N18" s="140"/>
      <c r="O18" s="184"/>
      <c r="P18" s="145"/>
    </row>
    <row r="19" spans="1:16" ht="6" customHeight="1">
      <c r="A19" s="58"/>
      <c r="B19" s="47"/>
      <c r="C19" s="5"/>
      <c r="D19" s="161"/>
      <c r="E19" s="5"/>
      <c r="F19" s="161"/>
      <c r="G19" s="123"/>
      <c r="H19" s="143"/>
      <c r="I19" s="188"/>
      <c r="J19" s="138"/>
      <c r="K19" s="137"/>
      <c r="L19" s="182"/>
      <c r="M19" s="138"/>
      <c r="N19" s="137"/>
      <c r="O19" s="182"/>
      <c r="P19" s="138"/>
    </row>
    <row r="20" spans="1:16" s="46" customFormat="1" ht="11.25">
      <c r="A20" s="54"/>
      <c r="B20" s="47" t="s">
        <v>224</v>
      </c>
      <c r="C20" s="5"/>
      <c r="D20" s="161"/>
      <c r="E20" s="5"/>
      <c r="F20" s="161"/>
      <c r="G20" s="123"/>
      <c r="H20" s="143"/>
      <c r="I20" s="188"/>
      <c r="J20" s="146"/>
      <c r="K20" s="143"/>
      <c r="L20" s="188"/>
      <c r="M20" s="146"/>
      <c r="N20" s="143"/>
      <c r="O20" s="188"/>
      <c r="P20" s="146"/>
    </row>
    <row r="21" spans="1:16" s="46" customFormat="1" ht="11.25">
      <c r="A21" s="54"/>
      <c r="B21" s="47" t="s">
        <v>225</v>
      </c>
      <c r="C21" s="5"/>
      <c r="D21" s="161"/>
      <c r="E21" s="5"/>
      <c r="F21" s="161"/>
      <c r="G21" s="123"/>
      <c r="H21" s="143"/>
      <c r="I21" s="188"/>
      <c r="J21" s="146"/>
      <c r="K21" s="143"/>
      <c r="L21" s="188"/>
      <c r="M21" s="146"/>
      <c r="N21" s="143"/>
      <c r="O21" s="188"/>
      <c r="P21" s="146"/>
    </row>
    <row r="22" spans="1:16" s="46" customFormat="1" ht="11.25">
      <c r="A22" s="54"/>
      <c r="B22" s="47" t="s">
        <v>154</v>
      </c>
      <c r="C22" s="5"/>
      <c r="D22" s="161"/>
      <c r="E22" s="5"/>
      <c r="F22" s="161"/>
      <c r="G22" s="123"/>
      <c r="H22" s="143"/>
      <c r="I22" s="188"/>
      <c r="J22" s="146"/>
      <c r="K22" s="143"/>
      <c r="L22" s="188"/>
      <c r="M22" s="146"/>
      <c r="N22" s="143"/>
      <c r="O22" s="188"/>
      <c r="P22" s="146"/>
    </row>
    <row r="23" spans="1:16" s="59" customFormat="1">
      <c r="B23" s="132" t="s">
        <v>213</v>
      </c>
      <c r="C23" s="131"/>
      <c r="D23" s="179"/>
      <c r="E23" s="131"/>
      <c r="F23" s="179"/>
      <c r="G23" s="134"/>
      <c r="H23" s="131"/>
      <c r="I23" s="179"/>
      <c r="J23" s="134"/>
      <c r="K23" s="131"/>
      <c r="L23" s="179"/>
      <c r="M23" s="134"/>
      <c r="N23" s="131"/>
      <c r="O23" s="179"/>
      <c r="P23" s="134"/>
    </row>
    <row r="24" spans="1:16">
      <c r="B24" s="137"/>
      <c r="C24" s="137"/>
      <c r="D24" s="182"/>
      <c r="E24" s="137"/>
      <c r="F24" s="182"/>
      <c r="G24" s="138"/>
      <c r="H24" s="137"/>
      <c r="I24" s="182"/>
      <c r="J24" s="138"/>
      <c r="K24" s="137"/>
      <c r="L24" s="182"/>
      <c r="M24" s="138"/>
      <c r="N24" s="137"/>
      <c r="O24" s="182"/>
      <c r="P24" s="138"/>
    </row>
    <row r="25" spans="1:16">
      <c r="B25" s="137"/>
      <c r="C25" s="137"/>
      <c r="D25" s="182"/>
      <c r="E25" s="137"/>
      <c r="F25" s="182"/>
      <c r="G25" s="138"/>
      <c r="H25" s="137"/>
      <c r="I25" s="182"/>
      <c r="J25" s="138"/>
      <c r="K25" s="137"/>
      <c r="L25" s="182"/>
      <c r="M25" s="138"/>
      <c r="N25" s="137"/>
      <c r="O25" s="182"/>
      <c r="P25" s="138"/>
    </row>
    <row r="26" spans="1:16">
      <c r="B26" s="137"/>
      <c r="C26" s="137"/>
      <c r="D26" s="182"/>
      <c r="E26" s="137"/>
      <c r="F26" s="182"/>
      <c r="G26" s="138"/>
      <c r="H26" s="137"/>
      <c r="I26" s="182"/>
      <c r="J26" s="138"/>
      <c r="K26" s="137"/>
      <c r="L26" s="182"/>
      <c r="M26" s="138"/>
      <c r="N26" s="137"/>
      <c r="O26" s="182"/>
      <c r="P26" s="138"/>
    </row>
    <row r="27" spans="1:16">
      <c r="B27" s="137"/>
      <c r="C27" s="137"/>
      <c r="D27" s="182"/>
      <c r="E27" s="137"/>
      <c r="F27" s="182"/>
      <c r="G27" s="138"/>
      <c r="H27" s="137"/>
      <c r="I27" s="182"/>
      <c r="J27" s="138"/>
      <c r="K27" s="137"/>
      <c r="L27" s="182"/>
      <c r="M27" s="138"/>
      <c r="N27" s="137"/>
      <c r="O27" s="182"/>
      <c r="P27" s="13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EA86D089-BFB8-4B6E-9835-C62620BAFD03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326E-E52B-4966-B478-8D301DF63820}">
  <dimension ref="A1:L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8.85546875" style="3" customWidth="1"/>
    <col min="3" max="3" width="1.7109375" style="391" customWidth="1"/>
    <col min="4" max="4" width="24.85546875" style="170" customWidth="1"/>
    <col min="5" max="5" width="1.7109375" style="3" customWidth="1"/>
    <col min="6" max="6" width="11.42578125" style="170" customWidth="1"/>
    <col min="7" max="7" width="11.42578125" style="93"/>
    <col min="8" max="8" width="1.7109375" style="3" customWidth="1"/>
    <col min="9" max="9" width="11.42578125" style="170"/>
    <col min="10" max="10" width="11.42578125" style="93"/>
    <col min="11" max="11" width="1.7109375" style="3" customWidth="1"/>
    <col min="12" max="12" width="24.7109375" style="170" customWidth="1"/>
    <col min="13" max="16384" width="11.42578125" style="3"/>
  </cols>
  <sheetData>
    <row r="1" spans="1:12" s="62" customFormat="1" ht="14.1" customHeight="1">
      <c r="A1" s="53"/>
      <c r="B1" s="756" t="s">
        <v>268</v>
      </c>
      <c r="C1" s="395"/>
      <c r="D1" s="154"/>
      <c r="F1" s="171"/>
      <c r="G1" s="92"/>
      <c r="I1" s="171"/>
      <c r="J1" s="92"/>
      <c r="L1" s="165" t="s">
        <v>191</v>
      </c>
    </row>
    <row r="2" spans="1:12" s="62" customFormat="1" ht="6.95" customHeight="1">
      <c r="A2" s="53"/>
      <c r="B2" s="756"/>
      <c r="C2" s="395"/>
      <c r="D2" s="154"/>
      <c r="F2" s="171"/>
      <c r="G2" s="92"/>
      <c r="I2" s="171"/>
      <c r="J2" s="92"/>
      <c r="L2" s="171"/>
    </row>
    <row r="3" spans="1:12" s="62" customFormat="1" ht="14.1" customHeight="1">
      <c r="A3" s="53"/>
      <c r="B3" s="756" t="s">
        <v>236</v>
      </c>
      <c r="C3" s="517"/>
      <c r="D3" s="518"/>
      <c r="E3" s="517"/>
      <c r="F3" s="518"/>
      <c r="G3" s="519"/>
      <c r="H3" s="517"/>
      <c r="I3" s="518"/>
      <c r="J3" s="92"/>
      <c r="L3" s="171"/>
    </row>
    <row r="4" spans="1:12" s="62" customFormat="1" ht="6.95" customHeight="1">
      <c r="A4" s="53"/>
      <c r="B4" s="150"/>
      <c r="C4" s="395"/>
      <c r="D4" s="154"/>
      <c r="F4" s="171"/>
      <c r="G4" s="92"/>
      <c r="I4" s="171"/>
      <c r="J4" s="92"/>
      <c r="L4" s="171"/>
    </row>
    <row r="5" spans="1:12" s="64" customFormat="1" ht="30" customHeight="1">
      <c r="A5" s="127"/>
      <c r="B5" s="881" t="s">
        <v>229</v>
      </c>
      <c r="C5" s="881"/>
      <c r="D5" s="881"/>
      <c r="E5" s="881"/>
      <c r="F5" s="881"/>
      <c r="G5" s="881"/>
      <c r="H5" s="881"/>
      <c r="I5" s="881"/>
      <c r="J5" s="881"/>
      <c r="K5" s="507"/>
      <c r="L5" s="166" t="s">
        <v>157</v>
      </c>
    </row>
    <row r="6" spans="1:12" s="23" customFormat="1" ht="6" customHeight="1">
      <c r="A6" s="127"/>
      <c r="B6" s="150"/>
      <c r="C6" s="213"/>
      <c r="D6" s="155"/>
      <c r="F6" s="172"/>
      <c r="G6" s="104"/>
      <c r="I6" s="172"/>
      <c r="J6" s="104"/>
      <c r="L6" s="172"/>
    </row>
    <row r="7" spans="1:12" s="23" customFormat="1" ht="21.75" customHeight="1">
      <c r="A7" s="127"/>
      <c r="B7" s="790" t="s">
        <v>101</v>
      </c>
      <c r="C7" s="399"/>
      <c r="D7" s="864" t="s">
        <v>112</v>
      </c>
      <c r="E7" s="35"/>
      <c r="F7" s="891" t="s">
        <v>227</v>
      </c>
      <c r="G7" s="891"/>
      <c r="H7" s="891"/>
      <c r="I7" s="891"/>
      <c r="J7" s="891"/>
      <c r="K7" s="35"/>
      <c r="L7" s="864" t="s">
        <v>158</v>
      </c>
    </row>
    <row r="8" spans="1:12" s="23" customFormat="1" ht="39.950000000000003" customHeight="1">
      <c r="A8" s="127"/>
      <c r="B8" s="791"/>
      <c r="C8" s="400"/>
      <c r="D8" s="865"/>
      <c r="F8" s="892" t="s">
        <v>166</v>
      </c>
      <c r="G8" s="840"/>
      <c r="H8" s="386"/>
      <c r="I8" s="892" t="s">
        <v>228</v>
      </c>
      <c r="J8" s="840"/>
      <c r="L8" s="865"/>
    </row>
    <row r="9" spans="1:12" s="23" customFormat="1" ht="16.5" customHeight="1">
      <c r="A9" s="128"/>
      <c r="B9" s="792"/>
      <c r="C9" s="401"/>
      <c r="D9" s="866"/>
      <c r="E9" s="32"/>
      <c r="F9" s="506" t="s">
        <v>3</v>
      </c>
      <c r="G9" s="151" t="s">
        <v>4</v>
      </c>
      <c r="H9" s="51"/>
      <c r="I9" s="506" t="s">
        <v>3</v>
      </c>
      <c r="J9" s="151" t="s">
        <v>4</v>
      </c>
      <c r="K9" s="32"/>
      <c r="L9" s="866"/>
    </row>
    <row r="10" spans="1:12" s="23" customFormat="1" ht="6" customHeight="1">
      <c r="A10" s="128"/>
      <c r="B10" s="5"/>
      <c r="C10" s="213"/>
      <c r="D10" s="155"/>
      <c r="F10" s="172"/>
      <c r="G10" s="104"/>
      <c r="I10" s="172"/>
      <c r="J10" s="104"/>
      <c r="L10" s="172"/>
    </row>
    <row r="11" spans="1:12" s="23" customFormat="1" ht="15">
      <c r="A11" s="459"/>
      <c r="B11" s="21" t="s">
        <v>40</v>
      </c>
      <c r="C11" s="402"/>
      <c r="D11" s="267">
        <v>77648.313140864499</v>
      </c>
      <c r="E11" s="520"/>
      <c r="F11" s="267">
        <v>39120.790322730201</v>
      </c>
      <c r="G11" s="267">
        <v>0.81041507140000002</v>
      </c>
      <c r="H11" s="520"/>
      <c r="I11" s="267">
        <v>23860.690122582</v>
      </c>
      <c r="J11" s="267">
        <v>0.54968735930000001</v>
      </c>
      <c r="L11" s="267">
        <v>65572.376452128199</v>
      </c>
    </row>
    <row r="12" spans="1:12" s="23" customFormat="1" ht="6" customHeight="1">
      <c r="A12" s="129"/>
      <c r="B12" s="141"/>
      <c r="C12" s="402"/>
      <c r="D12" s="158"/>
      <c r="E12" s="520"/>
      <c r="F12" s="158"/>
      <c r="G12" s="85"/>
      <c r="H12" s="520"/>
      <c r="I12" s="158"/>
      <c r="J12" s="85"/>
      <c r="L12" s="158"/>
    </row>
    <row r="13" spans="1:12" s="23" customFormat="1">
      <c r="A13" s="129"/>
      <c r="B13" s="48" t="s">
        <v>104</v>
      </c>
      <c r="C13" s="404"/>
      <c r="D13" s="268">
        <v>21200.055112183501</v>
      </c>
      <c r="E13" s="521"/>
      <c r="F13" s="530">
        <v>10575.869896435401</v>
      </c>
      <c r="G13" s="530">
        <v>2.4422383647000001</v>
      </c>
      <c r="H13" s="522"/>
      <c r="I13" s="530">
        <v>8148.9989779219004</v>
      </c>
      <c r="J13" s="530">
        <v>2.0353454533000002</v>
      </c>
      <c r="K13" s="407"/>
      <c r="L13" s="530">
        <v>988.52718728419995</v>
      </c>
    </row>
    <row r="14" spans="1:12" s="23" customFormat="1">
      <c r="A14" s="129"/>
      <c r="B14" s="48" t="s">
        <v>105</v>
      </c>
      <c r="C14" s="404"/>
      <c r="D14" s="268">
        <v>18315.730234222701</v>
      </c>
      <c r="E14" s="521"/>
      <c r="F14" s="530">
        <v>11957.327714851701</v>
      </c>
      <c r="G14" s="530">
        <v>2.8292387314999998</v>
      </c>
      <c r="H14" s="522"/>
      <c r="I14" s="530">
        <v>9564.4454588835997</v>
      </c>
      <c r="J14" s="530">
        <v>2.5328415140999998</v>
      </c>
      <c r="K14" s="407"/>
      <c r="L14" s="530">
        <v>1524.8865531573001</v>
      </c>
    </row>
    <row r="15" spans="1:12" s="23" customFormat="1">
      <c r="A15" s="128"/>
      <c r="B15" s="48" t="s">
        <v>106</v>
      </c>
      <c r="C15" s="404"/>
      <c r="D15" s="268">
        <v>17680.7955080053</v>
      </c>
      <c r="E15" s="521"/>
      <c r="F15" s="530">
        <v>8910.2096149949994</v>
      </c>
      <c r="G15" s="530">
        <v>2.5033172089</v>
      </c>
      <c r="H15" s="522"/>
      <c r="I15" s="530">
        <v>5288.9890494407</v>
      </c>
      <c r="J15" s="530">
        <v>1.6973835436</v>
      </c>
      <c r="K15" s="407"/>
      <c r="L15" s="530">
        <v>554.60075730200003</v>
      </c>
    </row>
    <row r="16" spans="1:12" s="23" customFormat="1">
      <c r="A16" s="128"/>
      <c r="B16" s="48" t="s">
        <v>107</v>
      </c>
      <c r="C16" s="404"/>
      <c r="D16" s="268">
        <v>48571.912960524103</v>
      </c>
      <c r="E16" s="521"/>
      <c r="F16" s="530">
        <v>29379.392172957199</v>
      </c>
      <c r="G16" s="530">
        <v>1.1613595901</v>
      </c>
      <c r="H16" s="522"/>
      <c r="I16" s="530">
        <v>16181.3393075272</v>
      </c>
      <c r="J16" s="530">
        <v>0.76680496190000003</v>
      </c>
      <c r="K16" s="407"/>
      <c r="L16" s="530">
        <v>1542.6128513307999</v>
      </c>
    </row>
    <row r="17" spans="1:12" s="23" customFormat="1">
      <c r="A17" s="128"/>
      <c r="B17" s="48" t="s">
        <v>108</v>
      </c>
      <c r="C17" s="404"/>
      <c r="D17" s="269">
        <v>21394.697652885799</v>
      </c>
      <c r="E17" s="521"/>
      <c r="F17" s="531">
        <v>10889.2438033242</v>
      </c>
      <c r="G17" s="531">
        <v>2.3805935818999999</v>
      </c>
      <c r="H17" s="522"/>
      <c r="I17" s="531">
        <v>6569.8923669079004</v>
      </c>
      <c r="J17" s="531">
        <v>1.6300990652</v>
      </c>
      <c r="K17" s="407"/>
      <c r="L17" s="531">
        <v>727.87292847030005</v>
      </c>
    </row>
    <row r="18" spans="1:12" s="23" customFormat="1">
      <c r="A18" s="130"/>
      <c r="B18" s="48" t="s">
        <v>111</v>
      </c>
      <c r="C18" s="404"/>
      <c r="D18" s="269">
        <v>43251.9417478096</v>
      </c>
      <c r="E18" s="521"/>
      <c r="F18" s="531">
        <v>17756.827208528201</v>
      </c>
      <c r="G18" s="531">
        <v>1.2392428276</v>
      </c>
      <c r="H18" s="522"/>
      <c r="I18" s="531">
        <v>12003.6714786313</v>
      </c>
      <c r="J18" s="531">
        <v>0.88069744169999997</v>
      </c>
      <c r="K18" s="407"/>
      <c r="L18" s="531">
        <v>1434.1042500460001</v>
      </c>
    </row>
    <row r="19" spans="1:12" ht="6" customHeight="1">
      <c r="A19" s="58"/>
      <c r="B19" s="5"/>
      <c r="C19" s="404"/>
      <c r="F19" s="523"/>
      <c r="G19" s="524"/>
      <c r="H19" s="391"/>
      <c r="I19" s="523"/>
      <c r="J19" s="524"/>
      <c r="K19" s="391"/>
      <c r="L19" s="523"/>
    </row>
    <row r="20" spans="1:12" ht="15">
      <c r="B20" s="299" t="s">
        <v>41</v>
      </c>
      <c r="C20" s="404"/>
      <c r="D20" s="267">
        <v>37338.343934179</v>
      </c>
      <c r="E20" s="525"/>
      <c r="F20" s="532">
        <v>18139.461309810798</v>
      </c>
      <c r="G20" s="532">
        <v>1.5542984720999999</v>
      </c>
      <c r="H20" s="526"/>
      <c r="I20" s="532">
        <v>10396.6339490057</v>
      </c>
      <c r="J20" s="532">
        <v>0.97338217530000004</v>
      </c>
      <c r="K20" s="419"/>
      <c r="L20" s="532">
        <v>32402.550952374</v>
      </c>
    </row>
    <row r="21" spans="1:12" ht="6" customHeight="1">
      <c r="B21" s="141"/>
      <c r="C21" s="402"/>
      <c r="F21" s="523"/>
      <c r="G21" s="524"/>
      <c r="H21" s="391"/>
      <c r="I21" s="523"/>
      <c r="J21" s="524"/>
      <c r="K21" s="391"/>
      <c r="L21" s="523"/>
    </row>
    <row r="22" spans="1:12">
      <c r="B22" s="48" t="s">
        <v>104</v>
      </c>
      <c r="C22" s="404"/>
      <c r="D22" s="268">
        <v>13034.7586764727</v>
      </c>
      <c r="E22" s="527"/>
      <c r="F22" s="530">
        <v>5181.2804262604004</v>
      </c>
      <c r="G22" s="530">
        <v>3.7183982162999998</v>
      </c>
      <c r="H22" s="528"/>
      <c r="I22" s="530">
        <v>4184.3374911218998</v>
      </c>
      <c r="J22" s="530">
        <v>3.1908167417</v>
      </c>
      <c r="K22" s="391"/>
      <c r="L22" s="530">
        <v>0</v>
      </c>
    </row>
    <row r="23" spans="1:12">
      <c r="B23" s="48" t="s">
        <v>105</v>
      </c>
      <c r="C23" s="404"/>
      <c r="D23" s="268">
        <v>10286.065371021399</v>
      </c>
      <c r="E23" s="527"/>
      <c r="F23" s="530">
        <v>5741.7446441982001</v>
      </c>
      <c r="G23" s="530">
        <v>4.1946076602</v>
      </c>
      <c r="H23" s="528"/>
      <c r="I23" s="530">
        <v>4026.0419562310999</v>
      </c>
      <c r="J23" s="530">
        <v>3.3586390124999999</v>
      </c>
      <c r="K23" s="391"/>
      <c r="L23" s="530">
        <v>1037</v>
      </c>
    </row>
    <row r="24" spans="1:12">
      <c r="B24" s="48" t="s">
        <v>106</v>
      </c>
      <c r="C24" s="404"/>
      <c r="D24" s="268">
        <v>10236.895254183701</v>
      </c>
      <c r="E24" s="527"/>
      <c r="F24" s="530">
        <v>4409.3081480721003</v>
      </c>
      <c r="G24" s="530">
        <v>3.3265109064999998</v>
      </c>
      <c r="H24" s="528"/>
      <c r="I24" s="530">
        <v>3558.9318839578</v>
      </c>
      <c r="J24" s="530">
        <v>2.9265101563</v>
      </c>
      <c r="K24" s="391"/>
      <c r="L24" s="530">
        <v>0</v>
      </c>
    </row>
    <row r="25" spans="1:12">
      <c r="B25" s="48" t="s">
        <v>107</v>
      </c>
      <c r="C25" s="404"/>
      <c r="D25" s="268">
        <v>21209.2821867815</v>
      </c>
      <c r="E25" s="527"/>
      <c r="F25" s="530">
        <v>13037.7344187907</v>
      </c>
      <c r="G25" s="530">
        <v>2.5526055288</v>
      </c>
      <c r="H25" s="528"/>
      <c r="I25" s="530">
        <v>5486.2921988724001</v>
      </c>
      <c r="J25" s="530">
        <v>1.2887188385999999</v>
      </c>
      <c r="K25" s="391"/>
      <c r="L25" s="530">
        <v>243.60008210180001</v>
      </c>
    </row>
    <row r="26" spans="1:12">
      <c r="B26" s="48" t="s">
        <v>108</v>
      </c>
      <c r="C26" s="404"/>
      <c r="D26" s="268">
        <v>8615.9886189744993</v>
      </c>
      <c r="E26" s="527"/>
      <c r="F26" s="530">
        <v>3568.9047424825999</v>
      </c>
      <c r="G26" s="530">
        <v>4.0643889197999998</v>
      </c>
      <c r="H26" s="528"/>
      <c r="I26" s="530">
        <v>2036.6354761599</v>
      </c>
      <c r="J26" s="530">
        <v>2.5237631871000001</v>
      </c>
      <c r="K26" s="391"/>
      <c r="L26" s="530">
        <v>337</v>
      </c>
    </row>
    <row r="27" spans="1:12">
      <c r="B27" s="529" t="s">
        <v>111</v>
      </c>
      <c r="C27" s="404"/>
      <c r="D27" s="268">
        <v>18563.889986798698</v>
      </c>
      <c r="E27" s="527"/>
      <c r="F27" s="268">
        <v>8518.8906177682002</v>
      </c>
      <c r="G27" s="268">
        <v>2.5282246283999998</v>
      </c>
      <c r="H27" s="527"/>
      <c r="I27" s="268">
        <v>4955.9858875611999</v>
      </c>
      <c r="J27" s="268">
        <v>1.5694959562999999</v>
      </c>
      <c r="L27" s="268">
        <v>960</v>
      </c>
    </row>
    <row r="28" spans="1:12" ht="6" customHeight="1">
      <c r="B28" s="48"/>
      <c r="C28" s="404"/>
    </row>
    <row r="29" spans="1:12" ht="15">
      <c r="B29" s="299" t="s">
        <v>44</v>
      </c>
      <c r="C29" s="404"/>
      <c r="D29" s="267">
        <v>33134.673899572401</v>
      </c>
      <c r="E29" s="525"/>
      <c r="F29" s="267">
        <v>14405.8968720865</v>
      </c>
      <c r="G29" s="267">
        <v>1.6422813811000001</v>
      </c>
      <c r="H29" s="525"/>
      <c r="I29" s="267">
        <v>9545.1251336893001</v>
      </c>
      <c r="J29" s="267">
        <v>1.2755516576999999</v>
      </c>
      <c r="K29" s="43"/>
      <c r="L29" s="267">
        <v>26367.601993879402</v>
      </c>
    </row>
    <row r="30" spans="1:12" ht="6" customHeight="1">
      <c r="B30" s="299"/>
      <c r="C30" s="404"/>
    </row>
    <row r="31" spans="1:12">
      <c r="B31" s="48" t="s">
        <v>104</v>
      </c>
      <c r="C31" s="404"/>
      <c r="D31" s="268">
        <v>8595.3453515708006</v>
      </c>
      <c r="E31" s="527"/>
      <c r="F31" s="268">
        <v>5414.0161327533997</v>
      </c>
      <c r="G31" s="268">
        <v>5.0523303858000004</v>
      </c>
      <c r="H31" s="527"/>
      <c r="I31" s="268">
        <v>4343.3208032563998</v>
      </c>
      <c r="J31" s="268">
        <v>4.6926120518000003</v>
      </c>
      <c r="L31" s="268">
        <v>0</v>
      </c>
    </row>
    <row r="32" spans="1:12">
      <c r="B32" s="48" t="s">
        <v>105</v>
      </c>
      <c r="C32" s="404"/>
      <c r="D32" s="268">
        <v>7000.8352743358</v>
      </c>
      <c r="E32" s="527"/>
      <c r="F32" s="268">
        <v>3622.2489142298</v>
      </c>
      <c r="G32" s="268">
        <v>4.8837953452000002</v>
      </c>
      <c r="H32" s="527"/>
      <c r="I32" s="268">
        <v>3367.1817121078002</v>
      </c>
      <c r="J32" s="268">
        <v>4.5445025521</v>
      </c>
      <c r="L32" s="268">
        <v>0</v>
      </c>
    </row>
    <row r="33" spans="2:12">
      <c r="B33" s="48" t="s">
        <v>106</v>
      </c>
      <c r="C33" s="404"/>
      <c r="D33" s="268">
        <v>8042.2456984378996</v>
      </c>
      <c r="E33" s="527"/>
      <c r="F33" s="268">
        <v>2179.9281697791998</v>
      </c>
      <c r="G33" s="268">
        <v>3.8434076337</v>
      </c>
      <c r="H33" s="527"/>
      <c r="I33" s="268">
        <v>1388.3068196176</v>
      </c>
      <c r="J33" s="268">
        <v>2.4122457267000001</v>
      </c>
      <c r="L33" s="268">
        <v>0</v>
      </c>
    </row>
    <row r="34" spans="2:12">
      <c r="B34" s="48" t="s">
        <v>107</v>
      </c>
      <c r="C34" s="404"/>
      <c r="D34" s="268">
        <v>20008.347095950699</v>
      </c>
      <c r="E34" s="527"/>
      <c r="F34" s="268">
        <v>9287.6222229117993</v>
      </c>
      <c r="G34" s="268">
        <v>2.3439692057000001</v>
      </c>
      <c r="H34" s="527"/>
      <c r="I34" s="268">
        <v>6037.1952026107001</v>
      </c>
      <c r="J34" s="268">
        <v>1.9320678024</v>
      </c>
      <c r="L34" s="268">
        <v>179</v>
      </c>
    </row>
    <row r="35" spans="2:12">
      <c r="B35" s="48" t="s">
        <v>108</v>
      </c>
      <c r="C35" s="404"/>
      <c r="D35" s="268">
        <v>8759.9205428698006</v>
      </c>
      <c r="E35" s="527"/>
      <c r="F35" s="268">
        <v>4354.2981621438003</v>
      </c>
      <c r="G35" s="268">
        <v>4.9551098761999999</v>
      </c>
      <c r="H35" s="527"/>
      <c r="I35" s="268">
        <v>2017.9360743095999</v>
      </c>
      <c r="J35" s="268">
        <v>3.0791313966999998</v>
      </c>
      <c r="L35" s="268">
        <v>462</v>
      </c>
    </row>
    <row r="36" spans="2:12">
      <c r="B36" s="529" t="s">
        <v>111</v>
      </c>
      <c r="C36" s="404"/>
      <c r="D36" s="268">
        <v>18177.394571031698</v>
      </c>
      <c r="E36" s="527"/>
      <c r="F36" s="268">
        <v>6992.6697126607996</v>
      </c>
      <c r="G36" s="268">
        <v>2.7118884286</v>
      </c>
      <c r="H36" s="527"/>
      <c r="I36" s="268">
        <v>4764.5371682894001</v>
      </c>
      <c r="J36" s="268">
        <v>1.9247961184</v>
      </c>
      <c r="L36" s="268">
        <v>574</v>
      </c>
    </row>
    <row r="37" spans="2:12" ht="6" customHeight="1">
      <c r="B37" s="141"/>
      <c r="C37" s="402"/>
    </row>
    <row r="38" spans="2:12" ht="15">
      <c r="B38" s="299" t="s">
        <v>45</v>
      </c>
      <c r="C38" s="404"/>
      <c r="D38" s="267">
        <v>35715.595857042899</v>
      </c>
      <c r="E38" s="525"/>
      <c r="F38" s="267">
        <v>18316.811291334601</v>
      </c>
      <c r="G38" s="267">
        <v>2.3741480016000001</v>
      </c>
      <c r="H38" s="525"/>
      <c r="I38" s="267">
        <v>10416.0314325082</v>
      </c>
      <c r="J38" s="267">
        <v>1.4678574258999999</v>
      </c>
      <c r="K38" s="43"/>
      <c r="L38" s="267">
        <v>30942.752992550799</v>
      </c>
    </row>
    <row r="39" spans="2:12" ht="6" customHeight="1">
      <c r="B39" s="141"/>
      <c r="C39" s="402"/>
    </row>
    <row r="40" spans="2:12">
      <c r="B40" s="48" t="s">
        <v>104</v>
      </c>
      <c r="C40" s="404"/>
      <c r="D40" s="268">
        <v>10345.8409714304</v>
      </c>
      <c r="E40" s="527"/>
      <c r="F40" s="268">
        <v>3665.1396652013</v>
      </c>
      <c r="G40" s="268">
        <v>5.8904619663000002</v>
      </c>
      <c r="H40" s="527"/>
      <c r="I40" s="268">
        <v>3167.1769764255</v>
      </c>
      <c r="J40" s="268">
        <v>5.0267816722000003</v>
      </c>
      <c r="L40" s="268">
        <v>576.52146534190001</v>
      </c>
    </row>
    <row r="41" spans="2:12">
      <c r="B41" s="48" t="s">
        <v>105</v>
      </c>
      <c r="C41" s="404"/>
      <c r="D41" s="268">
        <v>7759.8568646739004</v>
      </c>
      <c r="E41" s="527"/>
      <c r="F41" s="268">
        <v>5860.5408529526003</v>
      </c>
      <c r="G41" s="268">
        <v>8.3149319572000007</v>
      </c>
      <c r="H41" s="527"/>
      <c r="I41" s="268">
        <v>3587.1723353689999</v>
      </c>
      <c r="J41" s="268">
        <v>6.5047709094000004</v>
      </c>
      <c r="L41" s="268">
        <v>1048.8760651288001</v>
      </c>
    </row>
    <row r="42" spans="2:12">
      <c r="B42" s="48" t="s">
        <v>106</v>
      </c>
      <c r="C42" s="404"/>
      <c r="D42" s="268">
        <v>7855.2893177866999</v>
      </c>
      <c r="E42" s="527"/>
      <c r="F42" s="268">
        <v>5468.9252312146</v>
      </c>
      <c r="G42" s="268">
        <v>9.4212805831999997</v>
      </c>
      <c r="H42" s="527"/>
      <c r="I42" s="268">
        <v>2664.3837936753998</v>
      </c>
      <c r="J42" s="268">
        <v>6.4027152262999998</v>
      </c>
      <c r="L42" s="268">
        <v>434.23150507529999</v>
      </c>
    </row>
    <row r="43" spans="2:12">
      <c r="B43" s="48" t="s">
        <v>107</v>
      </c>
      <c r="C43" s="404"/>
      <c r="D43" s="268">
        <v>22724.9987331021</v>
      </c>
      <c r="E43" s="527"/>
      <c r="F43" s="268">
        <v>15125.671832461599</v>
      </c>
      <c r="G43" s="268">
        <v>3.2717848410000001</v>
      </c>
      <c r="H43" s="527"/>
      <c r="I43" s="268">
        <v>7594.0801979816997</v>
      </c>
      <c r="J43" s="268">
        <v>1.9797586945000001</v>
      </c>
      <c r="L43" s="268">
        <v>1391.2652514887</v>
      </c>
    </row>
    <row r="44" spans="2:12">
      <c r="B44" s="48" t="s">
        <v>108</v>
      </c>
      <c r="C44" s="404"/>
      <c r="D44" s="268">
        <v>10326.5222932821</v>
      </c>
      <c r="E44" s="527"/>
      <c r="F44" s="268">
        <v>5073.6642579568997</v>
      </c>
      <c r="G44" s="268">
        <v>6.5300972383999998</v>
      </c>
      <c r="H44" s="527"/>
      <c r="I44" s="268">
        <v>4182.4093819346999</v>
      </c>
      <c r="J44" s="268">
        <v>5.5731612412000002</v>
      </c>
      <c r="L44" s="268">
        <v>419</v>
      </c>
    </row>
    <row r="45" spans="2:12">
      <c r="B45" s="529" t="s">
        <v>111</v>
      </c>
      <c r="C45" s="404"/>
      <c r="D45" s="268">
        <v>19518.630137591001</v>
      </c>
      <c r="E45" s="527"/>
      <c r="F45" s="268">
        <v>7850.0251920393002</v>
      </c>
      <c r="G45" s="268">
        <v>3.4142542432999998</v>
      </c>
      <c r="H45" s="527"/>
      <c r="I45" s="268">
        <v>5937.3539959952996</v>
      </c>
      <c r="J45" s="268">
        <v>2.6734035941999998</v>
      </c>
      <c r="L45" s="268">
        <v>419</v>
      </c>
    </row>
    <row r="46" spans="2:12" ht="6" customHeight="1">
      <c r="B46" s="48"/>
      <c r="C46" s="404"/>
    </row>
    <row r="47" spans="2:12" ht="15">
      <c r="B47" s="303" t="s">
        <v>110</v>
      </c>
      <c r="C47" s="404"/>
      <c r="D47" s="267">
        <v>47939.411189619197</v>
      </c>
      <c r="E47" s="525"/>
      <c r="F47" s="267">
        <v>25957.491954714202</v>
      </c>
      <c r="G47" s="267">
        <v>1.2621749331000001</v>
      </c>
      <c r="H47" s="525"/>
      <c r="I47" s="267">
        <v>16175.271590779499</v>
      </c>
      <c r="J47" s="267">
        <v>0.88371956409999997</v>
      </c>
      <c r="K47" s="43"/>
      <c r="L47" s="267">
        <v>40016.690808593303</v>
      </c>
    </row>
    <row r="48" spans="2:12" ht="6" customHeight="1">
      <c r="B48" s="299"/>
      <c r="C48" s="404"/>
    </row>
    <row r="49" spans="1:12" ht="12" customHeight="1">
      <c r="B49" s="48" t="s">
        <v>104</v>
      </c>
      <c r="C49" s="404"/>
      <c r="D49" s="268">
        <v>9930.8114415106993</v>
      </c>
      <c r="E49" s="527"/>
      <c r="F49" s="268">
        <v>6500.6567175658001</v>
      </c>
      <c r="G49" s="268">
        <v>4.7301267502000002</v>
      </c>
      <c r="H49" s="527"/>
      <c r="I49" s="268">
        <v>4472.3660966611997</v>
      </c>
      <c r="J49" s="268">
        <v>3.8485753763999999</v>
      </c>
      <c r="L49" s="268">
        <v>803</v>
      </c>
    </row>
    <row r="50" spans="1:12">
      <c r="B50" s="48" t="s">
        <v>105</v>
      </c>
      <c r="C50" s="404"/>
      <c r="D50" s="421">
        <v>10974.322762580099</v>
      </c>
      <c r="E50" s="23"/>
      <c r="F50" s="421">
        <v>7908.4403162327999</v>
      </c>
      <c r="G50" s="421">
        <v>5.665354346</v>
      </c>
      <c r="I50" s="421">
        <v>7145.8998773167996</v>
      </c>
      <c r="J50" s="421">
        <v>5.7410100039999996</v>
      </c>
      <c r="L50" s="421">
        <v>387</v>
      </c>
    </row>
    <row r="51" spans="1:12">
      <c r="B51" s="48" t="s">
        <v>106</v>
      </c>
      <c r="C51" s="404"/>
      <c r="D51" s="421">
        <v>9024.0356388144992</v>
      </c>
      <c r="E51" s="23"/>
      <c r="F51" s="421">
        <v>5028.7778861750003</v>
      </c>
      <c r="G51" s="421">
        <v>4.5215585858000003</v>
      </c>
      <c r="I51" s="421">
        <v>2506.206732306</v>
      </c>
      <c r="J51" s="421">
        <v>2.714712574</v>
      </c>
      <c r="L51" s="421">
        <v>345</v>
      </c>
    </row>
    <row r="52" spans="1:12">
      <c r="B52" s="48" t="s">
        <v>107</v>
      </c>
      <c r="C52" s="404"/>
      <c r="D52" s="421">
        <v>31707.460257295999</v>
      </c>
      <c r="E52" s="23"/>
      <c r="F52" s="421">
        <v>19526.3005253253</v>
      </c>
      <c r="G52" s="421">
        <v>1.6585247887000001</v>
      </c>
      <c r="I52" s="421">
        <v>11731.093713977099</v>
      </c>
      <c r="J52" s="421">
        <v>1.1879014499</v>
      </c>
      <c r="L52" s="421">
        <v>593.8462840592</v>
      </c>
    </row>
    <row r="53" spans="1:12">
      <c r="B53" s="48" t="s">
        <v>108</v>
      </c>
      <c r="C53" s="404"/>
      <c r="D53" s="421">
        <v>14148.091856679899</v>
      </c>
      <c r="E53" s="23"/>
      <c r="F53" s="421">
        <v>7818.9876620956002</v>
      </c>
      <c r="G53" s="421">
        <v>3.7910533912000002</v>
      </c>
      <c r="I53" s="421">
        <v>4177.4379004248003</v>
      </c>
      <c r="J53" s="421">
        <v>2.3203588288999999</v>
      </c>
      <c r="L53" s="421">
        <v>165</v>
      </c>
    </row>
    <row r="54" spans="1:12">
      <c r="B54" s="529" t="s">
        <v>111</v>
      </c>
      <c r="C54" s="404"/>
      <c r="D54" s="421">
        <v>28643.688859025799</v>
      </c>
      <c r="E54" s="23"/>
      <c r="F54" s="421">
        <v>11620.0365718019</v>
      </c>
      <c r="G54" s="421">
        <v>1.9050144436000001</v>
      </c>
      <c r="I54" s="421">
        <v>7846.868544039</v>
      </c>
      <c r="J54" s="421">
        <v>1.3519513848</v>
      </c>
      <c r="L54" s="421">
        <v>793.7367321726</v>
      </c>
    </row>
    <row r="55" spans="1:12" ht="6" customHeight="1">
      <c r="B55" s="20"/>
      <c r="C55" s="406"/>
      <c r="D55" s="160"/>
      <c r="E55" s="32"/>
      <c r="F55" s="174"/>
      <c r="G55" s="105"/>
      <c r="H55" s="32"/>
      <c r="I55" s="174"/>
      <c r="J55" s="105"/>
      <c r="K55" s="32"/>
      <c r="L55" s="174"/>
    </row>
    <row r="56" spans="1:12" ht="6" customHeight="1">
      <c r="B56" s="47"/>
      <c r="C56" s="213"/>
      <c r="D56" s="161"/>
      <c r="E56" s="27"/>
      <c r="F56" s="172"/>
      <c r="G56" s="104"/>
      <c r="H56" s="23"/>
      <c r="I56" s="172"/>
      <c r="J56" s="104"/>
      <c r="K56" s="23"/>
      <c r="L56" s="172"/>
    </row>
    <row r="57" spans="1:12" s="6" customFormat="1" ht="11.25">
      <c r="A57" s="54"/>
      <c r="B57" s="47" t="s">
        <v>159</v>
      </c>
      <c r="C57" s="213"/>
      <c r="D57" s="161"/>
      <c r="E57" s="27"/>
      <c r="F57" s="175"/>
      <c r="G57" s="94"/>
      <c r="H57" s="27"/>
      <c r="I57" s="175"/>
      <c r="J57" s="94"/>
      <c r="K57" s="27"/>
      <c r="L57" s="175"/>
    </row>
    <row r="58" spans="1:12" s="59" customFormat="1">
      <c r="B58" s="82" t="s">
        <v>209</v>
      </c>
      <c r="D58" s="162"/>
      <c r="F58" s="162"/>
      <c r="G58" s="88"/>
      <c r="I58" s="162"/>
      <c r="J58" s="88"/>
      <c r="L58" s="162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C0104A9A-C459-42BF-AEAF-F2DCC6684DCC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273E-D9C6-4778-AC21-65F37A57DD59}">
  <dimension ref="A1:I58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2.140625" style="3" customWidth="1"/>
    <col min="3" max="3" width="1.7109375" style="3" customWidth="1"/>
    <col min="4" max="4" width="23.85546875" style="170" customWidth="1"/>
    <col min="5" max="5" width="1.7109375" style="93" customWidth="1"/>
    <col min="6" max="6" width="16" style="93" customWidth="1"/>
    <col min="7" max="7" width="1.7109375" style="93" customWidth="1"/>
    <col min="8" max="8" width="16" style="93" customWidth="1"/>
    <col min="9" max="16384" width="11.42578125" style="3"/>
  </cols>
  <sheetData>
    <row r="1" spans="1:9" s="62" customFormat="1" ht="14.1" customHeight="1">
      <c r="A1" s="53"/>
      <c r="B1" s="756" t="s">
        <v>268</v>
      </c>
      <c r="C1" s="61"/>
      <c r="D1" s="154"/>
      <c r="E1" s="92"/>
      <c r="F1" s="92"/>
      <c r="G1" s="92"/>
      <c r="H1" s="89" t="s">
        <v>191</v>
      </c>
    </row>
    <row r="2" spans="1:9" s="62" customFormat="1" ht="6.95" customHeight="1">
      <c r="A2" s="53"/>
      <c r="B2" s="756"/>
      <c r="C2" s="61"/>
      <c r="D2" s="154"/>
      <c r="E2" s="92"/>
      <c r="F2" s="92"/>
      <c r="G2" s="92"/>
      <c r="H2" s="92"/>
    </row>
    <row r="3" spans="1:9" s="62" customFormat="1" ht="14.1" customHeight="1">
      <c r="A3" s="53"/>
      <c r="B3" s="756" t="s">
        <v>236</v>
      </c>
      <c r="C3" s="533"/>
      <c r="D3" s="534"/>
      <c r="E3" s="535"/>
      <c r="F3" s="535"/>
      <c r="G3" s="535"/>
      <c r="H3" s="535"/>
      <c r="I3" s="533"/>
    </row>
    <row r="4" spans="1:9" s="62" customFormat="1" ht="6.95" customHeight="1">
      <c r="A4" s="53"/>
      <c r="B4" s="533"/>
      <c r="C4" s="61"/>
      <c r="D4" s="154"/>
      <c r="E4" s="92"/>
      <c r="F4" s="92"/>
      <c r="G4" s="92"/>
      <c r="H4" s="92"/>
    </row>
    <row r="5" spans="1:9" s="62" customFormat="1" ht="30" customHeight="1">
      <c r="A5" s="53"/>
      <c r="B5" s="881" t="s">
        <v>208</v>
      </c>
      <c r="C5" s="881"/>
      <c r="D5" s="881"/>
      <c r="E5" s="881"/>
      <c r="F5" s="881"/>
      <c r="G5" s="881"/>
      <c r="H5" s="90" t="s">
        <v>160</v>
      </c>
    </row>
    <row r="6" spans="1:9" ht="6" customHeight="1">
      <c r="A6" s="53"/>
      <c r="B6" s="385"/>
      <c r="C6" s="5"/>
      <c r="D6" s="155"/>
      <c r="E6" s="104"/>
      <c r="F6" s="104"/>
      <c r="G6" s="104"/>
      <c r="H6" s="104"/>
    </row>
    <row r="7" spans="1:9" ht="24.95" customHeight="1">
      <c r="A7" s="53"/>
      <c r="B7" s="790" t="s">
        <v>101</v>
      </c>
      <c r="C7" s="7"/>
      <c r="D7" s="864" t="s">
        <v>172</v>
      </c>
      <c r="E7" s="126"/>
      <c r="F7" s="893" t="s">
        <v>109</v>
      </c>
      <c r="G7" s="893"/>
      <c r="H7" s="893"/>
    </row>
    <row r="8" spans="1:9" ht="39.950000000000003" customHeight="1">
      <c r="A8" s="53"/>
      <c r="B8" s="792"/>
      <c r="C8" s="9"/>
      <c r="D8" s="866"/>
      <c r="E8" s="105"/>
      <c r="F8" s="124" t="s">
        <v>102</v>
      </c>
      <c r="G8" s="125"/>
      <c r="H8" s="124" t="s">
        <v>103</v>
      </c>
    </row>
    <row r="9" spans="1:9" ht="6" customHeight="1">
      <c r="A9" s="54"/>
      <c r="B9" s="5"/>
      <c r="C9" s="5"/>
      <c r="D9" s="155"/>
      <c r="E9" s="104"/>
      <c r="F9" s="104"/>
      <c r="G9" s="104"/>
      <c r="H9" s="104"/>
    </row>
    <row r="10" spans="1:9" ht="15">
      <c r="A10" s="54"/>
      <c r="B10" s="38" t="s">
        <v>40</v>
      </c>
      <c r="C10" s="10"/>
      <c r="D10" s="267">
        <v>3214789.73725852</v>
      </c>
      <c r="E10" s="536"/>
      <c r="F10" s="267">
        <v>2.1951175879</v>
      </c>
      <c r="H10" s="267">
        <v>1.2620898568000001</v>
      </c>
    </row>
    <row r="11" spans="1:9" ht="6" customHeight="1">
      <c r="A11" s="206"/>
      <c r="B11" s="48"/>
      <c r="C11" s="27"/>
      <c r="D11" s="158"/>
      <c r="E11" s="536"/>
      <c r="F11" s="85"/>
      <c r="H11" s="85"/>
    </row>
    <row r="12" spans="1:9">
      <c r="A12" s="57"/>
      <c r="B12" s="48" t="s">
        <v>104</v>
      </c>
      <c r="C12" s="27"/>
      <c r="D12" s="268">
        <v>1227745.2563398599</v>
      </c>
      <c r="E12" s="537"/>
      <c r="F12" s="530">
        <v>8.0918603333999997</v>
      </c>
      <c r="H12" s="530">
        <v>2.1045128058999998</v>
      </c>
    </row>
    <row r="13" spans="1:9">
      <c r="A13" s="57"/>
      <c r="B13" s="48" t="s">
        <v>105</v>
      </c>
      <c r="C13" s="27"/>
      <c r="D13" s="268">
        <v>981162.29356583499</v>
      </c>
      <c r="E13" s="537"/>
      <c r="F13" s="268">
        <v>6.1261692072000002</v>
      </c>
      <c r="H13" s="268">
        <v>2.0843700017</v>
      </c>
    </row>
    <row r="14" spans="1:9">
      <c r="A14" s="57"/>
      <c r="B14" s="48" t="s">
        <v>106</v>
      </c>
      <c r="C14" s="27"/>
      <c r="D14" s="268">
        <v>501424.52807393001</v>
      </c>
      <c r="E14" s="537"/>
      <c r="F14" s="268">
        <v>5.5333019655999998</v>
      </c>
      <c r="H14" s="268">
        <v>2.8421751007</v>
      </c>
    </row>
    <row r="15" spans="1:9">
      <c r="A15" s="54"/>
      <c r="B15" s="48" t="s">
        <v>107</v>
      </c>
      <c r="C15" s="27"/>
      <c r="D15" s="268">
        <v>1063261.35235213</v>
      </c>
      <c r="E15" s="537"/>
      <c r="F15" s="268">
        <v>1.1575883255999999</v>
      </c>
      <c r="H15" s="268">
        <v>1.021050904</v>
      </c>
    </row>
    <row r="16" spans="1:9">
      <c r="A16" s="54"/>
      <c r="B16" s="48" t="s">
        <v>108</v>
      </c>
      <c r="C16" s="27"/>
      <c r="D16" s="269">
        <v>1164254.43328933</v>
      </c>
      <c r="E16" s="537"/>
      <c r="F16" s="269">
        <v>8.2261366786999996</v>
      </c>
      <c r="H16" s="269">
        <v>2.4950552625000002</v>
      </c>
    </row>
    <row r="17" spans="1:8">
      <c r="A17" s="54"/>
      <c r="B17" s="529" t="s">
        <v>111</v>
      </c>
      <c r="C17" s="27"/>
      <c r="D17" s="269">
        <v>1293881.25778365</v>
      </c>
      <c r="E17" s="537"/>
      <c r="F17" s="269">
        <v>3.4200058148000001</v>
      </c>
      <c r="H17" s="269">
        <v>2.2108884652</v>
      </c>
    </row>
    <row r="18" spans="1:8" ht="6" customHeight="1">
      <c r="A18" s="58"/>
      <c r="B18" s="5"/>
      <c r="C18" s="27"/>
    </row>
    <row r="19" spans="1:8" ht="15">
      <c r="A19" s="58"/>
      <c r="B19" s="299" t="s">
        <v>41</v>
      </c>
      <c r="C19" s="27"/>
      <c r="D19" s="267">
        <v>1554297.3926488601</v>
      </c>
      <c r="E19" s="536"/>
      <c r="F19" s="267">
        <v>4.2749229012000001</v>
      </c>
      <c r="H19" s="267">
        <v>2.1411012734999999</v>
      </c>
    </row>
    <row r="20" spans="1:8" ht="6" customHeight="1">
      <c r="B20" s="299"/>
      <c r="C20" s="27"/>
    </row>
    <row r="21" spans="1:8">
      <c r="B21" s="48" t="s">
        <v>104</v>
      </c>
      <c r="C21" s="27"/>
      <c r="D21" s="268">
        <v>580536.939997548</v>
      </c>
      <c r="E21" s="537"/>
      <c r="F21" s="268">
        <v>13.676275269</v>
      </c>
      <c r="H21" s="268">
        <v>3.0045245564999998</v>
      </c>
    </row>
    <row r="22" spans="1:8">
      <c r="B22" s="48" t="s">
        <v>105</v>
      </c>
      <c r="C22" s="27"/>
      <c r="D22" s="268">
        <v>586379.37312245497</v>
      </c>
      <c r="E22" s="537"/>
      <c r="F22" s="268">
        <v>11.125205515299999</v>
      </c>
      <c r="H22" s="268">
        <v>3.2035541751999999</v>
      </c>
    </row>
    <row r="23" spans="1:8">
      <c r="B23" s="48" t="s">
        <v>106</v>
      </c>
      <c r="C23" s="27"/>
      <c r="D23" s="268">
        <v>262456.21197587199</v>
      </c>
      <c r="E23" s="537"/>
      <c r="F23" s="268">
        <v>7.4945378063000003</v>
      </c>
      <c r="H23" s="268">
        <v>5.0267066005999999</v>
      </c>
    </row>
    <row r="24" spans="1:8">
      <c r="B24" s="48" t="s">
        <v>107</v>
      </c>
      <c r="C24" s="27"/>
      <c r="D24" s="268">
        <v>655756.16886827105</v>
      </c>
      <c r="E24" s="537"/>
      <c r="F24" s="530">
        <v>3.8209041696999999</v>
      </c>
      <c r="H24" s="530">
        <v>1.4996808641999999</v>
      </c>
    </row>
    <row r="25" spans="1:8">
      <c r="B25" s="48" t="s">
        <v>108</v>
      </c>
      <c r="C25" s="27"/>
      <c r="D25" s="268">
        <v>629153.26511861198</v>
      </c>
      <c r="E25" s="537"/>
      <c r="F25" s="530">
        <v>26.002693616999998</v>
      </c>
      <c r="H25" s="530">
        <v>5.6355039156000002</v>
      </c>
    </row>
    <row r="26" spans="1:8">
      <c r="B26" s="529" t="s">
        <v>111</v>
      </c>
      <c r="C26" s="27"/>
      <c r="D26" s="268">
        <v>428577.76881964301</v>
      </c>
      <c r="E26" s="537"/>
      <c r="F26" s="268">
        <v>5.1958242174000002</v>
      </c>
      <c r="H26" s="268">
        <v>4.2242557032999999</v>
      </c>
    </row>
    <row r="27" spans="1:8" ht="6" customHeight="1">
      <c r="B27" s="48"/>
      <c r="C27" s="27"/>
    </row>
    <row r="28" spans="1:8" ht="15">
      <c r="B28" s="299" t="s">
        <v>44</v>
      </c>
      <c r="C28" s="27"/>
      <c r="D28" s="267">
        <v>1383527.5339697001</v>
      </c>
      <c r="E28" s="536"/>
      <c r="F28" s="267">
        <v>6.0224172295000002</v>
      </c>
      <c r="H28" s="267">
        <v>2.5062895742000002</v>
      </c>
    </row>
    <row r="29" spans="1:8" ht="6" customHeight="1">
      <c r="B29" s="299"/>
      <c r="C29" s="27"/>
    </row>
    <row r="30" spans="1:8" ht="12" customHeight="1">
      <c r="B30" s="48" t="s">
        <v>104</v>
      </c>
      <c r="C30" s="27"/>
      <c r="D30" s="268">
        <v>906570.46773312497</v>
      </c>
      <c r="E30" s="537"/>
      <c r="F30" s="268">
        <v>24.442563097499999</v>
      </c>
      <c r="H30" s="268">
        <v>5.9776219738999998</v>
      </c>
    </row>
    <row r="31" spans="1:8">
      <c r="B31" s="48" t="s">
        <v>105</v>
      </c>
      <c r="C31" s="27"/>
      <c r="D31" s="268">
        <v>309316.14798605797</v>
      </c>
      <c r="E31" s="537"/>
      <c r="F31" s="268">
        <v>11.5742288249</v>
      </c>
      <c r="H31" s="268">
        <v>2.9984805581999998</v>
      </c>
    </row>
    <row r="32" spans="1:8">
      <c r="B32" s="48" t="s">
        <v>106</v>
      </c>
      <c r="C32" s="27"/>
      <c r="D32" s="268">
        <v>262042.514757761</v>
      </c>
      <c r="E32" s="537"/>
      <c r="F32" s="268">
        <v>28.393102069899999</v>
      </c>
      <c r="H32" s="268">
        <v>9.0666569268000003</v>
      </c>
    </row>
    <row r="33" spans="2:8">
      <c r="B33" s="48" t="s">
        <v>107</v>
      </c>
      <c r="C33" s="27"/>
      <c r="D33" s="268">
        <v>363037.87751698901</v>
      </c>
      <c r="E33" s="537"/>
      <c r="F33" s="268">
        <v>3.0387697261</v>
      </c>
      <c r="H33" s="268">
        <v>2.2136237312999998</v>
      </c>
    </row>
    <row r="34" spans="2:8">
      <c r="B34" s="48" t="s">
        <v>108</v>
      </c>
      <c r="C34" s="27"/>
      <c r="D34" s="268">
        <v>149132.84130904599</v>
      </c>
      <c r="E34" s="537"/>
      <c r="F34" s="268">
        <v>6.5881149391999996</v>
      </c>
      <c r="H34" s="268">
        <v>3.6240215142999999</v>
      </c>
    </row>
    <row r="35" spans="2:8">
      <c r="B35" s="529" t="s">
        <v>111</v>
      </c>
      <c r="C35" s="27"/>
      <c r="D35" s="268">
        <v>494062.68267571001</v>
      </c>
      <c r="E35" s="537"/>
      <c r="F35" s="268">
        <v>7.6708426741000002</v>
      </c>
      <c r="H35" s="268">
        <v>3.4623916859000001</v>
      </c>
    </row>
    <row r="36" spans="2:8" ht="6" customHeight="1">
      <c r="B36" s="48"/>
      <c r="C36" s="27"/>
    </row>
    <row r="37" spans="2:8" ht="15">
      <c r="B37" s="299" t="s">
        <v>45</v>
      </c>
      <c r="C37" s="27"/>
      <c r="D37" s="267">
        <v>1691835.7504626401</v>
      </c>
      <c r="E37" s="536"/>
      <c r="F37" s="267">
        <v>6.7930440384999997</v>
      </c>
      <c r="H37" s="267">
        <v>3.8067659601999999</v>
      </c>
    </row>
    <row r="38" spans="2:8" ht="6" customHeight="1">
      <c r="B38" s="299"/>
      <c r="C38" s="27"/>
    </row>
    <row r="39" spans="2:8" ht="11.25" customHeight="1">
      <c r="B39" s="48" t="s">
        <v>104</v>
      </c>
      <c r="C39" s="27"/>
      <c r="D39" s="268">
        <v>249612.863641868</v>
      </c>
      <c r="E39" s="537"/>
      <c r="F39" s="268">
        <v>10.348823746500001</v>
      </c>
      <c r="H39" s="268">
        <v>3.0216371838999998</v>
      </c>
    </row>
    <row r="40" spans="2:8">
      <c r="B40" s="48" t="s">
        <v>105</v>
      </c>
      <c r="C40" s="27"/>
      <c r="D40" s="268">
        <v>580341.44454553502</v>
      </c>
      <c r="E40" s="537"/>
      <c r="F40" s="268">
        <v>13.418747249700001</v>
      </c>
      <c r="H40" s="268">
        <v>5.1264205085999999</v>
      </c>
    </row>
    <row r="41" spans="2:8">
      <c r="B41" s="48" t="s">
        <v>106</v>
      </c>
      <c r="C41" s="27"/>
      <c r="D41" s="268">
        <v>289735.81609849603</v>
      </c>
      <c r="E41" s="537"/>
      <c r="F41" s="268">
        <v>17.035733969900001</v>
      </c>
      <c r="H41" s="268">
        <v>3.8415832585</v>
      </c>
    </row>
    <row r="42" spans="2:8">
      <c r="B42" s="48" t="s">
        <v>107</v>
      </c>
      <c r="C42" s="27"/>
      <c r="D42" s="268">
        <v>472440.504730777</v>
      </c>
      <c r="E42" s="537"/>
      <c r="F42" s="268">
        <v>2.4022340402000002</v>
      </c>
      <c r="H42" s="268">
        <v>2.4977055691999999</v>
      </c>
    </row>
    <row r="43" spans="2:8">
      <c r="B43" s="48" t="s">
        <v>108</v>
      </c>
      <c r="C43" s="27"/>
      <c r="D43" s="268">
        <v>294319.92451589199</v>
      </c>
      <c r="E43" s="537"/>
      <c r="F43" s="268">
        <v>9.8977935436000006</v>
      </c>
      <c r="H43" s="268">
        <v>5.2875872874000001</v>
      </c>
    </row>
    <row r="44" spans="2:8">
      <c r="B44" s="529" t="s">
        <v>111</v>
      </c>
      <c r="C44" s="27"/>
      <c r="D44" s="268">
        <v>691421.07010333298</v>
      </c>
      <c r="E44" s="537"/>
      <c r="F44" s="268">
        <v>9.1223632744999996</v>
      </c>
      <c r="H44" s="268">
        <v>3.1726343071000001</v>
      </c>
    </row>
    <row r="45" spans="2:8" ht="6" customHeight="1">
      <c r="B45" s="48"/>
      <c r="C45" s="27"/>
    </row>
    <row r="46" spans="2:8" ht="15">
      <c r="B46" s="303" t="s">
        <v>110</v>
      </c>
      <c r="C46" s="27"/>
      <c r="D46" s="267">
        <v>1777597.60449986</v>
      </c>
      <c r="E46" s="536"/>
      <c r="F46" s="267">
        <v>2.7841488016999998</v>
      </c>
      <c r="H46" s="267">
        <v>2.0240670736999999</v>
      </c>
    </row>
    <row r="47" spans="2:8" ht="6" customHeight="1">
      <c r="B47" s="299"/>
      <c r="C47" s="27"/>
    </row>
    <row r="48" spans="2:8" ht="10.5" customHeight="1">
      <c r="B48" s="48" t="s">
        <v>104</v>
      </c>
      <c r="C48" s="27"/>
      <c r="D48" s="268">
        <v>534938.01613079698</v>
      </c>
      <c r="E48" s="537"/>
      <c r="F48" s="268">
        <v>9.2485138957000004</v>
      </c>
      <c r="H48" s="268">
        <v>3.3915718406000002</v>
      </c>
    </row>
    <row r="49" spans="1:8">
      <c r="B49" s="48" t="s">
        <v>105</v>
      </c>
      <c r="C49" s="27"/>
      <c r="D49" s="421">
        <v>431701.29190188402</v>
      </c>
      <c r="E49" s="104"/>
      <c r="F49" s="421">
        <v>10.027264646100001</v>
      </c>
      <c r="H49" s="421">
        <v>4.2042512589000003</v>
      </c>
    </row>
    <row r="50" spans="1:8">
      <c r="B50" s="48" t="s">
        <v>106</v>
      </c>
      <c r="C50" s="27"/>
      <c r="D50" s="421">
        <v>173003.38574318899</v>
      </c>
      <c r="E50" s="104"/>
      <c r="F50" s="421">
        <v>4.9455878694999997</v>
      </c>
      <c r="H50" s="421">
        <v>2.4498328701999998</v>
      </c>
    </row>
    <row r="51" spans="1:8">
      <c r="B51" s="48" t="s">
        <v>107</v>
      </c>
      <c r="C51" s="27"/>
      <c r="D51" s="421">
        <v>600526.01219479402</v>
      </c>
      <c r="E51" s="104"/>
      <c r="F51" s="421">
        <v>1.2986909283000001</v>
      </c>
      <c r="H51" s="421">
        <v>1.6199566326999999</v>
      </c>
    </row>
    <row r="52" spans="1:8">
      <c r="B52" s="48" t="s">
        <v>108</v>
      </c>
      <c r="C52" s="27"/>
      <c r="D52" s="421">
        <v>922382.63865951495</v>
      </c>
      <c r="E52" s="104"/>
      <c r="F52" s="421">
        <v>12.785086014000001</v>
      </c>
      <c r="H52" s="421">
        <v>3.1365402665</v>
      </c>
    </row>
    <row r="53" spans="1:8">
      <c r="B53" s="529" t="s">
        <v>111</v>
      </c>
      <c r="C53" s="27"/>
      <c r="D53" s="421">
        <v>876527.25192193501</v>
      </c>
      <c r="E53" s="104"/>
      <c r="F53" s="421">
        <v>5.6971707189999998</v>
      </c>
      <c r="H53" s="421">
        <v>4.4136498164000004</v>
      </c>
    </row>
    <row r="54" spans="1:8" ht="6" customHeight="1">
      <c r="B54" s="20"/>
      <c r="C54" s="33"/>
      <c r="D54" s="160"/>
      <c r="E54" s="105"/>
      <c r="F54" s="105"/>
      <c r="G54" s="105"/>
      <c r="H54" s="105"/>
    </row>
    <row r="55" spans="1:8" ht="6" customHeight="1">
      <c r="B55" s="47"/>
      <c r="C55" s="5"/>
      <c r="D55" s="161"/>
      <c r="E55" s="94"/>
      <c r="F55" s="104"/>
      <c r="G55" s="104"/>
      <c r="H55" s="104"/>
    </row>
    <row r="56" spans="1:8" s="6" customFormat="1" ht="11.25">
      <c r="A56" s="54"/>
      <c r="B56" s="47" t="s">
        <v>161</v>
      </c>
      <c r="C56" s="5"/>
      <c r="D56" s="161"/>
      <c r="E56" s="94"/>
      <c r="F56" s="94"/>
      <c r="G56" s="94"/>
      <c r="H56" s="94"/>
    </row>
    <row r="57" spans="1:8" s="6" customFormat="1" ht="11.25">
      <c r="A57" s="54"/>
      <c r="B57" s="47" t="s">
        <v>173</v>
      </c>
      <c r="C57" s="5"/>
      <c r="D57" s="161"/>
      <c r="E57" s="94"/>
      <c r="F57" s="94"/>
      <c r="G57" s="94"/>
      <c r="H57" s="94"/>
    </row>
    <row r="58" spans="1:8" s="59" customFormat="1">
      <c r="B58" s="82" t="s">
        <v>209</v>
      </c>
      <c r="D58" s="162"/>
      <c r="E58" s="88"/>
      <c r="F58" s="88"/>
      <c r="G58" s="88"/>
      <c r="H58" s="88"/>
    </row>
  </sheetData>
  <mergeCells count="4">
    <mergeCell ref="B5:G5"/>
    <mergeCell ref="B7:B8"/>
    <mergeCell ref="D7:D8"/>
    <mergeCell ref="F7:H7"/>
  </mergeCells>
  <hyperlinks>
    <hyperlink ref="H1" location="Índice!A1" tooltip="Ir a ÍNDICE" display="INDICE" xr:uid="{21B713BC-BA98-4A3C-ADCF-56DFFB05E08B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1910-1264-4FA3-87D1-D0B11FEC1F03}">
  <dimension ref="A1:X243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50.42578125" customWidth="1"/>
    <col min="3" max="3" width="1.7109375" customWidth="1"/>
    <col min="4" max="4" width="22" style="677" customWidth="1"/>
    <col min="5" max="5" width="1.7109375" customWidth="1"/>
    <col min="6" max="6" width="15.7109375" style="677" customWidth="1"/>
    <col min="7" max="7" width="15.7109375" style="99" customWidth="1"/>
    <col min="8" max="8" width="1.7109375" customWidth="1"/>
    <col min="9" max="9" width="15.7109375" style="677" customWidth="1"/>
    <col min="10" max="10" width="15.7109375" style="99" customWidth="1"/>
    <col min="11" max="11" width="1.7109375" customWidth="1"/>
    <col min="12" max="12" width="15.7109375" style="677" customWidth="1"/>
    <col min="13" max="13" width="15.7109375" style="99" customWidth="1"/>
    <col min="14" max="14" width="1.7109375" customWidth="1"/>
    <col min="15" max="15" width="15.7109375" style="677" customWidth="1"/>
  </cols>
  <sheetData>
    <row r="1" spans="1:24" s="63" customFormat="1" ht="14.1" customHeight="1">
      <c r="A1" s="53"/>
      <c r="B1" s="756" t="s">
        <v>268</v>
      </c>
      <c r="C1" s="61"/>
      <c r="D1" s="686"/>
      <c r="E1" s="62"/>
      <c r="F1" s="687"/>
      <c r="G1" s="92"/>
      <c r="H1" s="62"/>
      <c r="I1" s="687"/>
      <c r="J1" s="688"/>
      <c r="K1" s="62"/>
      <c r="L1" s="687"/>
      <c r="M1" s="92"/>
      <c r="N1" s="62"/>
      <c r="O1" s="689" t="s">
        <v>191</v>
      </c>
      <c r="Q1" s="655"/>
      <c r="R1" s="655"/>
      <c r="S1" s="655"/>
      <c r="T1" s="655"/>
      <c r="U1" s="655"/>
      <c r="V1" s="655"/>
      <c r="W1" s="655"/>
      <c r="X1" s="655"/>
    </row>
    <row r="2" spans="1:24" s="63" customFormat="1" ht="6.95" customHeight="1">
      <c r="A2" s="53"/>
      <c r="B2" s="756"/>
      <c r="C2" s="61"/>
      <c r="D2" s="686"/>
      <c r="E2" s="62"/>
      <c r="F2" s="687"/>
      <c r="G2" s="92"/>
      <c r="H2" s="62"/>
      <c r="I2" s="687"/>
      <c r="J2" s="688"/>
      <c r="K2" s="62"/>
      <c r="L2" s="687"/>
      <c r="M2" s="92"/>
      <c r="N2" s="62"/>
      <c r="O2" s="690"/>
      <c r="P2" s="655"/>
      <c r="Q2" s="655"/>
      <c r="R2" s="655"/>
      <c r="S2" s="655"/>
      <c r="T2" s="655"/>
      <c r="U2" s="655"/>
      <c r="V2" s="655"/>
      <c r="W2" s="655"/>
      <c r="X2" s="655"/>
    </row>
    <row r="3" spans="1:24" s="63" customFormat="1" ht="14.1" customHeight="1">
      <c r="A3" s="53"/>
      <c r="B3" s="756" t="s">
        <v>236</v>
      </c>
      <c r="C3" s="622"/>
      <c r="D3" s="691"/>
      <c r="E3" s="622"/>
      <c r="F3" s="691"/>
      <c r="G3" s="624"/>
      <c r="H3" s="622"/>
      <c r="I3" s="691"/>
      <c r="J3" s="688"/>
      <c r="K3" s="62"/>
      <c r="L3" s="687"/>
      <c r="M3" s="92"/>
      <c r="N3" s="62"/>
      <c r="O3" s="690"/>
      <c r="P3" s="655"/>
      <c r="Q3" s="655"/>
      <c r="R3" s="655"/>
      <c r="S3" s="655"/>
      <c r="T3" s="655"/>
      <c r="U3" s="655"/>
      <c r="V3" s="655"/>
      <c r="W3" s="655"/>
      <c r="X3" s="655"/>
    </row>
    <row r="4" spans="1:24" s="63" customFormat="1" ht="6.95" customHeight="1">
      <c r="A4" s="53"/>
      <c r="B4" s="150"/>
      <c r="C4" s="61"/>
      <c r="D4" s="686"/>
      <c r="E4" s="62"/>
      <c r="F4" s="687"/>
      <c r="G4" s="92"/>
      <c r="H4" s="62"/>
      <c r="I4" s="687"/>
      <c r="J4" s="692"/>
      <c r="K4" s="62"/>
      <c r="L4" s="687"/>
      <c r="M4" s="92"/>
      <c r="N4" s="62"/>
      <c r="O4" s="690"/>
      <c r="P4" s="655"/>
      <c r="Q4" s="655"/>
      <c r="R4" s="655"/>
      <c r="S4" s="655"/>
      <c r="T4" s="655"/>
      <c r="U4" s="655"/>
      <c r="V4" s="655"/>
      <c r="W4" s="655"/>
      <c r="X4" s="655"/>
    </row>
    <row r="5" spans="1:24" s="63" customFormat="1" ht="20.100000000000001" customHeight="1">
      <c r="A5" s="53"/>
      <c r="B5" s="881" t="s">
        <v>234</v>
      </c>
      <c r="C5" s="881"/>
      <c r="D5" s="881"/>
      <c r="E5" s="881"/>
      <c r="F5" s="881"/>
      <c r="G5" s="881"/>
      <c r="H5" s="881"/>
      <c r="I5" s="881"/>
      <c r="J5" s="881"/>
      <c r="K5" s="881"/>
      <c r="L5" s="881"/>
      <c r="M5" s="881"/>
      <c r="N5" s="64"/>
      <c r="O5" s="693" t="s">
        <v>162</v>
      </c>
      <c r="P5" s="655"/>
      <c r="Q5" s="655"/>
      <c r="R5" s="655"/>
      <c r="S5" s="655"/>
      <c r="T5" s="655"/>
      <c r="U5" s="655"/>
      <c r="V5" s="655"/>
      <c r="W5" s="655"/>
      <c r="X5" s="655"/>
    </row>
    <row r="6" spans="1:24" ht="6" customHeight="1">
      <c r="A6" s="53"/>
      <c r="B6" s="385"/>
      <c r="C6" s="5"/>
      <c r="D6" s="694"/>
      <c r="E6" s="23"/>
      <c r="F6" s="695"/>
      <c r="G6" s="104"/>
      <c r="H6" s="23"/>
      <c r="I6" s="695"/>
      <c r="J6" s="104"/>
      <c r="K6" s="23"/>
      <c r="L6" s="695"/>
      <c r="M6" s="104"/>
      <c r="N6" s="2"/>
      <c r="O6" s="696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>
      <c r="A7" s="53"/>
      <c r="B7" s="790" t="s">
        <v>91</v>
      </c>
      <c r="C7" s="7"/>
      <c r="D7" s="801" t="s">
        <v>251</v>
      </c>
      <c r="E7" s="35"/>
      <c r="F7" s="884" t="s">
        <v>148</v>
      </c>
      <c r="G7" s="884"/>
      <c r="H7" s="884"/>
      <c r="I7" s="884"/>
      <c r="J7" s="884"/>
      <c r="K7" s="884"/>
      <c r="L7" s="884"/>
      <c r="M7" s="884"/>
      <c r="N7" s="697"/>
      <c r="O7" s="801" t="s">
        <v>149</v>
      </c>
      <c r="P7" s="1"/>
      <c r="Q7" s="1"/>
      <c r="R7" s="1"/>
      <c r="S7" s="1"/>
      <c r="T7" s="1"/>
      <c r="U7" s="1"/>
      <c r="V7" s="1"/>
      <c r="W7" s="1"/>
      <c r="X7" s="1"/>
    </row>
    <row r="8" spans="1:24" ht="27.75" customHeight="1">
      <c r="A8" s="53"/>
      <c r="B8" s="791"/>
      <c r="C8" s="49"/>
      <c r="D8" s="894"/>
      <c r="E8" s="23"/>
      <c r="F8" s="840" t="s">
        <v>93</v>
      </c>
      <c r="G8" s="840"/>
      <c r="H8" s="386"/>
      <c r="I8" s="840" t="s">
        <v>94</v>
      </c>
      <c r="J8" s="840"/>
      <c r="K8" s="387"/>
      <c r="L8" s="840" t="s">
        <v>95</v>
      </c>
      <c r="M8" s="840"/>
      <c r="N8" s="2"/>
      <c r="O8" s="894"/>
      <c r="P8" s="1"/>
      <c r="Q8" s="1"/>
      <c r="R8" s="1"/>
      <c r="S8" s="1"/>
      <c r="T8" s="1"/>
      <c r="U8" s="1"/>
      <c r="V8" s="1"/>
      <c r="W8" s="1"/>
      <c r="X8" s="1"/>
    </row>
    <row r="9" spans="1:24" ht="18.75" customHeight="1">
      <c r="A9" s="54"/>
      <c r="B9" s="792"/>
      <c r="C9" s="9"/>
      <c r="D9" s="802"/>
      <c r="E9" s="32"/>
      <c r="F9" s="698" t="s">
        <v>3</v>
      </c>
      <c r="G9" s="118" t="s">
        <v>4</v>
      </c>
      <c r="H9" s="52"/>
      <c r="I9" s="698" t="s">
        <v>3</v>
      </c>
      <c r="J9" s="118" t="s">
        <v>4</v>
      </c>
      <c r="K9" s="52"/>
      <c r="L9" s="698" t="s">
        <v>3</v>
      </c>
      <c r="M9" s="118" t="s">
        <v>4</v>
      </c>
      <c r="N9" s="699"/>
      <c r="O9" s="802"/>
      <c r="P9" s="1"/>
      <c r="Q9" s="1"/>
      <c r="R9" s="1"/>
      <c r="S9" s="1"/>
      <c r="T9" s="1"/>
      <c r="U9" s="1"/>
      <c r="V9" s="1"/>
      <c r="W9" s="1"/>
      <c r="X9" s="1"/>
    </row>
    <row r="10" spans="1:24" ht="6" customHeight="1">
      <c r="A10" s="54"/>
      <c r="B10" s="5"/>
      <c r="C10" s="5"/>
      <c r="D10" s="694"/>
      <c r="E10" s="23"/>
      <c r="F10" s="695"/>
      <c r="G10" s="104"/>
      <c r="H10" s="23"/>
      <c r="I10" s="695"/>
      <c r="J10" s="104"/>
      <c r="K10" s="23"/>
      <c r="L10" s="695"/>
      <c r="M10" s="104"/>
      <c r="N10" s="2"/>
      <c r="O10" s="696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206"/>
      <c r="B11" s="21" t="s">
        <v>40</v>
      </c>
      <c r="C11" s="10"/>
      <c r="D11" s="267">
        <v>84336.855950240904</v>
      </c>
      <c r="E11" s="700"/>
      <c r="F11" s="267">
        <v>81738.144843633607</v>
      </c>
      <c r="G11" s="267">
        <v>0.30021617179999999</v>
      </c>
      <c r="H11" s="700"/>
      <c r="I11" s="267">
        <v>56990.244226549003</v>
      </c>
      <c r="J11" s="267">
        <v>0.76692925590000005</v>
      </c>
      <c r="K11" s="39"/>
      <c r="L11" s="267">
        <v>10524.5078350982</v>
      </c>
      <c r="M11" s="267">
        <v>0.19548213959999999</v>
      </c>
      <c r="N11" s="700"/>
      <c r="O11" s="267">
        <v>13413.100215410899</v>
      </c>
      <c r="P11" s="1"/>
      <c r="Q11" s="1"/>
      <c r="R11" s="1"/>
      <c r="S11" s="1"/>
      <c r="T11" s="1"/>
      <c r="U11" s="1"/>
      <c r="V11" s="1"/>
      <c r="W11" s="1"/>
      <c r="X11" s="1"/>
    </row>
    <row r="12" spans="1:24" ht="6" customHeight="1">
      <c r="A12" s="57"/>
      <c r="B12" s="141"/>
      <c r="C12" s="10"/>
      <c r="D12" s="701"/>
      <c r="E12" s="700"/>
      <c r="F12" s="701"/>
      <c r="G12" s="85"/>
      <c r="H12" s="700"/>
      <c r="I12" s="701"/>
      <c r="J12" s="85"/>
      <c r="K12" s="39"/>
      <c r="L12" s="701"/>
      <c r="M12" s="85"/>
      <c r="N12" s="700"/>
      <c r="O12" s="70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57"/>
      <c r="B13" s="48" t="s">
        <v>96</v>
      </c>
      <c r="C13" s="27"/>
      <c r="D13" s="268">
        <v>34325.502342670799</v>
      </c>
      <c r="E13" s="702"/>
      <c r="F13" s="268">
        <v>33208.723168623699</v>
      </c>
      <c r="G13" s="268">
        <v>0.70746007970000002</v>
      </c>
      <c r="H13" s="702"/>
      <c r="I13" s="268">
        <v>27669.138909489498</v>
      </c>
      <c r="J13" s="268">
        <v>1.5337666422</v>
      </c>
      <c r="K13" s="39"/>
      <c r="L13" s="268">
        <v>7571.5039411424996</v>
      </c>
      <c r="M13" s="268">
        <v>0.71647093520000005</v>
      </c>
      <c r="N13" s="702"/>
      <c r="O13" s="268">
        <v>5514.9410371511003</v>
      </c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57"/>
      <c r="B14" s="48" t="s">
        <v>97</v>
      </c>
      <c r="C14" s="27"/>
      <c r="D14" s="268">
        <v>26428.7914393951</v>
      </c>
      <c r="E14" s="702"/>
      <c r="F14" s="268">
        <v>25732.871617514698</v>
      </c>
      <c r="G14" s="268">
        <v>1.1774502515</v>
      </c>
      <c r="H14" s="702"/>
      <c r="I14" s="268">
        <v>22299.075753284102</v>
      </c>
      <c r="J14" s="268">
        <v>2.2467651591000002</v>
      </c>
      <c r="K14" s="39"/>
      <c r="L14" s="268">
        <v>5408.9696816995001</v>
      </c>
      <c r="M14" s="268">
        <v>1.0024151663</v>
      </c>
      <c r="N14" s="702"/>
      <c r="O14" s="268">
        <v>4880.6925297451999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54"/>
      <c r="B15" s="48" t="s">
        <v>98</v>
      </c>
      <c r="C15" s="27"/>
      <c r="D15" s="268">
        <v>22123.522360338</v>
      </c>
      <c r="E15" s="702"/>
      <c r="F15" s="268">
        <v>21284.128883031299</v>
      </c>
      <c r="G15" s="268">
        <v>1.1025796603</v>
      </c>
      <c r="H15" s="702"/>
      <c r="I15" s="268">
        <v>17623.038480606599</v>
      </c>
      <c r="J15" s="268">
        <v>2.1552897890999998</v>
      </c>
      <c r="K15" s="39"/>
      <c r="L15" s="268">
        <v>5987.0279772186996</v>
      </c>
      <c r="M15" s="268">
        <v>1.2520268175</v>
      </c>
      <c r="N15" s="702"/>
      <c r="O15" s="268">
        <v>3904.9693896090998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54"/>
      <c r="B16" s="48" t="s">
        <v>150</v>
      </c>
      <c r="C16" s="27"/>
      <c r="D16" s="268">
        <v>64888.2046155934</v>
      </c>
      <c r="E16" s="702"/>
      <c r="F16" s="268">
        <v>62921.0994967238</v>
      </c>
      <c r="G16" s="268">
        <v>0.41453275360000003</v>
      </c>
      <c r="H16" s="702"/>
      <c r="I16" s="268">
        <v>37398.7836053227</v>
      </c>
      <c r="J16" s="268">
        <v>0.95717944939999999</v>
      </c>
      <c r="K16" s="39"/>
      <c r="L16" s="754" t="s">
        <v>266</v>
      </c>
      <c r="M16" s="110" t="s">
        <v>266</v>
      </c>
      <c r="N16" s="702"/>
      <c r="O16" s="268">
        <v>10286.090890956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54"/>
      <c r="B17" s="48" t="s">
        <v>151</v>
      </c>
      <c r="C17" s="27"/>
      <c r="D17" s="269">
        <v>29779.4866986179</v>
      </c>
      <c r="E17" s="702"/>
      <c r="F17" s="269">
        <v>29266.475963765999</v>
      </c>
      <c r="G17" s="269">
        <v>0.71002798190000005</v>
      </c>
      <c r="H17" s="702"/>
      <c r="I17" s="269">
        <v>22788.341835024301</v>
      </c>
      <c r="J17" s="269">
        <v>2.0467027890999998</v>
      </c>
      <c r="K17" s="39"/>
      <c r="L17" s="755" t="s">
        <v>266</v>
      </c>
      <c r="M17" s="119" t="s">
        <v>266</v>
      </c>
      <c r="N17" s="702"/>
      <c r="O17" s="269">
        <v>3997.3798568175998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6" customHeight="1">
      <c r="A18" s="58"/>
      <c r="B18" s="48"/>
      <c r="C18" s="27"/>
      <c r="D18" s="695"/>
      <c r="E18" s="23"/>
      <c r="F18" s="695"/>
      <c r="G18" s="104"/>
      <c r="H18" s="23"/>
      <c r="I18" s="695"/>
      <c r="J18" s="104"/>
      <c r="K18" s="23"/>
      <c r="L18" s="695"/>
      <c r="M18" s="104"/>
      <c r="N18" s="23"/>
      <c r="O18" s="695"/>
      <c r="P18" s="1"/>
      <c r="Q18" s="1"/>
      <c r="R18" s="1"/>
      <c r="S18" s="1"/>
      <c r="T18" s="1"/>
      <c r="U18" s="1"/>
      <c r="V18" s="1"/>
      <c r="W18" s="1"/>
      <c r="X18" s="1"/>
    </row>
    <row r="19" spans="1:24" ht="15">
      <c r="A19" s="58"/>
      <c r="B19" s="299" t="s">
        <v>41</v>
      </c>
      <c r="C19" s="27"/>
      <c r="D19" s="324">
        <v>40573.393347872203</v>
      </c>
      <c r="E19" s="700"/>
      <c r="F19" s="324">
        <v>38598.154420131599</v>
      </c>
      <c r="G19" s="324">
        <v>0.61144476609999998</v>
      </c>
      <c r="H19" s="700"/>
      <c r="I19" s="324">
        <v>28116.0049598027</v>
      </c>
      <c r="J19" s="324">
        <v>1.5613787066</v>
      </c>
      <c r="K19" s="42"/>
      <c r="L19" s="324">
        <v>1818.9720469793999</v>
      </c>
      <c r="M19" s="324">
        <v>0.1471248936</v>
      </c>
      <c r="N19" s="700"/>
      <c r="O19" s="324">
        <v>6160.5142720330005</v>
      </c>
      <c r="P19" s="1"/>
      <c r="Q19" s="1"/>
      <c r="R19" s="1"/>
      <c r="S19" s="1"/>
      <c r="T19" s="1"/>
      <c r="U19" s="1"/>
      <c r="V19" s="1"/>
      <c r="W19" s="1"/>
      <c r="X19" s="1"/>
    </row>
    <row r="20" spans="1:24" ht="6" customHeight="1">
      <c r="B20" s="23"/>
      <c r="C20" s="23"/>
      <c r="D20" s="695"/>
      <c r="E20" s="23"/>
      <c r="F20" s="695"/>
      <c r="G20" s="104"/>
      <c r="H20" s="23"/>
      <c r="I20" s="695"/>
      <c r="J20" s="104"/>
      <c r="K20" s="23"/>
      <c r="L20" s="695"/>
      <c r="M20" s="104"/>
      <c r="N20" s="23"/>
      <c r="O20" s="695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B21" s="48" t="s">
        <v>96</v>
      </c>
      <c r="C21" s="27"/>
      <c r="D21" s="268">
        <v>18608.9492636789</v>
      </c>
      <c r="E21" s="702"/>
      <c r="F21" s="268">
        <v>17339.969096618901</v>
      </c>
      <c r="G21" s="268">
        <v>1.3729627316999999</v>
      </c>
      <c r="H21" s="702"/>
      <c r="I21" s="268">
        <v>14752.325862294199</v>
      </c>
      <c r="J21" s="268">
        <v>2.5213853053999999</v>
      </c>
      <c r="K21" s="39"/>
      <c r="L21" s="268">
        <v>1072.5959164569001</v>
      </c>
      <c r="M21" s="268">
        <v>0.35907386489999998</v>
      </c>
      <c r="N21" s="702"/>
      <c r="O21" s="268">
        <v>2933.7895574650001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B22" s="48" t="s">
        <v>97</v>
      </c>
      <c r="C22" s="27"/>
      <c r="D22" s="268">
        <v>18549.529675664598</v>
      </c>
      <c r="E22" s="702"/>
      <c r="F22" s="268">
        <v>18100.697399446599</v>
      </c>
      <c r="G22" s="268">
        <v>2.2360925637000002</v>
      </c>
      <c r="H22" s="702"/>
      <c r="I22" s="268">
        <v>15776.2638668938</v>
      </c>
      <c r="J22" s="268">
        <v>4.1369097869999996</v>
      </c>
      <c r="K22" s="39"/>
      <c r="L22" s="268">
        <v>1183.3617367483</v>
      </c>
      <c r="M22" s="268">
        <v>0.63100710989999997</v>
      </c>
      <c r="N22" s="702"/>
      <c r="O22" s="268">
        <v>2932.2283094246</v>
      </c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B23" s="48" t="s">
        <v>98</v>
      </c>
      <c r="C23" s="27"/>
      <c r="D23" s="268">
        <v>11990.5874726901</v>
      </c>
      <c r="E23" s="702"/>
      <c r="F23" s="268">
        <v>11298.585161569799</v>
      </c>
      <c r="G23" s="268">
        <v>1.8874272942999999</v>
      </c>
      <c r="H23" s="702"/>
      <c r="I23" s="268">
        <v>8532.0087900595008</v>
      </c>
      <c r="J23" s="268">
        <v>3.9847084179999999</v>
      </c>
      <c r="K23" s="39"/>
      <c r="L23" s="268">
        <v>964</v>
      </c>
      <c r="M23" s="268">
        <v>0.71944867889999997</v>
      </c>
      <c r="N23" s="702"/>
      <c r="O23" s="268">
        <v>2254.2897218414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B24" s="48" t="s">
        <v>150</v>
      </c>
      <c r="C24" s="27"/>
      <c r="D24" s="268">
        <v>25453.133568950499</v>
      </c>
      <c r="E24" s="702"/>
      <c r="F24" s="268">
        <v>24869.661740463998</v>
      </c>
      <c r="G24" s="268">
        <v>0.82143949100000002</v>
      </c>
      <c r="H24" s="702"/>
      <c r="I24" s="268">
        <v>13602.403184005499</v>
      </c>
      <c r="J24" s="268">
        <v>2.1239370136</v>
      </c>
      <c r="K24" s="39"/>
      <c r="L24" s="754" t="s">
        <v>266</v>
      </c>
      <c r="M24" s="110" t="s">
        <v>266</v>
      </c>
      <c r="N24" s="702"/>
      <c r="O24" s="268">
        <v>3362.9180074135002</v>
      </c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B25" s="48" t="s">
        <v>151</v>
      </c>
      <c r="C25" s="27"/>
      <c r="D25" s="268">
        <v>12768.8574792912</v>
      </c>
      <c r="E25" s="702"/>
      <c r="F25" s="268">
        <v>12336.3702146494</v>
      </c>
      <c r="G25" s="268">
        <v>1.7080438619</v>
      </c>
      <c r="H25" s="702"/>
      <c r="I25" s="268">
        <v>9464.8845022337991</v>
      </c>
      <c r="J25" s="268">
        <v>4.0182608560000004</v>
      </c>
      <c r="K25" s="39"/>
      <c r="L25" s="755" t="s">
        <v>266</v>
      </c>
      <c r="M25" s="119" t="s">
        <v>266</v>
      </c>
      <c r="N25" s="702"/>
      <c r="O25" s="268">
        <v>1290.3254296052</v>
      </c>
      <c r="P25" s="1"/>
      <c r="Q25" s="1"/>
      <c r="R25" s="1"/>
      <c r="S25" s="1"/>
      <c r="T25" s="1"/>
      <c r="U25" s="1"/>
      <c r="V25" s="1"/>
      <c r="W25" s="1"/>
      <c r="X25" s="1"/>
    </row>
    <row r="26" spans="1:24" ht="6" customHeight="1">
      <c r="B26" s="48"/>
      <c r="C26" s="27"/>
      <c r="D26" s="695"/>
      <c r="E26" s="23"/>
      <c r="F26" s="695"/>
      <c r="G26" s="104"/>
      <c r="H26" s="23"/>
      <c r="I26" s="695"/>
      <c r="J26" s="104"/>
      <c r="K26" s="23"/>
      <c r="L26" s="695"/>
      <c r="M26" s="104"/>
      <c r="N26" s="23"/>
      <c r="O26" s="695"/>
      <c r="P26" s="1"/>
      <c r="Q26" s="1"/>
      <c r="R26" s="1"/>
      <c r="S26" s="1"/>
      <c r="T26" s="1"/>
      <c r="U26" s="1"/>
      <c r="V26" s="1"/>
      <c r="W26" s="1"/>
      <c r="X26" s="1"/>
    </row>
    <row r="27" spans="1:24" ht="15">
      <c r="B27" s="299" t="s">
        <v>44</v>
      </c>
      <c r="C27" s="27"/>
      <c r="D27" s="267">
        <v>30899.595089557301</v>
      </c>
      <c r="E27" s="700"/>
      <c r="F27" s="267">
        <v>30494.8566019932</v>
      </c>
      <c r="G27" s="267">
        <v>0.61045599409999995</v>
      </c>
      <c r="H27" s="700"/>
      <c r="I27" s="267">
        <v>21128.682033136902</v>
      </c>
      <c r="J27" s="267">
        <v>1.9891780943999999</v>
      </c>
      <c r="K27" s="42"/>
      <c r="L27" s="267">
        <v>3098.3990440813</v>
      </c>
      <c r="M27" s="267">
        <v>0.41380720539999999</v>
      </c>
      <c r="N27" s="700"/>
      <c r="O27" s="267">
        <v>4063.3647220358998</v>
      </c>
      <c r="P27" s="1"/>
      <c r="Q27" s="1"/>
      <c r="R27" s="1"/>
      <c r="S27" s="1"/>
      <c r="T27" s="1"/>
      <c r="U27" s="1"/>
      <c r="V27" s="1"/>
      <c r="W27" s="1"/>
      <c r="X27" s="1"/>
    </row>
    <row r="28" spans="1:24" ht="6" customHeight="1">
      <c r="B28" s="299"/>
      <c r="C28" s="27"/>
      <c r="D28" s="695"/>
      <c r="E28" s="23"/>
      <c r="F28" s="695"/>
      <c r="G28" s="104"/>
      <c r="H28" s="23"/>
      <c r="I28" s="695"/>
      <c r="J28" s="104"/>
      <c r="K28" s="23"/>
      <c r="L28" s="695"/>
      <c r="M28" s="104"/>
      <c r="N28" s="23"/>
      <c r="O28" s="695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B29" s="48" t="s">
        <v>96</v>
      </c>
      <c r="C29" s="27"/>
      <c r="D29" s="268">
        <v>13658.253035838001</v>
      </c>
      <c r="E29" s="702"/>
      <c r="F29" s="268">
        <v>13392.1935202719</v>
      </c>
      <c r="G29" s="268">
        <v>1.5769836562999999</v>
      </c>
      <c r="H29" s="702"/>
      <c r="I29" s="268">
        <v>12385.7314875803</v>
      </c>
      <c r="J29" s="268">
        <v>3.2436258898000001</v>
      </c>
      <c r="K29" s="39"/>
      <c r="L29" s="268">
        <v>2677.7540962531002</v>
      </c>
      <c r="M29" s="268">
        <v>1.4633576394000001</v>
      </c>
      <c r="N29" s="702"/>
      <c r="O29" s="268">
        <v>2454.0998349699998</v>
      </c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B30" s="48" t="s">
        <v>97</v>
      </c>
      <c r="C30" s="27"/>
      <c r="D30" s="268">
        <v>8263.5067894418007</v>
      </c>
      <c r="E30" s="702"/>
      <c r="F30" s="268">
        <v>8210.4222866924993</v>
      </c>
      <c r="G30" s="268">
        <v>1.1361181251000001</v>
      </c>
      <c r="H30" s="702"/>
      <c r="I30" s="268">
        <v>7274.7058001129999</v>
      </c>
      <c r="J30" s="268">
        <v>4.7913241581000001</v>
      </c>
      <c r="K30" s="39"/>
      <c r="L30" s="268">
        <v>2101.6838487270002</v>
      </c>
      <c r="M30" s="268">
        <v>2.4072874889000002</v>
      </c>
      <c r="N30" s="702"/>
      <c r="O30" s="268">
        <v>795.95540076060001</v>
      </c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B31" s="48" t="s">
        <v>98</v>
      </c>
      <c r="C31" s="27"/>
      <c r="D31" s="268">
        <v>8741.2432230789</v>
      </c>
      <c r="E31" s="702"/>
      <c r="F31" s="268">
        <v>8673.3693290644005</v>
      </c>
      <c r="G31" s="268">
        <v>1.8271134573000001</v>
      </c>
      <c r="H31" s="702"/>
      <c r="I31" s="268">
        <v>6701.2412230012997</v>
      </c>
      <c r="J31" s="268">
        <v>5.1283775166999996</v>
      </c>
      <c r="K31" s="39"/>
      <c r="L31" s="268">
        <v>1874.4049722512</v>
      </c>
      <c r="M31" s="268">
        <v>2.2233732571</v>
      </c>
      <c r="N31" s="702"/>
      <c r="O31" s="268">
        <v>847.77001598310005</v>
      </c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B32" s="48" t="s">
        <v>150</v>
      </c>
      <c r="C32" s="27"/>
      <c r="D32" s="268">
        <v>21980.247691367102</v>
      </c>
      <c r="E32" s="702"/>
      <c r="F32" s="268">
        <v>21942.334070548299</v>
      </c>
      <c r="G32" s="268">
        <v>0.83422364059999998</v>
      </c>
      <c r="H32" s="702"/>
      <c r="I32" s="268">
        <v>12405.275522727101</v>
      </c>
      <c r="J32" s="268">
        <v>2.4576650636999999</v>
      </c>
      <c r="K32" s="39"/>
      <c r="L32" s="754" t="s">
        <v>266</v>
      </c>
      <c r="M32" s="110" t="s">
        <v>266</v>
      </c>
      <c r="N32" s="702"/>
      <c r="O32" s="268">
        <v>2997.0814790497998</v>
      </c>
      <c r="P32" s="1"/>
      <c r="Q32" s="1"/>
      <c r="R32" s="1"/>
      <c r="S32" s="1"/>
      <c r="T32" s="1"/>
      <c r="U32" s="1"/>
      <c r="V32" s="1"/>
      <c r="W32" s="1"/>
      <c r="X32" s="1"/>
    </row>
    <row r="33" spans="2:24">
      <c r="B33" s="48" t="s">
        <v>151</v>
      </c>
      <c r="C33" s="27"/>
      <c r="D33" s="268">
        <v>9698.2948229742997</v>
      </c>
      <c r="E33" s="702"/>
      <c r="F33" s="268">
        <v>9457.5121908835008</v>
      </c>
      <c r="G33" s="268">
        <v>1.8377080041</v>
      </c>
      <c r="H33" s="702"/>
      <c r="I33" s="268">
        <v>7697.1665760911001</v>
      </c>
      <c r="J33" s="268">
        <v>5.1559131827</v>
      </c>
      <c r="K33" s="39"/>
      <c r="L33" s="755" t="s">
        <v>266</v>
      </c>
      <c r="M33" s="119" t="s">
        <v>266</v>
      </c>
      <c r="N33" s="702"/>
      <c r="O33" s="268">
        <v>1432.872290192</v>
      </c>
      <c r="P33" s="1"/>
      <c r="Q33" s="1"/>
      <c r="R33" s="1"/>
      <c r="S33" s="1"/>
      <c r="T33" s="1"/>
      <c r="U33" s="1"/>
      <c r="V33" s="1"/>
      <c r="W33" s="1"/>
      <c r="X33" s="1"/>
    </row>
    <row r="34" spans="2:24" ht="6" customHeight="1">
      <c r="B34" s="48"/>
      <c r="C34" s="27"/>
      <c r="D34" s="695"/>
      <c r="E34" s="23"/>
      <c r="F34" s="695"/>
      <c r="G34" s="104"/>
      <c r="H34" s="23"/>
      <c r="I34" s="695"/>
      <c r="J34" s="104"/>
      <c r="K34" s="23"/>
      <c r="L34" s="695"/>
      <c r="M34" s="104"/>
      <c r="N34" s="23"/>
      <c r="O34" s="695"/>
      <c r="P34" s="1"/>
      <c r="Q34" s="1"/>
      <c r="R34" s="1"/>
      <c r="S34" s="1"/>
      <c r="T34" s="1"/>
      <c r="U34" s="1"/>
      <c r="V34" s="1"/>
      <c r="W34" s="1"/>
      <c r="X34" s="1"/>
    </row>
    <row r="35" spans="2:24" ht="15">
      <c r="B35" s="303" t="s">
        <v>45</v>
      </c>
      <c r="C35" s="27"/>
      <c r="D35" s="267">
        <v>40908.370485752297</v>
      </c>
      <c r="E35" s="700"/>
      <c r="F35" s="267">
        <v>40264.141570928397</v>
      </c>
      <c r="G35" s="267">
        <v>0.66251408109999999</v>
      </c>
      <c r="H35" s="700"/>
      <c r="I35" s="267">
        <v>25330.976671662302</v>
      </c>
      <c r="J35" s="267">
        <v>2.0259229501</v>
      </c>
      <c r="K35" s="42"/>
      <c r="L35" s="267">
        <v>5850.4764051029997</v>
      </c>
      <c r="M35" s="267">
        <v>0.64102788899999996</v>
      </c>
      <c r="N35" s="702"/>
      <c r="O35" s="267">
        <v>3658.8328831291001</v>
      </c>
      <c r="P35" s="1"/>
      <c r="Q35" s="1"/>
      <c r="R35" s="1"/>
      <c r="S35" s="1"/>
      <c r="T35" s="1"/>
      <c r="U35" s="1"/>
      <c r="V35" s="1"/>
      <c r="W35" s="1"/>
      <c r="X35" s="1"/>
    </row>
    <row r="36" spans="2:24" ht="6" customHeight="1">
      <c r="B36" s="48"/>
      <c r="C36" s="27"/>
      <c r="D36" s="695"/>
      <c r="E36" s="23"/>
      <c r="F36" s="695"/>
      <c r="G36" s="104"/>
      <c r="H36" s="23"/>
      <c r="I36" s="695"/>
      <c r="J36" s="104"/>
      <c r="K36" s="23"/>
      <c r="L36" s="695"/>
      <c r="M36" s="104"/>
      <c r="N36" s="23"/>
      <c r="O36" s="695"/>
      <c r="P36" s="1"/>
      <c r="Q36" s="1"/>
      <c r="R36" s="1"/>
      <c r="S36" s="1"/>
      <c r="T36" s="1"/>
      <c r="U36" s="1"/>
      <c r="V36" s="1"/>
      <c r="W36" s="1"/>
      <c r="X36" s="1"/>
    </row>
    <row r="37" spans="2:24">
      <c r="B37" s="48" t="s">
        <v>96</v>
      </c>
      <c r="C37" s="27"/>
      <c r="D37" s="268">
        <v>15568.7348084108</v>
      </c>
      <c r="E37" s="702"/>
      <c r="F37" s="268">
        <v>15574.7841474411</v>
      </c>
      <c r="G37" s="268">
        <v>1.1274947348</v>
      </c>
      <c r="H37" s="702"/>
      <c r="I37" s="268">
        <v>12604.3385890793</v>
      </c>
      <c r="J37" s="268">
        <v>4.3426810454</v>
      </c>
      <c r="K37" s="39"/>
      <c r="L37" s="268">
        <v>4722.9753334100997</v>
      </c>
      <c r="M37" s="268">
        <v>2.5845965876000001</v>
      </c>
      <c r="N37" s="702"/>
      <c r="O37" s="268">
        <v>1048.3977298715999</v>
      </c>
      <c r="P37" s="1"/>
      <c r="Q37" s="1"/>
      <c r="R37" s="1"/>
      <c r="S37" s="1"/>
      <c r="T37" s="1"/>
      <c r="U37" s="1"/>
      <c r="V37" s="1"/>
      <c r="W37" s="1"/>
      <c r="X37" s="1"/>
    </row>
    <row r="38" spans="2:24">
      <c r="B38" s="48" t="s">
        <v>97</v>
      </c>
      <c r="C38" s="27"/>
      <c r="D38" s="268">
        <v>8357.8040386247994</v>
      </c>
      <c r="E38" s="702"/>
      <c r="F38" s="268">
        <v>7946.0042573679002</v>
      </c>
      <c r="G38" s="268">
        <v>4.1523509765000002</v>
      </c>
      <c r="H38" s="702"/>
      <c r="I38" s="268">
        <v>7027.6842530617996</v>
      </c>
      <c r="J38" s="268">
        <v>5.7686500138000003</v>
      </c>
      <c r="K38" s="39"/>
      <c r="L38" s="268">
        <v>3784.4337753486998</v>
      </c>
      <c r="M38" s="268">
        <v>5.0036798638000004</v>
      </c>
      <c r="N38" s="702"/>
      <c r="O38" s="268">
        <v>2151.0132496105002</v>
      </c>
      <c r="P38" s="1"/>
      <c r="Q38" s="1"/>
      <c r="R38" s="1"/>
      <c r="S38" s="1"/>
      <c r="T38" s="1"/>
      <c r="U38" s="1"/>
      <c r="V38" s="1"/>
      <c r="W38" s="1"/>
      <c r="X38" s="1"/>
    </row>
    <row r="39" spans="2:24">
      <c r="B39" s="48" t="s">
        <v>98</v>
      </c>
      <c r="C39" s="27"/>
      <c r="D39" s="268">
        <v>10473.705582816699</v>
      </c>
      <c r="E39" s="702"/>
      <c r="F39" s="268">
        <v>10313.3517930377</v>
      </c>
      <c r="G39" s="268">
        <v>2.1623076593000001</v>
      </c>
      <c r="H39" s="702"/>
      <c r="I39" s="268">
        <v>8737.9094546183005</v>
      </c>
      <c r="J39" s="268">
        <v>5.3321183505</v>
      </c>
      <c r="K39" s="39"/>
      <c r="L39" s="268">
        <v>828.46243125440003</v>
      </c>
      <c r="M39" s="268">
        <v>0.96401434880000003</v>
      </c>
      <c r="N39" s="702"/>
      <c r="O39" s="268">
        <v>983.8572050862</v>
      </c>
      <c r="P39" s="1"/>
      <c r="Q39" s="1"/>
      <c r="R39" s="1"/>
      <c r="S39" s="1"/>
      <c r="T39" s="1"/>
      <c r="U39" s="1"/>
      <c r="V39" s="1"/>
      <c r="W39" s="1"/>
      <c r="X39" s="1"/>
    </row>
    <row r="40" spans="2:24">
      <c r="B40" s="48" t="s">
        <v>150</v>
      </c>
      <c r="C40" s="27"/>
      <c r="D40" s="268">
        <v>32114.405336334999</v>
      </c>
      <c r="E40" s="702"/>
      <c r="F40" s="268">
        <v>31303.243748243502</v>
      </c>
      <c r="G40" s="268">
        <v>1.0045869166000001</v>
      </c>
      <c r="H40" s="702"/>
      <c r="I40" s="268">
        <v>18112.141572954999</v>
      </c>
      <c r="J40" s="268">
        <v>2.3641049143999999</v>
      </c>
      <c r="K40" s="39"/>
      <c r="L40" s="423" t="s">
        <v>266</v>
      </c>
      <c r="M40" s="423" t="s">
        <v>266</v>
      </c>
      <c r="N40" s="702"/>
      <c r="O40" s="268">
        <v>2569.5353016969002</v>
      </c>
      <c r="P40" s="1"/>
      <c r="Q40" s="1"/>
      <c r="R40" s="1"/>
      <c r="S40" s="1"/>
      <c r="T40" s="1"/>
      <c r="U40" s="1"/>
      <c r="V40" s="1"/>
      <c r="W40" s="1"/>
      <c r="X40" s="1"/>
    </row>
    <row r="41" spans="2:24">
      <c r="B41" s="48" t="s">
        <v>151</v>
      </c>
      <c r="C41" s="27"/>
      <c r="D41" s="268">
        <v>13553.8812017771</v>
      </c>
      <c r="E41" s="702"/>
      <c r="F41" s="268">
        <v>13461.364327671999</v>
      </c>
      <c r="G41" s="268">
        <v>1.5088584741</v>
      </c>
      <c r="H41" s="702"/>
      <c r="I41" s="268">
        <v>9690.6816614358995</v>
      </c>
      <c r="J41" s="268">
        <v>5.8786378997000002</v>
      </c>
      <c r="K41" s="39"/>
      <c r="L41" s="703" t="s">
        <v>266</v>
      </c>
      <c r="M41" s="703" t="s">
        <v>266</v>
      </c>
      <c r="N41" s="702"/>
      <c r="O41" s="268">
        <v>723.42103922959996</v>
      </c>
      <c r="P41" s="1"/>
      <c r="Q41" s="1"/>
      <c r="R41" s="1"/>
      <c r="S41" s="1"/>
      <c r="T41" s="1"/>
      <c r="U41" s="1"/>
      <c r="V41" s="1"/>
      <c r="W41" s="1"/>
      <c r="X41" s="1"/>
    </row>
    <row r="42" spans="2:24" ht="6" customHeight="1">
      <c r="B42" s="23"/>
      <c r="C42" s="23"/>
      <c r="D42" s="695"/>
      <c r="E42" s="23"/>
      <c r="F42" s="695"/>
      <c r="G42" s="104"/>
      <c r="H42" s="23"/>
      <c r="I42" s="695"/>
      <c r="J42" s="104"/>
      <c r="K42" s="23"/>
      <c r="L42" s="695"/>
      <c r="M42" s="104"/>
      <c r="N42" s="23"/>
      <c r="O42" s="695"/>
      <c r="P42" s="1"/>
      <c r="Q42" s="1"/>
      <c r="R42" s="1"/>
      <c r="S42" s="1"/>
      <c r="T42" s="1"/>
      <c r="U42" s="1"/>
      <c r="V42" s="1"/>
      <c r="W42" s="1"/>
      <c r="X42" s="1"/>
    </row>
    <row r="43" spans="2:24" ht="15">
      <c r="B43" s="303" t="s">
        <v>110</v>
      </c>
      <c r="C43" s="27"/>
      <c r="D43" s="267">
        <v>53542.531045704498</v>
      </c>
      <c r="E43" s="700"/>
      <c r="F43" s="267">
        <v>51656.976127716298</v>
      </c>
      <c r="G43" s="267">
        <v>0.48421702649999998</v>
      </c>
      <c r="H43" s="700"/>
      <c r="I43" s="267">
        <v>37146.355653360799</v>
      </c>
      <c r="J43" s="267">
        <v>1.1138376856000001</v>
      </c>
      <c r="K43" s="42"/>
      <c r="L43" s="267">
        <v>7976.7446405360997</v>
      </c>
      <c r="M43" s="267">
        <v>0.31979045230000003</v>
      </c>
      <c r="N43" s="702"/>
      <c r="O43" s="267">
        <v>10585.9024349264</v>
      </c>
      <c r="P43" s="1"/>
      <c r="Q43" s="1"/>
      <c r="R43" s="1"/>
      <c r="S43" s="1"/>
      <c r="T43" s="1"/>
      <c r="U43" s="1"/>
      <c r="V43" s="1"/>
      <c r="W43" s="1"/>
      <c r="X43" s="1"/>
    </row>
    <row r="44" spans="2:24" ht="6" customHeight="1">
      <c r="B44" s="48"/>
      <c r="C44" s="27"/>
      <c r="D44" s="695"/>
      <c r="E44" s="23"/>
      <c r="F44" s="695"/>
      <c r="G44" s="104"/>
      <c r="H44" s="23"/>
      <c r="I44" s="695"/>
      <c r="J44" s="104"/>
      <c r="K44" s="23"/>
      <c r="L44" s="695"/>
      <c r="M44" s="104"/>
      <c r="N44" s="23"/>
      <c r="O44" s="695"/>
      <c r="P44" s="1"/>
      <c r="Q44" s="1"/>
      <c r="R44" s="1"/>
      <c r="S44" s="1"/>
      <c r="T44" s="1"/>
      <c r="U44" s="1"/>
      <c r="V44" s="1"/>
      <c r="W44" s="1"/>
      <c r="X44" s="1"/>
    </row>
    <row r="45" spans="2:24" ht="12" customHeight="1">
      <c r="B45" s="48" t="s">
        <v>96</v>
      </c>
      <c r="C45" s="27"/>
      <c r="D45" s="268">
        <v>20082.029500349901</v>
      </c>
      <c r="E45" s="702"/>
      <c r="F45" s="268">
        <v>19506.2602180631</v>
      </c>
      <c r="G45" s="268">
        <v>1.2895841045000001</v>
      </c>
      <c r="H45" s="702"/>
      <c r="I45" s="268">
        <v>15351.6915646036</v>
      </c>
      <c r="J45" s="268">
        <v>2.6079777323000002</v>
      </c>
      <c r="K45" s="39"/>
      <c r="L45" s="268">
        <v>5167.2378434456004</v>
      </c>
      <c r="M45" s="268">
        <v>1.3177363839</v>
      </c>
      <c r="N45" s="702"/>
      <c r="O45" s="268">
        <v>3832.1938463186998</v>
      </c>
      <c r="P45" s="1"/>
      <c r="Q45" s="1"/>
      <c r="R45" s="1"/>
      <c r="S45" s="1"/>
      <c r="T45" s="1"/>
      <c r="U45" s="1"/>
      <c r="V45" s="1"/>
      <c r="W45" s="1"/>
      <c r="X45" s="1"/>
    </row>
    <row r="46" spans="2:24">
      <c r="B46" s="48" t="s">
        <v>97</v>
      </c>
      <c r="C46" s="27"/>
      <c r="D46" s="268">
        <v>14705.697295656501</v>
      </c>
      <c r="E46" s="702"/>
      <c r="F46" s="268">
        <v>14282.6964384614</v>
      </c>
      <c r="G46" s="268">
        <v>1.8244753366999999</v>
      </c>
      <c r="H46" s="702"/>
      <c r="I46" s="268">
        <v>12085.0563678418</v>
      </c>
      <c r="J46" s="268">
        <v>3.7641186248</v>
      </c>
      <c r="K46" s="39"/>
      <c r="L46" s="268">
        <v>3019.5353976305</v>
      </c>
      <c r="M46" s="268">
        <v>1.5900973747</v>
      </c>
      <c r="N46" s="702"/>
      <c r="O46" s="268">
        <v>3156.3893472321001</v>
      </c>
      <c r="P46" s="1"/>
      <c r="Q46" s="1"/>
      <c r="R46" s="1"/>
      <c r="S46" s="1"/>
      <c r="T46" s="1"/>
      <c r="U46" s="1"/>
      <c r="V46" s="1"/>
      <c r="W46" s="1"/>
      <c r="X46" s="1"/>
    </row>
    <row r="47" spans="2:24">
      <c r="B47" s="48" t="s">
        <v>98</v>
      </c>
      <c r="C47" s="27"/>
      <c r="D47" s="268">
        <v>12632.031189305901</v>
      </c>
      <c r="E47" s="702"/>
      <c r="F47" s="268">
        <v>11990.144074652801</v>
      </c>
      <c r="G47" s="268">
        <v>2.2677344330000002</v>
      </c>
      <c r="H47" s="702"/>
      <c r="I47" s="268">
        <v>10794.378895023499</v>
      </c>
      <c r="J47" s="268">
        <v>3.4097738639999999</v>
      </c>
      <c r="K47" s="39"/>
      <c r="L47" s="268">
        <v>5542.1533721108999</v>
      </c>
      <c r="M47" s="268">
        <v>3.2100689955999999</v>
      </c>
      <c r="N47" s="702"/>
      <c r="O47" s="268">
        <v>2912.0911358993999</v>
      </c>
      <c r="P47" s="1"/>
      <c r="Q47" s="1"/>
      <c r="R47" s="1"/>
      <c r="S47" s="1"/>
      <c r="T47" s="1"/>
      <c r="U47" s="1"/>
      <c r="V47" s="1"/>
      <c r="W47" s="1"/>
      <c r="X47" s="1"/>
    </row>
    <row r="48" spans="2:24">
      <c r="B48" s="48" t="s">
        <v>150</v>
      </c>
      <c r="C48" s="27"/>
      <c r="D48" s="268">
        <v>45399.3644317379</v>
      </c>
      <c r="E48" s="702"/>
      <c r="F48" s="268">
        <v>43497.4273520528</v>
      </c>
      <c r="G48" s="268">
        <v>0.62848413039999995</v>
      </c>
      <c r="H48" s="702"/>
      <c r="I48" s="268">
        <v>27139.9917116875</v>
      </c>
      <c r="J48" s="268">
        <v>1.3600106627999999</v>
      </c>
      <c r="K48" s="39"/>
      <c r="L48" s="754" t="s">
        <v>266</v>
      </c>
      <c r="M48" s="110" t="s">
        <v>266</v>
      </c>
      <c r="N48" s="702"/>
      <c r="O48" s="268">
        <v>8883.0985153656002</v>
      </c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B49" s="48" t="s">
        <v>151</v>
      </c>
      <c r="C49" s="27"/>
      <c r="D49" s="268">
        <v>21118.9367298994</v>
      </c>
      <c r="E49" s="702"/>
      <c r="F49" s="268">
        <v>20825.170320114401</v>
      </c>
      <c r="G49" s="268">
        <v>1.0108580822</v>
      </c>
      <c r="H49" s="702"/>
      <c r="I49" s="268">
        <v>16630.357800898699</v>
      </c>
      <c r="J49" s="268">
        <v>2.9274471711999999</v>
      </c>
      <c r="K49" s="39"/>
      <c r="L49" s="755" t="s">
        <v>266</v>
      </c>
      <c r="M49" s="119" t="s">
        <v>266</v>
      </c>
      <c r="N49" s="702"/>
      <c r="O49" s="268">
        <v>3426.0246650316999</v>
      </c>
      <c r="P49" s="1"/>
      <c r="Q49" s="1"/>
      <c r="R49" s="1"/>
      <c r="S49" s="1"/>
      <c r="T49" s="1"/>
      <c r="U49" s="1"/>
      <c r="V49" s="1"/>
      <c r="W49" s="1"/>
      <c r="X49" s="1"/>
    </row>
    <row r="50" spans="1:24" ht="6" customHeight="1">
      <c r="B50" s="20"/>
      <c r="C50" s="33"/>
      <c r="D50" s="704"/>
      <c r="E50" s="32"/>
      <c r="F50" s="705"/>
      <c r="G50" s="105"/>
      <c r="H50" s="32"/>
      <c r="I50" s="705"/>
      <c r="J50" s="105"/>
      <c r="K50" s="32"/>
      <c r="L50" s="705"/>
      <c r="M50" s="105"/>
      <c r="N50" s="32"/>
      <c r="O50" s="706"/>
      <c r="P50" s="1"/>
      <c r="Q50" s="1"/>
      <c r="R50" s="1"/>
      <c r="S50" s="1"/>
      <c r="T50" s="1"/>
      <c r="U50" s="1"/>
      <c r="V50" s="1"/>
      <c r="W50" s="1"/>
      <c r="X50" s="1"/>
    </row>
    <row r="51" spans="1:24" ht="6" customHeight="1">
      <c r="B51" s="47"/>
      <c r="C51" s="5"/>
      <c r="D51" s="707"/>
      <c r="E51" s="27"/>
      <c r="F51" s="695"/>
      <c r="G51" s="104"/>
      <c r="H51" s="23"/>
      <c r="I51" s="695"/>
      <c r="J51" s="104"/>
      <c r="K51" s="23"/>
      <c r="L51" s="695"/>
      <c r="M51" s="104"/>
      <c r="N51" s="2"/>
      <c r="O51" s="696"/>
      <c r="P51" s="1"/>
      <c r="Q51" s="1"/>
      <c r="R51" s="1"/>
      <c r="S51" s="1"/>
      <c r="T51" s="1"/>
      <c r="U51" s="1"/>
      <c r="V51" s="1"/>
      <c r="W51" s="1"/>
      <c r="X51" s="1"/>
    </row>
    <row r="52" spans="1:24" s="80" customFormat="1" ht="11.25">
      <c r="A52" s="54"/>
      <c r="B52" s="47" t="s">
        <v>152</v>
      </c>
      <c r="C52" s="5"/>
      <c r="D52" s="707"/>
      <c r="E52" s="27"/>
      <c r="F52" s="708"/>
      <c r="G52" s="94"/>
      <c r="H52" s="27"/>
      <c r="I52" s="708"/>
      <c r="J52" s="94"/>
      <c r="K52" s="27"/>
      <c r="L52" s="708"/>
      <c r="M52" s="94"/>
      <c r="N52" s="39"/>
      <c r="O52" s="701"/>
      <c r="P52" s="39"/>
      <c r="Q52" s="39"/>
      <c r="R52" s="39"/>
      <c r="S52" s="39"/>
      <c r="T52" s="39"/>
      <c r="U52" s="39"/>
      <c r="V52" s="39"/>
      <c r="W52" s="39"/>
      <c r="X52" s="39"/>
    </row>
    <row r="53" spans="1:24" s="80" customFormat="1" ht="11.25">
      <c r="A53" s="54"/>
      <c r="B53" s="47" t="s">
        <v>153</v>
      </c>
      <c r="C53" s="5"/>
      <c r="D53" s="707"/>
      <c r="E53" s="27"/>
      <c r="F53" s="708"/>
      <c r="G53" s="94"/>
      <c r="H53" s="27"/>
      <c r="I53" s="708"/>
      <c r="J53" s="94"/>
      <c r="K53" s="27"/>
      <c r="L53" s="708"/>
      <c r="M53" s="94"/>
      <c r="N53" s="39"/>
      <c r="O53" s="701"/>
      <c r="P53" s="39"/>
      <c r="Q53" s="39"/>
      <c r="R53" s="39"/>
      <c r="S53" s="39"/>
      <c r="T53" s="39"/>
      <c r="U53" s="39"/>
      <c r="V53" s="39"/>
      <c r="W53" s="39"/>
      <c r="X53" s="39"/>
    </row>
    <row r="54" spans="1:24" s="80" customFormat="1" ht="11.25">
      <c r="A54" s="54"/>
      <c r="B54" s="47" t="s">
        <v>154</v>
      </c>
      <c r="C54" s="5"/>
      <c r="D54" s="707"/>
      <c r="E54" s="27"/>
      <c r="F54" s="708"/>
      <c r="G54" s="94"/>
      <c r="H54" s="27"/>
      <c r="I54" s="708"/>
      <c r="J54" s="94"/>
      <c r="K54" s="27"/>
      <c r="L54" s="708"/>
      <c r="M54" s="94"/>
      <c r="N54" s="39"/>
      <c r="O54" s="701"/>
      <c r="P54" s="39"/>
      <c r="Q54" s="39"/>
      <c r="R54" s="39"/>
      <c r="S54" s="39"/>
      <c r="T54" s="39"/>
      <c r="U54" s="39"/>
      <c r="V54" s="39"/>
      <c r="W54" s="39"/>
      <c r="X54" s="39"/>
    </row>
    <row r="55" spans="1:24" s="80" customFormat="1" ht="11.25">
      <c r="A55" s="54"/>
      <c r="B55" s="47" t="s">
        <v>155</v>
      </c>
      <c r="C55" s="5"/>
      <c r="D55" s="707"/>
      <c r="E55" s="27"/>
      <c r="F55" s="708"/>
      <c r="G55" s="94"/>
      <c r="H55" s="27"/>
      <c r="I55" s="708"/>
      <c r="J55" s="94"/>
      <c r="K55" s="27"/>
      <c r="L55" s="708"/>
      <c r="M55" s="94"/>
      <c r="N55" s="39"/>
      <c r="O55" s="701"/>
      <c r="P55" s="39"/>
      <c r="Q55" s="39"/>
      <c r="R55" s="39"/>
      <c r="S55" s="39"/>
      <c r="T55" s="39"/>
      <c r="U55" s="39"/>
      <c r="V55" s="39"/>
      <c r="W55" s="39"/>
      <c r="X55" s="39"/>
    </row>
    <row r="56" spans="1:24" s="59" customFormat="1">
      <c r="B56" s="132" t="s">
        <v>213</v>
      </c>
      <c r="C56" s="131"/>
      <c r="D56" s="133"/>
      <c r="E56" s="131"/>
      <c r="F56" s="133"/>
      <c r="G56" s="134"/>
      <c r="H56" s="131"/>
      <c r="I56" s="133"/>
      <c r="J56" s="134"/>
      <c r="K56" s="131"/>
      <c r="L56" s="133"/>
      <c r="M56" s="134"/>
      <c r="N56" s="131"/>
      <c r="O56" s="133"/>
    </row>
    <row r="57" spans="1:24">
      <c r="B57" s="2"/>
      <c r="C57" s="2"/>
      <c r="D57" s="696"/>
      <c r="E57" s="2"/>
      <c r="F57" s="696"/>
      <c r="G57" s="113"/>
      <c r="H57" s="2"/>
      <c r="I57" s="696"/>
      <c r="J57" s="113"/>
      <c r="K57" s="2"/>
      <c r="L57" s="696"/>
      <c r="M57" s="113"/>
      <c r="N57" s="2"/>
      <c r="O57" s="696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B58" s="2"/>
      <c r="C58" s="2"/>
      <c r="D58" s="696"/>
      <c r="E58" s="2"/>
      <c r="F58" s="696"/>
      <c r="G58" s="113"/>
      <c r="H58" s="2"/>
      <c r="I58" s="696"/>
      <c r="J58" s="113"/>
      <c r="K58" s="2"/>
      <c r="L58" s="696"/>
      <c r="M58" s="113"/>
      <c r="N58" s="2"/>
      <c r="O58" s="696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B59" s="2"/>
      <c r="C59" s="2"/>
      <c r="D59" s="696"/>
      <c r="E59" s="2"/>
      <c r="F59" s="696"/>
      <c r="G59" s="113"/>
      <c r="H59" s="2"/>
      <c r="I59" s="696"/>
      <c r="J59" s="113"/>
      <c r="K59" s="2"/>
      <c r="L59" s="696"/>
      <c r="M59" s="113"/>
      <c r="N59" s="2"/>
      <c r="O59" s="696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B60" s="2"/>
      <c r="C60" s="2"/>
      <c r="D60" s="696"/>
      <c r="E60" s="2"/>
      <c r="F60" s="696"/>
      <c r="G60" s="113"/>
      <c r="H60" s="2"/>
      <c r="I60" s="696"/>
      <c r="J60" s="113"/>
      <c r="K60" s="2"/>
      <c r="L60" s="696"/>
      <c r="M60" s="113"/>
      <c r="N60" s="2"/>
      <c r="O60" s="696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B61" s="2"/>
      <c r="C61" s="2"/>
      <c r="D61" s="696"/>
      <c r="E61" s="2"/>
      <c r="F61" s="696"/>
      <c r="G61" s="113"/>
      <c r="H61" s="2"/>
      <c r="I61" s="696"/>
      <c r="J61" s="113"/>
      <c r="K61" s="2"/>
      <c r="L61" s="696"/>
      <c r="M61" s="113"/>
      <c r="N61" s="2"/>
      <c r="O61" s="696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B62" s="2"/>
      <c r="C62" s="2"/>
      <c r="D62" s="696"/>
      <c r="E62" s="2"/>
      <c r="F62" s="696"/>
      <c r="G62" s="113"/>
      <c r="H62" s="2"/>
      <c r="I62" s="696"/>
      <c r="J62" s="113"/>
      <c r="K62" s="2"/>
      <c r="L62" s="696"/>
      <c r="M62" s="113"/>
      <c r="N62" s="2"/>
      <c r="O62" s="696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B63" s="2"/>
      <c r="C63" s="2"/>
      <c r="D63" s="696"/>
      <c r="E63" s="2"/>
      <c r="F63" s="696"/>
      <c r="G63" s="113"/>
      <c r="H63" s="2"/>
      <c r="I63" s="696"/>
      <c r="J63" s="113"/>
      <c r="K63" s="2"/>
      <c r="L63" s="696"/>
      <c r="M63" s="113"/>
      <c r="N63" s="2"/>
      <c r="O63" s="696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B64" s="2"/>
      <c r="C64" s="2"/>
      <c r="D64" s="696"/>
      <c r="E64" s="2"/>
      <c r="F64" s="696"/>
      <c r="G64" s="113"/>
      <c r="H64" s="2"/>
      <c r="I64" s="696"/>
      <c r="J64" s="113"/>
      <c r="K64" s="2"/>
      <c r="L64" s="696"/>
      <c r="M64" s="113"/>
      <c r="N64" s="2"/>
      <c r="O64" s="696"/>
      <c r="P64" s="1"/>
      <c r="Q64" s="1"/>
      <c r="R64" s="1"/>
      <c r="S64" s="1"/>
      <c r="T64" s="1"/>
      <c r="U64" s="1"/>
      <c r="V64" s="1"/>
      <c r="W64" s="1"/>
      <c r="X64" s="1"/>
    </row>
    <row r="65" spans="2:24">
      <c r="B65" s="2"/>
      <c r="C65" s="2"/>
      <c r="D65" s="696"/>
      <c r="E65" s="2"/>
      <c r="F65" s="696"/>
      <c r="G65" s="113"/>
      <c r="H65" s="2"/>
      <c r="I65" s="696"/>
      <c r="J65" s="113"/>
      <c r="K65" s="2"/>
      <c r="L65" s="696"/>
      <c r="M65" s="113"/>
      <c r="N65" s="2"/>
      <c r="O65" s="696"/>
      <c r="P65" s="1"/>
      <c r="Q65" s="1"/>
      <c r="R65" s="1"/>
      <c r="S65" s="1"/>
      <c r="T65" s="1"/>
      <c r="U65" s="1"/>
      <c r="V65" s="1"/>
      <c r="W65" s="1"/>
      <c r="X65" s="1"/>
    </row>
    <row r="66" spans="2:24">
      <c r="B66" s="2"/>
      <c r="C66" s="2"/>
      <c r="D66" s="696"/>
      <c r="E66" s="2"/>
      <c r="F66" s="696"/>
      <c r="G66" s="113"/>
      <c r="H66" s="2"/>
      <c r="I66" s="696"/>
      <c r="J66" s="113"/>
      <c r="K66" s="2"/>
      <c r="L66" s="696"/>
      <c r="M66" s="113"/>
      <c r="N66" s="2"/>
      <c r="O66" s="696"/>
      <c r="P66" s="1"/>
      <c r="Q66" s="1"/>
      <c r="R66" s="1"/>
      <c r="S66" s="1"/>
      <c r="T66" s="1"/>
      <c r="U66" s="1"/>
      <c r="V66" s="1"/>
      <c r="W66" s="1"/>
      <c r="X66" s="1"/>
    </row>
    <row r="67" spans="2:24">
      <c r="B67" s="2"/>
      <c r="C67" s="2"/>
      <c r="D67" s="696"/>
      <c r="E67" s="2"/>
      <c r="F67" s="696"/>
      <c r="G67" s="113"/>
      <c r="H67" s="2"/>
      <c r="I67" s="696"/>
      <c r="J67" s="113"/>
      <c r="K67" s="2"/>
      <c r="L67" s="696"/>
      <c r="M67" s="113"/>
      <c r="N67" s="2"/>
      <c r="O67" s="696"/>
      <c r="P67" s="1"/>
      <c r="Q67" s="1"/>
      <c r="R67" s="1"/>
      <c r="S67" s="1"/>
      <c r="T67" s="1"/>
      <c r="U67" s="1"/>
      <c r="V67" s="1"/>
      <c r="W67" s="1"/>
      <c r="X67" s="1"/>
    </row>
    <row r="68" spans="2:24">
      <c r="B68" s="2"/>
      <c r="C68" s="2"/>
      <c r="D68" s="696"/>
      <c r="E68" s="2"/>
      <c r="F68" s="696"/>
      <c r="G68" s="113"/>
      <c r="H68" s="2"/>
      <c r="I68" s="696"/>
      <c r="J68" s="113"/>
      <c r="K68" s="2"/>
      <c r="L68" s="696"/>
      <c r="M68" s="113"/>
      <c r="N68" s="2"/>
      <c r="O68" s="696"/>
      <c r="P68" s="1"/>
      <c r="Q68" s="1"/>
      <c r="R68" s="1"/>
      <c r="S68" s="1"/>
      <c r="T68" s="1"/>
      <c r="U68" s="1"/>
      <c r="V68" s="1"/>
      <c r="W68" s="1"/>
      <c r="X68" s="1"/>
    </row>
    <row r="69" spans="2:24">
      <c r="B69" s="2"/>
      <c r="C69" s="2"/>
      <c r="D69" s="696"/>
      <c r="E69" s="2"/>
      <c r="F69" s="696"/>
      <c r="G69" s="113"/>
      <c r="H69" s="2"/>
      <c r="I69" s="696"/>
      <c r="J69" s="113"/>
      <c r="K69" s="2"/>
      <c r="L69" s="696"/>
      <c r="M69" s="113"/>
      <c r="N69" s="2"/>
      <c r="O69" s="696"/>
      <c r="P69" s="1"/>
      <c r="Q69" s="1"/>
      <c r="R69" s="1"/>
      <c r="S69" s="1"/>
      <c r="T69" s="1"/>
      <c r="U69" s="1"/>
      <c r="V69" s="1"/>
      <c r="W69" s="1"/>
      <c r="X69" s="1"/>
    </row>
    <row r="70" spans="2:24">
      <c r="B70" s="2"/>
      <c r="C70" s="2"/>
      <c r="D70" s="696"/>
      <c r="E70" s="2"/>
      <c r="F70" s="696"/>
      <c r="G70" s="113"/>
      <c r="H70" s="2"/>
      <c r="I70" s="696"/>
      <c r="J70" s="113"/>
      <c r="K70" s="2"/>
      <c r="L70" s="696"/>
      <c r="M70" s="113"/>
      <c r="N70" s="2"/>
      <c r="O70" s="696"/>
      <c r="P70" s="1"/>
      <c r="Q70" s="1"/>
      <c r="R70" s="1"/>
      <c r="S70" s="1"/>
      <c r="T70" s="1"/>
      <c r="U70" s="1"/>
      <c r="V70" s="1"/>
      <c r="W70" s="1"/>
      <c r="X70" s="1"/>
    </row>
    <row r="71" spans="2:24">
      <c r="B71" s="2"/>
      <c r="C71" s="2"/>
      <c r="D71" s="696"/>
      <c r="E71" s="2"/>
      <c r="F71" s="696"/>
      <c r="G71" s="113"/>
      <c r="H71" s="2"/>
      <c r="I71" s="696"/>
      <c r="J71" s="113"/>
      <c r="K71" s="2"/>
      <c r="L71" s="696"/>
      <c r="M71" s="113"/>
      <c r="N71" s="2"/>
      <c r="O71" s="696"/>
      <c r="P71" s="1"/>
      <c r="Q71" s="1"/>
      <c r="R71" s="1"/>
      <c r="S71" s="1"/>
      <c r="T71" s="1"/>
      <c r="U71" s="1"/>
      <c r="V71" s="1"/>
      <c r="W71" s="1"/>
      <c r="X71" s="1"/>
    </row>
    <row r="72" spans="2:24">
      <c r="B72" s="2"/>
      <c r="C72" s="2"/>
      <c r="D72" s="696"/>
      <c r="E72" s="2"/>
      <c r="F72" s="696"/>
      <c r="G72" s="113"/>
      <c r="H72" s="2"/>
      <c r="I72" s="696"/>
      <c r="J72" s="113"/>
      <c r="K72" s="2"/>
      <c r="L72" s="696"/>
      <c r="M72" s="113"/>
      <c r="N72" s="2"/>
      <c r="O72" s="696"/>
      <c r="P72" s="1"/>
      <c r="Q72" s="1"/>
      <c r="R72" s="1"/>
      <c r="S72" s="1"/>
      <c r="T72" s="1"/>
      <c r="U72" s="1"/>
      <c r="V72" s="1"/>
      <c r="W72" s="1"/>
      <c r="X72" s="1"/>
    </row>
    <row r="73" spans="2:24">
      <c r="B73" s="2"/>
      <c r="C73" s="2"/>
      <c r="D73" s="696"/>
      <c r="E73" s="2"/>
      <c r="F73" s="696"/>
      <c r="G73" s="113"/>
      <c r="H73" s="2"/>
      <c r="I73" s="696"/>
      <c r="J73" s="113"/>
      <c r="K73" s="2"/>
      <c r="L73" s="696"/>
      <c r="M73" s="113"/>
      <c r="N73" s="2"/>
      <c r="O73" s="696"/>
      <c r="P73" s="1"/>
      <c r="Q73" s="1"/>
      <c r="R73" s="1"/>
      <c r="S73" s="1"/>
      <c r="T73" s="1"/>
      <c r="U73" s="1"/>
      <c r="V73" s="1"/>
      <c r="W73" s="1"/>
      <c r="X73" s="1"/>
    </row>
    <row r="74" spans="2:24">
      <c r="B74" s="2"/>
      <c r="C74" s="2"/>
      <c r="D74" s="696"/>
      <c r="E74" s="2"/>
      <c r="F74" s="696"/>
      <c r="G74" s="113"/>
      <c r="H74" s="2"/>
      <c r="I74" s="696"/>
      <c r="J74" s="113"/>
      <c r="K74" s="2"/>
      <c r="L74" s="696"/>
      <c r="M74" s="113"/>
      <c r="N74" s="2"/>
      <c r="O74" s="696"/>
      <c r="P74" s="1"/>
      <c r="Q74" s="1"/>
      <c r="R74" s="1"/>
      <c r="S74" s="1"/>
      <c r="T74" s="1"/>
      <c r="U74" s="1"/>
      <c r="V74" s="1"/>
      <c r="W74" s="1"/>
      <c r="X74" s="1"/>
    </row>
    <row r="75" spans="2:24">
      <c r="B75" s="2"/>
      <c r="C75" s="2"/>
      <c r="D75" s="696"/>
      <c r="E75" s="2"/>
      <c r="F75" s="696"/>
      <c r="G75" s="113"/>
      <c r="H75" s="2"/>
      <c r="I75" s="696"/>
      <c r="J75" s="113"/>
      <c r="K75" s="2"/>
      <c r="L75" s="696"/>
      <c r="M75" s="113"/>
      <c r="N75" s="2"/>
      <c r="O75" s="696"/>
      <c r="P75" s="1"/>
      <c r="Q75" s="1"/>
      <c r="R75" s="1"/>
      <c r="S75" s="1"/>
      <c r="T75" s="1"/>
      <c r="U75" s="1"/>
      <c r="V75" s="1"/>
      <c r="W75" s="1"/>
      <c r="X75" s="1"/>
    </row>
    <row r="76" spans="2:24">
      <c r="B76" s="2"/>
      <c r="C76" s="2"/>
      <c r="D76" s="696"/>
      <c r="E76" s="2"/>
      <c r="F76" s="696"/>
      <c r="G76" s="113"/>
      <c r="H76" s="2"/>
      <c r="I76" s="696"/>
      <c r="J76" s="113"/>
      <c r="K76" s="2"/>
      <c r="L76" s="696"/>
      <c r="M76" s="113"/>
      <c r="N76" s="2"/>
      <c r="O76" s="696"/>
      <c r="P76" s="1"/>
      <c r="Q76" s="1"/>
      <c r="R76" s="1"/>
      <c r="S76" s="1"/>
      <c r="T76" s="1"/>
      <c r="U76" s="1"/>
      <c r="V76" s="1"/>
      <c r="W76" s="1"/>
      <c r="X76" s="1"/>
    </row>
    <row r="77" spans="2:24">
      <c r="B77" s="2"/>
      <c r="C77" s="2"/>
      <c r="D77" s="696"/>
      <c r="E77" s="2"/>
      <c r="F77" s="696"/>
      <c r="G77" s="113"/>
      <c r="H77" s="2"/>
      <c r="I77" s="696"/>
      <c r="J77" s="113"/>
      <c r="K77" s="2"/>
      <c r="L77" s="696"/>
      <c r="M77" s="113"/>
      <c r="N77" s="2"/>
      <c r="O77" s="696"/>
      <c r="P77" s="1"/>
      <c r="Q77" s="1"/>
      <c r="R77" s="1"/>
      <c r="S77" s="1"/>
      <c r="T77" s="1"/>
      <c r="U77" s="1"/>
      <c r="V77" s="1"/>
      <c r="W77" s="1"/>
      <c r="X77" s="1"/>
    </row>
    <row r="78" spans="2:24">
      <c r="B78" s="2"/>
      <c r="C78" s="2"/>
      <c r="D78" s="696"/>
      <c r="E78" s="2"/>
      <c r="F78" s="696"/>
      <c r="G78" s="113"/>
      <c r="H78" s="2"/>
      <c r="I78" s="696"/>
      <c r="J78" s="113"/>
      <c r="K78" s="2"/>
      <c r="L78" s="696"/>
      <c r="M78" s="113"/>
      <c r="N78" s="2"/>
      <c r="O78" s="696"/>
      <c r="P78" s="1"/>
      <c r="Q78" s="1"/>
      <c r="R78" s="1"/>
      <c r="S78" s="1"/>
      <c r="T78" s="1"/>
      <c r="U78" s="1"/>
      <c r="V78" s="1"/>
      <c r="W78" s="1"/>
      <c r="X78" s="1"/>
    </row>
    <row r="79" spans="2:24">
      <c r="B79" s="2"/>
      <c r="C79" s="2"/>
      <c r="D79" s="696"/>
      <c r="E79" s="2"/>
      <c r="F79" s="696"/>
      <c r="G79" s="113"/>
      <c r="H79" s="2"/>
      <c r="I79" s="696"/>
      <c r="J79" s="113"/>
      <c r="K79" s="2"/>
      <c r="L79" s="696"/>
      <c r="M79" s="113"/>
      <c r="N79" s="2"/>
      <c r="O79" s="696"/>
      <c r="P79" s="1"/>
      <c r="Q79" s="1"/>
      <c r="R79" s="1"/>
      <c r="S79" s="1"/>
      <c r="T79" s="1"/>
      <c r="U79" s="1"/>
      <c r="V79" s="1"/>
      <c r="W79" s="1"/>
      <c r="X79" s="1"/>
    </row>
    <row r="80" spans="2:24">
      <c r="B80" s="2"/>
      <c r="C80" s="2"/>
      <c r="D80" s="696"/>
      <c r="E80" s="2"/>
      <c r="F80" s="696"/>
      <c r="G80" s="113"/>
      <c r="H80" s="2"/>
      <c r="I80" s="696"/>
      <c r="J80" s="113"/>
      <c r="K80" s="2"/>
      <c r="L80" s="696"/>
      <c r="M80" s="113"/>
      <c r="N80" s="2"/>
      <c r="O80" s="696"/>
      <c r="P80" s="1"/>
      <c r="Q80" s="1"/>
      <c r="R80" s="1"/>
      <c r="S80" s="1"/>
      <c r="T80" s="1"/>
      <c r="U80" s="1"/>
      <c r="V80" s="1"/>
      <c r="W80" s="1"/>
      <c r="X80" s="1"/>
    </row>
    <row r="81" spans="2:24">
      <c r="B81" s="2"/>
      <c r="C81" s="2"/>
      <c r="D81" s="696"/>
      <c r="E81" s="2"/>
      <c r="F81" s="696"/>
      <c r="G81" s="113"/>
      <c r="H81" s="2"/>
      <c r="I81" s="696"/>
      <c r="J81" s="113"/>
      <c r="K81" s="2"/>
      <c r="L81" s="696"/>
      <c r="M81" s="113"/>
      <c r="N81" s="2"/>
      <c r="O81" s="696"/>
      <c r="P81" s="1"/>
      <c r="Q81" s="1"/>
      <c r="R81" s="1"/>
      <c r="S81" s="1"/>
      <c r="T81" s="1"/>
      <c r="U81" s="1"/>
      <c r="V81" s="1"/>
      <c r="W81" s="1"/>
      <c r="X81" s="1"/>
    </row>
    <row r="82" spans="2:24">
      <c r="B82" s="2"/>
      <c r="C82" s="2"/>
      <c r="D82" s="696"/>
      <c r="E82" s="2"/>
      <c r="F82" s="696"/>
      <c r="G82" s="113"/>
      <c r="H82" s="2"/>
      <c r="I82" s="696"/>
      <c r="J82" s="113"/>
      <c r="K82" s="2"/>
      <c r="L82" s="696"/>
      <c r="M82" s="113"/>
      <c r="N82" s="2"/>
      <c r="O82" s="696"/>
      <c r="P82" s="1"/>
      <c r="Q82" s="1"/>
      <c r="R82" s="1"/>
      <c r="S82" s="1"/>
      <c r="T82" s="1"/>
      <c r="U82" s="1"/>
      <c r="V82" s="1"/>
      <c r="W82" s="1"/>
      <c r="X82" s="1"/>
    </row>
    <row r="83" spans="2:24">
      <c r="B83" s="2"/>
      <c r="C83" s="2"/>
      <c r="D83" s="696"/>
      <c r="E83" s="2"/>
      <c r="F83" s="696"/>
      <c r="G83" s="113"/>
      <c r="H83" s="2"/>
      <c r="I83" s="696"/>
      <c r="J83" s="113"/>
      <c r="K83" s="2"/>
      <c r="L83" s="696"/>
      <c r="M83" s="113"/>
      <c r="N83" s="2"/>
      <c r="O83" s="696"/>
      <c r="P83" s="1"/>
      <c r="Q83" s="1"/>
      <c r="R83" s="1"/>
      <c r="S83" s="1"/>
      <c r="T83" s="1"/>
      <c r="U83" s="1"/>
      <c r="V83" s="1"/>
      <c r="W83" s="1"/>
      <c r="X83" s="1"/>
    </row>
    <row r="84" spans="2:24">
      <c r="B84" s="2"/>
      <c r="C84" s="2"/>
      <c r="D84" s="696"/>
      <c r="E84" s="2"/>
      <c r="F84" s="696"/>
      <c r="G84" s="113"/>
      <c r="H84" s="2"/>
      <c r="I84" s="696"/>
      <c r="J84" s="113"/>
      <c r="K84" s="2"/>
      <c r="L84" s="696"/>
      <c r="M84" s="113"/>
      <c r="N84" s="2"/>
      <c r="O84" s="696"/>
      <c r="P84" s="1"/>
      <c r="Q84" s="1"/>
      <c r="R84" s="1"/>
      <c r="S84" s="1"/>
      <c r="T84" s="1"/>
      <c r="U84" s="1"/>
      <c r="V84" s="1"/>
      <c r="W84" s="1"/>
      <c r="X84" s="1"/>
    </row>
    <row r="85" spans="2:24">
      <c r="B85" s="2"/>
      <c r="C85" s="2"/>
      <c r="D85" s="696"/>
      <c r="E85" s="2"/>
      <c r="F85" s="696"/>
      <c r="G85" s="113"/>
      <c r="H85" s="2"/>
      <c r="I85" s="696"/>
      <c r="J85" s="113"/>
      <c r="K85" s="2"/>
      <c r="L85" s="696"/>
      <c r="M85" s="113"/>
      <c r="N85" s="2"/>
      <c r="O85" s="696"/>
      <c r="P85" s="1"/>
      <c r="Q85" s="1"/>
      <c r="R85" s="1"/>
      <c r="S85" s="1"/>
      <c r="T85" s="1"/>
      <c r="U85" s="1"/>
      <c r="V85" s="1"/>
      <c r="W85" s="1"/>
      <c r="X85" s="1"/>
    </row>
    <row r="86" spans="2:24">
      <c r="B86" s="2"/>
      <c r="C86" s="2"/>
      <c r="D86" s="696"/>
      <c r="E86" s="2"/>
      <c r="F86" s="696"/>
      <c r="G86" s="113"/>
      <c r="H86" s="2"/>
      <c r="I86" s="696"/>
      <c r="J86" s="113"/>
      <c r="K86" s="2"/>
      <c r="L86" s="696"/>
      <c r="M86" s="113"/>
      <c r="N86" s="2"/>
      <c r="O86" s="696"/>
      <c r="P86" s="1"/>
      <c r="Q86" s="1"/>
      <c r="R86" s="1"/>
      <c r="S86" s="1"/>
      <c r="T86" s="1"/>
      <c r="U86" s="1"/>
      <c r="V86" s="1"/>
      <c r="W86" s="1"/>
      <c r="X86" s="1"/>
    </row>
    <row r="87" spans="2:24">
      <c r="B87" s="2"/>
      <c r="C87" s="2"/>
      <c r="D87" s="696"/>
      <c r="E87" s="2"/>
      <c r="F87" s="696"/>
      <c r="G87" s="113"/>
      <c r="H87" s="2"/>
      <c r="I87" s="696"/>
      <c r="J87" s="113"/>
      <c r="K87" s="2"/>
      <c r="L87" s="696"/>
      <c r="M87" s="113"/>
      <c r="N87" s="2"/>
      <c r="O87" s="696"/>
      <c r="P87" s="1"/>
      <c r="Q87" s="1"/>
      <c r="R87" s="1"/>
      <c r="S87" s="1"/>
      <c r="T87" s="1"/>
      <c r="U87" s="1"/>
      <c r="V87" s="1"/>
      <c r="W87" s="1"/>
      <c r="X87" s="1"/>
    </row>
    <row r="88" spans="2:24">
      <c r="B88" s="2"/>
      <c r="C88" s="2"/>
      <c r="D88" s="696"/>
      <c r="E88" s="2"/>
      <c r="F88" s="696"/>
      <c r="G88" s="113"/>
      <c r="H88" s="2"/>
      <c r="I88" s="696"/>
      <c r="J88" s="113"/>
      <c r="K88" s="2"/>
      <c r="L88" s="696"/>
      <c r="M88" s="113"/>
      <c r="N88" s="2"/>
      <c r="O88" s="696"/>
      <c r="P88" s="1"/>
      <c r="Q88" s="1"/>
      <c r="R88" s="1"/>
      <c r="S88" s="1"/>
      <c r="T88" s="1"/>
      <c r="U88" s="1"/>
      <c r="V88" s="1"/>
      <c r="W88" s="1"/>
      <c r="X88" s="1"/>
    </row>
    <row r="89" spans="2:24">
      <c r="B89" s="2"/>
      <c r="C89" s="2"/>
      <c r="D89" s="696"/>
      <c r="E89" s="2"/>
      <c r="F89" s="696"/>
      <c r="G89" s="113"/>
      <c r="H89" s="2"/>
      <c r="I89" s="696"/>
      <c r="J89" s="113"/>
      <c r="K89" s="2"/>
      <c r="L89" s="696"/>
      <c r="M89" s="113"/>
      <c r="N89" s="2"/>
      <c r="O89" s="696"/>
      <c r="P89" s="1"/>
      <c r="Q89" s="1"/>
      <c r="R89" s="1"/>
      <c r="S89" s="1"/>
      <c r="T89" s="1"/>
      <c r="U89" s="1"/>
      <c r="V89" s="1"/>
      <c r="W89" s="1"/>
      <c r="X89" s="1"/>
    </row>
    <row r="90" spans="2:24">
      <c r="B90" s="2"/>
      <c r="C90" s="2"/>
      <c r="D90" s="696"/>
      <c r="E90" s="2"/>
      <c r="F90" s="696"/>
      <c r="G90" s="113"/>
      <c r="H90" s="2"/>
      <c r="I90" s="696"/>
      <c r="J90" s="113"/>
      <c r="K90" s="2"/>
      <c r="L90" s="696"/>
      <c r="M90" s="113"/>
      <c r="N90" s="2"/>
      <c r="O90" s="696"/>
      <c r="P90" s="1"/>
      <c r="Q90" s="1"/>
      <c r="R90" s="1"/>
      <c r="S90" s="1"/>
      <c r="T90" s="1"/>
      <c r="U90" s="1"/>
      <c r="V90" s="1"/>
      <c r="W90" s="1"/>
      <c r="X90" s="1"/>
    </row>
    <row r="91" spans="2:24">
      <c r="B91" s="2"/>
      <c r="C91" s="2"/>
      <c r="D91" s="696"/>
      <c r="E91" s="2"/>
      <c r="F91" s="696"/>
      <c r="G91" s="113"/>
      <c r="H91" s="2"/>
      <c r="I91" s="696"/>
      <c r="J91" s="113"/>
      <c r="K91" s="2"/>
      <c r="L91" s="696"/>
      <c r="M91" s="113"/>
      <c r="N91" s="2"/>
      <c r="O91" s="696"/>
      <c r="P91" s="1"/>
      <c r="Q91" s="1"/>
      <c r="R91" s="1"/>
      <c r="S91" s="1"/>
      <c r="T91" s="1"/>
      <c r="U91" s="1"/>
      <c r="V91" s="1"/>
      <c r="W91" s="1"/>
      <c r="X91" s="1"/>
    </row>
    <row r="92" spans="2:24">
      <c r="B92" s="2"/>
      <c r="C92" s="2"/>
      <c r="D92" s="696"/>
      <c r="E92" s="2"/>
      <c r="F92" s="696"/>
      <c r="G92" s="113"/>
      <c r="H92" s="2"/>
      <c r="I92" s="696"/>
      <c r="J92" s="113"/>
      <c r="K92" s="2"/>
      <c r="L92" s="696"/>
      <c r="M92" s="113"/>
      <c r="N92" s="2"/>
      <c r="O92" s="696"/>
      <c r="P92" s="1"/>
      <c r="Q92" s="1"/>
      <c r="R92" s="1"/>
      <c r="S92" s="1"/>
      <c r="T92" s="1"/>
      <c r="U92" s="1"/>
      <c r="V92" s="1"/>
      <c r="W92" s="1"/>
      <c r="X92" s="1"/>
    </row>
    <row r="93" spans="2:24">
      <c r="B93" s="2"/>
      <c r="C93" s="2"/>
      <c r="D93" s="696"/>
      <c r="E93" s="2"/>
      <c r="F93" s="696"/>
      <c r="G93" s="113"/>
      <c r="H93" s="2"/>
      <c r="I93" s="696"/>
      <c r="J93" s="113"/>
      <c r="K93" s="2"/>
      <c r="L93" s="696"/>
      <c r="M93" s="113"/>
      <c r="N93" s="2"/>
      <c r="O93" s="696"/>
      <c r="P93" s="1"/>
      <c r="Q93" s="1"/>
      <c r="R93" s="1"/>
      <c r="S93" s="1"/>
      <c r="T93" s="1"/>
      <c r="U93" s="1"/>
      <c r="V93" s="1"/>
      <c r="W93" s="1"/>
      <c r="X93" s="1"/>
    </row>
    <row r="94" spans="2:24">
      <c r="B94" s="2"/>
      <c r="C94" s="2"/>
      <c r="D94" s="696"/>
      <c r="E94" s="2"/>
      <c r="F94" s="696"/>
      <c r="G94" s="113"/>
      <c r="H94" s="2"/>
      <c r="I94" s="696"/>
      <c r="J94" s="113"/>
      <c r="K94" s="2"/>
      <c r="L94" s="696"/>
      <c r="M94" s="113"/>
      <c r="N94" s="2"/>
      <c r="O94" s="696"/>
      <c r="P94" s="1"/>
      <c r="Q94" s="1"/>
      <c r="R94" s="1"/>
      <c r="S94" s="1"/>
      <c r="T94" s="1"/>
      <c r="U94" s="1"/>
      <c r="V94" s="1"/>
      <c r="W94" s="1"/>
      <c r="X94" s="1"/>
    </row>
    <row r="95" spans="2:24">
      <c r="B95" s="2"/>
      <c r="C95" s="2"/>
      <c r="D95" s="696"/>
      <c r="E95" s="2"/>
      <c r="F95" s="696"/>
      <c r="G95" s="113"/>
      <c r="H95" s="2"/>
      <c r="I95" s="696"/>
      <c r="J95" s="113"/>
      <c r="K95" s="2"/>
      <c r="L95" s="696"/>
      <c r="M95" s="113"/>
      <c r="N95" s="2"/>
      <c r="O95" s="696"/>
      <c r="P95" s="1"/>
      <c r="Q95" s="1"/>
      <c r="R95" s="1"/>
      <c r="S95" s="1"/>
      <c r="T95" s="1"/>
      <c r="U95" s="1"/>
      <c r="V95" s="1"/>
      <c r="W95" s="1"/>
      <c r="X95" s="1"/>
    </row>
    <row r="96" spans="2:24">
      <c r="B96" s="2"/>
      <c r="C96" s="2"/>
      <c r="D96" s="696"/>
      <c r="E96" s="2"/>
      <c r="F96" s="696"/>
      <c r="G96" s="113"/>
      <c r="H96" s="2"/>
      <c r="I96" s="696"/>
      <c r="J96" s="113"/>
      <c r="K96" s="2"/>
      <c r="L96" s="696"/>
      <c r="M96" s="113"/>
      <c r="N96" s="2"/>
      <c r="O96" s="696"/>
      <c r="P96" s="1"/>
      <c r="Q96" s="1"/>
      <c r="R96" s="1"/>
      <c r="S96" s="1"/>
      <c r="T96" s="1"/>
      <c r="U96" s="1"/>
      <c r="V96" s="1"/>
      <c r="W96" s="1"/>
      <c r="X96" s="1"/>
    </row>
    <row r="97" spans="2:24">
      <c r="B97" s="2"/>
      <c r="C97" s="2"/>
      <c r="D97" s="696"/>
      <c r="E97" s="2"/>
      <c r="F97" s="696"/>
      <c r="G97" s="113"/>
      <c r="H97" s="2"/>
      <c r="I97" s="696"/>
      <c r="J97" s="113"/>
      <c r="K97" s="2"/>
      <c r="L97" s="696"/>
      <c r="M97" s="113"/>
      <c r="N97" s="2"/>
      <c r="O97" s="696"/>
      <c r="P97" s="1"/>
      <c r="Q97" s="1"/>
      <c r="R97" s="1"/>
      <c r="S97" s="1"/>
      <c r="T97" s="1"/>
      <c r="U97" s="1"/>
      <c r="V97" s="1"/>
      <c r="W97" s="1"/>
      <c r="X97" s="1"/>
    </row>
    <row r="98" spans="2:24">
      <c r="B98" s="2"/>
      <c r="C98" s="2"/>
      <c r="D98" s="696"/>
      <c r="E98" s="2"/>
      <c r="F98" s="696"/>
      <c r="G98" s="113"/>
      <c r="H98" s="2"/>
      <c r="I98" s="696"/>
      <c r="J98" s="113"/>
      <c r="K98" s="2"/>
      <c r="L98" s="696"/>
      <c r="M98" s="113"/>
      <c r="N98" s="2"/>
      <c r="O98" s="696"/>
      <c r="P98" s="1"/>
      <c r="Q98" s="1"/>
      <c r="R98" s="1"/>
      <c r="S98" s="1"/>
      <c r="T98" s="1"/>
      <c r="U98" s="1"/>
      <c r="V98" s="1"/>
      <c r="W98" s="1"/>
      <c r="X98" s="1"/>
    </row>
    <row r="99" spans="2:24">
      <c r="B99" s="2"/>
      <c r="C99" s="2"/>
      <c r="D99" s="696"/>
      <c r="E99" s="2"/>
      <c r="F99" s="696"/>
      <c r="G99" s="113"/>
      <c r="H99" s="2"/>
      <c r="I99" s="696"/>
      <c r="J99" s="113"/>
      <c r="K99" s="2"/>
      <c r="L99" s="696"/>
      <c r="M99" s="113"/>
      <c r="N99" s="2"/>
      <c r="O99" s="696"/>
      <c r="P99" s="1"/>
      <c r="Q99" s="1"/>
      <c r="R99" s="1"/>
      <c r="S99" s="1"/>
      <c r="T99" s="1"/>
      <c r="U99" s="1"/>
      <c r="V99" s="1"/>
      <c r="W99" s="1"/>
      <c r="X99" s="1"/>
    </row>
    <row r="100" spans="2:24">
      <c r="B100" s="2"/>
      <c r="C100" s="2"/>
      <c r="D100" s="696"/>
      <c r="E100" s="2"/>
      <c r="F100" s="696"/>
      <c r="G100" s="113"/>
      <c r="H100" s="2"/>
      <c r="I100" s="696"/>
      <c r="J100" s="113"/>
      <c r="K100" s="2"/>
      <c r="L100" s="696"/>
      <c r="M100" s="113"/>
      <c r="N100" s="2"/>
      <c r="O100" s="696"/>
      <c r="P100" s="1"/>
      <c r="Q100" s="1"/>
      <c r="R100" s="1"/>
      <c r="S100" s="1"/>
      <c r="T100" s="1"/>
      <c r="U100" s="1"/>
      <c r="V100" s="1"/>
      <c r="W100" s="1"/>
      <c r="X100" s="1"/>
    </row>
    <row r="101" spans="2:24">
      <c r="B101" s="2"/>
      <c r="C101" s="2"/>
      <c r="D101" s="696"/>
      <c r="E101" s="2"/>
      <c r="F101" s="696"/>
      <c r="G101" s="113"/>
      <c r="H101" s="2"/>
      <c r="I101" s="696"/>
      <c r="J101" s="113"/>
      <c r="K101" s="2"/>
      <c r="L101" s="696"/>
      <c r="M101" s="113"/>
      <c r="N101" s="2"/>
      <c r="O101" s="696"/>
      <c r="P101" s="1"/>
      <c r="Q101" s="1"/>
      <c r="R101" s="1"/>
      <c r="S101" s="1"/>
      <c r="T101" s="1"/>
      <c r="U101" s="1"/>
      <c r="V101" s="1"/>
      <c r="W101" s="1"/>
      <c r="X101" s="1"/>
    </row>
    <row r="102" spans="2:24">
      <c r="B102" s="2"/>
      <c r="C102" s="2"/>
      <c r="D102" s="696"/>
      <c r="E102" s="2"/>
      <c r="F102" s="696"/>
      <c r="G102" s="113"/>
      <c r="H102" s="2"/>
      <c r="I102" s="696"/>
      <c r="J102" s="113"/>
      <c r="K102" s="2"/>
      <c r="L102" s="696"/>
      <c r="M102" s="113"/>
      <c r="N102" s="2"/>
      <c r="O102" s="696"/>
      <c r="P102" s="1"/>
      <c r="Q102" s="1"/>
      <c r="R102" s="1"/>
      <c r="S102" s="1"/>
      <c r="T102" s="1"/>
      <c r="U102" s="1"/>
      <c r="V102" s="1"/>
      <c r="W102" s="1"/>
      <c r="X102" s="1"/>
    </row>
    <row r="103" spans="2:24">
      <c r="B103" s="2"/>
      <c r="C103" s="2"/>
      <c r="D103" s="696"/>
      <c r="E103" s="2"/>
      <c r="F103" s="696"/>
      <c r="G103" s="113"/>
      <c r="H103" s="2"/>
      <c r="I103" s="696"/>
      <c r="J103" s="113"/>
      <c r="K103" s="2"/>
      <c r="L103" s="696"/>
      <c r="M103" s="113"/>
      <c r="N103" s="2"/>
      <c r="O103" s="696"/>
      <c r="P103" s="1"/>
      <c r="Q103" s="1"/>
      <c r="R103" s="1"/>
      <c r="S103" s="1"/>
      <c r="T103" s="1"/>
      <c r="U103" s="1"/>
      <c r="V103" s="1"/>
      <c r="W103" s="1"/>
      <c r="X103" s="1"/>
    </row>
    <row r="104" spans="2:24">
      <c r="B104" s="2"/>
      <c r="C104" s="2"/>
      <c r="D104" s="696"/>
      <c r="E104" s="2"/>
      <c r="F104" s="696"/>
      <c r="G104" s="113"/>
      <c r="H104" s="2"/>
      <c r="I104" s="696"/>
      <c r="J104" s="113"/>
      <c r="K104" s="2"/>
      <c r="L104" s="696"/>
      <c r="M104" s="113"/>
      <c r="N104" s="2"/>
      <c r="O104" s="696"/>
      <c r="P104" s="1"/>
      <c r="Q104" s="1"/>
      <c r="R104" s="1"/>
      <c r="S104" s="1"/>
      <c r="T104" s="1"/>
      <c r="U104" s="1"/>
      <c r="V104" s="1"/>
      <c r="W104" s="1"/>
      <c r="X104" s="1"/>
    </row>
    <row r="105" spans="2:24">
      <c r="B105" s="2"/>
      <c r="C105" s="2"/>
      <c r="D105" s="696"/>
      <c r="E105" s="2"/>
      <c r="F105" s="696"/>
      <c r="G105" s="113"/>
      <c r="H105" s="2"/>
      <c r="I105" s="696"/>
      <c r="J105" s="113"/>
      <c r="K105" s="2"/>
      <c r="L105" s="696"/>
      <c r="M105" s="113"/>
      <c r="N105" s="2"/>
      <c r="O105" s="696"/>
      <c r="P105" s="1"/>
      <c r="Q105" s="1"/>
      <c r="R105" s="1"/>
      <c r="S105" s="1"/>
      <c r="T105" s="1"/>
      <c r="U105" s="1"/>
      <c r="V105" s="1"/>
      <c r="W105" s="1"/>
      <c r="X105" s="1"/>
    </row>
    <row r="106" spans="2:24">
      <c r="B106" s="2"/>
      <c r="C106" s="2"/>
      <c r="D106" s="696"/>
      <c r="E106" s="2"/>
      <c r="F106" s="696"/>
      <c r="G106" s="113"/>
      <c r="H106" s="2"/>
      <c r="I106" s="696"/>
      <c r="J106" s="113"/>
      <c r="K106" s="2"/>
      <c r="L106" s="696"/>
      <c r="M106" s="113"/>
      <c r="N106" s="2"/>
      <c r="O106" s="696"/>
      <c r="P106" s="1"/>
      <c r="Q106" s="1"/>
      <c r="R106" s="1"/>
      <c r="S106" s="1"/>
      <c r="T106" s="1"/>
      <c r="U106" s="1"/>
      <c r="V106" s="1"/>
      <c r="W106" s="1"/>
      <c r="X106" s="1"/>
    </row>
    <row r="107" spans="2:24">
      <c r="B107" s="2"/>
      <c r="C107" s="2"/>
      <c r="D107" s="696"/>
      <c r="E107" s="2"/>
      <c r="F107" s="696"/>
      <c r="G107" s="113"/>
      <c r="H107" s="2"/>
      <c r="I107" s="696"/>
      <c r="J107" s="113"/>
      <c r="K107" s="2"/>
      <c r="L107" s="696"/>
      <c r="M107" s="113"/>
      <c r="N107" s="2"/>
      <c r="O107" s="696"/>
      <c r="P107" s="1"/>
      <c r="Q107" s="1"/>
      <c r="R107" s="1"/>
      <c r="S107" s="1"/>
      <c r="T107" s="1"/>
      <c r="U107" s="1"/>
      <c r="V107" s="1"/>
      <c r="W107" s="1"/>
      <c r="X107" s="1"/>
    </row>
    <row r="108" spans="2:24">
      <c r="B108" s="2"/>
      <c r="C108" s="2"/>
      <c r="D108" s="696"/>
      <c r="E108" s="2"/>
      <c r="F108" s="696"/>
      <c r="G108" s="113"/>
      <c r="H108" s="2"/>
      <c r="I108" s="696"/>
      <c r="J108" s="113"/>
      <c r="K108" s="2"/>
      <c r="L108" s="696"/>
      <c r="M108" s="113"/>
      <c r="N108" s="2"/>
      <c r="O108" s="696"/>
      <c r="P108" s="1"/>
      <c r="Q108" s="1"/>
      <c r="R108" s="1"/>
      <c r="S108" s="1"/>
      <c r="T108" s="1"/>
      <c r="U108" s="1"/>
      <c r="V108" s="1"/>
      <c r="W108" s="1"/>
      <c r="X108" s="1"/>
    </row>
    <row r="109" spans="2:24">
      <c r="B109" s="2"/>
      <c r="C109" s="2"/>
      <c r="D109" s="696"/>
      <c r="E109" s="2"/>
      <c r="F109" s="696"/>
      <c r="G109" s="113"/>
      <c r="H109" s="2"/>
      <c r="I109" s="696"/>
      <c r="J109" s="113"/>
      <c r="K109" s="2"/>
      <c r="L109" s="696"/>
      <c r="M109" s="113"/>
      <c r="N109" s="2"/>
      <c r="O109" s="696"/>
      <c r="P109" s="1"/>
      <c r="Q109" s="1"/>
      <c r="R109" s="1"/>
      <c r="S109" s="1"/>
      <c r="T109" s="1"/>
      <c r="U109" s="1"/>
      <c r="V109" s="1"/>
      <c r="W109" s="1"/>
      <c r="X109" s="1"/>
    </row>
    <row r="110" spans="2:24">
      <c r="B110" s="2"/>
      <c r="C110" s="2"/>
      <c r="D110" s="696"/>
      <c r="E110" s="2"/>
      <c r="F110" s="696"/>
      <c r="G110" s="113"/>
      <c r="H110" s="2"/>
      <c r="I110" s="696"/>
      <c r="J110" s="113"/>
      <c r="K110" s="2"/>
      <c r="L110" s="696"/>
      <c r="M110" s="113"/>
      <c r="N110" s="2"/>
      <c r="O110" s="696"/>
      <c r="P110" s="1"/>
      <c r="Q110" s="1"/>
      <c r="R110" s="1"/>
      <c r="S110" s="1"/>
      <c r="T110" s="1"/>
      <c r="U110" s="1"/>
      <c r="V110" s="1"/>
      <c r="W110" s="1"/>
      <c r="X110" s="1"/>
    </row>
    <row r="111" spans="2:24">
      <c r="B111" s="2"/>
      <c r="C111" s="2"/>
      <c r="D111" s="696"/>
      <c r="E111" s="2"/>
      <c r="F111" s="696"/>
      <c r="G111" s="113"/>
      <c r="H111" s="2"/>
      <c r="I111" s="696"/>
      <c r="J111" s="113"/>
      <c r="K111" s="2"/>
      <c r="L111" s="696"/>
      <c r="M111" s="113"/>
      <c r="N111" s="2"/>
      <c r="O111" s="696"/>
      <c r="P111" s="1"/>
      <c r="Q111" s="1"/>
      <c r="R111" s="1"/>
      <c r="S111" s="1"/>
      <c r="T111" s="1"/>
      <c r="U111" s="1"/>
      <c r="V111" s="1"/>
      <c r="W111" s="1"/>
      <c r="X111" s="1"/>
    </row>
    <row r="112" spans="2:24">
      <c r="B112" s="2"/>
      <c r="C112" s="2"/>
      <c r="D112" s="696"/>
      <c r="E112" s="2"/>
      <c r="F112" s="696"/>
      <c r="G112" s="113"/>
      <c r="H112" s="2"/>
      <c r="I112" s="696"/>
      <c r="J112" s="113"/>
      <c r="K112" s="2"/>
      <c r="L112" s="696"/>
      <c r="M112" s="113"/>
      <c r="N112" s="2"/>
      <c r="O112" s="696"/>
      <c r="P112" s="1"/>
      <c r="Q112" s="1"/>
      <c r="R112" s="1"/>
      <c r="S112" s="1"/>
      <c r="T112" s="1"/>
      <c r="U112" s="1"/>
      <c r="V112" s="1"/>
      <c r="W112" s="1"/>
      <c r="X112" s="1"/>
    </row>
    <row r="113" spans="2:24">
      <c r="B113" s="2"/>
      <c r="C113" s="2"/>
      <c r="D113" s="696"/>
      <c r="E113" s="2"/>
      <c r="F113" s="696"/>
      <c r="G113" s="113"/>
      <c r="H113" s="2"/>
      <c r="I113" s="696"/>
      <c r="J113" s="113"/>
      <c r="K113" s="2"/>
      <c r="L113" s="696"/>
      <c r="M113" s="113"/>
      <c r="N113" s="2"/>
      <c r="O113" s="696"/>
      <c r="P113" s="1"/>
      <c r="Q113" s="1"/>
      <c r="R113" s="1"/>
      <c r="S113" s="1"/>
      <c r="T113" s="1"/>
      <c r="U113" s="1"/>
      <c r="V113" s="1"/>
      <c r="W113" s="1"/>
      <c r="X113" s="1"/>
    </row>
    <row r="114" spans="2:24">
      <c r="B114" s="2"/>
      <c r="C114" s="2"/>
      <c r="D114" s="696"/>
      <c r="E114" s="2"/>
      <c r="F114" s="696"/>
      <c r="G114" s="113"/>
      <c r="H114" s="2"/>
      <c r="I114" s="696"/>
      <c r="J114" s="113"/>
      <c r="K114" s="2"/>
      <c r="L114" s="696"/>
      <c r="M114" s="113"/>
      <c r="N114" s="2"/>
      <c r="O114" s="696"/>
      <c r="P114" s="1"/>
      <c r="Q114" s="1"/>
      <c r="R114" s="1"/>
      <c r="S114" s="1"/>
      <c r="T114" s="1"/>
      <c r="U114" s="1"/>
      <c r="V114" s="1"/>
      <c r="W114" s="1"/>
      <c r="X114" s="1"/>
    </row>
    <row r="115" spans="2:24">
      <c r="B115" s="2"/>
      <c r="C115" s="2"/>
      <c r="D115" s="696"/>
      <c r="E115" s="2"/>
      <c r="F115" s="696"/>
      <c r="G115" s="113"/>
      <c r="H115" s="2"/>
      <c r="I115" s="696"/>
      <c r="J115" s="113"/>
      <c r="K115" s="2"/>
      <c r="L115" s="696"/>
      <c r="M115" s="113"/>
      <c r="N115" s="2"/>
      <c r="O115" s="696"/>
      <c r="P115" s="1"/>
      <c r="Q115" s="1"/>
      <c r="R115" s="1"/>
      <c r="S115" s="1"/>
      <c r="T115" s="1"/>
      <c r="U115" s="1"/>
      <c r="V115" s="1"/>
      <c r="W115" s="1"/>
      <c r="X115" s="1"/>
    </row>
    <row r="116" spans="2:24">
      <c r="B116" s="2"/>
      <c r="C116" s="2"/>
      <c r="D116" s="696"/>
      <c r="E116" s="2"/>
      <c r="F116" s="696"/>
      <c r="G116" s="113"/>
      <c r="H116" s="2"/>
      <c r="I116" s="696"/>
      <c r="J116" s="113"/>
      <c r="K116" s="2"/>
      <c r="L116" s="696"/>
      <c r="M116" s="113"/>
      <c r="N116" s="2"/>
      <c r="O116" s="696"/>
      <c r="P116" s="1"/>
      <c r="Q116" s="1"/>
      <c r="R116" s="1"/>
      <c r="S116" s="1"/>
      <c r="T116" s="1"/>
      <c r="U116" s="1"/>
      <c r="V116" s="1"/>
      <c r="W116" s="1"/>
      <c r="X116" s="1"/>
    </row>
    <row r="117" spans="2:24">
      <c r="B117" s="2"/>
      <c r="C117" s="2"/>
      <c r="D117" s="696"/>
      <c r="E117" s="2"/>
      <c r="F117" s="696"/>
      <c r="G117" s="113"/>
      <c r="H117" s="2"/>
      <c r="I117" s="696"/>
      <c r="J117" s="113"/>
      <c r="K117" s="2"/>
      <c r="L117" s="696"/>
      <c r="M117" s="113"/>
      <c r="N117" s="2"/>
      <c r="O117" s="696"/>
      <c r="P117" s="1"/>
      <c r="Q117" s="1"/>
      <c r="R117" s="1"/>
      <c r="S117" s="1"/>
      <c r="T117" s="1"/>
      <c r="U117" s="1"/>
      <c r="V117" s="1"/>
      <c r="W117" s="1"/>
      <c r="X117" s="1"/>
    </row>
    <row r="118" spans="2:24">
      <c r="B118" s="2"/>
      <c r="C118" s="2"/>
      <c r="D118" s="696"/>
      <c r="E118" s="2"/>
      <c r="F118" s="696"/>
      <c r="G118" s="113"/>
      <c r="H118" s="2"/>
      <c r="I118" s="696"/>
      <c r="J118" s="113"/>
      <c r="K118" s="2"/>
      <c r="L118" s="696"/>
      <c r="M118" s="113"/>
      <c r="N118" s="2"/>
      <c r="O118" s="696"/>
      <c r="P118" s="1"/>
      <c r="Q118" s="1"/>
      <c r="R118" s="1"/>
      <c r="S118" s="1"/>
      <c r="T118" s="1"/>
      <c r="U118" s="1"/>
      <c r="V118" s="1"/>
      <c r="W118" s="1"/>
      <c r="X118" s="1"/>
    </row>
    <row r="119" spans="2:24">
      <c r="B119" s="2"/>
      <c r="C119" s="2"/>
      <c r="D119" s="696"/>
      <c r="E119" s="2"/>
      <c r="F119" s="696"/>
      <c r="G119" s="113"/>
      <c r="H119" s="2"/>
      <c r="I119" s="696"/>
      <c r="J119" s="113"/>
      <c r="K119" s="2"/>
      <c r="L119" s="696"/>
      <c r="M119" s="113"/>
      <c r="N119" s="2"/>
      <c r="O119" s="696"/>
      <c r="P119" s="1"/>
      <c r="Q119" s="1"/>
      <c r="R119" s="1"/>
      <c r="S119" s="1"/>
      <c r="T119" s="1"/>
      <c r="U119" s="1"/>
      <c r="V119" s="1"/>
      <c r="W119" s="1"/>
      <c r="X119" s="1"/>
    </row>
    <row r="120" spans="2:24">
      <c r="B120" s="2"/>
      <c r="C120" s="2"/>
      <c r="D120" s="696"/>
      <c r="E120" s="2"/>
      <c r="F120" s="696"/>
      <c r="G120" s="113"/>
      <c r="H120" s="2"/>
      <c r="I120" s="696"/>
      <c r="J120" s="113"/>
      <c r="K120" s="2"/>
      <c r="L120" s="696"/>
      <c r="M120" s="113"/>
      <c r="N120" s="2"/>
      <c r="O120" s="696"/>
      <c r="P120" s="1"/>
      <c r="Q120" s="1"/>
      <c r="R120" s="1"/>
      <c r="S120" s="1"/>
      <c r="T120" s="1"/>
      <c r="U120" s="1"/>
      <c r="V120" s="1"/>
      <c r="W120" s="1"/>
      <c r="X120" s="1"/>
    </row>
    <row r="121" spans="2:24">
      <c r="B121" s="2"/>
      <c r="C121" s="2"/>
      <c r="D121" s="696"/>
      <c r="E121" s="2"/>
      <c r="F121" s="696"/>
      <c r="G121" s="113"/>
      <c r="H121" s="2"/>
      <c r="I121" s="696"/>
      <c r="J121" s="113"/>
      <c r="K121" s="2"/>
      <c r="L121" s="696"/>
      <c r="M121" s="113"/>
      <c r="N121" s="2"/>
      <c r="O121" s="696"/>
      <c r="P121" s="1"/>
      <c r="Q121" s="1"/>
      <c r="R121" s="1"/>
      <c r="S121" s="1"/>
      <c r="T121" s="1"/>
      <c r="U121" s="1"/>
      <c r="V121" s="1"/>
      <c r="W121" s="1"/>
      <c r="X121" s="1"/>
    </row>
    <row r="122" spans="2:24">
      <c r="B122" s="2"/>
      <c r="C122" s="2"/>
      <c r="D122" s="696"/>
      <c r="E122" s="2"/>
      <c r="F122" s="696"/>
      <c r="G122" s="113"/>
      <c r="H122" s="2"/>
      <c r="I122" s="696"/>
      <c r="J122" s="113"/>
      <c r="K122" s="2"/>
      <c r="L122" s="696"/>
      <c r="M122" s="113"/>
      <c r="N122" s="2"/>
      <c r="O122" s="696"/>
      <c r="P122" s="1"/>
      <c r="Q122" s="1"/>
      <c r="R122" s="1"/>
      <c r="S122" s="1"/>
      <c r="T122" s="1"/>
      <c r="U122" s="1"/>
      <c r="V122" s="1"/>
      <c r="W122" s="1"/>
      <c r="X122" s="1"/>
    </row>
    <row r="123" spans="2:24">
      <c r="B123" s="2"/>
      <c r="C123" s="2"/>
      <c r="D123" s="696"/>
      <c r="E123" s="2"/>
      <c r="F123" s="696"/>
      <c r="G123" s="113"/>
      <c r="H123" s="2"/>
      <c r="I123" s="696"/>
      <c r="J123" s="113"/>
      <c r="K123" s="2"/>
      <c r="L123" s="696"/>
      <c r="M123" s="113"/>
      <c r="N123" s="2"/>
      <c r="O123" s="696"/>
      <c r="P123" s="1"/>
      <c r="Q123" s="1"/>
      <c r="R123" s="1"/>
      <c r="S123" s="1"/>
      <c r="T123" s="1"/>
      <c r="U123" s="1"/>
      <c r="V123" s="1"/>
      <c r="W123" s="1"/>
      <c r="X123" s="1"/>
    </row>
    <row r="124" spans="2:24">
      <c r="B124" s="2"/>
      <c r="C124" s="2"/>
      <c r="D124" s="696"/>
      <c r="E124" s="2"/>
      <c r="F124" s="696"/>
      <c r="G124" s="113"/>
      <c r="H124" s="2"/>
      <c r="I124" s="696"/>
      <c r="J124" s="113"/>
      <c r="K124" s="2"/>
      <c r="L124" s="696"/>
      <c r="M124" s="113"/>
      <c r="N124" s="2"/>
      <c r="O124" s="696"/>
      <c r="P124" s="1"/>
      <c r="Q124" s="1"/>
      <c r="R124" s="1"/>
      <c r="S124" s="1"/>
      <c r="T124" s="1"/>
      <c r="U124" s="1"/>
      <c r="V124" s="1"/>
      <c r="W124" s="1"/>
      <c r="X124" s="1"/>
    </row>
    <row r="125" spans="2:24">
      <c r="B125" s="2"/>
      <c r="C125" s="2"/>
      <c r="D125" s="696"/>
      <c r="E125" s="2"/>
      <c r="F125" s="696"/>
      <c r="G125" s="113"/>
      <c r="H125" s="2"/>
      <c r="I125" s="696"/>
      <c r="J125" s="113"/>
      <c r="K125" s="2"/>
      <c r="L125" s="696"/>
      <c r="M125" s="113"/>
      <c r="N125" s="2"/>
      <c r="O125" s="696"/>
      <c r="P125" s="1"/>
      <c r="Q125" s="1"/>
      <c r="R125" s="1"/>
      <c r="S125" s="1"/>
      <c r="T125" s="1"/>
      <c r="U125" s="1"/>
      <c r="V125" s="1"/>
      <c r="W125" s="1"/>
      <c r="X125" s="1"/>
    </row>
    <row r="126" spans="2:24">
      <c r="B126" s="2"/>
      <c r="C126" s="2"/>
      <c r="D126" s="696"/>
      <c r="E126" s="2"/>
      <c r="F126" s="696"/>
      <c r="G126" s="113"/>
      <c r="H126" s="2"/>
      <c r="I126" s="696"/>
      <c r="J126" s="113"/>
      <c r="K126" s="2"/>
      <c r="L126" s="696"/>
      <c r="M126" s="113"/>
      <c r="N126" s="2"/>
      <c r="O126" s="696"/>
      <c r="P126" s="1"/>
      <c r="Q126" s="1"/>
      <c r="R126" s="1"/>
      <c r="S126" s="1"/>
      <c r="T126" s="1"/>
      <c r="U126" s="1"/>
      <c r="V126" s="1"/>
      <c r="W126" s="1"/>
      <c r="X126" s="1"/>
    </row>
    <row r="127" spans="2:24">
      <c r="B127" s="2"/>
      <c r="C127" s="2"/>
      <c r="D127" s="696"/>
      <c r="E127" s="2"/>
      <c r="F127" s="696"/>
      <c r="G127" s="113"/>
      <c r="H127" s="2"/>
      <c r="I127" s="696"/>
      <c r="J127" s="113"/>
      <c r="K127" s="2"/>
      <c r="L127" s="696"/>
      <c r="M127" s="113"/>
      <c r="N127" s="2"/>
      <c r="O127" s="696"/>
      <c r="P127" s="1"/>
      <c r="Q127" s="1"/>
      <c r="R127" s="1"/>
      <c r="S127" s="1"/>
      <c r="T127" s="1"/>
      <c r="U127" s="1"/>
      <c r="V127" s="1"/>
      <c r="W127" s="1"/>
      <c r="X127" s="1"/>
    </row>
    <row r="128" spans="2:24">
      <c r="B128" s="2"/>
      <c r="C128" s="2"/>
      <c r="D128" s="696"/>
      <c r="E128" s="2"/>
      <c r="F128" s="696"/>
      <c r="G128" s="113"/>
      <c r="H128" s="2"/>
      <c r="I128" s="696"/>
      <c r="J128" s="113"/>
      <c r="K128" s="2"/>
      <c r="L128" s="696"/>
      <c r="M128" s="113"/>
      <c r="N128" s="2"/>
      <c r="O128" s="696"/>
      <c r="P128" s="1"/>
      <c r="Q128" s="1"/>
      <c r="R128" s="1"/>
      <c r="S128" s="1"/>
      <c r="T128" s="1"/>
      <c r="U128" s="1"/>
      <c r="V128" s="1"/>
      <c r="W128" s="1"/>
      <c r="X128" s="1"/>
    </row>
    <row r="129" spans="2:24">
      <c r="B129" s="2"/>
      <c r="C129" s="2"/>
      <c r="D129" s="696"/>
      <c r="E129" s="2"/>
      <c r="F129" s="696"/>
      <c r="G129" s="113"/>
      <c r="H129" s="2"/>
      <c r="I129" s="696"/>
      <c r="J129" s="113"/>
      <c r="K129" s="2"/>
      <c r="L129" s="696"/>
      <c r="M129" s="113"/>
      <c r="N129" s="2"/>
      <c r="O129" s="696"/>
      <c r="P129" s="1"/>
      <c r="Q129" s="1"/>
      <c r="R129" s="1"/>
      <c r="S129" s="1"/>
      <c r="T129" s="1"/>
      <c r="U129" s="1"/>
      <c r="V129" s="1"/>
      <c r="W129" s="1"/>
      <c r="X129" s="1"/>
    </row>
    <row r="130" spans="2:24">
      <c r="B130" s="2"/>
      <c r="C130" s="2"/>
      <c r="D130" s="696"/>
      <c r="E130" s="2"/>
      <c r="F130" s="696"/>
      <c r="G130" s="113"/>
      <c r="H130" s="2"/>
      <c r="I130" s="696"/>
      <c r="J130" s="113"/>
      <c r="K130" s="2"/>
      <c r="L130" s="696"/>
      <c r="M130" s="113"/>
      <c r="N130" s="2"/>
      <c r="O130" s="696"/>
      <c r="P130" s="1"/>
      <c r="Q130" s="1"/>
      <c r="R130" s="1"/>
      <c r="S130" s="1"/>
      <c r="T130" s="1"/>
      <c r="U130" s="1"/>
      <c r="V130" s="1"/>
      <c r="W130" s="1"/>
      <c r="X130" s="1"/>
    </row>
    <row r="131" spans="2:24">
      <c r="B131" s="2"/>
      <c r="C131" s="2"/>
      <c r="D131" s="696"/>
      <c r="E131" s="2"/>
      <c r="F131" s="696"/>
      <c r="G131" s="113"/>
      <c r="H131" s="2"/>
      <c r="I131" s="696"/>
      <c r="J131" s="113"/>
      <c r="K131" s="2"/>
      <c r="L131" s="696"/>
      <c r="M131" s="113"/>
      <c r="N131" s="2"/>
      <c r="O131" s="696"/>
      <c r="P131" s="1"/>
      <c r="Q131" s="1"/>
      <c r="R131" s="1"/>
      <c r="S131" s="1"/>
      <c r="T131" s="1"/>
      <c r="U131" s="1"/>
      <c r="V131" s="1"/>
      <c r="W131" s="1"/>
      <c r="X131" s="1"/>
    </row>
    <row r="132" spans="2:24">
      <c r="B132" s="2"/>
      <c r="C132" s="2"/>
      <c r="D132" s="696"/>
      <c r="E132" s="2"/>
      <c r="F132" s="696"/>
      <c r="G132" s="113"/>
      <c r="H132" s="2"/>
      <c r="I132" s="696"/>
      <c r="J132" s="113"/>
      <c r="K132" s="2"/>
      <c r="L132" s="696"/>
      <c r="M132" s="113"/>
      <c r="N132" s="2"/>
      <c r="O132" s="696"/>
      <c r="P132" s="1"/>
      <c r="Q132" s="1"/>
      <c r="R132" s="1"/>
      <c r="S132" s="1"/>
      <c r="T132" s="1"/>
      <c r="U132" s="1"/>
      <c r="V132" s="1"/>
      <c r="W132" s="1"/>
      <c r="X132" s="1"/>
    </row>
    <row r="133" spans="2:24">
      <c r="B133" s="2"/>
      <c r="C133" s="2"/>
      <c r="D133" s="696"/>
      <c r="E133" s="2"/>
      <c r="F133" s="696"/>
      <c r="G133" s="113"/>
      <c r="H133" s="2"/>
      <c r="I133" s="696"/>
      <c r="J133" s="113"/>
      <c r="K133" s="2"/>
      <c r="L133" s="696"/>
      <c r="M133" s="113"/>
      <c r="N133" s="2"/>
      <c r="O133" s="696"/>
      <c r="P133" s="1"/>
      <c r="Q133" s="1"/>
      <c r="R133" s="1"/>
      <c r="S133" s="1"/>
      <c r="T133" s="1"/>
      <c r="U133" s="1"/>
      <c r="V133" s="1"/>
      <c r="W133" s="1"/>
      <c r="X133" s="1"/>
    </row>
    <row r="134" spans="2:24">
      <c r="B134" s="2"/>
      <c r="C134" s="2"/>
      <c r="D134" s="696"/>
      <c r="E134" s="2"/>
      <c r="F134" s="696"/>
      <c r="G134" s="113"/>
      <c r="H134" s="2"/>
      <c r="I134" s="696"/>
      <c r="J134" s="113"/>
      <c r="K134" s="2"/>
      <c r="L134" s="696"/>
      <c r="M134" s="113"/>
      <c r="N134" s="2"/>
      <c r="O134" s="696"/>
      <c r="P134" s="1"/>
      <c r="Q134" s="1"/>
      <c r="R134" s="1"/>
      <c r="S134" s="1"/>
      <c r="T134" s="1"/>
      <c r="U134" s="1"/>
      <c r="V134" s="1"/>
      <c r="W134" s="1"/>
      <c r="X134" s="1"/>
    </row>
    <row r="135" spans="2:24">
      <c r="B135" s="2"/>
      <c r="C135" s="2"/>
      <c r="D135" s="696"/>
      <c r="E135" s="2"/>
      <c r="F135" s="696"/>
      <c r="G135" s="113"/>
      <c r="H135" s="2"/>
      <c r="I135" s="696"/>
      <c r="J135" s="113"/>
      <c r="K135" s="2"/>
      <c r="L135" s="696"/>
      <c r="M135" s="113"/>
      <c r="N135" s="2"/>
      <c r="O135" s="696"/>
      <c r="P135" s="1"/>
      <c r="Q135" s="1"/>
      <c r="R135" s="1"/>
      <c r="S135" s="1"/>
      <c r="T135" s="1"/>
      <c r="U135" s="1"/>
      <c r="V135" s="1"/>
      <c r="W135" s="1"/>
      <c r="X135" s="1"/>
    </row>
    <row r="136" spans="2:24">
      <c r="B136" s="2"/>
      <c r="C136" s="2"/>
      <c r="D136" s="696"/>
      <c r="E136" s="2"/>
      <c r="F136" s="696"/>
      <c r="G136" s="113"/>
      <c r="H136" s="2"/>
      <c r="I136" s="696"/>
      <c r="J136" s="113"/>
      <c r="K136" s="2"/>
      <c r="L136" s="696"/>
      <c r="M136" s="113"/>
      <c r="N136" s="2"/>
      <c r="O136" s="696"/>
      <c r="P136" s="1"/>
      <c r="Q136" s="1"/>
      <c r="R136" s="1"/>
      <c r="S136" s="1"/>
      <c r="T136" s="1"/>
      <c r="U136" s="1"/>
      <c r="V136" s="1"/>
      <c r="W136" s="1"/>
      <c r="X136" s="1"/>
    </row>
    <row r="137" spans="2:24">
      <c r="B137" s="2"/>
      <c r="C137" s="2"/>
      <c r="D137" s="696"/>
      <c r="E137" s="2"/>
      <c r="F137" s="696"/>
      <c r="G137" s="113"/>
      <c r="H137" s="2"/>
      <c r="I137" s="696"/>
      <c r="J137" s="113"/>
      <c r="K137" s="2"/>
      <c r="L137" s="696"/>
      <c r="M137" s="113"/>
      <c r="N137" s="2"/>
      <c r="O137" s="696"/>
      <c r="P137" s="1"/>
      <c r="Q137" s="1"/>
      <c r="R137" s="1"/>
      <c r="S137" s="1"/>
      <c r="T137" s="1"/>
      <c r="U137" s="1"/>
      <c r="V137" s="1"/>
      <c r="W137" s="1"/>
      <c r="X137" s="1"/>
    </row>
    <row r="138" spans="2:24">
      <c r="B138" s="2"/>
      <c r="C138" s="2"/>
      <c r="D138" s="696"/>
      <c r="E138" s="2"/>
      <c r="F138" s="696"/>
      <c r="G138" s="113"/>
      <c r="H138" s="2"/>
      <c r="I138" s="696"/>
      <c r="J138" s="113"/>
      <c r="K138" s="2"/>
      <c r="L138" s="696"/>
      <c r="M138" s="113"/>
      <c r="N138" s="2"/>
      <c r="O138" s="696"/>
      <c r="P138" s="1"/>
      <c r="Q138" s="1"/>
      <c r="R138" s="1"/>
      <c r="S138" s="1"/>
      <c r="T138" s="1"/>
      <c r="U138" s="1"/>
      <c r="V138" s="1"/>
      <c r="W138" s="1"/>
      <c r="X138" s="1"/>
    </row>
    <row r="139" spans="2:24">
      <c r="B139" s="2"/>
      <c r="C139" s="2"/>
      <c r="D139" s="696"/>
      <c r="E139" s="2"/>
      <c r="F139" s="696"/>
      <c r="G139" s="113"/>
      <c r="H139" s="2"/>
      <c r="I139" s="696"/>
      <c r="J139" s="113"/>
      <c r="K139" s="2"/>
      <c r="L139" s="696"/>
      <c r="M139" s="113"/>
      <c r="N139" s="2"/>
      <c r="O139" s="696"/>
      <c r="P139" s="1"/>
      <c r="Q139" s="1"/>
      <c r="R139" s="1"/>
      <c r="S139" s="1"/>
      <c r="T139" s="1"/>
      <c r="U139" s="1"/>
      <c r="V139" s="1"/>
      <c r="W139" s="1"/>
      <c r="X139" s="1"/>
    </row>
    <row r="140" spans="2:24">
      <c r="B140" s="2"/>
      <c r="C140" s="2"/>
      <c r="D140" s="696"/>
      <c r="E140" s="2"/>
      <c r="F140" s="696"/>
      <c r="G140" s="113"/>
      <c r="H140" s="2"/>
      <c r="I140" s="696"/>
      <c r="J140" s="113"/>
      <c r="K140" s="2"/>
      <c r="L140" s="696"/>
      <c r="M140" s="113"/>
      <c r="N140" s="2"/>
      <c r="O140" s="696"/>
      <c r="P140" s="1"/>
      <c r="Q140" s="1"/>
      <c r="R140" s="1"/>
      <c r="S140" s="1"/>
      <c r="T140" s="1"/>
      <c r="U140" s="1"/>
      <c r="V140" s="1"/>
      <c r="W140" s="1"/>
      <c r="X140" s="1"/>
    </row>
    <row r="141" spans="2:24">
      <c r="B141" s="2"/>
      <c r="C141" s="2"/>
      <c r="D141" s="696"/>
      <c r="E141" s="2"/>
      <c r="F141" s="696"/>
      <c r="G141" s="113"/>
      <c r="H141" s="2"/>
      <c r="I141" s="696"/>
      <c r="J141" s="113"/>
      <c r="K141" s="2"/>
      <c r="L141" s="696"/>
      <c r="M141" s="113"/>
      <c r="N141" s="2"/>
      <c r="O141" s="696"/>
      <c r="P141" s="1"/>
      <c r="Q141" s="1"/>
      <c r="R141" s="1"/>
      <c r="S141" s="1"/>
      <c r="T141" s="1"/>
      <c r="U141" s="1"/>
      <c r="V141" s="1"/>
      <c r="W141" s="1"/>
      <c r="X141" s="1"/>
    </row>
    <row r="142" spans="2:24">
      <c r="B142" s="2"/>
      <c r="C142" s="2"/>
      <c r="D142" s="696"/>
      <c r="E142" s="2"/>
      <c r="F142" s="696"/>
      <c r="G142" s="113"/>
      <c r="H142" s="2"/>
      <c r="I142" s="696"/>
      <c r="J142" s="113"/>
      <c r="K142" s="2"/>
      <c r="L142" s="696"/>
      <c r="M142" s="113"/>
      <c r="N142" s="2"/>
      <c r="O142" s="696"/>
      <c r="P142" s="1"/>
      <c r="Q142" s="1"/>
      <c r="R142" s="1"/>
      <c r="S142" s="1"/>
      <c r="T142" s="1"/>
      <c r="U142" s="1"/>
      <c r="V142" s="1"/>
      <c r="W142" s="1"/>
      <c r="X142" s="1"/>
    </row>
    <row r="143" spans="2:24">
      <c r="B143" s="2"/>
      <c r="C143" s="2"/>
      <c r="D143" s="696"/>
      <c r="E143" s="2"/>
      <c r="F143" s="696"/>
      <c r="G143" s="113"/>
      <c r="H143" s="2"/>
      <c r="I143" s="696"/>
      <c r="J143" s="113"/>
      <c r="K143" s="2"/>
      <c r="L143" s="696"/>
      <c r="M143" s="113"/>
      <c r="N143" s="2"/>
      <c r="O143" s="696"/>
      <c r="P143" s="1"/>
      <c r="Q143" s="1"/>
      <c r="R143" s="1"/>
      <c r="S143" s="1"/>
      <c r="T143" s="1"/>
      <c r="U143" s="1"/>
      <c r="V143" s="1"/>
      <c r="W143" s="1"/>
      <c r="X143" s="1"/>
    </row>
    <row r="144" spans="2:24">
      <c r="B144" s="2"/>
      <c r="C144" s="2"/>
      <c r="D144" s="696"/>
      <c r="E144" s="2"/>
      <c r="F144" s="696"/>
      <c r="G144" s="113"/>
      <c r="H144" s="2"/>
      <c r="I144" s="696"/>
      <c r="J144" s="113"/>
      <c r="K144" s="2"/>
      <c r="L144" s="696"/>
      <c r="M144" s="113"/>
      <c r="N144" s="2"/>
      <c r="O144" s="696"/>
      <c r="P144" s="1"/>
      <c r="Q144" s="1"/>
      <c r="R144" s="1"/>
      <c r="S144" s="1"/>
      <c r="T144" s="1"/>
      <c r="U144" s="1"/>
      <c r="V144" s="1"/>
      <c r="W144" s="1"/>
      <c r="X144" s="1"/>
    </row>
    <row r="145" spans="2:24">
      <c r="B145" s="2"/>
      <c r="C145" s="2"/>
      <c r="D145" s="696"/>
      <c r="E145" s="2"/>
      <c r="F145" s="696"/>
      <c r="G145" s="113"/>
      <c r="H145" s="2"/>
      <c r="I145" s="696"/>
      <c r="J145" s="113"/>
      <c r="K145" s="2"/>
      <c r="L145" s="696"/>
      <c r="M145" s="113"/>
      <c r="N145" s="2"/>
      <c r="O145" s="696"/>
      <c r="P145" s="1"/>
      <c r="Q145" s="1"/>
      <c r="R145" s="1"/>
      <c r="S145" s="1"/>
      <c r="T145" s="1"/>
      <c r="U145" s="1"/>
      <c r="V145" s="1"/>
      <c r="W145" s="1"/>
      <c r="X145" s="1"/>
    </row>
    <row r="146" spans="2:24">
      <c r="B146" s="2"/>
      <c r="C146" s="2"/>
      <c r="D146" s="696"/>
      <c r="E146" s="2"/>
      <c r="F146" s="696"/>
      <c r="G146" s="113"/>
      <c r="H146" s="2"/>
      <c r="I146" s="696"/>
      <c r="J146" s="113"/>
      <c r="K146" s="2"/>
      <c r="L146" s="696"/>
      <c r="M146" s="113"/>
      <c r="N146" s="2"/>
      <c r="O146" s="696"/>
      <c r="P146" s="1"/>
      <c r="Q146" s="1"/>
      <c r="R146" s="1"/>
      <c r="S146" s="1"/>
      <c r="T146" s="1"/>
      <c r="U146" s="1"/>
      <c r="V146" s="1"/>
      <c r="W146" s="1"/>
      <c r="X146" s="1"/>
    </row>
    <row r="147" spans="2:24">
      <c r="B147" s="2"/>
      <c r="C147" s="2"/>
      <c r="D147" s="696"/>
      <c r="E147" s="2"/>
      <c r="F147" s="696"/>
      <c r="G147" s="113"/>
      <c r="H147" s="2"/>
      <c r="I147" s="696"/>
      <c r="J147" s="113"/>
      <c r="K147" s="2"/>
      <c r="L147" s="696"/>
      <c r="M147" s="113"/>
      <c r="N147" s="2"/>
      <c r="O147" s="696"/>
      <c r="P147" s="1"/>
      <c r="Q147" s="1"/>
      <c r="R147" s="1"/>
      <c r="S147" s="1"/>
      <c r="T147" s="1"/>
      <c r="U147" s="1"/>
      <c r="V147" s="1"/>
      <c r="W147" s="1"/>
      <c r="X147" s="1"/>
    </row>
    <row r="148" spans="2:24">
      <c r="B148" s="2"/>
      <c r="C148" s="2"/>
      <c r="D148" s="696"/>
      <c r="E148" s="2"/>
      <c r="F148" s="696"/>
      <c r="G148" s="113"/>
      <c r="H148" s="2"/>
      <c r="I148" s="696"/>
      <c r="J148" s="113"/>
      <c r="K148" s="2"/>
      <c r="L148" s="696"/>
      <c r="M148" s="113"/>
      <c r="N148" s="2"/>
      <c r="O148" s="696"/>
      <c r="P148" s="1"/>
      <c r="Q148" s="1"/>
      <c r="R148" s="1"/>
      <c r="S148" s="1"/>
      <c r="T148" s="1"/>
      <c r="U148" s="1"/>
      <c r="V148" s="1"/>
      <c r="W148" s="1"/>
      <c r="X148" s="1"/>
    </row>
    <row r="149" spans="2:24">
      <c r="B149" s="2"/>
      <c r="C149" s="2"/>
      <c r="D149" s="696"/>
      <c r="E149" s="2"/>
      <c r="F149" s="696"/>
      <c r="G149" s="113"/>
      <c r="H149" s="2"/>
      <c r="I149" s="696"/>
      <c r="J149" s="113"/>
      <c r="K149" s="2"/>
      <c r="L149" s="696"/>
      <c r="M149" s="113"/>
      <c r="N149" s="2"/>
      <c r="O149" s="696"/>
      <c r="P149" s="1"/>
      <c r="Q149" s="1"/>
      <c r="R149" s="1"/>
      <c r="S149" s="1"/>
      <c r="T149" s="1"/>
      <c r="U149" s="1"/>
      <c r="V149" s="1"/>
      <c r="W149" s="1"/>
      <c r="X149" s="1"/>
    </row>
    <row r="150" spans="2:24">
      <c r="B150" s="2"/>
      <c r="C150" s="2"/>
      <c r="D150" s="696"/>
      <c r="E150" s="2"/>
      <c r="F150" s="696"/>
      <c r="G150" s="113"/>
      <c r="H150" s="2"/>
      <c r="I150" s="696"/>
      <c r="J150" s="113"/>
      <c r="K150" s="2"/>
      <c r="L150" s="696"/>
      <c r="M150" s="113"/>
      <c r="N150" s="2"/>
      <c r="O150" s="696"/>
      <c r="P150" s="1"/>
      <c r="Q150" s="1"/>
      <c r="R150" s="1"/>
      <c r="S150" s="1"/>
      <c r="T150" s="1"/>
      <c r="U150" s="1"/>
      <c r="V150" s="1"/>
      <c r="W150" s="1"/>
      <c r="X150" s="1"/>
    </row>
    <row r="151" spans="2:24">
      <c r="B151" s="2"/>
      <c r="C151" s="2"/>
      <c r="D151" s="696"/>
      <c r="E151" s="2"/>
      <c r="F151" s="696"/>
      <c r="G151" s="113"/>
      <c r="H151" s="2"/>
      <c r="I151" s="696"/>
      <c r="J151" s="113"/>
      <c r="K151" s="2"/>
      <c r="L151" s="696"/>
      <c r="M151" s="113"/>
      <c r="N151" s="2"/>
      <c r="O151" s="696"/>
      <c r="P151" s="1"/>
      <c r="Q151" s="1"/>
      <c r="R151" s="1"/>
      <c r="S151" s="1"/>
      <c r="T151" s="1"/>
      <c r="U151" s="1"/>
      <c r="V151" s="1"/>
      <c r="W151" s="1"/>
      <c r="X151" s="1"/>
    </row>
    <row r="152" spans="2:24">
      <c r="B152" s="2"/>
      <c r="C152" s="2"/>
      <c r="D152" s="696"/>
      <c r="E152" s="2"/>
      <c r="F152" s="696"/>
      <c r="G152" s="113"/>
      <c r="H152" s="2"/>
      <c r="I152" s="696"/>
      <c r="J152" s="113"/>
      <c r="K152" s="2"/>
      <c r="L152" s="696"/>
      <c r="M152" s="113"/>
      <c r="N152" s="2"/>
      <c r="O152" s="696"/>
      <c r="P152" s="1"/>
      <c r="Q152" s="1"/>
      <c r="R152" s="1"/>
      <c r="S152" s="1"/>
      <c r="T152" s="1"/>
      <c r="U152" s="1"/>
      <c r="V152" s="1"/>
      <c r="W152" s="1"/>
      <c r="X152" s="1"/>
    </row>
    <row r="153" spans="2:24">
      <c r="B153" s="2"/>
      <c r="C153" s="2"/>
      <c r="D153" s="696"/>
      <c r="E153" s="2"/>
      <c r="F153" s="696"/>
      <c r="G153" s="113"/>
      <c r="H153" s="2"/>
      <c r="I153" s="696"/>
      <c r="J153" s="113"/>
      <c r="K153" s="2"/>
      <c r="L153" s="696"/>
      <c r="M153" s="113"/>
      <c r="N153" s="2"/>
      <c r="O153" s="696"/>
      <c r="P153" s="1"/>
      <c r="Q153" s="1"/>
      <c r="R153" s="1"/>
      <c r="S153" s="1"/>
      <c r="T153" s="1"/>
      <c r="U153" s="1"/>
      <c r="V153" s="1"/>
      <c r="W153" s="1"/>
      <c r="X153" s="1"/>
    </row>
    <row r="154" spans="2:24">
      <c r="B154" s="2"/>
      <c r="C154" s="2"/>
      <c r="D154" s="696"/>
      <c r="E154" s="2"/>
      <c r="F154" s="696"/>
      <c r="G154" s="113"/>
      <c r="H154" s="2"/>
      <c r="I154" s="696"/>
      <c r="J154" s="113"/>
      <c r="K154" s="2"/>
      <c r="L154" s="696"/>
      <c r="M154" s="113"/>
      <c r="N154" s="2"/>
      <c r="O154" s="696"/>
      <c r="P154" s="1"/>
      <c r="Q154" s="1"/>
      <c r="R154" s="1"/>
      <c r="S154" s="1"/>
      <c r="T154" s="1"/>
      <c r="U154" s="1"/>
      <c r="V154" s="1"/>
      <c r="W154" s="1"/>
      <c r="X154" s="1"/>
    </row>
    <row r="155" spans="2:24">
      <c r="B155" s="2"/>
      <c r="C155" s="2"/>
      <c r="D155" s="696"/>
      <c r="E155" s="2"/>
      <c r="F155" s="696"/>
      <c r="G155" s="113"/>
      <c r="H155" s="2"/>
      <c r="I155" s="696"/>
      <c r="J155" s="113"/>
      <c r="K155" s="2"/>
      <c r="L155" s="696"/>
      <c r="M155" s="113"/>
      <c r="N155" s="2"/>
      <c r="O155" s="696"/>
      <c r="P155" s="1"/>
      <c r="Q155" s="1"/>
      <c r="R155" s="1"/>
      <c r="S155" s="1"/>
      <c r="T155" s="1"/>
      <c r="U155" s="1"/>
      <c r="V155" s="1"/>
      <c r="W155" s="1"/>
      <c r="X155" s="1"/>
    </row>
    <row r="156" spans="2:24">
      <c r="B156" s="2"/>
      <c r="C156" s="2"/>
      <c r="D156" s="696"/>
      <c r="E156" s="2"/>
      <c r="F156" s="696"/>
      <c r="G156" s="113"/>
      <c r="H156" s="2"/>
      <c r="I156" s="696"/>
      <c r="J156" s="113"/>
      <c r="K156" s="2"/>
      <c r="L156" s="696"/>
      <c r="M156" s="113"/>
      <c r="N156" s="2"/>
      <c r="O156" s="696"/>
      <c r="P156" s="1"/>
      <c r="Q156" s="1"/>
      <c r="R156" s="1"/>
      <c r="S156" s="1"/>
      <c r="T156" s="1"/>
      <c r="U156" s="1"/>
      <c r="V156" s="1"/>
      <c r="W156" s="1"/>
      <c r="X156" s="1"/>
    </row>
    <row r="157" spans="2:24">
      <c r="B157" s="2"/>
      <c r="C157" s="2"/>
      <c r="D157" s="696"/>
      <c r="E157" s="2"/>
      <c r="F157" s="696"/>
      <c r="G157" s="113"/>
      <c r="H157" s="2"/>
      <c r="I157" s="696"/>
      <c r="J157" s="113"/>
      <c r="K157" s="2"/>
      <c r="L157" s="696"/>
      <c r="M157" s="113"/>
      <c r="N157" s="2"/>
      <c r="O157" s="696"/>
      <c r="P157" s="1"/>
      <c r="Q157" s="1"/>
      <c r="R157" s="1"/>
      <c r="S157" s="1"/>
      <c r="T157" s="1"/>
      <c r="U157" s="1"/>
      <c r="V157" s="1"/>
      <c r="W157" s="1"/>
      <c r="X157" s="1"/>
    </row>
    <row r="158" spans="2:24">
      <c r="B158" s="2"/>
      <c r="C158" s="2"/>
      <c r="D158" s="696"/>
      <c r="E158" s="2"/>
      <c r="F158" s="696"/>
      <c r="G158" s="113"/>
      <c r="H158" s="2"/>
      <c r="I158" s="696"/>
      <c r="J158" s="113"/>
      <c r="K158" s="2"/>
      <c r="L158" s="696"/>
      <c r="M158" s="113"/>
      <c r="N158" s="2"/>
      <c r="O158" s="696"/>
      <c r="P158" s="1"/>
      <c r="Q158" s="1"/>
      <c r="R158" s="1"/>
      <c r="S158" s="1"/>
      <c r="T158" s="1"/>
      <c r="U158" s="1"/>
      <c r="V158" s="1"/>
      <c r="W158" s="1"/>
      <c r="X158" s="1"/>
    </row>
    <row r="159" spans="2:24">
      <c r="B159" s="2"/>
      <c r="C159" s="2"/>
      <c r="D159" s="696"/>
      <c r="E159" s="2"/>
      <c r="F159" s="696"/>
      <c r="G159" s="113"/>
      <c r="H159" s="2"/>
      <c r="I159" s="696"/>
      <c r="J159" s="113"/>
      <c r="K159" s="2"/>
      <c r="L159" s="696"/>
      <c r="M159" s="113"/>
      <c r="N159" s="2"/>
      <c r="O159" s="696"/>
      <c r="P159" s="1"/>
      <c r="Q159" s="1"/>
      <c r="R159" s="1"/>
      <c r="S159" s="1"/>
      <c r="T159" s="1"/>
      <c r="U159" s="1"/>
      <c r="V159" s="1"/>
      <c r="W159" s="1"/>
      <c r="X159" s="1"/>
    </row>
    <row r="160" spans="2:24">
      <c r="B160" s="2"/>
      <c r="C160" s="2"/>
      <c r="D160" s="696"/>
      <c r="E160" s="2"/>
      <c r="F160" s="696"/>
      <c r="G160" s="113"/>
      <c r="H160" s="2"/>
      <c r="I160" s="696"/>
      <c r="J160" s="113"/>
      <c r="K160" s="2"/>
      <c r="L160" s="696"/>
      <c r="M160" s="113"/>
      <c r="N160" s="2"/>
      <c r="O160" s="696"/>
      <c r="P160" s="1"/>
      <c r="Q160" s="1"/>
      <c r="R160" s="1"/>
      <c r="S160" s="1"/>
      <c r="T160" s="1"/>
      <c r="U160" s="1"/>
      <c r="V160" s="1"/>
      <c r="W160" s="1"/>
      <c r="X160" s="1"/>
    </row>
    <row r="161" spans="2:24">
      <c r="B161" s="2"/>
      <c r="C161" s="2"/>
      <c r="D161" s="696"/>
      <c r="E161" s="2"/>
      <c r="F161" s="696"/>
      <c r="G161" s="113"/>
      <c r="H161" s="2"/>
      <c r="I161" s="696"/>
      <c r="J161" s="113"/>
      <c r="K161" s="2"/>
      <c r="L161" s="696"/>
      <c r="M161" s="113"/>
      <c r="N161" s="2"/>
      <c r="O161" s="696"/>
      <c r="P161" s="1"/>
      <c r="Q161" s="1"/>
      <c r="R161" s="1"/>
      <c r="S161" s="1"/>
      <c r="T161" s="1"/>
      <c r="U161" s="1"/>
      <c r="V161" s="1"/>
      <c r="W161" s="1"/>
      <c r="X161" s="1"/>
    </row>
    <row r="162" spans="2:24">
      <c r="B162" s="2"/>
      <c r="C162" s="2"/>
      <c r="D162" s="696"/>
      <c r="E162" s="2"/>
      <c r="F162" s="696"/>
      <c r="G162" s="113"/>
      <c r="H162" s="2"/>
      <c r="I162" s="696"/>
      <c r="J162" s="113"/>
      <c r="K162" s="2"/>
      <c r="L162" s="696"/>
      <c r="M162" s="113"/>
      <c r="N162" s="2"/>
      <c r="O162" s="696"/>
      <c r="P162" s="1"/>
      <c r="Q162" s="1"/>
      <c r="R162" s="1"/>
      <c r="S162" s="1"/>
      <c r="T162" s="1"/>
      <c r="U162" s="1"/>
      <c r="V162" s="1"/>
      <c r="W162" s="1"/>
      <c r="X162" s="1"/>
    </row>
    <row r="163" spans="2:24">
      <c r="B163" s="2"/>
      <c r="C163" s="2"/>
      <c r="D163" s="696"/>
      <c r="E163" s="2"/>
      <c r="F163" s="696"/>
      <c r="G163" s="113"/>
      <c r="H163" s="2"/>
      <c r="I163" s="696"/>
      <c r="J163" s="113"/>
      <c r="K163" s="2"/>
      <c r="L163" s="696"/>
      <c r="M163" s="113"/>
      <c r="N163" s="2"/>
      <c r="O163" s="696"/>
      <c r="P163" s="1"/>
      <c r="Q163" s="1"/>
      <c r="R163" s="1"/>
      <c r="S163" s="1"/>
      <c r="T163" s="1"/>
      <c r="U163" s="1"/>
      <c r="V163" s="1"/>
      <c r="W163" s="1"/>
      <c r="X163" s="1"/>
    </row>
    <row r="164" spans="2:24">
      <c r="B164" s="2"/>
      <c r="C164" s="2"/>
      <c r="D164" s="696"/>
      <c r="E164" s="2"/>
      <c r="F164" s="696"/>
      <c r="G164" s="113"/>
      <c r="H164" s="2"/>
      <c r="I164" s="696"/>
      <c r="J164" s="113"/>
      <c r="K164" s="2"/>
      <c r="L164" s="696"/>
      <c r="M164" s="113"/>
      <c r="N164" s="2"/>
      <c r="O164" s="696"/>
      <c r="P164" s="1"/>
      <c r="Q164" s="1"/>
      <c r="R164" s="1"/>
      <c r="S164" s="1"/>
      <c r="T164" s="1"/>
      <c r="U164" s="1"/>
      <c r="V164" s="1"/>
      <c r="W164" s="1"/>
      <c r="X164" s="1"/>
    </row>
    <row r="165" spans="2:24">
      <c r="B165" s="2"/>
      <c r="C165" s="2"/>
      <c r="D165" s="696"/>
      <c r="E165" s="2"/>
      <c r="F165" s="696"/>
      <c r="G165" s="113"/>
      <c r="H165" s="2"/>
      <c r="I165" s="696"/>
      <c r="J165" s="113"/>
      <c r="K165" s="2"/>
      <c r="L165" s="696"/>
      <c r="M165" s="113"/>
      <c r="N165" s="2"/>
      <c r="O165" s="696"/>
      <c r="P165" s="1"/>
      <c r="Q165" s="1"/>
      <c r="R165" s="1"/>
      <c r="S165" s="1"/>
      <c r="T165" s="1"/>
      <c r="U165" s="1"/>
      <c r="V165" s="1"/>
      <c r="W165" s="1"/>
      <c r="X165" s="1"/>
    </row>
    <row r="166" spans="2:24">
      <c r="B166" s="2"/>
      <c r="C166" s="2"/>
      <c r="D166" s="696"/>
      <c r="E166" s="2"/>
      <c r="F166" s="696"/>
      <c r="G166" s="113"/>
      <c r="H166" s="2"/>
      <c r="I166" s="696"/>
      <c r="J166" s="113"/>
      <c r="K166" s="2"/>
      <c r="L166" s="696"/>
      <c r="M166" s="113"/>
      <c r="N166" s="2"/>
      <c r="O166" s="696"/>
      <c r="P166" s="1"/>
      <c r="Q166" s="1"/>
      <c r="R166" s="1"/>
      <c r="S166" s="1"/>
      <c r="T166" s="1"/>
      <c r="U166" s="1"/>
      <c r="V166" s="1"/>
      <c r="W166" s="1"/>
      <c r="X166" s="1"/>
    </row>
    <row r="167" spans="2:24">
      <c r="B167" s="2"/>
      <c r="C167" s="2"/>
      <c r="D167" s="696"/>
      <c r="E167" s="2"/>
      <c r="F167" s="696"/>
      <c r="G167" s="113"/>
      <c r="H167" s="2"/>
      <c r="I167" s="696"/>
      <c r="J167" s="113"/>
      <c r="K167" s="2"/>
      <c r="L167" s="696"/>
      <c r="M167" s="113"/>
      <c r="N167" s="2"/>
      <c r="O167" s="696"/>
      <c r="P167" s="1"/>
      <c r="Q167" s="1"/>
      <c r="R167" s="1"/>
      <c r="S167" s="1"/>
      <c r="T167" s="1"/>
      <c r="U167" s="1"/>
      <c r="V167" s="1"/>
      <c r="W167" s="1"/>
      <c r="X167" s="1"/>
    </row>
    <row r="168" spans="2:24">
      <c r="B168" s="2"/>
      <c r="C168" s="2"/>
      <c r="D168" s="696"/>
      <c r="E168" s="2"/>
      <c r="F168" s="696"/>
      <c r="G168" s="113"/>
      <c r="H168" s="2"/>
      <c r="I168" s="696"/>
      <c r="J168" s="113"/>
      <c r="K168" s="2"/>
      <c r="L168" s="696"/>
      <c r="M168" s="113"/>
      <c r="N168" s="2"/>
      <c r="O168" s="696"/>
      <c r="P168" s="1"/>
      <c r="Q168" s="1"/>
      <c r="R168" s="1"/>
      <c r="S168" s="1"/>
      <c r="T168" s="1"/>
      <c r="U168" s="1"/>
      <c r="V168" s="1"/>
      <c r="W168" s="1"/>
      <c r="X168" s="1"/>
    </row>
    <row r="169" spans="2:24">
      <c r="B169" s="2"/>
      <c r="C169" s="2"/>
      <c r="D169" s="696"/>
      <c r="E169" s="2"/>
      <c r="F169" s="696"/>
      <c r="G169" s="113"/>
      <c r="H169" s="2"/>
      <c r="I169" s="696"/>
      <c r="J169" s="113"/>
      <c r="K169" s="2"/>
      <c r="L169" s="696"/>
      <c r="M169" s="113"/>
      <c r="N169" s="2"/>
      <c r="O169" s="696"/>
      <c r="P169" s="1"/>
      <c r="Q169" s="1"/>
      <c r="R169" s="1"/>
      <c r="S169" s="1"/>
      <c r="T169" s="1"/>
      <c r="U169" s="1"/>
      <c r="V169" s="1"/>
      <c r="W169" s="1"/>
      <c r="X169" s="1"/>
    </row>
    <row r="170" spans="2:24">
      <c r="B170" s="2"/>
      <c r="C170" s="2"/>
      <c r="D170" s="696"/>
      <c r="E170" s="2"/>
      <c r="F170" s="696"/>
      <c r="G170" s="113"/>
      <c r="H170" s="2"/>
      <c r="I170" s="696"/>
      <c r="J170" s="113"/>
      <c r="K170" s="2"/>
      <c r="L170" s="696"/>
      <c r="M170" s="113"/>
      <c r="N170" s="2"/>
      <c r="O170" s="696"/>
      <c r="P170" s="1"/>
      <c r="Q170" s="1"/>
      <c r="R170" s="1"/>
      <c r="S170" s="1"/>
      <c r="T170" s="1"/>
      <c r="U170" s="1"/>
      <c r="V170" s="1"/>
      <c r="W170" s="1"/>
      <c r="X170" s="1"/>
    </row>
    <row r="171" spans="2:24">
      <c r="B171" s="2"/>
      <c r="C171" s="2"/>
      <c r="D171" s="696"/>
      <c r="E171" s="2"/>
      <c r="F171" s="696"/>
      <c r="G171" s="113"/>
      <c r="H171" s="2"/>
      <c r="I171" s="696"/>
      <c r="J171" s="113"/>
      <c r="K171" s="2"/>
      <c r="L171" s="696"/>
      <c r="M171" s="113"/>
      <c r="N171" s="2"/>
      <c r="O171" s="696"/>
      <c r="P171" s="1"/>
      <c r="Q171" s="1"/>
      <c r="R171" s="1"/>
      <c r="S171" s="1"/>
      <c r="T171" s="1"/>
      <c r="U171" s="1"/>
      <c r="V171" s="1"/>
      <c r="W171" s="1"/>
      <c r="X171" s="1"/>
    </row>
    <row r="172" spans="2:24">
      <c r="B172" s="2"/>
      <c r="C172" s="2"/>
      <c r="D172" s="696"/>
      <c r="E172" s="2"/>
      <c r="F172" s="696"/>
      <c r="G172" s="113"/>
      <c r="H172" s="2"/>
      <c r="I172" s="696"/>
      <c r="J172" s="113"/>
      <c r="K172" s="2"/>
      <c r="L172" s="696"/>
      <c r="M172" s="113"/>
      <c r="N172" s="2"/>
      <c r="O172" s="696"/>
      <c r="P172" s="1"/>
      <c r="Q172" s="1"/>
      <c r="R172" s="1"/>
      <c r="S172" s="1"/>
      <c r="T172" s="1"/>
      <c r="U172" s="1"/>
      <c r="V172" s="1"/>
      <c r="W172" s="1"/>
      <c r="X172" s="1"/>
    </row>
    <row r="173" spans="2:24">
      <c r="B173" s="2"/>
      <c r="C173" s="2"/>
      <c r="D173" s="696"/>
      <c r="E173" s="2"/>
      <c r="F173" s="696"/>
      <c r="G173" s="113"/>
      <c r="H173" s="2"/>
      <c r="I173" s="696"/>
      <c r="J173" s="113"/>
      <c r="K173" s="2"/>
      <c r="L173" s="696"/>
      <c r="M173" s="113"/>
      <c r="N173" s="2"/>
      <c r="O173" s="696"/>
      <c r="P173" s="1"/>
      <c r="Q173" s="1"/>
      <c r="R173" s="1"/>
      <c r="S173" s="1"/>
      <c r="T173" s="1"/>
      <c r="U173" s="1"/>
      <c r="V173" s="1"/>
      <c r="W173" s="1"/>
      <c r="X173" s="1"/>
    </row>
    <row r="174" spans="2:24">
      <c r="B174" s="709"/>
      <c r="C174" s="709"/>
      <c r="D174" s="710"/>
      <c r="E174" s="709"/>
      <c r="F174" s="710"/>
      <c r="G174" s="711"/>
      <c r="H174" s="709"/>
      <c r="I174" s="710"/>
      <c r="J174" s="711"/>
      <c r="K174" s="709"/>
      <c r="L174" s="696"/>
      <c r="M174" s="113"/>
      <c r="N174" s="709"/>
      <c r="O174" s="710"/>
      <c r="P174" s="1"/>
      <c r="Q174" s="1"/>
      <c r="R174" s="1"/>
      <c r="S174" s="1"/>
      <c r="T174" s="1"/>
      <c r="U174" s="1"/>
      <c r="V174" s="1"/>
      <c r="W174" s="1"/>
      <c r="X174" s="1"/>
    </row>
    <row r="175" spans="2:24">
      <c r="B175" s="709"/>
      <c r="C175" s="709"/>
      <c r="D175" s="710"/>
      <c r="E175" s="709"/>
      <c r="F175" s="710"/>
      <c r="G175" s="711"/>
      <c r="H175" s="709"/>
      <c r="I175" s="710"/>
      <c r="J175" s="711"/>
      <c r="K175" s="709"/>
      <c r="L175" s="696"/>
      <c r="M175" s="113"/>
      <c r="N175" s="709"/>
      <c r="O175" s="710"/>
      <c r="P175" s="1"/>
      <c r="Q175" s="1"/>
      <c r="R175" s="1"/>
      <c r="S175" s="1"/>
      <c r="T175" s="1"/>
      <c r="U175" s="1"/>
      <c r="V175" s="1"/>
      <c r="W175" s="1"/>
      <c r="X175" s="1"/>
    </row>
    <row r="176" spans="2:24">
      <c r="B176" s="709"/>
      <c r="C176" s="709"/>
      <c r="D176" s="710"/>
      <c r="E176" s="709"/>
      <c r="F176" s="710"/>
      <c r="G176" s="711"/>
      <c r="H176" s="709"/>
      <c r="I176" s="710"/>
      <c r="J176" s="711"/>
      <c r="K176" s="709"/>
      <c r="L176" s="696"/>
      <c r="M176" s="113"/>
      <c r="N176" s="709"/>
      <c r="O176" s="710"/>
      <c r="P176" s="1"/>
      <c r="Q176" s="1"/>
      <c r="R176" s="1"/>
      <c r="S176" s="1"/>
      <c r="T176" s="1"/>
      <c r="U176" s="1"/>
      <c r="V176" s="1"/>
      <c r="W176" s="1"/>
      <c r="X176" s="1"/>
    </row>
    <row r="177" spans="2:24">
      <c r="B177" s="709"/>
      <c r="C177" s="709"/>
      <c r="D177" s="710"/>
      <c r="E177" s="709"/>
      <c r="F177" s="710"/>
      <c r="G177" s="711"/>
      <c r="H177" s="709"/>
      <c r="I177" s="710"/>
      <c r="J177" s="711"/>
      <c r="K177" s="709"/>
      <c r="L177" s="696"/>
      <c r="M177" s="113"/>
      <c r="N177" s="709"/>
      <c r="O177" s="710"/>
      <c r="P177" s="1"/>
      <c r="Q177" s="1"/>
      <c r="R177" s="1"/>
      <c r="S177" s="1"/>
      <c r="T177" s="1"/>
      <c r="U177" s="1"/>
      <c r="V177" s="1"/>
      <c r="W177" s="1"/>
      <c r="X177" s="1"/>
    </row>
    <row r="178" spans="2:24">
      <c r="B178" s="709"/>
      <c r="C178" s="709"/>
      <c r="D178" s="710"/>
      <c r="E178" s="709"/>
      <c r="F178" s="710"/>
      <c r="G178" s="711"/>
      <c r="H178" s="709"/>
      <c r="I178" s="710"/>
      <c r="J178" s="711"/>
      <c r="K178" s="709"/>
      <c r="L178" s="696"/>
      <c r="M178" s="113"/>
      <c r="N178" s="709"/>
      <c r="O178" s="710"/>
      <c r="P178" s="1"/>
      <c r="Q178" s="1"/>
      <c r="R178" s="1"/>
      <c r="S178" s="1"/>
      <c r="T178" s="1"/>
      <c r="U178" s="1"/>
      <c r="V178" s="1"/>
      <c r="W178" s="1"/>
      <c r="X178" s="1"/>
    </row>
    <row r="179" spans="2:24">
      <c r="B179" s="709"/>
      <c r="C179" s="709"/>
      <c r="D179" s="710"/>
      <c r="E179" s="709"/>
      <c r="F179" s="710"/>
      <c r="G179" s="711"/>
      <c r="H179" s="709"/>
      <c r="I179" s="710"/>
      <c r="J179" s="711"/>
      <c r="K179" s="709"/>
      <c r="L179" s="696"/>
      <c r="M179" s="113"/>
      <c r="N179" s="709"/>
      <c r="O179" s="710"/>
      <c r="P179" s="1"/>
      <c r="Q179" s="1"/>
      <c r="R179" s="1"/>
      <c r="S179" s="1"/>
      <c r="T179" s="1"/>
      <c r="U179" s="1"/>
      <c r="V179" s="1"/>
      <c r="W179" s="1"/>
      <c r="X179" s="1"/>
    </row>
    <row r="180" spans="2:24">
      <c r="B180" s="709"/>
      <c r="C180" s="709"/>
      <c r="D180" s="710"/>
      <c r="E180" s="709"/>
      <c r="F180" s="710"/>
      <c r="G180" s="711"/>
      <c r="H180" s="709"/>
      <c r="I180" s="710"/>
      <c r="J180" s="711"/>
      <c r="K180" s="709"/>
      <c r="L180" s="696"/>
      <c r="M180" s="113"/>
      <c r="N180" s="709"/>
      <c r="O180" s="710"/>
      <c r="P180" s="1"/>
      <c r="Q180" s="1"/>
      <c r="R180" s="1"/>
      <c r="S180" s="1"/>
      <c r="T180" s="1"/>
      <c r="U180" s="1"/>
      <c r="V180" s="1"/>
      <c r="W180" s="1"/>
      <c r="X180" s="1"/>
    </row>
    <row r="181" spans="2:24">
      <c r="B181" s="709"/>
      <c r="C181" s="709"/>
      <c r="D181" s="710"/>
      <c r="E181" s="709"/>
      <c r="F181" s="710"/>
      <c r="G181" s="711"/>
      <c r="H181" s="709"/>
      <c r="I181" s="710"/>
      <c r="J181" s="711"/>
      <c r="K181" s="709"/>
      <c r="L181" s="696"/>
      <c r="M181" s="113"/>
      <c r="N181" s="709"/>
      <c r="O181" s="710"/>
      <c r="P181" s="1"/>
      <c r="Q181" s="1"/>
      <c r="R181" s="1"/>
      <c r="S181" s="1"/>
      <c r="T181" s="1"/>
      <c r="U181" s="1"/>
      <c r="V181" s="1"/>
      <c r="W181" s="1"/>
      <c r="X181" s="1"/>
    </row>
    <row r="182" spans="2:24">
      <c r="B182" s="709"/>
      <c r="C182" s="709"/>
      <c r="D182" s="710"/>
      <c r="E182" s="709"/>
      <c r="F182" s="710"/>
      <c r="G182" s="711"/>
      <c r="H182" s="709"/>
      <c r="I182" s="710"/>
      <c r="J182" s="711"/>
      <c r="K182" s="709"/>
      <c r="L182" s="696"/>
      <c r="M182" s="113"/>
      <c r="N182" s="709"/>
      <c r="O182" s="710"/>
      <c r="P182" s="1"/>
      <c r="Q182" s="1"/>
      <c r="R182" s="1"/>
      <c r="S182" s="1"/>
      <c r="T182" s="1"/>
      <c r="U182" s="1"/>
      <c r="V182" s="1"/>
      <c r="W182" s="1"/>
      <c r="X182" s="1"/>
    </row>
    <row r="183" spans="2:24">
      <c r="B183" s="709"/>
      <c r="C183" s="709"/>
      <c r="D183" s="710"/>
      <c r="E183" s="709"/>
      <c r="F183" s="710"/>
      <c r="G183" s="711"/>
      <c r="H183" s="709"/>
      <c r="I183" s="710"/>
      <c r="J183" s="711"/>
      <c r="K183" s="709"/>
      <c r="L183" s="696"/>
      <c r="M183" s="113"/>
      <c r="N183" s="709"/>
      <c r="O183" s="710"/>
      <c r="P183" s="1"/>
      <c r="Q183" s="1"/>
      <c r="R183" s="1"/>
      <c r="S183" s="1"/>
      <c r="T183" s="1"/>
      <c r="U183" s="1"/>
      <c r="V183" s="1"/>
      <c r="W183" s="1"/>
      <c r="X183" s="1"/>
    </row>
    <row r="184" spans="2:24">
      <c r="B184" s="709"/>
      <c r="C184" s="709"/>
      <c r="D184" s="710"/>
      <c r="E184" s="709"/>
      <c r="F184" s="710"/>
      <c r="G184" s="711"/>
      <c r="H184" s="709"/>
      <c r="I184" s="710"/>
      <c r="J184" s="711"/>
      <c r="K184" s="709"/>
      <c r="L184" s="696"/>
      <c r="M184" s="113"/>
      <c r="N184" s="709"/>
      <c r="O184" s="710"/>
      <c r="P184" s="1"/>
      <c r="Q184" s="1"/>
      <c r="R184" s="1"/>
      <c r="S184" s="1"/>
      <c r="T184" s="1"/>
      <c r="U184" s="1"/>
      <c r="V184" s="1"/>
      <c r="W184" s="1"/>
      <c r="X184" s="1"/>
    </row>
    <row r="185" spans="2:24">
      <c r="B185" s="709"/>
      <c r="C185" s="709"/>
      <c r="D185" s="710"/>
      <c r="E185" s="709"/>
      <c r="F185" s="710"/>
      <c r="G185" s="711"/>
      <c r="H185" s="709"/>
      <c r="I185" s="710"/>
      <c r="J185" s="711"/>
      <c r="K185" s="709"/>
      <c r="L185" s="696"/>
      <c r="M185" s="113"/>
      <c r="N185" s="709"/>
      <c r="O185" s="710"/>
      <c r="P185" s="1"/>
      <c r="Q185" s="1"/>
      <c r="R185" s="1"/>
      <c r="S185" s="1"/>
      <c r="T185" s="1"/>
      <c r="U185" s="1"/>
      <c r="V185" s="1"/>
      <c r="W185" s="1"/>
      <c r="X185" s="1"/>
    </row>
    <row r="186" spans="2:24">
      <c r="B186" s="709"/>
      <c r="C186" s="709"/>
      <c r="D186" s="710"/>
      <c r="E186" s="709"/>
      <c r="F186" s="710"/>
      <c r="G186" s="711"/>
      <c r="H186" s="709"/>
      <c r="I186" s="710"/>
      <c r="J186" s="711"/>
      <c r="K186" s="709"/>
      <c r="L186" s="696"/>
      <c r="M186" s="113"/>
      <c r="N186" s="709"/>
      <c r="O186" s="710"/>
      <c r="P186" s="1"/>
      <c r="Q186" s="1"/>
      <c r="R186" s="1"/>
      <c r="S186" s="1"/>
      <c r="T186" s="1"/>
      <c r="U186" s="1"/>
      <c r="V186" s="1"/>
      <c r="W186" s="1"/>
      <c r="X186" s="1"/>
    </row>
    <row r="187" spans="2:24">
      <c r="B187" s="709"/>
      <c r="C187" s="709"/>
      <c r="D187" s="710"/>
      <c r="E187" s="709"/>
      <c r="F187" s="710"/>
      <c r="G187" s="711"/>
      <c r="H187" s="709"/>
      <c r="I187" s="710"/>
      <c r="J187" s="711"/>
      <c r="K187" s="709"/>
      <c r="L187" s="696"/>
      <c r="M187" s="113"/>
      <c r="N187" s="709"/>
      <c r="O187" s="710"/>
      <c r="P187" s="1"/>
      <c r="Q187" s="1"/>
      <c r="R187" s="1"/>
      <c r="S187" s="1"/>
      <c r="T187" s="1"/>
      <c r="U187" s="1"/>
      <c r="V187" s="1"/>
      <c r="W187" s="1"/>
      <c r="X187" s="1"/>
    </row>
    <row r="188" spans="2:24">
      <c r="B188" s="709"/>
      <c r="C188" s="709"/>
      <c r="D188" s="710"/>
      <c r="E188" s="709"/>
      <c r="F188" s="710"/>
      <c r="G188" s="711"/>
      <c r="H188" s="709"/>
      <c r="I188" s="710"/>
      <c r="J188" s="711"/>
      <c r="K188" s="709"/>
      <c r="L188" s="696"/>
      <c r="M188" s="113"/>
      <c r="N188" s="709"/>
      <c r="O188" s="710"/>
      <c r="P188" s="1"/>
      <c r="Q188" s="1"/>
      <c r="R188" s="1"/>
      <c r="S188" s="1"/>
      <c r="T188" s="1"/>
      <c r="U188" s="1"/>
      <c r="V188" s="1"/>
      <c r="W188" s="1"/>
      <c r="X188" s="1"/>
    </row>
    <row r="189" spans="2:24">
      <c r="B189" s="709"/>
      <c r="C189" s="709"/>
      <c r="D189" s="710"/>
      <c r="E189" s="709"/>
      <c r="F189" s="710"/>
      <c r="G189" s="711"/>
      <c r="H189" s="709"/>
      <c r="I189" s="710"/>
      <c r="J189" s="711"/>
      <c r="K189" s="709"/>
      <c r="L189" s="696"/>
      <c r="M189" s="113"/>
      <c r="N189" s="709"/>
      <c r="O189" s="710"/>
      <c r="P189" s="1"/>
      <c r="Q189" s="1"/>
      <c r="R189" s="1"/>
      <c r="S189" s="1"/>
      <c r="T189" s="1"/>
      <c r="U189" s="1"/>
      <c r="V189" s="1"/>
      <c r="W189" s="1"/>
      <c r="X189" s="1"/>
    </row>
    <row r="190" spans="2:24">
      <c r="B190" s="709"/>
      <c r="C190" s="709"/>
      <c r="D190" s="710"/>
      <c r="E190" s="709"/>
      <c r="F190" s="710"/>
      <c r="G190" s="711"/>
      <c r="H190" s="709"/>
      <c r="I190" s="710"/>
      <c r="J190" s="711"/>
      <c r="K190" s="709"/>
      <c r="L190" s="696"/>
      <c r="M190" s="113"/>
      <c r="N190" s="709"/>
      <c r="O190" s="710"/>
      <c r="P190" s="1"/>
      <c r="Q190" s="1"/>
      <c r="R190" s="1"/>
      <c r="S190" s="1"/>
      <c r="T190" s="1"/>
      <c r="U190" s="1"/>
      <c r="V190" s="1"/>
      <c r="W190" s="1"/>
      <c r="X190" s="1"/>
    </row>
    <row r="191" spans="2:24">
      <c r="B191" s="709"/>
      <c r="C191" s="709"/>
      <c r="D191" s="710"/>
      <c r="E191" s="709"/>
      <c r="F191" s="710"/>
      <c r="G191" s="711"/>
      <c r="H191" s="709"/>
      <c r="I191" s="710"/>
      <c r="J191" s="711"/>
      <c r="K191" s="709"/>
      <c r="L191" s="696"/>
      <c r="M191" s="113"/>
      <c r="N191" s="709"/>
      <c r="O191" s="710"/>
      <c r="P191" s="1"/>
      <c r="Q191" s="1"/>
      <c r="R191" s="1"/>
      <c r="S191" s="1"/>
      <c r="T191" s="1"/>
      <c r="U191" s="1"/>
      <c r="V191" s="1"/>
      <c r="W191" s="1"/>
      <c r="X191" s="1"/>
    </row>
    <row r="192" spans="2:24">
      <c r="B192" s="709"/>
      <c r="C192" s="709"/>
      <c r="D192" s="710"/>
      <c r="E192" s="709"/>
      <c r="F192" s="710"/>
      <c r="G192" s="711"/>
      <c r="H192" s="709"/>
      <c r="I192" s="710"/>
      <c r="J192" s="711"/>
      <c r="K192" s="709"/>
      <c r="L192" s="696"/>
      <c r="M192" s="113"/>
      <c r="N192" s="709"/>
      <c r="O192" s="710"/>
      <c r="P192" s="1"/>
      <c r="Q192" s="1"/>
      <c r="R192" s="1"/>
      <c r="S192" s="1"/>
      <c r="T192" s="1"/>
      <c r="U192" s="1"/>
      <c r="V192" s="1"/>
      <c r="W192" s="1"/>
      <c r="X192" s="1"/>
    </row>
    <row r="193" spans="2:24">
      <c r="B193" s="709"/>
      <c r="C193" s="709"/>
      <c r="D193" s="710"/>
      <c r="E193" s="709"/>
      <c r="F193" s="710"/>
      <c r="G193" s="711"/>
      <c r="H193" s="709"/>
      <c r="I193" s="710"/>
      <c r="J193" s="711"/>
      <c r="K193" s="709"/>
      <c r="L193" s="696"/>
      <c r="M193" s="113"/>
      <c r="N193" s="709"/>
      <c r="O193" s="710"/>
      <c r="P193" s="1"/>
      <c r="Q193" s="1"/>
      <c r="R193" s="1"/>
      <c r="S193" s="1"/>
      <c r="T193" s="1"/>
      <c r="U193" s="1"/>
      <c r="V193" s="1"/>
      <c r="W193" s="1"/>
      <c r="X193" s="1"/>
    </row>
    <row r="194" spans="2:24">
      <c r="B194" s="709"/>
      <c r="C194" s="709"/>
      <c r="D194" s="710"/>
      <c r="E194" s="709"/>
      <c r="F194" s="710"/>
      <c r="G194" s="711"/>
      <c r="H194" s="709"/>
      <c r="I194" s="710"/>
      <c r="J194" s="711"/>
      <c r="K194" s="709"/>
      <c r="L194" s="696"/>
      <c r="M194" s="113"/>
      <c r="N194" s="709"/>
      <c r="O194" s="710"/>
      <c r="P194" s="1"/>
      <c r="Q194" s="1"/>
      <c r="R194" s="1"/>
      <c r="S194" s="1"/>
      <c r="T194" s="1"/>
      <c r="U194" s="1"/>
      <c r="V194" s="1"/>
      <c r="W194" s="1"/>
      <c r="X194" s="1"/>
    </row>
    <row r="195" spans="2:24">
      <c r="B195" s="712"/>
      <c r="C195" s="712"/>
      <c r="D195" s="713"/>
      <c r="E195" s="712"/>
      <c r="F195" s="713"/>
      <c r="G195" s="714"/>
      <c r="H195" s="712"/>
      <c r="I195" s="713"/>
      <c r="J195" s="714"/>
      <c r="K195" s="712"/>
      <c r="L195" s="108"/>
      <c r="M195" s="111"/>
      <c r="N195" s="709"/>
      <c r="O195" s="710"/>
      <c r="P195" s="1"/>
      <c r="Q195" s="1"/>
      <c r="R195" s="1"/>
      <c r="S195" s="1"/>
      <c r="T195" s="1"/>
      <c r="U195" s="1"/>
      <c r="V195" s="1"/>
      <c r="W195" s="1"/>
      <c r="X195" s="1"/>
    </row>
    <row r="196" spans="2:24">
      <c r="B196" s="712"/>
      <c r="C196" s="712"/>
      <c r="D196" s="713"/>
      <c r="E196" s="712"/>
      <c r="F196" s="713"/>
      <c r="G196" s="714"/>
      <c r="H196" s="712"/>
      <c r="I196" s="713"/>
      <c r="J196" s="714"/>
      <c r="K196" s="712"/>
      <c r="L196" s="108"/>
      <c r="M196" s="111"/>
      <c r="N196" s="709"/>
      <c r="O196" s="710"/>
      <c r="P196" s="1"/>
      <c r="Q196" s="1"/>
      <c r="R196" s="1"/>
      <c r="S196" s="1"/>
      <c r="T196" s="1"/>
      <c r="U196" s="1"/>
      <c r="V196" s="1"/>
      <c r="W196" s="1"/>
      <c r="X196" s="1"/>
    </row>
    <row r="197" spans="2:24">
      <c r="B197" s="712"/>
      <c r="C197" s="712"/>
      <c r="D197" s="713"/>
      <c r="E197" s="712"/>
      <c r="F197" s="713"/>
      <c r="G197" s="714"/>
      <c r="H197" s="712"/>
      <c r="I197" s="713"/>
      <c r="J197" s="714"/>
      <c r="K197" s="712"/>
      <c r="L197" s="108"/>
      <c r="M197" s="111"/>
      <c r="N197" s="709"/>
      <c r="O197" s="710"/>
      <c r="P197" s="1"/>
      <c r="Q197" s="1"/>
      <c r="R197" s="1"/>
      <c r="S197" s="1"/>
      <c r="T197" s="1"/>
      <c r="U197" s="1"/>
      <c r="V197" s="1"/>
      <c r="W197" s="1"/>
      <c r="X197" s="1"/>
    </row>
    <row r="198" spans="2:24">
      <c r="B198" s="712"/>
      <c r="C198" s="712"/>
      <c r="D198" s="713"/>
      <c r="E198" s="712"/>
      <c r="F198" s="713"/>
      <c r="G198" s="714"/>
      <c r="H198" s="712"/>
      <c r="I198" s="713"/>
      <c r="J198" s="714"/>
      <c r="K198" s="712"/>
      <c r="L198" s="108"/>
      <c r="M198" s="111"/>
      <c r="N198" s="709"/>
      <c r="O198" s="710"/>
      <c r="P198" s="1"/>
      <c r="Q198" s="1"/>
      <c r="R198" s="1"/>
      <c r="S198" s="1"/>
      <c r="T198" s="1"/>
      <c r="U198" s="1"/>
      <c r="V198" s="1"/>
      <c r="W198" s="1"/>
      <c r="X198" s="1"/>
    </row>
    <row r="199" spans="2:24">
      <c r="B199" s="712"/>
      <c r="C199" s="712"/>
      <c r="D199" s="713"/>
      <c r="E199" s="712"/>
      <c r="F199" s="713"/>
      <c r="G199" s="714"/>
      <c r="H199" s="712"/>
      <c r="I199" s="713"/>
      <c r="J199" s="714"/>
      <c r="K199" s="712"/>
      <c r="L199" s="108"/>
      <c r="M199" s="111"/>
      <c r="N199" s="709"/>
      <c r="O199" s="710"/>
      <c r="P199" s="1"/>
      <c r="Q199" s="1"/>
      <c r="R199" s="1"/>
      <c r="S199" s="1"/>
      <c r="T199" s="1"/>
      <c r="U199" s="1"/>
      <c r="V199" s="1"/>
      <c r="W199" s="1"/>
      <c r="X199" s="1"/>
    </row>
    <row r="200" spans="2:24">
      <c r="B200" s="712"/>
      <c r="C200" s="712"/>
      <c r="D200" s="713"/>
      <c r="E200" s="712"/>
      <c r="F200" s="713"/>
      <c r="G200" s="714"/>
      <c r="H200" s="712"/>
      <c r="I200" s="713"/>
      <c r="J200" s="714"/>
      <c r="K200" s="712"/>
      <c r="L200" s="108"/>
      <c r="M200" s="111"/>
      <c r="N200" s="709"/>
      <c r="O200" s="710"/>
      <c r="P200" s="1"/>
      <c r="Q200" s="1"/>
      <c r="R200" s="1"/>
      <c r="S200" s="1"/>
      <c r="T200" s="1"/>
      <c r="U200" s="1"/>
      <c r="V200" s="1"/>
      <c r="W200" s="1"/>
      <c r="X200" s="1"/>
    </row>
    <row r="201" spans="2:24">
      <c r="B201" s="712"/>
      <c r="C201" s="712"/>
      <c r="D201" s="713"/>
      <c r="E201" s="712"/>
      <c r="F201" s="713"/>
      <c r="G201" s="714"/>
      <c r="H201" s="712"/>
      <c r="I201" s="713"/>
      <c r="J201" s="714"/>
      <c r="K201" s="712"/>
      <c r="L201" s="108"/>
      <c r="M201" s="111"/>
      <c r="N201" s="709"/>
      <c r="O201" s="710"/>
      <c r="P201" s="1"/>
      <c r="Q201" s="1"/>
      <c r="R201" s="1"/>
      <c r="S201" s="1"/>
      <c r="T201" s="1"/>
      <c r="U201" s="1"/>
      <c r="V201" s="1"/>
      <c r="W201" s="1"/>
      <c r="X201" s="1"/>
    </row>
    <row r="202" spans="2:24">
      <c r="B202" s="712"/>
      <c r="C202" s="712"/>
      <c r="D202" s="713"/>
      <c r="E202" s="712"/>
      <c r="F202" s="713"/>
      <c r="G202" s="714"/>
      <c r="H202" s="712"/>
      <c r="I202" s="713"/>
      <c r="J202" s="714"/>
      <c r="K202" s="712"/>
      <c r="L202" s="108"/>
      <c r="M202" s="111"/>
      <c r="N202" s="709"/>
      <c r="O202" s="710"/>
      <c r="P202" s="1"/>
      <c r="Q202" s="1"/>
      <c r="R202" s="1"/>
      <c r="S202" s="1"/>
      <c r="T202" s="1"/>
      <c r="U202" s="1"/>
      <c r="V202" s="1"/>
      <c r="W202" s="1"/>
      <c r="X202" s="1"/>
    </row>
    <row r="203" spans="2:24">
      <c r="B203" s="712"/>
      <c r="C203" s="712"/>
      <c r="D203" s="713"/>
      <c r="E203" s="712"/>
      <c r="F203" s="713"/>
      <c r="G203" s="714"/>
      <c r="H203" s="712"/>
      <c r="I203" s="713"/>
      <c r="J203" s="714"/>
      <c r="K203" s="712"/>
      <c r="L203" s="108"/>
      <c r="M203" s="111"/>
      <c r="N203" s="709"/>
      <c r="O203" s="710"/>
      <c r="P203" s="1"/>
      <c r="Q203" s="1"/>
      <c r="R203" s="1"/>
      <c r="S203" s="1"/>
      <c r="T203" s="1"/>
      <c r="U203" s="1"/>
      <c r="V203" s="1"/>
      <c r="W203" s="1"/>
      <c r="X203" s="1"/>
    </row>
    <row r="204" spans="2:24">
      <c r="B204" s="712"/>
      <c r="C204" s="712"/>
      <c r="D204" s="713"/>
      <c r="E204" s="712"/>
      <c r="F204" s="713"/>
      <c r="G204" s="714"/>
      <c r="H204" s="712"/>
      <c r="I204" s="713"/>
      <c r="J204" s="714"/>
      <c r="K204" s="712"/>
      <c r="L204" s="108"/>
      <c r="M204" s="111"/>
      <c r="N204" s="709"/>
      <c r="O204" s="710"/>
      <c r="P204" s="1"/>
      <c r="Q204" s="1"/>
      <c r="R204" s="1"/>
      <c r="S204" s="1"/>
      <c r="T204" s="1"/>
      <c r="U204" s="1"/>
      <c r="V204" s="1"/>
      <c r="W204" s="1"/>
      <c r="X204" s="1"/>
    </row>
    <row r="205" spans="2:24">
      <c r="B205" s="712"/>
      <c r="C205" s="712"/>
      <c r="D205" s="713"/>
      <c r="E205" s="712"/>
      <c r="F205" s="713"/>
      <c r="G205" s="714"/>
      <c r="H205" s="712"/>
      <c r="I205" s="713"/>
      <c r="J205" s="714"/>
      <c r="K205" s="712"/>
      <c r="L205" s="108"/>
      <c r="M205" s="111"/>
      <c r="N205" s="709"/>
      <c r="O205" s="710"/>
      <c r="P205" s="1"/>
      <c r="Q205" s="1"/>
      <c r="R205" s="1"/>
      <c r="S205" s="1"/>
      <c r="T205" s="1"/>
      <c r="U205" s="1"/>
      <c r="V205" s="1"/>
      <c r="W205" s="1"/>
      <c r="X205" s="1"/>
    </row>
    <row r="206" spans="2:24">
      <c r="B206" s="712"/>
      <c r="C206" s="712"/>
      <c r="D206" s="713"/>
      <c r="E206" s="712"/>
      <c r="F206" s="713"/>
      <c r="G206" s="714"/>
      <c r="H206" s="712"/>
      <c r="I206" s="713"/>
      <c r="J206" s="714"/>
      <c r="K206" s="712"/>
      <c r="L206" s="108"/>
      <c r="M206" s="111"/>
      <c r="N206" s="709"/>
      <c r="O206" s="710"/>
      <c r="P206" s="1"/>
      <c r="Q206" s="1"/>
      <c r="R206" s="1"/>
      <c r="S206" s="1"/>
      <c r="T206" s="1"/>
      <c r="U206" s="1"/>
      <c r="V206" s="1"/>
      <c r="W206" s="1"/>
      <c r="X206" s="1"/>
    </row>
    <row r="207" spans="2:24">
      <c r="B207" s="712"/>
      <c r="C207" s="712"/>
      <c r="D207" s="713"/>
      <c r="E207" s="712"/>
      <c r="F207" s="713"/>
      <c r="G207" s="714"/>
      <c r="H207" s="712"/>
      <c r="I207" s="713"/>
      <c r="J207" s="714"/>
      <c r="K207" s="712"/>
      <c r="L207" s="108"/>
      <c r="M207" s="111"/>
      <c r="N207" s="709"/>
      <c r="O207" s="710"/>
      <c r="P207" s="1"/>
      <c r="Q207" s="1"/>
      <c r="R207" s="1"/>
      <c r="S207" s="1"/>
      <c r="T207" s="1"/>
      <c r="U207" s="1"/>
      <c r="V207" s="1"/>
      <c r="W207" s="1"/>
      <c r="X207" s="1"/>
    </row>
    <row r="208" spans="2:24">
      <c r="B208" s="712"/>
      <c r="C208" s="712"/>
      <c r="D208" s="713"/>
      <c r="E208" s="712"/>
      <c r="F208" s="713"/>
      <c r="G208" s="714"/>
      <c r="H208" s="712"/>
      <c r="I208" s="713"/>
      <c r="J208" s="714"/>
      <c r="K208" s="712"/>
      <c r="L208" s="108"/>
      <c r="M208" s="111"/>
      <c r="N208" s="709"/>
      <c r="O208" s="710"/>
      <c r="P208" s="1"/>
      <c r="Q208" s="1"/>
      <c r="R208" s="1"/>
      <c r="S208" s="1"/>
      <c r="T208" s="1"/>
      <c r="U208" s="1"/>
      <c r="V208" s="1"/>
      <c r="W208" s="1"/>
      <c r="X208" s="1"/>
    </row>
    <row r="209" spans="2:24">
      <c r="B209" s="712"/>
      <c r="C209" s="712"/>
      <c r="D209" s="713"/>
      <c r="E209" s="712"/>
      <c r="F209" s="713"/>
      <c r="G209" s="714"/>
      <c r="H209" s="712"/>
      <c r="I209" s="713"/>
      <c r="J209" s="714"/>
      <c r="K209" s="712"/>
      <c r="L209" s="108"/>
      <c r="M209" s="111"/>
      <c r="N209" s="709"/>
      <c r="O209" s="710"/>
      <c r="P209" s="1"/>
      <c r="Q209" s="1"/>
      <c r="R209" s="1"/>
      <c r="S209" s="1"/>
      <c r="T209" s="1"/>
      <c r="U209" s="1"/>
      <c r="V209" s="1"/>
      <c r="W209" s="1"/>
      <c r="X209" s="1"/>
    </row>
    <row r="210" spans="2:24">
      <c r="B210" s="712"/>
      <c r="C210" s="712"/>
      <c r="D210" s="713"/>
      <c r="E210" s="712"/>
      <c r="F210" s="713"/>
      <c r="G210" s="714"/>
      <c r="H210" s="712"/>
      <c r="I210" s="713"/>
      <c r="J210" s="714"/>
      <c r="K210" s="712"/>
      <c r="L210" s="108"/>
      <c r="M210" s="111"/>
      <c r="N210" s="709"/>
      <c r="O210" s="710"/>
      <c r="P210" s="1"/>
      <c r="Q210" s="1"/>
      <c r="R210" s="1"/>
      <c r="S210" s="1"/>
      <c r="T210" s="1"/>
      <c r="U210" s="1"/>
      <c r="V210" s="1"/>
      <c r="W210" s="1"/>
      <c r="X210" s="1"/>
    </row>
    <row r="211" spans="2:24">
      <c r="B211" s="712"/>
      <c r="C211" s="712"/>
      <c r="D211" s="713"/>
      <c r="E211" s="712"/>
      <c r="F211" s="713"/>
      <c r="G211" s="714"/>
      <c r="H211" s="712"/>
      <c r="I211" s="713"/>
      <c r="J211" s="714"/>
      <c r="K211" s="712"/>
      <c r="L211" s="108"/>
      <c r="M211" s="111"/>
      <c r="N211" s="709"/>
      <c r="O211" s="710"/>
      <c r="P211" s="1"/>
      <c r="Q211" s="1"/>
      <c r="R211" s="1"/>
      <c r="S211" s="1"/>
      <c r="T211" s="1"/>
      <c r="U211" s="1"/>
      <c r="V211" s="1"/>
      <c r="W211" s="1"/>
      <c r="X211" s="1"/>
    </row>
    <row r="212" spans="2:24">
      <c r="B212" s="712"/>
      <c r="C212" s="712"/>
      <c r="D212" s="713"/>
      <c r="E212" s="712"/>
      <c r="F212" s="713"/>
      <c r="G212" s="714"/>
      <c r="H212" s="712"/>
      <c r="I212" s="713"/>
      <c r="J212" s="714"/>
      <c r="K212" s="712"/>
      <c r="L212" s="108"/>
      <c r="M212" s="111"/>
      <c r="N212" s="709"/>
      <c r="O212" s="710"/>
      <c r="P212" s="1"/>
      <c r="Q212" s="1"/>
      <c r="R212" s="1"/>
      <c r="S212" s="1"/>
      <c r="T212" s="1"/>
      <c r="U212" s="1"/>
      <c r="V212" s="1"/>
      <c r="W212" s="1"/>
      <c r="X212" s="1"/>
    </row>
    <row r="213" spans="2:24">
      <c r="B213" s="712"/>
      <c r="C213" s="712"/>
      <c r="D213" s="713"/>
      <c r="E213" s="712"/>
      <c r="F213" s="713"/>
      <c r="G213" s="714"/>
      <c r="H213" s="712"/>
      <c r="I213" s="713"/>
      <c r="J213" s="714"/>
      <c r="K213" s="712"/>
      <c r="L213" s="108"/>
      <c r="M213" s="111"/>
      <c r="N213" s="709"/>
      <c r="O213" s="710"/>
      <c r="P213" s="1"/>
      <c r="Q213" s="1"/>
      <c r="R213" s="1"/>
      <c r="S213" s="1"/>
      <c r="T213" s="1"/>
      <c r="U213" s="1"/>
      <c r="V213" s="1"/>
      <c r="W213" s="1"/>
      <c r="X213" s="1"/>
    </row>
    <row r="214" spans="2:24">
      <c r="B214" s="712"/>
      <c r="C214" s="712"/>
      <c r="D214" s="713"/>
      <c r="E214" s="712"/>
      <c r="F214" s="713"/>
      <c r="G214" s="714"/>
      <c r="H214" s="712"/>
      <c r="I214" s="713"/>
      <c r="J214" s="714"/>
      <c r="K214" s="712"/>
      <c r="L214" s="108"/>
      <c r="M214" s="111"/>
      <c r="N214" s="709"/>
      <c r="O214" s="710"/>
      <c r="P214" s="1"/>
      <c r="Q214" s="1"/>
      <c r="R214" s="1"/>
      <c r="S214" s="1"/>
      <c r="T214" s="1"/>
      <c r="U214" s="1"/>
      <c r="V214" s="1"/>
      <c r="W214" s="1"/>
      <c r="X214" s="1"/>
    </row>
    <row r="215" spans="2:24">
      <c r="B215" s="712"/>
      <c r="C215" s="712"/>
      <c r="D215" s="713"/>
      <c r="E215" s="712"/>
      <c r="F215" s="713"/>
      <c r="G215" s="714"/>
      <c r="H215" s="712"/>
      <c r="I215" s="713"/>
      <c r="J215" s="714"/>
      <c r="K215" s="712"/>
      <c r="L215" s="108"/>
      <c r="M215" s="111"/>
      <c r="N215" s="709"/>
      <c r="O215" s="710"/>
      <c r="P215" s="1"/>
      <c r="Q215" s="1"/>
      <c r="R215" s="1"/>
      <c r="S215" s="1"/>
      <c r="T215" s="1"/>
      <c r="U215" s="1"/>
      <c r="V215" s="1"/>
      <c r="W215" s="1"/>
      <c r="X215" s="1"/>
    </row>
    <row r="216" spans="2:24">
      <c r="B216" s="712"/>
      <c r="C216" s="712"/>
      <c r="D216" s="713"/>
      <c r="E216" s="712"/>
      <c r="F216" s="713"/>
      <c r="G216" s="714"/>
      <c r="H216" s="712"/>
      <c r="I216" s="713"/>
      <c r="J216" s="714"/>
      <c r="K216" s="712"/>
      <c r="L216" s="108"/>
      <c r="M216" s="111"/>
      <c r="N216" s="709"/>
      <c r="O216" s="710"/>
      <c r="P216" s="1"/>
      <c r="Q216" s="1"/>
      <c r="R216" s="1"/>
      <c r="S216" s="1"/>
      <c r="T216" s="1"/>
      <c r="U216" s="1"/>
      <c r="V216" s="1"/>
      <c r="W216" s="1"/>
      <c r="X216" s="1"/>
    </row>
    <row r="217" spans="2:24">
      <c r="B217" s="712"/>
      <c r="C217" s="712"/>
      <c r="D217" s="713"/>
      <c r="E217" s="712"/>
      <c r="F217" s="713"/>
      <c r="G217" s="714"/>
      <c r="H217" s="712"/>
      <c r="I217" s="713"/>
      <c r="J217" s="714"/>
      <c r="K217" s="712"/>
      <c r="L217" s="108"/>
      <c r="M217" s="111"/>
      <c r="N217" s="709"/>
      <c r="O217" s="710"/>
      <c r="P217" s="1"/>
      <c r="Q217" s="1"/>
      <c r="R217" s="1"/>
      <c r="S217" s="1"/>
      <c r="T217" s="1"/>
      <c r="U217" s="1"/>
      <c r="V217" s="1"/>
      <c r="W217" s="1"/>
      <c r="X217" s="1"/>
    </row>
    <row r="218" spans="2:24">
      <c r="B218" s="712"/>
      <c r="C218" s="712"/>
      <c r="D218" s="713"/>
      <c r="E218" s="712"/>
      <c r="F218" s="713"/>
      <c r="G218" s="714"/>
      <c r="H218" s="712"/>
      <c r="I218" s="713"/>
      <c r="J218" s="714"/>
      <c r="K218" s="712"/>
      <c r="L218" s="108"/>
      <c r="M218" s="111"/>
      <c r="N218" s="709"/>
      <c r="O218" s="710"/>
      <c r="P218" s="1"/>
      <c r="Q218" s="1"/>
      <c r="R218" s="1"/>
      <c r="S218" s="1"/>
      <c r="T218" s="1"/>
      <c r="U218" s="1"/>
      <c r="V218" s="1"/>
      <c r="W218" s="1"/>
      <c r="X218" s="1"/>
    </row>
    <row r="219" spans="2:24">
      <c r="B219" s="712"/>
      <c r="C219" s="712"/>
      <c r="D219" s="713"/>
      <c r="E219" s="712"/>
      <c r="F219" s="713"/>
      <c r="G219" s="714"/>
      <c r="H219" s="712"/>
      <c r="I219" s="713"/>
      <c r="J219" s="714"/>
      <c r="K219" s="712"/>
      <c r="L219" s="108"/>
      <c r="M219" s="111"/>
      <c r="N219" s="709"/>
      <c r="O219" s="710"/>
      <c r="P219" s="1"/>
      <c r="Q219" s="1"/>
      <c r="R219" s="1"/>
      <c r="S219" s="1"/>
      <c r="T219" s="1"/>
      <c r="U219" s="1"/>
      <c r="V219" s="1"/>
      <c r="W219" s="1"/>
      <c r="X219" s="1"/>
    </row>
    <row r="220" spans="2:24">
      <c r="B220" s="712"/>
      <c r="C220" s="712"/>
      <c r="D220" s="713"/>
      <c r="E220" s="712"/>
      <c r="F220" s="713"/>
      <c r="G220" s="714"/>
      <c r="H220" s="712"/>
      <c r="I220" s="713"/>
      <c r="J220" s="714"/>
      <c r="K220" s="712"/>
      <c r="L220" s="108"/>
      <c r="M220" s="111"/>
      <c r="N220" s="709"/>
      <c r="O220" s="710"/>
      <c r="P220" s="1"/>
      <c r="Q220" s="1"/>
      <c r="R220" s="1"/>
      <c r="S220" s="1"/>
      <c r="T220" s="1"/>
      <c r="U220" s="1"/>
      <c r="V220" s="1"/>
      <c r="W220" s="1"/>
      <c r="X220" s="1"/>
    </row>
    <row r="221" spans="2:24">
      <c r="B221" s="712"/>
      <c r="C221" s="712"/>
      <c r="D221" s="713"/>
      <c r="E221" s="712"/>
      <c r="F221" s="713"/>
      <c r="G221" s="714"/>
      <c r="H221" s="712"/>
      <c r="I221" s="713"/>
      <c r="J221" s="714"/>
      <c r="K221" s="712"/>
      <c r="L221" s="108"/>
      <c r="M221" s="111"/>
      <c r="N221" s="709"/>
      <c r="O221" s="710"/>
      <c r="P221" s="1"/>
      <c r="Q221" s="1"/>
      <c r="R221" s="1"/>
      <c r="S221" s="1"/>
      <c r="T221" s="1"/>
      <c r="U221" s="1"/>
      <c r="V221" s="1"/>
      <c r="W221" s="1"/>
      <c r="X221" s="1"/>
    </row>
    <row r="222" spans="2:24">
      <c r="B222" s="712"/>
      <c r="C222" s="712"/>
      <c r="D222" s="713"/>
      <c r="E222" s="712"/>
      <c r="F222" s="713"/>
      <c r="G222" s="714"/>
      <c r="H222" s="712"/>
      <c r="I222" s="713"/>
      <c r="J222" s="714"/>
      <c r="K222" s="712"/>
      <c r="L222" s="108"/>
      <c r="M222" s="111"/>
      <c r="N222" s="709"/>
      <c r="O222" s="710"/>
      <c r="P222" s="1"/>
      <c r="Q222" s="1"/>
      <c r="R222" s="1"/>
      <c r="S222" s="1"/>
      <c r="T222" s="1"/>
      <c r="U222" s="1"/>
      <c r="V222" s="1"/>
      <c r="W222" s="1"/>
      <c r="X222" s="1"/>
    </row>
    <row r="223" spans="2:24">
      <c r="B223" s="712"/>
      <c r="C223" s="712"/>
      <c r="D223" s="713"/>
      <c r="E223" s="712"/>
      <c r="F223" s="713"/>
      <c r="G223" s="714"/>
      <c r="H223" s="712"/>
      <c r="I223" s="713"/>
      <c r="J223" s="714"/>
      <c r="K223" s="712"/>
      <c r="L223" s="108"/>
      <c r="M223" s="111"/>
      <c r="N223" s="709"/>
      <c r="O223" s="710"/>
      <c r="P223" s="1"/>
      <c r="Q223" s="1"/>
      <c r="R223" s="1"/>
      <c r="S223" s="1"/>
      <c r="T223" s="1"/>
      <c r="U223" s="1"/>
      <c r="V223" s="1"/>
      <c r="W223" s="1"/>
      <c r="X223" s="1"/>
    </row>
    <row r="224" spans="2:24">
      <c r="B224" s="712"/>
      <c r="C224" s="712"/>
      <c r="D224" s="713"/>
      <c r="E224" s="712"/>
      <c r="F224" s="713"/>
      <c r="G224" s="714"/>
      <c r="H224" s="712"/>
      <c r="I224" s="713"/>
      <c r="J224" s="714"/>
      <c r="K224" s="712"/>
      <c r="L224" s="108"/>
      <c r="M224" s="111"/>
      <c r="N224" s="709"/>
      <c r="O224" s="710"/>
      <c r="P224" s="1"/>
      <c r="Q224" s="1"/>
      <c r="R224" s="1"/>
      <c r="S224" s="1"/>
      <c r="T224" s="1"/>
      <c r="U224" s="1"/>
      <c r="V224" s="1"/>
      <c r="W224" s="1"/>
      <c r="X224" s="1"/>
    </row>
    <row r="225" spans="2:24">
      <c r="B225" s="712"/>
      <c r="C225" s="712"/>
      <c r="D225" s="713"/>
      <c r="E225" s="712"/>
      <c r="F225" s="713"/>
      <c r="G225" s="714"/>
      <c r="H225" s="712"/>
      <c r="I225" s="713"/>
      <c r="J225" s="714"/>
      <c r="K225" s="712"/>
      <c r="L225" s="108"/>
      <c r="M225" s="111"/>
      <c r="N225" s="709"/>
      <c r="O225" s="710"/>
      <c r="P225" s="1"/>
      <c r="Q225" s="1"/>
      <c r="R225" s="1"/>
      <c r="S225" s="1"/>
      <c r="T225" s="1"/>
      <c r="U225" s="1"/>
      <c r="V225" s="1"/>
      <c r="W225" s="1"/>
      <c r="X225" s="1"/>
    </row>
    <row r="226" spans="2:24">
      <c r="B226" s="712"/>
      <c r="C226" s="712"/>
      <c r="D226" s="713"/>
      <c r="E226" s="712"/>
      <c r="F226" s="713"/>
      <c r="G226" s="714"/>
      <c r="H226" s="712"/>
      <c r="I226" s="713"/>
      <c r="J226" s="714"/>
      <c r="K226" s="712"/>
      <c r="L226" s="108"/>
      <c r="M226" s="111"/>
      <c r="N226" s="709"/>
      <c r="O226" s="710"/>
      <c r="P226" s="1"/>
      <c r="Q226" s="1"/>
      <c r="R226" s="1"/>
      <c r="S226" s="1"/>
      <c r="T226" s="1"/>
      <c r="U226" s="1"/>
      <c r="V226" s="1"/>
      <c r="W226" s="1"/>
      <c r="X226" s="1"/>
    </row>
    <row r="227" spans="2:24">
      <c r="B227" s="712"/>
      <c r="C227" s="712"/>
      <c r="D227" s="713"/>
      <c r="E227" s="712"/>
      <c r="F227" s="713"/>
      <c r="G227" s="714"/>
      <c r="H227" s="712"/>
      <c r="I227" s="713"/>
      <c r="J227" s="714"/>
      <c r="K227" s="712"/>
      <c r="L227" s="108"/>
      <c r="M227" s="111"/>
      <c r="N227" s="709"/>
      <c r="O227" s="710"/>
      <c r="P227" s="1"/>
      <c r="Q227" s="1"/>
      <c r="R227" s="1"/>
      <c r="S227" s="1"/>
      <c r="T227" s="1"/>
      <c r="U227" s="1"/>
      <c r="V227" s="1"/>
      <c r="W227" s="1"/>
      <c r="X227" s="1"/>
    </row>
    <row r="228" spans="2:24">
      <c r="B228" s="712"/>
      <c r="C228" s="712"/>
      <c r="D228" s="713"/>
      <c r="E228" s="712"/>
      <c r="F228" s="713"/>
      <c r="G228" s="714"/>
      <c r="H228" s="712"/>
      <c r="I228" s="713"/>
      <c r="J228" s="714"/>
      <c r="K228" s="712"/>
      <c r="L228" s="108"/>
      <c r="M228" s="111"/>
      <c r="N228" s="709"/>
      <c r="O228" s="710"/>
      <c r="P228" s="1"/>
      <c r="Q228" s="1"/>
      <c r="R228" s="1"/>
      <c r="S228" s="1"/>
      <c r="T228" s="1"/>
      <c r="U228" s="1"/>
      <c r="V228" s="1"/>
      <c r="W228" s="1"/>
      <c r="X228" s="1"/>
    </row>
    <row r="229" spans="2:24">
      <c r="B229" s="712"/>
      <c r="C229" s="712"/>
      <c r="D229" s="713"/>
      <c r="E229" s="712"/>
      <c r="F229" s="713"/>
      <c r="G229" s="714"/>
      <c r="H229" s="712"/>
      <c r="I229" s="713"/>
      <c r="J229" s="714"/>
      <c r="K229" s="712"/>
      <c r="L229" s="108"/>
      <c r="M229" s="111"/>
      <c r="N229" s="709"/>
      <c r="O229" s="710"/>
      <c r="P229" s="1"/>
      <c r="Q229" s="1"/>
      <c r="R229" s="1"/>
      <c r="S229" s="1"/>
      <c r="T229" s="1"/>
      <c r="U229" s="1"/>
      <c r="V229" s="1"/>
      <c r="W229" s="1"/>
      <c r="X229" s="1"/>
    </row>
    <row r="230" spans="2:24">
      <c r="B230" s="712"/>
      <c r="C230" s="712"/>
      <c r="D230" s="713"/>
      <c r="E230" s="712"/>
      <c r="F230" s="713"/>
      <c r="G230" s="714"/>
      <c r="H230" s="712"/>
      <c r="I230" s="713"/>
      <c r="J230" s="714"/>
      <c r="K230" s="712"/>
      <c r="L230" s="108"/>
      <c r="M230" s="111"/>
      <c r="N230" s="709"/>
      <c r="O230" s="710"/>
      <c r="P230" s="1"/>
      <c r="Q230" s="1"/>
      <c r="R230" s="1"/>
      <c r="S230" s="1"/>
      <c r="T230" s="1"/>
      <c r="U230" s="1"/>
      <c r="V230" s="1"/>
      <c r="W230" s="1"/>
      <c r="X230" s="1"/>
    </row>
    <row r="231" spans="2:24">
      <c r="B231" s="712"/>
      <c r="C231" s="712"/>
      <c r="D231" s="713"/>
      <c r="E231" s="712"/>
      <c r="F231" s="713"/>
      <c r="G231" s="714"/>
      <c r="H231" s="712"/>
      <c r="I231" s="713"/>
      <c r="J231" s="714"/>
      <c r="K231" s="712"/>
      <c r="L231" s="108"/>
      <c r="M231" s="111"/>
      <c r="N231" s="709"/>
      <c r="O231" s="710"/>
      <c r="P231" s="1"/>
      <c r="Q231" s="1"/>
      <c r="R231" s="1"/>
      <c r="S231" s="1"/>
      <c r="T231" s="1"/>
      <c r="U231" s="1"/>
      <c r="V231" s="1"/>
      <c r="W231" s="1"/>
      <c r="X231" s="1"/>
    </row>
    <row r="232" spans="2:24">
      <c r="B232" s="712"/>
      <c r="C232" s="712"/>
      <c r="D232" s="713"/>
      <c r="E232" s="712"/>
      <c r="F232" s="713"/>
      <c r="G232" s="714"/>
      <c r="H232" s="712"/>
      <c r="I232" s="713"/>
      <c r="J232" s="714"/>
      <c r="K232" s="712"/>
      <c r="L232" s="108"/>
      <c r="M232" s="111"/>
      <c r="N232" s="709"/>
      <c r="O232" s="710"/>
      <c r="P232" s="1"/>
      <c r="Q232" s="1"/>
      <c r="R232" s="1"/>
      <c r="S232" s="1"/>
      <c r="T232" s="1"/>
      <c r="U232" s="1"/>
      <c r="V232" s="1"/>
      <c r="W232" s="1"/>
      <c r="X232" s="1"/>
    </row>
    <row r="233" spans="2:24">
      <c r="B233" s="712"/>
      <c r="C233" s="712"/>
      <c r="D233" s="713"/>
      <c r="E233" s="712"/>
      <c r="F233" s="713"/>
      <c r="G233" s="714"/>
      <c r="H233" s="712"/>
      <c r="I233" s="713"/>
      <c r="J233" s="714"/>
      <c r="K233" s="712"/>
      <c r="L233" s="108"/>
      <c r="M233" s="111"/>
      <c r="N233" s="709"/>
      <c r="O233" s="710"/>
      <c r="P233" s="1"/>
      <c r="Q233" s="1"/>
      <c r="R233" s="1"/>
      <c r="S233" s="1"/>
      <c r="T233" s="1"/>
      <c r="U233" s="1"/>
      <c r="V233" s="1"/>
      <c r="W233" s="1"/>
      <c r="X233" s="1"/>
    </row>
    <row r="234" spans="2:24">
      <c r="B234" s="712"/>
      <c r="C234" s="712"/>
      <c r="D234" s="713"/>
      <c r="E234" s="712"/>
      <c r="F234" s="713"/>
      <c r="G234" s="714"/>
      <c r="H234" s="712"/>
      <c r="I234" s="713"/>
      <c r="J234" s="714"/>
      <c r="K234" s="712"/>
      <c r="L234" s="108"/>
      <c r="M234" s="111"/>
      <c r="N234" s="709"/>
      <c r="O234" s="710"/>
      <c r="P234" s="1"/>
      <c r="Q234" s="1"/>
      <c r="R234" s="1"/>
      <c r="S234" s="1"/>
      <c r="T234" s="1"/>
      <c r="U234" s="1"/>
      <c r="V234" s="1"/>
      <c r="W234" s="1"/>
      <c r="X234" s="1"/>
    </row>
    <row r="235" spans="2:24">
      <c r="B235" s="712"/>
      <c r="C235" s="712"/>
      <c r="D235" s="713"/>
      <c r="E235" s="712"/>
      <c r="F235" s="713"/>
      <c r="G235" s="714"/>
      <c r="H235" s="712"/>
      <c r="I235" s="713"/>
      <c r="J235" s="714"/>
      <c r="K235" s="712"/>
      <c r="L235" s="108"/>
      <c r="M235" s="111"/>
      <c r="N235" s="709"/>
      <c r="O235" s="710"/>
      <c r="P235" s="1"/>
      <c r="Q235" s="1"/>
      <c r="R235" s="1"/>
      <c r="S235" s="1"/>
      <c r="T235" s="1"/>
      <c r="U235" s="1"/>
      <c r="V235" s="1"/>
      <c r="W235" s="1"/>
      <c r="X235" s="1"/>
    </row>
    <row r="236" spans="2:24">
      <c r="B236" s="712"/>
      <c r="C236" s="712"/>
      <c r="D236" s="713"/>
      <c r="E236" s="712"/>
      <c r="F236" s="713"/>
      <c r="G236" s="714"/>
      <c r="H236" s="712"/>
      <c r="I236" s="713"/>
      <c r="J236" s="714"/>
      <c r="K236" s="712"/>
      <c r="L236" s="108"/>
      <c r="M236" s="111"/>
      <c r="N236" s="709"/>
      <c r="O236" s="710"/>
      <c r="P236" s="1"/>
      <c r="Q236" s="1"/>
      <c r="R236" s="1"/>
      <c r="S236" s="1"/>
      <c r="T236" s="1"/>
      <c r="U236" s="1"/>
      <c r="V236" s="1"/>
      <c r="W236" s="1"/>
      <c r="X236" s="1"/>
    </row>
    <row r="237" spans="2:24">
      <c r="B237" s="712"/>
      <c r="C237" s="712"/>
      <c r="D237" s="713"/>
      <c r="E237" s="712"/>
      <c r="F237" s="713"/>
      <c r="G237" s="714"/>
      <c r="H237" s="712"/>
      <c r="I237" s="713"/>
      <c r="J237" s="714"/>
      <c r="K237" s="712"/>
      <c r="L237" s="108"/>
      <c r="M237" s="111"/>
      <c r="N237" s="709"/>
      <c r="O237" s="710"/>
      <c r="P237" s="1"/>
      <c r="Q237" s="1"/>
      <c r="R237" s="1"/>
      <c r="S237" s="1"/>
      <c r="T237" s="1"/>
      <c r="U237" s="1"/>
      <c r="V237" s="1"/>
      <c r="W237" s="1"/>
      <c r="X237" s="1"/>
    </row>
    <row r="238" spans="2:24">
      <c r="B238" s="712"/>
      <c r="C238" s="712"/>
      <c r="D238" s="713"/>
      <c r="E238" s="712"/>
      <c r="F238" s="713"/>
      <c r="G238" s="714"/>
      <c r="H238" s="712"/>
      <c r="I238" s="713"/>
      <c r="J238" s="714"/>
      <c r="K238" s="712"/>
      <c r="L238" s="108"/>
      <c r="M238" s="111"/>
      <c r="N238" s="709"/>
      <c r="O238" s="710"/>
      <c r="P238" s="1"/>
      <c r="Q238" s="1"/>
      <c r="R238" s="1"/>
      <c r="S238" s="1"/>
      <c r="T238" s="1"/>
      <c r="U238" s="1"/>
      <c r="V238" s="1"/>
      <c r="W238" s="1"/>
      <c r="X238" s="1"/>
    </row>
    <row r="239" spans="2:24">
      <c r="B239" s="712"/>
      <c r="C239" s="712"/>
      <c r="D239" s="713"/>
      <c r="E239" s="712"/>
      <c r="F239" s="713"/>
      <c r="G239" s="714"/>
      <c r="H239" s="712"/>
      <c r="I239" s="713"/>
      <c r="J239" s="714"/>
      <c r="K239" s="712"/>
      <c r="L239" s="108"/>
      <c r="M239" s="111"/>
      <c r="N239" s="712"/>
      <c r="O239" s="713"/>
    </row>
    <row r="240" spans="2:24">
      <c r="B240" s="712"/>
      <c r="C240" s="712"/>
      <c r="D240" s="713"/>
      <c r="E240" s="712"/>
      <c r="F240" s="713"/>
      <c r="G240" s="714"/>
      <c r="H240" s="712"/>
      <c r="I240" s="713"/>
      <c r="J240" s="714"/>
      <c r="K240" s="712"/>
      <c r="L240" s="108"/>
      <c r="M240" s="111"/>
      <c r="N240" s="712"/>
      <c r="O240" s="713"/>
    </row>
    <row r="241" spans="2:15">
      <c r="B241" s="712"/>
      <c r="C241" s="712"/>
      <c r="D241" s="713"/>
      <c r="E241" s="712"/>
      <c r="F241" s="713"/>
      <c r="G241" s="714"/>
      <c r="H241" s="712"/>
      <c r="I241" s="713"/>
      <c r="J241" s="714"/>
      <c r="K241" s="712"/>
      <c r="L241" s="108"/>
      <c r="M241" s="111"/>
      <c r="N241" s="712"/>
      <c r="O241" s="713"/>
    </row>
    <row r="242" spans="2:15">
      <c r="B242" s="712"/>
      <c r="C242" s="712"/>
      <c r="D242" s="713"/>
      <c r="E242" s="712"/>
      <c r="F242" s="713"/>
      <c r="G242" s="714"/>
      <c r="H242" s="712"/>
      <c r="I242" s="713"/>
      <c r="J242" s="714"/>
      <c r="K242" s="712"/>
      <c r="L242" s="108"/>
      <c r="M242" s="111"/>
      <c r="N242" s="712"/>
      <c r="O242" s="713"/>
    </row>
    <row r="243" spans="2:15">
      <c r="B243" s="712"/>
      <c r="C243" s="712"/>
      <c r="D243" s="713"/>
      <c r="E243" s="712"/>
      <c r="F243" s="713"/>
      <c r="G243" s="714"/>
      <c r="H243" s="712"/>
      <c r="I243" s="713"/>
      <c r="J243" s="714"/>
      <c r="K243" s="712"/>
      <c r="L243" s="108"/>
      <c r="M243" s="111"/>
      <c r="N243" s="712"/>
      <c r="O243" s="713"/>
    </row>
  </sheetData>
  <mergeCells count="8">
    <mergeCell ref="B5:M5"/>
    <mergeCell ref="B7:B9"/>
    <mergeCell ref="D7:D9"/>
    <mergeCell ref="F7:M7"/>
    <mergeCell ref="O7:O9"/>
    <mergeCell ref="F8:G8"/>
    <mergeCell ref="I8:J8"/>
    <mergeCell ref="L8:M8"/>
  </mergeCells>
  <hyperlinks>
    <hyperlink ref="O1" location="Índice!A1" tooltip="Ir a ÍNDICE" display="INDICE" xr:uid="{A2212BD8-3DBD-41D1-A9D4-3DCB6CA5DCA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BF53-EAB1-4758-8BA7-248910A33B72}">
  <dimension ref="A1:P23"/>
  <sheetViews>
    <sheetView showGridLines="0" zoomScaleNormal="100" workbookViewId="0"/>
  </sheetViews>
  <sheetFormatPr baseColWidth="10" defaultColWidth="11.42578125" defaultRowHeight="14.25"/>
  <cols>
    <col min="1" max="1" width="1.7109375" style="59" customWidth="1"/>
    <col min="2" max="2" width="51.5703125" style="45" customWidth="1"/>
    <col min="3" max="3" width="1.7109375" style="45" customWidth="1"/>
    <col min="4" max="4" width="28.7109375" style="729" customWidth="1"/>
    <col min="5" max="5" width="1.7109375" style="45" customWidth="1"/>
    <col min="6" max="6" width="15.7109375" style="729" customWidth="1"/>
    <col min="7" max="7" width="15.7109375" style="117" customWidth="1"/>
    <col min="8" max="8" width="1.7109375" style="45" customWidth="1"/>
    <col min="9" max="9" width="15.7109375" style="729" customWidth="1"/>
    <col min="10" max="10" width="15.7109375" style="117" customWidth="1"/>
    <col min="11" max="11" width="1.7109375" style="45" customWidth="1"/>
    <col min="12" max="12" width="15.7109375" style="729" customWidth="1"/>
    <col min="13" max="13" width="15.7109375" style="117" customWidth="1"/>
    <col min="14" max="14" width="1.7109375" style="45" customWidth="1"/>
    <col min="15" max="15" width="15.7109375" style="729" customWidth="1"/>
    <col min="16" max="16" width="15.7109375" style="117" customWidth="1"/>
    <col min="17" max="16384" width="11.42578125" style="45"/>
  </cols>
  <sheetData>
    <row r="1" spans="1:16" s="65" customFormat="1" ht="14.1" customHeight="1">
      <c r="A1" s="53"/>
      <c r="B1" s="756" t="s">
        <v>268</v>
      </c>
      <c r="C1" s="61"/>
      <c r="D1" s="715"/>
      <c r="E1" s="61"/>
      <c r="F1" s="686"/>
      <c r="G1" s="120"/>
      <c r="I1" s="716"/>
      <c r="J1" s="116"/>
      <c r="L1" s="716"/>
      <c r="M1" s="116"/>
      <c r="O1" s="716"/>
      <c r="P1" s="89" t="s">
        <v>191</v>
      </c>
    </row>
    <row r="2" spans="1:16" s="65" customFormat="1" ht="6.95" customHeight="1">
      <c r="A2" s="53"/>
      <c r="B2" s="756"/>
      <c r="C2" s="61"/>
      <c r="D2" s="715"/>
      <c r="E2" s="61"/>
      <c r="F2" s="686"/>
      <c r="G2" s="120"/>
      <c r="I2" s="716"/>
      <c r="J2" s="116"/>
      <c r="L2" s="716"/>
      <c r="M2" s="116"/>
      <c r="O2" s="716"/>
      <c r="P2" s="116"/>
    </row>
    <row r="3" spans="1:16" s="65" customFormat="1" ht="14.1" customHeight="1">
      <c r="A3" s="53"/>
      <c r="B3" s="756" t="s">
        <v>236</v>
      </c>
      <c r="C3" s="717"/>
      <c r="D3" s="718"/>
      <c r="E3" s="717"/>
      <c r="F3" s="718"/>
      <c r="G3" s="719"/>
      <c r="H3" s="717"/>
      <c r="I3" s="718"/>
      <c r="J3" s="116"/>
      <c r="L3" s="716"/>
      <c r="M3" s="116"/>
      <c r="O3" s="716"/>
      <c r="P3" s="116"/>
    </row>
    <row r="4" spans="1:16" s="65" customFormat="1" ht="6.95" customHeight="1">
      <c r="A4" s="53"/>
      <c r="B4" s="717"/>
      <c r="C4" s="61"/>
      <c r="D4" s="715"/>
      <c r="E4" s="61"/>
      <c r="F4" s="686"/>
      <c r="G4" s="120"/>
      <c r="I4" s="716"/>
      <c r="J4" s="116"/>
      <c r="L4" s="716"/>
      <c r="M4" s="116"/>
      <c r="O4" s="716"/>
      <c r="P4" s="116"/>
    </row>
    <row r="5" spans="1:16" s="65" customFormat="1" ht="20.100000000000001" customHeight="1">
      <c r="A5" s="53"/>
      <c r="B5" s="886" t="s">
        <v>194</v>
      </c>
      <c r="C5" s="886"/>
      <c r="D5" s="886"/>
      <c r="E5" s="886"/>
      <c r="F5" s="886"/>
      <c r="G5" s="886"/>
      <c r="H5" s="886"/>
      <c r="I5" s="886"/>
      <c r="J5" s="886"/>
      <c r="K5" s="886"/>
      <c r="L5" s="886"/>
      <c r="M5" s="886"/>
      <c r="N5" s="886"/>
      <c r="O5" s="720"/>
      <c r="P5" s="90" t="s">
        <v>163</v>
      </c>
    </row>
    <row r="6" spans="1:16" ht="6" customHeight="1">
      <c r="A6" s="53"/>
      <c r="B6" s="4"/>
      <c r="C6" s="511"/>
      <c r="D6" s="721"/>
      <c r="E6" s="511"/>
      <c r="F6" s="722"/>
      <c r="G6" s="514"/>
      <c r="H6" s="137"/>
      <c r="I6" s="723"/>
      <c r="J6" s="138"/>
      <c r="K6" s="137"/>
      <c r="L6" s="723"/>
      <c r="M6" s="138"/>
      <c r="N6" s="137"/>
      <c r="O6" s="723"/>
      <c r="P6" s="138"/>
    </row>
    <row r="7" spans="1:16" ht="30" customHeight="1">
      <c r="A7" s="53"/>
      <c r="B7" s="790" t="s">
        <v>177</v>
      </c>
      <c r="C7" s="7"/>
      <c r="D7" s="801" t="s">
        <v>252</v>
      </c>
      <c r="E7" s="7"/>
      <c r="F7" s="887" t="s">
        <v>253</v>
      </c>
      <c r="G7" s="887"/>
      <c r="H7" s="139"/>
      <c r="I7" s="889" t="s">
        <v>178</v>
      </c>
      <c r="J7" s="889"/>
      <c r="K7" s="889"/>
      <c r="L7" s="889"/>
      <c r="M7" s="889"/>
      <c r="N7" s="889"/>
      <c r="O7" s="889"/>
      <c r="P7" s="889"/>
    </row>
    <row r="8" spans="1:16" ht="30" customHeight="1">
      <c r="A8" s="53"/>
      <c r="B8" s="791"/>
      <c r="C8" s="5"/>
      <c r="D8" s="894"/>
      <c r="E8" s="5"/>
      <c r="F8" s="888"/>
      <c r="G8" s="888"/>
      <c r="H8" s="137"/>
      <c r="I8" s="890" t="s">
        <v>93</v>
      </c>
      <c r="J8" s="890"/>
      <c r="K8" s="147"/>
      <c r="L8" s="890" t="s">
        <v>94</v>
      </c>
      <c r="M8" s="890"/>
      <c r="N8" s="556"/>
      <c r="O8" s="890" t="s">
        <v>95</v>
      </c>
      <c r="P8" s="890"/>
    </row>
    <row r="9" spans="1:16" ht="30" customHeight="1">
      <c r="A9" s="54"/>
      <c r="B9" s="792"/>
      <c r="C9" s="9"/>
      <c r="D9" s="802"/>
      <c r="E9" s="9"/>
      <c r="F9" s="724" t="s">
        <v>220</v>
      </c>
      <c r="G9" s="151" t="s">
        <v>221</v>
      </c>
      <c r="H9" s="140"/>
      <c r="I9" s="724" t="s">
        <v>220</v>
      </c>
      <c r="J9" s="151" t="s">
        <v>221</v>
      </c>
      <c r="K9" s="148"/>
      <c r="L9" s="724" t="s">
        <v>220</v>
      </c>
      <c r="M9" s="151" t="s">
        <v>221</v>
      </c>
      <c r="N9" s="149"/>
      <c r="O9" s="724" t="s">
        <v>220</v>
      </c>
      <c r="P9" s="151" t="s">
        <v>221</v>
      </c>
    </row>
    <row r="10" spans="1:16" ht="6" customHeight="1">
      <c r="A10" s="54"/>
      <c r="B10" s="5"/>
      <c r="C10" s="5"/>
      <c r="D10" s="725"/>
      <c r="E10" s="5"/>
      <c r="F10" s="694"/>
      <c r="G10" s="121"/>
      <c r="H10" s="137"/>
      <c r="I10" s="723"/>
      <c r="J10" s="138"/>
      <c r="K10" s="137"/>
      <c r="L10" s="723"/>
      <c r="M10" s="138"/>
      <c r="N10" s="137"/>
      <c r="O10" s="723"/>
      <c r="P10" s="138"/>
    </row>
    <row r="11" spans="1:16" ht="15">
      <c r="A11" s="206"/>
      <c r="B11" s="21" t="s">
        <v>40</v>
      </c>
      <c r="C11" s="10"/>
      <c r="D11" s="267">
        <v>82614.541521939595</v>
      </c>
      <c r="E11" s="700"/>
      <c r="F11" s="267">
        <v>5060389552.1215096</v>
      </c>
      <c r="G11" s="267">
        <v>940.23790592390003</v>
      </c>
      <c r="H11" s="137"/>
      <c r="I11" s="267">
        <v>4541603364.1863298</v>
      </c>
      <c r="J11" s="267">
        <v>866.13917500749994</v>
      </c>
      <c r="K11" s="137"/>
      <c r="L11" s="267">
        <v>1179687031.4728999</v>
      </c>
      <c r="M11" s="267">
        <v>388.82117320179998</v>
      </c>
      <c r="N11" s="137"/>
      <c r="O11" s="267">
        <v>37872221.246116303</v>
      </c>
      <c r="P11" s="267">
        <v>368.56321722439998</v>
      </c>
    </row>
    <row r="12" spans="1:16" ht="6.75" customHeight="1">
      <c r="A12" s="57"/>
      <c r="B12" s="141"/>
      <c r="C12" s="10"/>
      <c r="D12" s="701"/>
      <c r="E12" s="700"/>
      <c r="F12" s="701"/>
      <c r="G12" s="85"/>
      <c r="H12" s="137"/>
      <c r="I12" s="701"/>
      <c r="J12" s="85"/>
      <c r="K12" s="137"/>
      <c r="L12" s="701"/>
      <c r="M12" s="85"/>
      <c r="N12" s="137"/>
      <c r="O12" s="701"/>
      <c r="P12" s="85"/>
    </row>
    <row r="13" spans="1:16">
      <c r="A13" s="57"/>
      <c r="B13" s="48" t="s">
        <v>96</v>
      </c>
      <c r="C13" s="143"/>
      <c r="D13" s="268">
        <v>33842.732844566497</v>
      </c>
      <c r="E13" s="702"/>
      <c r="F13" s="268">
        <v>1749902508.97352</v>
      </c>
      <c r="G13" s="268">
        <v>1446.1497555381</v>
      </c>
      <c r="H13" s="137"/>
      <c r="I13" s="268">
        <v>1330104958.39573</v>
      </c>
      <c r="J13" s="268">
        <v>1160.5393335378001</v>
      </c>
      <c r="K13" s="137"/>
      <c r="L13" s="268">
        <v>618826794.514642</v>
      </c>
      <c r="M13" s="268">
        <v>755.12840623500006</v>
      </c>
      <c r="N13" s="137"/>
      <c r="O13" s="268">
        <v>19699536.402321301</v>
      </c>
      <c r="P13" s="268">
        <v>366.85637114529999</v>
      </c>
    </row>
    <row r="14" spans="1:16">
      <c r="A14" s="57"/>
      <c r="B14" s="48" t="s">
        <v>97</v>
      </c>
      <c r="C14" s="143"/>
      <c r="D14" s="268">
        <v>25806.4829871785</v>
      </c>
      <c r="E14" s="702"/>
      <c r="F14" s="268">
        <v>2059343967.0503199</v>
      </c>
      <c r="G14" s="268">
        <v>3511.6482967340999</v>
      </c>
      <c r="H14" s="137"/>
      <c r="I14" s="268">
        <v>1681723189.07233</v>
      </c>
      <c r="J14" s="268">
        <v>3057.4473958865001</v>
      </c>
      <c r="K14" s="137"/>
      <c r="L14" s="268">
        <v>611425974.41394603</v>
      </c>
      <c r="M14" s="268">
        <v>1531.3564986926001</v>
      </c>
      <c r="N14" s="137"/>
      <c r="O14" s="268">
        <v>23953828.4703479</v>
      </c>
      <c r="P14" s="268">
        <v>759.88100709510002</v>
      </c>
    </row>
    <row r="15" spans="1:16">
      <c r="A15" s="54"/>
      <c r="B15" s="48" t="s">
        <v>98</v>
      </c>
      <c r="C15" s="143"/>
      <c r="D15" s="268">
        <v>21504.696294921301</v>
      </c>
      <c r="E15" s="702"/>
      <c r="F15" s="268">
        <v>796699191.23059499</v>
      </c>
      <c r="G15" s="268">
        <v>1545.1330218521</v>
      </c>
      <c r="H15" s="137"/>
      <c r="I15" s="268">
        <v>458865870.33928603</v>
      </c>
      <c r="J15" s="268">
        <v>902.72529054710003</v>
      </c>
      <c r="K15" s="137"/>
      <c r="L15" s="268">
        <v>435223891.83244002</v>
      </c>
      <c r="M15" s="268">
        <v>1330.9709963178</v>
      </c>
      <c r="N15" s="137"/>
      <c r="O15" s="268">
        <v>22241380.793242201</v>
      </c>
      <c r="P15" s="268">
        <v>538.12101742389996</v>
      </c>
    </row>
    <row r="16" spans="1:16">
      <c r="A16" s="54"/>
      <c r="B16" s="48" t="s">
        <v>222</v>
      </c>
      <c r="C16" s="143"/>
      <c r="D16" s="268">
        <v>63602.189269475697</v>
      </c>
      <c r="E16" s="702"/>
      <c r="F16" s="268">
        <v>1302877199.0318201</v>
      </c>
      <c r="G16" s="268">
        <v>422.18833884589998</v>
      </c>
      <c r="H16" s="137"/>
      <c r="I16" s="268">
        <v>1121320413.3582101</v>
      </c>
      <c r="J16" s="268">
        <v>370.44614215270002</v>
      </c>
      <c r="K16" s="137"/>
      <c r="L16" s="268">
        <v>338725627.94808501</v>
      </c>
      <c r="M16" s="268">
        <v>258.98524295940001</v>
      </c>
      <c r="N16" s="137"/>
      <c r="O16" s="177" t="s">
        <v>266</v>
      </c>
      <c r="P16" s="110" t="s">
        <v>266</v>
      </c>
    </row>
    <row r="17" spans="1:16">
      <c r="A17" s="54"/>
      <c r="B17" s="48" t="s">
        <v>223</v>
      </c>
      <c r="C17" s="143"/>
      <c r="D17" s="269">
        <v>29411.365679902599</v>
      </c>
      <c r="E17" s="702"/>
      <c r="F17" s="269">
        <v>3597139365.90342</v>
      </c>
      <c r="G17" s="269">
        <v>5010.1900002090997</v>
      </c>
      <c r="H17" s="137"/>
      <c r="I17" s="269">
        <v>3530017225.6633401</v>
      </c>
      <c r="J17" s="269">
        <v>4998.8586312658999</v>
      </c>
      <c r="K17" s="137"/>
      <c r="L17" s="269">
        <v>365988701.44415897</v>
      </c>
      <c r="M17" s="269">
        <v>767.62636069960001</v>
      </c>
      <c r="N17" s="137"/>
      <c r="O17" s="191" t="s">
        <v>266</v>
      </c>
      <c r="P17" s="119" t="s">
        <v>266</v>
      </c>
    </row>
    <row r="18" spans="1:16" ht="6" customHeight="1">
      <c r="A18" s="58"/>
      <c r="B18" s="20"/>
      <c r="C18" s="144"/>
      <c r="D18" s="726"/>
      <c r="E18" s="144"/>
      <c r="F18" s="704"/>
      <c r="G18" s="122"/>
      <c r="H18" s="140"/>
      <c r="I18" s="727"/>
      <c r="J18" s="145"/>
      <c r="K18" s="140"/>
      <c r="L18" s="727"/>
      <c r="M18" s="145"/>
      <c r="N18" s="140"/>
      <c r="O18" s="727"/>
      <c r="P18" s="145"/>
    </row>
    <row r="19" spans="1:16" ht="6" customHeight="1">
      <c r="A19" s="58"/>
      <c r="B19" s="47"/>
      <c r="C19" s="5"/>
      <c r="D19" s="707"/>
      <c r="E19" s="5"/>
      <c r="F19" s="707"/>
      <c r="G19" s="123"/>
      <c r="H19" s="143"/>
      <c r="I19" s="728"/>
      <c r="J19" s="138"/>
      <c r="K19" s="137"/>
      <c r="L19" s="723"/>
      <c r="M19" s="138"/>
      <c r="N19" s="137"/>
      <c r="O19" s="723"/>
      <c r="P19" s="138"/>
    </row>
    <row r="20" spans="1:16" s="46" customFormat="1" ht="11.25">
      <c r="A20" s="54"/>
      <c r="B20" s="47" t="s">
        <v>254</v>
      </c>
      <c r="C20" s="5"/>
      <c r="D20" s="707"/>
      <c r="E20" s="5"/>
      <c r="F20" s="707"/>
      <c r="G20" s="123"/>
      <c r="H20" s="143"/>
      <c r="I20" s="728"/>
      <c r="J20" s="146"/>
      <c r="K20" s="143"/>
      <c r="L20" s="728"/>
      <c r="M20" s="146"/>
      <c r="N20" s="143"/>
      <c r="O20" s="728"/>
      <c r="P20" s="146"/>
    </row>
    <row r="21" spans="1:16" s="46" customFormat="1" ht="11.25">
      <c r="A21" s="54"/>
      <c r="B21" s="47" t="s">
        <v>225</v>
      </c>
      <c r="C21" s="5"/>
      <c r="D21" s="707"/>
      <c r="E21" s="5"/>
      <c r="F21" s="707"/>
      <c r="G21" s="123"/>
      <c r="H21" s="143"/>
      <c r="I21" s="728"/>
      <c r="J21" s="146"/>
      <c r="K21" s="143"/>
      <c r="L21" s="728"/>
      <c r="M21" s="146"/>
      <c r="N21" s="143"/>
      <c r="O21" s="728"/>
      <c r="P21" s="146"/>
    </row>
    <row r="22" spans="1:16" s="46" customFormat="1" ht="11.25">
      <c r="A22" s="54"/>
      <c r="B22" s="47" t="s">
        <v>154</v>
      </c>
      <c r="C22" s="5"/>
      <c r="D22" s="707"/>
      <c r="E22" s="5"/>
      <c r="F22" s="707"/>
      <c r="G22" s="123"/>
      <c r="H22" s="143"/>
      <c r="I22" s="728"/>
      <c r="J22" s="146"/>
      <c r="K22" s="143"/>
      <c r="L22" s="728"/>
      <c r="M22" s="146"/>
      <c r="N22" s="143"/>
      <c r="O22" s="728"/>
      <c r="P22" s="146"/>
    </row>
    <row r="23" spans="1:16" s="59" customFormat="1">
      <c r="B23" s="82" t="s">
        <v>209</v>
      </c>
      <c r="D23" s="91"/>
      <c r="F23" s="91"/>
      <c r="G23" s="88"/>
      <c r="I23" s="91"/>
      <c r="J23" s="88"/>
      <c r="L23" s="91"/>
      <c r="M23" s="88"/>
      <c r="O23" s="91"/>
      <c r="P23" s="88"/>
    </row>
  </sheetData>
  <mergeCells count="8">
    <mergeCell ref="B5:N5"/>
    <mergeCell ref="B7:B9"/>
    <mergeCell ref="D7:D9"/>
    <mergeCell ref="F7:G8"/>
    <mergeCell ref="I7:P7"/>
    <mergeCell ref="I8:J8"/>
    <mergeCell ref="L8:M8"/>
    <mergeCell ref="O8:P8"/>
  </mergeCells>
  <hyperlinks>
    <hyperlink ref="P1" location="Índice!A1" tooltip="Ir a ÍNDICE" display="INDICE" xr:uid="{1E51D530-3AD8-416D-9649-862648894EA7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551B-3CBC-4B3D-B6AC-7630023D4BB0}">
  <dimension ref="A1:BD112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5703125" customWidth="1"/>
    <col min="3" max="3" width="1.7109375" customWidth="1"/>
    <col min="4" max="4" width="24.5703125" style="677" customWidth="1"/>
    <col min="5" max="5" width="1.7109375" customWidth="1"/>
    <col min="6" max="6" width="11.42578125" style="677" customWidth="1"/>
    <col min="7" max="7" width="11.42578125" style="99"/>
    <col min="8" max="8" width="1.7109375" customWidth="1"/>
    <col min="9" max="9" width="11.42578125" style="677"/>
    <col min="10" max="10" width="11.42578125" style="99"/>
    <col min="11" max="11" width="1.7109375" customWidth="1"/>
    <col min="12" max="12" width="24.7109375" style="677" customWidth="1"/>
  </cols>
  <sheetData>
    <row r="1" spans="1:56" s="63" customFormat="1" ht="14.1" customHeight="1">
      <c r="A1" s="53"/>
      <c r="B1" s="756" t="s">
        <v>268</v>
      </c>
      <c r="C1" s="395"/>
      <c r="D1" s="686"/>
      <c r="E1" s="62"/>
      <c r="F1" s="687"/>
      <c r="G1" s="92"/>
      <c r="H1" s="62"/>
      <c r="I1" s="730"/>
      <c r="J1" s="92"/>
      <c r="K1" s="655"/>
      <c r="L1" s="689" t="s">
        <v>191</v>
      </c>
      <c r="M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5"/>
      <c r="AJ1" s="655"/>
      <c r="AK1" s="655"/>
      <c r="AL1" s="655"/>
      <c r="AM1" s="655"/>
      <c r="AN1" s="655"/>
      <c r="AO1" s="655"/>
      <c r="AP1" s="655"/>
      <c r="AQ1" s="655"/>
      <c r="AR1" s="655"/>
      <c r="AS1" s="655"/>
      <c r="AT1" s="655"/>
      <c r="AU1" s="655"/>
      <c r="AV1" s="655"/>
      <c r="AW1" s="655"/>
      <c r="AX1" s="655"/>
      <c r="AY1" s="655"/>
      <c r="AZ1" s="655"/>
      <c r="BA1" s="655"/>
      <c r="BB1" s="655"/>
      <c r="BC1" s="655"/>
      <c r="BD1" s="655"/>
    </row>
    <row r="2" spans="1:56" s="63" customFormat="1" ht="6.95" customHeight="1">
      <c r="A2" s="53"/>
      <c r="B2" s="756"/>
      <c r="C2" s="395"/>
      <c r="D2" s="686"/>
      <c r="E2" s="62"/>
      <c r="F2" s="687"/>
      <c r="G2" s="92"/>
      <c r="H2" s="62"/>
      <c r="I2" s="730"/>
      <c r="J2" s="92"/>
      <c r="K2" s="655"/>
      <c r="L2" s="690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  <c r="AG2" s="655"/>
      <c r="AH2" s="655"/>
      <c r="AI2" s="655"/>
      <c r="AJ2" s="655"/>
      <c r="AK2" s="655"/>
      <c r="AL2" s="655"/>
      <c r="AM2" s="655"/>
      <c r="AN2" s="655"/>
      <c r="AO2" s="655"/>
      <c r="AP2" s="655"/>
      <c r="AQ2" s="655"/>
      <c r="AR2" s="655"/>
      <c r="AS2" s="655"/>
      <c r="AT2" s="655"/>
      <c r="AU2" s="655"/>
      <c r="AV2" s="655"/>
      <c r="AW2" s="655"/>
      <c r="AX2" s="655"/>
      <c r="AY2" s="655"/>
      <c r="AZ2" s="655"/>
      <c r="BA2" s="655"/>
      <c r="BB2" s="655"/>
      <c r="BC2" s="655"/>
      <c r="BD2" s="655"/>
    </row>
    <row r="3" spans="1:56" s="63" customFormat="1" ht="14.1" customHeight="1">
      <c r="A3" s="53"/>
      <c r="B3" s="756" t="s">
        <v>236</v>
      </c>
      <c r="C3" s="731"/>
      <c r="D3" s="732"/>
      <c r="E3" s="731"/>
      <c r="F3" s="732"/>
      <c r="G3" s="733"/>
      <c r="H3" s="731"/>
      <c r="I3" s="732"/>
      <c r="J3" s="92"/>
      <c r="K3" s="655"/>
      <c r="L3" s="690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  <c r="AG3" s="655"/>
      <c r="AH3" s="655"/>
      <c r="AI3" s="655"/>
      <c r="AJ3" s="655"/>
      <c r="AK3" s="655"/>
      <c r="AL3" s="655"/>
      <c r="AM3" s="655"/>
      <c r="AN3" s="655"/>
      <c r="AO3" s="655"/>
      <c r="AP3" s="655"/>
      <c r="AQ3" s="655"/>
      <c r="AR3" s="655"/>
      <c r="AS3" s="655"/>
      <c r="AT3" s="655"/>
      <c r="AU3" s="655"/>
      <c r="AV3" s="655"/>
      <c r="AW3" s="655"/>
      <c r="AX3" s="655"/>
      <c r="AY3" s="655"/>
      <c r="AZ3" s="655"/>
      <c r="BA3" s="655"/>
      <c r="BB3" s="655"/>
      <c r="BC3" s="655"/>
      <c r="BD3" s="655"/>
    </row>
    <row r="4" spans="1:56" s="63" customFormat="1" ht="6.95" customHeight="1">
      <c r="A4" s="53"/>
      <c r="B4" s="150"/>
      <c r="C4" s="395"/>
      <c r="D4" s="686"/>
      <c r="E4" s="62"/>
      <c r="F4" s="687"/>
      <c r="G4" s="92"/>
      <c r="I4" s="687"/>
      <c r="J4" s="92"/>
      <c r="K4" s="655"/>
      <c r="L4" s="690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  <c r="AA4" s="655"/>
      <c r="AB4" s="655"/>
      <c r="AC4" s="655"/>
      <c r="AD4" s="655"/>
      <c r="AE4" s="655"/>
      <c r="AF4" s="655"/>
      <c r="AG4" s="655"/>
      <c r="AH4" s="655"/>
      <c r="AI4" s="655"/>
      <c r="AJ4" s="655"/>
      <c r="AK4" s="655"/>
      <c r="AL4" s="655"/>
      <c r="AM4" s="655"/>
      <c r="AN4" s="655"/>
      <c r="AO4" s="655"/>
      <c r="AP4" s="655"/>
      <c r="AQ4" s="655"/>
      <c r="AR4" s="655"/>
      <c r="AS4" s="655"/>
      <c r="AT4" s="655"/>
      <c r="AU4" s="655"/>
      <c r="AV4" s="655"/>
      <c r="AW4" s="655"/>
      <c r="AX4" s="655"/>
      <c r="AY4" s="655"/>
      <c r="AZ4" s="655"/>
      <c r="BA4" s="655"/>
      <c r="BB4" s="655"/>
      <c r="BC4" s="655"/>
      <c r="BD4" s="655"/>
    </row>
    <row r="5" spans="1:56" s="63" customFormat="1" ht="30" customHeight="1">
      <c r="A5" s="127"/>
      <c r="B5" s="886" t="s">
        <v>235</v>
      </c>
      <c r="C5" s="886"/>
      <c r="D5" s="886"/>
      <c r="E5" s="886"/>
      <c r="F5" s="886"/>
      <c r="G5" s="886"/>
      <c r="H5" s="886"/>
      <c r="I5" s="886"/>
      <c r="J5" s="886"/>
      <c r="K5" s="734"/>
      <c r="L5" s="693" t="s">
        <v>164</v>
      </c>
      <c r="M5" s="655"/>
      <c r="N5" s="655"/>
      <c r="O5" s="655"/>
      <c r="P5" s="655"/>
      <c r="Q5" s="655"/>
      <c r="R5" s="655"/>
      <c r="S5" s="655"/>
      <c r="T5" s="655"/>
      <c r="U5" s="655"/>
      <c r="V5" s="655"/>
      <c r="W5" s="655"/>
      <c r="X5" s="655"/>
      <c r="Y5" s="655"/>
      <c r="Z5" s="655"/>
      <c r="AA5" s="655"/>
      <c r="AB5" s="655"/>
      <c r="AC5" s="655"/>
      <c r="AD5" s="655"/>
      <c r="AE5" s="655"/>
      <c r="AF5" s="655"/>
      <c r="AG5" s="655"/>
      <c r="AH5" s="655"/>
      <c r="AI5" s="655"/>
      <c r="AJ5" s="655"/>
      <c r="AK5" s="655"/>
      <c r="AL5" s="655"/>
      <c r="AM5" s="655"/>
      <c r="AN5" s="655"/>
      <c r="AO5" s="655"/>
      <c r="AP5" s="655"/>
      <c r="AQ5" s="655"/>
      <c r="AR5" s="655"/>
      <c r="AS5" s="655"/>
      <c r="AT5" s="655"/>
      <c r="AU5" s="655"/>
      <c r="AV5" s="655"/>
      <c r="AW5" s="655"/>
      <c r="AX5" s="655"/>
      <c r="AY5" s="655"/>
      <c r="AZ5" s="655"/>
      <c r="BA5" s="655"/>
      <c r="BB5" s="655"/>
      <c r="BC5" s="655"/>
      <c r="BD5" s="655"/>
    </row>
    <row r="6" spans="1:56" s="31" customFormat="1" ht="6" customHeight="1">
      <c r="A6" s="127"/>
      <c r="B6" s="150"/>
      <c r="C6" s="213"/>
      <c r="D6" s="694"/>
      <c r="E6" s="23"/>
      <c r="F6" s="695"/>
      <c r="G6" s="104"/>
      <c r="H6" s="23"/>
      <c r="I6" s="695"/>
      <c r="J6" s="104"/>
      <c r="K6" s="2"/>
      <c r="L6" s="69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s="31" customFormat="1" ht="22.5" customHeight="1">
      <c r="A7" s="127"/>
      <c r="B7" s="790" t="s">
        <v>101</v>
      </c>
      <c r="C7" s="399"/>
      <c r="D7" s="801" t="s">
        <v>255</v>
      </c>
      <c r="E7" s="35"/>
      <c r="F7" s="895" t="s">
        <v>256</v>
      </c>
      <c r="G7" s="895"/>
      <c r="H7" s="895"/>
      <c r="I7" s="895"/>
      <c r="J7" s="895"/>
      <c r="K7" s="697"/>
      <c r="L7" s="801" t="s">
        <v>257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31" customFormat="1" ht="39.950000000000003" customHeight="1">
      <c r="A8" s="127"/>
      <c r="B8" s="791"/>
      <c r="C8" s="400"/>
      <c r="D8" s="894"/>
      <c r="E8" s="23"/>
      <c r="F8" s="891" t="s">
        <v>166</v>
      </c>
      <c r="G8" s="891"/>
      <c r="H8" s="735"/>
      <c r="I8" s="891" t="s">
        <v>258</v>
      </c>
      <c r="J8" s="896"/>
      <c r="K8" s="2"/>
      <c r="L8" s="89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8.75" customHeight="1">
      <c r="A9" s="54"/>
      <c r="B9" s="792"/>
      <c r="C9" s="401"/>
      <c r="D9" s="802"/>
      <c r="E9" s="32"/>
      <c r="F9" s="724" t="s">
        <v>3</v>
      </c>
      <c r="G9" s="151" t="s">
        <v>4</v>
      </c>
      <c r="H9" s="51"/>
      <c r="I9" s="724" t="s">
        <v>3</v>
      </c>
      <c r="J9" s="151" t="s">
        <v>4</v>
      </c>
      <c r="K9" s="699"/>
      <c r="L9" s="80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6" customHeight="1">
      <c r="A10" s="54"/>
      <c r="B10" s="5"/>
      <c r="C10" s="213"/>
      <c r="D10" s="694"/>
      <c r="E10" s="23"/>
      <c r="F10" s="695"/>
      <c r="G10" s="104"/>
      <c r="H10" s="23"/>
      <c r="I10" s="695"/>
      <c r="J10" s="104"/>
      <c r="K10" s="2"/>
      <c r="L10" s="69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15">
      <c r="A11" s="206"/>
      <c r="B11" s="21" t="s">
        <v>40</v>
      </c>
      <c r="C11" s="402"/>
      <c r="D11" s="267">
        <v>64137.480538508498</v>
      </c>
      <c r="E11" s="736"/>
      <c r="F11" s="267">
        <v>34566.3781836321</v>
      </c>
      <c r="G11" s="267">
        <v>0.95638955219999999</v>
      </c>
      <c r="H11" s="736"/>
      <c r="I11" s="267">
        <v>26686.480082611099</v>
      </c>
      <c r="J11" s="267">
        <v>0.80418736420000003</v>
      </c>
      <c r="K11" s="3"/>
      <c r="L11" s="267">
        <v>53828.114071385098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6" customHeight="1">
      <c r="A12" s="57"/>
      <c r="B12" s="141"/>
      <c r="C12" s="402"/>
      <c r="D12" s="701"/>
      <c r="E12" s="736"/>
      <c r="F12" s="701"/>
      <c r="G12" s="85"/>
      <c r="H12" s="736"/>
      <c r="I12" s="701"/>
      <c r="J12" s="85"/>
      <c r="K12" s="3"/>
      <c r="L12" s="70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>
      <c r="A13" s="57"/>
      <c r="B13" s="48" t="s">
        <v>104</v>
      </c>
      <c r="C13" s="404"/>
      <c r="D13" s="268">
        <v>14479.5683287559</v>
      </c>
      <c r="E13" s="737"/>
      <c r="F13" s="530">
        <v>10106.0896996798</v>
      </c>
      <c r="G13" s="530">
        <v>3.4103832291999998</v>
      </c>
      <c r="H13" s="738"/>
      <c r="I13" s="530">
        <v>7941.6286702078996</v>
      </c>
      <c r="J13" s="530">
        <v>3.0682602439000002</v>
      </c>
      <c r="K13" s="391"/>
      <c r="L13" s="530">
        <v>10201.5872784537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>
      <c r="A14" s="57"/>
      <c r="B14" s="48" t="s">
        <v>105</v>
      </c>
      <c r="C14" s="404"/>
      <c r="D14" s="268">
        <v>15408.5730233021</v>
      </c>
      <c r="E14" s="737"/>
      <c r="F14" s="530">
        <v>11252.009036834599</v>
      </c>
      <c r="G14" s="530">
        <v>3.8369018685</v>
      </c>
      <c r="H14" s="738"/>
      <c r="I14" s="530">
        <v>10018.373109623801</v>
      </c>
      <c r="J14" s="530">
        <v>3.8868867668</v>
      </c>
      <c r="K14" s="391"/>
      <c r="L14" s="530">
        <v>10279.2240713053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>
      <c r="A15" s="54"/>
      <c r="B15" s="48" t="s">
        <v>106</v>
      </c>
      <c r="C15" s="404"/>
      <c r="D15" s="268">
        <v>15329.215158119099</v>
      </c>
      <c r="E15" s="737"/>
      <c r="F15" s="530">
        <v>9093.4775800094994</v>
      </c>
      <c r="G15" s="530">
        <v>3.5152739740999999</v>
      </c>
      <c r="H15" s="738"/>
      <c r="I15" s="530">
        <v>6766.8581106923002</v>
      </c>
      <c r="J15" s="530">
        <v>2.9101820404000001</v>
      </c>
      <c r="K15" s="391"/>
      <c r="L15" s="530">
        <v>12448.945421259201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>
      <c r="A16" s="54"/>
      <c r="B16" s="48" t="s">
        <v>107</v>
      </c>
      <c r="C16" s="404"/>
      <c r="D16" s="268">
        <v>44436.284331083603</v>
      </c>
      <c r="E16" s="737"/>
      <c r="F16" s="530">
        <v>22924.135332127302</v>
      </c>
      <c r="G16" s="530">
        <v>1.3594050545</v>
      </c>
      <c r="H16" s="738"/>
      <c r="I16" s="530">
        <v>16297.858480220601</v>
      </c>
      <c r="J16" s="530">
        <v>1.0824715507</v>
      </c>
      <c r="K16" s="391"/>
      <c r="L16" s="530">
        <v>36758.407712001703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>
      <c r="A17" s="54"/>
      <c r="B17" s="48" t="s">
        <v>108</v>
      </c>
      <c r="C17" s="404"/>
      <c r="D17" s="269">
        <v>20433.0561252605</v>
      </c>
      <c r="E17" s="737"/>
      <c r="F17" s="531">
        <v>11679.690118521699</v>
      </c>
      <c r="G17" s="531">
        <v>2.9257509572</v>
      </c>
      <c r="H17" s="738"/>
      <c r="I17" s="531">
        <v>10062.1780489954</v>
      </c>
      <c r="J17" s="531">
        <v>2.6992434102999998</v>
      </c>
      <c r="K17" s="391"/>
      <c r="L17" s="531">
        <v>16622.721290249399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s="3" customFormat="1">
      <c r="A18" s="58"/>
      <c r="B18" s="48" t="s">
        <v>111</v>
      </c>
      <c r="C18" s="404"/>
      <c r="D18" s="269">
        <v>35244.231013715202</v>
      </c>
      <c r="E18" s="737"/>
      <c r="F18" s="531">
        <v>19619.625979725999</v>
      </c>
      <c r="G18" s="531">
        <v>1.5937957166000001</v>
      </c>
      <c r="H18" s="738"/>
      <c r="I18" s="531">
        <v>16039.1163426532</v>
      </c>
      <c r="J18" s="531">
        <v>1.4226019739</v>
      </c>
      <c r="K18" s="391"/>
      <c r="L18" s="531">
        <v>28282.796861715498</v>
      </c>
    </row>
    <row r="19" spans="1:56" ht="6" customHeight="1">
      <c r="A19" s="58"/>
      <c r="B19" s="5"/>
      <c r="C19" s="404"/>
      <c r="D19" s="739"/>
      <c r="E19" s="3"/>
      <c r="F19" s="740"/>
      <c r="G19" s="524"/>
      <c r="H19" s="391"/>
      <c r="I19" s="740"/>
      <c r="J19" s="524"/>
      <c r="K19" s="391"/>
      <c r="L19" s="74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15">
      <c r="B20" s="299" t="s">
        <v>41</v>
      </c>
      <c r="C20" s="404"/>
      <c r="D20" s="267">
        <v>29019.019997666401</v>
      </c>
      <c r="E20" s="736"/>
      <c r="F20" s="532">
        <v>16838.839411462701</v>
      </c>
      <c r="G20" s="532">
        <v>1.8999428278999999</v>
      </c>
      <c r="H20" s="741"/>
      <c r="I20" s="532">
        <v>11411.7370504306</v>
      </c>
      <c r="J20" s="532">
        <v>1.3800537551000001</v>
      </c>
      <c r="K20" s="419"/>
      <c r="L20" s="532">
        <v>23231.855660846399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6" customHeight="1">
      <c r="B21" s="299"/>
      <c r="C21" s="404"/>
      <c r="D21" s="739"/>
      <c r="E21" s="3"/>
      <c r="F21" s="740"/>
      <c r="G21" s="524"/>
      <c r="H21" s="391"/>
      <c r="I21" s="740"/>
      <c r="J21" s="524"/>
      <c r="K21" s="391"/>
      <c r="L21" s="74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>
      <c r="B22" s="48" t="s">
        <v>104</v>
      </c>
      <c r="C22" s="404"/>
      <c r="D22" s="268">
        <v>8155.471675152</v>
      </c>
      <c r="E22" s="737"/>
      <c r="F22" s="530">
        <v>5425.0235198754999</v>
      </c>
      <c r="G22" s="530">
        <v>5.5151542014999997</v>
      </c>
      <c r="H22" s="738"/>
      <c r="I22" s="530">
        <v>4189.8956921477002</v>
      </c>
      <c r="J22" s="530">
        <v>4.6015415075000003</v>
      </c>
      <c r="K22" s="391"/>
      <c r="L22" s="530">
        <v>6078.1695080304999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>
      <c r="B23" s="48" t="s">
        <v>105</v>
      </c>
      <c r="C23" s="404"/>
      <c r="D23" s="268">
        <v>8397.9979251921995</v>
      </c>
      <c r="E23" s="737"/>
      <c r="F23" s="530">
        <v>4654.9648540118997</v>
      </c>
      <c r="G23" s="530">
        <v>5.5168141722000001</v>
      </c>
      <c r="H23" s="738"/>
      <c r="I23" s="530">
        <v>4049.9031324865</v>
      </c>
      <c r="J23" s="530">
        <v>5.0696363754</v>
      </c>
      <c r="K23" s="391"/>
      <c r="L23" s="530">
        <v>6965.2028712635001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>
      <c r="B24" s="48" t="s">
        <v>106</v>
      </c>
      <c r="C24" s="404"/>
      <c r="D24" s="268">
        <v>8700.2935595659001</v>
      </c>
      <c r="E24" s="737"/>
      <c r="F24" s="530">
        <v>5383.0808289864999</v>
      </c>
      <c r="G24" s="530">
        <v>5.2476707454999998</v>
      </c>
      <c r="H24" s="738"/>
      <c r="I24" s="530">
        <v>3520.0683708827</v>
      </c>
      <c r="J24" s="530">
        <v>3.9747600337</v>
      </c>
      <c r="K24" s="391"/>
      <c r="L24" s="530">
        <v>6392.4447429995998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>
      <c r="B25" s="48" t="s">
        <v>107</v>
      </c>
      <c r="C25" s="404"/>
      <c r="D25" s="268">
        <v>17957.408775149299</v>
      </c>
      <c r="E25" s="737"/>
      <c r="F25" s="530">
        <v>9328.3256576679996</v>
      </c>
      <c r="G25" s="530">
        <v>2.9191706195</v>
      </c>
      <c r="H25" s="738"/>
      <c r="I25" s="530">
        <v>5145.3927432111004</v>
      </c>
      <c r="J25" s="530">
        <v>1.8176602039</v>
      </c>
      <c r="K25" s="391"/>
      <c r="L25" s="530">
        <v>14930.2680275282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B26" s="48" t="s">
        <v>108</v>
      </c>
      <c r="C26" s="404"/>
      <c r="D26" s="268">
        <v>8613.0181832006001</v>
      </c>
      <c r="E26" s="737"/>
      <c r="F26" s="530">
        <v>2865.7398611582998</v>
      </c>
      <c r="G26" s="530">
        <v>3.6790390287000001</v>
      </c>
      <c r="H26" s="738"/>
      <c r="I26" s="530">
        <v>2241.1127203411002</v>
      </c>
      <c r="J26" s="530">
        <v>2.9495132483000002</v>
      </c>
      <c r="K26" s="391"/>
      <c r="L26" s="530">
        <v>7961.1069155865998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>
      <c r="B27" s="48" t="s">
        <v>111</v>
      </c>
      <c r="C27" s="404"/>
      <c r="D27" s="268">
        <v>15388.030888244501</v>
      </c>
      <c r="E27" s="737"/>
      <c r="F27" s="268">
        <v>8547.2016954776009</v>
      </c>
      <c r="G27" s="268">
        <v>3.1116629572000001</v>
      </c>
      <c r="H27" s="737"/>
      <c r="I27" s="268">
        <v>7275.3283227935999</v>
      </c>
      <c r="J27" s="268">
        <v>2.8271136757000002</v>
      </c>
      <c r="K27" s="3"/>
      <c r="L27" s="268">
        <v>12573.723924592399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6" customHeight="1">
      <c r="B28" s="48"/>
      <c r="C28" s="404"/>
      <c r="D28" s="739"/>
      <c r="E28" s="3"/>
      <c r="F28" s="739"/>
      <c r="G28" s="93"/>
      <c r="H28" s="3"/>
      <c r="I28" s="739"/>
      <c r="J28" s="93"/>
      <c r="K28" s="3"/>
      <c r="L28" s="7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5">
      <c r="B29" s="299" t="s">
        <v>44</v>
      </c>
      <c r="C29" s="404"/>
      <c r="D29" s="267">
        <v>24770.8612425756</v>
      </c>
      <c r="E29" s="736"/>
      <c r="F29" s="267">
        <v>12024.124309918599</v>
      </c>
      <c r="G29" s="267">
        <v>2.2102469114000001</v>
      </c>
      <c r="H29" s="736"/>
      <c r="I29" s="267">
        <v>8947.0925400420001</v>
      </c>
      <c r="J29" s="267">
        <v>1.8243405938999999</v>
      </c>
      <c r="K29" s="43"/>
      <c r="L29" s="267">
        <v>20569.573846624899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6" customHeight="1">
      <c r="B30" s="299"/>
      <c r="C30" s="404"/>
      <c r="D30" s="739"/>
      <c r="E30" s="3"/>
      <c r="F30" s="739"/>
      <c r="G30" s="93"/>
      <c r="H30" s="3"/>
      <c r="I30" s="739"/>
      <c r="J30" s="93"/>
      <c r="K30" s="3"/>
      <c r="L30" s="7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>
      <c r="B31" s="48" t="s">
        <v>104</v>
      </c>
      <c r="C31" s="404"/>
      <c r="D31" s="268">
        <v>5840.0835639862999</v>
      </c>
      <c r="E31" s="737"/>
      <c r="F31" s="268">
        <v>3996.318405733</v>
      </c>
      <c r="G31" s="268">
        <v>8.4012827950000002</v>
      </c>
      <c r="H31" s="737"/>
      <c r="I31" s="268">
        <v>2765.6832790469998</v>
      </c>
      <c r="J31" s="268">
        <v>6.9132394451000003</v>
      </c>
      <c r="K31" s="3"/>
      <c r="L31" s="268">
        <v>4330.1478116464996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>
      <c r="B32" s="48" t="s">
        <v>105</v>
      </c>
      <c r="C32" s="404"/>
      <c r="D32" s="268">
        <v>5504.3331508271003</v>
      </c>
      <c r="E32" s="737"/>
      <c r="F32" s="268">
        <v>3750.1630186788998</v>
      </c>
      <c r="G32" s="268">
        <v>7.1266015959000004</v>
      </c>
      <c r="H32" s="737"/>
      <c r="I32" s="268">
        <v>1999.9819999189999</v>
      </c>
      <c r="J32" s="268">
        <v>5.2207432124000004</v>
      </c>
      <c r="K32" s="3"/>
      <c r="L32" s="268">
        <v>3682.1462597826999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2:56">
      <c r="B33" s="48" t="s">
        <v>106</v>
      </c>
      <c r="C33" s="404"/>
      <c r="D33" s="268">
        <v>5118.9875175712996</v>
      </c>
      <c r="E33" s="737"/>
      <c r="F33" s="268">
        <v>3269.8954111714002</v>
      </c>
      <c r="G33" s="268">
        <v>7.7200543627</v>
      </c>
      <c r="H33" s="737"/>
      <c r="I33" s="268">
        <v>2257.8272741730998</v>
      </c>
      <c r="J33" s="268">
        <v>6.1636096172999997</v>
      </c>
      <c r="K33" s="3"/>
      <c r="L33" s="268">
        <v>3861.4032257351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2:56">
      <c r="B34" s="48" t="s">
        <v>107</v>
      </c>
      <c r="C34" s="404"/>
      <c r="D34" s="268">
        <v>13755.4216059339</v>
      </c>
      <c r="E34" s="737"/>
      <c r="F34" s="268">
        <v>6992.3307475275997</v>
      </c>
      <c r="G34" s="268">
        <v>3.1542214243000002</v>
      </c>
      <c r="H34" s="737"/>
      <c r="I34" s="268">
        <v>4231.6139667489997</v>
      </c>
      <c r="J34" s="268">
        <v>2.1539188999999999</v>
      </c>
      <c r="K34" s="3"/>
      <c r="L34" s="268">
        <v>11171.568164865699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2:56">
      <c r="B35" s="48" t="s">
        <v>108</v>
      </c>
      <c r="C35" s="404"/>
      <c r="D35" s="268">
        <v>7045.0063246953996</v>
      </c>
      <c r="E35" s="737"/>
      <c r="F35" s="268">
        <v>4209.1313830766003</v>
      </c>
      <c r="G35" s="268">
        <v>7.6661306047000002</v>
      </c>
      <c r="H35" s="737"/>
      <c r="I35" s="268">
        <v>3351.7644606982999</v>
      </c>
      <c r="J35" s="268">
        <v>6.5678733123999997</v>
      </c>
      <c r="K35" s="3"/>
      <c r="L35" s="268">
        <v>5142.4059840618002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2:56">
      <c r="B36" s="48" t="s">
        <v>111</v>
      </c>
      <c r="C36" s="404"/>
      <c r="D36" s="268">
        <v>14882.394866086001</v>
      </c>
      <c r="E36" s="737"/>
      <c r="F36" s="268">
        <v>6445.1247423817003</v>
      </c>
      <c r="G36" s="268">
        <v>3.2796597354000001</v>
      </c>
      <c r="H36" s="737"/>
      <c r="I36" s="268">
        <v>5457.4006309835004</v>
      </c>
      <c r="J36" s="268">
        <v>2.9686939103999999</v>
      </c>
      <c r="K36" s="3"/>
      <c r="L36" s="268">
        <v>12870.327753981999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2:56" ht="6" customHeight="1">
      <c r="B37" s="48"/>
      <c r="C37" s="404"/>
      <c r="D37" s="739"/>
      <c r="E37" s="3"/>
      <c r="F37" s="739"/>
      <c r="G37" s="93"/>
      <c r="H37" s="3"/>
      <c r="I37" s="739"/>
      <c r="J37" s="93"/>
      <c r="K37" s="3"/>
      <c r="L37" s="73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2:56" ht="15">
      <c r="B38" s="299" t="s">
        <v>45</v>
      </c>
      <c r="C38" s="404"/>
      <c r="D38" s="267">
        <v>32042.308047615999</v>
      </c>
      <c r="E38" s="736"/>
      <c r="F38" s="267">
        <v>16009.3977069999</v>
      </c>
      <c r="G38" s="267">
        <v>2.7573367308000001</v>
      </c>
      <c r="H38" s="736"/>
      <c r="I38" s="267">
        <v>14375.8145031767</v>
      </c>
      <c r="J38" s="267">
        <v>2.5507547278999998</v>
      </c>
      <c r="K38" s="43"/>
      <c r="L38" s="267">
        <v>28457.246567181701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2:56" ht="6" customHeight="1">
      <c r="B39" s="299"/>
      <c r="C39" s="404"/>
      <c r="D39" s="739"/>
      <c r="E39" s="3"/>
      <c r="F39" s="739"/>
      <c r="G39" s="93"/>
      <c r="H39" s="3"/>
      <c r="I39" s="739"/>
      <c r="J39" s="93"/>
      <c r="K39" s="3"/>
      <c r="L39" s="73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2:56">
      <c r="B40" s="48" t="s">
        <v>104</v>
      </c>
      <c r="C40" s="404"/>
      <c r="D40" s="268">
        <v>6851.6917008675</v>
      </c>
      <c r="E40" s="737"/>
      <c r="F40" s="268">
        <v>5024.6857613188004</v>
      </c>
      <c r="G40" s="268">
        <v>8.9588056261000002</v>
      </c>
      <c r="H40" s="737"/>
      <c r="I40" s="268">
        <v>4284.9837805994002</v>
      </c>
      <c r="J40" s="268">
        <v>9.0978395604000006</v>
      </c>
      <c r="K40" s="3"/>
      <c r="L40" s="268">
        <v>4305.1869970877997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2:56">
      <c r="B41" s="48" t="s">
        <v>105</v>
      </c>
      <c r="C41" s="404"/>
      <c r="D41" s="268">
        <v>8758.1765125467009</v>
      </c>
      <c r="E41" s="737"/>
      <c r="F41" s="268">
        <v>7938.2672208759996</v>
      </c>
      <c r="G41" s="268">
        <v>11.2456474316</v>
      </c>
      <c r="H41" s="737"/>
      <c r="I41" s="268">
        <v>7838.1286575209997</v>
      </c>
      <c r="J41" s="268">
        <v>12.2653933027</v>
      </c>
      <c r="K41" s="3"/>
      <c r="L41" s="268">
        <v>3396.7656472442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2:56">
      <c r="B42" s="48" t="s">
        <v>106</v>
      </c>
      <c r="C42" s="404"/>
      <c r="D42" s="268">
        <v>8365.6713208217006</v>
      </c>
      <c r="E42" s="737"/>
      <c r="F42" s="268">
        <v>5361.2383830604003</v>
      </c>
      <c r="G42" s="268">
        <v>10.8411016828</v>
      </c>
      <c r="H42" s="737"/>
      <c r="I42" s="268">
        <v>4880.5445392907004</v>
      </c>
      <c r="J42" s="268">
        <v>10.2865269382</v>
      </c>
      <c r="K42" s="3"/>
      <c r="L42" s="268">
        <v>7177.6222771041002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2:56">
      <c r="B43" s="48" t="s">
        <v>107</v>
      </c>
      <c r="C43" s="404"/>
      <c r="D43" s="268">
        <v>24016.5799890052</v>
      </c>
      <c r="E43" s="737"/>
      <c r="F43" s="268">
        <v>10490.3849342392</v>
      </c>
      <c r="G43" s="268">
        <v>3.4677676283999999</v>
      </c>
      <c r="H43" s="737"/>
      <c r="I43" s="268">
        <v>7757.0010367524001</v>
      </c>
      <c r="J43" s="268">
        <v>2.7957834651</v>
      </c>
      <c r="K43" s="3"/>
      <c r="L43" s="268">
        <v>20712.657328481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2:56">
      <c r="B44" s="48" t="s">
        <v>108</v>
      </c>
      <c r="C44" s="404"/>
      <c r="D44" s="268">
        <v>11702.6433658695</v>
      </c>
      <c r="E44" s="737"/>
      <c r="F44" s="268">
        <v>8189.5249123290996</v>
      </c>
      <c r="G44" s="268">
        <v>9.2792631059000001</v>
      </c>
      <c r="H44" s="737"/>
      <c r="I44" s="268">
        <v>7782.0010223021</v>
      </c>
      <c r="J44" s="268">
        <v>9.2656449438999999</v>
      </c>
      <c r="K44" s="3"/>
      <c r="L44" s="268">
        <v>8672.1556880374992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2:56">
      <c r="B45" s="48" t="s">
        <v>111</v>
      </c>
      <c r="C45" s="404"/>
      <c r="D45" s="268">
        <v>15079.4852642654</v>
      </c>
      <c r="E45" s="737"/>
      <c r="F45" s="268">
        <v>10296.713083074501</v>
      </c>
      <c r="G45" s="268">
        <v>4.5580474747000004</v>
      </c>
      <c r="H45" s="737"/>
      <c r="I45" s="268">
        <v>9298.2054390771009</v>
      </c>
      <c r="J45" s="268">
        <v>4.6298682400000004</v>
      </c>
      <c r="K45" s="3"/>
      <c r="L45" s="268">
        <v>9930.1296667861006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2:56" ht="6" customHeight="1">
      <c r="B46" s="48"/>
      <c r="C46" s="404"/>
      <c r="D46" s="739"/>
      <c r="E46" s="3"/>
      <c r="F46" s="739"/>
      <c r="G46" s="93"/>
      <c r="H46" s="3"/>
      <c r="I46" s="739"/>
      <c r="J46" s="93"/>
      <c r="K46" s="3"/>
      <c r="L46" s="73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2:56" ht="15">
      <c r="B47" s="303" t="s">
        <v>110</v>
      </c>
      <c r="C47" s="404"/>
      <c r="D47" s="267">
        <v>40516.2582746017</v>
      </c>
      <c r="E47" s="736"/>
      <c r="F47" s="267">
        <v>22712.902675763198</v>
      </c>
      <c r="G47" s="267">
        <v>1.3999892952999999</v>
      </c>
      <c r="H47" s="736"/>
      <c r="I47" s="267">
        <v>17324.305303610901</v>
      </c>
      <c r="J47" s="267">
        <v>1.1856394571</v>
      </c>
      <c r="K47" s="43"/>
      <c r="L47" s="267">
        <v>33564.014107649899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2:56" ht="6" customHeight="1">
      <c r="B48" s="299"/>
      <c r="C48" s="404"/>
      <c r="D48" s="739"/>
      <c r="E48" s="3"/>
      <c r="F48" s="739"/>
      <c r="G48" s="93"/>
      <c r="H48" s="3"/>
      <c r="I48" s="739"/>
      <c r="J48" s="93"/>
      <c r="K48" s="3"/>
      <c r="L48" s="73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0.5" customHeight="1">
      <c r="B49" s="48" t="s">
        <v>104</v>
      </c>
      <c r="C49" s="404"/>
      <c r="D49" s="268">
        <v>7879.9698949187996</v>
      </c>
      <c r="E49" s="737"/>
      <c r="F49" s="268">
        <v>5611.0730726637003</v>
      </c>
      <c r="G49" s="268">
        <v>5.9670901529</v>
      </c>
      <c r="H49" s="737"/>
      <c r="I49" s="268">
        <v>4416.3503058962997</v>
      </c>
      <c r="J49" s="268">
        <v>5.5401766286000003</v>
      </c>
      <c r="K49" s="3"/>
      <c r="L49" s="268">
        <v>5462.9134425647999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>
      <c r="B50" s="48" t="s">
        <v>105</v>
      </c>
      <c r="C50" s="404"/>
      <c r="D50" s="421">
        <v>7739.1481574318996</v>
      </c>
      <c r="E50" s="23"/>
      <c r="F50" s="421">
        <v>5278.1815463492003</v>
      </c>
      <c r="G50" s="421">
        <v>6.3830721032</v>
      </c>
      <c r="H50" s="3"/>
      <c r="I50" s="421">
        <v>4304.6365153468996</v>
      </c>
      <c r="J50" s="421">
        <v>5.9015174258999998</v>
      </c>
      <c r="K50" s="3"/>
      <c r="L50" s="421">
        <v>5661.4643449831001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>
      <c r="B51" s="48" t="s">
        <v>106</v>
      </c>
      <c r="C51" s="404"/>
      <c r="D51" s="421">
        <v>7949.6346624227999</v>
      </c>
      <c r="E51" s="23"/>
      <c r="F51" s="421">
        <v>3778.7143695617001</v>
      </c>
      <c r="G51" s="421">
        <v>5.6880135783999997</v>
      </c>
      <c r="H51" s="3"/>
      <c r="I51" s="421">
        <v>2117.0707013592</v>
      </c>
      <c r="J51" s="421">
        <v>3.5924754475</v>
      </c>
      <c r="K51" s="3"/>
      <c r="L51" s="421">
        <v>6905.3744203113001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>
      <c r="B52" s="48" t="s">
        <v>107</v>
      </c>
      <c r="C52" s="404"/>
      <c r="D52" s="421">
        <v>29834.817701970602</v>
      </c>
      <c r="E52" s="23"/>
      <c r="F52" s="421">
        <v>16839.4389989349</v>
      </c>
      <c r="G52" s="421">
        <v>1.9770962128</v>
      </c>
      <c r="H52" s="3"/>
      <c r="I52" s="421">
        <v>12848.219826561401</v>
      </c>
      <c r="J52" s="421">
        <v>1.7021603311</v>
      </c>
      <c r="K52" s="3"/>
      <c r="L52" s="421">
        <v>23967.6766766951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>
      <c r="B53" s="48" t="s">
        <v>108</v>
      </c>
      <c r="C53" s="404"/>
      <c r="D53" s="421">
        <v>12519.653530756001</v>
      </c>
      <c r="E53" s="23"/>
      <c r="F53" s="421">
        <v>6589.2026090568997</v>
      </c>
      <c r="G53" s="421">
        <v>3.8620566262999998</v>
      </c>
      <c r="H53" s="3"/>
      <c r="I53" s="421">
        <v>4942.7700688277</v>
      </c>
      <c r="J53" s="421">
        <v>3.1315197034</v>
      </c>
      <c r="K53" s="3"/>
      <c r="L53" s="421">
        <v>10549.1713508424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>
      <c r="B54" s="48" t="s">
        <v>111</v>
      </c>
      <c r="C54" s="404"/>
      <c r="D54" s="421">
        <v>23607.386529331299</v>
      </c>
      <c r="E54" s="23"/>
      <c r="F54" s="421">
        <v>12818.4684538031</v>
      </c>
      <c r="G54" s="421">
        <v>2.3899938214000001</v>
      </c>
      <c r="H54" s="3"/>
      <c r="I54" s="421">
        <v>9385.2546483502992</v>
      </c>
      <c r="J54" s="421">
        <v>1.9369869345999999</v>
      </c>
      <c r="K54" s="3"/>
      <c r="L54" s="421">
        <v>19431.038399815199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6" customHeight="1">
      <c r="B55" s="20"/>
      <c r="C55" s="406"/>
      <c r="D55" s="704"/>
      <c r="E55" s="32"/>
      <c r="F55" s="705"/>
      <c r="G55" s="105"/>
      <c r="H55" s="32"/>
      <c r="I55" s="705"/>
      <c r="J55" s="105"/>
      <c r="K55" s="699"/>
      <c r="L55" s="70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6" customHeight="1">
      <c r="B56" s="47"/>
      <c r="C56" s="213"/>
      <c r="D56" s="707"/>
      <c r="E56" s="27"/>
      <c r="F56" s="695"/>
      <c r="G56" s="104"/>
      <c r="H56" s="23"/>
      <c r="I56" s="695"/>
      <c r="J56" s="104"/>
      <c r="K56" s="2"/>
      <c r="L56" s="69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s="80" customFormat="1" ht="11.25">
      <c r="A57" s="54"/>
      <c r="B57" s="47" t="s">
        <v>259</v>
      </c>
      <c r="C57" s="213"/>
      <c r="D57" s="707"/>
      <c r="E57" s="27"/>
      <c r="F57" s="708"/>
      <c r="G57" s="94"/>
      <c r="H57" s="27"/>
      <c r="I57" s="708"/>
      <c r="J57" s="94"/>
      <c r="K57" s="39"/>
      <c r="L57" s="701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</row>
    <row r="58" spans="1:56" s="59" customFormat="1">
      <c r="B58" s="82" t="s">
        <v>209</v>
      </c>
      <c r="D58" s="91"/>
      <c r="F58" s="91"/>
      <c r="G58" s="88"/>
      <c r="I58" s="91"/>
      <c r="J58" s="88"/>
      <c r="L58" s="91"/>
    </row>
    <row r="59" spans="1:56">
      <c r="B59" s="2"/>
      <c r="C59" s="31"/>
      <c r="D59" s="696"/>
      <c r="E59" s="2"/>
      <c r="F59" s="696"/>
      <c r="G59" s="113"/>
      <c r="H59" s="2"/>
      <c r="I59" s="696"/>
      <c r="J59" s="113"/>
      <c r="K59" s="2"/>
      <c r="L59" s="696"/>
      <c r="M59" s="1"/>
      <c r="N59" s="1"/>
      <c r="O59" s="1"/>
      <c r="P59" s="1"/>
      <c r="Q59" s="1"/>
      <c r="R59" s="1"/>
      <c r="S59" s="1"/>
      <c r="T59" s="1"/>
      <c r="U59" s="1"/>
    </row>
    <row r="60" spans="1:56">
      <c r="B60" s="2"/>
      <c r="C60" s="31"/>
      <c r="D60" s="696"/>
      <c r="E60" s="2"/>
      <c r="F60" s="696"/>
      <c r="G60" s="113"/>
      <c r="H60" s="2"/>
      <c r="I60" s="696"/>
      <c r="J60" s="113"/>
      <c r="K60" s="2"/>
      <c r="L60" s="696"/>
      <c r="M60" s="1"/>
      <c r="N60" s="1"/>
      <c r="O60" s="1"/>
      <c r="P60" s="1"/>
      <c r="Q60" s="1"/>
      <c r="R60" s="1"/>
      <c r="S60" s="1"/>
      <c r="T60" s="1"/>
      <c r="U60" s="1"/>
    </row>
    <row r="61" spans="1:56">
      <c r="B61" s="2"/>
      <c r="C61" s="31"/>
      <c r="D61" s="696"/>
      <c r="E61" s="2"/>
      <c r="F61" s="696"/>
      <c r="G61" s="113"/>
      <c r="H61" s="2"/>
      <c r="I61" s="696"/>
      <c r="J61" s="113"/>
      <c r="K61" s="2"/>
      <c r="L61" s="696"/>
      <c r="M61" s="1"/>
      <c r="N61" s="1"/>
      <c r="O61" s="1"/>
      <c r="P61" s="1"/>
      <c r="Q61" s="1"/>
      <c r="R61" s="1"/>
      <c r="S61" s="1"/>
      <c r="T61" s="1"/>
      <c r="U61" s="1"/>
    </row>
    <row r="62" spans="1:56">
      <c r="B62" s="2"/>
      <c r="C62" s="31"/>
      <c r="D62" s="696"/>
      <c r="E62" s="2"/>
      <c r="F62" s="696"/>
      <c r="G62" s="113"/>
      <c r="H62" s="2"/>
      <c r="I62" s="696"/>
      <c r="J62" s="113"/>
      <c r="K62" s="2"/>
      <c r="L62" s="696"/>
      <c r="M62" s="1"/>
      <c r="N62" s="1"/>
      <c r="O62" s="1"/>
      <c r="P62" s="1"/>
      <c r="Q62" s="1"/>
      <c r="R62" s="1"/>
      <c r="S62" s="1"/>
      <c r="T62" s="1"/>
      <c r="U62" s="1"/>
    </row>
    <row r="63" spans="1:56">
      <c r="B63" s="2"/>
      <c r="C63" s="31"/>
      <c r="D63" s="696"/>
      <c r="E63" s="2"/>
      <c r="F63" s="696"/>
      <c r="G63" s="113"/>
      <c r="H63" s="2"/>
      <c r="I63" s="696"/>
      <c r="J63" s="113"/>
      <c r="K63" s="2"/>
      <c r="L63" s="696"/>
      <c r="M63" s="1"/>
      <c r="N63" s="1"/>
      <c r="O63" s="1"/>
      <c r="P63" s="1"/>
      <c r="Q63" s="1"/>
      <c r="R63" s="1"/>
      <c r="S63" s="1"/>
      <c r="T63" s="1"/>
      <c r="U63" s="1"/>
    </row>
    <row r="64" spans="1:56">
      <c r="B64" s="2"/>
      <c r="C64" s="31"/>
      <c r="D64" s="696"/>
      <c r="E64" s="2"/>
      <c r="F64" s="696"/>
      <c r="G64" s="113"/>
      <c r="H64" s="2"/>
      <c r="I64" s="696"/>
      <c r="J64" s="113"/>
      <c r="K64" s="2"/>
      <c r="L64" s="696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2"/>
      <c r="C65" s="31"/>
      <c r="D65" s="696"/>
      <c r="E65" s="2"/>
      <c r="F65" s="696"/>
      <c r="G65" s="113"/>
      <c r="H65" s="2"/>
      <c r="I65" s="696"/>
      <c r="J65" s="113"/>
      <c r="K65" s="2"/>
      <c r="L65" s="696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2"/>
      <c r="C66" s="31"/>
      <c r="D66" s="696"/>
      <c r="E66" s="2"/>
      <c r="F66" s="696"/>
      <c r="G66" s="113"/>
      <c r="H66" s="2"/>
      <c r="I66" s="696"/>
      <c r="J66" s="113"/>
      <c r="K66" s="2"/>
      <c r="L66" s="696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2"/>
      <c r="C67" s="31"/>
      <c r="D67" s="696"/>
      <c r="E67" s="2"/>
      <c r="F67" s="696"/>
      <c r="G67" s="113"/>
      <c r="H67" s="2"/>
      <c r="I67" s="696"/>
      <c r="J67" s="113"/>
      <c r="K67" s="2"/>
      <c r="L67" s="696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2"/>
      <c r="C68" s="31"/>
      <c r="D68" s="696"/>
      <c r="E68" s="2"/>
      <c r="F68" s="696"/>
      <c r="G68" s="113"/>
      <c r="H68" s="2"/>
      <c r="I68" s="696"/>
      <c r="J68" s="113"/>
      <c r="K68" s="2"/>
      <c r="L68" s="696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2"/>
      <c r="C69" s="31"/>
      <c r="D69" s="696"/>
      <c r="E69" s="2"/>
      <c r="F69" s="696"/>
      <c r="G69" s="113"/>
      <c r="H69" s="2"/>
      <c r="I69" s="696"/>
      <c r="J69" s="113"/>
      <c r="K69" s="2"/>
      <c r="L69" s="696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2"/>
      <c r="C70" s="31"/>
      <c r="D70" s="696"/>
      <c r="E70" s="2"/>
      <c r="F70" s="696"/>
      <c r="G70" s="113"/>
      <c r="H70" s="2"/>
      <c r="I70" s="696"/>
      <c r="J70" s="113"/>
      <c r="K70" s="2"/>
      <c r="L70" s="696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"/>
      <c r="D71" s="742"/>
      <c r="E71" s="1"/>
      <c r="F71" s="742"/>
      <c r="G71" s="102"/>
      <c r="H71" s="1"/>
      <c r="I71" s="742"/>
      <c r="J71" s="102"/>
      <c r="K71" s="1"/>
      <c r="L71" s="742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"/>
      <c r="D72" s="742"/>
      <c r="E72" s="1"/>
      <c r="F72" s="742"/>
      <c r="G72" s="102"/>
      <c r="H72" s="1"/>
      <c r="I72" s="742"/>
      <c r="J72" s="102"/>
      <c r="K72" s="1"/>
      <c r="L72" s="742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"/>
      <c r="D73" s="742"/>
      <c r="E73" s="1"/>
      <c r="F73" s="742"/>
      <c r="G73" s="102"/>
      <c r="H73" s="1"/>
      <c r="I73" s="742"/>
      <c r="J73" s="102"/>
      <c r="K73" s="1"/>
      <c r="L73" s="742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"/>
      <c r="D74" s="742"/>
      <c r="E74" s="1"/>
      <c r="F74" s="742"/>
      <c r="G74" s="102"/>
      <c r="H74" s="1"/>
      <c r="I74" s="742"/>
      <c r="J74" s="102"/>
      <c r="K74" s="1"/>
      <c r="L74" s="742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"/>
      <c r="D75" s="742"/>
      <c r="E75" s="1"/>
      <c r="F75" s="742"/>
      <c r="G75" s="102"/>
      <c r="H75" s="1"/>
      <c r="I75" s="742"/>
      <c r="J75" s="102"/>
      <c r="K75" s="1"/>
      <c r="L75" s="742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"/>
      <c r="D76" s="742"/>
      <c r="E76" s="1"/>
      <c r="F76" s="742"/>
      <c r="G76" s="102"/>
      <c r="H76" s="1"/>
      <c r="I76" s="742"/>
      <c r="J76" s="102"/>
      <c r="K76" s="1"/>
      <c r="L76" s="742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"/>
      <c r="D77" s="742"/>
      <c r="E77" s="1"/>
      <c r="F77" s="742"/>
      <c r="G77" s="102"/>
      <c r="H77" s="1"/>
      <c r="I77" s="742"/>
      <c r="J77" s="102"/>
      <c r="K77" s="1"/>
      <c r="L77" s="742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"/>
      <c r="D78" s="742"/>
      <c r="E78" s="1"/>
      <c r="F78" s="742"/>
      <c r="G78" s="102"/>
      <c r="H78" s="1"/>
      <c r="I78" s="742"/>
      <c r="J78" s="102"/>
      <c r="K78" s="1"/>
      <c r="L78" s="742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"/>
      <c r="D79" s="742"/>
      <c r="E79" s="1"/>
      <c r="F79" s="742"/>
      <c r="G79" s="102"/>
      <c r="H79" s="1"/>
      <c r="I79" s="742"/>
      <c r="J79" s="102"/>
      <c r="K79" s="1"/>
      <c r="L79" s="742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"/>
      <c r="D80" s="742"/>
      <c r="E80" s="1"/>
      <c r="F80" s="742"/>
      <c r="G80" s="102"/>
      <c r="H80" s="1"/>
      <c r="I80" s="742"/>
      <c r="J80" s="102"/>
      <c r="K80" s="1"/>
      <c r="L80" s="742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"/>
      <c r="D81" s="742"/>
      <c r="E81" s="1"/>
      <c r="F81" s="742"/>
      <c r="G81" s="102"/>
      <c r="H81" s="1"/>
      <c r="I81" s="742"/>
      <c r="J81" s="102"/>
      <c r="K81" s="1"/>
      <c r="L81" s="742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"/>
      <c r="D82" s="742"/>
      <c r="E82" s="1"/>
      <c r="F82" s="742"/>
      <c r="G82" s="102"/>
      <c r="H82" s="1"/>
      <c r="I82" s="742"/>
      <c r="J82" s="102"/>
      <c r="K82" s="1"/>
      <c r="L82" s="742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"/>
      <c r="D83" s="742"/>
      <c r="E83" s="1"/>
      <c r="F83" s="742"/>
      <c r="G83" s="102"/>
      <c r="H83" s="1"/>
      <c r="I83" s="742"/>
      <c r="J83" s="102"/>
      <c r="K83" s="1"/>
      <c r="L83" s="742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"/>
      <c r="D84" s="742"/>
      <c r="E84" s="1"/>
      <c r="F84" s="742"/>
      <c r="G84" s="102"/>
      <c r="H84" s="1"/>
      <c r="I84" s="742"/>
      <c r="J84" s="102"/>
      <c r="K84" s="1"/>
      <c r="L84" s="742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"/>
      <c r="D85" s="742"/>
      <c r="E85" s="1"/>
      <c r="F85" s="742"/>
      <c r="G85" s="102"/>
      <c r="H85" s="1"/>
      <c r="I85" s="742"/>
      <c r="J85" s="102"/>
      <c r="K85" s="1"/>
      <c r="L85" s="742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"/>
      <c r="D86" s="742"/>
      <c r="E86" s="1"/>
      <c r="F86" s="742"/>
      <c r="G86" s="102"/>
      <c r="H86" s="1"/>
      <c r="I86" s="742"/>
      <c r="J86" s="102"/>
      <c r="K86" s="1"/>
      <c r="L86" s="742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"/>
      <c r="D87" s="742"/>
      <c r="E87" s="1"/>
      <c r="F87" s="742"/>
      <c r="G87" s="102"/>
      <c r="H87" s="1"/>
      <c r="I87" s="742"/>
      <c r="J87" s="102"/>
      <c r="K87" s="1"/>
      <c r="L87" s="742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"/>
      <c r="D88" s="742"/>
      <c r="E88" s="1"/>
      <c r="F88" s="742"/>
      <c r="G88" s="102"/>
      <c r="H88" s="1"/>
      <c r="I88" s="742"/>
      <c r="J88" s="102"/>
      <c r="K88" s="1"/>
      <c r="L88" s="742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"/>
      <c r="D89" s="742"/>
      <c r="E89" s="1"/>
      <c r="F89" s="742"/>
      <c r="G89" s="102"/>
      <c r="H89" s="1"/>
      <c r="I89" s="742"/>
      <c r="J89" s="102"/>
      <c r="K89" s="1"/>
      <c r="L89" s="742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"/>
      <c r="D90" s="742"/>
      <c r="E90" s="1"/>
      <c r="F90" s="742"/>
      <c r="G90" s="102"/>
      <c r="H90" s="1"/>
      <c r="I90" s="742"/>
      <c r="J90" s="102"/>
      <c r="K90" s="1"/>
      <c r="L90" s="742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"/>
      <c r="D91" s="742"/>
      <c r="E91" s="1"/>
      <c r="F91" s="742"/>
      <c r="G91" s="102"/>
      <c r="H91" s="1"/>
      <c r="I91" s="742"/>
      <c r="J91" s="102"/>
      <c r="K91" s="1"/>
      <c r="L91" s="742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"/>
      <c r="D92" s="742"/>
      <c r="E92" s="1"/>
      <c r="F92" s="742"/>
      <c r="G92" s="102"/>
      <c r="H92" s="1"/>
      <c r="I92" s="742"/>
      <c r="J92" s="102"/>
      <c r="K92" s="1"/>
      <c r="L92" s="742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"/>
      <c r="D93" s="742"/>
      <c r="E93" s="1"/>
      <c r="F93" s="742"/>
      <c r="G93" s="102"/>
      <c r="H93" s="1"/>
      <c r="I93" s="742"/>
      <c r="J93" s="102"/>
      <c r="K93" s="1"/>
      <c r="L93" s="742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"/>
      <c r="D94" s="742"/>
      <c r="E94" s="1"/>
      <c r="F94" s="742"/>
      <c r="G94" s="102"/>
      <c r="H94" s="1"/>
      <c r="I94" s="742"/>
      <c r="J94" s="102"/>
      <c r="K94" s="1"/>
      <c r="L94" s="742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"/>
      <c r="D95" s="742"/>
      <c r="E95" s="1"/>
      <c r="F95" s="742"/>
      <c r="G95" s="102"/>
      <c r="H95" s="1"/>
      <c r="I95" s="742"/>
      <c r="J95" s="102"/>
      <c r="K95" s="1"/>
      <c r="L95" s="742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"/>
      <c r="D96" s="742"/>
      <c r="E96" s="1"/>
      <c r="F96" s="742"/>
      <c r="G96" s="102"/>
      <c r="H96" s="1"/>
      <c r="I96" s="742"/>
      <c r="J96" s="102"/>
      <c r="K96" s="1"/>
      <c r="L96" s="742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"/>
      <c r="D97" s="742"/>
      <c r="E97" s="1"/>
      <c r="F97" s="742"/>
      <c r="G97" s="102"/>
      <c r="H97" s="1"/>
      <c r="I97" s="742"/>
      <c r="J97" s="102"/>
      <c r="K97" s="1"/>
      <c r="L97" s="742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"/>
      <c r="D98" s="742"/>
      <c r="E98" s="1"/>
      <c r="F98" s="742"/>
      <c r="G98" s="102"/>
      <c r="H98" s="1"/>
      <c r="I98" s="742"/>
      <c r="J98" s="102"/>
      <c r="K98" s="1"/>
      <c r="L98" s="742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"/>
      <c r="D99" s="742"/>
      <c r="E99" s="1"/>
      <c r="F99" s="742"/>
      <c r="G99" s="102"/>
      <c r="H99" s="1"/>
      <c r="I99" s="742"/>
      <c r="J99" s="102"/>
      <c r="K99" s="1"/>
      <c r="L99" s="742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"/>
      <c r="D100" s="742"/>
      <c r="E100" s="1"/>
      <c r="F100" s="742"/>
      <c r="G100" s="102"/>
      <c r="H100" s="1"/>
      <c r="I100" s="742"/>
      <c r="J100" s="102"/>
      <c r="K100" s="1"/>
      <c r="L100" s="742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"/>
      <c r="D101" s="742"/>
      <c r="E101" s="1"/>
      <c r="F101" s="742"/>
      <c r="G101" s="102"/>
      <c r="H101" s="1"/>
      <c r="I101" s="742"/>
      <c r="J101" s="102"/>
      <c r="K101" s="1"/>
      <c r="L101" s="742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"/>
      <c r="D102" s="742"/>
      <c r="E102" s="1"/>
      <c r="F102" s="742"/>
      <c r="G102" s="102"/>
      <c r="H102" s="1"/>
      <c r="I102" s="742"/>
      <c r="J102" s="102"/>
      <c r="K102" s="1"/>
      <c r="L102" s="742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"/>
      <c r="D103" s="742"/>
      <c r="E103" s="1"/>
      <c r="F103" s="742"/>
      <c r="G103" s="102"/>
      <c r="H103" s="1"/>
      <c r="I103" s="742"/>
      <c r="J103" s="102"/>
      <c r="K103" s="1"/>
      <c r="L103" s="742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"/>
      <c r="D104" s="742"/>
      <c r="E104" s="1"/>
      <c r="F104" s="742"/>
      <c r="G104" s="102"/>
      <c r="H104" s="1"/>
      <c r="I104" s="742"/>
      <c r="J104" s="102"/>
      <c r="K104" s="1"/>
      <c r="L104" s="742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"/>
      <c r="D105" s="742"/>
      <c r="E105" s="1"/>
      <c r="F105" s="742"/>
      <c r="G105" s="102"/>
      <c r="H105" s="1"/>
      <c r="I105" s="742"/>
      <c r="J105" s="102"/>
      <c r="K105" s="1"/>
      <c r="L105" s="742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"/>
      <c r="D106" s="742"/>
      <c r="E106" s="1"/>
      <c r="F106" s="742"/>
      <c r="G106" s="102"/>
      <c r="H106" s="1"/>
      <c r="I106" s="742"/>
      <c r="J106" s="102"/>
      <c r="K106" s="1"/>
      <c r="L106" s="742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"/>
      <c r="D107" s="742"/>
      <c r="E107" s="1"/>
      <c r="F107" s="742"/>
      <c r="G107" s="102"/>
      <c r="H107" s="1"/>
      <c r="I107" s="742"/>
      <c r="J107" s="102"/>
      <c r="K107" s="1"/>
      <c r="L107" s="742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"/>
      <c r="D108" s="742"/>
      <c r="E108" s="1"/>
      <c r="F108" s="742"/>
      <c r="G108" s="102"/>
      <c r="H108" s="1"/>
      <c r="I108" s="742"/>
      <c r="J108" s="102"/>
      <c r="K108" s="1"/>
      <c r="L108" s="742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"/>
      <c r="D109" s="742"/>
      <c r="E109" s="1"/>
      <c r="F109" s="742"/>
      <c r="G109" s="102"/>
      <c r="H109" s="1"/>
      <c r="I109" s="742"/>
      <c r="J109" s="102"/>
      <c r="K109" s="1"/>
      <c r="L109" s="742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"/>
      <c r="D110" s="742"/>
      <c r="E110" s="1"/>
      <c r="F110" s="742"/>
      <c r="G110" s="102"/>
      <c r="H110" s="1"/>
      <c r="I110" s="742"/>
      <c r="J110" s="102"/>
      <c r="K110" s="1"/>
      <c r="L110" s="742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"/>
      <c r="D111" s="742"/>
      <c r="E111" s="1"/>
      <c r="F111" s="742"/>
      <c r="G111" s="102"/>
      <c r="H111" s="1"/>
      <c r="I111" s="742"/>
      <c r="J111" s="102"/>
      <c r="K111" s="1"/>
      <c r="L111" s="742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"/>
      <c r="D112" s="742"/>
      <c r="E112" s="1"/>
      <c r="F112" s="742"/>
      <c r="G112" s="102"/>
      <c r="H112" s="1"/>
      <c r="I112" s="742"/>
      <c r="J112" s="102"/>
      <c r="K112" s="1"/>
      <c r="L112" s="742"/>
      <c r="M112" s="1"/>
      <c r="N112" s="1"/>
      <c r="O112" s="1"/>
      <c r="P112" s="1"/>
      <c r="Q112" s="1"/>
      <c r="R112" s="1"/>
      <c r="S112" s="1"/>
      <c r="T112" s="1"/>
      <c r="U112" s="1"/>
    </row>
  </sheetData>
  <mergeCells count="7">
    <mergeCell ref="B5:J5"/>
    <mergeCell ref="B7:B9"/>
    <mergeCell ref="D7:D9"/>
    <mergeCell ref="F7:J7"/>
    <mergeCell ref="L7:L9"/>
    <mergeCell ref="F8:G8"/>
    <mergeCell ref="I8:J8"/>
  </mergeCells>
  <hyperlinks>
    <hyperlink ref="L1" location="Índice!A1" tooltip="Ir a ÍNDICE" display="INDICE" xr:uid="{B3A73319-809A-4423-A561-F569B627AFB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2466-6249-458A-993C-BEF080591792}">
  <dimension ref="A1:Z134"/>
  <sheetViews>
    <sheetView showGridLines="0" workbookViewId="0"/>
  </sheetViews>
  <sheetFormatPr baseColWidth="10" defaultColWidth="11.42578125" defaultRowHeight="14.25"/>
  <cols>
    <col min="1" max="1" width="1.7109375" style="59" customWidth="1"/>
    <col min="2" max="2" width="41.42578125" customWidth="1"/>
    <col min="3" max="3" width="1.7109375" customWidth="1"/>
    <col min="4" max="4" width="21.85546875" style="99" customWidth="1"/>
    <col min="5" max="5" width="1.7109375" style="99" customWidth="1"/>
    <col min="6" max="6" width="15.7109375" style="99" customWidth="1"/>
    <col min="7" max="7" width="1.7109375" style="99" customWidth="1"/>
    <col min="8" max="8" width="15.7109375" style="99" customWidth="1"/>
  </cols>
  <sheetData>
    <row r="1" spans="1:21" s="63" customFormat="1" ht="14.1" customHeight="1">
      <c r="A1" s="53"/>
      <c r="B1" s="756" t="s">
        <v>268</v>
      </c>
      <c r="C1" s="61"/>
      <c r="D1" s="120"/>
      <c r="E1" s="92"/>
      <c r="F1" s="92"/>
      <c r="G1" s="92"/>
      <c r="H1" s="89" t="s">
        <v>191</v>
      </c>
      <c r="I1" s="655"/>
      <c r="J1" s="655"/>
      <c r="K1" s="655"/>
      <c r="L1" s="655"/>
      <c r="M1" s="655"/>
      <c r="N1" s="655"/>
      <c r="O1" s="655"/>
      <c r="Q1" s="655"/>
      <c r="R1" s="655"/>
      <c r="S1" s="655"/>
      <c r="T1" s="655"/>
      <c r="U1" s="655"/>
    </row>
    <row r="2" spans="1:21" s="63" customFormat="1" ht="6.95" customHeight="1">
      <c r="A2" s="53"/>
      <c r="B2" s="756"/>
      <c r="C2" s="61"/>
      <c r="D2" s="120"/>
      <c r="E2" s="92"/>
      <c r="F2" s="92"/>
      <c r="G2" s="92"/>
      <c r="H2" s="688"/>
      <c r="I2" s="655"/>
      <c r="J2" s="655"/>
      <c r="K2" s="655"/>
      <c r="L2" s="655"/>
      <c r="M2" s="655"/>
      <c r="N2" s="655"/>
      <c r="O2" s="655"/>
      <c r="P2" s="655"/>
      <c r="Q2" s="655"/>
      <c r="R2" s="655"/>
      <c r="S2" s="655"/>
      <c r="T2" s="655"/>
      <c r="U2" s="655"/>
    </row>
    <row r="3" spans="1:21" s="63" customFormat="1" ht="14.1" customHeight="1">
      <c r="A3" s="53"/>
      <c r="B3" s="756" t="s">
        <v>236</v>
      </c>
      <c r="C3" s="743"/>
      <c r="D3" s="744"/>
      <c r="E3" s="744"/>
      <c r="F3" s="744"/>
      <c r="G3" s="744"/>
      <c r="H3" s="744"/>
      <c r="I3" s="743"/>
      <c r="J3" s="655"/>
      <c r="K3" s="655"/>
      <c r="L3" s="655"/>
      <c r="M3" s="655"/>
      <c r="N3" s="655"/>
      <c r="O3" s="655"/>
      <c r="P3" s="655"/>
      <c r="Q3" s="655"/>
      <c r="R3" s="655"/>
      <c r="S3" s="655"/>
      <c r="T3" s="655"/>
      <c r="U3" s="655"/>
    </row>
    <row r="4" spans="1:21" s="63" customFormat="1" ht="6.95" customHeight="1">
      <c r="A4" s="53"/>
      <c r="B4" s="743"/>
      <c r="C4" s="61"/>
      <c r="D4" s="120"/>
      <c r="E4" s="92"/>
      <c r="F4" s="92"/>
      <c r="G4" s="692"/>
      <c r="H4" s="92"/>
      <c r="I4" s="655"/>
      <c r="J4" s="655"/>
      <c r="K4" s="655"/>
      <c r="L4" s="655"/>
      <c r="M4" s="655"/>
      <c r="N4" s="655"/>
      <c r="O4" s="655"/>
      <c r="P4" s="655"/>
      <c r="Q4" s="655"/>
      <c r="R4" s="655"/>
      <c r="S4" s="655"/>
      <c r="T4" s="655"/>
      <c r="U4" s="655"/>
    </row>
    <row r="5" spans="1:21" s="63" customFormat="1" ht="30" customHeight="1">
      <c r="A5" s="53"/>
      <c r="B5" s="881" t="s">
        <v>260</v>
      </c>
      <c r="C5" s="881"/>
      <c r="D5" s="881"/>
      <c r="E5" s="881"/>
      <c r="F5" s="881"/>
      <c r="G5" s="745"/>
      <c r="H5" s="90" t="s">
        <v>165</v>
      </c>
      <c r="I5" s="655"/>
      <c r="J5" s="655"/>
      <c r="K5" s="655"/>
      <c r="L5" s="655"/>
      <c r="M5" s="655"/>
      <c r="N5" s="655"/>
      <c r="O5" s="655"/>
      <c r="P5" s="655"/>
      <c r="Q5" s="655"/>
      <c r="R5" s="655"/>
      <c r="S5" s="655"/>
      <c r="T5" s="655"/>
      <c r="U5" s="655"/>
    </row>
    <row r="6" spans="1:21" ht="6" customHeight="1">
      <c r="A6" s="53"/>
      <c r="B6" s="385"/>
      <c r="C6" s="5"/>
      <c r="D6" s="121"/>
      <c r="E6" s="104"/>
      <c r="F6" s="104"/>
      <c r="G6" s="104"/>
      <c r="H6" s="10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21.75" customHeight="1">
      <c r="A7" s="53"/>
      <c r="B7" s="790" t="s">
        <v>101</v>
      </c>
      <c r="C7" s="7"/>
      <c r="D7" s="897" t="s">
        <v>261</v>
      </c>
      <c r="E7" s="746"/>
      <c r="F7" s="804" t="s">
        <v>109</v>
      </c>
      <c r="G7" s="804"/>
      <c r="H7" s="80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6.75" customHeight="1">
      <c r="A8" s="53"/>
      <c r="B8" s="792"/>
      <c r="C8" s="9"/>
      <c r="D8" s="898"/>
      <c r="E8" s="747"/>
      <c r="F8" s="748" t="s">
        <v>262</v>
      </c>
      <c r="G8" s="749"/>
      <c r="H8" s="750" t="s">
        <v>263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6" customHeight="1">
      <c r="A9" s="54"/>
      <c r="B9" s="5"/>
      <c r="C9" s="5"/>
      <c r="D9" s="121"/>
      <c r="E9" s="104"/>
      <c r="F9" s="104"/>
      <c r="G9" s="104"/>
      <c r="H9" s="10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">
      <c r="A10" s="54"/>
      <c r="B10" s="38" t="s">
        <v>40</v>
      </c>
      <c r="C10" s="10"/>
      <c r="D10" s="267">
        <v>2289102.0926026199</v>
      </c>
      <c r="E10" s="751"/>
      <c r="F10" s="267">
        <v>1.9467658811999999</v>
      </c>
      <c r="G10" s="93"/>
      <c r="H10" s="267">
        <v>0.95762965320000004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6" customHeight="1">
      <c r="A11" s="206"/>
      <c r="B11" s="48"/>
      <c r="C11" s="27"/>
      <c r="D11" s="85"/>
      <c r="E11" s="751"/>
      <c r="F11" s="85"/>
      <c r="G11" s="93"/>
      <c r="H11" s="8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7"/>
      <c r="B12" s="48" t="s">
        <v>104</v>
      </c>
      <c r="C12" s="27"/>
      <c r="D12" s="268">
        <v>686292.59758528695</v>
      </c>
      <c r="E12" s="752"/>
      <c r="F12" s="530">
        <v>5.0868089125999996</v>
      </c>
      <c r="G12" s="93"/>
      <c r="H12" s="530">
        <v>2.7918111213999999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7"/>
      <c r="B13" s="48" t="s">
        <v>105</v>
      </c>
      <c r="C13" s="27"/>
      <c r="D13" s="268">
        <v>1049692.4402320599</v>
      </c>
      <c r="E13" s="752"/>
      <c r="F13" s="268">
        <v>9.7292380115999997</v>
      </c>
      <c r="G13" s="93"/>
      <c r="H13" s="268">
        <v>2.9332212170999998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57"/>
      <c r="B14" s="48" t="s">
        <v>106</v>
      </c>
      <c r="C14" s="27"/>
      <c r="D14" s="268">
        <v>400227.35426657798</v>
      </c>
      <c r="E14" s="752"/>
      <c r="F14" s="268">
        <v>3.9871034339000002</v>
      </c>
      <c r="G14" s="93"/>
      <c r="H14" s="268">
        <v>2.4008866911000002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4"/>
      <c r="B15" s="48" t="s">
        <v>107</v>
      </c>
      <c r="C15" s="27"/>
      <c r="D15" s="268">
        <v>856555.29229494696</v>
      </c>
      <c r="E15" s="752"/>
      <c r="F15" s="268">
        <v>1.6349918430999999</v>
      </c>
      <c r="G15" s="93"/>
      <c r="H15" s="268">
        <v>1.2630237746999999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54"/>
      <c r="B16" s="48" t="s">
        <v>108</v>
      </c>
      <c r="C16" s="27"/>
      <c r="D16" s="269">
        <v>742745.87576679199</v>
      </c>
      <c r="E16" s="752"/>
      <c r="F16" s="269">
        <v>5.9829524393</v>
      </c>
      <c r="G16" s="93"/>
      <c r="H16" s="269">
        <v>3.3797755611999998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4"/>
      <c r="B17" s="529" t="s">
        <v>111</v>
      </c>
      <c r="C17" s="27"/>
      <c r="D17" s="269">
        <v>899587.86176328</v>
      </c>
      <c r="E17" s="752"/>
      <c r="F17" s="269">
        <v>2.3889283897000002</v>
      </c>
      <c r="G17" s="93"/>
      <c r="H17" s="269">
        <v>1.0048815836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" customHeight="1">
      <c r="A18" s="58"/>
      <c r="B18" s="5"/>
      <c r="C18" s="27"/>
      <c r="D18" s="93"/>
      <c r="E18" s="93"/>
      <c r="F18" s="93"/>
      <c r="G18" s="93"/>
      <c r="H18" s="9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">
      <c r="A19" s="58"/>
      <c r="B19" s="299" t="s">
        <v>41</v>
      </c>
      <c r="C19" s="27"/>
      <c r="D19" s="267">
        <v>1330990.24860831</v>
      </c>
      <c r="E19" s="751"/>
      <c r="F19" s="267">
        <v>5.2270821095000004</v>
      </c>
      <c r="G19" s="93"/>
      <c r="H19" s="267">
        <v>2.0463103739999999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6" customHeight="1">
      <c r="B20" s="299"/>
      <c r="C20" s="27"/>
      <c r="D20" s="93"/>
      <c r="E20" s="93"/>
      <c r="F20" s="93"/>
      <c r="G20" s="93"/>
      <c r="H20" s="9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B21" s="48" t="s">
        <v>104</v>
      </c>
      <c r="C21" s="27"/>
      <c r="D21" s="268">
        <v>403438.853660547</v>
      </c>
      <c r="E21" s="752"/>
      <c r="F21" s="268">
        <v>8.8964908050999991</v>
      </c>
      <c r="G21" s="93"/>
      <c r="H21" s="268">
        <v>3.4636735915000001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B22" s="48" t="s">
        <v>105</v>
      </c>
      <c r="C22" s="27"/>
      <c r="D22" s="268">
        <v>833585.17684310395</v>
      </c>
      <c r="E22" s="752"/>
      <c r="F22" s="268">
        <v>24.121911112500001</v>
      </c>
      <c r="G22" s="93"/>
      <c r="H22" s="268">
        <v>4.8330516408999999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B23" s="48" t="s">
        <v>106</v>
      </c>
      <c r="C23" s="27"/>
      <c r="D23" s="268">
        <v>213393.17787922799</v>
      </c>
      <c r="E23" s="752"/>
      <c r="F23" s="268">
        <v>6.6902131678999996</v>
      </c>
      <c r="G23" s="93"/>
      <c r="H23" s="268">
        <v>3.2356745249999999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B24" s="48" t="s">
        <v>107</v>
      </c>
      <c r="C24" s="27"/>
      <c r="D24" s="268">
        <v>372798.48131410498</v>
      </c>
      <c r="E24" s="752"/>
      <c r="F24" s="530">
        <v>4.4647174423999996</v>
      </c>
      <c r="G24" s="93"/>
      <c r="H24" s="530">
        <v>2.1413528188000002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B25" s="48" t="s">
        <v>108</v>
      </c>
      <c r="C25" s="27"/>
      <c r="D25" s="268">
        <v>248621.06365535501</v>
      </c>
      <c r="E25" s="752"/>
      <c r="F25" s="530">
        <v>13.936328534899999</v>
      </c>
      <c r="G25" s="93"/>
      <c r="H25" s="530">
        <v>6.7581456531999997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B26" s="529" t="s">
        <v>111</v>
      </c>
      <c r="C26" s="27"/>
      <c r="D26" s="268">
        <v>478248.04387352499</v>
      </c>
      <c r="E26" s="752"/>
      <c r="F26" s="268">
        <v>5.4377091569999996</v>
      </c>
      <c r="G26" s="93"/>
      <c r="H26" s="268">
        <v>2.431577023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6" customHeight="1">
      <c r="B27" s="48"/>
      <c r="C27" s="27"/>
      <c r="D27" s="93"/>
      <c r="E27" s="93"/>
      <c r="F27" s="93"/>
      <c r="G27" s="93"/>
      <c r="H27" s="9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">
      <c r="B28" s="299" t="s">
        <v>44</v>
      </c>
      <c r="C28" s="27"/>
      <c r="D28" s="267">
        <v>709255.52823189204</v>
      </c>
      <c r="E28" s="751"/>
      <c r="F28" s="267">
        <v>3.9316897194</v>
      </c>
      <c r="G28" s="93"/>
      <c r="H28" s="267">
        <v>1.9812048653000001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" customHeight="1">
      <c r="B29" s="299"/>
      <c r="C29" s="27"/>
      <c r="D29" s="93"/>
      <c r="E29" s="93"/>
      <c r="F29" s="93"/>
      <c r="G29" s="93"/>
      <c r="H29" s="9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B30" s="48" t="s">
        <v>104</v>
      </c>
      <c r="C30" s="27"/>
      <c r="D30" s="268">
        <v>271417.87429054797</v>
      </c>
      <c r="E30" s="752"/>
      <c r="F30" s="268">
        <v>16.1070753228</v>
      </c>
      <c r="G30" s="93"/>
      <c r="H30" s="268">
        <v>6.1506213495999997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B31" s="48" t="s">
        <v>105</v>
      </c>
      <c r="C31" s="27"/>
      <c r="D31" s="268">
        <v>142901.02175282</v>
      </c>
      <c r="E31" s="752"/>
      <c r="F31" s="268">
        <v>5.8134137766</v>
      </c>
      <c r="G31" s="93"/>
      <c r="H31" s="268">
        <v>3.7007990932000001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B32" s="48" t="s">
        <v>106</v>
      </c>
      <c r="C32" s="27"/>
      <c r="D32" s="268">
        <v>250571.66114506999</v>
      </c>
      <c r="E32" s="752"/>
      <c r="F32" s="268">
        <v>15.170278015299999</v>
      </c>
      <c r="G32" s="93"/>
      <c r="H32" s="268">
        <v>5.9185931957999998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2:21">
      <c r="B33" s="48" t="s">
        <v>107</v>
      </c>
      <c r="C33" s="27"/>
      <c r="D33" s="268">
        <v>222121.35787316301</v>
      </c>
      <c r="E33" s="752"/>
      <c r="F33" s="268">
        <v>3.0875471923000002</v>
      </c>
      <c r="G33" s="93"/>
      <c r="H33" s="268">
        <v>1.56167235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2:21">
      <c r="B34" s="48" t="s">
        <v>108</v>
      </c>
      <c r="C34" s="27"/>
      <c r="D34" s="268">
        <v>393824.00983815099</v>
      </c>
      <c r="E34" s="752"/>
      <c r="F34" s="268">
        <v>18.863036383200001</v>
      </c>
      <c r="G34" s="93"/>
      <c r="H34" s="268">
        <v>10.0965818693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2:21">
      <c r="B35" s="529" t="s">
        <v>111</v>
      </c>
      <c r="C35" s="27"/>
      <c r="D35" s="268">
        <v>327832.96984397201</v>
      </c>
      <c r="E35" s="752"/>
      <c r="F35" s="268">
        <v>6.1919320661999997</v>
      </c>
      <c r="G35" s="93"/>
      <c r="H35" s="268">
        <v>2.6202787394999998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2:21" ht="6" customHeight="1">
      <c r="B36" s="48"/>
      <c r="C36" s="27"/>
      <c r="D36" s="93"/>
      <c r="E36" s="93"/>
      <c r="F36" s="93"/>
      <c r="G36" s="93"/>
      <c r="H36" s="9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2:21" ht="15">
      <c r="B37" s="299" t="s">
        <v>45</v>
      </c>
      <c r="C37" s="27"/>
      <c r="D37" s="267">
        <v>1130059.0867663401</v>
      </c>
      <c r="E37" s="751"/>
      <c r="F37" s="267">
        <v>4.8217706589000002</v>
      </c>
      <c r="G37" s="93"/>
      <c r="H37" s="267">
        <v>2.0122643277000001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2:21" ht="6" customHeight="1">
      <c r="B38" s="299"/>
      <c r="C38" s="27"/>
      <c r="D38" s="93"/>
      <c r="E38" s="93"/>
      <c r="F38" s="93"/>
      <c r="G38" s="93"/>
      <c r="H38" s="9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2:21">
      <c r="B39" s="48" t="s">
        <v>104</v>
      </c>
      <c r="C39" s="27"/>
      <c r="D39" s="268">
        <v>284198.74502186</v>
      </c>
      <c r="E39" s="752"/>
      <c r="F39" s="268">
        <v>11.105982355</v>
      </c>
      <c r="G39" s="93"/>
      <c r="H39" s="268">
        <v>4.2699095596000003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2:21">
      <c r="B40" s="48" t="s">
        <v>105</v>
      </c>
      <c r="C40" s="27"/>
      <c r="D40" s="268">
        <v>333373.244860009</v>
      </c>
      <c r="E40" s="752"/>
      <c r="F40" s="268">
        <v>14.312984962</v>
      </c>
      <c r="G40" s="93"/>
      <c r="H40" s="268">
        <v>4.3300145993000001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2:21">
      <c r="B41" s="48" t="s">
        <v>106</v>
      </c>
      <c r="C41" s="27"/>
      <c r="D41" s="268">
        <v>173956.98814937001</v>
      </c>
      <c r="E41" s="752"/>
      <c r="F41" s="268">
        <v>3.9730923005999998</v>
      </c>
      <c r="G41" s="93"/>
      <c r="H41" s="268">
        <v>5.4449626452000004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1">
      <c r="B42" s="48" t="s">
        <v>107</v>
      </c>
      <c r="C42" s="27"/>
      <c r="D42" s="268">
        <v>257656.54392386001</v>
      </c>
      <c r="E42" s="752"/>
      <c r="F42" s="268">
        <v>2.3720964893000001</v>
      </c>
      <c r="G42" s="93"/>
      <c r="H42" s="268">
        <v>2.6500742363000001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1">
      <c r="B43" s="48" t="s">
        <v>108</v>
      </c>
      <c r="C43" s="27"/>
      <c r="D43" s="268">
        <v>457891.65263134701</v>
      </c>
      <c r="E43" s="752"/>
      <c r="F43" s="268">
        <v>14.582116903999999</v>
      </c>
      <c r="G43" s="93"/>
      <c r="H43" s="268">
        <v>8.0264450875000009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2:21">
      <c r="B44" s="529" t="s">
        <v>111</v>
      </c>
      <c r="C44" s="27"/>
      <c r="D44" s="268">
        <v>376481.55101727101</v>
      </c>
      <c r="E44" s="752"/>
      <c r="F44" s="268">
        <v>4.6147937565000001</v>
      </c>
      <c r="G44" s="93"/>
      <c r="H44" s="268">
        <v>1.5554070844000001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6" customHeight="1">
      <c r="B45" s="48"/>
      <c r="C45" s="27"/>
      <c r="D45" s="93"/>
      <c r="E45" s="93"/>
      <c r="F45" s="93"/>
      <c r="G45" s="93"/>
      <c r="H45" s="9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>
      <c r="B46" s="303" t="s">
        <v>110</v>
      </c>
      <c r="C46" s="27"/>
      <c r="D46" s="267">
        <v>1301065.7603198299</v>
      </c>
      <c r="E46" s="751"/>
      <c r="F46" s="267">
        <v>2.5057726973999999</v>
      </c>
      <c r="G46" s="93"/>
      <c r="H46" s="267">
        <v>1.5594316914999999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2:21" ht="6" customHeight="1">
      <c r="B47" s="299"/>
      <c r="C47" s="27"/>
      <c r="D47" s="93"/>
      <c r="E47" s="93"/>
      <c r="F47" s="93"/>
      <c r="G47" s="93"/>
      <c r="H47" s="9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2:21">
      <c r="B48" s="48" t="s">
        <v>104</v>
      </c>
      <c r="C48" s="27"/>
      <c r="D48" s="268">
        <v>392170.92153935099</v>
      </c>
      <c r="E48" s="752"/>
      <c r="F48" s="268">
        <v>7.7204199273</v>
      </c>
      <c r="G48" s="93"/>
      <c r="H48" s="268">
        <v>5.9276216218000002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6">
      <c r="B49" s="48" t="s">
        <v>105</v>
      </c>
      <c r="C49" s="27"/>
      <c r="D49" s="421">
        <v>524815.72920529998</v>
      </c>
      <c r="E49" s="104"/>
      <c r="F49" s="421">
        <v>13.4071262577</v>
      </c>
      <c r="G49" s="93"/>
      <c r="H49" s="421">
        <v>4.9685177168000001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6">
      <c r="B50" s="48" t="s">
        <v>106</v>
      </c>
      <c r="C50" s="27"/>
      <c r="D50" s="421">
        <v>146962.90566952201</v>
      </c>
      <c r="E50" s="104"/>
      <c r="F50" s="421">
        <v>5.6798967890999998</v>
      </c>
      <c r="G50" s="93"/>
      <c r="H50" s="421">
        <v>4.9246117167000003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6">
      <c r="B51" s="48" t="s">
        <v>107</v>
      </c>
      <c r="C51" s="27"/>
      <c r="D51" s="421">
        <v>693388.51399354194</v>
      </c>
      <c r="E51" s="104"/>
      <c r="F51" s="421">
        <v>2.5159322472999999</v>
      </c>
      <c r="G51" s="93"/>
      <c r="H51" s="421">
        <v>1.9697668896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6">
      <c r="B52" s="48" t="s">
        <v>108</v>
      </c>
      <c r="C52" s="27"/>
      <c r="D52" s="421">
        <v>353690.38211547799</v>
      </c>
      <c r="E52" s="104"/>
      <c r="F52" s="421">
        <v>6.4288493296000002</v>
      </c>
      <c r="G52" s="93"/>
      <c r="H52" s="421">
        <v>2.2498055124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6">
      <c r="B53" s="529" t="s">
        <v>111</v>
      </c>
      <c r="C53" s="27"/>
      <c r="D53" s="421">
        <v>575607.77895185503</v>
      </c>
      <c r="E53" s="104"/>
      <c r="F53" s="421">
        <v>3.6484907181000001</v>
      </c>
      <c r="G53" s="93"/>
      <c r="H53" s="421">
        <v>1.5796798782999999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6" ht="6" customHeight="1">
      <c r="B54" s="20"/>
      <c r="C54" s="33"/>
      <c r="D54" s="122"/>
      <c r="E54" s="105"/>
      <c r="F54" s="105"/>
      <c r="G54" s="105"/>
      <c r="H54" s="10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6" ht="6" customHeight="1">
      <c r="B55" s="47"/>
      <c r="C55" s="5"/>
      <c r="D55" s="123"/>
      <c r="E55" s="104"/>
      <c r="F55" s="104"/>
      <c r="G55" s="104"/>
      <c r="H55" s="10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6" s="80" customFormat="1" ht="11.25">
      <c r="A56" s="54"/>
      <c r="B56" s="47" t="s">
        <v>264</v>
      </c>
      <c r="C56" s="5"/>
      <c r="D56" s="123"/>
      <c r="E56" s="94"/>
      <c r="F56" s="94"/>
      <c r="G56" s="94"/>
      <c r="H56" s="94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</row>
    <row r="57" spans="1:26" s="6" customFormat="1" ht="11.25">
      <c r="A57" s="54"/>
      <c r="B57" s="47" t="s">
        <v>265</v>
      </c>
      <c r="C57" s="5"/>
      <c r="D57" s="123"/>
      <c r="E57" s="94"/>
      <c r="F57" s="94"/>
      <c r="G57" s="94"/>
      <c r="H57" s="94"/>
    </row>
    <row r="58" spans="1:26" s="59" customFormat="1">
      <c r="B58" s="82" t="s">
        <v>209</v>
      </c>
      <c r="D58" s="88"/>
      <c r="E58" s="88"/>
      <c r="F58" s="88"/>
      <c r="G58" s="88"/>
      <c r="H58" s="88"/>
    </row>
    <row r="59" spans="1:26">
      <c r="B59" s="23"/>
      <c r="C59" s="23"/>
      <c r="D59" s="104"/>
      <c r="E59" s="104"/>
      <c r="F59" s="104"/>
      <c r="G59" s="104"/>
      <c r="H59" s="10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B60" s="2"/>
      <c r="C60" s="2"/>
      <c r="D60" s="113"/>
      <c r="E60" s="113"/>
      <c r="F60" s="113"/>
      <c r="G60" s="113"/>
      <c r="H60" s="1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B61" s="2"/>
      <c r="C61" s="2"/>
      <c r="D61" s="113"/>
      <c r="E61" s="113"/>
      <c r="F61" s="113"/>
      <c r="G61" s="113"/>
      <c r="H61" s="1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B62" s="2"/>
      <c r="C62" s="2"/>
      <c r="D62" s="113"/>
      <c r="E62" s="113"/>
      <c r="F62" s="113"/>
      <c r="G62" s="113"/>
      <c r="H62" s="1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B63" s="2"/>
      <c r="C63" s="2"/>
      <c r="D63" s="113"/>
      <c r="E63" s="113"/>
      <c r="F63" s="113"/>
      <c r="G63" s="113"/>
      <c r="H63" s="1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B64" s="2"/>
      <c r="C64" s="2"/>
      <c r="D64" s="113"/>
      <c r="E64" s="113"/>
      <c r="F64" s="113"/>
      <c r="G64" s="113"/>
      <c r="H64" s="11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>
      <c r="B65" s="2"/>
      <c r="C65" s="2"/>
      <c r="D65" s="113"/>
      <c r="E65" s="113"/>
      <c r="F65" s="113"/>
      <c r="G65" s="113"/>
      <c r="H65" s="1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>
      <c r="B66" s="2"/>
      <c r="C66" s="2"/>
      <c r="D66" s="113"/>
      <c r="E66" s="113"/>
      <c r="F66" s="113"/>
      <c r="G66" s="113"/>
      <c r="H66" s="11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>
      <c r="B67" s="2"/>
      <c r="C67" s="2"/>
      <c r="D67" s="113"/>
      <c r="E67" s="113"/>
      <c r="F67" s="113"/>
      <c r="G67" s="113"/>
      <c r="H67" s="1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>
      <c r="B68" s="2"/>
      <c r="C68" s="2"/>
      <c r="D68" s="113"/>
      <c r="E68" s="113"/>
      <c r="F68" s="113"/>
      <c r="G68" s="113"/>
      <c r="H68" s="1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>
      <c r="B69" s="2"/>
      <c r="C69" s="2"/>
      <c r="D69" s="113"/>
      <c r="E69" s="113"/>
      <c r="F69" s="113"/>
      <c r="G69" s="113"/>
      <c r="H69" s="1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>
      <c r="B70" s="2"/>
      <c r="C70" s="2"/>
      <c r="D70" s="113"/>
      <c r="E70" s="113"/>
      <c r="F70" s="113"/>
      <c r="G70" s="113"/>
      <c r="H70" s="113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>
      <c r="B71" s="2"/>
      <c r="C71" s="2"/>
      <c r="D71" s="113"/>
      <c r="E71" s="113"/>
      <c r="F71" s="113"/>
      <c r="G71" s="113"/>
      <c r="H71" s="1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>
      <c r="B72" s="2"/>
      <c r="C72" s="2"/>
      <c r="D72" s="113"/>
      <c r="E72" s="113"/>
      <c r="F72" s="113"/>
      <c r="G72" s="113"/>
      <c r="H72" s="1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>
      <c r="B73" s="2"/>
      <c r="C73" s="2"/>
      <c r="D73" s="113"/>
      <c r="E73" s="113"/>
      <c r="F73" s="113"/>
      <c r="G73" s="113"/>
      <c r="H73" s="1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>
      <c r="B74" s="2"/>
      <c r="C74" s="2"/>
      <c r="D74" s="113"/>
      <c r="E74" s="113"/>
      <c r="F74" s="113"/>
      <c r="G74" s="113"/>
      <c r="H74" s="1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>
      <c r="B75" s="2"/>
      <c r="C75" s="2"/>
      <c r="D75" s="113"/>
      <c r="E75" s="113"/>
      <c r="F75" s="113"/>
      <c r="G75" s="113"/>
      <c r="H75" s="1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>
      <c r="B76" s="2"/>
      <c r="C76" s="2"/>
      <c r="D76" s="113"/>
      <c r="E76" s="113"/>
      <c r="F76" s="113"/>
      <c r="G76" s="113"/>
      <c r="H76" s="1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>
      <c r="B77" s="2"/>
      <c r="C77" s="2"/>
      <c r="D77" s="113"/>
      <c r="E77" s="113"/>
      <c r="F77" s="113"/>
      <c r="G77" s="113"/>
      <c r="H77" s="1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>
      <c r="B78" s="2"/>
      <c r="C78" s="2"/>
      <c r="D78" s="113"/>
      <c r="E78" s="113"/>
      <c r="F78" s="113"/>
      <c r="G78" s="113"/>
      <c r="H78" s="1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>
      <c r="B79" s="2"/>
      <c r="C79" s="2"/>
      <c r="D79" s="113"/>
      <c r="E79" s="113"/>
      <c r="F79" s="113"/>
      <c r="G79" s="113"/>
      <c r="H79" s="1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>
      <c r="B80" s="1"/>
      <c r="C80" s="1"/>
      <c r="D80" s="102"/>
      <c r="E80" s="102"/>
      <c r="F80" s="102"/>
      <c r="G80" s="102"/>
      <c r="H80" s="10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>
      <c r="B81" s="1"/>
      <c r="C81" s="1"/>
      <c r="D81" s="102"/>
      <c r="E81" s="102"/>
      <c r="F81" s="102"/>
      <c r="G81" s="102"/>
      <c r="H81" s="10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>
      <c r="B82" s="1"/>
      <c r="C82" s="1"/>
      <c r="D82" s="102"/>
      <c r="E82" s="102"/>
      <c r="F82" s="102"/>
      <c r="G82" s="102"/>
      <c r="H82" s="10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>
      <c r="B83" s="1"/>
      <c r="C83" s="1"/>
      <c r="D83" s="102"/>
      <c r="E83" s="102"/>
      <c r="F83" s="102"/>
      <c r="G83" s="102"/>
      <c r="H83" s="10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>
      <c r="B84" s="1"/>
      <c r="C84" s="1"/>
      <c r="D84" s="102"/>
      <c r="E84" s="102"/>
      <c r="F84" s="102"/>
      <c r="G84" s="102"/>
      <c r="H84" s="10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>
      <c r="B85" s="1"/>
      <c r="C85" s="1"/>
      <c r="D85" s="102"/>
      <c r="E85" s="102"/>
      <c r="F85" s="102"/>
      <c r="G85" s="102"/>
      <c r="H85" s="10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>
      <c r="B86" s="1"/>
      <c r="C86" s="1"/>
      <c r="D86" s="102"/>
      <c r="E86" s="102"/>
      <c r="F86" s="102"/>
      <c r="G86" s="102"/>
      <c r="H86" s="10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>
      <c r="B87" s="1"/>
      <c r="C87" s="1"/>
      <c r="D87" s="102"/>
      <c r="E87" s="102"/>
      <c r="F87" s="102"/>
      <c r="G87" s="102"/>
      <c r="H87" s="10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>
      <c r="B88" s="1"/>
      <c r="C88" s="1"/>
      <c r="D88" s="102"/>
      <c r="E88" s="102"/>
      <c r="F88" s="102"/>
      <c r="G88" s="102"/>
      <c r="H88" s="10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>
      <c r="B89" s="1"/>
      <c r="C89" s="1"/>
      <c r="D89" s="102"/>
      <c r="E89" s="102"/>
      <c r="F89" s="102"/>
      <c r="G89" s="102"/>
      <c r="H89" s="10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>
      <c r="B90" s="1"/>
      <c r="C90" s="1"/>
      <c r="D90" s="102"/>
      <c r="E90" s="102"/>
      <c r="F90" s="102"/>
      <c r="G90" s="102"/>
      <c r="H90" s="10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>
      <c r="B91" s="1"/>
      <c r="C91" s="1"/>
      <c r="D91" s="102"/>
      <c r="E91" s="102"/>
      <c r="F91" s="102"/>
      <c r="G91" s="102"/>
      <c r="H91" s="10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>
      <c r="B92" s="1"/>
      <c r="C92" s="1"/>
      <c r="D92" s="102"/>
      <c r="E92" s="102"/>
      <c r="F92" s="102"/>
      <c r="G92" s="102"/>
      <c r="H92" s="10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>
      <c r="B93" s="1"/>
      <c r="C93" s="1"/>
      <c r="D93" s="102"/>
      <c r="E93" s="102"/>
      <c r="F93" s="102"/>
      <c r="G93" s="102"/>
      <c r="H93" s="10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>
      <c r="B94" s="1"/>
      <c r="C94" s="1"/>
      <c r="D94" s="102"/>
      <c r="E94" s="102"/>
      <c r="F94" s="102"/>
      <c r="G94" s="102"/>
      <c r="H94" s="10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>
      <c r="B95" s="1"/>
      <c r="C95" s="1"/>
      <c r="D95" s="102"/>
      <c r="E95" s="102"/>
      <c r="F95" s="102"/>
      <c r="G95" s="102"/>
      <c r="H95" s="10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>
      <c r="B96" s="1"/>
      <c r="C96" s="1"/>
      <c r="D96" s="102"/>
      <c r="E96" s="102"/>
      <c r="F96" s="102"/>
      <c r="G96" s="102"/>
      <c r="H96" s="10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>
      <c r="B97" s="1"/>
      <c r="C97" s="1"/>
      <c r="D97" s="102"/>
      <c r="E97" s="102"/>
      <c r="F97" s="102"/>
      <c r="G97" s="102"/>
      <c r="H97" s="10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>
      <c r="B98" s="1"/>
      <c r="C98" s="1"/>
      <c r="D98" s="102"/>
      <c r="E98" s="102"/>
      <c r="F98" s="102"/>
      <c r="G98" s="102"/>
      <c r="H98" s="10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>
      <c r="B99" s="1"/>
      <c r="C99" s="1"/>
      <c r="D99" s="102"/>
      <c r="E99" s="102"/>
      <c r="F99" s="102"/>
      <c r="G99" s="102"/>
      <c r="H99" s="10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>
      <c r="B100" s="1"/>
      <c r="C100" s="1"/>
      <c r="D100" s="102"/>
      <c r="E100" s="102"/>
      <c r="F100" s="102"/>
      <c r="G100" s="102"/>
      <c r="H100" s="10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>
      <c r="B101" s="1"/>
      <c r="C101" s="1"/>
      <c r="D101" s="102"/>
      <c r="E101" s="102"/>
      <c r="F101" s="102"/>
      <c r="G101" s="102"/>
      <c r="H101" s="10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>
      <c r="B102" s="1"/>
      <c r="C102" s="1"/>
      <c r="D102" s="102"/>
      <c r="E102" s="102"/>
      <c r="F102" s="102"/>
      <c r="G102" s="102"/>
      <c r="H102" s="10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>
      <c r="B103" s="1"/>
      <c r="C103" s="1"/>
      <c r="D103" s="102"/>
      <c r="E103" s="102"/>
      <c r="F103" s="102"/>
      <c r="G103" s="102"/>
      <c r="H103" s="10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>
      <c r="B104" s="1"/>
      <c r="C104" s="1"/>
      <c r="D104" s="102"/>
      <c r="E104" s="102"/>
      <c r="F104" s="102"/>
      <c r="G104" s="102"/>
      <c r="H104" s="10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>
      <c r="B105" s="1"/>
      <c r="C105" s="1"/>
      <c r="D105" s="102"/>
      <c r="E105" s="102"/>
      <c r="F105" s="102"/>
      <c r="G105" s="102"/>
      <c r="H105" s="10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>
      <c r="B106" s="1"/>
      <c r="C106" s="1"/>
      <c r="D106" s="102"/>
      <c r="E106" s="102"/>
      <c r="F106" s="102"/>
      <c r="G106" s="102"/>
      <c r="H106" s="10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>
      <c r="B107" s="1"/>
      <c r="C107" s="1"/>
      <c r="D107" s="102"/>
      <c r="E107" s="102"/>
      <c r="F107" s="102"/>
      <c r="G107" s="102"/>
      <c r="H107" s="10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>
      <c r="B108" s="1"/>
      <c r="C108" s="1"/>
      <c r="D108" s="102"/>
      <c r="E108" s="102"/>
      <c r="F108" s="102"/>
      <c r="G108" s="102"/>
      <c r="H108" s="10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>
      <c r="B109" s="1"/>
      <c r="C109" s="1"/>
      <c r="D109" s="102"/>
      <c r="E109" s="102"/>
      <c r="F109" s="102"/>
      <c r="G109" s="102"/>
      <c r="H109" s="10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>
      <c r="B110" s="1"/>
      <c r="C110" s="1"/>
      <c r="D110" s="102"/>
      <c r="E110" s="102"/>
      <c r="F110" s="102"/>
      <c r="G110" s="102"/>
      <c r="H110" s="10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>
      <c r="B111" s="1"/>
      <c r="C111" s="1"/>
      <c r="D111" s="102"/>
      <c r="E111" s="102"/>
      <c r="F111" s="102"/>
      <c r="G111" s="102"/>
      <c r="H111" s="10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>
      <c r="B112" s="1"/>
      <c r="C112" s="1"/>
      <c r="D112" s="102"/>
      <c r="E112" s="102"/>
      <c r="F112" s="102"/>
      <c r="G112" s="102"/>
      <c r="H112" s="10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>
      <c r="B113" s="1"/>
      <c r="C113" s="1"/>
      <c r="D113" s="102"/>
      <c r="E113" s="102"/>
      <c r="F113" s="102"/>
      <c r="G113" s="102"/>
      <c r="H113" s="10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>
      <c r="B114" s="1"/>
      <c r="C114" s="1"/>
      <c r="D114" s="102"/>
      <c r="E114" s="102"/>
      <c r="F114" s="102"/>
      <c r="G114" s="102"/>
      <c r="H114" s="10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>
      <c r="B115" s="1"/>
      <c r="C115" s="1"/>
      <c r="D115" s="102"/>
      <c r="E115" s="102"/>
      <c r="F115" s="102"/>
      <c r="G115" s="102"/>
      <c r="H115" s="10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>
      <c r="B116" s="1"/>
      <c r="C116" s="1"/>
      <c r="D116" s="102"/>
      <c r="E116" s="102"/>
      <c r="F116" s="102"/>
      <c r="G116" s="102"/>
      <c r="H116" s="10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>
      <c r="B117" s="1"/>
      <c r="C117" s="1"/>
      <c r="D117" s="102"/>
      <c r="E117" s="102"/>
      <c r="F117" s="102"/>
      <c r="G117" s="102"/>
      <c r="H117" s="10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>
      <c r="B118" s="1"/>
      <c r="C118" s="1"/>
      <c r="D118" s="102"/>
      <c r="E118" s="102"/>
      <c r="F118" s="102"/>
      <c r="G118" s="102"/>
      <c r="H118" s="10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>
      <c r="B119" s="1"/>
      <c r="C119" s="1"/>
      <c r="D119" s="102"/>
      <c r="E119" s="102"/>
      <c r="F119" s="102"/>
      <c r="G119" s="102"/>
      <c r="H119" s="10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>
      <c r="B120" s="1"/>
      <c r="C120" s="1"/>
      <c r="D120" s="102"/>
      <c r="E120" s="102"/>
      <c r="F120" s="102"/>
      <c r="G120" s="102"/>
      <c r="H120" s="10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>
      <c r="B121" s="1"/>
      <c r="C121" s="1"/>
      <c r="D121" s="102"/>
      <c r="E121" s="102"/>
      <c r="F121" s="102"/>
      <c r="G121" s="102"/>
      <c r="H121" s="10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>
      <c r="B122" s="1"/>
      <c r="C122" s="1"/>
      <c r="D122" s="102"/>
      <c r="E122" s="102"/>
      <c r="F122" s="102"/>
      <c r="G122" s="102"/>
      <c r="H122" s="10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>
      <c r="B123" s="1"/>
      <c r="C123" s="1"/>
      <c r="D123" s="102"/>
      <c r="E123" s="102"/>
      <c r="F123" s="102"/>
      <c r="G123" s="102"/>
      <c r="H123" s="10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>
      <c r="B124" s="1"/>
      <c r="C124" s="1"/>
      <c r="D124" s="102"/>
      <c r="E124" s="102"/>
      <c r="F124" s="102"/>
      <c r="G124" s="102"/>
      <c r="H124" s="10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>
      <c r="B125" s="1"/>
      <c r="C125" s="1"/>
      <c r="D125" s="102"/>
      <c r="E125" s="102"/>
      <c r="F125" s="102"/>
      <c r="G125" s="102"/>
      <c r="H125" s="10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>
      <c r="B126" s="1"/>
      <c r="C126" s="1"/>
      <c r="D126" s="102"/>
      <c r="E126" s="102"/>
      <c r="F126" s="102"/>
      <c r="G126" s="102"/>
      <c r="H126" s="10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>
      <c r="B127" s="1"/>
      <c r="C127" s="1"/>
      <c r="D127" s="102"/>
      <c r="E127" s="102"/>
      <c r="F127" s="102"/>
      <c r="G127" s="102"/>
      <c r="H127" s="10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>
      <c r="B128" s="1"/>
      <c r="C128" s="1"/>
      <c r="D128" s="102"/>
      <c r="E128" s="102"/>
      <c r="F128" s="102"/>
      <c r="G128" s="102"/>
      <c r="H128" s="10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>
      <c r="B129" s="1"/>
      <c r="C129" s="1"/>
      <c r="D129" s="102"/>
      <c r="E129" s="102"/>
      <c r="F129" s="102"/>
      <c r="G129" s="102"/>
      <c r="H129" s="10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>
      <c r="B130" s="1"/>
      <c r="C130" s="1"/>
      <c r="D130" s="102"/>
      <c r="E130" s="102"/>
      <c r="F130" s="102"/>
      <c r="G130" s="102"/>
      <c r="H130" s="10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>
      <c r="B131" s="1"/>
      <c r="C131" s="1"/>
      <c r="D131" s="102"/>
      <c r="E131" s="102"/>
      <c r="F131" s="102"/>
      <c r="G131" s="102"/>
      <c r="H131" s="10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>
      <c r="B132" s="1"/>
      <c r="C132" s="1"/>
      <c r="D132" s="102"/>
      <c r="E132" s="102"/>
      <c r="F132" s="102"/>
      <c r="G132" s="102"/>
      <c r="H132" s="10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>
      <c r="B133" s="1"/>
      <c r="C133" s="1"/>
      <c r="D133" s="102"/>
      <c r="E133" s="102"/>
      <c r="F133" s="102"/>
      <c r="G133" s="102"/>
      <c r="H133" s="10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>
      <c r="B134" s="1"/>
      <c r="C134" s="1"/>
      <c r="D134" s="102"/>
      <c r="E134" s="102"/>
      <c r="F134" s="102"/>
      <c r="G134" s="102"/>
      <c r="H134" s="10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</sheetData>
  <mergeCells count="4">
    <mergeCell ref="B5:F5"/>
    <mergeCell ref="B7:B8"/>
    <mergeCell ref="D7:D8"/>
    <mergeCell ref="F7:H7"/>
  </mergeCells>
  <hyperlinks>
    <hyperlink ref="H1" location="Índice!A1" tooltip="Ir a ÍNDICE" display="INDICE" xr:uid="{B43FE5F1-874A-40A1-999C-D1A9806E0E2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6752EE-580E-4709-953B-8888C8381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C7400-BE4E-4BDA-9D0A-214196E368C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829ce69-67eb-47dd-9407-4f8adfa19fc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04E1E3-D17F-4181-AB23-0580709AA5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Índice</vt:lpstr>
      <vt:lpstr>Cuadro 3.1</vt:lpstr>
      <vt:lpstr>Cuadro 3.2</vt:lpstr>
      <vt:lpstr>Cuadro 3.3</vt:lpstr>
      <vt:lpstr>Cuadro 3.4</vt:lpstr>
      <vt:lpstr>Cuadro 3.5</vt:lpstr>
      <vt:lpstr>Cuadro 3.6</vt:lpstr>
      <vt:lpstr>Cuadro 3.7</vt:lpstr>
      <vt:lpstr>Cuadro 3.8</vt:lpstr>
      <vt:lpstr>Cuadro 3.9</vt:lpstr>
      <vt:lpstr>Cuadro 3.10</vt:lpstr>
      <vt:lpstr>Cuadro 3.11</vt:lpstr>
      <vt:lpstr>Cuadro 3.11a</vt:lpstr>
      <vt:lpstr>Cuadro 3.12</vt:lpstr>
      <vt:lpstr>Cuadro 3.13</vt:lpstr>
      <vt:lpstr>Cuadro 3.14</vt:lpstr>
      <vt:lpstr>Cuadro 3.15</vt:lpstr>
      <vt:lpstr>Cuadro 3.16</vt:lpstr>
      <vt:lpstr>Cuadro 3.17</vt:lpstr>
      <vt:lpstr>Cuadro 3.18</vt:lpstr>
      <vt:lpstr>Cuadro 3.19</vt:lpstr>
      <vt:lpstr>Cuadro 3.20</vt:lpstr>
      <vt:lpstr>'Cuadro 3.6'!Cuadro_2.1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2020-10-22T17:47:01Z</dcterms:created>
  <dcterms:modified xsi:type="dcterms:W3CDTF">2021-08-19T15:54:49Z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