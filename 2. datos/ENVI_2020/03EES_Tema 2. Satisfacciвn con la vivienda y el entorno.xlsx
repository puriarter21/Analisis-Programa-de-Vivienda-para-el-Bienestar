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7F59D09D-893C-4E3B-A438-4F1A8E31ECE1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<sst xmlns="http://schemas.openxmlformats.org/spreadsheetml/2006/main" count="2016" uniqueCount="201">
  <si>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</si>
  <si>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</si>
  <si>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</si>
  <si>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</si>
  <si>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</si>
  <si>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</si>
  <si>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</si>
  <si>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</si>
  <si>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</si>
  <si>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</si>
  <si>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</si>
  <si>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</si>
  <si>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</si>
  <si>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</si>
  <si>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</si>
  <si>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</si>
  <si>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</si>
  <si>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</si>
  <si>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</si>
  <si>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</si>
  <si>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</si>
  <si>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</si>
  <si>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</si>
  <si>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</si>
  <si>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</si>
  <si>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</si>
  <si>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</si>
  <si>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</si>
  <si>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</si>
  <si>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</si>
  <si>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</si>
  <si>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</si>
  <si>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</si>
  <si>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</si>
  <si>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</si>
  <si>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</si>
  <si>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</si>
  <si>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</si>
  <si>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</si>
  <si>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</si>
  <si>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</si>
  <si>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</si>
  <si>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</si>
  <si>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</si>
  <si>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</si>
  <si>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</si>
  <si>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</si>
  <si>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</si>
  <si>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</si>
  <si>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</si>
  <si>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</si>
  <si>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</si>
  <si>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</si>
  <si>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</si>
  <si>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</si>
  <si>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</si>
  <si>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</si>
  <si>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</si>
  <si>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</si>
  <si>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</si>
  <si>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</si>
  <si>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</si>
  <si>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</si>
  <si>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</si>
  <si>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</si>
  <si>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</si>
  <si>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</si>
  <si>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</si>
  <si>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</si>
  <si>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</si>
  <si>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</si>
  <si>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</si>
  <si>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</si>
  <si>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</si>
  <si>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</si>
  <si>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</si>
  <si>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</si>
  <si>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</si>
  <si>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</si>
  <si>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</si>
  <si>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</si>
  <si>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</si>
  <si>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</si>
  <si>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</si>
  <si>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</si>
  <si>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</si>
  <si>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</si>
  <si>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</si>
  <si>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</si>
  <si>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</si>
  <si>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</si>
  <si>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</si>
  <si>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</si>
  <si>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</si>
  <si>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</si>
  <si>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</si>
  <si>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</si>
  <si>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</si>
  <si>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</si>
  <si>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</si>
  <si>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</si>
  <si>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</si>
  <si>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</si>
  <si>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</si>
  <si>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</si>
  <si>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</si>
  <si>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</si>
  <si>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</si>
  <si>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</si>
  <si>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</si>
  <si>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</si>
  <si>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</si>
  <si>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</si>
  <si>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</si>
  <si>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</si>
  <si>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</si>
  <si>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</si>
  <si>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</si>
  <si>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</si>
  <si>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</si>
  <si>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</si>
  <si>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</si>
  <si>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</si>
  <si>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</si>
  <si>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</si>
  <si>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</si>
  <si>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</si>
  <si>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</si>
  <si>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</si>
  <si>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</si>
  <si>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</si>
  <si>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</si>
  <si>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</si>
  <si>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</si>
  <si>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</si>
  <si>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</si>
  <si>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</si>
  <si>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</si>
  <si>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</si>
  <si>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</si>
  <si>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</si>
  <si>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</si>
  <si>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</si>
  <si>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por entidad federativa, segun grado de cambio con la satisfacción de la vivienda derivado de la pandemia 
por COVID-19</t>
  </si>
  <si>
    <t>Viviendas particulares habitadas por tamaño de localidad, segun grado de cambio con la satisfacción de la vivienda derivado de la pandemia 
por COVID-19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</si>
  <si>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</si>
  <si>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</si>
  <si>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</si>
  <si>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</si>
  <si>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</si>
  <si>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</si>
  <si>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</si>
  <si>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</si>
  <si>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</si>
  <si>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</si>
  <si>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</si>
  <si>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</si>
  <si>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</si>
  <si>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</si>
  <si>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</si>
  <si>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</si>
  <si>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</si>
  <si>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</si>
  <si>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</si>
  <si>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</si>
  <si>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</si>
  <si>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</si>
  <si>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</si>
  <si>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</si>
  <si>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</si>
  <si>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</si>
  <si>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</si>
  <si>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</si>
  <si>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</si>
  <si>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</si>
  <si>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</si>
  <si>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</si>
  <si>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</si>
  <si>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</si>
  <si>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</si>
  <si>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</si>
  <si>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</si>
  <si>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</si>
  <si>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</si>
  <si>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</si>
  <si>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</si>
  <si>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</si>
  <si>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</si>
  <si>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</si>
  <si>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</si>
  <si>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</si>
  <si>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</si>
  <si>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</si>
  <si>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</si>
  <si>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Error estándar.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</si>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</sst>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  <numFmt numFmtId="170" formatCode="###\ ###\ ###\ ##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47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0" fontId="24" fillId="0" borderId="0" xfId="1" applyFont="1" applyFill="1" applyAlignment="1">
      <alignment vertical="center"/>
    </xf>
    <xf numFmtId="0" fontId="1" fillId="0" borderId="0" xfId="13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1" fillId="0" borderId="0" xfId="0" applyNumberFormat="1" applyFont="1" applyAlignment="1">
      <alignment horizontal="left" vertical="center" indent="1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2" fillId="2" borderId="0" xfId="1" applyFont="1" applyFill="1" applyAlignment="1">
      <alignment vertical="center"/>
    </xf>
    <xf numFmtId="0" fontId="53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170" fontId="7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9" fillId="0" borderId="0" xfId="0" applyNumberFormat="1" applyFont="1" applyFill="1" applyAlignment="1">
      <alignment horizontal="right" wrapText="1"/>
    </xf>
    <xf numFmtId="170" fontId="9" fillId="0" borderId="0" xfId="0" applyNumberFormat="1" applyFont="1" applyFill="1" applyAlignment="1">
      <alignment horizontal="right"/>
    </xf>
    <xf numFmtId="170" fontId="7" fillId="0" borderId="0" xfId="0" applyNumberFormat="1" applyFont="1" applyFill="1" applyAlignment="1">
      <alignment horizontal="righ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170" fontId="9" fillId="0" borderId="0" xfId="0" applyNumberFormat="1" applyFont="1" applyFill="1" applyBorder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1" fillId="2" borderId="0" xfId="1" applyNumberFormat="1" applyFill="1" applyAlignment="1">
      <alignment vertical="center"/>
    </xf>
    <xf numFmtId="0" fontId="3" fillId="0" borderId="0" xfId="0" applyFont="1" applyAlignment="1">
      <alignment vertical="center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9" fillId="2" borderId="0" xfId="17" applyFont="1" applyFill="1" applyAlignment="1">
      <alignment horizontal="lef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372" t="s">
        <v>139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1:15" ht="19.5" customHeight="1" x14ac:dyDescent="0.2">
      <c r="B3" s="373" t="s">
        <v>127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5" ht="16.5" customHeight="1" x14ac:dyDescent="0.2">
      <c r="A4" s="374" t="s">
        <v>194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375" t="s">
        <v>128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158"/>
    </row>
    <row r="7" spans="1:15" ht="19.5" customHeight="1" x14ac:dyDescent="0.2">
      <c r="A7" s="151"/>
      <c r="B7" s="157" t="s">
        <v>146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376" t="str">
        <f>CONCATENATE("Total de tabulados: ", COUNTIF(D10:D29,"&lt;&gt;"))</f>
        <v>Total de tabulados: 19</v>
      </c>
      <c r="N7" s="376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377" t="s">
        <v>131</v>
      </c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5" ht="39.950000000000003" customHeight="1" x14ac:dyDescent="0.2">
      <c r="B10" s="379" t="s">
        <v>138</v>
      </c>
      <c r="C10" s="156" t="s">
        <v>92</v>
      </c>
      <c r="D10" s="385" t="s">
        <v>151</v>
      </c>
      <c r="E10" s="386"/>
      <c r="F10" s="386"/>
      <c r="G10" s="386"/>
      <c r="H10" s="386"/>
      <c r="I10" s="386"/>
      <c r="J10" s="386"/>
      <c r="K10" s="386"/>
      <c r="L10" s="386"/>
      <c r="M10" s="386"/>
      <c r="N10" s="387"/>
    </row>
    <row r="11" spans="1:15" ht="39.950000000000003" customHeight="1" x14ac:dyDescent="0.2">
      <c r="B11" s="380"/>
      <c r="C11" s="154" t="s">
        <v>93</v>
      </c>
      <c r="D11" s="369" t="s">
        <v>152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1"/>
    </row>
    <row r="12" spans="1:15" ht="39.950000000000003" customHeight="1" x14ac:dyDescent="0.2">
      <c r="B12" s="380"/>
      <c r="C12" s="154" t="s">
        <v>94</v>
      </c>
      <c r="D12" s="369" t="s">
        <v>153</v>
      </c>
      <c r="E12" s="370"/>
      <c r="F12" s="370"/>
      <c r="G12" s="370"/>
      <c r="H12" s="370"/>
      <c r="I12" s="370"/>
      <c r="J12" s="370"/>
      <c r="K12" s="370"/>
      <c r="L12" s="370"/>
      <c r="M12" s="370"/>
      <c r="N12" s="371"/>
    </row>
    <row r="13" spans="1:15" ht="39.950000000000003" customHeight="1" x14ac:dyDescent="0.2">
      <c r="B13" s="380"/>
      <c r="C13" s="154" t="s">
        <v>95</v>
      </c>
      <c r="D13" s="369" t="s">
        <v>154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1"/>
    </row>
    <row r="14" spans="1:15" ht="39.950000000000003" customHeight="1" x14ac:dyDescent="0.2">
      <c r="B14" s="380"/>
      <c r="C14" s="154" t="s">
        <v>96</v>
      </c>
      <c r="D14" s="369" t="s">
        <v>155</v>
      </c>
      <c r="E14" s="370"/>
      <c r="F14" s="370"/>
      <c r="G14" s="370"/>
      <c r="H14" s="370"/>
      <c r="I14" s="370"/>
      <c r="J14" s="370"/>
      <c r="K14" s="370"/>
      <c r="L14" s="370"/>
      <c r="M14" s="370"/>
      <c r="N14" s="371"/>
    </row>
    <row r="15" spans="1:15" ht="39.950000000000003" customHeight="1" x14ac:dyDescent="0.2">
      <c r="B15" s="380"/>
      <c r="C15" s="154" t="s">
        <v>97</v>
      </c>
      <c r="D15" s="369" t="s">
        <v>156</v>
      </c>
      <c r="E15" s="370"/>
      <c r="F15" s="370"/>
      <c r="G15" s="370"/>
      <c r="H15" s="370"/>
      <c r="I15" s="370"/>
      <c r="J15" s="370"/>
      <c r="K15" s="370"/>
      <c r="L15" s="370"/>
      <c r="M15" s="370"/>
      <c r="N15" s="371"/>
    </row>
    <row r="16" spans="1:15" ht="39.950000000000003" customHeight="1" x14ac:dyDescent="0.2">
      <c r="B16" s="380"/>
      <c r="C16" s="154" t="s">
        <v>98</v>
      </c>
      <c r="D16" s="369" t="s">
        <v>157</v>
      </c>
      <c r="E16" s="370"/>
      <c r="F16" s="370"/>
      <c r="G16" s="370"/>
      <c r="H16" s="370"/>
      <c r="I16" s="370"/>
      <c r="J16" s="370"/>
      <c r="K16" s="370"/>
      <c r="L16" s="370"/>
      <c r="M16" s="370"/>
      <c r="N16" s="371"/>
    </row>
    <row r="17" spans="1:14" ht="39.950000000000003" customHeight="1" x14ac:dyDescent="0.2">
      <c r="B17" s="380"/>
      <c r="C17" s="154" t="s">
        <v>99</v>
      </c>
      <c r="D17" s="369" t="s">
        <v>141</v>
      </c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39.950000000000003" customHeight="1" x14ac:dyDescent="0.2">
      <c r="B18" s="380"/>
      <c r="C18" s="154" t="s">
        <v>100</v>
      </c>
      <c r="D18" s="369" t="s">
        <v>137</v>
      </c>
      <c r="E18" s="370"/>
      <c r="F18" s="370"/>
      <c r="G18" s="370"/>
      <c r="H18" s="370"/>
      <c r="I18" s="370"/>
      <c r="J18" s="370"/>
      <c r="K18" s="370"/>
      <c r="L18" s="370"/>
      <c r="M18" s="370"/>
      <c r="N18" s="371"/>
    </row>
    <row r="19" spans="1:14" ht="39.950000000000003" customHeight="1" x14ac:dyDescent="0.2">
      <c r="B19" s="380"/>
      <c r="C19" s="154" t="s">
        <v>101</v>
      </c>
      <c r="D19" s="369" t="s">
        <v>76</v>
      </c>
      <c r="E19" s="370"/>
      <c r="F19" s="370"/>
      <c r="G19" s="370"/>
      <c r="H19" s="370"/>
      <c r="I19" s="370"/>
      <c r="J19" s="370"/>
      <c r="K19" s="370"/>
      <c r="L19" s="370"/>
      <c r="M19" s="370"/>
      <c r="N19" s="371"/>
    </row>
    <row r="20" spans="1:14" ht="39.950000000000003" customHeight="1" x14ac:dyDescent="0.2">
      <c r="B20" s="380"/>
      <c r="C20" s="154" t="s">
        <v>102</v>
      </c>
      <c r="D20" s="369" t="s">
        <v>82</v>
      </c>
      <c r="E20" s="370"/>
      <c r="F20" s="370"/>
      <c r="G20" s="370"/>
      <c r="H20" s="370"/>
      <c r="I20" s="370"/>
      <c r="J20" s="370"/>
      <c r="K20" s="370"/>
      <c r="L20" s="370"/>
      <c r="M20" s="370"/>
      <c r="N20" s="371"/>
    </row>
    <row r="21" spans="1:14" ht="39.950000000000003" customHeight="1" x14ac:dyDescent="0.2">
      <c r="B21" s="380"/>
      <c r="C21" s="154" t="s">
        <v>103</v>
      </c>
      <c r="D21" s="369" t="s">
        <v>136</v>
      </c>
      <c r="E21" s="370"/>
      <c r="F21" s="370"/>
      <c r="G21" s="370"/>
      <c r="H21" s="370"/>
      <c r="I21" s="370"/>
      <c r="J21" s="370"/>
      <c r="K21" s="370"/>
      <c r="L21" s="370"/>
      <c r="M21" s="370"/>
      <c r="N21" s="371"/>
    </row>
    <row r="22" spans="1:14" ht="39.950000000000003" customHeight="1" x14ac:dyDescent="0.2">
      <c r="A22" s="155"/>
      <c r="B22" s="380"/>
      <c r="C22" s="154" t="s">
        <v>104</v>
      </c>
      <c r="D22" s="369" t="s">
        <v>135</v>
      </c>
      <c r="E22" s="370"/>
      <c r="F22" s="370"/>
      <c r="G22" s="370"/>
      <c r="H22" s="370"/>
      <c r="I22" s="370"/>
      <c r="J22" s="370"/>
      <c r="K22" s="370"/>
      <c r="L22" s="370"/>
      <c r="M22" s="370"/>
      <c r="N22" s="371"/>
    </row>
    <row r="23" spans="1:14" ht="39.950000000000003" customHeight="1" x14ac:dyDescent="0.2">
      <c r="B23" s="380"/>
      <c r="C23" s="154" t="s">
        <v>105</v>
      </c>
      <c r="D23" s="369" t="s">
        <v>198</v>
      </c>
      <c r="E23" s="370"/>
      <c r="F23" s="370"/>
      <c r="G23" s="370"/>
      <c r="H23" s="370"/>
      <c r="I23" s="370"/>
      <c r="J23" s="370"/>
      <c r="K23" s="370"/>
      <c r="L23" s="370"/>
      <c r="M23" s="370"/>
      <c r="N23" s="371"/>
    </row>
    <row r="24" spans="1:14" ht="39.950000000000003" customHeight="1" x14ac:dyDescent="0.2">
      <c r="B24" s="380"/>
      <c r="C24" s="154" t="s">
        <v>106</v>
      </c>
      <c r="D24" s="369" t="s">
        <v>199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1"/>
    </row>
    <row r="25" spans="1:14" ht="39.950000000000003" customHeight="1" x14ac:dyDescent="0.2">
      <c r="B25" s="380"/>
      <c r="C25" s="154" t="s">
        <v>107</v>
      </c>
      <c r="D25" s="369" t="s">
        <v>78</v>
      </c>
      <c r="E25" s="370"/>
      <c r="F25" s="370"/>
      <c r="G25" s="370"/>
      <c r="H25" s="370"/>
      <c r="I25" s="370"/>
      <c r="J25" s="370"/>
      <c r="K25" s="370"/>
      <c r="L25" s="370"/>
      <c r="M25" s="370"/>
      <c r="N25" s="371"/>
    </row>
    <row r="26" spans="1:14" ht="39.950000000000003" customHeight="1" x14ac:dyDescent="0.2">
      <c r="B26" s="380"/>
      <c r="C26" s="153" t="s">
        <v>108</v>
      </c>
      <c r="D26" s="388" t="s">
        <v>83</v>
      </c>
      <c r="E26" s="389"/>
      <c r="F26" s="389"/>
      <c r="G26" s="389"/>
      <c r="H26" s="389"/>
      <c r="I26" s="389"/>
      <c r="J26" s="389"/>
      <c r="K26" s="389"/>
      <c r="L26" s="389"/>
      <c r="M26" s="389"/>
      <c r="N26" s="390"/>
    </row>
    <row r="27" spans="1:14" ht="39.950000000000003" customHeight="1" x14ac:dyDescent="0.2">
      <c r="B27" s="380"/>
      <c r="C27" s="153" t="s">
        <v>122</v>
      </c>
      <c r="D27" s="369" t="s">
        <v>134</v>
      </c>
      <c r="E27" s="370"/>
      <c r="F27" s="370"/>
      <c r="G27" s="370"/>
      <c r="H27" s="370"/>
      <c r="I27" s="370"/>
      <c r="J27" s="370"/>
      <c r="K27" s="370"/>
      <c r="L27" s="370"/>
      <c r="M27" s="370"/>
      <c r="N27" s="371"/>
    </row>
    <row r="28" spans="1:14" ht="39.950000000000003" customHeight="1" thickBot="1" x14ac:dyDescent="0.25">
      <c r="B28" s="381"/>
      <c r="C28" s="152" t="s">
        <v>123</v>
      </c>
      <c r="D28" s="382" t="s">
        <v>133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4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  <mergeCell ref="B2:N2"/>
    <mergeCell ref="B3:N3"/>
    <mergeCell ref="A4:O4"/>
    <mergeCell ref="B6:N6"/>
    <mergeCell ref="M7:N7"/>
    <mergeCell ref="D15:N15"/>
    <mergeCell ref="D14:N14"/>
    <mergeCell ref="D13:N13"/>
    <mergeCell ref="D12:N12"/>
    <mergeCell ref="D11:N11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5781-ED85-4FF7-A8DA-889FBBD9F968}">
  <sheetPr>
    <pageSetUpPr fitToPage="1"/>
  </sheetPr>
  <dimension ref="A1:Y5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321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321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392" t="s">
        <v>169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1"/>
      <c r="P5" s="190" t="s">
        <v>92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398" t="s">
        <v>1</v>
      </c>
      <c r="E7" s="5"/>
      <c r="F7" s="401" t="s">
        <v>168</v>
      </c>
      <c r="G7" s="401"/>
      <c r="H7" s="401"/>
      <c r="I7" s="401"/>
      <c r="J7" s="401"/>
      <c r="K7" s="401"/>
      <c r="L7" s="401"/>
      <c r="M7" s="401"/>
      <c r="N7" s="401"/>
      <c r="O7" s="402" t="s">
        <v>167</v>
      </c>
      <c r="P7" s="402"/>
    </row>
    <row r="8" spans="1:16" ht="24" customHeight="1" x14ac:dyDescent="0.2">
      <c r="A8" s="103"/>
      <c r="B8" s="396"/>
      <c r="C8" s="396"/>
      <c r="D8" s="399"/>
      <c r="E8" s="5"/>
      <c r="F8" s="401" t="s">
        <v>166</v>
      </c>
      <c r="G8" s="401"/>
      <c r="H8" s="320"/>
      <c r="I8" s="401" t="s">
        <v>165</v>
      </c>
      <c r="J8" s="401"/>
      <c r="K8" s="59"/>
      <c r="L8" s="401" t="s">
        <v>164</v>
      </c>
      <c r="M8" s="401"/>
      <c r="O8" s="403"/>
      <c r="P8" s="403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4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206795.536884114</v>
      </c>
      <c r="E11" s="52"/>
      <c r="F11" s="344">
        <v>159522.90089466001</v>
      </c>
      <c r="G11" s="344">
        <v>0.40784064990000002</v>
      </c>
      <c r="H11" s="52"/>
      <c r="I11" s="344">
        <v>156252.122535881</v>
      </c>
      <c r="J11" s="344">
        <v>0.40733503720000003</v>
      </c>
      <c r="K11" s="53"/>
      <c r="L11" s="344">
        <v>47040.786282062298</v>
      </c>
      <c r="M11" s="344">
        <v>0.19216861330000001</v>
      </c>
      <c r="N11" s="52"/>
      <c r="O11" s="344">
        <v>108948.96866392301</v>
      </c>
      <c r="P11" s="344">
        <v>0.38755290660000002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7637.9279614702</v>
      </c>
      <c r="E13" s="54"/>
      <c r="F13" s="345">
        <v>6136.5543812798996</v>
      </c>
      <c r="G13" s="345">
        <v>1.7150203495</v>
      </c>
      <c r="H13" s="54"/>
      <c r="I13" s="345">
        <v>6012.6671185844998</v>
      </c>
      <c r="J13" s="345">
        <v>1.5821094941</v>
      </c>
      <c r="K13" s="53"/>
      <c r="L13" s="345">
        <v>1837.0592950718001</v>
      </c>
      <c r="M13" s="345">
        <v>0.68712494950000003</v>
      </c>
      <c r="N13" s="54"/>
      <c r="O13" s="345">
        <v>4741.1769197629001</v>
      </c>
      <c r="P13" s="345">
        <v>1.6028113667999999</v>
      </c>
    </row>
    <row r="14" spans="1:16" ht="12.75" customHeight="1" x14ac:dyDescent="0.2">
      <c r="A14" s="107"/>
      <c r="B14" s="29" t="s">
        <v>6</v>
      </c>
      <c r="D14" s="345">
        <v>25570.454135712898</v>
      </c>
      <c r="E14" s="54"/>
      <c r="F14" s="345">
        <v>21087.3927336421</v>
      </c>
      <c r="G14" s="345">
        <v>1.8756091064</v>
      </c>
      <c r="H14" s="54"/>
      <c r="I14" s="345">
        <v>20040.6129083263</v>
      </c>
      <c r="J14" s="345">
        <v>1.9765752054000001</v>
      </c>
      <c r="K14" s="53"/>
      <c r="L14" s="345">
        <v>8091.2584702412996</v>
      </c>
      <c r="M14" s="345">
        <v>1.0415623430000001</v>
      </c>
      <c r="N14" s="54"/>
      <c r="O14" s="345">
        <v>14853.1473042738</v>
      </c>
      <c r="P14" s="345">
        <v>1.8448519484999999</v>
      </c>
    </row>
    <row r="15" spans="1:16" ht="12.75" customHeight="1" x14ac:dyDescent="0.2">
      <c r="A15" s="104"/>
      <c r="B15" s="29" t="s">
        <v>7</v>
      </c>
      <c r="D15" s="345">
        <v>6921.5173755747001</v>
      </c>
      <c r="E15" s="54"/>
      <c r="F15" s="345">
        <v>6606.9288338009001</v>
      </c>
      <c r="G15" s="345">
        <v>2.3007821104000001</v>
      </c>
      <c r="H15" s="54"/>
      <c r="I15" s="345">
        <v>6032.0709498957003</v>
      </c>
      <c r="J15" s="345">
        <v>2.0790558373999999</v>
      </c>
      <c r="K15" s="53"/>
      <c r="L15" s="345">
        <v>1376.9261812156001</v>
      </c>
      <c r="M15" s="345">
        <v>0.92628380099999996</v>
      </c>
      <c r="N15" s="54"/>
      <c r="O15" s="345">
        <v>2728.1665172751</v>
      </c>
      <c r="P15" s="345">
        <v>1.9476433857</v>
      </c>
    </row>
    <row r="16" spans="1:16" ht="12.75" customHeight="1" x14ac:dyDescent="0.2">
      <c r="A16" s="104"/>
      <c r="B16" s="29" t="s">
        <v>8</v>
      </c>
      <c r="D16" s="345">
        <v>8627.7534504734995</v>
      </c>
      <c r="E16" s="54"/>
      <c r="F16" s="345">
        <v>7718.5778307645996</v>
      </c>
      <c r="G16" s="345">
        <v>1.3091048609</v>
      </c>
      <c r="H16" s="54"/>
      <c r="I16" s="345">
        <v>7579.5790807433996</v>
      </c>
      <c r="J16" s="345">
        <v>1.405727001</v>
      </c>
      <c r="K16" s="53"/>
      <c r="L16" s="345">
        <v>2176.4580795870002</v>
      </c>
      <c r="M16" s="345">
        <v>1.0407441528000001</v>
      </c>
      <c r="N16" s="54"/>
      <c r="O16" s="345">
        <v>2187.9633449869002</v>
      </c>
      <c r="P16" s="345">
        <v>1.0797471315</v>
      </c>
    </row>
    <row r="17" spans="1:16" ht="12.75" customHeight="1" x14ac:dyDescent="0.2">
      <c r="A17" s="104"/>
      <c r="B17" s="29" t="s">
        <v>9</v>
      </c>
      <c r="D17" s="346">
        <v>15872.674300118</v>
      </c>
      <c r="E17" s="54"/>
      <c r="F17" s="346">
        <v>14275.385612877801</v>
      </c>
      <c r="G17" s="346">
        <v>1.7779863623000001</v>
      </c>
      <c r="H17" s="54"/>
      <c r="I17" s="346">
        <v>13013.337463367399</v>
      </c>
      <c r="J17" s="346">
        <v>1.6254498307</v>
      </c>
      <c r="K17" s="53"/>
      <c r="L17" s="346">
        <v>5887.0293555298003</v>
      </c>
      <c r="M17" s="346">
        <v>0.90031042100000003</v>
      </c>
      <c r="N17" s="54"/>
      <c r="O17" s="346">
        <v>11202.4681838005</v>
      </c>
      <c r="P17" s="346">
        <v>1.5793224081999999</v>
      </c>
    </row>
    <row r="18" spans="1:16" ht="12.75" customHeight="1" x14ac:dyDescent="0.2">
      <c r="A18" s="108"/>
      <c r="B18" s="29" t="s">
        <v>10</v>
      </c>
      <c r="D18" s="346">
        <v>6482.4937291401002</v>
      </c>
      <c r="E18" s="54"/>
      <c r="F18" s="346">
        <v>4716.2049101243001</v>
      </c>
      <c r="G18" s="346">
        <v>2.2873919527000002</v>
      </c>
      <c r="H18" s="54"/>
      <c r="I18" s="346">
        <v>4264.3154150511</v>
      </c>
      <c r="J18" s="346">
        <v>2.1430855838</v>
      </c>
      <c r="K18" s="53"/>
      <c r="L18" s="346">
        <v>1260.2230423517001</v>
      </c>
      <c r="M18" s="346">
        <v>0.849474858</v>
      </c>
      <c r="N18" s="54"/>
      <c r="O18" s="346">
        <v>3760.5569476818</v>
      </c>
      <c r="P18" s="346">
        <v>2.2924810628999999</v>
      </c>
    </row>
    <row r="19" spans="1:16" ht="12.75" customHeight="1" x14ac:dyDescent="0.2">
      <c r="A19" s="108"/>
      <c r="B19" s="29" t="s">
        <v>11</v>
      </c>
      <c r="D19" s="345">
        <v>53287.367466882897</v>
      </c>
      <c r="E19" s="54"/>
      <c r="F19" s="345">
        <v>48955.442608676502</v>
      </c>
      <c r="G19" s="345">
        <v>1.4197335281000001</v>
      </c>
      <c r="H19" s="54"/>
      <c r="I19" s="345">
        <v>47466.524345615398</v>
      </c>
      <c r="J19" s="345">
        <v>1.3873038258999999</v>
      </c>
      <c r="K19" s="53"/>
      <c r="L19" s="345">
        <v>9671.9491845338998</v>
      </c>
      <c r="M19" s="345">
        <v>0.81128144489999998</v>
      </c>
      <c r="N19" s="54"/>
      <c r="O19" s="345">
        <v>11530.181322149399</v>
      </c>
      <c r="P19" s="345">
        <v>1.0563930320999999</v>
      </c>
    </row>
    <row r="20" spans="1:16" s="2" customFormat="1" ht="12.75" customHeight="1" x14ac:dyDescent="0.2">
      <c r="A20" s="109"/>
      <c r="B20" s="29" t="s">
        <v>12</v>
      </c>
      <c r="C20" s="1"/>
      <c r="D20" s="345">
        <v>21640.5052695741</v>
      </c>
      <c r="E20" s="54"/>
      <c r="F20" s="345">
        <v>17008.013001795</v>
      </c>
      <c r="G20" s="345">
        <v>1.7386000233000001</v>
      </c>
      <c r="H20" s="54"/>
      <c r="I20" s="345">
        <v>16443.839287063001</v>
      </c>
      <c r="J20" s="345">
        <v>1.6718753347999999</v>
      </c>
      <c r="K20" s="53"/>
      <c r="L20" s="345">
        <v>4519.4368686279004</v>
      </c>
      <c r="M20" s="345">
        <v>0.55591594460000004</v>
      </c>
      <c r="N20" s="54"/>
      <c r="O20" s="345">
        <v>16444.948958261801</v>
      </c>
      <c r="P20" s="345">
        <v>1.7414942489</v>
      </c>
    </row>
    <row r="21" spans="1:16" s="2" customFormat="1" ht="12.75" customHeight="1" x14ac:dyDescent="0.2">
      <c r="A21" s="109"/>
      <c r="B21" s="29" t="s">
        <v>13</v>
      </c>
      <c r="C21" s="1"/>
      <c r="D21" s="345">
        <v>48008.948099637397</v>
      </c>
      <c r="E21" s="54"/>
      <c r="F21" s="345">
        <v>30620.433494397199</v>
      </c>
      <c r="G21" s="345">
        <v>1.8113040684999999</v>
      </c>
      <c r="H21" s="54"/>
      <c r="I21" s="345">
        <v>33272.119415851601</v>
      </c>
      <c r="J21" s="345">
        <v>1.8034074628000001</v>
      </c>
      <c r="K21" s="53"/>
      <c r="L21" s="345">
        <v>9213.1702414438005</v>
      </c>
      <c r="M21" s="345">
        <v>0.65689495419999999</v>
      </c>
      <c r="N21" s="54"/>
      <c r="O21" s="345">
        <v>34146.904980265099</v>
      </c>
      <c r="P21" s="345">
        <v>1.8937039045999999</v>
      </c>
    </row>
    <row r="22" spans="1:16" s="2" customFormat="1" ht="12.75" customHeight="1" x14ac:dyDescent="0.2">
      <c r="A22" s="109"/>
      <c r="B22" s="29" t="s">
        <v>14</v>
      </c>
      <c r="C22" s="1"/>
      <c r="D22" s="345">
        <v>11831.527299883401</v>
      </c>
      <c r="E22" s="54"/>
      <c r="F22" s="345">
        <v>10453.821005026601</v>
      </c>
      <c r="G22" s="345">
        <v>1.7732417742</v>
      </c>
      <c r="H22" s="54"/>
      <c r="I22" s="345">
        <v>9130.3066460777009</v>
      </c>
      <c r="J22" s="345">
        <v>1.6941545811000001</v>
      </c>
      <c r="K22" s="53"/>
      <c r="L22" s="345">
        <v>2863.9684711627001</v>
      </c>
      <c r="M22" s="345">
        <v>0.73867752639999995</v>
      </c>
      <c r="N22" s="54"/>
      <c r="O22" s="345">
        <v>7032.4380314023001</v>
      </c>
      <c r="P22" s="345">
        <v>1.7057796359999999</v>
      </c>
    </row>
    <row r="23" spans="1:16" s="2" customFormat="1" ht="12.75" customHeight="1" x14ac:dyDescent="0.2">
      <c r="A23" s="109"/>
      <c r="B23" s="29" t="s">
        <v>15</v>
      </c>
      <c r="C23" s="1"/>
      <c r="D23" s="345">
        <v>36073.567298552101</v>
      </c>
      <c r="E23" s="54"/>
      <c r="F23" s="345">
        <v>27595.6235634566</v>
      </c>
      <c r="G23" s="345">
        <v>1.6586689611000001</v>
      </c>
      <c r="H23" s="54"/>
      <c r="I23" s="345">
        <v>28042.2687998121</v>
      </c>
      <c r="J23" s="345">
        <v>1.7116729331</v>
      </c>
      <c r="K23" s="53"/>
      <c r="L23" s="345">
        <v>5700.7116855752001</v>
      </c>
      <c r="M23" s="345">
        <v>0.49712620800000001</v>
      </c>
      <c r="N23" s="54"/>
      <c r="O23" s="345">
        <v>21560.542836222299</v>
      </c>
      <c r="P23" s="345">
        <v>1.5908668464</v>
      </c>
    </row>
    <row r="24" spans="1:16" s="2" customFormat="1" ht="12.75" customHeight="1" x14ac:dyDescent="0.2">
      <c r="A24" s="109"/>
      <c r="B24" s="29" t="s">
        <v>16</v>
      </c>
      <c r="C24" s="1"/>
      <c r="D24" s="345">
        <v>23584.9612443695</v>
      </c>
      <c r="E24" s="54"/>
      <c r="F24" s="345">
        <v>21984.084873207201</v>
      </c>
      <c r="G24" s="345">
        <v>1.4409811625</v>
      </c>
      <c r="H24" s="54"/>
      <c r="I24" s="345">
        <v>20232.042415721298</v>
      </c>
      <c r="J24" s="345">
        <v>1.4564661330999999</v>
      </c>
      <c r="K24" s="53"/>
      <c r="L24" s="345">
        <v>6000.8433497922997</v>
      </c>
      <c r="M24" s="345">
        <v>0.82728437779999997</v>
      </c>
      <c r="N24" s="54"/>
      <c r="O24" s="345">
        <v>8274.5121215349009</v>
      </c>
      <c r="P24" s="345">
        <v>1.1048851617</v>
      </c>
    </row>
    <row r="25" spans="1:16" s="2" customFormat="1" ht="12.75" customHeight="1" x14ac:dyDescent="0.2">
      <c r="A25" s="109"/>
      <c r="B25" s="29" t="s">
        <v>17</v>
      </c>
      <c r="C25" s="1"/>
      <c r="D25" s="345">
        <v>21482.932276223099</v>
      </c>
      <c r="E25" s="54"/>
      <c r="F25" s="345">
        <v>17973.793132345399</v>
      </c>
      <c r="G25" s="345">
        <v>1.5679486642</v>
      </c>
      <c r="H25" s="54"/>
      <c r="I25" s="345">
        <v>19026.952349290201</v>
      </c>
      <c r="J25" s="345">
        <v>1.8279794127</v>
      </c>
      <c r="K25" s="53"/>
      <c r="L25" s="345">
        <v>4007.8490117493998</v>
      </c>
      <c r="M25" s="345">
        <v>0.58450192599999995</v>
      </c>
      <c r="N25" s="54"/>
      <c r="O25" s="345">
        <v>10983.386584566801</v>
      </c>
      <c r="P25" s="345">
        <v>1.5071688115999999</v>
      </c>
    </row>
    <row r="26" spans="1:16" s="2" customFormat="1" ht="12.75" customHeight="1" x14ac:dyDescent="0.2">
      <c r="A26" s="109"/>
      <c r="B26" s="29" t="s">
        <v>18</v>
      </c>
      <c r="C26" s="1"/>
      <c r="D26" s="345">
        <v>46119.986599577402</v>
      </c>
      <c r="E26" s="54"/>
      <c r="F26" s="345">
        <v>38816.038234293301</v>
      </c>
      <c r="G26" s="345">
        <v>2.0898140875000002</v>
      </c>
      <c r="H26" s="54"/>
      <c r="I26" s="345">
        <v>38405.485969295201</v>
      </c>
      <c r="J26" s="345">
        <v>2.1021286146999998</v>
      </c>
      <c r="K26" s="53"/>
      <c r="L26" s="345">
        <v>15289.807807172099</v>
      </c>
      <c r="M26" s="345">
        <v>1.1148385540000001</v>
      </c>
      <c r="N26" s="54"/>
      <c r="O26" s="345">
        <v>28379.759670789499</v>
      </c>
      <c r="P26" s="345">
        <v>1.9475607708</v>
      </c>
    </row>
    <row r="27" spans="1:16" s="2" customFormat="1" ht="12.75" customHeight="1" x14ac:dyDescent="0.2">
      <c r="A27" s="109"/>
      <c r="B27" s="29" t="s">
        <v>19</v>
      </c>
      <c r="C27" s="1"/>
      <c r="D27" s="345">
        <v>131204.09246898501</v>
      </c>
      <c r="E27" s="54"/>
      <c r="F27" s="345">
        <v>89511.655408876803</v>
      </c>
      <c r="G27" s="345">
        <v>1.9012405593999999</v>
      </c>
      <c r="H27" s="54"/>
      <c r="I27" s="345">
        <v>87674.165881369103</v>
      </c>
      <c r="J27" s="345">
        <v>1.8714969180000001</v>
      </c>
      <c r="K27" s="53"/>
      <c r="L27" s="345">
        <v>24248.561821407999</v>
      </c>
      <c r="M27" s="345">
        <v>0.83748488430000001</v>
      </c>
      <c r="N27" s="54"/>
      <c r="O27" s="345">
        <v>72287.747310518404</v>
      </c>
      <c r="P27" s="345">
        <v>1.9394900182999999</v>
      </c>
    </row>
    <row r="28" spans="1:16" s="2" customFormat="1" ht="12.75" customHeight="1" x14ac:dyDescent="0.2">
      <c r="A28" s="109"/>
      <c r="B28" s="29" t="s">
        <v>20</v>
      </c>
      <c r="C28" s="1"/>
      <c r="D28" s="345">
        <v>34800.277328721597</v>
      </c>
      <c r="E28" s="54"/>
      <c r="F28" s="345">
        <v>24721.513189547401</v>
      </c>
      <c r="G28" s="345">
        <v>2.0858774733000001</v>
      </c>
      <c r="H28" s="54"/>
      <c r="I28" s="345">
        <v>26243.076619568001</v>
      </c>
      <c r="J28" s="345">
        <v>1.9284526087</v>
      </c>
      <c r="K28" s="53"/>
      <c r="L28" s="345">
        <v>6995.7840476602996</v>
      </c>
      <c r="M28" s="345">
        <v>0.80052553999999998</v>
      </c>
      <c r="N28" s="54"/>
      <c r="O28" s="345">
        <v>19863.497903692802</v>
      </c>
      <c r="P28" s="345">
        <v>1.885427607</v>
      </c>
    </row>
    <row r="29" spans="1:16" s="2" customFormat="1" ht="12.75" customHeight="1" x14ac:dyDescent="0.2">
      <c r="A29" s="109"/>
      <c r="B29" s="29" t="s">
        <v>21</v>
      </c>
      <c r="C29" s="1"/>
      <c r="D29" s="345">
        <v>18361.487672503201</v>
      </c>
      <c r="E29" s="54"/>
      <c r="F29" s="345">
        <v>11731.857875993301</v>
      </c>
      <c r="G29" s="345">
        <v>2.0034916170999999</v>
      </c>
      <c r="H29" s="54"/>
      <c r="I29" s="345">
        <v>12001.585664766901</v>
      </c>
      <c r="J29" s="345">
        <v>1.9817857242000001</v>
      </c>
      <c r="K29" s="53"/>
      <c r="L29" s="345">
        <v>4645.3684810640998</v>
      </c>
      <c r="M29" s="345">
        <v>1.0163699262000001</v>
      </c>
      <c r="N29" s="54"/>
      <c r="O29" s="345">
        <v>9582.0537668851994</v>
      </c>
      <c r="P29" s="345">
        <v>1.8447107603999999</v>
      </c>
    </row>
    <row r="30" spans="1:16" s="2" customFormat="1" ht="12.75" customHeight="1" x14ac:dyDescent="0.2">
      <c r="A30" s="109"/>
      <c r="B30" s="29" t="s">
        <v>22</v>
      </c>
      <c r="C30" s="1"/>
      <c r="D30" s="345">
        <v>8434.7008783248002</v>
      </c>
      <c r="E30" s="54"/>
      <c r="F30" s="345">
        <v>7127.3348183506996</v>
      </c>
      <c r="G30" s="345">
        <v>1.7682503895999999</v>
      </c>
      <c r="H30" s="54"/>
      <c r="I30" s="345">
        <v>7553.4963226764003</v>
      </c>
      <c r="J30" s="345">
        <v>2.0883605642999998</v>
      </c>
      <c r="K30" s="53"/>
      <c r="L30" s="345">
        <v>2021.2695686897</v>
      </c>
      <c r="M30" s="345">
        <v>0.79049934200000005</v>
      </c>
      <c r="N30" s="54"/>
      <c r="O30" s="345">
        <v>4949.7282289639998</v>
      </c>
      <c r="P30" s="345">
        <v>1.7958884969</v>
      </c>
    </row>
    <row r="31" spans="1:16" s="2" customFormat="1" ht="12.75" customHeight="1" x14ac:dyDescent="0.2">
      <c r="A31" s="109"/>
      <c r="B31" s="29" t="s">
        <v>23</v>
      </c>
      <c r="C31" s="1"/>
      <c r="D31" s="345">
        <v>37074.547180637703</v>
      </c>
      <c r="E31" s="54"/>
      <c r="F31" s="345">
        <v>30269.837854688602</v>
      </c>
      <c r="G31" s="345">
        <v>1.9035675343</v>
      </c>
      <c r="H31" s="54"/>
      <c r="I31" s="345">
        <v>25484.150898088199</v>
      </c>
      <c r="J31" s="345">
        <v>1.8427068574000001</v>
      </c>
      <c r="K31" s="53"/>
      <c r="L31" s="345">
        <v>6785.9187680851001</v>
      </c>
      <c r="M31" s="345">
        <v>0.58518320950000002</v>
      </c>
      <c r="N31" s="54"/>
      <c r="O31" s="345">
        <v>25427.331219522599</v>
      </c>
      <c r="P31" s="345">
        <v>1.7604131905</v>
      </c>
    </row>
    <row r="32" spans="1:16" s="2" customFormat="1" ht="12.75" customHeight="1" x14ac:dyDescent="0.2">
      <c r="A32" s="109"/>
      <c r="B32" s="29" t="s">
        <v>24</v>
      </c>
      <c r="C32" s="1"/>
      <c r="D32" s="345">
        <v>42547.144422326899</v>
      </c>
      <c r="E32" s="54"/>
      <c r="F32" s="345">
        <v>35080.580064397996</v>
      </c>
      <c r="G32" s="345">
        <v>1.1750536125</v>
      </c>
      <c r="H32" s="54"/>
      <c r="I32" s="345">
        <v>35530.092967471901</v>
      </c>
      <c r="J32" s="345">
        <v>1.597897167</v>
      </c>
      <c r="K32" s="53"/>
      <c r="L32" s="345">
        <v>9295.5131372483993</v>
      </c>
      <c r="M32" s="345">
        <v>0.89938857409999995</v>
      </c>
      <c r="N32" s="54"/>
      <c r="O32" s="345">
        <v>11221.5581560994</v>
      </c>
      <c r="P32" s="345">
        <v>1.1221007755000001</v>
      </c>
    </row>
    <row r="33" spans="1:16" s="2" customFormat="1" ht="12.75" customHeight="1" x14ac:dyDescent="0.2">
      <c r="A33" s="109"/>
      <c r="B33" s="29" t="s">
        <v>25</v>
      </c>
      <c r="C33" s="1"/>
      <c r="D33" s="345">
        <v>46002.280336427299</v>
      </c>
      <c r="E33" s="54"/>
      <c r="F33" s="345">
        <v>38982.740972567</v>
      </c>
      <c r="G33" s="345">
        <v>1.8369995032999999</v>
      </c>
      <c r="H33" s="54"/>
      <c r="I33" s="345">
        <v>37222.458169636302</v>
      </c>
      <c r="J33" s="345">
        <v>1.8627039810999999</v>
      </c>
      <c r="K33" s="53"/>
      <c r="L33" s="345">
        <v>17103.3051953906</v>
      </c>
      <c r="M33" s="345">
        <v>1.3124995897</v>
      </c>
      <c r="N33" s="54"/>
      <c r="O33" s="345">
        <v>19643.2085286781</v>
      </c>
      <c r="P33" s="345">
        <v>1.5617880869</v>
      </c>
    </row>
    <row r="34" spans="1:16" s="2" customFormat="1" ht="12.75" customHeight="1" x14ac:dyDescent="0.2">
      <c r="A34" s="109"/>
      <c r="B34" s="29" t="s">
        <v>26</v>
      </c>
      <c r="C34" s="1"/>
      <c r="D34" s="345">
        <v>27228.768426438201</v>
      </c>
      <c r="E34" s="54"/>
      <c r="F34" s="345">
        <v>20449.652444040599</v>
      </c>
      <c r="G34" s="345">
        <v>2.2354270813000001</v>
      </c>
      <c r="H34" s="54"/>
      <c r="I34" s="345">
        <v>19297.075131339901</v>
      </c>
      <c r="J34" s="345">
        <v>2.1537483298</v>
      </c>
      <c r="K34" s="53"/>
      <c r="L34" s="345">
        <v>4734.8659647569002</v>
      </c>
      <c r="M34" s="345">
        <v>0.86036930919999999</v>
      </c>
      <c r="N34" s="54"/>
      <c r="O34" s="345">
        <v>11736.3548793546</v>
      </c>
      <c r="P34" s="345">
        <v>2.0183056612999999</v>
      </c>
    </row>
    <row r="35" spans="1:16" s="2" customFormat="1" ht="12.75" customHeight="1" x14ac:dyDescent="0.2">
      <c r="A35" s="109"/>
      <c r="B35" s="29" t="s">
        <v>27</v>
      </c>
      <c r="C35" s="1"/>
      <c r="D35" s="345">
        <v>16590.224099263702</v>
      </c>
      <c r="E35" s="54"/>
      <c r="F35" s="345">
        <v>12299.550516318601</v>
      </c>
      <c r="G35" s="345">
        <v>2.3006185644000001</v>
      </c>
      <c r="H35" s="54"/>
      <c r="I35" s="345">
        <v>11237.793673538101</v>
      </c>
      <c r="J35" s="345">
        <v>2.7766711467</v>
      </c>
      <c r="K35" s="53"/>
      <c r="L35" s="345">
        <v>6864.4097237123997</v>
      </c>
      <c r="M35" s="345">
        <v>1.8230290034000001</v>
      </c>
      <c r="N35" s="54"/>
      <c r="O35" s="345">
        <v>10136.7652000451</v>
      </c>
      <c r="P35" s="345">
        <v>2.3977314376000001</v>
      </c>
    </row>
    <row r="36" spans="1:16" s="2" customFormat="1" ht="12.75" customHeight="1" x14ac:dyDescent="0.2">
      <c r="A36" s="109"/>
      <c r="B36" s="29" t="s">
        <v>28</v>
      </c>
      <c r="C36" s="1"/>
      <c r="D36" s="345">
        <v>14882.082672734099</v>
      </c>
      <c r="E36" s="54"/>
      <c r="F36" s="345">
        <v>15198.434086155999</v>
      </c>
      <c r="G36" s="345">
        <v>1.7716289784000001</v>
      </c>
      <c r="H36" s="54"/>
      <c r="I36" s="345">
        <v>13735.367492429101</v>
      </c>
      <c r="J36" s="345">
        <v>1.7673942286</v>
      </c>
      <c r="K36" s="53"/>
      <c r="L36" s="345">
        <v>4347.3637685589001</v>
      </c>
      <c r="M36" s="345">
        <v>0.73529673350000002</v>
      </c>
      <c r="N36" s="54"/>
      <c r="O36" s="345">
        <v>9264.7754662469997</v>
      </c>
      <c r="P36" s="345">
        <v>1.5788133954000001</v>
      </c>
    </row>
    <row r="37" spans="1:16" s="2" customFormat="1" ht="12.75" customHeight="1" x14ac:dyDescent="0.2">
      <c r="A37" s="109"/>
      <c r="B37" s="29" t="s">
        <v>29</v>
      </c>
      <c r="C37" s="1"/>
      <c r="D37" s="345">
        <v>17697.139692004599</v>
      </c>
      <c r="E37" s="54"/>
      <c r="F37" s="345">
        <v>15254.878368695399</v>
      </c>
      <c r="G37" s="345">
        <v>1.6405518565999999</v>
      </c>
      <c r="H37" s="54"/>
      <c r="I37" s="345">
        <v>14910.956442368</v>
      </c>
      <c r="J37" s="345">
        <v>1.6724256861</v>
      </c>
      <c r="K37" s="53"/>
      <c r="L37" s="345">
        <v>5621.2730822990998</v>
      </c>
      <c r="M37" s="345">
        <v>0.85685373200000003</v>
      </c>
      <c r="N37" s="54"/>
      <c r="O37" s="345">
        <v>10071.7831167764</v>
      </c>
      <c r="P37" s="345">
        <v>1.3776639065</v>
      </c>
    </row>
    <row r="38" spans="1:16" s="2" customFormat="1" ht="12.75" customHeight="1" x14ac:dyDescent="0.2">
      <c r="A38" s="109"/>
      <c r="B38" s="29" t="s">
        <v>30</v>
      </c>
      <c r="C38" s="1"/>
      <c r="D38" s="345">
        <v>20296.342988481301</v>
      </c>
      <c r="E38" s="54"/>
      <c r="F38" s="345">
        <v>17104.485967601398</v>
      </c>
      <c r="G38" s="345">
        <v>1.7309597174</v>
      </c>
      <c r="H38" s="54"/>
      <c r="I38" s="345">
        <v>17593.079894973202</v>
      </c>
      <c r="J38" s="345">
        <v>1.6359185314</v>
      </c>
      <c r="K38" s="53"/>
      <c r="L38" s="345">
        <v>6639.9039162244999</v>
      </c>
      <c r="M38" s="345">
        <v>1.0423409455999999</v>
      </c>
      <c r="N38" s="54"/>
      <c r="O38" s="345">
        <v>9717.1604396408002</v>
      </c>
      <c r="P38" s="345">
        <v>1.4706185973999999</v>
      </c>
    </row>
    <row r="39" spans="1:16" s="2" customFormat="1" ht="12.75" customHeight="1" x14ac:dyDescent="0.2">
      <c r="A39" s="109"/>
      <c r="B39" s="29" t="s">
        <v>31</v>
      </c>
      <c r="C39" s="1"/>
      <c r="D39" s="345">
        <v>20074.553062652802</v>
      </c>
      <c r="E39" s="54"/>
      <c r="F39" s="345">
        <v>18014.025606228101</v>
      </c>
      <c r="G39" s="345">
        <v>1.2600317445</v>
      </c>
      <c r="H39" s="54"/>
      <c r="I39" s="345">
        <v>17186.063627972799</v>
      </c>
      <c r="J39" s="345">
        <v>1.1080843584</v>
      </c>
      <c r="K39" s="53"/>
      <c r="L39" s="345">
        <v>5847.4379677638999</v>
      </c>
      <c r="M39" s="345">
        <v>1.0350325502</v>
      </c>
      <c r="N39" s="54"/>
      <c r="O39" s="345">
        <v>5169.7275763241996</v>
      </c>
      <c r="P39" s="345">
        <v>0.90622211799999997</v>
      </c>
    </row>
    <row r="40" spans="1:16" s="2" customFormat="1" ht="12.75" customHeight="1" x14ac:dyDescent="0.2">
      <c r="A40" s="109"/>
      <c r="B40" s="29" t="s">
        <v>32</v>
      </c>
      <c r="C40" s="1"/>
      <c r="D40" s="345">
        <v>18931.826991932499</v>
      </c>
      <c r="E40" s="54"/>
      <c r="F40" s="345">
        <v>17063.715859118402</v>
      </c>
      <c r="G40" s="345">
        <v>1.8275658416</v>
      </c>
      <c r="H40" s="54"/>
      <c r="I40" s="345">
        <v>15891.304752618</v>
      </c>
      <c r="J40" s="345">
        <v>1.6771672912</v>
      </c>
      <c r="K40" s="53"/>
      <c r="L40" s="345">
        <v>6285.9814415976998</v>
      </c>
      <c r="M40" s="345">
        <v>0.85135685959999996</v>
      </c>
      <c r="N40" s="54"/>
      <c r="O40" s="345">
        <v>13116.512055941799</v>
      </c>
      <c r="P40" s="345">
        <v>1.6873326036</v>
      </c>
    </row>
    <row r="41" spans="1:16" s="2" customFormat="1" ht="12.75" customHeight="1" x14ac:dyDescent="0.2">
      <c r="A41" s="109"/>
      <c r="B41" s="29" t="s">
        <v>33</v>
      </c>
      <c r="C41" s="1"/>
      <c r="D41" s="345">
        <v>7742.5499765431996</v>
      </c>
      <c r="E41" s="54"/>
      <c r="F41" s="345">
        <v>6415.2832162131999</v>
      </c>
      <c r="G41" s="345">
        <v>1.4744028464000001</v>
      </c>
      <c r="H41" s="54"/>
      <c r="I41" s="345">
        <v>6020.3919501924001</v>
      </c>
      <c r="J41" s="345">
        <v>1.3933641413</v>
      </c>
      <c r="K41" s="53"/>
      <c r="L41" s="345">
        <v>2804.7262016283998</v>
      </c>
      <c r="M41" s="345">
        <v>1.0103684829999999</v>
      </c>
      <c r="N41" s="54"/>
      <c r="O41" s="345">
        <v>3265.8918490484998</v>
      </c>
      <c r="P41" s="345">
        <v>1.1415106734</v>
      </c>
    </row>
    <row r="42" spans="1:16" s="2" customFormat="1" ht="12.75" customHeight="1" x14ac:dyDescent="0.2">
      <c r="A42" s="109"/>
      <c r="B42" s="29" t="s">
        <v>34</v>
      </c>
      <c r="C42" s="1"/>
      <c r="D42" s="345">
        <v>62857.6709122908</v>
      </c>
      <c r="E42" s="54"/>
      <c r="F42" s="345">
        <v>54577.250828100601</v>
      </c>
      <c r="G42" s="345">
        <v>1.6942487642999999</v>
      </c>
      <c r="H42" s="54"/>
      <c r="I42" s="345">
        <v>53548.962585618698</v>
      </c>
      <c r="J42" s="345">
        <v>1.6368447167</v>
      </c>
      <c r="K42" s="53"/>
      <c r="L42" s="345">
        <v>12970.427329567299</v>
      </c>
      <c r="M42" s="345">
        <v>0.74233453270000005</v>
      </c>
      <c r="N42" s="54"/>
      <c r="O42" s="345">
        <v>25918.5977933389</v>
      </c>
      <c r="P42" s="345">
        <v>1.4346144436999999</v>
      </c>
    </row>
    <row r="43" spans="1:16" s="2" customFormat="1" ht="12.75" customHeight="1" x14ac:dyDescent="0.2">
      <c r="A43" s="109"/>
      <c r="B43" s="29" t="s">
        <v>35</v>
      </c>
      <c r="C43" s="1"/>
      <c r="D43" s="345">
        <v>19576.847036778501</v>
      </c>
      <c r="E43" s="54"/>
      <c r="F43" s="345">
        <v>17124.528343275</v>
      </c>
      <c r="G43" s="345">
        <v>1.6135232159999999</v>
      </c>
      <c r="H43" s="54"/>
      <c r="I43" s="345">
        <v>17438.9080023805</v>
      </c>
      <c r="J43" s="345">
        <v>1.6654289868000001</v>
      </c>
      <c r="K43" s="53"/>
      <c r="L43" s="345">
        <v>8013.7762832571998</v>
      </c>
      <c r="M43" s="345">
        <v>1.3350272691</v>
      </c>
      <c r="N43" s="54"/>
      <c r="O43" s="345">
        <v>6774.3372597130001</v>
      </c>
      <c r="P43" s="345">
        <v>1.3028221086</v>
      </c>
    </row>
    <row r="44" spans="1:16" s="2" customFormat="1" ht="12.75" customHeight="1" x14ac:dyDescent="0.2">
      <c r="A44" s="109"/>
      <c r="B44" s="29" t="s">
        <v>36</v>
      </c>
      <c r="C44" s="1"/>
      <c r="D44" s="345">
        <v>13538.356008209001</v>
      </c>
      <c r="E44" s="54"/>
      <c r="F44" s="345">
        <v>9778.5864171575995</v>
      </c>
      <c r="G44" s="345">
        <v>1.8649303679</v>
      </c>
      <c r="H44" s="54"/>
      <c r="I44" s="345">
        <v>10009.237214291799</v>
      </c>
      <c r="J44" s="345">
        <v>2.0658399596999999</v>
      </c>
      <c r="K44" s="53"/>
      <c r="L44" s="345">
        <v>3159.1480595147</v>
      </c>
      <c r="M44" s="345">
        <v>0.85201965850000005</v>
      </c>
      <c r="N44" s="54"/>
      <c r="O44" s="345">
        <v>7258.1565271049003</v>
      </c>
      <c r="P44" s="345">
        <v>1.9011451122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19"/>
      <c r="K45" s="18"/>
      <c r="L45" s="174"/>
      <c r="M45" s="319"/>
      <c r="N45" s="18"/>
      <c r="O45" s="174"/>
      <c r="P45" s="319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18"/>
      <c r="O47" s="314"/>
      <c r="P47" s="185"/>
    </row>
    <row r="48" spans="1:16" s="4" customFormat="1" ht="11.25" x14ac:dyDescent="0.2">
      <c r="A48" s="104"/>
      <c r="B48" s="53" t="s">
        <v>163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15"/>
      <c r="N48" s="55"/>
      <c r="O48" s="314"/>
      <c r="P48" s="185"/>
    </row>
    <row r="49" spans="1:16" s="3" customFormat="1" ht="11.25" x14ac:dyDescent="0.2">
      <c r="A49" s="104"/>
      <c r="B49" s="317" t="s">
        <v>162</v>
      </c>
      <c r="C49" s="58"/>
      <c r="D49" s="316"/>
      <c r="E49" s="316"/>
      <c r="F49" s="316"/>
      <c r="G49" s="187"/>
      <c r="H49" s="65"/>
      <c r="I49" s="316"/>
      <c r="J49" s="187"/>
      <c r="K49" s="58"/>
      <c r="L49" s="65"/>
      <c r="M49" s="315"/>
      <c r="N49" s="58"/>
      <c r="O49" s="314"/>
      <c r="P49" s="313"/>
    </row>
    <row r="50" spans="1:16" s="3" customFormat="1" ht="11.25" x14ac:dyDescent="0.2">
      <c r="A50" s="104"/>
      <c r="B50" s="317" t="s">
        <v>161</v>
      </c>
      <c r="C50" s="58"/>
      <c r="D50" s="316"/>
      <c r="E50" s="316"/>
      <c r="F50" s="316"/>
      <c r="G50" s="187"/>
      <c r="H50" s="65"/>
      <c r="I50" s="316"/>
      <c r="J50" s="187"/>
      <c r="K50" s="58"/>
      <c r="L50" s="65"/>
      <c r="M50" s="315"/>
      <c r="N50" s="58"/>
      <c r="O50" s="314"/>
      <c r="P50" s="313"/>
    </row>
    <row r="51" spans="1:16" s="3" customFormat="1" ht="11.25" x14ac:dyDescent="0.2">
      <c r="A51" s="104"/>
      <c r="B51" s="317" t="s">
        <v>160</v>
      </c>
      <c r="C51" s="58"/>
      <c r="D51" s="316"/>
      <c r="E51" s="316"/>
      <c r="F51" s="316"/>
      <c r="G51" s="187"/>
      <c r="H51" s="65"/>
      <c r="I51" s="316"/>
      <c r="J51" s="187"/>
      <c r="K51" s="58"/>
      <c r="L51" s="65"/>
      <c r="M51" s="315"/>
      <c r="N51" s="58"/>
      <c r="O51" s="314"/>
      <c r="P51" s="313"/>
    </row>
    <row r="52" spans="1:16" s="3" customFormat="1" ht="11.25" x14ac:dyDescent="0.2">
      <c r="A52" s="104"/>
      <c r="B52" s="53" t="s">
        <v>159</v>
      </c>
      <c r="C52" s="58"/>
      <c r="D52" s="316"/>
      <c r="E52" s="316"/>
      <c r="F52" s="316"/>
      <c r="G52" s="187"/>
      <c r="H52" s="65"/>
      <c r="I52" s="316"/>
      <c r="J52" s="187"/>
      <c r="K52" s="58"/>
      <c r="L52" s="65"/>
      <c r="M52" s="315"/>
      <c r="N52" s="58"/>
      <c r="O52" s="314"/>
      <c r="P52" s="313"/>
    </row>
    <row r="53" spans="1:16" s="3" customFormat="1" ht="11.25" x14ac:dyDescent="0.2">
      <c r="A53" s="104"/>
      <c r="B53" s="23" t="s">
        <v>109</v>
      </c>
      <c r="C53" s="58"/>
      <c r="D53" s="316"/>
      <c r="E53" s="316"/>
      <c r="F53" s="316"/>
      <c r="G53" s="187"/>
      <c r="H53" s="65"/>
      <c r="I53" s="316"/>
      <c r="J53" s="187"/>
      <c r="K53" s="58"/>
      <c r="L53" s="65"/>
      <c r="M53" s="315"/>
      <c r="N53" s="58"/>
      <c r="O53" s="314"/>
      <c r="P53" s="313"/>
    </row>
    <row r="54" spans="1:16" s="3" customFormat="1" ht="23.25" customHeight="1" x14ac:dyDescent="0.2">
      <c r="A54" s="104"/>
      <c r="B54" s="391" t="s">
        <v>158</v>
      </c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</row>
    <row r="55" spans="1:16" s="109" customFormat="1" ht="14.25" x14ac:dyDescent="0.2">
      <c r="B55" s="290" t="s">
        <v>150</v>
      </c>
      <c r="D55" s="312"/>
      <c r="F55" s="312"/>
      <c r="G55" s="311"/>
      <c r="I55" s="312"/>
      <c r="J55" s="311"/>
      <c r="L55" s="312"/>
      <c r="M55" s="311"/>
      <c r="O55" s="312"/>
      <c r="P55" s="311"/>
    </row>
    <row r="56" spans="1:16" s="24" customFormat="1" ht="12.75" customHeight="1" x14ac:dyDescent="0.2">
      <c r="A56" s="109"/>
      <c r="D56" s="306"/>
      <c r="F56" s="306"/>
      <c r="G56" s="305"/>
      <c r="I56" s="306"/>
      <c r="J56" s="305"/>
      <c r="K56" s="307"/>
      <c r="L56" s="309"/>
      <c r="M56" s="308"/>
      <c r="N56" s="307"/>
      <c r="O56" s="306"/>
      <c r="P56" s="305"/>
    </row>
    <row r="57" spans="1:16" s="24" customFormat="1" ht="12.75" customHeight="1" x14ac:dyDescent="0.2">
      <c r="A57" s="109"/>
      <c r="D57" s="310"/>
      <c r="F57" s="306"/>
      <c r="G57" s="305"/>
      <c r="I57" s="309"/>
      <c r="J57" s="305"/>
      <c r="K57" s="307"/>
      <c r="L57" s="309"/>
      <c r="M57" s="308"/>
      <c r="N57" s="307"/>
      <c r="O57" s="306"/>
      <c r="P57" s="305"/>
    </row>
    <row r="58" spans="1:16" ht="12.75" customHeight="1" x14ac:dyDescent="0.2">
      <c r="C58" s="304"/>
      <c r="D58" s="303"/>
    </row>
    <row r="59" spans="1:16" ht="12.75" customHeight="1" x14ac:dyDescent="0.2">
      <c r="B59" s="302"/>
      <c r="D59" s="175"/>
    </row>
  </sheetData>
  <mergeCells count="10">
    <mergeCell ref="B54:P54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A4BAE0E1-A819-471C-9EAF-AF858DE2C6D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2A7F-E53C-47B9-852D-553DDD32709E}">
  <sheetPr>
    <pageSetUpPr fitToPage="1"/>
  </sheetPr>
  <dimension ref="A1:AI55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392" t="s">
        <v>180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1"/>
      <c r="S5" s="190" t="s">
        <v>93</v>
      </c>
    </row>
    <row r="6" spans="1:19" ht="6" customHeight="1" x14ac:dyDescent="0.2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06" t="s">
        <v>0</v>
      </c>
      <c r="C7" s="406"/>
      <c r="D7" s="409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</row>
    <row r="8" spans="1:19" ht="32.25" customHeight="1" x14ac:dyDescent="0.2">
      <c r="A8" s="103"/>
      <c r="B8" s="407"/>
      <c r="C8" s="407"/>
      <c r="D8" s="410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</row>
    <row r="9" spans="1:19" ht="15" customHeight="1" x14ac:dyDescent="0.2">
      <c r="A9" s="104"/>
      <c r="B9" s="408"/>
      <c r="C9" s="408"/>
      <c r="D9" s="411"/>
      <c r="E9" s="329"/>
      <c r="F9" s="326" t="s">
        <v>2</v>
      </c>
      <c r="G9" s="325" t="s">
        <v>3</v>
      </c>
      <c r="H9" s="328"/>
      <c r="I9" s="326" t="s">
        <v>2</v>
      </c>
      <c r="J9" s="325" t="s">
        <v>3</v>
      </c>
      <c r="K9" s="327"/>
      <c r="L9" s="326" t="s">
        <v>2</v>
      </c>
      <c r="M9" s="325" t="s">
        <v>3</v>
      </c>
      <c r="N9" s="327"/>
      <c r="O9" s="326" t="s">
        <v>2</v>
      </c>
      <c r="P9" s="325" t="s">
        <v>3</v>
      </c>
      <c r="Q9" s="327"/>
      <c r="R9" s="326" t="s">
        <v>2</v>
      </c>
      <c r="S9" s="325" t="s">
        <v>3</v>
      </c>
    </row>
    <row r="10" spans="1:19" ht="6" customHeight="1" x14ac:dyDescent="0.2">
      <c r="A10" s="105"/>
      <c r="C10" s="36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206795.536884114</v>
      </c>
      <c r="E11" s="52"/>
      <c r="F11" s="344">
        <v>104714.606693511</v>
      </c>
      <c r="G11" s="344">
        <v>0.3708903294</v>
      </c>
      <c r="H11" s="52"/>
      <c r="I11" s="344">
        <v>138475.59987553</v>
      </c>
      <c r="J11" s="344">
        <v>0.47619945460000002</v>
      </c>
      <c r="K11" s="53"/>
      <c r="L11" s="344">
        <v>197699.236013585</v>
      </c>
      <c r="M11" s="344">
        <v>0.34495483770000002</v>
      </c>
      <c r="N11" s="52"/>
      <c r="O11" s="344">
        <v>26867.483105929801</v>
      </c>
      <c r="P11" s="344">
        <v>0.1119116305</v>
      </c>
      <c r="Q11" s="52"/>
      <c r="R11" s="344">
        <v>1193.8814849053999</v>
      </c>
      <c r="S11" s="344">
        <v>4.9964144000000004E-3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345">
        <v>7637.9279614702</v>
      </c>
      <c r="E13" s="54"/>
      <c r="F13" s="345">
        <v>4699.1953205375003</v>
      </c>
      <c r="G13" s="345">
        <v>1.6819410099000001</v>
      </c>
      <c r="H13" s="54"/>
      <c r="I13" s="345">
        <v>7174.9346970244997</v>
      </c>
      <c r="J13" s="345">
        <v>2.0874885199</v>
      </c>
      <c r="K13" s="53"/>
      <c r="L13" s="345">
        <v>7180.4267547523004</v>
      </c>
      <c r="M13" s="345">
        <v>1.8218064378000001</v>
      </c>
      <c r="N13" s="54"/>
      <c r="O13" s="345">
        <v>1106.4331384674999</v>
      </c>
      <c r="P13" s="345">
        <v>0.41966656959999998</v>
      </c>
      <c r="Q13" s="54"/>
      <c r="R13" s="345">
        <v>376.38411231079999</v>
      </c>
      <c r="S13" s="345">
        <v>0.14240784579999999</v>
      </c>
    </row>
    <row r="14" spans="1:19" ht="12.75" customHeight="1" x14ac:dyDescent="0.2">
      <c r="A14" s="107"/>
      <c r="B14" s="29" t="s">
        <v>6</v>
      </c>
      <c r="D14" s="345">
        <v>25570.454135712898</v>
      </c>
      <c r="E14" s="54"/>
      <c r="F14" s="345">
        <v>16806.7206690602</v>
      </c>
      <c r="G14" s="345">
        <v>1.8771522434000001</v>
      </c>
      <c r="H14" s="54"/>
      <c r="I14" s="345">
        <v>22187.974192030899</v>
      </c>
      <c r="J14" s="345">
        <v>1.9401859255</v>
      </c>
      <c r="K14" s="53"/>
      <c r="L14" s="345">
        <v>23887.906958522301</v>
      </c>
      <c r="M14" s="345">
        <v>1.9551196826999999</v>
      </c>
      <c r="N14" s="54"/>
      <c r="O14" s="345">
        <v>3660.2564357921001</v>
      </c>
      <c r="P14" s="345">
        <v>0.49316981059999998</v>
      </c>
      <c r="Q14" s="54"/>
      <c r="R14" s="345">
        <v>0</v>
      </c>
      <c r="S14" s="345">
        <v>0</v>
      </c>
    </row>
    <row r="15" spans="1:19" ht="12.75" customHeight="1" x14ac:dyDescent="0.2">
      <c r="A15" s="104"/>
      <c r="B15" s="29" t="s">
        <v>7</v>
      </c>
      <c r="D15" s="345">
        <v>6921.5173755747001</v>
      </c>
      <c r="E15" s="54"/>
      <c r="F15" s="345">
        <v>3667.3887537400001</v>
      </c>
      <c r="G15" s="345">
        <v>2.3480449091</v>
      </c>
      <c r="H15" s="54"/>
      <c r="I15" s="345">
        <v>5873.1245991055002</v>
      </c>
      <c r="J15" s="345">
        <v>2.5845705363999998</v>
      </c>
      <c r="K15" s="53"/>
      <c r="L15" s="345">
        <v>6659.4537606803997</v>
      </c>
      <c r="M15" s="345">
        <v>2.1145586460999999</v>
      </c>
      <c r="N15" s="54"/>
      <c r="O15" s="345">
        <v>2234.1746515743998</v>
      </c>
      <c r="P15" s="345">
        <v>1.4512348848000001</v>
      </c>
      <c r="Q15" s="54"/>
      <c r="R15" s="345">
        <v>0</v>
      </c>
      <c r="S15" s="345">
        <v>0</v>
      </c>
    </row>
    <row r="16" spans="1:19" ht="12.75" customHeight="1" x14ac:dyDescent="0.2">
      <c r="A16" s="104"/>
      <c r="B16" s="29" t="s">
        <v>8</v>
      </c>
      <c r="D16" s="345">
        <v>8627.7534504734995</v>
      </c>
      <c r="E16" s="54"/>
      <c r="F16" s="345">
        <v>3849.0977527903001</v>
      </c>
      <c r="G16" s="345">
        <v>1.7024114478000001</v>
      </c>
      <c r="H16" s="54"/>
      <c r="I16" s="345">
        <v>4260.1188355277</v>
      </c>
      <c r="J16" s="345">
        <v>1.7133382263000001</v>
      </c>
      <c r="K16" s="53"/>
      <c r="L16" s="345">
        <v>8491.6303160739008</v>
      </c>
      <c r="M16" s="345">
        <v>1.0014319598999999</v>
      </c>
      <c r="N16" s="54"/>
      <c r="O16" s="345">
        <v>989.81997879330004</v>
      </c>
      <c r="P16" s="345">
        <v>0.49992217630000002</v>
      </c>
      <c r="Q16" s="54"/>
      <c r="R16" s="345">
        <v>0</v>
      </c>
      <c r="S16" s="345">
        <v>0</v>
      </c>
    </row>
    <row r="17" spans="1:19" ht="12.75" customHeight="1" x14ac:dyDescent="0.2">
      <c r="A17" s="104"/>
      <c r="B17" s="29" t="s">
        <v>9</v>
      </c>
      <c r="D17" s="346">
        <v>15872.674300118</v>
      </c>
      <c r="E17" s="54"/>
      <c r="F17" s="346">
        <v>12444.3710307321</v>
      </c>
      <c r="G17" s="346">
        <v>1.6684766733</v>
      </c>
      <c r="H17" s="54"/>
      <c r="I17" s="346">
        <v>14930.7183399879</v>
      </c>
      <c r="J17" s="346">
        <v>1.8278907364999999</v>
      </c>
      <c r="K17" s="53"/>
      <c r="L17" s="346">
        <v>14071.337731780901</v>
      </c>
      <c r="M17" s="346">
        <v>1.5330143241</v>
      </c>
      <c r="N17" s="54"/>
      <c r="O17" s="346">
        <v>2884.6405891784002</v>
      </c>
      <c r="P17" s="346">
        <v>0.45087405899999999</v>
      </c>
      <c r="Q17" s="54"/>
      <c r="R17" s="346">
        <v>0</v>
      </c>
      <c r="S17" s="346">
        <v>0</v>
      </c>
    </row>
    <row r="18" spans="1:19" ht="12.75" customHeight="1" x14ac:dyDescent="0.2">
      <c r="A18" s="108"/>
      <c r="B18" s="29" t="s">
        <v>10</v>
      </c>
      <c r="D18" s="346">
        <v>6482.4937291401002</v>
      </c>
      <c r="E18" s="54"/>
      <c r="F18" s="346">
        <v>3104.5428361672002</v>
      </c>
      <c r="G18" s="346">
        <v>1.8078667830999999</v>
      </c>
      <c r="H18" s="54"/>
      <c r="I18" s="346">
        <v>4694.3703109091002</v>
      </c>
      <c r="J18" s="346">
        <v>2.6107651073999998</v>
      </c>
      <c r="K18" s="53"/>
      <c r="L18" s="346">
        <v>5027.7542381246003</v>
      </c>
      <c r="M18" s="346">
        <v>2.1674122123999999</v>
      </c>
      <c r="N18" s="54"/>
      <c r="O18" s="346">
        <v>878.61500312329997</v>
      </c>
      <c r="P18" s="346">
        <v>0.61321217409999995</v>
      </c>
      <c r="Q18" s="54"/>
      <c r="R18" s="346">
        <v>0</v>
      </c>
      <c r="S18" s="346">
        <v>0</v>
      </c>
    </row>
    <row r="19" spans="1:19" ht="12.75" customHeight="1" x14ac:dyDescent="0.2">
      <c r="A19" s="108"/>
      <c r="B19" s="29" t="s">
        <v>11</v>
      </c>
      <c r="D19" s="345">
        <v>53287.367466882897</v>
      </c>
      <c r="E19" s="54"/>
      <c r="F19" s="345">
        <v>20398.615574077099</v>
      </c>
      <c r="G19" s="345">
        <v>1.4944706785999999</v>
      </c>
      <c r="H19" s="54"/>
      <c r="I19" s="345">
        <v>30588.9053332207</v>
      </c>
      <c r="J19" s="345">
        <v>1.9795115130000001</v>
      </c>
      <c r="K19" s="53"/>
      <c r="L19" s="345">
        <v>49800.473542605301</v>
      </c>
      <c r="M19" s="345">
        <v>1.0994749791</v>
      </c>
      <c r="N19" s="54"/>
      <c r="O19" s="345">
        <v>4346.6091187004004</v>
      </c>
      <c r="P19" s="345">
        <v>0.4096464051</v>
      </c>
      <c r="Q19" s="54"/>
      <c r="R19" s="345">
        <v>0</v>
      </c>
      <c r="S19" s="345">
        <v>0</v>
      </c>
    </row>
    <row r="20" spans="1:19" s="2" customFormat="1" ht="12.75" customHeight="1" x14ac:dyDescent="0.2">
      <c r="A20" s="109"/>
      <c r="B20" s="29" t="s">
        <v>12</v>
      </c>
      <c r="C20" s="1"/>
      <c r="D20" s="345">
        <v>21640.5052695741</v>
      </c>
      <c r="E20" s="54"/>
      <c r="F20" s="345">
        <v>17900.380721032401</v>
      </c>
      <c r="G20" s="345">
        <v>1.9442601621</v>
      </c>
      <c r="H20" s="54"/>
      <c r="I20" s="345">
        <v>18975.905296354998</v>
      </c>
      <c r="J20" s="345">
        <v>2.0080629228000002</v>
      </c>
      <c r="K20" s="53"/>
      <c r="L20" s="345">
        <v>19719.600436779401</v>
      </c>
      <c r="M20" s="345">
        <v>1.6435995353999999</v>
      </c>
      <c r="N20" s="54"/>
      <c r="O20" s="345">
        <v>4605.1067158287997</v>
      </c>
      <c r="P20" s="345">
        <v>0.56942308720000001</v>
      </c>
      <c r="Q20" s="54"/>
      <c r="R20" s="345">
        <v>1010</v>
      </c>
      <c r="S20" s="345">
        <v>0.1245777518</v>
      </c>
    </row>
    <row r="21" spans="1:19" s="2" customFormat="1" ht="12.75" customHeight="1" x14ac:dyDescent="0.2">
      <c r="A21" s="109"/>
      <c r="B21" s="29" t="s">
        <v>13</v>
      </c>
      <c r="C21" s="1"/>
      <c r="D21" s="345">
        <v>48008.948099637397</v>
      </c>
      <c r="E21" s="54"/>
      <c r="F21" s="345">
        <v>24952.411349732</v>
      </c>
      <c r="G21" s="345">
        <v>1.6892404532</v>
      </c>
      <c r="H21" s="54"/>
      <c r="I21" s="345">
        <v>33713.934412474599</v>
      </c>
      <c r="J21" s="345">
        <v>1.9538972068</v>
      </c>
      <c r="K21" s="53"/>
      <c r="L21" s="345">
        <v>41444.6555156592</v>
      </c>
      <c r="M21" s="345">
        <v>1.8869485073000001</v>
      </c>
      <c r="N21" s="54"/>
      <c r="O21" s="345">
        <v>6742.1558606432</v>
      </c>
      <c r="P21" s="345">
        <v>0.47821365640000002</v>
      </c>
      <c r="Q21" s="54"/>
      <c r="R21" s="345">
        <v>0</v>
      </c>
      <c r="S21" s="345">
        <v>0</v>
      </c>
    </row>
    <row r="22" spans="1:19" s="2" customFormat="1" ht="12.75" customHeight="1" x14ac:dyDescent="0.2">
      <c r="A22" s="109"/>
      <c r="B22" s="29" t="s">
        <v>14</v>
      </c>
      <c r="C22" s="1"/>
      <c r="D22" s="345">
        <v>11831.527299883401</v>
      </c>
      <c r="E22" s="54"/>
      <c r="F22" s="345">
        <v>8307.9570088818</v>
      </c>
      <c r="G22" s="345">
        <v>1.8973852169000001</v>
      </c>
      <c r="H22" s="54"/>
      <c r="I22" s="345">
        <v>7728.7166905806998</v>
      </c>
      <c r="J22" s="345">
        <v>1.6449593405</v>
      </c>
      <c r="K22" s="53"/>
      <c r="L22" s="345">
        <v>11524.535695644599</v>
      </c>
      <c r="M22" s="345">
        <v>1.2692190994000001</v>
      </c>
      <c r="N22" s="54"/>
      <c r="O22" s="345">
        <v>1304.5280712004001</v>
      </c>
      <c r="P22" s="345">
        <v>0.35545349720000002</v>
      </c>
      <c r="Q22" s="54"/>
      <c r="R22" s="345">
        <v>0</v>
      </c>
      <c r="S22" s="345">
        <v>0</v>
      </c>
    </row>
    <row r="23" spans="1:19" s="2" customFormat="1" ht="12.75" customHeight="1" x14ac:dyDescent="0.2">
      <c r="A23" s="109"/>
      <c r="B23" s="29" t="s">
        <v>15</v>
      </c>
      <c r="C23" s="1"/>
      <c r="D23" s="345">
        <v>36073.567298552101</v>
      </c>
      <c r="E23" s="54"/>
      <c r="F23" s="345">
        <v>20814.537835800202</v>
      </c>
      <c r="G23" s="345">
        <v>1.7379933524</v>
      </c>
      <c r="H23" s="54"/>
      <c r="I23" s="345">
        <v>29989.8159122588</v>
      </c>
      <c r="J23" s="345">
        <v>1.9775841841999999</v>
      </c>
      <c r="K23" s="53"/>
      <c r="L23" s="345">
        <v>35088.555521321097</v>
      </c>
      <c r="M23" s="345">
        <v>1.6993806466000001</v>
      </c>
      <c r="N23" s="54"/>
      <c r="O23" s="345">
        <v>4349.6771372854</v>
      </c>
      <c r="P23" s="345">
        <v>0.38121018839999998</v>
      </c>
      <c r="Q23" s="54"/>
      <c r="R23" s="345">
        <v>0</v>
      </c>
      <c r="S23" s="345">
        <v>0</v>
      </c>
    </row>
    <row r="24" spans="1:19" s="2" customFormat="1" ht="12.75" customHeight="1" x14ac:dyDescent="0.2">
      <c r="A24" s="109"/>
      <c r="B24" s="29" t="s">
        <v>16</v>
      </c>
      <c r="C24" s="1"/>
      <c r="D24" s="345">
        <v>23584.9612443695</v>
      </c>
      <c r="E24" s="54"/>
      <c r="F24" s="345">
        <v>9689.2477847852006</v>
      </c>
      <c r="G24" s="345">
        <v>1.4062061933000001</v>
      </c>
      <c r="H24" s="54"/>
      <c r="I24" s="345">
        <v>17923.804556407398</v>
      </c>
      <c r="J24" s="345">
        <v>2.1119150306000001</v>
      </c>
      <c r="K24" s="53"/>
      <c r="L24" s="345">
        <v>22563.958167731798</v>
      </c>
      <c r="M24" s="345">
        <v>1.1075511983999999</v>
      </c>
      <c r="N24" s="54"/>
      <c r="O24" s="345">
        <v>2538.7656240812998</v>
      </c>
      <c r="P24" s="345">
        <v>0.36300269410000002</v>
      </c>
      <c r="Q24" s="54"/>
      <c r="R24" s="345">
        <v>0</v>
      </c>
      <c r="S24" s="345">
        <v>0</v>
      </c>
    </row>
    <row r="25" spans="1:19" s="2" customFormat="1" ht="12.75" customHeight="1" x14ac:dyDescent="0.2">
      <c r="A25" s="109"/>
      <c r="B25" s="29" t="s">
        <v>17</v>
      </c>
      <c r="C25" s="1"/>
      <c r="D25" s="345">
        <v>21482.932276223099</v>
      </c>
      <c r="E25" s="54"/>
      <c r="F25" s="345">
        <v>12489.991635517999</v>
      </c>
      <c r="G25" s="345">
        <v>1.7779744685000001</v>
      </c>
      <c r="H25" s="54"/>
      <c r="I25" s="345">
        <v>15047.699852482299</v>
      </c>
      <c r="J25" s="345">
        <v>2.2678644109000001</v>
      </c>
      <c r="K25" s="53"/>
      <c r="L25" s="345">
        <v>23257.4778123629</v>
      </c>
      <c r="M25" s="345">
        <v>1.3008317247000001</v>
      </c>
      <c r="N25" s="54"/>
      <c r="O25" s="345">
        <v>2917.4516728202002</v>
      </c>
      <c r="P25" s="345">
        <v>0.43961877440000002</v>
      </c>
      <c r="Q25" s="54"/>
      <c r="R25" s="345">
        <v>0</v>
      </c>
      <c r="S25" s="345">
        <v>0</v>
      </c>
    </row>
    <row r="26" spans="1:19" s="2" customFormat="1" ht="12.75" customHeight="1" x14ac:dyDescent="0.2">
      <c r="A26" s="109"/>
      <c r="B26" s="29" t="s">
        <v>18</v>
      </c>
      <c r="C26" s="1"/>
      <c r="D26" s="345">
        <v>46119.986599577402</v>
      </c>
      <c r="E26" s="54"/>
      <c r="F26" s="345">
        <v>26007.451442294601</v>
      </c>
      <c r="G26" s="345">
        <v>1.8228898444999999</v>
      </c>
      <c r="H26" s="54"/>
      <c r="I26" s="345">
        <v>38358.081235148296</v>
      </c>
      <c r="J26" s="345">
        <v>2.3496833699000002</v>
      </c>
      <c r="K26" s="53"/>
      <c r="L26" s="345">
        <v>47586.9144980903</v>
      </c>
      <c r="M26" s="345">
        <v>1.8391384423999999</v>
      </c>
      <c r="N26" s="54"/>
      <c r="O26" s="345">
        <v>4848.0110434506996</v>
      </c>
      <c r="P26" s="345">
        <v>0.35999952670000002</v>
      </c>
      <c r="Q26" s="54"/>
      <c r="R26" s="345">
        <v>0</v>
      </c>
      <c r="S26" s="345">
        <v>0</v>
      </c>
    </row>
    <row r="27" spans="1:19" s="2" customFormat="1" ht="12.75" customHeight="1" x14ac:dyDescent="0.2">
      <c r="A27" s="109"/>
      <c r="B27" s="29" t="s">
        <v>19</v>
      </c>
      <c r="C27" s="1"/>
      <c r="D27" s="345">
        <v>131204.09246898501</v>
      </c>
      <c r="E27" s="54"/>
      <c r="F27" s="345">
        <v>63885.774020867902</v>
      </c>
      <c r="G27" s="345">
        <v>1.7635945647</v>
      </c>
      <c r="H27" s="54"/>
      <c r="I27" s="345">
        <v>79502.059171842702</v>
      </c>
      <c r="J27" s="345">
        <v>2.4096763341999998</v>
      </c>
      <c r="K27" s="53"/>
      <c r="L27" s="345">
        <v>128838.062763717</v>
      </c>
      <c r="M27" s="345">
        <v>1.4684949572999999</v>
      </c>
      <c r="N27" s="54"/>
      <c r="O27" s="345">
        <v>16614.219108898898</v>
      </c>
      <c r="P27" s="345">
        <v>0.57273302960000005</v>
      </c>
      <c r="Q27" s="54"/>
      <c r="R27" s="345">
        <v>0</v>
      </c>
      <c r="S27" s="345">
        <v>0</v>
      </c>
    </row>
    <row r="28" spans="1:19" s="2" customFormat="1" ht="12.75" customHeight="1" x14ac:dyDescent="0.2">
      <c r="A28" s="109"/>
      <c r="B28" s="29" t="s">
        <v>20</v>
      </c>
      <c r="C28" s="1"/>
      <c r="D28" s="345">
        <v>34800.277328721597</v>
      </c>
      <c r="E28" s="54"/>
      <c r="F28" s="345">
        <v>14929.7852983953</v>
      </c>
      <c r="G28" s="345">
        <v>1.5133418997999999</v>
      </c>
      <c r="H28" s="54"/>
      <c r="I28" s="345">
        <v>23331.724366305101</v>
      </c>
      <c r="J28" s="345">
        <v>2.1918182104000001</v>
      </c>
      <c r="K28" s="53"/>
      <c r="L28" s="345">
        <v>33084.810358006798</v>
      </c>
      <c r="M28" s="345">
        <v>1.5911732105</v>
      </c>
      <c r="N28" s="54"/>
      <c r="O28" s="345">
        <v>2668.7687889208</v>
      </c>
      <c r="P28" s="345">
        <v>0.31209803079999998</v>
      </c>
      <c r="Q28" s="54"/>
      <c r="R28" s="345">
        <v>0</v>
      </c>
      <c r="S28" s="345">
        <v>0</v>
      </c>
    </row>
    <row r="29" spans="1:19" s="2" customFormat="1" ht="12.75" customHeight="1" x14ac:dyDescent="0.2">
      <c r="A29" s="109"/>
      <c r="B29" s="29" t="s">
        <v>21</v>
      </c>
      <c r="C29" s="1"/>
      <c r="D29" s="345">
        <v>18361.487672503201</v>
      </c>
      <c r="E29" s="54"/>
      <c r="F29" s="345">
        <v>6778.3667546040997</v>
      </c>
      <c r="G29" s="345">
        <v>1.4091658896000001</v>
      </c>
      <c r="H29" s="54"/>
      <c r="I29" s="345">
        <v>9126.9719485527003</v>
      </c>
      <c r="J29" s="345">
        <v>1.856949296</v>
      </c>
      <c r="K29" s="53"/>
      <c r="L29" s="345">
        <v>17593.955187215801</v>
      </c>
      <c r="M29" s="345">
        <v>1.2721872372</v>
      </c>
      <c r="N29" s="54"/>
      <c r="O29" s="345">
        <v>2033.9407187089</v>
      </c>
      <c r="P29" s="345">
        <v>0.51998785670000003</v>
      </c>
      <c r="Q29" s="54"/>
      <c r="R29" s="345">
        <v>458</v>
      </c>
      <c r="S29" s="345">
        <v>0.1145735789</v>
      </c>
    </row>
    <row r="30" spans="1:19" s="2" customFormat="1" ht="12.75" customHeight="1" x14ac:dyDescent="0.2">
      <c r="A30" s="109"/>
      <c r="B30" s="29" t="s">
        <v>22</v>
      </c>
      <c r="C30" s="1"/>
      <c r="D30" s="345">
        <v>8434.7008783248002</v>
      </c>
      <c r="E30" s="54"/>
      <c r="F30" s="345">
        <v>3851.9454040288001</v>
      </c>
      <c r="G30" s="345">
        <v>1.4550091948999999</v>
      </c>
      <c r="H30" s="54"/>
      <c r="I30" s="345">
        <v>5871.3346860018</v>
      </c>
      <c r="J30" s="345">
        <v>2.0569604521999998</v>
      </c>
      <c r="K30" s="53"/>
      <c r="L30" s="345">
        <v>8396.6071190458006</v>
      </c>
      <c r="M30" s="345">
        <v>1.3685860206</v>
      </c>
      <c r="N30" s="54"/>
      <c r="O30" s="345">
        <v>1857.3688526640999</v>
      </c>
      <c r="P30" s="345">
        <v>0.75373915300000005</v>
      </c>
      <c r="Q30" s="54"/>
      <c r="R30" s="345">
        <v>232</v>
      </c>
      <c r="S30" s="345">
        <v>9.3856811999999998E-2</v>
      </c>
    </row>
    <row r="31" spans="1:19" s="2" customFormat="1" ht="12.75" customHeight="1" x14ac:dyDescent="0.2">
      <c r="A31" s="109"/>
      <c r="B31" s="29" t="s">
        <v>23</v>
      </c>
      <c r="C31" s="1"/>
      <c r="D31" s="345">
        <v>37074.547180637703</v>
      </c>
      <c r="E31" s="54"/>
      <c r="F31" s="345">
        <v>23470.224314577801</v>
      </c>
      <c r="G31" s="345">
        <v>1.7029149148</v>
      </c>
      <c r="H31" s="54"/>
      <c r="I31" s="345">
        <v>37533.412817696102</v>
      </c>
      <c r="J31" s="345">
        <v>2.1771110815000001</v>
      </c>
      <c r="K31" s="53"/>
      <c r="L31" s="345">
        <v>31345.454441972899</v>
      </c>
      <c r="M31" s="345">
        <v>1.6848155981999999</v>
      </c>
      <c r="N31" s="54"/>
      <c r="O31" s="345">
        <v>7373.7943203960003</v>
      </c>
      <c r="P31" s="345">
        <v>0.62541243710000005</v>
      </c>
      <c r="Q31" s="54"/>
      <c r="R31" s="345">
        <v>0</v>
      </c>
      <c r="S31" s="345">
        <v>0</v>
      </c>
    </row>
    <row r="32" spans="1:19" s="2" customFormat="1" ht="12.75" customHeight="1" x14ac:dyDescent="0.2">
      <c r="A32" s="109"/>
      <c r="B32" s="29" t="s">
        <v>24</v>
      </c>
      <c r="C32" s="1"/>
      <c r="D32" s="345">
        <v>42547.144422326899</v>
      </c>
      <c r="E32" s="54"/>
      <c r="F32" s="345">
        <v>14412.6474194887</v>
      </c>
      <c r="G32" s="345">
        <v>1.2404762693</v>
      </c>
      <c r="H32" s="54"/>
      <c r="I32" s="345">
        <v>19719.206065385199</v>
      </c>
      <c r="J32" s="345">
        <v>1.7332204785000001</v>
      </c>
      <c r="K32" s="53"/>
      <c r="L32" s="345">
        <v>37695.228148622598</v>
      </c>
      <c r="M32" s="345">
        <v>1.3225044506999999</v>
      </c>
      <c r="N32" s="54"/>
      <c r="O32" s="345">
        <v>2985.6727510397</v>
      </c>
      <c r="P32" s="345">
        <v>0.32022088129999998</v>
      </c>
      <c r="Q32" s="54"/>
      <c r="R32" s="345">
        <v>0</v>
      </c>
      <c r="S32" s="345">
        <v>0</v>
      </c>
    </row>
    <row r="33" spans="1:19" s="2" customFormat="1" ht="12.75" customHeight="1" x14ac:dyDescent="0.2">
      <c r="A33" s="109"/>
      <c r="B33" s="29" t="s">
        <v>25</v>
      </c>
      <c r="C33" s="1"/>
      <c r="D33" s="345">
        <v>46002.280336427299</v>
      </c>
      <c r="E33" s="54"/>
      <c r="F33" s="345">
        <v>21278.643759802701</v>
      </c>
      <c r="G33" s="345">
        <v>1.5459405716000001</v>
      </c>
      <c r="H33" s="54"/>
      <c r="I33" s="345">
        <v>30764.290139545799</v>
      </c>
      <c r="J33" s="345">
        <v>2.1435166259999998</v>
      </c>
      <c r="K33" s="53"/>
      <c r="L33" s="345">
        <v>42898.240925370701</v>
      </c>
      <c r="M33" s="345">
        <v>1.3747978783999999</v>
      </c>
      <c r="N33" s="54"/>
      <c r="O33" s="345">
        <v>5436.0401351737</v>
      </c>
      <c r="P33" s="345">
        <v>0.45491557770000002</v>
      </c>
      <c r="Q33" s="54"/>
      <c r="R33" s="345">
        <v>0</v>
      </c>
      <c r="S33" s="345">
        <v>0</v>
      </c>
    </row>
    <row r="34" spans="1:19" s="2" customFormat="1" ht="12.75" customHeight="1" x14ac:dyDescent="0.2">
      <c r="A34" s="109"/>
      <c r="B34" s="29" t="s">
        <v>26</v>
      </c>
      <c r="C34" s="1"/>
      <c r="D34" s="345">
        <v>27228.768426438201</v>
      </c>
      <c r="E34" s="54"/>
      <c r="F34" s="345">
        <v>12454.312401786699</v>
      </c>
      <c r="G34" s="345">
        <v>2.2073823152999998</v>
      </c>
      <c r="H34" s="54"/>
      <c r="I34" s="345">
        <v>16703.5677516615</v>
      </c>
      <c r="J34" s="345">
        <v>2.6286162424000001</v>
      </c>
      <c r="K34" s="53"/>
      <c r="L34" s="345">
        <v>24115.621965558101</v>
      </c>
      <c r="M34" s="345">
        <v>1.8444874310999999</v>
      </c>
      <c r="N34" s="54"/>
      <c r="O34" s="345">
        <v>1612.6355788497999</v>
      </c>
      <c r="P34" s="345">
        <v>0.34034253939999998</v>
      </c>
      <c r="Q34" s="54"/>
      <c r="R34" s="345">
        <v>0</v>
      </c>
      <c r="S34" s="345">
        <v>0</v>
      </c>
    </row>
    <row r="35" spans="1:19" s="2" customFormat="1" ht="12.75" customHeight="1" x14ac:dyDescent="0.2">
      <c r="A35" s="109"/>
      <c r="B35" s="29" t="s">
        <v>27</v>
      </c>
      <c r="C35" s="1"/>
      <c r="D35" s="345">
        <v>16590.224099263702</v>
      </c>
      <c r="E35" s="54"/>
      <c r="F35" s="345">
        <v>9643.3936718467994</v>
      </c>
      <c r="G35" s="345">
        <v>2.2413164298999999</v>
      </c>
      <c r="H35" s="54"/>
      <c r="I35" s="345">
        <v>14519.797380428499</v>
      </c>
      <c r="J35" s="345">
        <v>2.1322673023999998</v>
      </c>
      <c r="K35" s="53"/>
      <c r="L35" s="345">
        <v>10920.480178293399</v>
      </c>
      <c r="M35" s="345">
        <v>2.8291288055999999</v>
      </c>
      <c r="N35" s="54"/>
      <c r="O35" s="345">
        <v>4583.0189765657997</v>
      </c>
      <c r="P35" s="345">
        <v>1.2429859885000001</v>
      </c>
      <c r="Q35" s="54"/>
      <c r="R35" s="345">
        <v>0</v>
      </c>
      <c r="S35" s="345">
        <v>0</v>
      </c>
    </row>
    <row r="36" spans="1:19" s="2" customFormat="1" ht="12.75" customHeight="1" x14ac:dyDescent="0.2">
      <c r="A36" s="109"/>
      <c r="B36" s="29" t="s">
        <v>28</v>
      </c>
      <c r="C36" s="1"/>
      <c r="D36" s="345">
        <v>14882.082672734099</v>
      </c>
      <c r="E36" s="54"/>
      <c r="F36" s="345">
        <v>10263.5944603718</v>
      </c>
      <c r="G36" s="345">
        <v>1.6268846312</v>
      </c>
      <c r="H36" s="54"/>
      <c r="I36" s="345">
        <v>12754.1644850832</v>
      </c>
      <c r="J36" s="345">
        <v>1.9302913249</v>
      </c>
      <c r="K36" s="53"/>
      <c r="L36" s="345">
        <v>14662.9171525729</v>
      </c>
      <c r="M36" s="345">
        <v>1.2588702499</v>
      </c>
      <c r="N36" s="54"/>
      <c r="O36" s="345">
        <v>1414.9452215992001</v>
      </c>
      <c r="P36" s="345">
        <v>0.24947304449999999</v>
      </c>
      <c r="Q36" s="54"/>
      <c r="R36" s="345">
        <v>0</v>
      </c>
      <c r="S36" s="345">
        <v>0</v>
      </c>
    </row>
    <row r="37" spans="1:19" s="2" customFormat="1" ht="12.75" customHeight="1" x14ac:dyDescent="0.2">
      <c r="A37" s="109"/>
      <c r="B37" s="29" t="s">
        <v>29</v>
      </c>
      <c r="C37" s="1"/>
      <c r="D37" s="345">
        <v>17697.139692004599</v>
      </c>
      <c r="E37" s="54"/>
      <c r="F37" s="345">
        <v>9951.3011067042007</v>
      </c>
      <c r="G37" s="345">
        <v>1.3606097635000001</v>
      </c>
      <c r="H37" s="54"/>
      <c r="I37" s="345">
        <v>14440.2989805789</v>
      </c>
      <c r="J37" s="345">
        <v>1.8221723890999999</v>
      </c>
      <c r="K37" s="53"/>
      <c r="L37" s="345">
        <v>16873.822968866702</v>
      </c>
      <c r="M37" s="345">
        <v>1.2619341194</v>
      </c>
      <c r="N37" s="54"/>
      <c r="O37" s="345">
        <v>3780.1282467317001</v>
      </c>
      <c r="P37" s="345">
        <v>0.56024814349999996</v>
      </c>
      <c r="Q37" s="54"/>
      <c r="R37" s="345">
        <v>0</v>
      </c>
      <c r="S37" s="345">
        <v>0</v>
      </c>
    </row>
    <row r="38" spans="1:19" s="2" customFormat="1" ht="12.75" customHeight="1" x14ac:dyDescent="0.2">
      <c r="A38" s="109"/>
      <c r="B38" s="29" t="s">
        <v>30</v>
      </c>
      <c r="C38" s="1"/>
      <c r="D38" s="345">
        <v>20296.342988481301</v>
      </c>
      <c r="E38" s="54"/>
      <c r="F38" s="345">
        <v>13620.909781356</v>
      </c>
      <c r="G38" s="345">
        <v>1.8094208116999999</v>
      </c>
      <c r="H38" s="54"/>
      <c r="I38" s="345">
        <v>15877.390386326701</v>
      </c>
      <c r="J38" s="345">
        <v>1.9511677686</v>
      </c>
      <c r="K38" s="53"/>
      <c r="L38" s="345">
        <v>18244.322952295399</v>
      </c>
      <c r="M38" s="345">
        <v>1.5924413811</v>
      </c>
      <c r="N38" s="54"/>
      <c r="O38" s="345">
        <v>4454.1957545130999</v>
      </c>
      <c r="P38" s="345">
        <v>0.70231988860000005</v>
      </c>
      <c r="Q38" s="324"/>
      <c r="R38" s="345">
        <v>0</v>
      </c>
      <c r="S38" s="345">
        <v>0</v>
      </c>
    </row>
    <row r="39" spans="1:19" s="2" customFormat="1" ht="12.75" customHeight="1" x14ac:dyDescent="0.2">
      <c r="A39" s="109"/>
      <c r="B39" s="29" t="s">
        <v>31</v>
      </c>
      <c r="C39" s="1"/>
      <c r="D39" s="345">
        <v>20074.553062652802</v>
      </c>
      <c r="E39" s="54"/>
      <c r="F39" s="345">
        <v>10452.7283717753</v>
      </c>
      <c r="G39" s="345">
        <v>1.5723123771</v>
      </c>
      <c r="H39" s="54"/>
      <c r="I39" s="345">
        <v>10967.873096216999</v>
      </c>
      <c r="J39" s="345">
        <v>1.8626553706</v>
      </c>
      <c r="K39" s="53"/>
      <c r="L39" s="345">
        <v>19450.1077949153</v>
      </c>
      <c r="M39" s="345">
        <v>1.0376453218999999</v>
      </c>
      <c r="N39" s="54"/>
      <c r="O39" s="345">
        <v>2182.4443929865001</v>
      </c>
      <c r="P39" s="345">
        <v>0.42404626829999997</v>
      </c>
      <c r="Q39" s="54"/>
      <c r="R39" s="345">
        <v>0</v>
      </c>
      <c r="S39" s="345">
        <v>0</v>
      </c>
    </row>
    <row r="40" spans="1:19" s="2" customFormat="1" ht="12.75" customHeight="1" x14ac:dyDescent="0.2">
      <c r="A40" s="109"/>
      <c r="B40" s="29" t="s">
        <v>32</v>
      </c>
      <c r="C40" s="1"/>
      <c r="D40" s="345">
        <v>18931.826991932499</v>
      </c>
      <c r="E40" s="54"/>
      <c r="F40" s="345">
        <v>13149.0618318661</v>
      </c>
      <c r="G40" s="345">
        <v>1.6695147921</v>
      </c>
      <c r="H40" s="54"/>
      <c r="I40" s="345">
        <v>17917.7584356896</v>
      </c>
      <c r="J40" s="345">
        <v>1.9472929725999999</v>
      </c>
      <c r="K40" s="53"/>
      <c r="L40" s="345">
        <v>16697.537021246801</v>
      </c>
      <c r="M40" s="345">
        <v>1.2960334256999999</v>
      </c>
      <c r="N40" s="54"/>
      <c r="O40" s="345">
        <v>5060.0887577426001</v>
      </c>
      <c r="P40" s="345">
        <v>0.70503966969999998</v>
      </c>
      <c r="Q40" s="54"/>
      <c r="R40" s="345">
        <v>0</v>
      </c>
      <c r="S40" s="345">
        <v>0</v>
      </c>
    </row>
    <row r="41" spans="1:19" s="2" customFormat="1" ht="12.75" customHeight="1" x14ac:dyDescent="0.2">
      <c r="A41" s="109"/>
      <c r="B41" s="29" t="s">
        <v>33</v>
      </c>
      <c r="C41" s="1"/>
      <c r="D41" s="345">
        <v>7742.5499765431996</v>
      </c>
      <c r="E41" s="54"/>
      <c r="F41" s="345">
        <v>4396.2275112094003</v>
      </c>
      <c r="G41" s="345">
        <v>1.4819631797999999</v>
      </c>
      <c r="H41" s="54"/>
      <c r="I41" s="345">
        <v>4229.9876326359999</v>
      </c>
      <c r="J41" s="345">
        <v>1.4518645563000001</v>
      </c>
      <c r="K41" s="53"/>
      <c r="L41" s="345">
        <v>7456.8260790073</v>
      </c>
      <c r="M41" s="345">
        <v>0.87749344019999997</v>
      </c>
      <c r="N41" s="54"/>
      <c r="O41" s="345">
        <v>739.34122346059996</v>
      </c>
      <c r="P41" s="345">
        <v>0.29643833200000003</v>
      </c>
      <c r="Q41" s="54"/>
      <c r="R41" s="345">
        <v>0</v>
      </c>
      <c r="S41" s="345">
        <v>0</v>
      </c>
    </row>
    <row r="42" spans="1:19" s="2" customFormat="1" ht="12.75" customHeight="1" x14ac:dyDescent="0.2">
      <c r="A42" s="109"/>
      <c r="B42" s="29" t="s">
        <v>34</v>
      </c>
      <c r="C42" s="1"/>
      <c r="D42" s="345">
        <v>62857.6709122908</v>
      </c>
      <c r="E42" s="54"/>
      <c r="F42" s="345">
        <v>31996.214944043299</v>
      </c>
      <c r="G42" s="345">
        <v>1.4621621641</v>
      </c>
      <c r="H42" s="54"/>
      <c r="I42" s="345">
        <v>38023.918428041397</v>
      </c>
      <c r="J42" s="345">
        <v>1.9444920734</v>
      </c>
      <c r="K42" s="53"/>
      <c r="L42" s="345">
        <v>61582.449152743</v>
      </c>
      <c r="M42" s="345">
        <v>1.3044891785999999</v>
      </c>
      <c r="N42" s="54"/>
      <c r="O42" s="345">
        <v>8200.5317296107005</v>
      </c>
      <c r="P42" s="345">
        <v>0.4816410357</v>
      </c>
      <c r="Q42" s="54"/>
      <c r="R42" s="345">
        <v>0</v>
      </c>
      <c r="S42" s="345">
        <v>0</v>
      </c>
    </row>
    <row r="43" spans="1:19" s="2" customFormat="1" ht="12.75" customHeight="1" x14ac:dyDescent="0.2">
      <c r="A43" s="109"/>
      <c r="B43" s="29" t="s">
        <v>35</v>
      </c>
      <c r="C43" s="1"/>
      <c r="D43" s="345">
        <v>19576.847036778501</v>
      </c>
      <c r="E43" s="54"/>
      <c r="F43" s="345">
        <v>9985.0220578262997</v>
      </c>
      <c r="G43" s="345">
        <v>1.4126703303999999</v>
      </c>
      <c r="H43" s="54"/>
      <c r="I43" s="345">
        <v>11556.162159961999</v>
      </c>
      <c r="J43" s="345">
        <v>1.8316898358</v>
      </c>
      <c r="K43" s="53"/>
      <c r="L43" s="345">
        <v>18308.1837677564</v>
      </c>
      <c r="M43" s="345">
        <v>1.4984984189999999</v>
      </c>
      <c r="N43" s="54"/>
      <c r="O43" s="345">
        <v>2012.4429933821</v>
      </c>
      <c r="P43" s="345">
        <v>0.38734646789999999</v>
      </c>
      <c r="Q43" s="54"/>
      <c r="R43" s="345">
        <v>0</v>
      </c>
      <c r="S43" s="345">
        <v>0</v>
      </c>
    </row>
    <row r="44" spans="1:19" s="2" customFormat="1" ht="12.75" customHeight="1" x14ac:dyDescent="0.2">
      <c r="A44" s="109"/>
      <c r="B44" s="31" t="s">
        <v>36</v>
      </c>
      <c r="C44" s="1"/>
      <c r="D44" s="345">
        <v>13538.356008209001</v>
      </c>
      <c r="E44" s="54"/>
      <c r="F44" s="345">
        <v>6385.2397480310001</v>
      </c>
      <c r="G44" s="345">
        <v>1.6580565864000001</v>
      </c>
      <c r="H44" s="54"/>
      <c r="I44" s="345">
        <v>6713.0444682285997</v>
      </c>
      <c r="J44" s="345">
        <v>1.6781832957</v>
      </c>
      <c r="K44" s="53"/>
      <c r="L44" s="345">
        <v>12904.863678342401</v>
      </c>
      <c r="M44" s="345">
        <v>1.4024265977999999</v>
      </c>
      <c r="N44" s="54"/>
      <c r="O44" s="345">
        <v>1417.6041310409</v>
      </c>
      <c r="P44" s="345">
        <v>0.43977267079999999</v>
      </c>
      <c r="Q44" s="54"/>
      <c r="R44" s="345">
        <v>0</v>
      </c>
      <c r="S44" s="345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23"/>
      <c r="M47" s="322"/>
      <c r="O47" s="323"/>
      <c r="P47" s="322"/>
      <c r="R47" s="323"/>
      <c r="S47" s="322"/>
    </row>
    <row r="48" spans="1:19" s="165" customFormat="1" ht="11.25" x14ac:dyDescent="0.2">
      <c r="A48" s="104"/>
      <c r="B48" s="23" t="s">
        <v>173</v>
      </c>
      <c r="C48" s="4"/>
      <c r="D48" s="21"/>
      <c r="E48" s="21"/>
      <c r="F48" s="21"/>
      <c r="G48" s="185"/>
      <c r="H48" s="22"/>
      <c r="I48" s="21"/>
      <c r="J48" s="185"/>
      <c r="L48" s="323"/>
      <c r="M48" s="322"/>
      <c r="O48" s="323"/>
      <c r="P48" s="322"/>
      <c r="R48" s="323"/>
      <c r="S48" s="322"/>
    </row>
    <row r="49" spans="1:19" s="165" customFormat="1" ht="11.25" x14ac:dyDescent="0.2">
      <c r="A49" s="104"/>
      <c r="B49" s="23" t="s">
        <v>172</v>
      </c>
      <c r="C49" s="4"/>
      <c r="D49" s="21"/>
      <c r="E49" s="21"/>
      <c r="F49" s="21"/>
      <c r="G49" s="185"/>
      <c r="H49" s="22"/>
      <c r="I49" s="21"/>
      <c r="J49" s="185"/>
      <c r="L49" s="323"/>
      <c r="M49" s="322"/>
      <c r="O49" s="323"/>
      <c r="P49" s="322"/>
      <c r="R49" s="323"/>
      <c r="S49" s="322"/>
    </row>
    <row r="50" spans="1:19" s="165" customFormat="1" ht="11.25" x14ac:dyDescent="0.2">
      <c r="A50" s="104"/>
      <c r="B50" s="23" t="s">
        <v>171</v>
      </c>
      <c r="C50" s="4"/>
      <c r="D50" s="21"/>
      <c r="E50" s="21"/>
      <c r="F50" s="21"/>
      <c r="G50" s="185"/>
      <c r="H50" s="22"/>
      <c r="I50" s="21"/>
      <c r="J50" s="185"/>
      <c r="L50" s="323"/>
      <c r="M50" s="322"/>
      <c r="O50" s="323"/>
      <c r="P50" s="322"/>
      <c r="R50" s="323"/>
      <c r="S50" s="322"/>
    </row>
    <row r="51" spans="1:19" s="165" customFormat="1" ht="11.25" x14ac:dyDescent="0.2">
      <c r="A51" s="104"/>
      <c r="B51" s="23" t="s">
        <v>170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23"/>
      <c r="S51" s="322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23"/>
      <c r="S52" s="322"/>
    </row>
    <row r="53" spans="1:19" s="109" customFormat="1" ht="14.25" x14ac:dyDescent="0.2">
      <c r="B53" s="290" t="s">
        <v>150</v>
      </c>
      <c r="D53" s="312"/>
      <c r="F53" s="312"/>
      <c r="G53" s="311"/>
      <c r="I53" s="312"/>
      <c r="J53" s="311"/>
      <c r="L53" s="312"/>
      <c r="M53" s="311"/>
      <c r="O53" s="312"/>
      <c r="P53" s="311"/>
      <c r="R53" s="312"/>
      <c r="S53" s="311"/>
    </row>
    <row r="54" spans="1:19" ht="12.75" customHeight="1" x14ac:dyDescent="0.2">
      <c r="C54" s="304"/>
      <c r="D54" s="303"/>
    </row>
    <row r="55" spans="1:19" ht="12.75" customHeight="1" x14ac:dyDescent="0.2">
      <c r="B55" s="302"/>
      <c r="D55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CF7EF938-FA7E-4DF4-9EC9-7281D94B4AC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21FA-1471-4A5A-8392-E4DE9429AB3B}">
  <dimension ref="A1:AF41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368" t="s">
        <v>194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392" t="s">
        <v>181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7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06" t="s">
        <v>84</v>
      </c>
      <c r="C7" s="406"/>
      <c r="D7" s="413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07"/>
      <c r="C8" s="407"/>
      <c r="D8" s="414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08"/>
      <c r="C9" s="408"/>
      <c r="D9" s="415"/>
      <c r="E9" s="329"/>
      <c r="F9" s="328" t="s">
        <v>2</v>
      </c>
      <c r="G9" s="328" t="s">
        <v>3</v>
      </c>
      <c r="H9" s="328"/>
      <c r="I9" s="328" t="s">
        <v>2</v>
      </c>
      <c r="J9" s="328" t="s">
        <v>3</v>
      </c>
      <c r="K9" s="327"/>
      <c r="L9" s="328" t="s">
        <v>2</v>
      </c>
      <c r="M9" s="328" t="s">
        <v>3</v>
      </c>
      <c r="N9" s="327"/>
      <c r="O9" s="328" t="s">
        <v>2</v>
      </c>
      <c r="P9" s="328" t="s">
        <v>3</v>
      </c>
      <c r="Q9" s="327"/>
      <c r="R9" s="328" t="s">
        <v>2</v>
      </c>
      <c r="S9" s="328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36" t="s">
        <v>38</v>
      </c>
      <c r="C11" s="332"/>
      <c r="D11" s="344">
        <v>206795.536884114</v>
      </c>
      <c r="E11" s="335"/>
      <c r="F11" s="344">
        <v>104714.606693511</v>
      </c>
      <c r="G11" s="344">
        <v>0.3708903294</v>
      </c>
      <c r="H11" s="60"/>
      <c r="I11" s="344">
        <v>138475.59987553</v>
      </c>
      <c r="J11" s="344">
        <v>0.47619945460000002</v>
      </c>
      <c r="K11" s="53"/>
      <c r="L11" s="344">
        <v>197699.236013585</v>
      </c>
      <c r="M11" s="344">
        <v>0.34495483770000002</v>
      </c>
      <c r="N11" s="60"/>
      <c r="O11" s="344">
        <v>26867.483105929801</v>
      </c>
      <c r="P11" s="344">
        <v>0.1119116305</v>
      </c>
      <c r="Q11" s="60"/>
      <c r="R11" s="344">
        <v>1193.8814849053999</v>
      </c>
      <c r="S11" s="344">
        <v>4.9964144000000004E-3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36"/>
      <c r="C12" s="332"/>
      <c r="D12" s="133"/>
      <c r="E12" s="335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32"/>
      <c r="D13" s="345">
        <v>120691.762956369</v>
      </c>
      <c r="E13" s="334"/>
      <c r="F13" s="345">
        <v>52771.714830684003</v>
      </c>
      <c r="G13" s="345">
        <v>0.67805912310000005</v>
      </c>
      <c r="H13" s="61"/>
      <c r="I13" s="345">
        <v>59722.412900428797</v>
      </c>
      <c r="J13" s="345">
        <v>0.95772030100000005</v>
      </c>
      <c r="K13" s="53"/>
      <c r="L13" s="345">
        <v>121950.275161179</v>
      </c>
      <c r="M13" s="345">
        <v>0.45020574429999999</v>
      </c>
      <c r="N13" s="61"/>
      <c r="O13" s="345">
        <v>8172.0706048333004</v>
      </c>
      <c r="P13" s="345">
        <v>0.13812598709999999</v>
      </c>
      <c r="Q13" s="61"/>
      <c r="R13" s="345">
        <v>232</v>
      </c>
      <c r="S13" s="345">
        <v>3.9060758E-3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32"/>
      <c r="D14" s="345">
        <v>90890.982607614395</v>
      </c>
      <c r="E14" s="334"/>
      <c r="F14" s="345">
        <v>35438.371317441502</v>
      </c>
      <c r="G14" s="345">
        <v>0.84701761369999995</v>
      </c>
      <c r="H14" s="61"/>
      <c r="I14" s="345">
        <v>51217.569814597999</v>
      </c>
      <c r="J14" s="345">
        <v>1.1825323428000001</v>
      </c>
      <c r="K14" s="53"/>
      <c r="L14" s="345">
        <v>86577.439297379198</v>
      </c>
      <c r="M14" s="345">
        <v>0.59779605309999995</v>
      </c>
      <c r="N14" s="61"/>
      <c r="O14" s="345">
        <v>6740.1415799811002</v>
      </c>
      <c r="P14" s="345">
        <v>0.19825293920000001</v>
      </c>
      <c r="Q14" s="61"/>
      <c r="R14" s="345">
        <v>311</v>
      </c>
      <c r="S14" s="345">
        <v>9.1544222999999994E-3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32"/>
      <c r="D15" s="345">
        <v>97047.982503045801</v>
      </c>
      <c r="E15" s="334"/>
      <c r="F15" s="345">
        <v>41536.248500685899</v>
      </c>
      <c r="G15" s="345">
        <v>1.0464622403999999</v>
      </c>
      <c r="H15" s="61"/>
      <c r="I15" s="345">
        <v>72844.286779810005</v>
      </c>
      <c r="J15" s="345">
        <v>1.3802216288</v>
      </c>
      <c r="K15" s="53"/>
      <c r="L15" s="345">
        <v>88739.015214022904</v>
      </c>
      <c r="M15" s="345">
        <v>0.99160094590000003</v>
      </c>
      <c r="N15" s="61"/>
      <c r="O15" s="345">
        <v>10776.098111101301</v>
      </c>
      <c r="P15" s="345">
        <v>0.2968299533</v>
      </c>
      <c r="Q15" s="61"/>
      <c r="R15" s="345">
        <v>458</v>
      </c>
      <c r="S15" s="345">
        <v>1.266986E-2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32"/>
      <c r="D16" s="345">
        <v>104563.417320322</v>
      </c>
      <c r="E16" s="334"/>
      <c r="F16" s="345">
        <v>72531.856309947994</v>
      </c>
      <c r="G16" s="345">
        <v>0.57657492529999999</v>
      </c>
      <c r="H16" s="61"/>
      <c r="I16" s="345">
        <v>88203.079755974104</v>
      </c>
      <c r="J16" s="345">
        <v>0.60931159550000003</v>
      </c>
      <c r="K16" s="53"/>
      <c r="L16" s="345">
        <v>95176.569992145698</v>
      </c>
      <c r="M16" s="345">
        <v>0.55451504060000001</v>
      </c>
      <c r="N16" s="61"/>
      <c r="O16" s="345">
        <v>22219.026069087002</v>
      </c>
      <c r="P16" s="345">
        <v>0.20079380399999999</v>
      </c>
      <c r="Q16" s="61"/>
      <c r="R16" s="345">
        <v>1032.009689877</v>
      </c>
      <c r="S16" s="345">
        <v>9.4332549999999998E-3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173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172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171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170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109" customFormat="1" ht="14.25" x14ac:dyDescent="0.2">
      <c r="B25" s="290" t="s">
        <v>150</v>
      </c>
    </row>
    <row r="26" spans="1:3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2:32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3903BB2C-52E8-4904-96ED-B23B5DCD919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A247-BF70-437E-875C-5D0686AC7943}">
  <sheetPr>
    <pageSetUpPr fitToPage="1"/>
  </sheetPr>
  <dimension ref="A1:AI31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392" t="s">
        <v>191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190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6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39"/>
      <c r="B11" s="12" t="s">
        <v>4</v>
      </c>
      <c r="D11" s="344">
        <v>206795.536884114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39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41" t="s">
        <v>187</v>
      </c>
      <c r="C13" s="340" t="s">
        <v>188</v>
      </c>
      <c r="D13" s="136"/>
      <c r="E13" s="54"/>
      <c r="F13" s="345">
        <v>126312.91240071099</v>
      </c>
      <c r="G13" s="345">
        <v>0.37460115240000003</v>
      </c>
      <c r="H13" s="54"/>
      <c r="I13" s="345">
        <v>104490.724812367</v>
      </c>
      <c r="J13" s="345">
        <v>0.33188957279999998</v>
      </c>
      <c r="K13" s="53"/>
      <c r="L13" s="345">
        <v>72443.870686644004</v>
      </c>
      <c r="M13" s="345">
        <v>0.2596505751</v>
      </c>
      <c r="N13" s="54"/>
      <c r="O13" s="345">
        <v>43739.280663954101</v>
      </c>
      <c r="P13" s="345">
        <v>0.1761553387</v>
      </c>
    </row>
    <row r="14" spans="1:16" ht="12.75" customHeight="1" x14ac:dyDescent="0.25">
      <c r="A14" s="128"/>
      <c r="B14" s="341" t="s">
        <v>186</v>
      </c>
      <c r="C14" s="340" t="s">
        <v>188</v>
      </c>
      <c r="D14" s="136"/>
      <c r="E14" s="54"/>
      <c r="F14" s="345">
        <v>129633.904707461</v>
      </c>
      <c r="G14" s="345">
        <v>0.3851868007</v>
      </c>
      <c r="H14" s="54"/>
      <c r="I14" s="345">
        <v>104720.67581309599</v>
      </c>
      <c r="J14" s="345">
        <v>0.33993158379999999</v>
      </c>
      <c r="K14" s="53"/>
      <c r="L14" s="345">
        <v>74968.6398149897</v>
      </c>
      <c r="M14" s="345">
        <v>0.26765517529999999</v>
      </c>
      <c r="N14" s="54"/>
      <c r="O14" s="345">
        <v>41122.183696899498</v>
      </c>
      <c r="P14" s="345">
        <v>0.16707091609999999</v>
      </c>
    </row>
    <row r="15" spans="1:16" ht="12.75" customHeight="1" x14ac:dyDescent="0.25">
      <c r="A15" s="128"/>
      <c r="B15" s="341" t="s">
        <v>185</v>
      </c>
      <c r="C15" s="340" t="s">
        <v>188</v>
      </c>
      <c r="D15" s="136"/>
      <c r="E15" s="54"/>
      <c r="F15" s="345">
        <v>113562.729083304</v>
      </c>
      <c r="G15" s="345">
        <v>0.38619107530000002</v>
      </c>
      <c r="H15" s="54"/>
      <c r="I15" s="345">
        <v>103218.59030654001</v>
      </c>
      <c r="J15" s="345">
        <v>0.34754455899999998</v>
      </c>
      <c r="K15" s="53"/>
      <c r="L15" s="345">
        <v>77806.914367527497</v>
      </c>
      <c r="M15" s="345">
        <v>0.27630466310000001</v>
      </c>
      <c r="N15" s="54"/>
      <c r="O15" s="345">
        <v>75683.890644335101</v>
      </c>
      <c r="P15" s="345">
        <v>0.27517191790000001</v>
      </c>
    </row>
    <row r="16" spans="1:16" ht="12.75" customHeight="1" x14ac:dyDescent="0.25">
      <c r="A16" s="128"/>
      <c r="B16" s="341" t="s">
        <v>184</v>
      </c>
      <c r="C16" s="340" t="s">
        <v>188</v>
      </c>
      <c r="D16" s="136"/>
      <c r="E16" s="54"/>
      <c r="F16" s="345">
        <v>165649.15527908001</v>
      </c>
      <c r="G16" s="345">
        <v>0.35515359549999997</v>
      </c>
      <c r="H16" s="54"/>
      <c r="I16" s="345">
        <v>87755.925233870905</v>
      </c>
      <c r="J16" s="345">
        <v>0.32142341229999999</v>
      </c>
      <c r="K16" s="53"/>
      <c r="L16" s="345">
        <v>51803.580232887398</v>
      </c>
      <c r="M16" s="345">
        <v>0.203731105</v>
      </c>
      <c r="N16" s="54"/>
      <c r="O16" s="345">
        <v>26650.520456667899</v>
      </c>
      <c r="P16" s="345">
        <v>0.1102601971</v>
      </c>
    </row>
    <row r="17" spans="1:16" ht="12.75" customHeight="1" x14ac:dyDescent="0.25">
      <c r="A17" s="128"/>
      <c r="B17" s="341" t="s">
        <v>183</v>
      </c>
      <c r="C17" s="340" t="s">
        <v>188</v>
      </c>
      <c r="D17" s="131"/>
      <c r="E17" s="54"/>
      <c r="F17" s="346">
        <v>169915.643244943</v>
      </c>
      <c r="G17" s="346">
        <v>0.36763690189999998</v>
      </c>
      <c r="H17" s="54"/>
      <c r="I17" s="346">
        <v>85820.875565353796</v>
      </c>
      <c r="J17" s="346">
        <v>0.31595125260000001</v>
      </c>
      <c r="K17" s="53"/>
      <c r="L17" s="346">
        <v>48168.464325991503</v>
      </c>
      <c r="M17" s="346">
        <v>0.19001584869999999</v>
      </c>
      <c r="N17" s="54"/>
      <c r="O17" s="346">
        <v>24668.856068739398</v>
      </c>
      <c r="P17" s="346">
        <v>0.10175039919999999</v>
      </c>
    </row>
    <row r="18" spans="1:16" ht="12.75" customHeight="1" x14ac:dyDescent="0.25">
      <c r="A18" s="128"/>
      <c r="B18" s="341" t="s">
        <v>182</v>
      </c>
      <c r="C18" s="340" t="s">
        <v>188</v>
      </c>
      <c r="D18" s="131"/>
      <c r="E18" s="54"/>
      <c r="F18" s="346">
        <v>155627.50676212099</v>
      </c>
      <c r="G18" s="346">
        <v>0.38282625949999999</v>
      </c>
      <c r="H18" s="54"/>
      <c r="I18" s="346">
        <v>88520.4923779112</v>
      </c>
      <c r="J18" s="346">
        <v>0.31425239230000002</v>
      </c>
      <c r="K18" s="53"/>
      <c r="L18" s="346">
        <v>58664.244123584198</v>
      </c>
      <c r="M18" s="346">
        <v>0.22369717789999999</v>
      </c>
      <c r="N18" s="54"/>
      <c r="O18" s="346">
        <v>35485.064235256999</v>
      </c>
      <c r="P18" s="346">
        <v>0.1434387386</v>
      </c>
    </row>
    <row r="19" spans="1:16" s="13" customFormat="1" ht="6" customHeight="1" x14ac:dyDescent="0.2">
      <c r="A19" s="339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42" t="s">
        <v>5</v>
      </c>
      <c r="C20" s="340" t="s">
        <v>188</v>
      </c>
      <c r="D20" s="344">
        <v>7637.9279614702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42"/>
      <c r="C21" s="340"/>
    </row>
    <row r="22" spans="1:16" ht="12.75" customHeight="1" x14ac:dyDescent="0.25">
      <c r="A22" s="128"/>
      <c r="B22" s="341" t="s">
        <v>187</v>
      </c>
      <c r="C22" s="340" t="s">
        <v>188</v>
      </c>
      <c r="D22" s="136"/>
      <c r="E22" s="54"/>
      <c r="F22" s="345">
        <v>5110.6903514602</v>
      </c>
      <c r="G22" s="345">
        <v>1.6524294549</v>
      </c>
      <c r="H22" s="54"/>
      <c r="I22" s="345">
        <v>4640.8838891443002</v>
      </c>
      <c r="J22" s="345">
        <v>1.5023930449</v>
      </c>
      <c r="K22" s="53"/>
      <c r="L22" s="345">
        <v>3093.8779177274</v>
      </c>
      <c r="M22" s="345">
        <v>1.0588717085999999</v>
      </c>
      <c r="N22" s="54"/>
      <c r="O22" s="345">
        <v>2462.4524365715001</v>
      </c>
      <c r="P22" s="345">
        <v>0.87668424280000001</v>
      </c>
    </row>
    <row r="23" spans="1:16" ht="12.75" customHeight="1" x14ac:dyDescent="0.25">
      <c r="A23" s="128"/>
      <c r="B23" s="341" t="s">
        <v>186</v>
      </c>
      <c r="C23" s="340" t="s">
        <v>188</v>
      </c>
      <c r="D23" s="136"/>
      <c r="E23" s="54"/>
      <c r="F23" s="345">
        <v>5326.4486914115996</v>
      </c>
      <c r="G23" s="345">
        <v>1.5280864722</v>
      </c>
      <c r="H23" s="54"/>
      <c r="I23" s="345">
        <v>4421.4984848381</v>
      </c>
      <c r="J23" s="345">
        <v>1.3918314826</v>
      </c>
      <c r="K23" s="53"/>
      <c r="L23" s="345">
        <v>2752.3432365828999</v>
      </c>
      <c r="M23" s="345">
        <v>0.95239270450000002</v>
      </c>
      <c r="N23" s="54"/>
      <c r="O23" s="345">
        <v>1549.1061180813999</v>
      </c>
      <c r="P23" s="345">
        <v>0.55749960629999995</v>
      </c>
    </row>
    <row r="24" spans="1:16" ht="12.75" customHeight="1" x14ac:dyDescent="0.25">
      <c r="A24" s="128"/>
      <c r="B24" s="341" t="s">
        <v>185</v>
      </c>
      <c r="C24" s="340" t="s">
        <v>188</v>
      </c>
      <c r="D24" s="136"/>
      <c r="E24" s="54"/>
      <c r="F24" s="345">
        <v>4956.4628802207999</v>
      </c>
      <c r="G24" s="345">
        <v>1.4745227962</v>
      </c>
      <c r="H24" s="54"/>
      <c r="I24" s="345">
        <v>4419.4332502703001</v>
      </c>
      <c r="J24" s="345">
        <v>1.4414625431000001</v>
      </c>
      <c r="K24" s="53"/>
      <c r="L24" s="345">
        <v>3559.1232654485998</v>
      </c>
      <c r="M24" s="345">
        <v>1.2000293165</v>
      </c>
      <c r="N24" s="54"/>
      <c r="O24" s="345">
        <v>2102.6653066101999</v>
      </c>
      <c r="P24" s="345">
        <v>0.75478100719999996</v>
      </c>
    </row>
    <row r="25" spans="1:16" ht="12.75" customHeight="1" x14ac:dyDescent="0.25">
      <c r="A25" s="128"/>
      <c r="B25" s="341" t="s">
        <v>184</v>
      </c>
      <c r="C25" s="340" t="s">
        <v>188</v>
      </c>
      <c r="D25" s="136"/>
      <c r="E25" s="54"/>
      <c r="F25" s="345">
        <v>6718.5181158724999</v>
      </c>
      <c r="G25" s="345">
        <v>1.3824738990000001</v>
      </c>
      <c r="H25" s="54"/>
      <c r="I25" s="345">
        <v>3925.5589198614002</v>
      </c>
      <c r="J25" s="345">
        <v>1.325414313</v>
      </c>
      <c r="K25" s="53"/>
      <c r="L25" s="345">
        <v>1747.1735313622</v>
      </c>
      <c r="M25" s="345">
        <v>0.65346219189999999</v>
      </c>
      <c r="N25" s="54"/>
      <c r="O25" s="345">
        <v>810.00431941730005</v>
      </c>
      <c r="P25" s="345">
        <v>0.30985712840000001</v>
      </c>
    </row>
    <row r="26" spans="1:16" ht="12.75" customHeight="1" x14ac:dyDescent="0.25">
      <c r="A26" s="128"/>
      <c r="B26" s="341" t="s">
        <v>183</v>
      </c>
      <c r="C26" s="340" t="s">
        <v>188</v>
      </c>
      <c r="D26" s="136"/>
      <c r="E26" s="54"/>
      <c r="F26" s="345">
        <v>6646.9466836824004</v>
      </c>
      <c r="G26" s="345">
        <v>1.3916617484</v>
      </c>
      <c r="H26" s="54"/>
      <c r="I26" s="345">
        <v>3803.5598041251001</v>
      </c>
      <c r="J26" s="345">
        <v>1.2939563838999999</v>
      </c>
      <c r="K26" s="53"/>
      <c r="L26" s="345">
        <v>1601.9822854791</v>
      </c>
      <c r="M26" s="345">
        <v>0.58421185470000003</v>
      </c>
      <c r="N26" s="54"/>
      <c r="O26" s="345">
        <v>600.54367939279996</v>
      </c>
      <c r="P26" s="345">
        <v>0.22871608709999999</v>
      </c>
    </row>
    <row r="27" spans="1:16" ht="12.75" customHeight="1" x14ac:dyDescent="0.25">
      <c r="A27" s="128"/>
      <c r="B27" s="341" t="s">
        <v>182</v>
      </c>
      <c r="C27" s="340" t="s">
        <v>188</v>
      </c>
      <c r="D27" s="136"/>
      <c r="E27" s="54"/>
      <c r="F27" s="345">
        <v>6065.0335281226999</v>
      </c>
      <c r="G27" s="345">
        <v>1.5248511214</v>
      </c>
      <c r="H27" s="54"/>
      <c r="I27" s="345">
        <v>4137.2279396186996</v>
      </c>
      <c r="J27" s="345">
        <v>1.3365684347</v>
      </c>
      <c r="K27" s="53"/>
      <c r="L27" s="345">
        <v>1955.1954636593</v>
      </c>
      <c r="M27" s="345">
        <v>0.71906600190000003</v>
      </c>
      <c r="N27" s="54"/>
      <c r="O27" s="345">
        <v>1254.7599432367999</v>
      </c>
      <c r="P27" s="345">
        <v>0.45886806019999998</v>
      </c>
    </row>
    <row r="28" spans="1:16" s="13" customFormat="1" ht="6" customHeight="1" x14ac:dyDescent="0.2">
      <c r="A28" s="339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40" t="s">
        <v>188</v>
      </c>
      <c r="D29" s="344">
        <v>25570.454135712898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42"/>
      <c r="C30" s="340"/>
    </row>
    <row r="31" spans="1:16" ht="12.75" customHeight="1" x14ac:dyDescent="0.25">
      <c r="A31" s="128"/>
      <c r="B31" s="341" t="s">
        <v>187</v>
      </c>
      <c r="C31" s="340" t="s">
        <v>188</v>
      </c>
      <c r="D31" s="136"/>
      <c r="E31" s="54"/>
      <c r="F31" s="345">
        <v>19152.770218729998</v>
      </c>
      <c r="G31" s="345">
        <v>2.0590175451000001</v>
      </c>
      <c r="H31" s="54"/>
      <c r="I31" s="345">
        <v>17182.124948304299</v>
      </c>
      <c r="J31" s="345">
        <v>1.9548330540000001</v>
      </c>
      <c r="K31" s="53"/>
      <c r="L31" s="345">
        <v>8256.3180936774006</v>
      </c>
      <c r="M31" s="345">
        <v>1.0531088420000001</v>
      </c>
      <c r="N31" s="54"/>
      <c r="O31" s="345">
        <v>5389.3039640512998</v>
      </c>
      <c r="P31" s="345">
        <v>0.74294874830000002</v>
      </c>
    </row>
    <row r="32" spans="1:16" ht="12.75" customHeight="1" x14ac:dyDescent="0.25">
      <c r="A32" s="128"/>
      <c r="B32" s="341" t="s">
        <v>186</v>
      </c>
      <c r="C32" s="340" t="s">
        <v>188</v>
      </c>
      <c r="D32" s="136"/>
      <c r="E32" s="54"/>
      <c r="F32" s="345">
        <v>17952.152309588499</v>
      </c>
      <c r="G32" s="345">
        <v>1.9565563868</v>
      </c>
      <c r="H32" s="54"/>
      <c r="I32" s="345">
        <v>17979.639691140401</v>
      </c>
      <c r="J32" s="345">
        <v>1.9817049064000001</v>
      </c>
      <c r="K32" s="53"/>
      <c r="L32" s="345">
        <v>8025.3947303813002</v>
      </c>
      <c r="M32" s="345">
        <v>1.0296266004000001</v>
      </c>
      <c r="N32" s="54"/>
      <c r="O32" s="345">
        <v>5095.8456417846</v>
      </c>
      <c r="P32" s="345">
        <v>0.70079032519999995</v>
      </c>
    </row>
    <row r="33" spans="1:16" ht="12.75" customHeight="1" x14ac:dyDescent="0.25">
      <c r="A33" s="128"/>
      <c r="B33" s="341" t="s">
        <v>185</v>
      </c>
      <c r="C33" s="340" t="s">
        <v>188</v>
      </c>
      <c r="D33" s="136"/>
      <c r="E33" s="54"/>
      <c r="F33" s="345">
        <v>15846.1861181164</v>
      </c>
      <c r="G33" s="345">
        <v>1.7166431951000001</v>
      </c>
      <c r="H33" s="54"/>
      <c r="I33" s="345">
        <v>15400.1695711745</v>
      </c>
      <c r="J33" s="345">
        <v>1.6644294397999999</v>
      </c>
      <c r="K33" s="53"/>
      <c r="L33" s="345">
        <v>9914.6802068062007</v>
      </c>
      <c r="M33" s="345">
        <v>1.2352360950000001</v>
      </c>
      <c r="N33" s="54"/>
      <c r="O33" s="345">
        <v>8754.7445805494008</v>
      </c>
      <c r="P33" s="345">
        <v>1.1807446765</v>
      </c>
    </row>
    <row r="34" spans="1:16" ht="12.75" customHeight="1" x14ac:dyDescent="0.25">
      <c r="A34" s="128"/>
      <c r="B34" s="341" t="s">
        <v>184</v>
      </c>
      <c r="C34" s="340" t="s">
        <v>188</v>
      </c>
      <c r="D34" s="136"/>
      <c r="E34" s="54"/>
      <c r="F34" s="345">
        <v>21365.595542921601</v>
      </c>
      <c r="G34" s="345">
        <v>2.0002330647000002</v>
      </c>
      <c r="H34" s="54"/>
      <c r="I34" s="345">
        <v>14195.674761075599</v>
      </c>
      <c r="J34" s="345">
        <v>1.7295428238999999</v>
      </c>
      <c r="K34" s="53"/>
      <c r="L34" s="345">
        <v>8320.8888278194008</v>
      </c>
      <c r="M34" s="345">
        <v>1.0718559308</v>
      </c>
      <c r="N34" s="54"/>
      <c r="O34" s="345">
        <v>4752.0468227321999</v>
      </c>
      <c r="P34" s="345">
        <v>0.66227158350000004</v>
      </c>
    </row>
    <row r="35" spans="1:16" ht="12.75" customHeight="1" x14ac:dyDescent="0.25">
      <c r="A35" s="128"/>
      <c r="B35" s="341" t="s">
        <v>183</v>
      </c>
      <c r="C35" s="340" t="s">
        <v>188</v>
      </c>
      <c r="D35" s="136"/>
      <c r="E35" s="54"/>
      <c r="F35" s="345">
        <v>20632.368628209399</v>
      </c>
      <c r="G35" s="345">
        <v>2.0959807870999998</v>
      </c>
      <c r="H35" s="54"/>
      <c r="I35" s="345">
        <v>15861.886624626201</v>
      </c>
      <c r="J35" s="345">
        <v>1.8172904076</v>
      </c>
      <c r="K35" s="53"/>
      <c r="L35" s="345">
        <v>6485.4266651258004</v>
      </c>
      <c r="M35" s="345">
        <v>0.8623020173</v>
      </c>
      <c r="N35" s="54"/>
      <c r="O35" s="345">
        <v>6204.5933213869002</v>
      </c>
      <c r="P35" s="345">
        <v>0.84628316349999999</v>
      </c>
    </row>
    <row r="36" spans="1:16" ht="12.75" customHeight="1" x14ac:dyDescent="0.25">
      <c r="A36" s="128"/>
      <c r="B36" s="341" t="s">
        <v>182</v>
      </c>
      <c r="C36" s="340" t="s">
        <v>188</v>
      </c>
      <c r="D36" s="136"/>
      <c r="E36" s="54"/>
      <c r="F36" s="345">
        <v>18122.864063319699</v>
      </c>
      <c r="G36" s="345">
        <v>1.9203017026</v>
      </c>
      <c r="H36" s="54"/>
      <c r="I36" s="345">
        <v>15786.633698118299</v>
      </c>
      <c r="J36" s="345">
        <v>1.7590416638999999</v>
      </c>
      <c r="K36" s="53"/>
      <c r="L36" s="345">
        <v>9621.5389892744006</v>
      </c>
      <c r="M36" s="345">
        <v>1.230680166</v>
      </c>
      <c r="N36" s="54"/>
      <c r="O36" s="345">
        <v>6050.1725124350996</v>
      </c>
      <c r="P36" s="345">
        <v>0.82722431330000001</v>
      </c>
    </row>
    <row r="37" spans="1:16" s="13" customFormat="1" ht="6" customHeight="1" x14ac:dyDescent="0.2">
      <c r="A37" s="339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40" t="s">
        <v>188</v>
      </c>
      <c r="D38" s="367">
        <v>6921.5173755747001</v>
      </c>
    </row>
    <row r="39" spans="1:16" ht="6" customHeight="1" x14ac:dyDescent="0.25">
      <c r="A39" s="128"/>
      <c r="B39" s="342"/>
      <c r="C39" s="340"/>
      <c r="E39" s="138"/>
      <c r="H39" s="138"/>
      <c r="K39" s="140"/>
      <c r="N39" s="140"/>
    </row>
    <row r="40" spans="1:16" ht="12.75" customHeight="1" x14ac:dyDescent="0.25">
      <c r="A40" s="128"/>
      <c r="B40" s="341" t="s">
        <v>187</v>
      </c>
      <c r="C40" s="340" t="s">
        <v>188</v>
      </c>
      <c r="D40" s="136"/>
      <c r="E40" s="130"/>
      <c r="F40" s="345">
        <v>3149.1515273235</v>
      </c>
      <c r="G40" s="345">
        <v>2.0110870712</v>
      </c>
      <c r="H40" s="130"/>
      <c r="I40" s="345">
        <v>3487.2989289426</v>
      </c>
      <c r="J40" s="345">
        <v>1.9370459712000001</v>
      </c>
      <c r="K40" s="133"/>
      <c r="L40" s="345">
        <v>3595.9628708753999</v>
      </c>
      <c r="M40" s="345">
        <v>1.9458766626999999</v>
      </c>
      <c r="N40" s="130"/>
      <c r="O40" s="345">
        <v>2405.5363925574002</v>
      </c>
      <c r="P40" s="345">
        <v>1.5181841978999999</v>
      </c>
    </row>
    <row r="41" spans="1:16" ht="12.75" customHeight="1" x14ac:dyDescent="0.25">
      <c r="A41" s="128"/>
      <c r="B41" s="341" t="s">
        <v>186</v>
      </c>
      <c r="C41" s="340" t="s">
        <v>188</v>
      </c>
      <c r="D41" s="136"/>
      <c r="E41" s="130"/>
      <c r="F41" s="345">
        <v>3608.9059979112999</v>
      </c>
      <c r="G41" s="345">
        <v>1.8574620229000001</v>
      </c>
      <c r="H41" s="130"/>
      <c r="I41" s="345">
        <v>3072.1866511563999</v>
      </c>
      <c r="J41" s="345">
        <v>1.5932607840999999</v>
      </c>
      <c r="K41" s="133"/>
      <c r="L41" s="345">
        <v>3149.9921213934999</v>
      </c>
      <c r="M41" s="345">
        <v>1.8126722130999999</v>
      </c>
      <c r="N41" s="130"/>
      <c r="O41" s="345">
        <v>1841.5942708835</v>
      </c>
      <c r="P41" s="345">
        <v>1.1170250362</v>
      </c>
    </row>
    <row r="42" spans="1:16" ht="12.75" customHeight="1" x14ac:dyDescent="0.25">
      <c r="A42" s="128"/>
      <c r="B42" s="341" t="s">
        <v>185</v>
      </c>
      <c r="C42" s="340" t="s">
        <v>188</v>
      </c>
      <c r="D42" s="136"/>
      <c r="E42" s="130"/>
      <c r="F42" s="345">
        <v>3254.0932111235002</v>
      </c>
      <c r="G42" s="345">
        <v>1.7468802012</v>
      </c>
      <c r="H42" s="130"/>
      <c r="I42" s="345">
        <v>2834.0229399974</v>
      </c>
      <c r="J42" s="345">
        <v>2.0584169426000001</v>
      </c>
      <c r="K42" s="133"/>
      <c r="L42" s="345">
        <v>3123.5803104637998</v>
      </c>
      <c r="M42" s="345">
        <v>1.7289273970000001</v>
      </c>
      <c r="N42" s="130"/>
      <c r="O42" s="345">
        <v>3512.2481706746998</v>
      </c>
      <c r="P42" s="345">
        <v>1.8863185229999999</v>
      </c>
    </row>
    <row r="43" spans="1:16" ht="12.75" customHeight="1" x14ac:dyDescent="0.25">
      <c r="A43" s="128"/>
      <c r="B43" s="341" t="s">
        <v>184</v>
      </c>
      <c r="C43" s="340" t="s">
        <v>188</v>
      </c>
      <c r="D43" s="136"/>
      <c r="E43" s="130"/>
      <c r="F43" s="345">
        <v>4627.6369592298997</v>
      </c>
      <c r="G43" s="345">
        <v>1.7997627758000001</v>
      </c>
      <c r="H43" s="130"/>
      <c r="I43" s="345">
        <v>3226.8831882584</v>
      </c>
      <c r="J43" s="345">
        <v>1.6633227342000001</v>
      </c>
      <c r="K43" s="133"/>
      <c r="L43" s="345">
        <v>1950.9457949103</v>
      </c>
      <c r="M43" s="345">
        <v>1.1963945199999999</v>
      </c>
      <c r="N43" s="130"/>
      <c r="O43" s="345">
        <v>583.26694035820003</v>
      </c>
      <c r="P43" s="345">
        <v>0.3813203852</v>
      </c>
    </row>
    <row r="44" spans="1:16" ht="12.75" customHeight="1" x14ac:dyDescent="0.25">
      <c r="A44" s="128"/>
      <c r="B44" s="341" t="s">
        <v>183</v>
      </c>
      <c r="C44" s="340" t="s">
        <v>188</v>
      </c>
      <c r="D44" s="136"/>
      <c r="E44" s="130"/>
      <c r="F44" s="345">
        <v>4826.9866020329</v>
      </c>
      <c r="G44" s="345">
        <v>1.7492494651999999</v>
      </c>
      <c r="H44" s="130"/>
      <c r="I44" s="345">
        <v>3031.2260724875</v>
      </c>
      <c r="J44" s="345">
        <v>1.5042260651999999</v>
      </c>
      <c r="K44" s="133"/>
      <c r="L44" s="345">
        <v>1495.156672699</v>
      </c>
      <c r="M44" s="345">
        <v>0.92309354840000002</v>
      </c>
      <c r="N44" s="130"/>
      <c r="O44" s="345">
        <v>588.55150374480002</v>
      </c>
      <c r="P44" s="345">
        <v>0.3834576167</v>
      </c>
    </row>
    <row r="45" spans="1:16" ht="12.75" customHeight="1" x14ac:dyDescent="0.25">
      <c r="A45" s="128"/>
      <c r="B45" s="341" t="s">
        <v>182</v>
      </c>
      <c r="C45" s="340" t="s">
        <v>188</v>
      </c>
      <c r="D45" s="136"/>
      <c r="E45" s="130"/>
      <c r="F45" s="345">
        <v>3971.2081251119998</v>
      </c>
      <c r="G45" s="345">
        <v>2.0346047145999999</v>
      </c>
      <c r="H45" s="130"/>
      <c r="I45" s="345">
        <v>3162.5635224289999</v>
      </c>
      <c r="J45" s="345">
        <v>1.9411460112000001</v>
      </c>
      <c r="K45" s="133"/>
      <c r="L45" s="345">
        <v>2487.5176732943</v>
      </c>
      <c r="M45" s="345">
        <v>1.2733349864000001</v>
      </c>
      <c r="N45" s="130"/>
      <c r="O45" s="345">
        <v>1594.9959605890999</v>
      </c>
      <c r="P45" s="345">
        <v>0.94816491920000001</v>
      </c>
    </row>
    <row r="46" spans="1:16" s="13" customFormat="1" ht="6" customHeight="1" x14ac:dyDescent="0.2">
      <c r="A46" s="339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40" t="s">
        <v>188</v>
      </c>
      <c r="D47" s="344">
        <v>8627.7534504734995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42"/>
      <c r="C48" s="340"/>
      <c r="E48" s="138"/>
      <c r="H48" s="138"/>
      <c r="K48" s="140"/>
      <c r="N48" s="140"/>
    </row>
    <row r="49" spans="1:16" ht="12.75" customHeight="1" x14ac:dyDescent="0.25">
      <c r="A49" s="128"/>
      <c r="B49" s="341" t="s">
        <v>187</v>
      </c>
      <c r="C49" s="340" t="s">
        <v>188</v>
      </c>
      <c r="D49" s="136"/>
      <c r="E49" s="130"/>
      <c r="F49" s="345">
        <v>4095.5796334286001</v>
      </c>
      <c r="G49" s="345">
        <v>1.66737486</v>
      </c>
      <c r="H49" s="130"/>
      <c r="I49" s="345">
        <v>3622.2173862367999</v>
      </c>
      <c r="J49" s="345">
        <v>1.3881495344999999</v>
      </c>
      <c r="K49" s="133"/>
      <c r="L49" s="345">
        <v>3539.1326077645999</v>
      </c>
      <c r="M49" s="345">
        <v>1.3660050938999999</v>
      </c>
      <c r="N49" s="130"/>
      <c r="O49" s="345">
        <v>2448.2681229847999</v>
      </c>
      <c r="P49" s="345">
        <v>1.0659146981000001</v>
      </c>
    </row>
    <row r="50" spans="1:16" ht="12.75" customHeight="1" x14ac:dyDescent="0.25">
      <c r="A50" s="128"/>
      <c r="B50" s="341" t="s">
        <v>186</v>
      </c>
      <c r="C50" s="340" t="s">
        <v>188</v>
      </c>
      <c r="D50" s="136"/>
      <c r="E50" s="130"/>
      <c r="F50" s="345">
        <v>3532.0722573292001</v>
      </c>
      <c r="G50" s="345">
        <v>1.5260841812999999</v>
      </c>
      <c r="H50" s="130"/>
      <c r="I50" s="345">
        <v>3824.9677500214998</v>
      </c>
      <c r="J50" s="345">
        <v>1.3210880387999999</v>
      </c>
      <c r="K50" s="133"/>
      <c r="L50" s="345">
        <v>3475.7307244266999</v>
      </c>
      <c r="M50" s="345">
        <v>1.2668622769</v>
      </c>
      <c r="N50" s="130"/>
      <c r="O50" s="345">
        <v>2590.1556746261999</v>
      </c>
      <c r="P50" s="345">
        <v>1.1166557571</v>
      </c>
    </row>
    <row r="51" spans="1:16" ht="12.75" customHeight="1" x14ac:dyDescent="0.25">
      <c r="A51" s="128"/>
      <c r="B51" s="341" t="s">
        <v>185</v>
      </c>
      <c r="C51" s="340" t="s">
        <v>188</v>
      </c>
      <c r="D51" s="136"/>
      <c r="E51" s="130"/>
      <c r="F51" s="345">
        <v>2853.5661320189001</v>
      </c>
      <c r="G51" s="345">
        <v>1.2697267819</v>
      </c>
      <c r="H51" s="130"/>
      <c r="I51" s="345">
        <v>3169.9124959909</v>
      </c>
      <c r="J51" s="345">
        <v>1.2222683283</v>
      </c>
      <c r="K51" s="133"/>
      <c r="L51" s="345">
        <v>3631.5704030869001</v>
      </c>
      <c r="M51" s="345">
        <v>1.3359791995000001</v>
      </c>
      <c r="N51" s="130"/>
      <c r="O51" s="345">
        <v>3763.1526207488</v>
      </c>
      <c r="P51" s="345">
        <v>1.4102648392999999</v>
      </c>
    </row>
    <row r="52" spans="1:16" ht="12.75" customHeight="1" x14ac:dyDescent="0.25">
      <c r="A52" s="128"/>
      <c r="B52" s="341" t="s">
        <v>184</v>
      </c>
      <c r="C52" s="340" t="s">
        <v>188</v>
      </c>
      <c r="D52" s="136"/>
      <c r="E52" s="130"/>
      <c r="F52" s="345">
        <v>6129.9421430640004</v>
      </c>
      <c r="G52" s="345">
        <v>1.6730191931</v>
      </c>
      <c r="H52" s="130"/>
      <c r="I52" s="345">
        <v>3506.3384183223002</v>
      </c>
      <c r="J52" s="345">
        <v>1.4597058355000001</v>
      </c>
      <c r="K52" s="133"/>
      <c r="L52" s="345">
        <v>1959.0028357547001</v>
      </c>
      <c r="M52" s="345">
        <v>0.80925120969999997</v>
      </c>
      <c r="N52" s="130"/>
      <c r="O52" s="345">
        <v>1143.7890618116</v>
      </c>
      <c r="P52" s="345">
        <v>0.56199529729999997</v>
      </c>
    </row>
    <row r="53" spans="1:16" ht="12.75" customHeight="1" x14ac:dyDescent="0.25">
      <c r="A53" s="128"/>
      <c r="B53" s="341" t="s">
        <v>183</v>
      </c>
      <c r="C53" s="340" t="s">
        <v>188</v>
      </c>
      <c r="D53" s="136"/>
      <c r="E53" s="130"/>
      <c r="F53" s="345">
        <v>6532.0767953140003</v>
      </c>
      <c r="G53" s="345">
        <v>1.6371677366999999</v>
      </c>
      <c r="H53" s="130"/>
      <c r="I53" s="345">
        <v>3105.8850527031</v>
      </c>
      <c r="J53" s="345">
        <v>1.3215308647999999</v>
      </c>
      <c r="K53" s="133"/>
      <c r="L53" s="345">
        <v>1864.1989086209001</v>
      </c>
      <c r="M53" s="345">
        <v>0.80762194359999995</v>
      </c>
      <c r="N53" s="130"/>
      <c r="O53" s="345">
        <v>1062.6713185916001</v>
      </c>
      <c r="P53" s="345">
        <v>0.52415430929999995</v>
      </c>
    </row>
    <row r="54" spans="1:16" ht="12.75" customHeight="1" x14ac:dyDescent="0.25">
      <c r="A54" s="128"/>
      <c r="B54" s="341" t="s">
        <v>182</v>
      </c>
      <c r="C54" s="340" t="s">
        <v>188</v>
      </c>
      <c r="D54" s="136"/>
      <c r="E54" s="130"/>
      <c r="F54" s="345">
        <v>4934.1849229296004</v>
      </c>
      <c r="G54" s="345">
        <v>1.7491600429</v>
      </c>
      <c r="H54" s="130"/>
      <c r="I54" s="345">
        <v>3671.2019228375002</v>
      </c>
      <c r="J54" s="345">
        <v>1.5449556931999999</v>
      </c>
      <c r="K54" s="133"/>
      <c r="L54" s="345">
        <v>2858.9639982896001</v>
      </c>
      <c r="M54" s="345">
        <v>1.0833698568000001</v>
      </c>
      <c r="N54" s="130"/>
      <c r="O54" s="345">
        <v>1763.6324181571999</v>
      </c>
      <c r="P54" s="345">
        <v>0.77121674630000003</v>
      </c>
    </row>
    <row r="55" spans="1:16" s="13" customFormat="1" ht="6" customHeight="1" x14ac:dyDescent="0.2">
      <c r="A55" s="339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40" t="s">
        <v>188</v>
      </c>
      <c r="D56" s="344">
        <v>15872.674300118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42"/>
      <c r="C57" s="340"/>
      <c r="E57" s="138"/>
      <c r="H57" s="138"/>
      <c r="K57" s="140"/>
      <c r="N57" s="140"/>
    </row>
    <row r="58" spans="1:16" ht="12.75" customHeight="1" x14ac:dyDescent="0.25">
      <c r="A58" s="128"/>
      <c r="B58" s="341" t="s">
        <v>187</v>
      </c>
      <c r="C58" s="340" t="s">
        <v>188</v>
      </c>
      <c r="D58" s="136"/>
      <c r="E58" s="130"/>
      <c r="F58" s="345">
        <v>14575.359028540201</v>
      </c>
      <c r="G58" s="345">
        <v>1.8652750121999999</v>
      </c>
      <c r="H58" s="130"/>
      <c r="I58" s="345">
        <v>11174.402142078001</v>
      </c>
      <c r="J58" s="345">
        <v>1.6308627102</v>
      </c>
      <c r="K58" s="133"/>
      <c r="L58" s="345">
        <v>6721.1898622027002</v>
      </c>
      <c r="M58" s="345">
        <v>1.0535850184</v>
      </c>
      <c r="N58" s="130"/>
      <c r="O58" s="345">
        <v>4996.9038576714001</v>
      </c>
      <c r="P58" s="345">
        <v>0.77827187220000005</v>
      </c>
    </row>
    <row r="59" spans="1:16" ht="12.75" customHeight="1" x14ac:dyDescent="0.25">
      <c r="A59" s="128"/>
      <c r="B59" s="341" t="s">
        <v>186</v>
      </c>
      <c r="C59" s="340" t="s">
        <v>188</v>
      </c>
      <c r="D59" s="136"/>
      <c r="E59" s="130"/>
      <c r="F59" s="345">
        <v>13954.092964429499</v>
      </c>
      <c r="G59" s="345">
        <v>1.7449782222000001</v>
      </c>
      <c r="H59" s="130"/>
      <c r="I59" s="345">
        <v>9746.7270780424005</v>
      </c>
      <c r="J59" s="345">
        <v>1.4397982547999999</v>
      </c>
      <c r="K59" s="133"/>
      <c r="L59" s="345">
        <v>6948.7946758120997</v>
      </c>
      <c r="M59" s="345">
        <v>1.0669527961</v>
      </c>
      <c r="N59" s="130"/>
      <c r="O59" s="345">
        <v>4551.6142476018003</v>
      </c>
      <c r="P59" s="345">
        <v>0.69485202280000002</v>
      </c>
    </row>
    <row r="60" spans="1:16" ht="12.75" customHeight="1" x14ac:dyDescent="0.25">
      <c r="A60" s="128"/>
      <c r="B60" s="341" t="s">
        <v>185</v>
      </c>
      <c r="C60" s="340" t="s">
        <v>188</v>
      </c>
      <c r="D60" s="136"/>
      <c r="E60" s="130"/>
      <c r="F60" s="345">
        <v>14121.0265663919</v>
      </c>
      <c r="G60" s="345">
        <v>1.7458589976000001</v>
      </c>
      <c r="H60" s="130"/>
      <c r="I60" s="345">
        <v>9423.9255578203993</v>
      </c>
      <c r="J60" s="345">
        <v>1.4416287881000001</v>
      </c>
      <c r="K60" s="133"/>
      <c r="L60" s="345">
        <v>7654.9333562450001</v>
      </c>
      <c r="M60" s="345">
        <v>1.2015273368999999</v>
      </c>
      <c r="N60" s="130"/>
      <c r="O60" s="345">
        <v>5630.7303310418001</v>
      </c>
      <c r="P60" s="345">
        <v>0.83794584179999998</v>
      </c>
    </row>
    <row r="61" spans="1:16" ht="12.75" customHeight="1" x14ac:dyDescent="0.25">
      <c r="A61" s="128"/>
      <c r="B61" s="341" t="s">
        <v>184</v>
      </c>
      <c r="C61" s="340" t="s">
        <v>188</v>
      </c>
      <c r="D61" s="136"/>
      <c r="E61" s="130"/>
      <c r="F61" s="345">
        <v>16354.792265964001</v>
      </c>
      <c r="G61" s="345">
        <v>1.4472309424000001</v>
      </c>
      <c r="H61" s="130"/>
      <c r="I61" s="345">
        <v>7888.9468034574002</v>
      </c>
      <c r="J61" s="345">
        <v>1.2677641145</v>
      </c>
      <c r="K61" s="133"/>
      <c r="L61" s="345">
        <v>4224.9089027079999</v>
      </c>
      <c r="M61" s="345">
        <v>0.6636564237</v>
      </c>
      <c r="N61" s="130"/>
      <c r="O61" s="345">
        <v>1999.1427329400001</v>
      </c>
      <c r="P61" s="345">
        <v>0.31669731909999999</v>
      </c>
    </row>
    <row r="62" spans="1:16" ht="12.75" customHeight="1" x14ac:dyDescent="0.25">
      <c r="A62" s="128"/>
      <c r="B62" s="341" t="s">
        <v>183</v>
      </c>
      <c r="C62" s="340" t="s">
        <v>188</v>
      </c>
      <c r="D62" s="136"/>
      <c r="E62" s="130"/>
      <c r="F62" s="345">
        <v>16610.488715535601</v>
      </c>
      <c r="G62" s="345">
        <v>1.5156084768</v>
      </c>
      <c r="H62" s="130"/>
      <c r="I62" s="345">
        <v>7629.9812521944004</v>
      </c>
      <c r="J62" s="345">
        <v>1.2023165959</v>
      </c>
      <c r="K62" s="133"/>
      <c r="L62" s="345">
        <v>5132.1952549115003</v>
      </c>
      <c r="M62" s="345">
        <v>0.81526416030000004</v>
      </c>
      <c r="N62" s="130"/>
      <c r="O62" s="345">
        <v>2441.3153113325002</v>
      </c>
      <c r="P62" s="345">
        <v>0.39140060240000002</v>
      </c>
    </row>
    <row r="63" spans="1:16" ht="12.75" customHeight="1" x14ac:dyDescent="0.25">
      <c r="A63" s="128"/>
      <c r="B63" s="341" t="s">
        <v>182</v>
      </c>
      <c r="C63" s="340" t="s">
        <v>188</v>
      </c>
      <c r="D63" s="136"/>
      <c r="E63" s="130"/>
      <c r="F63" s="345">
        <v>15229.359895076999</v>
      </c>
      <c r="G63" s="345">
        <v>1.5794773090000001</v>
      </c>
      <c r="H63" s="130"/>
      <c r="I63" s="345">
        <v>8701.4414536380009</v>
      </c>
      <c r="J63" s="345">
        <v>1.2953012584000001</v>
      </c>
      <c r="K63" s="133"/>
      <c r="L63" s="345">
        <v>6653.8845780053998</v>
      </c>
      <c r="M63" s="345">
        <v>1.0788682544999999</v>
      </c>
      <c r="N63" s="130"/>
      <c r="O63" s="345">
        <v>3779.4278583085002</v>
      </c>
      <c r="P63" s="345">
        <v>0.59419631809999995</v>
      </c>
    </row>
    <row r="64" spans="1:16" s="13" customFormat="1" ht="6" customHeight="1" x14ac:dyDescent="0.2">
      <c r="A64" s="339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40" t="s">
        <v>188</v>
      </c>
      <c r="D65" s="344">
        <v>6482.4937291401002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42"/>
      <c r="C66" s="340"/>
      <c r="E66" s="138"/>
      <c r="H66" s="138"/>
      <c r="K66" s="140"/>
      <c r="N66" s="140"/>
    </row>
    <row r="67" spans="1:16" ht="12.75" customHeight="1" x14ac:dyDescent="0.25">
      <c r="A67" s="128"/>
      <c r="B67" s="341" t="s">
        <v>187</v>
      </c>
      <c r="C67" s="340" t="s">
        <v>188</v>
      </c>
      <c r="D67" s="136"/>
      <c r="E67" s="130"/>
      <c r="F67" s="345">
        <v>4646.6775415563998</v>
      </c>
      <c r="G67" s="345">
        <v>2.1243813408999999</v>
      </c>
      <c r="H67" s="130"/>
      <c r="I67" s="345">
        <v>3068.1599959935002</v>
      </c>
      <c r="J67" s="345">
        <v>1.8841551725000001</v>
      </c>
      <c r="K67" s="133"/>
      <c r="L67" s="345">
        <v>1797.2760293058</v>
      </c>
      <c r="M67" s="345">
        <v>1.1172118175000001</v>
      </c>
      <c r="N67" s="130"/>
      <c r="O67" s="345">
        <v>1165.3503230552001</v>
      </c>
      <c r="P67" s="345">
        <v>0.81173629859999996</v>
      </c>
    </row>
    <row r="68" spans="1:16" ht="12.75" customHeight="1" x14ac:dyDescent="0.25">
      <c r="A68" s="128"/>
      <c r="B68" s="341" t="s">
        <v>186</v>
      </c>
      <c r="C68" s="340" t="s">
        <v>188</v>
      </c>
      <c r="D68" s="136"/>
      <c r="E68" s="130"/>
      <c r="F68" s="345">
        <v>4443.2609073369003</v>
      </c>
      <c r="G68" s="345">
        <v>1.8261393373000001</v>
      </c>
      <c r="H68" s="130"/>
      <c r="I68" s="345">
        <v>2556.4602771891</v>
      </c>
      <c r="J68" s="345">
        <v>1.5950510813000001</v>
      </c>
      <c r="K68" s="133"/>
      <c r="L68" s="345">
        <v>2153.1938289339</v>
      </c>
      <c r="M68" s="345">
        <v>1.2808764787</v>
      </c>
      <c r="N68" s="130"/>
      <c r="O68" s="345">
        <v>990.18630103149997</v>
      </c>
      <c r="P68" s="345">
        <v>0.7153514393</v>
      </c>
    </row>
    <row r="69" spans="1:16" ht="12.75" customHeight="1" x14ac:dyDescent="0.25">
      <c r="A69" s="128"/>
      <c r="B69" s="341" t="s">
        <v>185</v>
      </c>
      <c r="C69" s="340" t="s">
        <v>188</v>
      </c>
      <c r="D69" s="136"/>
      <c r="E69" s="130"/>
      <c r="F69" s="345">
        <v>4258.2398389359996</v>
      </c>
      <c r="G69" s="345">
        <v>1.8519415473</v>
      </c>
      <c r="H69" s="130"/>
      <c r="I69" s="345">
        <v>2671.7487497641</v>
      </c>
      <c r="J69" s="345">
        <v>1.6969039296999999</v>
      </c>
      <c r="K69" s="133"/>
      <c r="L69" s="345">
        <v>1924.3392316771001</v>
      </c>
      <c r="M69" s="345">
        <v>1.2286766249000001</v>
      </c>
      <c r="N69" s="130"/>
      <c r="O69" s="345">
        <v>1546.6820216496999</v>
      </c>
      <c r="P69" s="345">
        <v>0.98880182139999995</v>
      </c>
    </row>
    <row r="70" spans="1:16" ht="12.75" customHeight="1" x14ac:dyDescent="0.25">
      <c r="A70" s="128"/>
      <c r="B70" s="341" t="s">
        <v>184</v>
      </c>
      <c r="C70" s="340" t="s">
        <v>188</v>
      </c>
      <c r="D70" s="136"/>
      <c r="E70" s="130"/>
      <c r="F70" s="345">
        <v>5164.7722778115003</v>
      </c>
      <c r="G70" s="345">
        <v>1.4961858186999999</v>
      </c>
      <c r="H70" s="130"/>
      <c r="I70" s="345">
        <v>2247.1890974625999</v>
      </c>
      <c r="J70" s="345">
        <v>1.3571873964000001</v>
      </c>
      <c r="K70" s="133"/>
      <c r="L70" s="345">
        <v>1226.5412131661001</v>
      </c>
      <c r="M70" s="345">
        <v>0.82489537089999998</v>
      </c>
      <c r="N70" s="130"/>
      <c r="O70" s="345">
        <v>531.89370581510002</v>
      </c>
      <c r="P70" s="345">
        <v>0.38629663310000001</v>
      </c>
    </row>
    <row r="71" spans="1:16" ht="12.75" customHeight="1" x14ac:dyDescent="0.25">
      <c r="A71" s="128"/>
      <c r="B71" s="341" t="s">
        <v>183</v>
      </c>
      <c r="C71" s="340" t="s">
        <v>188</v>
      </c>
      <c r="D71" s="136"/>
      <c r="E71" s="130"/>
      <c r="F71" s="345">
        <v>5224.6379849526002</v>
      </c>
      <c r="G71" s="345">
        <v>1.6715524611000001</v>
      </c>
      <c r="H71" s="130"/>
      <c r="I71" s="345">
        <v>2186.4223241537002</v>
      </c>
      <c r="J71" s="345">
        <v>1.4225002922000001</v>
      </c>
      <c r="K71" s="133"/>
      <c r="L71" s="345">
        <v>1261.918510361</v>
      </c>
      <c r="M71" s="345">
        <v>0.81285648690000001</v>
      </c>
      <c r="N71" s="130"/>
      <c r="O71" s="345">
        <v>755.11199082450003</v>
      </c>
      <c r="P71" s="345">
        <v>0.52384958000000004</v>
      </c>
    </row>
    <row r="72" spans="1:16" ht="12.75" customHeight="1" x14ac:dyDescent="0.25">
      <c r="A72" s="128"/>
      <c r="B72" s="341" t="s">
        <v>182</v>
      </c>
      <c r="C72" s="340" t="s">
        <v>188</v>
      </c>
      <c r="D72" s="136"/>
      <c r="E72" s="130"/>
      <c r="F72" s="345">
        <v>4702.2236899115996</v>
      </c>
      <c r="G72" s="345">
        <v>1.9783090941999999</v>
      </c>
      <c r="H72" s="130"/>
      <c r="I72" s="345">
        <v>2843.1064676532001</v>
      </c>
      <c r="J72" s="345">
        <v>1.5956305208999999</v>
      </c>
      <c r="K72" s="133"/>
      <c r="L72" s="345">
        <v>1566.0077616576</v>
      </c>
      <c r="M72" s="345">
        <v>1.0359666434999999</v>
      </c>
      <c r="N72" s="130"/>
      <c r="O72" s="345">
        <v>865.04199160170003</v>
      </c>
      <c r="P72" s="345">
        <v>0.60467942900000005</v>
      </c>
    </row>
    <row r="73" spans="1:16" s="13" customFormat="1" ht="6" customHeight="1" x14ac:dyDescent="0.2">
      <c r="A73" s="339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40" t="s">
        <v>188</v>
      </c>
      <c r="D74" s="344">
        <v>53287.367466882897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42"/>
      <c r="C75" s="340"/>
      <c r="E75" s="138"/>
      <c r="H75" s="138"/>
      <c r="K75" s="140"/>
      <c r="N75" s="140"/>
    </row>
    <row r="76" spans="1:16" ht="12.75" customHeight="1" x14ac:dyDescent="0.25">
      <c r="A76" s="128"/>
      <c r="B76" s="341" t="s">
        <v>187</v>
      </c>
      <c r="C76" s="340" t="s">
        <v>188</v>
      </c>
      <c r="D76" s="136"/>
      <c r="E76" s="130"/>
      <c r="F76" s="345">
        <v>22600.457514848302</v>
      </c>
      <c r="G76" s="345">
        <v>1.4925336049</v>
      </c>
      <c r="H76" s="130"/>
      <c r="I76" s="345">
        <v>22197.769950256199</v>
      </c>
      <c r="J76" s="345">
        <v>1.5187276583</v>
      </c>
      <c r="K76" s="133"/>
      <c r="L76" s="345">
        <v>22936.762900131402</v>
      </c>
      <c r="M76" s="345">
        <v>1.4668545057</v>
      </c>
      <c r="N76" s="130"/>
      <c r="O76" s="345">
        <v>13495.584632198599</v>
      </c>
      <c r="P76" s="345">
        <v>1.174537639</v>
      </c>
    </row>
    <row r="77" spans="1:16" ht="12.75" customHeight="1" x14ac:dyDescent="0.25">
      <c r="A77" s="128"/>
      <c r="B77" s="341" t="s">
        <v>186</v>
      </c>
      <c r="C77" s="340" t="s">
        <v>188</v>
      </c>
      <c r="D77" s="136"/>
      <c r="E77" s="130"/>
      <c r="F77" s="345">
        <v>22199.6166934715</v>
      </c>
      <c r="G77" s="345">
        <v>1.4091789402999999</v>
      </c>
      <c r="H77" s="130"/>
      <c r="I77" s="345">
        <v>21604.8445111777</v>
      </c>
      <c r="J77" s="345">
        <v>1.3889779397999999</v>
      </c>
      <c r="K77" s="133"/>
      <c r="L77" s="345">
        <v>22415.434290311201</v>
      </c>
      <c r="M77" s="345">
        <v>1.5959978366000001</v>
      </c>
      <c r="N77" s="130"/>
      <c r="O77" s="345">
        <v>12147.5692825679</v>
      </c>
      <c r="P77" s="345">
        <v>0.95646638009999996</v>
      </c>
    </row>
    <row r="78" spans="1:16" ht="12.75" customHeight="1" x14ac:dyDescent="0.25">
      <c r="A78" s="128"/>
      <c r="B78" s="341" t="s">
        <v>185</v>
      </c>
      <c r="C78" s="340" t="s">
        <v>188</v>
      </c>
      <c r="D78" s="136"/>
      <c r="E78" s="130"/>
      <c r="F78" s="345">
        <v>15483.4821874668</v>
      </c>
      <c r="G78" s="345">
        <v>1.1013045255</v>
      </c>
      <c r="H78" s="130"/>
      <c r="I78" s="345">
        <v>16485.878124123199</v>
      </c>
      <c r="J78" s="345">
        <v>1.2106766874999999</v>
      </c>
      <c r="K78" s="133"/>
      <c r="L78" s="345">
        <v>23592.0456334552</v>
      </c>
      <c r="M78" s="345">
        <v>1.5669955068000001</v>
      </c>
      <c r="N78" s="130"/>
      <c r="O78" s="345">
        <v>23542.577659778999</v>
      </c>
      <c r="P78" s="345">
        <v>1.6070227736</v>
      </c>
    </row>
    <row r="79" spans="1:16" ht="12.75" customHeight="1" x14ac:dyDescent="0.25">
      <c r="A79" s="128"/>
      <c r="B79" s="341" t="s">
        <v>184</v>
      </c>
      <c r="C79" s="340" t="s">
        <v>188</v>
      </c>
      <c r="D79" s="136"/>
      <c r="E79" s="130"/>
      <c r="F79" s="345">
        <v>38295.831799351399</v>
      </c>
      <c r="G79" s="345">
        <v>1.4869239134000001</v>
      </c>
      <c r="H79" s="130"/>
      <c r="I79" s="345">
        <v>17415.395503672298</v>
      </c>
      <c r="J79" s="345">
        <v>1.1977405303999999</v>
      </c>
      <c r="K79" s="133"/>
      <c r="L79" s="345">
        <v>12017.555692801199</v>
      </c>
      <c r="M79" s="345">
        <v>0.96097849489999998</v>
      </c>
      <c r="N79" s="130"/>
      <c r="O79" s="345">
        <v>5589.8339263666003</v>
      </c>
      <c r="P79" s="345">
        <v>0.53501098989999996</v>
      </c>
    </row>
    <row r="80" spans="1:16" ht="12.75" customHeight="1" x14ac:dyDescent="0.25">
      <c r="A80" s="128"/>
      <c r="B80" s="341" t="s">
        <v>183</v>
      </c>
      <c r="C80" s="340" t="s">
        <v>188</v>
      </c>
      <c r="D80" s="136"/>
      <c r="E80" s="130"/>
      <c r="F80" s="345">
        <v>40745.9297481291</v>
      </c>
      <c r="G80" s="345">
        <v>1.3793454073</v>
      </c>
      <c r="H80" s="130"/>
      <c r="I80" s="345">
        <v>14719.804044935699</v>
      </c>
      <c r="J80" s="345">
        <v>1.0585967842999999</v>
      </c>
      <c r="K80" s="133"/>
      <c r="L80" s="345">
        <v>12881.2815940823</v>
      </c>
      <c r="M80" s="345">
        <v>1.0845591577</v>
      </c>
      <c r="N80" s="130"/>
      <c r="O80" s="345">
        <v>4121.9256209154</v>
      </c>
      <c r="P80" s="345">
        <v>0.39112859719999998</v>
      </c>
    </row>
    <row r="81" spans="1:16" ht="12.75" customHeight="1" x14ac:dyDescent="0.25">
      <c r="A81" s="128"/>
      <c r="B81" s="341" t="s">
        <v>182</v>
      </c>
      <c r="C81" s="340" t="s">
        <v>188</v>
      </c>
      <c r="D81" s="136"/>
      <c r="E81" s="130"/>
      <c r="F81" s="345">
        <v>28474.8062103792</v>
      </c>
      <c r="G81" s="345">
        <v>1.5872698373</v>
      </c>
      <c r="H81" s="130"/>
      <c r="I81" s="345">
        <v>21961.626199161401</v>
      </c>
      <c r="J81" s="345">
        <v>1.3594184411000001</v>
      </c>
      <c r="K81" s="133"/>
      <c r="L81" s="345">
        <v>16962.519469368901</v>
      </c>
      <c r="M81" s="345">
        <v>1.2515895539999999</v>
      </c>
      <c r="N81" s="130"/>
      <c r="O81" s="345">
        <v>7785.7315972133001</v>
      </c>
      <c r="P81" s="345">
        <v>0.65934579439999996</v>
      </c>
    </row>
    <row r="82" spans="1:16" s="13" customFormat="1" ht="6" customHeight="1" x14ac:dyDescent="0.2">
      <c r="A82" s="339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40" t="s">
        <v>188</v>
      </c>
      <c r="D83" s="344">
        <v>21640.5052695741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42"/>
      <c r="C84" s="340"/>
      <c r="E84" s="138"/>
      <c r="H84" s="138"/>
      <c r="K84" s="140"/>
      <c r="N84" s="140"/>
    </row>
    <row r="85" spans="1:16" ht="12.75" customHeight="1" x14ac:dyDescent="0.25">
      <c r="A85" s="128"/>
      <c r="B85" s="341" t="s">
        <v>187</v>
      </c>
      <c r="C85" s="340" t="s">
        <v>188</v>
      </c>
      <c r="D85" s="136"/>
      <c r="E85" s="130"/>
      <c r="F85" s="345">
        <v>16572.615885378102</v>
      </c>
      <c r="G85" s="345">
        <v>1.8144788431000001</v>
      </c>
      <c r="H85" s="130"/>
      <c r="I85" s="345">
        <v>14640.824337211499</v>
      </c>
      <c r="J85" s="345">
        <v>1.4651558682000001</v>
      </c>
      <c r="K85" s="133"/>
      <c r="L85" s="345">
        <v>9064.3519503346997</v>
      </c>
      <c r="M85" s="345">
        <v>1.0490719923</v>
      </c>
      <c r="N85" s="130"/>
      <c r="O85" s="345">
        <v>5830.5969025991999</v>
      </c>
      <c r="P85" s="345">
        <v>0.70583608330000003</v>
      </c>
    </row>
    <row r="86" spans="1:16" ht="12.75" customHeight="1" x14ac:dyDescent="0.25">
      <c r="A86" s="128"/>
      <c r="B86" s="341" t="s">
        <v>186</v>
      </c>
      <c r="C86" s="340" t="s">
        <v>188</v>
      </c>
      <c r="D86" s="136"/>
      <c r="E86" s="130"/>
      <c r="F86" s="345">
        <v>16232.1165260655</v>
      </c>
      <c r="G86" s="345">
        <v>1.6473103175999999</v>
      </c>
      <c r="H86" s="130"/>
      <c r="I86" s="345">
        <v>14736.6558140663</v>
      </c>
      <c r="J86" s="345">
        <v>1.495399261</v>
      </c>
      <c r="K86" s="133"/>
      <c r="L86" s="345">
        <v>8273.4945874533005</v>
      </c>
      <c r="M86" s="345">
        <v>0.9837435953</v>
      </c>
      <c r="N86" s="130"/>
      <c r="O86" s="345">
        <v>6061.3418218206998</v>
      </c>
      <c r="P86" s="345">
        <v>0.7283921055</v>
      </c>
    </row>
    <row r="87" spans="1:16" ht="12.75" customHeight="1" x14ac:dyDescent="0.25">
      <c r="A87" s="128"/>
      <c r="B87" s="341" t="s">
        <v>185</v>
      </c>
      <c r="C87" s="340" t="s">
        <v>188</v>
      </c>
      <c r="D87" s="136"/>
      <c r="E87" s="130"/>
      <c r="F87" s="345">
        <v>16221.658952453199</v>
      </c>
      <c r="G87" s="345">
        <v>1.7363568647000001</v>
      </c>
      <c r="H87" s="130"/>
      <c r="I87" s="345">
        <v>13844.494763271799</v>
      </c>
      <c r="J87" s="345">
        <v>1.4933578594000001</v>
      </c>
      <c r="K87" s="133"/>
      <c r="L87" s="345">
        <v>10549.946323909</v>
      </c>
      <c r="M87" s="345">
        <v>1.1841752220999999</v>
      </c>
      <c r="N87" s="130"/>
      <c r="O87" s="345">
        <v>8345.5011263068009</v>
      </c>
      <c r="P87" s="345">
        <v>0.99585411930000001</v>
      </c>
    </row>
    <row r="88" spans="1:16" ht="12.75" customHeight="1" x14ac:dyDescent="0.25">
      <c r="A88" s="128"/>
      <c r="B88" s="341" t="s">
        <v>184</v>
      </c>
      <c r="C88" s="340" t="s">
        <v>188</v>
      </c>
      <c r="D88" s="136"/>
      <c r="E88" s="130"/>
      <c r="F88" s="345">
        <v>19031.356978337899</v>
      </c>
      <c r="G88" s="345">
        <v>1.6991015888000001</v>
      </c>
      <c r="H88" s="130"/>
      <c r="I88" s="345">
        <v>13499.8710407657</v>
      </c>
      <c r="J88" s="345">
        <v>1.5517246327000001</v>
      </c>
      <c r="K88" s="133"/>
      <c r="L88" s="345">
        <v>8767.4931136300002</v>
      </c>
      <c r="M88" s="345">
        <v>1.0174466821000001</v>
      </c>
      <c r="N88" s="130"/>
      <c r="O88" s="345">
        <v>3561.6402541335001</v>
      </c>
      <c r="P88" s="345">
        <v>0.44250896649999999</v>
      </c>
    </row>
    <row r="89" spans="1:16" ht="12.75" customHeight="1" x14ac:dyDescent="0.25">
      <c r="A89" s="128"/>
      <c r="B89" s="341" t="s">
        <v>183</v>
      </c>
      <c r="C89" s="340" t="s">
        <v>188</v>
      </c>
      <c r="D89" s="136"/>
      <c r="E89" s="130"/>
      <c r="F89" s="345">
        <v>19393.102584126798</v>
      </c>
      <c r="G89" s="345">
        <v>1.7117172714</v>
      </c>
      <c r="H89" s="130"/>
      <c r="I89" s="345">
        <v>12242.562514641901</v>
      </c>
      <c r="J89" s="345">
        <v>1.4218004671</v>
      </c>
      <c r="K89" s="133"/>
      <c r="L89" s="345">
        <v>9993.7827793137003</v>
      </c>
      <c r="M89" s="345">
        <v>1.1732279002999999</v>
      </c>
      <c r="N89" s="130"/>
      <c r="O89" s="345">
        <v>3752.2827876317001</v>
      </c>
      <c r="P89" s="345">
        <v>0.46705525640000001</v>
      </c>
    </row>
    <row r="90" spans="1:16" ht="12.75" customHeight="1" x14ac:dyDescent="0.25">
      <c r="A90" s="128"/>
      <c r="B90" s="341" t="s">
        <v>182</v>
      </c>
      <c r="C90" s="340" t="s">
        <v>188</v>
      </c>
      <c r="D90" s="136"/>
      <c r="E90" s="130"/>
      <c r="F90" s="345">
        <v>18222.7315883175</v>
      </c>
      <c r="G90" s="345">
        <v>1.6530160953999999</v>
      </c>
      <c r="H90" s="130"/>
      <c r="I90" s="345">
        <v>12750.3929261711</v>
      </c>
      <c r="J90" s="345">
        <v>1.426124323</v>
      </c>
      <c r="K90" s="133"/>
      <c r="L90" s="345">
        <v>8545.6256596847998</v>
      </c>
      <c r="M90" s="345">
        <v>1.0132426755999999</v>
      </c>
      <c r="N90" s="130"/>
      <c r="O90" s="345">
        <v>5410.6826510726996</v>
      </c>
      <c r="P90" s="345">
        <v>0.64823414020000003</v>
      </c>
    </row>
    <row r="91" spans="1:16" s="13" customFormat="1" ht="6" customHeight="1" x14ac:dyDescent="0.2">
      <c r="A91" s="339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40" t="s">
        <v>188</v>
      </c>
      <c r="D92" s="344">
        <v>48008.948099637397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42"/>
      <c r="C93" s="340"/>
      <c r="E93" s="138"/>
      <c r="H93" s="138"/>
      <c r="K93" s="140"/>
      <c r="N93" s="140"/>
    </row>
    <row r="94" spans="1:16" ht="12.75" customHeight="1" x14ac:dyDescent="0.25">
      <c r="A94" s="128"/>
      <c r="B94" s="341" t="s">
        <v>187</v>
      </c>
      <c r="C94" s="340" t="s">
        <v>188</v>
      </c>
      <c r="D94" s="136"/>
      <c r="E94" s="130"/>
      <c r="F94" s="345">
        <v>36060.4566683429</v>
      </c>
      <c r="G94" s="345">
        <v>1.8853813340000001</v>
      </c>
      <c r="H94" s="130"/>
      <c r="I94" s="345">
        <v>28318.985336265501</v>
      </c>
      <c r="J94" s="345">
        <v>1.6798403269</v>
      </c>
      <c r="K94" s="133"/>
      <c r="L94" s="345">
        <v>15989.876114970801</v>
      </c>
      <c r="M94" s="345">
        <v>1.0736063535</v>
      </c>
      <c r="N94" s="130"/>
      <c r="O94" s="345">
        <v>9706.8336390560999</v>
      </c>
      <c r="P94" s="345">
        <v>0.69080613550000003</v>
      </c>
    </row>
    <row r="95" spans="1:16" ht="12.75" customHeight="1" x14ac:dyDescent="0.25">
      <c r="A95" s="128"/>
      <c r="B95" s="341" t="s">
        <v>186</v>
      </c>
      <c r="C95" s="340" t="s">
        <v>188</v>
      </c>
      <c r="D95" s="136"/>
      <c r="E95" s="130"/>
      <c r="F95" s="345">
        <v>38836.732195126897</v>
      </c>
      <c r="G95" s="345">
        <v>1.8590854300999999</v>
      </c>
      <c r="H95" s="130"/>
      <c r="I95" s="345">
        <v>28427.486109421199</v>
      </c>
      <c r="J95" s="345">
        <v>1.7011031501</v>
      </c>
      <c r="K95" s="133"/>
      <c r="L95" s="345">
        <v>13083.915078374301</v>
      </c>
      <c r="M95" s="345">
        <v>0.91801566639999999</v>
      </c>
      <c r="N95" s="130"/>
      <c r="O95" s="345">
        <v>8089.5197581946004</v>
      </c>
      <c r="P95" s="345">
        <v>0.58519483989999999</v>
      </c>
    </row>
    <row r="96" spans="1:16" ht="12.75" customHeight="1" x14ac:dyDescent="0.25">
      <c r="A96" s="128"/>
      <c r="B96" s="341" t="s">
        <v>185</v>
      </c>
      <c r="C96" s="340" t="s">
        <v>188</v>
      </c>
      <c r="D96" s="136"/>
      <c r="E96" s="130"/>
      <c r="F96" s="345">
        <v>34644.346516281599</v>
      </c>
      <c r="G96" s="345">
        <v>1.8399736465000001</v>
      </c>
      <c r="H96" s="130"/>
      <c r="I96" s="345">
        <v>27594.688340850698</v>
      </c>
      <c r="J96" s="345">
        <v>1.6265281806</v>
      </c>
      <c r="K96" s="133"/>
      <c r="L96" s="345">
        <v>17710.720803320801</v>
      </c>
      <c r="M96" s="345">
        <v>1.1986724073999999</v>
      </c>
      <c r="N96" s="130"/>
      <c r="O96" s="345">
        <v>13223.786758861401</v>
      </c>
      <c r="P96" s="345">
        <v>0.92900912950000003</v>
      </c>
    </row>
    <row r="97" spans="1:16" ht="12.75" customHeight="1" x14ac:dyDescent="0.25">
      <c r="A97" s="128"/>
      <c r="B97" s="341" t="s">
        <v>184</v>
      </c>
      <c r="C97" s="340" t="s">
        <v>188</v>
      </c>
      <c r="D97" s="136"/>
      <c r="E97" s="130"/>
      <c r="F97" s="345">
        <v>41862.633396642101</v>
      </c>
      <c r="G97" s="345">
        <v>1.6850798601999999</v>
      </c>
      <c r="H97" s="130"/>
      <c r="I97" s="345">
        <v>22650.787789050901</v>
      </c>
      <c r="J97" s="345">
        <v>1.4740511404000001</v>
      </c>
      <c r="K97" s="133"/>
      <c r="L97" s="345">
        <v>13623.1319110002</v>
      </c>
      <c r="M97" s="345">
        <v>0.94538097470000004</v>
      </c>
      <c r="N97" s="130"/>
      <c r="O97" s="345">
        <v>6628.0252183892999</v>
      </c>
      <c r="P97" s="345">
        <v>0.47904639970000001</v>
      </c>
    </row>
    <row r="98" spans="1:16" ht="12.75" customHeight="1" x14ac:dyDescent="0.25">
      <c r="A98" s="128"/>
      <c r="B98" s="341" t="s">
        <v>183</v>
      </c>
      <c r="C98" s="340" t="s">
        <v>188</v>
      </c>
      <c r="D98" s="136"/>
      <c r="E98" s="130"/>
      <c r="F98" s="345">
        <v>41853.0734656313</v>
      </c>
      <c r="G98" s="345">
        <v>1.6128755626</v>
      </c>
      <c r="H98" s="130"/>
      <c r="I98" s="345">
        <v>21336.608862162801</v>
      </c>
      <c r="J98" s="345">
        <v>1.3826843081</v>
      </c>
      <c r="K98" s="133"/>
      <c r="L98" s="345">
        <v>10547.542933994901</v>
      </c>
      <c r="M98" s="345">
        <v>0.73186636149999995</v>
      </c>
      <c r="N98" s="130"/>
      <c r="O98" s="345">
        <v>7004.4089729271</v>
      </c>
      <c r="P98" s="345">
        <v>0.50163482849999996</v>
      </c>
    </row>
    <row r="99" spans="1:16" ht="12.75" customHeight="1" x14ac:dyDescent="0.25">
      <c r="A99" s="128"/>
      <c r="B99" s="341" t="s">
        <v>182</v>
      </c>
      <c r="C99" s="340" t="s">
        <v>188</v>
      </c>
      <c r="D99" s="136"/>
      <c r="E99" s="130"/>
      <c r="F99" s="345">
        <v>41398.199067005</v>
      </c>
      <c r="G99" s="345">
        <v>1.7099245925</v>
      </c>
      <c r="H99" s="130"/>
      <c r="I99" s="345">
        <v>23766.511762766499</v>
      </c>
      <c r="J99" s="345">
        <v>1.5290316719999999</v>
      </c>
      <c r="K99" s="133"/>
      <c r="L99" s="345">
        <v>10821.6992912937</v>
      </c>
      <c r="M99" s="345">
        <v>0.76095960819999997</v>
      </c>
      <c r="N99" s="130"/>
      <c r="O99" s="345">
        <v>7828.2588953026998</v>
      </c>
      <c r="P99" s="345">
        <v>0.55548120349999996</v>
      </c>
    </row>
    <row r="100" spans="1:16" s="13" customFormat="1" ht="6" customHeight="1" x14ac:dyDescent="0.2">
      <c r="A100" s="339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40" t="s">
        <v>188</v>
      </c>
      <c r="D101" s="344">
        <v>11831.527299883401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42"/>
      <c r="C102" s="340"/>
      <c r="E102" s="138"/>
      <c r="H102" s="138"/>
      <c r="K102" s="140"/>
      <c r="N102" s="140"/>
    </row>
    <row r="103" spans="1:16" ht="12.75" customHeight="1" x14ac:dyDescent="0.25">
      <c r="A103" s="128"/>
      <c r="B103" s="341" t="s">
        <v>187</v>
      </c>
      <c r="C103" s="340" t="s">
        <v>188</v>
      </c>
      <c r="D103" s="136"/>
      <c r="E103" s="130"/>
      <c r="F103" s="345">
        <v>7952.1576786544001</v>
      </c>
      <c r="G103" s="345">
        <v>1.485042143</v>
      </c>
      <c r="H103" s="130"/>
      <c r="I103" s="345">
        <v>5948.1613116967001</v>
      </c>
      <c r="J103" s="345">
        <v>1.2334301765</v>
      </c>
      <c r="K103" s="133"/>
      <c r="L103" s="345">
        <v>4663.9749276673001</v>
      </c>
      <c r="M103" s="345">
        <v>1.1631143094</v>
      </c>
      <c r="N103" s="130"/>
      <c r="O103" s="345">
        <v>2544.7001204581002</v>
      </c>
      <c r="P103" s="345">
        <v>0.65837225420000001</v>
      </c>
    </row>
    <row r="104" spans="1:16" ht="12.75" customHeight="1" x14ac:dyDescent="0.25">
      <c r="A104" s="128"/>
      <c r="B104" s="341" t="s">
        <v>186</v>
      </c>
      <c r="C104" s="340" t="s">
        <v>188</v>
      </c>
      <c r="D104" s="136"/>
      <c r="E104" s="130"/>
      <c r="F104" s="345">
        <v>8238.4047045018997</v>
      </c>
      <c r="G104" s="345">
        <v>1.5967632206</v>
      </c>
      <c r="H104" s="130"/>
      <c r="I104" s="345">
        <v>5921.3962320420997</v>
      </c>
      <c r="J104" s="345">
        <v>1.3471782293000001</v>
      </c>
      <c r="K104" s="133"/>
      <c r="L104" s="345">
        <v>4430.5525044841997</v>
      </c>
      <c r="M104" s="345">
        <v>1.0274665575999999</v>
      </c>
      <c r="N104" s="130"/>
      <c r="O104" s="345">
        <v>2835.0545481538002</v>
      </c>
      <c r="P104" s="345">
        <v>0.72994660460000005</v>
      </c>
    </row>
    <row r="105" spans="1:16" ht="12.75" customHeight="1" x14ac:dyDescent="0.25">
      <c r="A105" s="128"/>
      <c r="B105" s="341" t="s">
        <v>185</v>
      </c>
      <c r="C105" s="340" t="s">
        <v>188</v>
      </c>
      <c r="D105" s="136"/>
      <c r="E105" s="130"/>
      <c r="F105" s="345">
        <v>7379.9313484469003</v>
      </c>
      <c r="G105" s="345">
        <v>1.5338700080000001</v>
      </c>
      <c r="H105" s="130"/>
      <c r="I105" s="345">
        <v>6028.9717914140001</v>
      </c>
      <c r="J105" s="345">
        <v>1.3804406739999999</v>
      </c>
      <c r="K105" s="133"/>
      <c r="L105" s="345">
        <v>4938.7116466071002</v>
      </c>
      <c r="M105" s="345">
        <v>1.1910502651999999</v>
      </c>
      <c r="N105" s="130"/>
      <c r="O105" s="345">
        <v>3930.1967414422002</v>
      </c>
      <c r="P105" s="345">
        <v>0.94421943659999996</v>
      </c>
    </row>
    <row r="106" spans="1:16" ht="12.75" customHeight="1" x14ac:dyDescent="0.25">
      <c r="A106" s="128"/>
      <c r="B106" s="341" t="s">
        <v>184</v>
      </c>
      <c r="C106" s="340" t="s">
        <v>188</v>
      </c>
      <c r="D106" s="136"/>
      <c r="E106" s="130"/>
      <c r="F106" s="345">
        <v>10927.206182629299</v>
      </c>
      <c r="G106" s="345">
        <v>1.6858994697</v>
      </c>
      <c r="H106" s="130"/>
      <c r="I106" s="345">
        <v>5048.4613852441998</v>
      </c>
      <c r="J106" s="345">
        <v>1.2655844241</v>
      </c>
      <c r="K106" s="133"/>
      <c r="L106" s="345">
        <v>2945.2310427844</v>
      </c>
      <c r="M106" s="345">
        <v>0.76664568440000003</v>
      </c>
      <c r="N106" s="130"/>
      <c r="O106" s="345">
        <v>2164.3912571536998</v>
      </c>
      <c r="P106" s="345">
        <v>0.57204734960000003</v>
      </c>
    </row>
    <row r="107" spans="1:16" ht="12.75" customHeight="1" x14ac:dyDescent="0.25">
      <c r="A107" s="128"/>
      <c r="B107" s="341" t="s">
        <v>183</v>
      </c>
      <c r="C107" s="340" t="s">
        <v>188</v>
      </c>
      <c r="D107" s="136"/>
      <c r="E107" s="130"/>
      <c r="F107" s="345">
        <v>10699.664765859299</v>
      </c>
      <c r="G107" s="345">
        <v>1.6859481220999999</v>
      </c>
      <c r="H107" s="130"/>
      <c r="I107" s="345">
        <v>5450.6141085479003</v>
      </c>
      <c r="J107" s="345">
        <v>1.3420767593</v>
      </c>
      <c r="K107" s="133"/>
      <c r="L107" s="345">
        <v>3382.7081513019002</v>
      </c>
      <c r="M107" s="345">
        <v>0.88158619549999995</v>
      </c>
      <c r="N107" s="130"/>
      <c r="O107" s="345">
        <v>1958.1054465065999</v>
      </c>
      <c r="P107" s="345">
        <v>0.52160201760000002</v>
      </c>
    </row>
    <row r="108" spans="1:16" ht="12.75" customHeight="1" x14ac:dyDescent="0.25">
      <c r="A108" s="128"/>
      <c r="B108" s="341" t="s">
        <v>182</v>
      </c>
      <c r="C108" s="340" t="s">
        <v>188</v>
      </c>
      <c r="D108" s="136"/>
      <c r="E108" s="130"/>
      <c r="F108" s="345">
        <v>8817.5372099711003</v>
      </c>
      <c r="G108" s="345">
        <v>1.4946356965000001</v>
      </c>
      <c r="H108" s="130"/>
      <c r="I108" s="345">
        <v>5788.9597800565998</v>
      </c>
      <c r="J108" s="345">
        <v>1.323138269</v>
      </c>
      <c r="K108" s="133"/>
      <c r="L108" s="345">
        <v>3389.3305874818002</v>
      </c>
      <c r="M108" s="345">
        <v>0.84595759820000005</v>
      </c>
      <c r="N108" s="130"/>
      <c r="O108" s="345">
        <v>2432.1517817003</v>
      </c>
      <c r="P108" s="345">
        <v>0.6198676675</v>
      </c>
    </row>
    <row r="109" spans="1:16" s="13" customFormat="1" ht="6" customHeight="1" x14ac:dyDescent="0.2">
      <c r="A109" s="339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40" t="s">
        <v>188</v>
      </c>
      <c r="D110" s="344">
        <v>36073.567298552101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42"/>
      <c r="C111" s="340"/>
      <c r="E111" s="138"/>
      <c r="H111" s="138"/>
      <c r="K111" s="140"/>
      <c r="N111" s="140"/>
    </row>
    <row r="112" spans="1:16" ht="12.75" customHeight="1" x14ac:dyDescent="0.25">
      <c r="A112" s="128"/>
      <c r="B112" s="341" t="s">
        <v>187</v>
      </c>
      <c r="C112" s="340" t="s">
        <v>188</v>
      </c>
      <c r="D112" s="136"/>
      <c r="E112" s="130"/>
      <c r="F112" s="345">
        <v>26606.895807415502</v>
      </c>
      <c r="G112" s="345">
        <v>1.7164361082999999</v>
      </c>
      <c r="H112" s="130"/>
      <c r="I112" s="345">
        <v>17210.256761248998</v>
      </c>
      <c r="J112" s="345">
        <v>1.3418136518999999</v>
      </c>
      <c r="K112" s="133"/>
      <c r="L112" s="345">
        <v>15756.197388774401</v>
      </c>
      <c r="M112" s="345">
        <v>1.2193453218999999</v>
      </c>
      <c r="N112" s="130"/>
      <c r="O112" s="345">
        <v>8598.4531867865007</v>
      </c>
      <c r="P112" s="345">
        <v>0.77043475110000004</v>
      </c>
    </row>
    <row r="113" spans="1:16" ht="12.75" customHeight="1" x14ac:dyDescent="0.25">
      <c r="A113" s="128"/>
      <c r="B113" s="341" t="s">
        <v>186</v>
      </c>
      <c r="C113" s="340" t="s">
        <v>188</v>
      </c>
      <c r="D113" s="136"/>
      <c r="E113" s="130"/>
      <c r="F113" s="345">
        <v>26255.566659596501</v>
      </c>
      <c r="G113" s="345">
        <v>1.6966944467</v>
      </c>
      <c r="H113" s="130"/>
      <c r="I113" s="345">
        <v>20787.1446608361</v>
      </c>
      <c r="J113" s="345">
        <v>1.5316063843000001</v>
      </c>
      <c r="K113" s="133"/>
      <c r="L113" s="345">
        <v>13971.743754159699</v>
      </c>
      <c r="M113" s="345">
        <v>1.1164089882999999</v>
      </c>
      <c r="N113" s="130"/>
      <c r="O113" s="345">
        <v>7963.5304029565996</v>
      </c>
      <c r="P113" s="345">
        <v>0.73155690510000004</v>
      </c>
    </row>
    <row r="114" spans="1:16" ht="12.75" customHeight="1" x14ac:dyDescent="0.25">
      <c r="A114" s="128"/>
      <c r="B114" s="341" t="s">
        <v>185</v>
      </c>
      <c r="C114" s="340" t="s">
        <v>188</v>
      </c>
      <c r="D114" s="136"/>
      <c r="E114" s="130"/>
      <c r="F114" s="345">
        <v>26180.276894776202</v>
      </c>
      <c r="G114" s="345">
        <v>1.8004696246</v>
      </c>
      <c r="H114" s="130"/>
      <c r="I114" s="345">
        <v>20016.617387442599</v>
      </c>
      <c r="J114" s="345">
        <v>1.5971353958000001</v>
      </c>
      <c r="K114" s="133"/>
      <c r="L114" s="345">
        <v>17386.357399148899</v>
      </c>
      <c r="M114" s="345">
        <v>1.3947840947000001</v>
      </c>
      <c r="N114" s="130"/>
      <c r="O114" s="345">
        <v>11564.6711132983</v>
      </c>
      <c r="P114" s="345">
        <v>1.0133990485</v>
      </c>
    </row>
    <row r="115" spans="1:16" ht="12.75" customHeight="1" x14ac:dyDescent="0.25">
      <c r="A115" s="128"/>
      <c r="B115" s="341" t="s">
        <v>184</v>
      </c>
      <c r="C115" s="340" t="s">
        <v>188</v>
      </c>
      <c r="D115" s="136"/>
      <c r="E115" s="130"/>
      <c r="F115" s="345">
        <v>29880.754993584698</v>
      </c>
      <c r="G115" s="345">
        <v>1.5675449412</v>
      </c>
      <c r="H115" s="130"/>
      <c r="I115" s="345">
        <v>17967.693985435599</v>
      </c>
      <c r="J115" s="345">
        <v>1.4413921784999999</v>
      </c>
      <c r="K115" s="133"/>
      <c r="L115" s="345">
        <v>9837.3540353733006</v>
      </c>
      <c r="M115" s="345">
        <v>0.8227716719</v>
      </c>
      <c r="N115" s="130"/>
      <c r="O115" s="345">
        <v>4701.1302718482002</v>
      </c>
      <c r="P115" s="345">
        <v>0.41646946820000003</v>
      </c>
    </row>
    <row r="116" spans="1:16" ht="12.75" customHeight="1" x14ac:dyDescent="0.25">
      <c r="A116" s="128"/>
      <c r="B116" s="341" t="s">
        <v>183</v>
      </c>
      <c r="C116" s="340" t="s">
        <v>188</v>
      </c>
      <c r="D116" s="136"/>
      <c r="E116" s="130"/>
      <c r="F116" s="345">
        <v>30708.996212834099</v>
      </c>
      <c r="G116" s="345">
        <v>1.6613394784</v>
      </c>
      <c r="H116" s="130"/>
      <c r="I116" s="345">
        <v>18927.597034730901</v>
      </c>
      <c r="J116" s="345">
        <v>1.5431065614999999</v>
      </c>
      <c r="K116" s="133"/>
      <c r="L116" s="345">
        <v>9764.8634660141997</v>
      </c>
      <c r="M116" s="345">
        <v>0.80809273829999995</v>
      </c>
      <c r="N116" s="130"/>
      <c r="O116" s="345">
        <v>4820.7804866171</v>
      </c>
      <c r="P116" s="345">
        <v>0.4331720268</v>
      </c>
    </row>
    <row r="117" spans="1:16" ht="12.75" customHeight="1" x14ac:dyDescent="0.25">
      <c r="A117" s="128"/>
      <c r="B117" s="341" t="s">
        <v>182</v>
      </c>
      <c r="C117" s="340" t="s">
        <v>188</v>
      </c>
      <c r="D117" s="136"/>
      <c r="E117" s="130"/>
      <c r="F117" s="345">
        <v>29110.368606666801</v>
      </c>
      <c r="G117" s="345">
        <v>1.7615691358000001</v>
      </c>
      <c r="H117" s="130"/>
      <c r="I117" s="345">
        <v>21126.849314600298</v>
      </c>
      <c r="J117" s="345">
        <v>1.5760428141</v>
      </c>
      <c r="K117" s="133"/>
      <c r="L117" s="345">
        <v>10914.626711148399</v>
      </c>
      <c r="M117" s="345">
        <v>0.94390068100000002</v>
      </c>
      <c r="N117" s="130"/>
      <c r="O117" s="345">
        <v>6747.5534740423</v>
      </c>
      <c r="P117" s="345">
        <v>0.61132038460000004</v>
      </c>
    </row>
    <row r="118" spans="1:16" s="13" customFormat="1" ht="6" customHeight="1" x14ac:dyDescent="0.2">
      <c r="A118" s="339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40" t="s">
        <v>188</v>
      </c>
      <c r="D119" s="344">
        <v>23584.9612443695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42"/>
      <c r="C120" s="340"/>
      <c r="E120" s="138"/>
      <c r="H120" s="138"/>
      <c r="K120" s="140"/>
      <c r="N120" s="140"/>
    </row>
    <row r="121" spans="1:16" ht="12.75" customHeight="1" x14ac:dyDescent="0.25">
      <c r="A121" s="128"/>
      <c r="B121" s="341" t="s">
        <v>187</v>
      </c>
      <c r="C121" s="340" t="s">
        <v>188</v>
      </c>
      <c r="D121" s="136"/>
      <c r="E121" s="130"/>
      <c r="F121" s="345">
        <v>13070.3575712612</v>
      </c>
      <c r="G121" s="345">
        <v>1.4787472021000001</v>
      </c>
      <c r="H121" s="130"/>
      <c r="I121" s="345">
        <v>11640.169597669301</v>
      </c>
      <c r="J121" s="345">
        <v>1.3114939516999999</v>
      </c>
      <c r="K121" s="133"/>
      <c r="L121" s="345">
        <v>10872.927800948901</v>
      </c>
      <c r="M121" s="345">
        <v>1.2689795414</v>
      </c>
      <c r="N121" s="130"/>
      <c r="O121" s="345">
        <v>7307.2125798686002</v>
      </c>
      <c r="P121" s="345">
        <v>1.0437598481999999</v>
      </c>
    </row>
    <row r="122" spans="1:16" ht="12.75" customHeight="1" x14ac:dyDescent="0.25">
      <c r="A122" s="128"/>
      <c r="B122" s="341" t="s">
        <v>186</v>
      </c>
      <c r="C122" s="340" t="s">
        <v>188</v>
      </c>
      <c r="D122" s="136"/>
      <c r="E122" s="130"/>
      <c r="F122" s="345">
        <v>15304.1461655642</v>
      </c>
      <c r="G122" s="345">
        <v>1.8313501590000001</v>
      </c>
      <c r="H122" s="130"/>
      <c r="I122" s="345">
        <v>11821.937016141601</v>
      </c>
      <c r="J122" s="345">
        <v>1.4683564857</v>
      </c>
      <c r="K122" s="133"/>
      <c r="L122" s="345">
        <v>12928.9083578587</v>
      </c>
      <c r="M122" s="345">
        <v>1.5429383589000001</v>
      </c>
      <c r="N122" s="130"/>
      <c r="O122" s="345">
        <v>6375.6295463828001</v>
      </c>
      <c r="P122" s="345">
        <v>0.90312712319999999</v>
      </c>
    </row>
    <row r="123" spans="1:16" ht="12.75" customHeight="1" x14ac:dyDescent="0.25">
      <c r="A123" s="128"/>
      <c r="B123" s="341" t="s">
        <v>185</v>
      </c>
      <c r="C123" s="340" t="s">
        <v>188</v>
      </c>
      <c r="D123" s="136"/>
      <c r="E123" s="130"/>
      <c r="F123" s="345">
        <v>9969.3724664278998</v>
      </c>
      <c r="G123" s="345">
        <v>1.2464384534999999</v>
      </c>
      <c r="H123" s="130"/>
      <c r="I123" s="345">
        <v>10155.419758862199</v>
      </c>
      <c r="J123" s="345">
        <v>1.2177998236000001</v>
      </c>
      <c r="K123" s="133"/>
      <c r="L123" s="345">
        <v>11760.6692740169</v>
      </c>
      <c r="M123" s="345">
        <v>1.4454325479000001</v>
      </c>
      <c r="N123" s="130"/>
      <c r="O123" s="345">
        <v>12839.8488560561</v>
      </c>
      <c r="P123" s="345">
        <v>1.5969561068</v>
      </c>
    </row>
    <row r="124" spans="1:16" ht="12.75" customHeight="1" x14ac:dyDescent="0.25">
      <c r="A124" s="128"/>
      <c r="B124" s="341" t="s">
        <v>184</v>
      </c>
      <c r="C124" s="340" t="s">
        <v>188</v>
      </c>
      <c r="D124" s="136"/>
      <c r="E124" s="130"/>
      <c r="F124" s="345">
        <v>19048.378490405499</v>
      </c>
      <c r="G124" s="345">
        <v>1.6221989912000001</v>
      </c>
      <c r="H124" s="130"/>
      <c r="I124" s="345">
        <v>9639.2012815111993</v>
      </c>
      <c r="J124" s="345">
        <v>1.2169601695000001</v>
      </c>
      <c r="K124" s="133"/>
      <c r="L124" s="345">
        <v>8184.1605336211996</v>
      </c>
      <c r="M124" s="345">
        <v>1.1251912050999999</v>
      </c>
      <c r="N124" s="130"/>
      <c r="O124" s="345">
        <v>3732.8981056977</v>
      </c>
      <c r="P124" s="345">
        <v>0.52940809119999999</v>
      </c>
    </row>
    <row r="125" spans="1:16" ht="12.75" customHeight="1" x14ac:dyDescent="0.25">
      <c r="A125" s="128"/>
      <c r="B125" s="341" t="s">
        <v>183</v>
      </c>
      <c r="C125" s="340" t="s">
        <v>188</v>
      </c>
      <c r="D125" s="136"/>
      <c r="E125" s="130"/>
      <c r="F125" s="345">
        <v>18904.501357161302</v>
      </c>
      <c r="G125" s="345">
        <v>1.6543549210999999</v>
      </c>
      <c r="H125" s="130"/>
      <c r="I125" s="345">
        <v>9453.0466362041007</v>
      </c>
      <c r="J125" s="345">
        <v>1.1715442656999999</v>
      </c>
      <c r="K125" s="133"/>
      <c r="L125" s="345">
        <v>8616.0722948123002</v>
      </c>
      <c r="M125" s="345">
        <v>1.1799277367000001</v>
      </c>
      <c r="N125" s="130"/>
      <c r="O125" s="345">
        <v>4205.6658918859002</v>
      </c>
      <c r="P125" s="345">
        <v>0.59771065990000005</v>
      </c>
    </row>
    <row r="126" spans="1:16" ht="12.75" customHeight="1" x14ac:dyDescent="0.25">
      <c r="A126" s="128"/>
      <c r="B126" s="341" t="s">
        <v>182</v>
      </c>
      <c r="C126" s="340" t="s">
        <v>188</v>
      </c>
      <c r="D126" s="136"/>
      <c r="E126" s="130"/>
      <c r="F126" s="345">
        <v>15824.543437243699</v>
      </c>
      <c r="G126" s="345">
        <v>1.6161170073</v>
      </c>
      <c r="H126" s="130"/>
      <c r="I126" s="345">
        <v>10916.9874395016</v>
      </c>
      <c r="J126" s="345">
        <v>1.1932619663999999</v>
      </c>
      <c r="K126" s="133"/>
      <c r="L126" s="345">
        <v>9552.7243594775991</v>
      </c>
      <c r="M126" s="345">
        <v>1.2320348319000001</v>
      </c>
      <c r="N126" s="130"/>
      <c r="O126" s="345">
        <v>5372.4553779090002</v>
      </c>
      <c r="P126" s="345">
        <v>0.77461615350000002</v>
      </c>
    </row>
    <row r="127" spans="1:16" s="13" customFormat="1" ht="6" customHeight="1" x14ac:dyDescent="0.2">
      <c r="A127" s="339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40" t="s">
        <v>188</v>
      </c>
      <c r="D128" s="344">
        <v>21482.932276223099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42"/>
      <c r="C129" s="340"/>
      <c r="E129" s="138"/>
      <c r="H129" s="138"/>
      <c r="K129" s="140"/>
      <c r="N129" s="140"/>
    </row>
    <row r="130" spans="1:16" ht="12.75" customHeight="1" x14ac:dyDescent="0.25">
      <c r="A130" s="128"/>
      <c r="B130" s="341" t="s">
        <v>187</v>
      </c>
      <c r="C130" s="340" t="s">
        <v>188</v>
      </c>
      <c r="D130" s="136"/>
      <c r="E130" s="130"/>
      <c r="F130" s="345">
        <v>14032.1761869192</v>
      </c>
      <c r="G130" s="345">
        <v>1.6455244955999999</v>
      </c>
      <c r="H130" s="130"/>
      <c r="I130" s="345">
        <v>13561.4319673838</v>
      </c>
      <c r="J130" s="345">
        <v>1.6291452607000001</v>
      </c>
      <c r="K130" s="133"/>
      <c r="L130" s="345">
        <v>8706.4853351694001</v>
      </c>
      <c r="M130" s="345">
        <v>1.2029434136999999</v>
      </c>
      <c r="N130" s="130"/>
      <c r="O130" s="345">
        <v>4443.2669190506003</v>
      </c>
      <c r="P130" s="345">
        <v>0.65762723339999996</v>
      </c>
    </row>
    <row r="131" spans="1:16" ht="12.75" customHeight="1" x14ac:dyDescent="0.25">
      <c r="A131" s="128"/>
      <c r="B131" s="341" t="s">
        <v>186</v>
      </c>
      <c r="C131" s="340" t="s">
        <v>188</v>
      </c>
      <c r="D131" s="136"/>
      <c r="E131" s="130"/>
      <c r="F131" s="345">
        <v>14562.220142321999</v>
      </c>
      <c r="G131" s="345">
        <v>1.6252333233</v>
      </c>
      <c r="H131" s="130"/>
      <c r="I131" s="345">
        <v>12496.746798821299</v>
      </c>
      <c r="J131" s="345">
        <v>1.5286709797</v>
      </c>
      <c r="K131" s="133"/>
      <c r="L131" s="345">
        <v>8349.0371025809</v>
      </c>
      <c r="M131" s="345">
        <v>1.1155387317000001</v>
      </c>
      <c r="N131" s="130"/>
      <c r="O131" s="345">
        <v>4994.8821171867003</v>
      </c>
      <c r="P131" s="345">
        <v>0.76105679680000005</v>
      </c>
    </row>
    <row r="132" spans="1:16" ht="12.75" customHeight="1" x14ac:dyDescent="0.25">
      <c r="A132" s="128"/>
      <c r="B132" s="341" t="s">
        <v>185</v>
      </c>
      <c r="C132" s="340" t="s">
        <v>188</v>
      </c>
      <c r="D132" s="136"/>
      <c r="E132" s="130"/>
      <c r="F132" s="345">
        <v>12013.371349781501</v>
      </c>
      <c r="G132" s="345">
        <v>1.5279555127</v>
      </c>
      <c r="H132" s="130"/>
      <c r="I132" s="345">
        <v>12764.2504203116</v>
      </c>
      <c r="J132" s="345">
        <v>1.5827408935</v>
      </c>
      <c r="K132" s="133"/>
      <c r="L132" s="345">
        <v>9168.6776676062</v>
      </c>
      <c r="M132" s="345">
        <v>1.1700680542999999</v>
      </c>
      <c r="N132" s="130"/>
      <c r="O132" s="345">
        <v>8022.1012997354001</v>
      </c>
      <c r="P132" s="345">
        <v>1.1368616578999999</v>
      </c>
    </row>
    <row r="133" spans="1:16" ht="12.75" customHeight="1" x14ac:dyDescent="0.25">
      <c r="A133" s="128"/>
      <c r="B133" s="341" t="s">
        <v>184</v>
      </c>
      <c r="C133" s="340" t="s">
        <v>188</v>
      </c>
      <c r="D133" s="136"/>
      <c r="E133" s="130"/>
      <c r="F133" s="345">
        <v>18322.4251543514</v>
      </c>
      <c r="G133" s="345">
        <v>1.8440612015</v>
      </c>
      <c r="H133" s="130"/>
      <c r="I133" s="345">
        <v>11229.831899069</v>
      </c>
      <c r="J133" s="345">
        <v>1.5002687068</v>
      </c>
      <c r="K133" s="133"/>
      <c r="L133" s="345">
        <v>5556.5479345836002</v>
      </c>
      <c r="M133" s="345">
        <v>0.78294476209999997</v>
      </c>
      <c r="N133" s="130"/>
      <c r="O133" s="345">
        <v>3394.1135042252999</v>
      </c>
      <c r="P133" s="345">
        <v>0.50286431460000003</v>
      </c>
    </row>
    <row r="134" spans="1:16" ht="12.75" customHeight="1" x14ac:dyDescent="0.25">
      <c r="A134" s="128"/>
      <c r="B134" s="341" t="s">
        <v>183</v>
      </c>
      <c r="C134" s="340" t="s">
        <v>188</v>
      </c>
      <c r="D134" s="136"/>
      <c r="E134" s="130"/>
      <c r="F134" s="345">
        <v>18698.173891090399</v>
      </c>
      <c r="G134" s="345">
        <v>1.8637886659</v>
      </c>
      <c r="H134" s="130"/>
      <c r="I134" s="345">
        <v>11595.709097361099</v>
      </c>
      <c r="J134" s="345">
        <v>1.5716729212</v>
      </c>
      <c r="K134" s="133"/>
      <c r="L134" s="345">
        <v>5787.1366769431997</v>
      </c>
      <c r="M134" s="345">
        <v>0.83237787870000002</v>
      </c>
      <c r="N134" s="130"/>
      <c r="O134" s="345">
        <v>3406.0471406315</v>
      </c>
      <c r="P134" s="345">
        <v>0.50528734949999998</v>
      </c>
    </row>
    <row r="135" spans="1:16" ht="12.75" customHeight="1" x14ac:dyDescent="0.25">
      <c r="A135" s="128"/>
      <c r="B135" s="341" t="s">
        <v>182</v>
      </c>
      <c r="C135" s="340" t="s">
        <v>188</v>
      </c>
      <c r="D135" s="136"/>
      <c r="E135" s="130"/>
      <c r="F135" s="345">
        <v>17218.635418157901</v>
      </c>
      <c r="G135" s="345">
        <v>1.8286331148999999</v>
      </c>
      <c r="H135" s="130"/>
      <c r="I135" s="345">
        <v>11794.203758166501</v>
      </c>
      <c r="J135" s="345">
        <v>1.5188324491</v>
      </c>
      <c r="K135" s="133"/>
      <c r="L135" s="345">
        <v>6592.1750069902</v>
      </c>
      <c r="M135" s="345">
        <v>0.93640344519999996</v>
      </c>
      <c r="N135" s="130"/>
      <c r="O135" s="345">
        <v>3746.2404053260002</v>
      </c>
      <c r="P135" s="345">
        <v>0.54979208459999995</v>
      </c>
    </row>
    <row r="136" spans="1:16" s="13" customFormat="1" ht="6" customHeight="1" x14ac:dyDescent="0.2">
      <c r="A136" s="339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40" t="s">
        <v>188</v>
      </c>
      <c r="D137" s="344">
        <v>46119.986599577402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42"/>
      <c r="C138" s="340"/>
      <c r="E138" s="138"/>
      <c r="H138" s="138"/>
      <c r="K138" s="140"/>
      <c r="N138" s="140"/>
    </row>
    <row r="139" spans="1:16" ht="12.75" customHeight="1" x14ac:dyDescent="0.25">
      <c r="A139" s="128"/>
      <c r="B139" s="341" t="s">
        <v>187</v>
      </c>
      <c r="C139" s="340" t="s">
        <v>188</v>
      </c>
      <c r="D139" s="136"/>
      <c r="E139" s="130"/>
      <c r="F139" s="345">
        <v>33128.8133205095</v>
      </c>
      <c r="G139" s="345">
        <v>1.9157980861999999</v>
      </c>
      <c r="H139" s="130"/>
      <c r="I139" s="345">
        <v>23955.141395402101</v>
      </c>
      <c r="J139" s="345">
        <v>1.4225134702</v>
      </c>
      <c r="K139" s="133"/>
      <c r="L139" s="345">
        <v>20997.731583200301</v>
      </c>
      <c r="M139" s="345">
        <v>1.4316824076000001</v>
      </c>
      <c r="N139" s="130"/>
      <c r="O139" s="345">
        <v>9887.0954311454007</v>
      </c>
      <c r="P139" s="345">
        <v>0.74318309059999998</v>
      </c>
    </row>
    <row r="140" spans="1:16" ht="12.75" customHeight="1" x14ac:dyDescent="0.25">
      <c r="A140" s="128"/>
      <c r="B140" s="341" t="s">
        <v>186</v>
      </c>
      <c r="C140" s="340" t="s">
        <v>188</v>
      </c>
      <c r="D140" s="136"/>
      <c r="E140" s="130"/>
      <c r="F140" s="345">
        <v>32707.517079942001</v>
      </c>
      <c r="G140" s="345">
        <v>1.8185709457999999</v>
      </c>
      <c r="H140" s="130"/>
      <c r="I140" s="345">
        <v>23811.302886708399</v>
      </c>
      <c r="J140" s="345">
        <v>1.3726028061</v>
      </c>
      <c r="K140" s="133"/>
      <c r="L140" s="345">
        <v>17588.989696109598</v>
      </c>
      <c r="M140" s="345">
        <v>1.2113703392999999</v>
      </c>
      <c r="N140" s="130"/>
      <c r="O140" s="345">
        <v>10034.3940243416</v>
      </c>
      <c r="P140" s="345">
        <v>0.74482558750000005</v>
      </c>
    </row>
    <row r="141" spans="1:16" ht="12.75" customHeight="1" x14ac:dyDescent="0.25">
      <c r="A141" s="128"/>
      <c r="B141" s="341" t="s">
        <v>185</v>
      </c>
      <c r="C141" s="340" t="s">
        <v>188</v>
      </c>
      <c r="D141" s="136"/>
      <c r="E141" s="130"/>
      <c r="F141" s="345">
        <v>31050.5713666171</v>
      </c>
      <c r="G141" s="345">
        <v>1.8241190188</v>
      </c>
      <c r="H141" s="130"/>
      <c r="I141" s="345">
        <v>24436.617194697101</v>
      </c>
      <c r="J141" s="345">
        <v>1.5243530658</v>
      </c>
      <c r="K141" s="133"/>
      <c r="L141" s="345">
        <v>18278.544997397799</v>
      </c>
      <c r="M141" s="345">
        <v>1.2475087386000001</v>
      </c>
      <c r="N141" s="130"/>
      <c r="O141" s="345">
        <v>13536.8289061052</v>
      </c>
      <c r="P141" s="345">
        <v>0.93119460570000001</v>
      </c>
    </row>
    <row r="142" spans="1:16" ht="12.75" customHeight="1" x14ac:dyDescent="0.25">
      <c r="A142" s="128"/>
      <c r="B142" s="341" t="s">
        <v>184</v>
      </c>
      <c r="C142" s="340" t="s">
        <v>188</v>
      </c>
      <c r="D142" s="136"/>
      <c r="E142" s="130"/>
      <c r="F142" s="345">
        <v>37910.0765096701</v>
      </c>
      <c r="G142" s="345">
        <v>1.6183189051</v>
      </c>
      <c r="H142" s="130"/>
      <c r="I142" s="345">
        <v>21032.450642912299</v>
      </c>
      <c r="J142" s="345">
        <v>1.4067469026999999</v>
      </c>
      <c r="K142" s="133"/>
      <c r="L142" s="345">
        <v>11417.5923544456</v>
      </c>
      <c r="M142" s="345">
        <v>0.80573267709999996</v>
      </c>
      <c r="N142" s="130"/>
      <c r="O142" s="345">
        <v>7125.2013560511996</v>
      </c>
      <c r="P142" s="345">
        <v>0.52744558070000003</v>
      </c>
    </row>
    <row r="143" spans="1:16" ht="12.75" customHeight="1" x14ac:dyDescent="0.25">
      <c r="A143" s="128"/>
      <c r="B143" s="341" t="s">
        <v>183</v>
      </c>
      <c r="C143" s="340" t="s">
        <v>188</v>
      </c>
      <c r="D143" s="136"/>
      <c r="E143" s="130"/>
      <c r="F143" s="345">
        <v>36102.804251080503</v>
      </c>
      <c r="G143" s="345">
        <v>1.9531355705</v>
      </c>
      <c r="H143" s="130"/>
      <c r="I143" s="345">
        <v>23826.945775839798</v>
      </c>
      <c r="J143" s="345">
        <v>1.5484115591000001</v>
      </c>
      <c r="K143" s="133"/>
      <c r="L143" s="345">
        <v>12144.136797740101</v>
      </c>
      <c r="M143" s="345">
        <v>0.83830245420000005</v>
      </c>
      <c r="N143" s="130"/>
      <c r="O143" s="345">
        <v>7148.2458238812997</v>
      </c>
      <c r="P143" s="345">
        <v>0.51714102419999997</v>
      </c>
    </row>
    <row r="144" spans="1:16" ht="12.75" customHeight="1" x14ac:dyDescent="0.25">
      <c r="A144" s="128"/>
      <c r="B144" s="341" t="s">
        <v>182</v>
      </c>
      <c r="C144" s="340" t="s">
        <v>188</v>
      </c>
      <c r="D144" s="136"/>
      <c r="E144" s="130"/>
      <c r="F144" s="345">
        <v>37385.612490906897</v>
      </c>
      <c r="G144" s="345">
        <v>2.1210585394999999</v>
      </c>
      <c r="H144" s="130"/>
      <c r="I144" s="345">
        <v>21903.7268739094</v>
      </c>
      <c r="J144" s="345">
        <v>1.4361714087999999</v>
      </c>
      <c r="K144" s="133"/>
      <c r="L144" s="345">
        <v>18387.696801035599</v>
      </c>
      <c r="M144" s="345">
        <v>1.2553591327</v>
      </c>
      <c r="N144" s="130"/>
      <c r="O144" s="345">
        <v>7482.9482920872997</v>
      </c>
      <c r="P144" s="345">
        <v>0.55305830030000003</v>
      </c>
    </row>
    <row r="145" spans="1:16" s="13" customFormat="1" ht="6" customHeight="1" x14ac:dyDescent="0.2">
      <c r="A145" s="339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40" t="s">
        <v>188</v>
      </c>
      <c r="D146" s="344">
        <v>131204.09246898501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42"/>
      <c r="C147" s="340"/>
      <c r="E147" s="138"/>
      <c r="H147" s="138"/>
      <c r="K147" s="140"/>
      <c r="N147" s="140"/>
    </row>
    <row r="148" spans="1:16" ht="12.75" customHeight="1" x14ac:dyDescent="0.25">
      <c r="A148" s="128"/>
      <c r="B148" s="341" t="s">
        <v>187</v>
      </c>
      <c r="C148" s="340" t="s">
        <v>188</v>
      </c>
      <c r="D148" s="136"/>
      <c r="E148" s="130"/>
      <c r="F148" s="345">
        <v>78253.315463773193</v>
      </c>
      <c r="G148" s="345">
        <v>1.6171948557</v>
      </c>
      <c r="H148" s="130"/>
      <c r="I148" s="345">
        <v>60096.767284466099</v>
      </c>
      <c r="J148" s="345">
        <v>1.4605677108999999</v>
      </c>
      <c r="K148" s="133"/>
      <c r="L148" s="345">
        <v>36797.243970954303</v>
      </c>
      <c r="M148" s="345">
        <v>1.0458064977999999</v>
      </c>
      <c r="N148" s="130"/>
      <c r="O148" s="345">
        <v>22042.723582890299</v>
      </c>
      <c r="P148" s="345">
        <v>0.71909878520000003</v>
      </c>
    </row>
    <row r="149" spans="1:16" ht="12.75" customHeight="1" x14ac:dyDescent="0.25">
      <c r="A149" s="128"/>
      <c r="B149" s="341" t="s">
        <v>186</v>
      </c>
      <c r="C149" s="340" t="s">
        <v>188</v>
      </c>
      <c r="D149" s="136"/>
      <c r="E149" s="130"/>
      <c r="F149" s="345">
        <v>83323.046208875196</v>
      </c>
      <c r="G149" s="345">
        <v>1.7892759599000001</v>
      </c>
      <c r="H149" s="130"/>
      <c r="I149" s="345">
        <v>61703.393404076</v>
      </c>
      <c r="J149" s="345">
        <v>1.6321115106999999</v>
      </c>
      <c r="K149" s="133"/>
      <c r="L149" s="345">
        <v>40303.410290725398</v>
      </c>
      <c r="M149" s="345">
        <v>1.139310778</v>
      </c>
      <c r="N149" s="130"/>
      <c r="O149" s="345">
        <v>20259.660240226902</v>
      </c>
      <c r="P149" s="345">
        <v>0.67419294490000004</v>
      </c>
    </row>
    <row r="150" spans="1:16" ht="12.75" customHeight="1" x14ac:dyDescent="0.25">
      <c r="A150" s="128"/>
      <c r="B150" s="341" t="s">
        <v>185</v>
      </c>
      <c r="C150" s="340" t="s">
        <v>188</v>
      </c>
      <c r="D150" s="136"/>
      <c r="E150" s="130"/>
      <c r="F150" s="345">
        <v>70991.610072371506</v>
      </c>
      <c r="G150" s="345">
        <v>1.9296217295</v>
      </c>
      <c r="H150" s="130"/>
      <c r="I150" s="345">
        <v>67430.666146556599</v>
      </c>
      <c r="J150" s="345">
        <v>1.7522328110000001</v>
      </c>
      <c r="K150" s="133"/>
      <c r="L150" s="345">
        <v>41155.055964894702</v>
      </c>
      <c r="M150" s="345">
        <v>1.1841016948</v>
      </c>
      <c r="N150" s="130"/>
      <c r="O150" s="345">
        <v>36875.183494050303</v>
      </c>
      <c r="P150" s="345">
        <v>1.0437916674000001</v>
      </c>
    </row>
    <row r="151" spans="1:16" ht="12.75" customHeight="1" x14ac:dyDescent="0.25">
      <c r="A151" s="128"/>
      <c r="B151" s="341" t="s">
        <v>184</v>
      </c>
      <c r="C151" s="340" t="s">
        <v>188</v>
      </c>
      <c r="D151" s="136"/>
      <c r="E151" s="130"/>
      <c r="F151" s="345">
        <v>105372.574429671</v>
      </c>
      <c r="G151" s="345">
        <v>1.6388258987</v>
      </c>
      <c r="H151" s="130"/>
      <c r="I151" s="345">
        <v>53646.151504196903</v>
      </c>
      <c r="J151" s="345">
        <v>1.6287984567</v>
      </c>
      <c r="K151" s="133"/>
      <c r="L151" s="345">
        <v>30755.145207567599</v>
      </c>
      <c r="M151" s="345">
        <v>0.99065580310000001</v>
      </c>
      <c r="N151" s="130"/>
      <c r="O151" s="345">
        <v>14296.1189679289</v>
      </c>
      <c r="P151" s="345">
        <v>0.4810329424</v>
      </c>
    </row>
    <row r="152" spans="1:16" ht="12.75" customHeight="1" x14ac:dyDescent="0.25">
      <c r="A152" s="128"/>
      <c r="B152" s="341" t="s">
        <v>183</v>
      </c>
      <c r="C152" s="340" t="s">
        <v>188</v>
      </c>
      <c r="D152" s="136"/>
      <c r="E152" s="130"/>
      <c r="F152" s="345">
        <v>109420.04041211501</v>
      </c>
      <c r="G152" s="345">
        <v>1.6279429565000001</v>
      </c>
      <c r="H152" s="130"/>
      <c r="I152" s="345">
        <v>48884.409211817198</v>
      </c>
      <c r="J152" s="345">
        <v>1.5000594779</v>
      </c>
      <c r="K152" s="133"/>
      <c r="L152" s="345">
        <v>24750.4716005271</v>
      </c>
      <c r="M152" s="345">
        <v>0.79623657940000003</v>
      </c>
      <c r="N152" s="130"/>
      <c r="O152" s="345">
        <v>11778.729473187699</v>
      </c>
      <c r="P152" s="345">
        <v>0.39391935030000003</v>
      </c>
    </row>
    <row r="153" spans="1:16" ht="12.75" customHeight="1" x14ac:dyDescent="0.25">
      <c r="A153" s="128"/>
      <c r="B153" s="341" t="s">
        <v>182</v>
      </c>
      <c r="C153" s="340" t="s">
        <v>188</v>
      </c>
      <c r="D153" s="136"/>
      <c r="E153" s="130"/>
      <c r="F153" s="345">
        <v>103552.94481979001</v>
      </c>
      <c r="G153" s="345">
        <v>1.5162511187000001</v>
      </c>
      <c r="H153" s="130"/>
      <c r="I153" s="345">
        <v>44050.123731387699</v>
      </c>
      <c r="J153" s="345">
        <v>1.3375232306</v>
      </c>
      <c r="K153" s="133"/>
      <c r="L153" s="345">
        <v>24084.198603221001</v>
      </c>
      <c r="M153" s="345">
        <v>0.73844029160000002</v>
      </c>
      <c r="N153" s="130"/>
      <c r="O153" s="345">
        <v>15862.8107071758</v>
      </c>
      <c r="P153" s="345">
        <v>0.5106360781</v>
      </c>
    </row>
    <row r="154" spans="1:16" s="13" customFormat="1" ht="6" customHeight="1" x14ac:dyDescent="0.2">
      <c r="A154" s="339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40" t="s">
        <v>188</v>
      </c>
      <c r="D155" s="344">
        <v>34800.277328721597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42"/>
      <c r="C156" s="340"/>
      <c r="E156" s="138"/>
      <c r="H156" s="138"/>
      <c r="K156" s="140"/>
      <c r="N156" s="140"/>
    </row>
    <row r="157" spans="1:16" ht="12.75" customHeight="1" x14ac:dyDescent="0.25">
      <c r="A157" s="128"/>
      <c r="B157" s="341" t="s">
        <v>187</v>
      </c>
      <c r="C157" s="340" t="s">
        <v>188</v>
      </c>
      <c r="D157" s="136"/>
      <c r="E157" s="130"/>
      <c r="F157" s="345">
        <v>20910.0129174922</v>
      </c>
      <c r="G157" s="345">
        <v>1.3745466264999999</v>
      </c>
      <c r="H157" s="130"/>
      <c r="I157" s="345">
        <v>14359.153538487701</v>
      </c>
      <c r="J157" s="345">
        <v>1.1947071317</v>
      </c>
      <c r="K157" s="133"/>
      <c r="L157" s="345">
        <v>11306.377707650499</v>
      </c>
      <c r="M157" s="345">
        <v>1.1899429895</v>
      </c>
      <c r="N157" s="130"/>
      <c r="O157" s="345">
        <v>5792.6695871620004</v>
      </c>
      <c r="P157" s="345">
        <v>0.65457416020000003</v>
      </c>
    </row>
    <row r="158" spans="1:16" ht="12.75" customHeight="1" x14ac:dyDescent="0.25">
      <c r="A158" s="128"/>
      <c r="B158" s="341" t="s">
        <v>186</v>
      </c>
      <c r="C158" s="340" t="s">
        <v>188</v>
      </c>
      <c r="D158" s="136"/>
      <c r="E158" s="130"/>
      <c r="F158" s="345">
        <v>24113.833622596801</v>
      </c>
      <c r="G158" s="345">
        <v>1.82368872</v>
      </c>
      <c r="H158" s="130"/>
      <c r="I158" s="345">
        <v>14590.187372570899</v>
      </c>
      <c r="J158" s="345">
        <v>1.4143637542</v>
      </c>
      <c r="K158" s="133"/>
      <c r="L158" s="345">
        <v>12974.9634935631</v>
      </c>
      <c r="M158" s="345">
        <v>1.3539586659</v>
      </c>
      <c r="N158" s="130"/>
      <c r="O158" s="345">
        <v>6334.7294916938999</v>
      </c>
      <c r="P158" s="345">
        <v>0.73658330329999999</v>
      </c>
    </row>
    <row r="159" spans="1:16" ht="12.75" customHeight="1" x14ac:dyDescent="0.25">
      <c r="A159" s="128"/>
      <c r="B159" s="341" t="s">
        <v>185</v>
      </c>
      <c r="C159" s="340" t="s">
        <v>188</v>
      </c>
      <c r="D159" s="136"/>
      <c r="E159" s="130"/>
      <c r="F159" s="345">
        <v>20066.043274567401</v>
      </c>
      <c r="G159" s="345">
        <v>1.662639567</v>
      </c>
      <c r="H159" s="130"/>
      <c r="I159" s="345">
        <v>15646.168916988499</v>
      </c>
      <c r="J159" s="345">
        <v>1.4201350227</v>
      </c>
      <c r="K159" s="133"/>
      <c r="L159" s="345">
        <v>12061.657730380701</v>
      </c>
      <c r="M159" s="345">
        <v>1.2349129774000001</v>
      </c>
      <c r="N159" s="130"/>
      <c r="O159" s="345">
        <v>11159.587220923901</v>
      </c>
      <c r="P159" s="345">
        <v>1.2634079308999999</v>
      </c>
    </row>
    <row r="160" spans="1:16" ht="12.75" customHeight="1" x14ac:dyDescent="0.25">
      <c r="A160" s="128"/>
      <c r="B160" s="341" t="s">
        <v>184</v>
      </c>
      <c r="C160" s="340" t="s">
        <v>188</v>
      </c>
      <c r="D160" s="136"/>
      <c r="E160" s="130"/>
      <c r="F160" s="345">
        <v>28710.870581817999</v>
      </c>
      <c r="G160" s="345">
        <v>1.5905338574000001</v>
      </c>
      <c r="H160" s="130"/>
      <c r="I160" s="345">
        <v>12386.050101155501</v>
      </c>
      <c r="J160" s="345">
        <v>1.3017999741999999</v>
      </c>
      <c r="K160" s="133"/>
      <c r="L160" s="345">
        <v>7174.1331222630997</v>
      </c>
      <c r="M160" s="345">
        <v>0.78091663850000004</v>
      </c>
      <c r="N160" s="130"/>
      <c r="O160" s="345">
        <v>4007.4155637017002</v>
      </c>
      <c r="P160" s="345">
        <v>0.46743300970000001</v>
      </c>
    </row>
    <row r="161" spans="1:16" ht="12.75" customHeight="1" x14ac:dyDescent="0.25">
      <c r="A161" s="128"/>
      <c r="B161" s="341" t="s">
        <v>183</v>
      </c>
      <c r="C161" s="340" t="s">
        <v>188</v>
      </c>
      <c r="D161" s="136"/>
      <c r="E161" s="130"/>
      <c r="F161" s="345">
        <v>29525.026462814501</v>
      </c>
      <c r="G161" s="345">
        <v>1.4780347791999999</v>
      </c>
      <c r="H161" s="130"/>
      <c r="I161" s="345">
        <v>12415.9840463337</v>
      </c>
      <c r="J161" s="345">
        <v>1.3104025664000001</v>
      </c>
      <c r="K161" s="133"/>
      <c r="L161" s="345">
        <v>6593.4526905364</v>
      </c>
      <c r="M161" s="345">
        <v>0.75705812100000003</v>
      </c>
      <c r="N161" s="130"/>
      <c r="O161" s="345">
        <v>4595.0584625665997</v>
      </c>
      <c r="P161" s="345">
        <v>0.54340447800000002</v>
      </c>
    </row>
    <row r="162" spans="1:16" ht="12.75" customHeight="1" x14ac:dyDescent="0.25">
      <c r="A162" s="128"/>
      <c r="B162" s="341" t="s">
        <v>182</v>
      </c>
      <c r="C162" s="340" t="s">
        <v>188</v>
      </c>
      <c r="D162" s="136"/>
      <c r="E162" s="130"/>
      <c r="F162" s="345">
        <v>25738.128787168102</v>
      </c>
      <c r="G162" s="345">
        <v>1.6649186840000001</v>
      </c>
      <c r="H162" s="130"/>
      <c r="I162" s="345">
        <v>14359.0441496322</v>
      </c>
      <c r="J162" s="345">
        <v>1.3311285629</v>
      </c>
      <c r="K162" s="133"/>
      <c r="L162" s="345">
        <v>9618.2318993792996</v>
      </c>
      <c r="M162" s="345">
        <v>1.0626144583999999</v>
      </c>
      <c r="N162" s="130"/>
      <c r="O162" s="345">
        <v>4250.6439271289</v>
      </c>
      <c r="P162" s="345">
        <v>0.501709764</v>
      </c>
    </row>
    <row r="163" spans="1:16" s="13" customFormat="1" ht="6" customHeight="1" x14ac:dyDescent="0.2">
      <c r="A163" s="339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40" t="s">
        <v>188</v>
      </c>
      <c r="D164" s="344">
        <v>18361.487672503201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42"/>
      <c r="C165" s="340"/>
      <c r="E165" s="138"/>
      <c r="H165" s="138"/>
      <c r="K165" s="140"/>
      <c r="N165" s="140"/>
    </row>
    <row r="166" spans="1:16" ht="12.75" customHeight="1" x14ac:dyDescent="0.25">
      <c r="A166" s="128"/>
      <c r="B166" s="341" t="s">
        <v>187</v>
      </c>
      <c r="C166" s="340" t="s">
        <v>188</v>
      </c>
      <c r="D166" s="136"/>
      <c r="E166" s="130"/>
      <c r="F166" s="345">
        <v>11558.6069936566</v>
      </c>
      <c r="G166" s="345">
        <v>1.6961120226999999</v>
      </c>
      <c r="H166" s="130"/>
      <c r="I166" s="345">
        <v>9039.6466979707002</v>
      </c>
      <c r="J166" s="345">
        <v>1.6072826868000001</v>
      </c>
      <c r="K166" s="133"/>
      <c r="L166" s="345">
        <v>5322.5445499774996</v>
      </c>
      <c r="M166" s="345">
        <v>1.2147821925</v>
      </c>
      <c r="N166" s="130"/>
      <c r="O166" s="345">
        <v>3259.2458240575002</v>
      </c>
      <c r="P166" s="345">
        <v>0.8380823838</v>
      </c>
    </row>
    <row r="167" spans="1:16" ht="12.75" customHeight="1" x14ac:dyDescent="0.25">
      <c r="A167" s="128"/>
      <c r="B167" s="341" t="s">
        <v>186</v>
      </c>
      <c r="C167" s="340" t="s">
        <v>188</v>
      </c>
      <c r="D167" s="136"/>
      <c r="E167" s="130"/>
      <c r="F167" s="345">
        <v>10504.811931513501</v>
      </c>
      <c r="G167" s="345">
        <v>1.6627311513</v>
      </c>
      <c r="H167" s="130"/>
      <c r="I167" s="345">
        <v>8825.4884225587994</v>
      </c>
      <c r="J167" s="345">
        <v>1.4280766497999999</v>
      </c>
      <c r="K167" s="133"/>
      <c r="L167" s="345">
        <v>5688.6419900289002</v>
      </c>
      <c r="M167" s="345">
        <v>1.1438416360000001</v>
      </c>
      <c r="N167" s="130"/>
      <c r="O167" s="345">
        <v>2524.1245470843</v>
      </c>
      <c r="P167" s="345">
        <v>0.66511498260000002</v>
      </c>
    </row>
    <row r="168" spans="1:16" ht="12.75" customHeight="1" x14ac:dyDescent="0.25">
      <c r="A168" s="128"/>
      <c r="B168" s="341" t="s">
        <v>185</v>
      </c>
      <c r="C168" s="340" t="s">
        <v>188</v>
      </c>
      <c r="D168" s="136"/>
      <c r="E168" s="130"/>
      <c r="F168" s="345">
        <v>9818.9034064379994</v>
      </c>
      <c r="G168" s="345">
        <v>1.5511110162999999</v>
      </c>
      <c r="H168" s="130"/>
      <c r="I168" s="345">
        <v>6815.2671544524001</v>
      </c>
      <c r="J168" s="345">
        <v>1.2396968381</v>
      </c>
      <c r="K168" s="133"/>
      <c r="L168" s="345">
        <v>7038.2983672634</v>
      </c>
      <c r="M168" s="345">
        <v>1.1973675518</v>
      </c>
      <c r="N168" s="130"/>
      <c r="O168" s="345">
        <v>4801.9328453518001</v>
      </c>
      <c r="P168" s="345">
        <v>1.2968852930000001</v>
      </c>
    </row>
    <row r="169" spans="1:16" ht="12.75" customHeight="1" x14ac:dyDescent="0.25">
      <c r="A169" s="128"/>
      <c r="B169" s="341" t="s">
        <v>184</v>
      </c>
      <c r="C169" s="340" t="s">
        <v>188</v>
      </c>
      <c r="D169" s="136"/>
      <c r="E169" s="130"/>
      <c r="F169" s="345">
        <v>14503.4616813966</v>
      </c>
      <c r="G169" s="345">
        <v>1.3283305095</v>
      </c>
      <c r="H169" s="130"/>
      <c r="I169" s="345">
        <v>6068.4853208814002</v>
      </c>
      <c r="J169" s="345">
        <v>1.1987958801</v>
      </c>
      <c r="K169" s="133"/>
      <c r="L169" s="345">
        <v>3969.8514082838001</v>
      </c>
      <c r="M169" s="345">
        <v>0.96424218100000003</v>
      </c>
      <c r="N169" s="130"/>
      <c r="O169" s="345">
        <v>1673.3726147284001</v>
      </c>
      <c r="P169" s="345">
        <v>0.42706461080000002</v>
      </c>
    </row>
    <row r="170" spans="1:16" ht="12.75" customHeight="1" x14ac:dyDescent="0.25">
      <c r="A170" s="128"/>
      <c r="B170" s="341" t="s">
        <v>183</v>
      </c>
      <c r="C170" s="340" t="s">
        <v>188</v>
      </c>
      <c r="D170" s="136"/>
      <c r="E170" s="130"/>
      <c r="F170" s="345">
        <v>13478.5233598577</v>
      </c>
      <c r="G170" s="345">
        <v>1.2000458013999999</v>
      </c>
      <c r="H170" s="130"/>
      <c r="I170" s="345">
        <v>5959.4742219453001</v>
      </c>
      <c r="J170" s="345">
        <v>1.1327444122000001</v>
      </c>
      <c r="K170" s="133"/>
      <c r="L170" s="345">
        <v>3538.4036732438999</v>
      </c>
      <c r="M170" s="345">
        <v>0.79222273750000005</v>
      </c>
      <c r="N170" s="130"/>
      <c r="O170" s="345">
        <v>1840.7215732743</v>
      </c>
      <c r="P170" s="345">
        <v>0.45369846200000002</v>
      </c>
    </row>
    <row r="171" spans="1:16" ht="12.75" customHeight="1" x14ac:dyDescent="0.25">
      <c r="A171" s="128"/>
      <c r="B171" s="341" t="s">
        <v>182</v>
      </c>
      <c r="C171" s="340" t="s">
        <v>188</v>
      </c>
      <c r="D171" s="136"/>
      <c r="E171" s="130"/>
      <c r="F171" s="345">
        <v>14066.030162839699</v>
      </c>
      <c r="G171" s="345">
        <v>1.4403181412999999</v>
      </c>
      <c r="H171" s="130"/>
      <c r="I171" s="345">
        <v>7189.8836455746005</v>
      </c>
      <c r="J171" s="345">
        <v>1.4396133948000001</v>
      </c>
      <c r="K171" s="133"/>
      <c r="L171" s="345">
        <v>3981.4384895950002</v>
      </c>
      <c r="M171" s="345">
        <v>0.95679890779999999</v>
      </c>
      <c r="N171" s="130"/>
      <c r="O171" s="345">
        <v>2010.2681528587</v>
      </c>
      <c r="P171" s="345">
        <v>0.52540419500000002</v>
      </c>
    </row>
    <row r="172" spans="1:16" s="13" customFormat="1" ht="6" customHeight="1" x14ac:dyDescent="0.2">
      <c r="A172" s="339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40" t="s">
        <v>188</v>
      </c>
      <c r="D173" s="344">
        <v>8434.7008783248002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42"/>
      <c r="C174" s="340"/>
      <c r="E174" s="138"/>
      <c r="H174" s="138"/>
      <c r="K174" s="140"/>
      <c r="N174" s="140"/>
    </row>
    <row r="175" spans="1:16" ht="12.75" customHeight="1" x14ac:dyDescent="0.25">
      <c r="A175" s="128"/>
      <c r="B175" s="341" t="s">
        <v>187</v>
      </c>
      <c r="C175" s="340" t="s">
        <v>188</v>
      </c>
      <c r="D175" s="136"/>
      <c r="E175" s="130"/>
      <c r="F175" s="345">
        <v>5718.6742383333003</v>
      </c>
      <c r="G175" s="345">
        <v>1.8875569459999999</v>
      </c>
      <c r="H175" s="130"/>
      <c r="I175" s="345">
        <v>4785.4345185015</v>
      </c>
      <c r="J175" s="345">
        <v>1.4422953524</v>
      </c>
      <c r="K175" s="133"/>
      <c r="L175" s="345">
        <v>2922.5876533488999</v>
      </c>
      <c r="M175" s="345">
        <v>1.1591684641</v>
      </c>
      <c r="N175" s="130"/>
      <c r="O175" s="345">
        <v>2353.2180536392002</v>
      </c>
      <c r="P175" s="345">
        <v>0.85839611140000005</v>
      </c>
    </row>
    <row r="176" spans="1:16" ht="12.75" customHeight="1" x14ac:dyDescent="0.25">
      <c r="A176" s="128"/>
      <c r="B176" s="341" t="s">
        <v>186</v>
      </c>
      <c r="C176" s="340" t="s">
        <v>188</v>
      </c>
      <c r="D176" s="136"/>
      <c r="E176" s="130"/>
      <c r="F176" s="345">
        <v>5943.6154293737</v>
      </c>
      <c r="G176" s="345">
        <v>1.7295912668</v>
      </c>
      <c r="H176" s="130"/>
      <c r="I176" s="345">
        <v>4524.4501931942004</v>
      </c>
      <c r="J176" s="345">
        <v>1.6213223471</v>
      </c>
      <c r="K176" s="133"/>
      <c r="L176" s="345">
        <v>3111.0922730358002</v>
      </c>
      <c r="M176" s="345">
        <v>1.0717426205</v>
      </c>
      <c r="N176" s="130"/>
      <c r="O176" s="345">
        <v>1769.5665248642999</v>
      </c>
      <c r="P176" s="345">
        <v>0.66979185389999996</v>
      </c>
    </row>
    <row r="177" spans="1:16" ht="12.75" customHeight="1" x14ac:dyDescent="0.25">
      <c r="A177" s="128"/>
      <c r="B177" s="341" t="s">
        <v>185</v>
      </c>
      <c r="C177" s="340" t="s">
        <v>188</v>
      </c>
      <c r="D177" s="136"/>
      <c r="E177" s="130"/>
      <c r="F177" s="345">
        <v>5504.1511158335998</v>
      </c>
      <c r="G177" s="345">
        <v>1.7298208124000001</v>
      </c>
      <c r="H177" s="130"/>
      <c r="I177" s="345">
        <v>3745.5268516433998</v>
      </c>
      <c r="J177" s="345">
        <v>1.3293859788</v>
      </c>
      <c r="K177" s="133"/>
      <c r="L177" s="345">
        <v>3195.7408315179</v>
      </c>
      <c r="M177" s="345">
        <v>1.116627144</v>
      </c>
      <c r="N177" s="130"/>
      <c r="O177" s="345">
        <v>3301.7938710295002</v>
      </c>
      <c r="P177" s="345">
        <v>1.1723105222000001</v>
      </c>
    </row>
    <row r="178" spans="1:16" ht="12.75" customHeight="1" x14ac:dyDescent="0.25">
      <c r="A178" s="128"/>
      <c r="B178" s="341" t="s">
        <v>184</v>
      </c>
      <c r="C178" s="340" t="s">
        <v>188</v>
      </c>
      <c r="D178" s="136"/>
      <c r="E178" s="130"/>
      <c r="F178" s="345">
        <v>7787.3232383507002</v>
      </c>
      <c r="G178" s="345">
        <v>1.4853584512</v>
      </c>
      <c r="H178" s="130"/>
      <c r="I178" s="345">
        <v>3386.9004708508</v>
      </c>
      <c r="J178" s="345">
        <v>1.3228143794</v>
      </c>
      <c r="K178" s="133"/>
      <c r="L178" s="345">
        <v>1893.2115428561999</v>
      </c>
      <c r="M178" s="345">
        <v>0.73754654139999998</v>
      </c>
      <c r="N178" s="130"/>
      <c r="O178" s="345">
        <v>946.83334919109996</v>
      </c>
      <c r="P178" s="345">
        <v>0.37783904190000001</v>
      </c>
    </row>
    <row r="179" spans="1:16" ht="12.75" customHeight="1" x14ac:dyDescent="0.25">
      <c r="A179" s="128"/>
      <c r="B179" s="341" t="s">
        <v>183</v>
      </c>
      <c r="C179" s="340" t="s">
        <v>188</v>
      </c>
      <c r="D179" s="136"/>
      <c r="E179" s="130"/>
      <c r="F179" s="345">
        <v>7354.4802364471998</v>
      </c>
      <c r="G179" s="345">
        <v>1.3862830983000001</v>
      </c>
      <c r="H179" s="130"/>
      <c r="I179" s="345">
        <v>3208.7716436783999</v>
      </c>
      <c r="J179" s="345">
        <v>1.1947284668</v>
      </c>
      <c r="K179" s="133"/>
      <c r="L179" s="345">
        <v>1950.9145384603</v>
      </c>
      <c r="M179" s="345">
        <v>0.76586169479999999</v>
      </c>
      <c r="N179" s="130"/>
      <c r="O179" s="345">
        <v>1111.0748262253001</v>
      </c>
      <c r="P179" s="345">
        <v>0.43399049699999998</v>
      </c>
    </row>
    <row r="180" spans="1:16" ht="12.75" customHeight="1" x14ac:dyDescent="0.25">
      <c r="A180" s="128"/>
      <c r="B180" s="341" t="s">
        <v>182</v>
      </c>
      <c r="C180" s="340" t="s">
        <v>188</v>
      </c>
      <c r="D180" s="136"/>
      <c r="E180" s="130"/>
      <c r="F180" s="345">
        <v>6562.9599816618002</v>
      </c>
      <c r="G180" s="345">
        <v>1.5928817438</v>
      </c>
      <c r="H180" s="130"/>
      <c r="I180" s="345">
        <v>3719.2291602218002</v>
      </c>
      <c r="J180" s="345">
        <v>1.3225013525</v>
      </c>
      <c r="K180" s="133"/>
      <c r="L180" s="345">
        <v>2800.4900763638998</v>
      </c>
      <c r="M180" s="345">
        <v>1.0325369121000001</v>
      </c>
      <c r="N180" s="130"/>
      <c r="O180" s="345">
        <v>990.29344296249997</v>
      </c>
      <c r="P180" s="345">
        <v>0.38380386290000001</v>
      </c>
    </row>
    <row r="181" spans="1:16" s="13" customFormat="1" ht="6" customHeight="1" x14ac:dyDescent="0.2">
      <c r="A181" s="339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40" t="s">
        <v>188</v>
      </c>
      <c r="D182" s="344">
        <v>37074.547180637703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42"/>
      <c r="C183" s="340"/>
      <c r="E183" s="138"/>
      <c r="H183" s="138"/>
      <c r="K183" s="140"/>
      <c r="N183" s="140"/>
    </row>
    <row r="184" spans="1:16" ht="12.75" customHeight="1" x14ac:dyDescent="0.25">
      <c r="A184" s="128"/>
      <c r="B184" s="341" t="s">
        <v>187</v>
      </c>
      <c r="C184" s="340" t="s">
        <v>188</v>
      </c>
      <c r="D184" s="136"/>
      <c r="E184" s="130"/>
      <c r="F184" s="345">
        <v>27035.452064700799</v>
      </c>
      <c r="G184" s="345">
        <v>1.6771152943000001</v>
      </c>
      <c r="H184" s="130"/>
      <c r="I184" s="345">
        <v>24563.2617400821</v>
      </c>
      <c r="J184" s="345">
        <v>1.8814230558</v>
      </c>
      <c r="K184" s="133"/>
      <c r="L184" s="345">
        <v>12692.919282323301</v>
      </c>
      <c r="M184" s="345">
        <v>1.019568773</v>
      </c>
      <c r="N184" s="130"/>
      <c r="O184" s="345">
        <v>9458.8128323637993</v>
      </c>
      <c r="P184" s="345">
        <v>0.75755525459999995</v>
      </c>
    </row>
    <row r="185" spans="1:16" ht="12.75" customHeight="1" x14ac:dyDescent="0.25">
      <c r="A185" s="128"/>
      <c r="B185" s="341" t="s">
        <v>186</v>
      </c>
      <c r="C185" s="340" t="s">
        <v>188</v>
      </c>
      <c r="D185" s="136"/>
      <c r="E185" s="130"/>
      <c r="F185" s="345">
        <v>25995.872025176199</v>
      </c>
      <c r="G185" s="345">
        <v>1.6671674060999999</v>
      </c>
      <c r="H185" s="130"/>
      <c r="I185" s="345">
        <v>20025.7059416148</v>
      </c>
      <c r="J185" s="345">
        <v>1.4175484487000001</v>
      </c>
      <c r="K185" s="133"/>
      <c r="L185" s="345">
        <v>15233.717605399401</v>
      </c>
      <c r="M185" s="345">
        <v>1.1550936527</v>
      </c>
      <c r="N185" s="130"/>
      <c r="O185" s="345">
        <v>6491.9012459017003</v>
      </c>
      <c r="P185" s="345">
        <v>0.54604929489999998</v>
      </c>
    </row>
    <row r="186" spans="1:16" ht="12.75" customHeight="1" x14ac:dyDescent="0.25">
      <c r="A186" s="128"/>
      <c r="B186" s="341" t="s">
        <v>185</v>
      </c>
      <c r="C186" s="340" t="s">
        <v>188</v>
      </c>
      <c r="D186" s="136"/>
      <c r="E186" s="130"/>
      <c r="F186" s="345">
        <v>27261.278242170501</v>
      </c>
      <c r="G186" s="345">
        <v>1.8482088035999999</v>
      </c>
      <c r="H186" s="130"/>
      <c r="I186" s="345">
        <v>18351.825008946202</v>
      </c>
      <c r="J186" s="345">
        <v>1.3707868322000001</v>
      </c>
      <c r="K186" s="133"/>
      <c r="L186" s="345">
        <v>17458.7655578288</v>
      </c>
      <c r="M186" s="345">
        <v>1.3580419925</v>
      </c>
      <c r="N186" s="130"/>
      <c r="O186" s="345">
        <v>14126.653632134099</v>
      </c>
      <c r="P186" s="345">
        <v>1.1488096269000001</v>
      </c>
    </row>
    <row r="187" spans="1:16" ht="12.75" customHeight="1" x14ac:dyDescent="0.25">
      <c r="A187" s="128"/>
      <c r="B187" s="341" t="s">
        <v>184</v>
      </c>
      <c r="C187" s="340" t="s">
        <v>188</v>
      </c>
      <c r="D187" s="136"/>
      <c r="E187" s="130"/>
      <c r="F187" s="345">
        <v>33667.047924110397</v>
      </c>
      <c r="G187" s="345">
        <v>1.4918979943999999</v>
      </c>
      <c r="H187" s="130"/>
      <c r="I187" s="345">
        <v>17855.8855609315</v>
      </c>
      <c r="J187" s="345">
        <v>1.3618387149</v>
      </c>
      <c r="K187" s="133"/>
      <c r="L187" s="345">
        <v>7920.1641180987999</v>
      </c>
      <c r="M187" s="345">
        <v>0.68337107610000003</v>
      </c>
      <c r="N187" s="130"/>
      <c r="O187" s="345">
        <v>4273.6608865026001</v>
      </c>
      <c r="P187" s="345">
        <v>0.36429326290000003</v>
      </c>
    </row>
    <row r="188" spans="1:16" ht="12.75" customHeight="1" x14ac:dyDescent="0.25">
      <c r="A188" s="128"/>
      <c r="B188" s="341" t="s">
        <v>183</v>
      </c>
      <c r="C188" s="340" t="s">
        <v>188</v>
      </c>
      <c r="D188" s="136"/>
      <c r="E188" s="130"/>
      <c r="F188" s="345">
        <v>32422.394107450498</v>
      </c>
      <c r="G188" s="345">
        <v>1.4108585175999999</v>
      </c>
      <c r="H188" s="130"/>
      <c r="I188" s="345">
        <v>17087.7909965699</v>
      </c>
      <c r="J188" s="345">
        <v>1.2712148132000001</v>
      </c>
      <c r="K188" s="133"/>
      <c r="L188" s="345">
        <v>7844.5428867438004</v>
      </c>
      <c r="M188" s="345">
        <v>0.66662821110000003</v>
      </c>
      <c r="N188" s="130"/>
      <c r="O188" s="345">
        <v>3059.9736550311</v>
      </c>
      <c r="P188" s="345">
        <v>0.26043548059999999</v>
      </c>
    </row>
    <row r="189" spans="1:16" ht="12.75" customHeight="1" x14ac:dyDescent="0.25">
      <c r="A189" s="128"/>
      <c r="B189" s="341" t="s">
        <v>182</v>
      </c>
      <c r="C189" s="340" t="s">
        <v>188</v>
      </c>
      <c r="D189" s="136"/>
      <c r="E189" s="130"/>
      <c r="F189" s="345">
        <v>31440.905965133701</v>
      </c>
      <c r="G189" s="345">
        <v>1.6195582225</v>
      </c>
      <c r="H189" s="130"/>
      <c r="I189" s="345">
        <v>17721.466459868501</v>
      </c>
      <c r="J189" s="345">
        <v>1.4219200942000001</v>
      </c>
      <c r="K189" s="133"/>
      <c r="L189" s="345">
        <v>10857.1274814793</v>
      </c>
      <c r="M189" s="345">
        <v>0.89880217979999999</v>
      </c>
      <c r="N189" s="130"/>
      <c r="O189" s="345">
        <v>12746.9321980603</v>
      </c>
      <c r="P189" s="345">
        <v>1.0581461643000001</v>
      </c>
    </row>
    <row r="190" spans="1:16" s="13" customFormat="1" ht="6" customHeight="1" x14ac:dyDescent="0.2">
      <c r="A190" s="339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40" t="s">
        <v>188</v>
      </c>
      <c r="D191" s="344">
        <v>42547.144422326899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42"/>
      <c r="C192" s="340"/>
      <c r="E192" s="138"/>
      <c r="H192" s="138"/>
      <c r="K192" s="140"/>
      <c r="N192" s="140"/>
    </row>
    <row r="193" spans="1:16" ht="12.75" customHeight="1" x14ac:dyDescent="0.25">
      <c r="A193" s="128"/>
      <c r="B193" s="341" t="s">
        <v>187</v>
      </c>
      <c r="C193" s="340" t="s">
        <v>188</v>
      </c>
      <c r="D193" s="136"/>
      <c r="E193" s="130"/>
      <c r="F193" s="345">
        <v>19366.3712908938</v>
      </c>
      <c r="G193" s="345">
        <v>1.4327280642</v>
      </c>
      <c r="H193" s="130"/>
      <c r="I193" s="345">
        <v>18917.581062624398</v>
      </c>
      <c r="J193" s="345">
        <v>1.2898580699</v>
      </c>
      <c r="K193" s="133"/>
      <c r="L193" s="345">
        <v>13639.3952885751</v>
      </c>
      <c r="M193" s="345">
        <v>1.1680481664</v>
      </c>
      <c r="N193" s="130"/>
      <c r="O193" s="345">
        <v>8911.3028895357002</v>
      </c>
      <c r="P193" s="345">
        <v>0.87013670700000001</v>
      </c>
    </row>
    <row r="194" spans="1:16" ht="12.75" customHeight="1" x14ac:dyDescent="0.25">
      <c r="A194" s="128"/>
      <c r="B194" s="341" t="s">
        <v>186</v>
      </c>
      <c r="C194" s="340" t="s">
        <v>188</v>
      </c>
      <c r="D194" s="136"/>
      <c r="E194" s="130"/>
      <c r="F194" s="345">
        <v>17959.5779602002</v>
      </c>
      <c r="G194" s="345">
        <v>1.2130304274999999</v>
      </c>
      <c r="H194" s="130"/>
      <c r="I194" s="345">
        <v>17450.732145285401</v>
      </c>
      <c r="J194" s="345">
        <v>1.2454733527999999</v>
      </c>
      <c r="K194" s="133"/>
      <c r="L194" s="345">
        <v>15718.320747714301</v>
      </c>
      <c r="M194" s="345">
        <v>1.3082841146999999</v>
      </c>
      <c r="N194" s="130"/>
      <c r="O194" s="345">
        <v>9223.1002002733003</v>
      </c>
      <c r="P194" s="345">
        <v>0.89766760239999999</v>
      </c>
    </row>
    <row r="195" spans="1:16" ht="12.75" customHeight="1" x14ac:dyDescent="0.25">
      <c r="A195" s="128"/>
      <c r="B195" s="341" t="s">
        <v>185</v>
      </c>
      <c r="C195" s="340" t="s">
        <v>188</v>
      </c>
      <c r="D195" s="136"/>
      <c r="E195" s="130"/>
      <c r="F195" s="345">
        <v>13630.798132648</v>
      </c>
      <c r="G195" s="345">
        <v>1.1786918037</v>
      </c>
      <c r="H195" s="130"/>
      <c r="I195" s="345">
        <v>14145.3340179303</v>
      </c>
      <c r="J195" s="345">
        <v>1.3129363243000001</v>
      </c>
      <c r="K195" s="133"/>
      <c r="L195" s="345">
        <v>15321.8224961083</v>
      </c>
      <c r="M195" s="345">
        <v>1.1697249291</v>
      </c>
      <c r="N195" s="130"/>
      <c r="O195" s="345">
        <v>21640.8918465811</v>
      </c>
      <c r="P195" s="345">
        <v>1.7568867923</v>
      </c>
    </row>
    <row r="196" spans="1:16" ht="12.75" customHeight="1" x14ac:dyDescent="0.25">
      <c r="A196" s="128"/>
      <c r="B196" s="341" t="s">
        <v>184</v>
      </c>
      <c r="C196" s="340" t="s">
        <v>188</v>
      </c>
      <c r="D196" s="136"/>
      <c r="E196" s="130"/>
      <c r="F196" s="345">
        <v>32487.278142966501</v>
      </c>
      <c r="G196" s="345">
        <v>1.7486661134000001</v>
      </c>
      <c r="H196" s="130"/>
      <c r="I196" s="345">
        <v>14194.8582859502</v>
      </c>
      <c r="J196" s="345">
        <v>1.3469610162000001</v>
      </c>
      <c r="K196" s="133"/>
      <c r="L196" s="345">
        <v>10447.9460199855</v>
      </c>
      <c r="M196" s="345">
        <v>0.96079135159999995</v>
      </c>
      <c r="N196" s="130"/>
      <c r="O196" s="345">
        <v>4852.3181278366001</v>
      </c>
      <c r="P196" s="345">
        <v>0.54637647140000001</v>
      </c>
    </row>
    <row r="197" spans="1:16" ht="12.75" customHeight="1" x14ac:dyDescent="0.25">
      <c r="A197" s="128"/>
      <c r="B197" s="341" t="s">
        <v>183</v>
      </c>
      <c r="C197" s="340" t="s">
        <v>188</v>
      </c>
      <c r="D197" s="136"/>
      <c r="E197" s="130"/>
      <c r="F197" s="345">
        <v>34881.153089678999</v>
      </c>
      <c r="G197" s="345">
        <v>2.0162883181</v>
      </c>
      <c r="H197" s="130"/>
      <c r="I197" s="345">
        <v>16235.062795758</v>
      </c>
      <c r="J197" s="345">
        <v>1.6380897577</v>
      </c>
      <c r="K197" s="133"/>
      <c r="L197" s="345">
        <v>9977.8859276549993</v>
      </c>
      <c r="M197" s="345">
        <v>0.94528688800000005</v>
      </c>
      <c r="N197" s="130"/>
      <c r="O197" s="345">
        <v>3746.7048580675</v>
      </c>
      <c r="P197" s="345">
        <v>0.41867456959999999</v>
      </c>
    </row>
    <row r="198" spans="1:16" ht="12.75" customHeight="1" x14ac:dyDescent="0.25">
      <c r="A198" s="128"/>
      <c r="B198" s="341" t="s">
        <v>182</v>
      </c>
      <c r="C198" s="340" t="s">
        <v>188</v>
      </c>
      <c r="D198" s="136"/>
      <c r="E198" s="130"/>
      <c r="F198" s="345">
        <v>25876.1813915192</v>
      </c>
      <c r="G198" s="345">
        <v>1.6218358239999999</v>
      </c>
      <c r="H198" s="130"/>
      <c r="I198" s="345">
        <v>16810.011378052001</v>
      </c>
      <c r="J198" s="345">
        <v>1.4376183432</v>
      </c>
      <c r="K198" s="133"/>
      <c r="L198" s="345">
        <v>14129.5890765324</v>
      </c>
      <c r="M198" s="345">
        <v>1.3092576156</v>
      </c>
      <c r="N198" s="130"/>
      <c r="O198" s="345">
        <v>7970.6235470376996</v>
      </c>
      <c r="P198" s="345">
        <v>0.8447094731</v>
      </c>
    </row>
    <row r="199" spans="1:16" s="13" customFormat="1" ht="6" customHeight="1" x14ac:dyDescent="0.2">
      <c r="A199" s="339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40" t="s">
        <v>188</v>
      </c>
      <c r="D200" s="344">
        <v>46002.280336427299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42"/>
      <c r="C201" s="340"/>
      <c r="E201" s="138"/>
      <c r="H201" s="138"/>
      <c r="K201" s="140"/>
      <c r="N201" s="140"/>
    </row>
    <row r="202" spans="1:16" ht="12.75" customHeight="1" x14ac:dyDescent="0.25">
      <c r="A202" s="128"/>
      <c r="B202" s="341" t="s">
        <v>187</v>
      </c>
      <c r="C202" s="340" t="s">
        <v>188</v>
      </c>
      <c r="D202" s="136"/>
      <c r="E202" s="130"/>
      <c r="F202" s="345">
        <v>24142.3790604223</v>
      </c>
      <c r="G202" s="345">
        <v>1.6510341271</v>
      </c>
      <c r="H202" s="130"/>
      <c r="I202" s="345">
        <v>26108.445709435298</v>
      </c>
      <c r="J202" s="345">
        <v>1.6260819785</v>
      </c>
      <c r="K202" s="133"/>
      <c r="L202" s="345">
        <v>18561.7223118125</v>
      </c>
      <c r="M202" s="345">
        <v>1.3026530426</v>
      </c>
      <c r="N202" s="130"/>
      <c r="O202" s="345">
        <v>10053.1352898855</v>
      </c>
      <c r="P202" s="345">
        <v>0.80142744799999999</v>
      </c>
    </row>
    <row r="203" spans="1:16" ht="12.75" customHeight="1" x14ac:dyDescent="0.25">
      <c r="A203" s="128"/>
      <c r="B203" s="341" t="s">
        <v>186</v>
      </c>
      <c r="C203" s="340" t="s">
        <v>188</v>
      </c>
      <c r="D203" s="136"/>
      <c r="E203" s="130"/>
      <c r="F203" s="345">
        <v>24968.8279222233</v>
      </c>
      <c r="G203" s="345">
        <v>1.5000128965999999</v>
      </c>
      <c r="H203" s="130"/>
      <c r="I203" s="345">
        <v>22447.4916546194</v>
      </c>
      <c r="J203" s="345">
        <v>1.4911115625</v>
      </c>
      <c r="K203" s="133"/>
      <c r="L203" s="345">
        <v>21360.750224469499</v>
      </c>
      <c r="M203" s="345">
        <v>1.4779076178999999</v>
      </c>
      <c r="N203" s="130"/>
      <c r="O203" s="345">
        <v>8106.5874253795</v>
      </c>
      <c r="P203" s="345">
        <v>0.67553710430000002</v>
      </c>
    </row>
    <row r="204" spans="1:16" ht="12.75" customHeight="1" x14ac:dyDescent="0.25">
      <c r="A204" s="128"/>
      <c r="B204" s="341" t="s">
        <v>185</v>
      </c>
      <c r="C204" s="340" t="s">
        <v>188</v>
      </c>
      <c r="D204" s="136"/>
      <c r="E204" s="130"/>
      <c r="F204" s="345">
        <v>20241.792927466398</v>
      </c>
      <c r="G204" s="345">
        <v>1.4475699435</v>
      </c>
      <c r="H204" s="130"/>
      <c r="I204" s="345">
        <v>20056.049216067298</v>
      </c>
      <c r="J204" s="345">
        <v>1.2845124176</v>
      </c>
      <c r="K204" s="133"/>
      <c r="L204" s="345">
        <v>16719.3831521334</v>
      </c>
      <c r="M204" s="345">
        <v>1.1312279125</v>
      </c>
      <c r="N204" s="130"/>
      <c r="O204" s="345">
        <v>21030.388899923099</v>
      </c>
      <c r="P204" s="345">
        <v>1.4780721992999999</v>
      </c>
    </row>
    <row r="205" spans="1:16" ht="12.75" customHeight="1" x14ac:dyDescent="0.25">
      <c r="A205" s="128"/>
      <c r="B205" s="341" t="s">
        <v>184</v>
      </c>
      <c r="C205" s="340" t="s">
        <v>188</v>
      </c>
      <c r="D205" s="136"/>
      <c r="E205" s="130"/>
      <c r="F205" s="345">
        <v>33566.8724138787</v>
      </c>
      <c r="G205" s="345">
        <v>1.3512245767</v>
      </c>
      <c r="H205" s="130"/>
      <c r="I205" s="345">
        <v>16735.436084285899</v>
      </c>
      <c r="J205" s="345">
        <v>1.1820310279999999</v>
      </c>
      <c r="K205" s="133"/>
      <c r="L205" s="345">
        <v>11678.084354329299</v>
      </c>
      <c r="M205" s="345">
        <v>0.91578815270000002</v>
      </c>
      <c r="N205" s="130"/>
      <c r="O205" s="345">
        <v>7315.9315481950998</v>
      </c>
      <c r="P205" s="345">
        <v>0.58802997560000003</v>
      </c>
    </row>
    <row r="206" spans="1:16" ht="12.75" customHeight="1" x14ac:dyDescent="0.25">
      <c r="A206" s="128"/>
      <c r="B206" s="341" t="s">
        <v>183</v>
      </c>
      <c r="C206" s="340" t="s">
        <v>188</v>
      </c>
      <c r="D206" s="136"/>
      <c r="E206" s="130"/>
      <c r="F206" s="345">
        <v>35022.585918723802</v>
      </c>
      <c r="G206" s="345">
        <v>1.5870893413</v>
      </c>
      <c r="H206" s="130"/>
      <c r="I206" s="345">
        <v>18230.321817819</v>
      </c>
      <c r="J206" s="345">
        <v>1.3014404086</v>
      </c>
      <c r="K206" s="133"/>
      <c r="L206" s="345">
        <v>12376.6348055747</v>
      </c>
      <c r="M206" s="345">
        <v>0.94681102500000003</v>
      </c>
      <c r="N206" s="130"/>
      <c r="O206" s="345">
        <v>5843.0374075072004</v>
      </c>
      <c r="P206" s="345">
        <v>0.48475606859999998</v>
      </c>
    </row>
    <row r="207" spans="1:16" ht="12.75" customHeight="1" x14ac:dyDescent="0.25">
      <c r="A207" s="128"/>
      <c r="B207" s="341" t="s">
        <v>182</v>
      </c>
      <c r="C207" s="340" t="s">
        <v>188</v>
      </c>
      <c r="D207" s="136"/>
      <c r="E207" s="130"/>
      <c r="F207" s="345">
        <v>28260.121200162801</v>
      </c>
      <c r="G207" s="345">
        <v>1.4492044716000001</v>
      </c>
      <c r="H207" s="130"/>
      <c r="I207" s="345">
        <v>22677.117272915701</v>
      </c>
      <c r="J207" s="345">
        <v>1.3797360127</v>
      </c>
      <c r="K207" s="133"/>
      <c r="L207" s="345">
        <v>13614.3403337154</v>
      </c>
      <c r="M207" s="345">
        <v>1.0121511938000001</v>
      </c>
      <c r="N207" s="130"/>
      <c r="O207" s="345">
        <v>7771.2663472355998</v>
      </c>
      <c r="P207" s="345">
        <v>0.65654839980000002</v>
      </c>
    </row>
    <row r="208" spans="1:16" s="13" customFormat="1" ht="6" customHeight="1" x14ac:dyDescent="0.2">
      <c r="A208" s="339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40" t="s">
        <v>188</v>
      </c>
      <c r="D209" s="344">
        <v>27228.768426438201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42"/>
      <c r="C210" s="340"/>
      <c r="E210" s="138"/>
      <c r="H210" s="138"/>
      <c r="K210" s="140"/>
      <c r="N210" s="140"/>
    </row>
    <row r="211" spans="1:16" ht="12.75" customHeight="1" x14ac:dyDescent="0.25">
      <c r="A211" s="128"/>
      <c r="B211" s="341" t="s">
        <v>187</v>
      </c>
      <c r="C211" s="340" t="s">
        <v>188</v>
      </c>
      <c r="D211" s="136"/>
      <c r="E211" s="130"/>
      <c r="F211" s="345">
        <v>13135.822130181699</v>
      </c>
      <c r="G211" s="345">
        <v>2.1163081826000001</v>
      </c>
      <c r="H211" s="130"/>
      <c r="I211" s="345">
        <v>12613.338564481701</v>
      </c>
      <c r="J211" s="345">
        <v>1.6252290646000001</v>
      </c>
      <c r="K211" s="133"/>
      <c r="L211" s="345">
        <v>9485.2135848857997</v>
      </c>
      <c r="M211" s="345">
        <v>1.4291986726000001</v>
      </c>
      <c r="N211" s="130"/>
      <c r="O211" s="345">
        <v>4144.1046301975002</v>
      </c>
      <c r="P211" s="345">
        <v>0.81021775770000004</v>
      </c>
    </row>
    <row r="212" spans="1:16" ht="12.75" customHeight="1" x14ac:dyDescent="0.25">
      <c r="A212" s="128"/>
      <c r="B212" s="341" t="s">
        <v>186</v>
      </c>
      <c r="C212" s="340" t="s">
        <v>188</v>
      </c>
      <c r="D212" s="136"/>
      <c r="E212" s="130"/>
      <c r="F212" s="345">
        <v>13650.3369053357</v>
      </c>
      <c r="G212" s="345">
        <v>2.1728113293</v>
      </c>
      <c r="H212" s="130"/>
      <c r="I212" s="345">
        <v>14105.383099005299</v>
      </c>
      <c r="J212" s="345">
        <v>1.9567494083999999</v>
      </c>
      <c r="K212" s="133"/>
      <c r="L212" s="345">
        <v>7689.2406178634001</v>
      </c>
      <c r="M212" s="345">
        <v>1.1462514949</v>
      </c>
      <c r="N212" s="130"/>
      <c r="O212" s="345">
        <v>6100.4210723812002</v>
      </c>
      <c r="P212" s="345">
        <v>1.2048106924999999</v>
      </c>
    </row>
    <row r="213" spans="1:16" ht="12.75" customHeight="1" x14ac:dyDescent="0.25">
      <c r="A213" s="128"/>
      <c r="B213" s="341" t="s">
        <v>185</v>
      </c>
      <c r="C213" s="340" t="s">
        <v>188</v>
      </c>
      <c r="D213" s="136"/>
      <c r="E213" s="130"/>
      <c r="F213" s="345">
        <v>13212.4540141866</v>
      </c>
      <c r="G213" s="345">
        <v>2.1909619517999999</v>
      </c>
      <c r="H213" s="130"/>
      <c r="I213" s="345">
        <v>13273.6703066999</v>
      </c>
      <c r="J213" s="345">
        <v>2.0317174864999998</v>
      </c>
      <c r="K213" s="133"/>
      <c r="L213" s="345">
        <v>8980.0452857937998</v>
      </c>
      <c r="M213" s="345">
        <v>1.3511430902999999</v>
      </c>
      <c r="N213" s="130"/>
      <c r="O213" s="345">
        <v>6642.6995984960004</v>
      </c>
      <c r="P213" s="345">
        <v>1.1278737391</v>
      </c>
    </row>
    <row r="214" spans="1:16" ht="12.75" customHeight="1" x14ac:dyDescent="0.25">
      <c r="A214" s="128"/>
      <c r="B214" s="341" t="s">
        <v>184</v>
      </c>
      <c r="C214" s="340" t="s">
        <v>188</v>
      </c>
      <c r="D214" s="136"/>
      <c r="E214" s="130"/>
      <c r="F214" s="345">
        <v>19508.375013268302</v>
      </c>
      <c r="G214" s="345">
        <v>1.8217539964</v>
      </c>
      <c r="H214" s="130"/>
      <c r="I214" s="345">
        <v>8704.3907348994999</v>
      </c>
      <c r="J214" s="345">
        <v>1.3103683910999999</v>
      </c>
      <c r="K214" s="133"/>
      <c r="L214" s="345">
        <v>5543.7373666424</v>
      </c>
      <c r="M214" s="345">
        <v>0.99358053889999998</v>
      </c>
      <c r="N214" s="130"/>
      <c r="O214" s="345">
        <v>2998.5554591404002</v>
      </c>
      <c r="P214" s="345">
        <v>0.58833597380000002</v>
      </c>
    </row>
    <row r="215" spans="1:16" ht="12.75" customHeight="1" x14ac:dyDescent="0.25">
      <c r="A215" s="128"/>
      <c r="B215" s="341" t="s">
        <v>183</v>
      </c>
      <c r="C215" s="340" t="s">
        <v>188</v>
      </c>
      <c r="D215" s="136"/>
      <c r="E215" s="130"/>
      <c r="F215" s="345">
        <v>20777.085860095998</v>
      </c>
      <c r="G215" s="345">
        <v>1.816107868</v>
      </c>
      <c r="H215" s="130"/>
      <c r="I215" s="345">
        <v>9479.9611803893004</v>
      </c>
      <c r="J215" s="345">
        <v>1.5403932784000001</v>
      </c>
      <c r="K215" s="133"/>
      <c r="L215" s="345">
        <v>5289.9637584235998</v>
      </c>
      <c r="M215" s="345">
        <v>0.99047668040000003</v>
      </c>
      <c r="N215" s="130"/>
      <c r="O215" s="345">
        <v>1557.2554231117001</v>
      </c>
      <c r="P215" s="345">
        <v>0.31900840390000001</v>
      </c>
    </row>
    <row r="216" spans="1:16" ht="12.75" customHeight="1" x14ac:dyDescent="0.25">
      <c r="A216" s="128"/>
      <c r="B216" s="341" t="s">
        <v>182</v>
      </c>
      <c r="C216" s="340" t="s">
        <v>188</v>
      </c>
      <c r="D216" s="136"/>
      <c r="E216" s="130"/>
      <c r="F216" s="345">
        <v>17404.983002622299</v>
      </c>
      <c r="G216" s="345">
        <v>2.3572673086</v>
      </c>
      <c r="H216" s="130"/>
      <c r="I216" s="345">
        <v>11288.115166810599</v>
      </c>
      <c r="J216" s="345">
        <v>1.6484800237999999</v>
      </c>
      <c r="K216" s="133"/>
      <c r="L216" s="345">
        <v>7560.2071704886002</v>
      </c>
      <c r="M216" s="345">
        <v>1.2951198962999999</v>
      </c>
      <c r="N216" s="130"/>
      <c r="O216" s="345">
        <v>4559.8596349201998</v>
      </c>
      <c r="P216" s="345">
        <v>0.92611781370000001</v>
      </c>
    </row>
    <row r="217" spans="1:16" s="13" customFormat="1" ht="6" customHeight="1" x14ac:dyDescent="0.2">
      <c r="A217" s="339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40" t="s">
        <v>188</v>
      </c>
      <c r="D218" s="344">
        <v>16590.224099263702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42"/>
      <c r="C219" s="340"/>
      <c r="E219" s="138"/>
      <c r="H219" s="138"/>
      <c r="K219" s="140"/>
      <c r="N219" s="140"/>
    </row>
    <row r="220" spans="1:16" ht="12.75" customHeight="1" x14ac:dyDescent="0.25">
      <c r="A220" s="128"/>
      <c r="B220" s="341" t="s">
        <v>187</v>
      </c>
      <c r="C220" s="340" t="s">
        <v>188</v>
      </c>
      <c r="D220" s="136"/>
      <c r="E220" s="130"/>
      <c r="F220" s="345">
        <v>10777.2005975394</v>
      </c>
      <c r="G220" s="345">
        <v>2.5513548027000001</v>
      </c>
      <c r="H220" s="130"/>
      <c r="I220" s="345">
        <v>12124.247673211999</v>
      </c>
      <c r="J220" s="345">
        <v>2.6170210570000001</v>
      </c>
      <c r="K220" s="133"/>
      <c r="L220" s="345">
        <v>6355.6701779782998</v>
      </c>
      <c r="M220" s="345">
        <v>1.7578363125000001</v>
      </c>
      <c r="N220" s="130"/>
      <c r="O220" s="345">
        <v>3199.9440903647001</v>
      </c>
      <c r="P220" s="345">
        <v>0.94944918209999996</v>
      </c>
    </row>
    <row r="221" spans="1:16" ht="12.75" customHeight="1" x14ac:dyDescent="0.25">
      <c r="A221" s="128"/>
      <c r="B221" s="341" t="s">
        <v>186</v>
      </c>
      <c r="C221" s="340" t="s">
        <v>188</v>
      </c>
      <c r="D221" s="136"/>
      <c r="E221" s="130"/>
      <c r="F221" s="345">
        <v>7866.1993669720996</v>
      </c>
      <c r="G221" s="345">
        <v>2.1894805662999999</v>
      </c>
      <c r="H221" s="130"/>
      <c r="I221" s="345">
        <v>13535.4906130665</v>
      </c>
      <c r="J221" s="345">
        <v>2.6906669107000001</v>
      </c>
      <c r="K221" s="133"/>
      <c r="L221" s="345">
        <v>6284.3804556037003</v>
      </c>
      <c r="M221" s="345">
        <v>1.7651024683000001</v>
      </c>
      <c r="N221" s="130"/>
      <c r="O221" s="345">
        <v>4738.9856050679</v>
      </c>
      <c r="P221" s="345">
        <v>1.2812316178000001</v>
      </c>
    </row>
    <row r="222" spans="1:16" ht="12.75" customHeight="1" x14ac:dyDescent="0.25">
      <c r="A222" s="128"/>
      <c r="B222" s="341" t="s">
        <v>185</v>
      </c>
      <c r="C222" s="340" t="s">
        <v>188</v>
      </c>
      <c r="D222" s="136"/>
      <c r="E222" s="130"/>
      <c r="F222" s="345">
        <v>6038.6774736094003</v>
      </c>
      <c r="G222" s="345">
        <v>1.6058282139</v>
      </c>
      <c r="H222" s="130"/>
      <c r="I222" s="345">
        <v>11098.346832351501</v>
      </c>
      <c r="J222" s="345">
        <v>2.0935682840999998</v>
      </c>
      <c r="K222" s="133"/>
      <c r="L222" s="345">
        <v>6145.7902910903003</v>
      </c>
      <c r="M222" s="345">
        <v>1.4377372485</v>
      </c>
      <c r="N222" s="130"/>
      <c r="O222" s="345">
        <v>5697.0270661191998</v>
      </c>
      <c r="P222" s="345">
        <v>1.5835528714</v>
      </c>
    </row>
    <row r="223" spans="1:16" ht="12.75" customHeight="1" x14ac:dyDescent="0.25">
      <c r="A223" s="128"/>
      <c r="B223" s="341" t="s">
        <v>184</v>
      </c>
      <c r="C223" s="340" t="s">
        <v>188</v>
      </c>
      <c r="D223" s="136"/>
      <c r="E223" s="130"/>
      <c r="F223" s="345">
        <v>11373.9879390321</v>
      </c>
      <c r="G223" s="345">
        <v>2.7845644676000001</v>
      </c>
      <c r="H223" s="130"/>
      <c r="I223" s="345">
        <v>13611.186627621801</v>
      </c>
      <c r="J223" s="345">
        <v>2.9209337974</v>
      </c>
      <c r="K223" s="133"/>
      <c r="L223" s="345">
        <v>3085.5823419198</v>
      </c>
      <c r="M223" s="345">
        <v>0.89880121840000005</v>
      </c>
      <c r="N223" s="130"/>
      <c r="O223" s="345">
        <v>1809.2135982246</v>
      </c>
      <c r="P223" s="345">
        <v>0.52079810559999995</v>
      </c>
    </row>
    <row r="224" spans="1:16" ht="12.75" customHeight="1" x14ac:dyDescent="0.25">
      <c r="A224" s="128"/>
      <c r="B224" s="341" t="s">
        <v>183</v>
      </c>
      <c r="C224" s="340" t="s">
        <v>188</v>
      </c>
      <c r="D224" s="136"/>
      <c r="E224" s="130"/>
      <c r="F224" s="345">
        <v>10933.702885868601</v>
      </c>
      <c r="G224" s="345">
        <v>2.8664969954999999</v>
      </c>
      <c r="H224" s="130"/>
      <c r="I224" s="345">
        <v>13653.8207113723</v>
      </c>
      <c r="J224" s="345">
        <v>2.9248556008</v>
      </c>
      <c r="K224" s="133"/>
      <c r="L224" s="345">
        <v>3213.7252287358001</v>
      </c>
      <c r="M224" s="345">
        <v>0.86124286169999997</v>
      </c>
      <c r="N224" s="130"/>
      <c r="O224" s="345">
        <v>1803.1579617217999</v>
      </c>
      <c r="P224" s="345">
        <v>0.51679084129999997</v>
      </c>
    </row>
    <row r="225" spans="1:16" ht="12.75" customHeight="1" x14ac:dyDescent="0.25">
      <c r="A225" s="128"/>
      <c r="B225" s="341" t="s">
        <v>182</v>
      </c>
      <c r="C225" s="340" t="s">
        <v>188</v>
      </c>
      <c r="D225" s="136"/>
      <c r="E225" s="130"/>
      <c r="F225" s="345">
        <v>9900.9917396103992</v>
      </c>
      <c r="G225" s="345">
        <v>2.5117487043</v>
      </c>
      <c r="H225" s="130"/>
      <c r="I225" s="345">
        <v>11150.891143991001</v>
      </c>
      <c r="J225" s="345">
        <v>2.4423979134999998</v>
      </c>
      <c r="K225" s="133"/>
      <c r="L225" s="345">
        <v>7053.0212187038996</v>
      </c>
      <c r="M225" s="345">
        <v>1.7147162359000001</v>
      </c>
      <c r="N225" s="130"/>
      <c r="O225" s="345">
        <v>2558.7814494722002</v>
      </c>
      <c r="P225" s="345">
        <v>0.73527985360000003</v>
      </c>
    </row>
    <row r="226" spans="1:16" s="13" customFormat="1" ht="6" customHeight="1" x14ac:dyDescent="0.2">
      <c r="A226" s="339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40" t="s">
        <v>188</v>
      </c>
      <c r="D227" s="344">
        <v>14882.082672734099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42"/>
      <c r="C228" s="340"/>
      <c r="E228" s="138"/>
      <c r="H228" s="138"/>
      <c r="K228" s="140"/>
      <c r="N228" s="140"/>
    </row>
    <row r="229" spans="1:16" ht="12.75" customHeight="1" x14ac:dyDescent="0.25">
      <c r="A229" s="128"/>
      <c r="B229" s="341" t="s">
        <v>187</v>
      </c>
      <c r="C229" s="340" t="s">
        <v>188</v>
      </c>
      <c r="D229" s="136"/>
      <c r="E229" s="130"/>
      <c r="F229" s="345">
        <v>11956.7913962373</v>
      </c>
      <c r="G229" s="345">
        <v>1.6705346553</v>
      </c>
      <c r="H229" s="130"/>
      <c r="I229" s="345">
        <v>8330.0854319705995</v>
      </c>
      <c r="J229" s="345">
        <v>1.3309952314</v>
      </c>
      <c r="K229" s="133"/>
      <c r="L229" s="345">
        <v>6547.5858840033998</v>
      </c>
      <c r="M229" s="345">
        <v>1.0357788063</v>
      </c>
      <c r="N229" s="130"/>
      <c r="O229" s="345">
        <v>3820.6685551380001</v>
      </c>
      <c r="P229" s="345">
        <v>0.64276076140000005</v>
      </c>
    </row>
    <row r="230" spans="1:16" ht="12.75" customHeight="1" x14ac:dyDescent="0.25">
      <c r="A230" s="128"/>
      <c r="B230" s="341" t="s">
        <v>186</v>
      </c>
      <c r="C230" s="340" t="s">
        <v>188</v>
      </c>
      <c r="D230" s="136"/>
      <c r="E230" s="130"/>
      <c r="F230" s="345">
        <v>12654.3557605884</v>
      </c>
      <c r="G230" s="345">
        <v>1.8904425107</v>
      </c>
      <c r="H230" s="130"/>
      <c r="I230" s="345">
        <v>8947.5759313332001</v>
      </c>
      <c r="J230" s="345">
        <v>1.3643957663999999</v>
      </c>
      <c r="K230" s="133"/>
      <c r="L230" s="345">
        <v>6116.6586051355998</v>
      </c>
      <c r="M230" s="345">
        <v>0.99086893659999997</v>
      </c>
      <c r="N230" s="130"/>
      <c r="O230" s="345">
        <v>4614.4700459742999</v>
      </c>
      <c r="P230" s="345">
        <v>0.7799853779</v>
      </c>
    </row>
    <row r="231" spans="1:16" ht="12.75" customHeight="1" x14ac:dyDescent="0.25">
      <c r="A231" s="128"/>
      <c r="B231" s="341" t="s">
        <v>185</v>
      </c>
      <c r="C231" s="340" t="s">
        <v>188</v>
      </c>
      <c r="D231" s="136"/>
      <c r="E231" s="130"/>
      <c r="F231" s="345">
        <v>11370.1754429884</v>
      </c>
      <c r="G231" s="345">
        <v>1.7465473953999999</v>
      </c>
      <c r="H231" s="130"/>
      <c r="I231" s="345">
        <v>9143.8347797076003</v>
      </c>
      <c r="J231" s="345">
        <v>1.4929328255000001</v>
      </c>
      <c r="K231" s="133"/>
      <c r="L231" s="345">
        <v>7819.6138038738</v>
      </c>
      <c r="M231" s="345">
        <v>1.2211552787</v>
      </c>
      <c r="N231" s="130"/>
      <c r="O231" s="345">
        <v>6610.9525746802001</v>
      </c>
      <c r="P231" s="345">
        <v>1.1016393892</v>
      </c>
    </row>
    <row r="232" spans="1:16" ht="12.75" customHeight="1" x14ac:dyDescent="0.25">
      <c r="A232" s="128"/>
      <c r="B232" s="341" t="s">
        <v>184</v>
      </c>
      <c r="C232" s="340" t="s">
        <v>188</v>
      </c>
      <c r="D232" s="136"/>
      <c r="E232" s="130"/>
      <c r="F232" s="345">
        <v>14645.521192775601</v>
      </c>
      <c r="G232" s="345">
        <v>1.4742087291999999</v>
      </c>
      <c r="H232" s="130"/>
      <c r="I232" s="345">
        <v>7365.1924615432999</v>
      </c>
      <c r="J232" s="345">
        <v>1.2627727800999999</v>
      </c>
      <c r="K232" s="133"/>
      <c r="L232" s="345">
        <v>4429.0244369345</v>
      </c>
      <c r="M232" s="345">
        <v>0.76489865960000003</v>
      </c>
      <c r="N232" s="130"/>
      <c r="O232" s="345">
        <v>2138.6677708356001</v>
      </c>
      <c r="P232" s="345">
        <v>0.3746036244</v>
      </c>
    </row>
    <row r="233" spans="1:16" ht="12.75" customHeight="1" x14ac:dyDescent="0.25">
      <c r="A233" s="128"/>
      <c r="B233" s="341" t="s">
        <v>183</v>
      </c>
      <c r="C233" s="340" t="s">
        <v>188</v>
      </c>
      <c r="D233" s="136"/>
      <c r="E233" s="130"/>
      <c r="F233" s="345">
        <v>14460.9756374352</v>
      </c>
      <c r="G233" s="345">
        <v>1.3429416386999999</v>
      </c>
      <c r="H233" s="130"/>
      <c r="I233" s="345">
        <v>6528.8200664735996</v>
      </c>
      <c r="J233" s="345">
        <v>1.1182435426999999</v>
      </c>
      <c r="K233" s="133"/>
      <c r="L233" s="345">
        <v>3970.2449561953999</v>
      </c>
      <c r="M233" s="345">
        <v>0.68250986120000001</v>
      </c>
      <c r="N233" s="130"/>
      <c r="O233" s="345">
        <v>2096.8426458131999</v>
      </c>
      <c r="P233" s="345">
        <v>0.36891206090000001</v>
      </c>
    </row>
    <row r="234" spans="1:16" ht="12.75" customHeight="1" x14ac:dyDescent="0.25">
      <c r="A234" s="128"/>
      <c r="B234" s="341" t="s">
        <v>182</v>
      </c>
      <c r="C234" s="340" t="s">
        <v>188</v>
      </c>
      <c r="D234" s="136"/>
      <c r="E234" s="130"/>
      <c r="F234" s="345">
        <v>13492.563511013601</v>
      </c>
      <c r="G234" s="345">
        <v>1.7247633658999999</v>
      </c>
      <c r="H234" s="130"/>
      <c r="I234" s="345">
        <v>7803.2436131074001</v>
      </c>
      <c r="J234" s="345">
        <v>1.2618880370000001</v>
      </c>
      <c r="K234" s="133"/>
      <c r="L234" s="345">
        <v>6003.7399854145997</v>
      </c>
      <c r="M234" s="345">
        <v>1.0059472201999999</v>
      </c>
      <c r="N234" s="130"/>
      <c r="O234" s="345">
        <v>3088.7642344513001</v>
      </c>
      <c r="P234" s="345">
        <v>0.52942933189999997</v>
      </c>
    </row>
    <row r="235" spans="1:16" s="13" customFormat="1" ht="6" customHeight="1" x14ac:dyDescent="0.2">
      <c r="A235" s="339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40" t="s">
        <v>188</v>
      </c>
      <c r="D236" s="344">
        <v>17697.139692004599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42"/>
      <c r="C237" s="340"/>
      <c r="E237" s="138"/>
      <c r="H237" s="138"/>
      <c r="K237" s="140"/>
      <c r="N237" s="140"/>
    </row>
    <row r="238" spans="1:16" ht="12.75" customHeight="1" x14ac:dyDescent="0.25">
      <c r="A238" s="128"/>
      <c r="B238" s="341" t="s">
        <v>187</v>
      </c>
      <c r="C238" s="340" t="s">
        <v>188</v>
      </c>
      <c r="D238" s="136"/>
      <c r="E238" s="130"/>
      <c r="F238" s="345">
        <v>12324.723344788499</v>
      </c>
      <c r="G238" s="345">
        <v>1.6493752536999999</v>
      </c>
      <c r="H238" s="130"/>
      <c r="I238" s="345">
        <v>13969.0317900628</v>
      </c>
      <c r="J238" s="345">
        <v>1.6947130738</v>
      </c>
      <c r="K238" s="133"/>
      <c r="L238" s="345">
        <v>9151.0547013989999</v>
      </c>
      <c r="M238" s="345">
        <v>1.3565369215</v>
      </c>
      <c r="N238" s="130"/>
      <c r="O238" s="345">
        <v>4706.1108298541003</v>
      </c>
      <c r="P238" s="345">
        <v>0.71231589129999995</v>
      </c>
    </row>
    <row r="239" spans="1:16" ht="12.75" customHeight="1" x14ac:dyDescent="0.25">
      <c r="A239" s="128"/>
      <c r="B239" s="341" t="s">
        <v>186</v>
      </c>
      <c r="C239" s="340" t="s">
        <v>188</v>
      </c>
      <c r="D239" s="136"/>
      <c r="E239" s="130"/>
      <c r="F239" s="345">
        <v>12138.4747814702</v>
      </c>
      <c r="G239" s="345">
        <v>1.6151242802000001</v>
      </c>
      <c r="H239" s="130"/>
      <c r="I239" s="345">
        <v>12484.489969409</v>
      </c>
      <c r="J239" s="345">
        <v>1.4363672220000001</v>
      </c>
      <c r="K239" s="133"/>
      <c r="L239" s="345">
        <v>8468.6672438073001</v>
      </c>
      <c r="M239" s="345">
        <v>1.189580208</v>
      </c>
      <c r="N239" s="130"/>
      <c r="O239" s="345">
        <v>5094.1135078525003</v>
      </c>
      <c r="P239" s="345">
        <v>0.79051694839999997</v>
      </c>
    </row>
    <row r="240" spans="1:16" ht="12.75" customHeight="1" x14ac:dyDescent="0.25">
      <c r="A240" s="128"/>
      <c r="B240" s="341" t="s">
        <v>185</v>
      </c>
      <c r="C240" s="340" t="s">
        <v>188</v>
      </c>
      <c r="D240" s="136"/>
      <c r="E240" s="130"/>
      <c r="F240" s="345">
        <v>12125.915926781399</v>
      </c>
      <c r="G240" s="345">
        <v>1.5908602254999999</v>
      </c>
      <c r="H240" s="130"/>
      <c r="I240" s="345">
        <v>12162.470532155899</v>
      </c>
      <c r="J240" s="345">
        <v>1.5214085878000001</v>
      </c>
      <c r="K240" s="133"/>
      <c r="L240" s="345">
        <v>8298.2476496800991</v>
      </c>
      <c r="M240" s="345">
        <v>1.1561706314</v>
      </c>
      <c r="N240" s="130"/>
      <c r="O240" s="345">
        <v>7521.5309374465996</v>
      </c>
      <c r="P240" s="345">
        <v>1.1460927997999999</v>
      </c>
    </row>
    <row r="241" spans="1:16" ht="12.75" customHeight="1" x14ac:dyDescent="0.25">
      <c r="A241" s="128"/>
      <c r="B241" s="341" t="s">
        <v>184</v>
      </c>
      <c r="C241" s="340" t="s">
        <v>188</v>
      </c>
      <c r="D241" s="136"/>
      <c r="E241" s="130"/>
      <c r="F241" s="345">
        <v>16600.8714296869</v>
      </c>
      <c r="G241" s="345">
        <v>1.6442014539000001</v>
      </c>
      <c r="H241" s="130"/>
      <c r="I241" s="345">
        <v>9790.6110171720993</v>
      </c>
      <c r="J241" s="345">
        <v>1.3794113765</v>
      </c>
      <c r="K241" s="133"/>
      <c r="L241" s="345">
        <v>5185.4445784326999</v>
      </c>
      <c r="M241" s="345">
        <v>0.77127399620000003</v>
      </c>
      <c r="N241" s="130"/>
      <c r="O241" s="345">
        <v>2783.8700646972002</v>
      </c>
      <c r="P241" s="345">
        <v>0.41896031220000002</v>
      </c>
    </row>
    <row r="242" spans="1:16" ht="12.75" customHeight="1" x14ac:dyDescent="0.25">
      <c r="A242" s="128"/>
      <c r="B242" s="341" t="s">
        <v>183</v>
      </c>
      <c r="C242" s="340" t="s">
        <v>188</v>
      </c>
      <c r="D242" s="136"/>
      <c r="E242" s="130"/>
      <c r="F242" s="345">
        <v>15850.685730889199</v>
      </c>
      <c r="G242" s="345">
        <v>1.6177204575999999</v>
      </c>
      <c r="H242" s="130"/>
      <c r="I242" s="345">
        <v>9474.6571449210005</v>
      </c>
      <c r="J242" s="345">
        <v>1.2941070597</v>
      </c>
      <c r="K242" s="133"/>
      <c r="L242" s="345">
        <v>5847.3496967356004</v>
      </c>
      <c r="M242" s="345">
        <v>0.85634706439999997</v>
      </c>
      <c r="N242" s="130"/>
      <c r="O242" s="345">
        <v>2635.3915023292998</v>
      </c>
      <c r="P242" s="345">
        <v>0.39740152919999999</v>
      </c>
    </row>
    <row r="243" spans="1:16" ht="12.75" customHeight="1" x14ac:dyDescent="0.25">
      <c r="A243" s="128"/>
      <c r="B243" s="341" t="s">
        <v>182</v>
      </c>
      <c r="C243" s="340" t="s">
        <v>188</v>
      </c>
      <c r="D243" s="136"/>
      <c r="E243" s="130"/>
      <c r="F243" s="345">
        <v>15617.445289883701</v>
      </c>
      <c r="G243" s="345">
        <v>1.6895991522</v>
      </c>
      <c r="H243" s="130"/>
      <c r="I243" s="345">
        <v>9278.8096292004993</v>
      </c>
      <c r="J243" s="345">
        <v>1.2643457941</v>
      </c>
      <c r="K243" s="133"/>
      <c r="L243" s="345">
        <v>7253.4501440265003</v>
      </c>
      <c r="M243" s="345">
        <v>1.0615333574000001</v>
      </c>
      <c r="N243" s="130"/>
      <c r="O243" s="345">
        <v>3575.7156243713998</v>
      </c>
      <c r="P243" s="345">
        <v>0.53584334190000005</v>
      </c>
    </row>
    <row r="244" spans="1:16" s="13" customFormat="1" ht="6" customHeight="1" x14ac:dyDescent="0.2">
      <c r="A244" s="339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40" t="s">
        <v>188</v>
      </c>
      <c r="D245" s="344">
        <v>20296.342988481301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42"/>
      <c r="C246" s="340"/>
      <c r="E246" s="138"/>
      <c r="H246" s="138"/>
      <c r="K246" s="140"/>
      <c r="N246" s="140"/>
    </row>
    <row r="247" spans="1:16" ht="12.75" customHeight="1" x14ac:dyDescent="0.25">
      <c r="A247" s="128"/>
      <c r="B247" s="341" t="s">
        <v>187</v>
      </c>
      <c r="C247" s="340" t="s">
        <v>188</v>
      </c>
      <c r="D247" s="136"/>
      <c r="E247" s="130"/>
      <c r="F247" s="345">
        <v>11654.861074426701</v>
      </c>
      <c r="G247" s="345">
        <v>1.4521538772</v>
      </c>
      <c r="H247" s="130"/>
      <c r="I247" s="345">
        <v>10618.5810867358</v>
      </c>
      <c r="J247" s="345">
        <v>1.2796701719000001</v>
      </c>
      <c r="K247" s="133"/>
      <c r="L247" s="345">
        <v>8828.4527266066998</v>
      </c>
      <c r="M247" s="345">
        <v>1.2300363220999999</v>
      </c>
      <c r="N247" s="130"/>
      <c r="O247" s="345">
        <v>5808.7576572758999</v>
      </c>
      <c r="P247" s="345">
        <v>0.90517079680000001</v>
      </c>
    </row>
    <row r="248" spans="1:16" ht="12.75" customHeight="1" x14ac:dyDescent="0.25">
      <c r="A248" s="128"/>
      <c r="B248" s="341" t="s">
        <v>186</v>
      </c>
      <c r="C248" s="340" t="s">
        <v>188</v>
      </c>
      <c r="D248" s="136"/>
      <c r="E248" s="130"/>
      <c r="F248" s="345">
        <v>12907.5078422878</v>
      </c>
      <c r="G248" s="345">
        <v>1.6890836839000001</v>
      </c>
      <c r="H248" s="130"/>
      <c r="I248" s="345">
        <v>11777.108017985</v>
      </c>
      <c r="J248" s="345">
        <v>1.4457989470999999</v>
      </c>
      <c r="K248" s="133"/>
      <c r="L248" s="345">
        <v>8491.9985190902007</v>
      </c>
      <c r="M248" s="345">
        <v>1.2862921102</v>
      </c>
      <c r="N248" s="130"/>
      <c r="O248" s="345">
        <v>6686.6589105687999</v>
      </c>
      <c r="P248" s="345">
        <v>1.0153839920000001</v>
      </c>
    </row>
    <row r="249" spans="1:16" ht="12.75" customHeight="1" x14ac:dyDescent="0.25">
      <c r="A249" s="128"/>
      <c r="B249" s="341" t="s">
        <v>185</v>
      </c>
      <c r="C249" s="340" t="s">
        <v>188</v>
      </c>
      <c r="D249" s="136"/>
      <c r="E249" s="130"/>
      <c r="F249" s="345">
        <v>11320.397389493801</v>
      </c>
      <c r="G249" s="345">
        <v>1.5466957178</v>
      </c>
      <c r="H249" s="130"/>
      <c r="I249" s="345">
        <v>12435.159149544101</v>
      </c>
      <c r="J249" s="345">
        <v>1.5935358123000001</v>
      </c>
      <c r="K249" s="133"/>
      <c r="L249" s="345">
        <v>9092.3277050616998</v>
      </c>
      <c r="M249" s="345">
        <v>1.2358607971</v>
      </c>
      <c r="N249" s="130"/>
      <c r="O249" s="345">
        <v>7849.6924697013001</v>
      </c>
      <c r="P249" s="345">
        <v>1.2208229145</v>
      </c>
    </row>
    <row r="250" spans="1:16" ht="12.75" customHeight="1" x14ac:dyDescent="0.25">
      <c r="A250" s="128"/>
      <c r="B250" s="341" t="s">
        <v>184</v>
      </c>
      <c r="C250" s="340" t="s">
        <v>188</v>
      </c>
      <c r="D250" s="136"/>
      <c r="E250" s="130"/>
      <c r="F250" s="345">
        <v>16207.223866517899</v>
      </c>
      <c r="G250" s="345">
        <v>1.5721346613</v>
      </c>
      <c r="H250" s="130"/>
      <c r="I250" s="345">
        <v>10130.346043288801</v>
      </c>
      <c r="J250" s="345">
        <v>1.3816901192</v>
      </c>
      <c r="K250" s="133"/>
      <c r="L250" s="345">
        <v>5683.6626997590001</v>
      </c>
      <c r="M250" s="345">
        <v>0.87340937620000003</v>
      </c>
      <c r="N250" s="130"/>
      <c r="O250" s="345">
        <v>4184.7234563667998</v>
      </c>
      <c r="P250" s="345">
        <v>0.67293285290000004</v>
      </c>
    </row>
    <row r="251" spans="1:16" ht="12.75" customHeight="1" x14ac:dyDescent="0.25">
      <c r="A251" s="128"/>
      <c r="B251" s="341" t="s">
        <v>183</v>
      </c>
      <c r="C251" s="340" t="s">
        <v>188</v>
      </c>
      <c r="D251" s="136"/>
      <c r="E251" s="130"/>
      <c r="F251" s="345">
        <v>16801.034470385799</v>
      </c>
      <c r="G251" s="345">
        <v>1.6413759768</v>
      </c>
      <c r="H251" s="130"/>
      <c r="I251" s="345">
        <v>9973.2147551578</v>
      </c>
      <c r="J251" s="345">
        <v>1.3308789234</v>
      </c>
      <c r="K251" s="133"/>
      <c r="L251" s="345">
        <v>6004.0046461956999</v>
      </c>
      <c r="M251" s="345">
        <v>0.95613989570000002</v>
      </c>
      <c r="N251" s="130"/>
      <c r="O251" s="345">
        <v>3587.3481229037002</v>
      </c>
      <c r="P251" s="345">
        <v>0.57684069859999998</v>
      </c>
    </row>
    <row r="252" spans="1:16" ht="12.75" customHeight="1" x14ac:dyDescent="0.25">
      <c r="A252" s="128"/>
      <c r="B252" s="341" t="s">
        <v>182</v>
      </c>
      <c r="C252" s="340" t="s">
        <v>188</v>
      </c>
      <c r="D252" s="136"/>
      <c r="E252" s="130"/>
      <c r="F252" s="345">
        <v>15667.411662463501</v>
      </c>
      <c r="G252" s="345">
        <v>1.7705242002999999</v>
      </c>
      <c r="H252" s="130"/>
      <c r="I252" s="345">
        <v>9260.5721561526007</v>
      </c>
      <c r="J252" s="345">
        <v>1.3613358246</v>
      </c>
      <c r="K252" s="133"/>
      <c r="L252" s="345">
        <v>8435.1879267678996</v>
      </c>
      <c r="M252" s="345">
        <v>1.1978523266000001</v>
      </c>
      <c r="N252" s="130"/>
      <c r="O252" s="345">
        <v>4944.8371739753002</v>
      </c>
      <c r="P252" s="345">
        <v>0.77877334970000001</v>
      </c>
    </row>
    <row r="253" spans="1:16" s="13" customFormat="1" ht="6" customHeight="1" x14ac:dyDescent="0.2">
      <c r="A253" s="339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40" t="s">
        <v>188</v>
      </c>
      <c r="D254" s="344">
        <v>20074.553062652802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42"/>
      <c r="C255" s="340"/>
      <c r="E255" s="138"/>
      <c r="H255" s="138"/>
      <c r="K255" s="140"/>
      <c r="N255" s="140"/>
    </row>
    <row r="256" spans="1:16" ht="12.75" customHeight="1" x14ac:dyDescent="0.25">
      <c r="A256" s="128"/>
      <c r="B256" s="341" t="s">
        <v>187</v>
      </c>
      <c r="C256" s="340" t="s">
        <v>188</v>
      </c>
      <c r="D256" s="136"/>
      <c r="E256" s="130"/>
      <c r="F256" s="345">
        <v>9244.2813792921006</v>
      </c>
      <c r="G256" s="345">
        <v>1.5323068580999999</v>
      </c>
      <c r="H256" s="130"/>
      <c r="I256" s="345">
        <v>8541.2168565391003</v>
      </c>
      <c r="J256" s="345">
        <v>1.2513759028</v>
      </c>
      <c r="K256" s="133"/>
      <c r="L256" s="345">
        <v>9532.4375745283996</v>
      </c>
      <c r="M256" s="345">
        <v>1.3373208674999999</v>
      </c>
      <c r="N256" s="130"/>
      <c r="O256" s="345">
        <v>7231.6233764038998</v>
      </c>
      <c r="P256" s="345">
        <v>1.2516282188000001</v>
      </c>
    </row>
    <row r="257" spans="1:16" ht="12.75" customHeight="1" x14ac:dyDescent="0.25">
      <c r="A257" s="128"/>
      <c r="B257" s="341" t="s">
        <v>186</v>
      </c>
      <c r="C257" s="340" t="s">
        <v>188</v>
      </c>
      <c r="D257" s="136"/>
      <c r="E257" s="130"/>
      <c r="F257" s="345">
        <v>6585.6368470308998</v>
      </c>
      <c r="G257" s="345">
        <v>1.1745414647000001</v>
      </c>
      <c r="H257" s="130"/>
      <c r="I257" s="345">
        <v>8152.8298407222001</v>
      </c>
      <c r="J257" s="345">
        <v>1.2563344246999999</v>
      </c>
      <c r="K257" s="133"/>
      <c r="L257" s="345">
        <v>10117.3523276918</v>
      </c>
      <c r="M257" s="345">
        <v>1.2373698445000001</v>
      </c>
      <c r="N257" s="130"/>
      <c r="O257" s="345">
        <v>7744.2537921319999</v>
      </c>
      <c r="P257" s="345">
        <v>1.2388008215999999</v>
      </c>
    </row>
    <row r="258" spans="1:16" ht="12.75" customHeight="1" x14ac:dyDescent="0.25">
      <c r="A258" s="128"/>
      <c r="B258" s="341" t="s">
        <v>185</v>
      </c>
      <c r="C258" s="340" t="s">
        <v>188</v>
      </c>
      <c r="D258" s="136"/>
      <c r="E258" s="130"/>
      <c r="F258" s="345">
        <v>6928.5527926130999</v>
      </c>
      <c r="G258" s="345">
        <v>1.1019840344</v>
      </c>
      <c r="H258" s="130"/>
      <c r="I258" s="345">
        <v>8010.6217525362999</v>
      </c>
      <c r="J258" s="345">
        <v>1.3230762524999999</v>
      </c>
      <c r="K258" s="133"/>
      <c r="L258" s="345">
        <v>8640.7566884334992</v>
      </c>
      <c r="M258" s="345">
        <v>1.2961633817</v>
      </c>
      <c r="N258" s="130"/>
      <c r="O258" s="345">
        <v>9637.5724593193008</v>
      </c>
      <c r="P258" s="345">
        <v>1.4077220648</v>
      </c>
    </row>
    <row r="259" spans="1:16" ht="12.75" customHeight="1" x14ac:dyDescent="0.25">
      <c r="A259" s="128"/>
      <c r="B259" s="341" t="s">
        <v>184</v>
      </c>
      <c r="C259" s="340" t="s">
        <v>188</v>
      </c>
      <c r="D259" s="136"/>
      <c r="E259" s="130"/>
      <c r="F259" s="345">
        <v>12249.3174705116</v>
      </c>
      <c r="G259" s="345">
        <v>1.5818015234</v>
      </c>
      <c r="H259" s="130"/>
      <c r="I259" s="345">
        <v>10456.249829439401</v>
      </c>
      <c r="J259" s="345">
        <v>1.4044519642</v>
      </c>
      <c r="K259" s="133"/>
      <c r="L259" s="345">
        <v>5485.4107339558004</v>
      </c>
      <c r="M259" s="345">
        <v>1.0177340482999999</v>
      </c>
      <c r="N259" s="130"/>
      <c r="O259" s="345">
        <v>3634.1758579473999</v>
      </c>
      <c r="P259" s="345">
        <v>0.64489600290000004</v>
      </c>
    </row>
    <row r="260" spans="1:16" ht="12.75" customHeight="1" x14ac:dyDescent="0.25">
      <c r="A260" s="128"/>
      <c r="B260" s="341" t="s">
        <v>183</v>
      </c>
      <c r="C260" s="340" t="s">
        <v>188</v>
      </c>
      <c r="D260" s="136"/>
      <c r="E260" s="130"/>
      <c r="F260" s="345">
        <v>14123.669401565599</v>
      </c>
      <c r="G260" s="345">
        <v>1.6879323996</v>
      </c>
      <c r="H260" s="130"/>
      <c r="I260" s="345">
        <v>10013.4662497219</v>
      </c>
      <c r="J260" s="345">
        <v>1.5241293048</v>
      </c>
      <c r="K260" s="133"/>
      <c r="L260" s="345">
        <v>5453.9666152458003</v>
      </c>
      <c r="M260" s="345">
        <v>1.0011142861</v>
      </c>
      <c r="N260" s="130"/>
      <c r="O260" s="345">
        <v>2794.4234472404</v>
      </c>
      <c r="P260" s="345">
        <v>0.50644932909999996</v>
      </c>
    </row>
    <row r="261" spans="1:16" ht="12.75" customHeight="1" x14ac:dyDescent="0.25">
      <c r="A261" s="128"/>
      <c r="B261" s="341" t="s">
        <v>182</v>
      </c>
      <c r="C261" s="340" t="s">
        <v>188</v>
      </c>
      <c r="D261" s="136"/>
      <c r="E261" s="130"/>
      <c r="F261" s="345">
        <v>9389.4442968381009</v>
      </c>
      <c r="G261" s="345">
        <v>1.4631320629</v>
      </c>
      <c r="H261" s="130"/>
      <c r="I261" s="345">
        <v>9835.5653496860996</v>
      </c>
      <c r="J261" s="345">
        <v>1.2819147493</v>
      </c>
      <c r="K261" s="133"/>
      <c r="L261" s="345">
        <v>8689.1503891199009</v>
      </c>
      <c r="M261" s="345">
        <v>1.3306497754</v>
      </c>
      <c r="N261" s="130"/>
      <c r="O261" s="345">
        <v>4127.8790061144</v>
      </c>
      <c r="P261" s="345">
        <v>0.71140847519999995</v>
      </c>
    </row>
    <row r="262" spans="1:16" s="13" customFormat="1" ht="6" customHeight="1" x14ac:dyDescent="0.2">
      <c r="A262" s="339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40" t="s">
        <v>188</v>
      </c>
      <c r="D263" s="344">
        <v>18931.826991932499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42"/>
      <c r="C264" s="340"/>
      <c r="E264" s="138"/>
      <c r="H264" s="138"/>
      <c r="K264" s="140"/>
      <c r="N264" s="140"/>
    </row>
    <row r="265" spans="1:16" ht="12.75" customHeight="1" x14ac:dyDescent="0.25">
      <c r="A265" s="128"/>
      <c r="B265" s="341" t="s">
        <v>187</v>
      </c>
      <c r="C265" s="340" t="s">
        <v>188</v>
      </c>
      <c r="D265" s="136"/>
      <c r="E265" s="130"/>
      <c r="F265" s="345">
        <v>13985.449594080999</v>
      </c>
      <c r="G265" s="345">
        <v>1.5915560564</v>
      </c>
      <c r="H265" s="130"/>
      <c r="I265" s="345">
        <v>12317.455476613501</v>
      </c>
      <c r="J265" s="345">
        <v>1.5135656062</v>
      </c>
      <c r="K265" s="133"/>
      <c r="L265" s="345">
        <v>9298.0134655115999</v>
      </c>
      <c r="M265" s="345">
        <v>1.2205572353</v>
      </c>
      <c r="N265" s="130"/>
      <c r="O265" s="345">
        <v>6608.3909961964</v>
      </c>
      <c r="P265" s="345">
        <v>0.90700205190000005</v>
      </c>
    </row>
    <row r="266" spans="1:16" ht="12.75" customHeight="1" x14ac:dyDescent="0.25">
      <c r="A266" s="128"/>
      <c r="B266" s="341" t="s">
        <v>186</v>
      </c>
      <c r="C266" s="340" t="s">
        <v>188</v>
      </c>
      <c r="D266" s="136"/>
      <c r="E266" s="130"/>
      <c r="F266" s="345">
        <v>13492.396431171601</v>
      </c>
      <c r="G266" s="345">
        <v>1.6473622825000001</v>
      </c>
      <c r="H266" s="130"/>
      <c r="I266" s="345">
        <v>12688.655542856301</v>
      </c>
      <c r="J266" s="345">
        <v>1.5052086497999999</v>
      </c>
      <c r="K266" s="133"/>
      <c r="L266" s="345">
        <v>9297.2704649893003</v>
      </c>
      <c r="M266" s="345">
        <v>1.226683033</v>
      </c>
      <c r="N266" s="130"/>
      <c r="O266" s="345">
        <v>7944.7397013368</v>
      </c>
      <c r="P266" s="345">
        <v>1.0756052183</v>
      </c>
    </row>
    <row r="267" spans="1:16" ht="12.75" customHeight="1" x14ac:dyDescent="0.25">
      <c r="A267" s="128"/>
      <c r="B267" s="341" t="s">
        <v>185</v>
      </c>
      <c r="C267" s="340" t="s">
        <v>188</v>
      </c>
      <c r="D267" s="136"/>
      <c r="E267" s="130"/>
      <c r="F267" s="345">
        <v>12740.751507569499</v>
      </c>
      <c r="G267" s="345">
        <v>1.5038968646999999</v>
      </c>
      <c r="H267" s="130"/>
      <c r="I267" s="345">
        <v>12003.9073525776</v>
      </c>
      <c r="J267" s="345">
        <v>1.532858058</v>
      </c>
      <c r="K267" s="133"/>
      <c r="L267" s="345">
        <v>10113.9462466974</v>
      </c>
      <c r="M267" s="345">
        <v>1.3331148733</v>
      </c>
      <c r="N267" s="130"/>
      <c r="O267" s="345">
        <v>8624.3677251297995</v>
      </c>
      <c r="P267" s="345">
        <v>1.1206693018</v>
      </c>
    </row>
    <row r="268" spans="1:16" ht="12.75" customHeight="1" x14ac:dyDescent="0.25">
      <c r="A268" s="128"/>
      <c r="B268" s="341" t="s">
        <v>184</v>
      </c>
      <c r="C268" s="340" t="s">
        <v>188</v>
      </c>
      <c r="D268" s="136"/>
      <c r="E268" s="130"/>
      <c r="F268" s="345">
        <v>17251.0976494231</v>
      </c>
      <c r="G268" s="345">
        <v>1.7126470122999999</v>
      </c>
      <c r="H268" s="130"/>
      <c r="I268" s="345">
        <v>11365.7401740962</v>
      </c>
      <c r="J268" s="345">
        <v>1.4473155336000001</v>
      </c>
      <c r="K268" s="133"/>
      <c r="L268" s="345">
        <v>6457.1407867873004</v>
      </c>
      <c r="M268" s="345">
        <v>0.90700881990000004</v>
      </c>
      <c r="N268" s="130"/>
      <c r="O268" s="345">
        <v>4873.0366693771002</v>
      </c>
      <c r="P268" s="345">
        <v>0.6712940946</v>
      </c>
    </row>
    <row r="269" spans="1:16" ht="12.75" customHeight="1" x14ac:dyDescent="0.25">
      <c r="A269" s="128"/>
      <c r="B269" s="341" t="s">
        <v>183</v>
      </c>
      <c r="C269" s="340" t="s">
        <v>188</v>
      </c>
      <c r="D269" s="136"/>
      <c r="E269" s="130"/>
      <c r="F269" s="345">
        <v>17052.851624176099</v>
      </c>
      <c r="G269" s="345">
        <v>1.6643434707</v>
      </c>
      <c r="H269" s="130"/>
      <c r="I269" s="345">
        <v>10858.058799758701</v>
      </c>
      <c r="J269" s="345">
        <v>1.3839998580999999</v>
      </c>
      <c r="K269" s="133"/>
      <c r="L269" s="345">
        <v>6271.1983821469003</v>
      </c>
      <c r="M269" s="345">
        <v>0.87464238520000004</v>
      </c>
      <c r="N269" s="130"/>
      <c r="O269" s="345">
        <v>3962.9584073015999</v>
      </c>
      <c r="P269" s="345">
        <v>0.54260269490000002</v>
      </c>
    </row>
    <row r="270" spans="1:16" ht="12.75" customHeight="1" x14ac:dyDescent="0.25">
      <c r="A270" s="128"/>
      <c r="B270" s="341" t="s">
        <v>182</v>
      </c>
      <c r="C270" s="340" t="s">
        <v>188</v>
      </c>
      <c r="D270" s="136"/>
      <c r="E270" s="130"/>
      <c r="F270" s="345">
        <v>16604.071483197498</v>
      </c>
      <c r="G270" s="345">
        <v>1.7570970193</v>
      </c>
      <c r="H270" s="130"/>
      <c r="I270" s="345">
        <v>11802.053486687901</v>
      </c>
      <c r="J270" s="345">
        <v>1.4697676785</v>
      </c>
      <c r="K270" s="133"/>
      <c r="L270" s="345">
        <v>6390.167669247</v>
      </c>
      <c r="M270" s="345">
        <v>0.87485011989999995</v>
      </c>
      <c r="N270" s="130"/>
      <c r="O270" s="345">
        <v>5419.3108388262999</v>
      </c>
      <c r="P270" s="345">
        <v>0.74890897990000005</v>
      </c>
    </row>
    <row r="271" spans="1:16" s="13" customFormat="1" ht="6" customHeight="1" x14ac:dyDescent="0.2">
      <c r="A271" s="339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40" t="s">
        <v>188</v>
      </c>
      <c r="D272" s="344">
        <v>7742.5499765431996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42"/>
      <c r="C273" s="340"/>
      <c r="E273" s="138"/>
      <c r="H273" s="138"/>
      <c r="K273" s="140"/>
      <c r="N273" s="140"/>
    </row>
    <row r="274" spans="1:16" ht="12.75" customHeight="1" x14ac:dyDescent="0.25">
      <c r="A274" s="128"/>
      <c r="B274" s="341" t="s">
        <v>187</v>
      </c>
      <c r="C274" s="340" t="s">
        <v>188</v>
      </c>
      <c r="D274" s="136"/>
      <c r="E274" s="130"/>
      <c r="F274" s="345">
        <v>5286.6966680195001</v>
      </c>
      <c r="G274" s="345">
        <v>1.6515473399</v>
      </c>
      <c r="H274" s="130"/>
      <c r="I274" s="345">
        <v>4438.0506604303</v>
      </c>
      <c r="J274" s="345">
        <v>1.5074887716000001</v>
      </c>
      <c r="K274" s="133"/>
      <c r="L274" s="345">
        <v>3585.7606598011998</v>
      </c>
      <c r="M274" s="345">
        <v>1.2119589824000001</v>
      </c>
      <c r="N274" s="130"/>
      <c r="O274" s="345">
        <v>1459.1424934621</v>
      </c>
      <c r="P274" s="345">
        <v>0.60183069779999998</v>
      </c>
    </row>
    <row r="275" spans="1:16" ht="12.75" customHeight="1" x14ac:dyDescent="0.25">
      <c r="A275" s="128"/>
      <c r="B275" s="341" t="s">
        <v>186</v>
      </c>
      <c r="C275" s="340" t="s">
        <v>188</v>
      </c>
      <c r="D275" s="136"/>
      <c r="E275" s="130"/>
      <c r="F275" s="345">
        <v>5286.6071811368001</v>
      </c>
      <c r="G275" s="345">
        <v>1.5330551783999999</v>
      </c>
      <c r="H275" s="130"/>
      <c r="I275" s="345">
        <v>4187.5871185124997</v>
      </c>
      <c r="J275" s="345">
        <v>1.5390127443999999</v>
      </c>
      <c r="K275" s="133"/>
      <c r="L275" s="345">
        <v>3457.1468620186001</v>
      </c>
      <c r="M275" s="345">
        <v>1.1561511915</v>
      </c>
      <c r="N275" s="130"/>
      <c r="O275" s="345">
        <v>1283.0488468686999</v>
      </c>
      <c r="P275" s="345">
        <v>0.51845074560000004</v>
      </c>
    </row>
    <row r="276" spans="1:16" ht="12.75" customHeight="1" x14ac:dyDescent="0.25">
      <c r="A276" s="128"/>
      <c r="B276" s="341" t="s">
        <v>185</v>
      </c>
      <c r="C276" s="340" t="s">
        <v>188</v>
      </c>
      <c r="D276" s="136"/>
      <c r="E276" s="130"/>
      <c r="F276" s="345">
        <v>3953.0176683705999</v>
      </c>
      <c r="G276" s="345">
        <v>1.3324231609999999</v>
      </c>
      <c r="H276" s="130"/>
      <c r="I276" s="345">
        <v>3846.1845121251999</v>
      </c>
      <c r="J276" s="345">
        <v>1.2104230295</v>
      </c>
      <c r="K276" s="133"/>
      <c r="L276" s="345">
        <v>3540.7042711102999</v>
      </c>
      <c r="M276" s="345">
        <v>1.1810772981</v>
      </c>
      <c r="N276" s="130"/>
      <c r="O276" s="345">
        <v>2946.9074949204</v>
      </c>
      <c r="P276" s="345">
        <v>1.0815086814999999</v>
      </c>
    </row>
    <row r="277" spans="1:16" ht="12.75" customHeight="1" x14ac:dyDescent="0.25">
      <c r="A277" s="128"/>
      <c r="B277" s="341" t="s">
        <v>184</v>
      </c>
      <c r="C277" s="340" t="s">
        <v>188</v>
      </c>
      <c r="D277" s="136"/>
      <c r="E277" s="130"/>
      <c r="F277" s="345">
        <v>6153.4242448610003</v>
      </c>
      <c r="G277" s="345">
        <v>1.5358849932</v>
      </c>
      <c r="H277" s="130"/>
      <c r="I277" s="345">
        <v>3766.0425777809</v>
      </c>
      <c r="J277" s="345">
        <v>1.2939497487</v>
      </c>
      <c r="K277" s="133"/>
      <c r="L277" s="345">
        <v>2243.2271266453999</v>
      </c>
      <c r="M277" s="345">
        <v>0.84920325799999996</v>
      </c>
      <c r="N277" s="130"/>
      <c r="O277" s="345">
        <v>1058.9830382468999</v>
      </c>
      <c r="P277" s="345">
        <v>0.41844468000000001</v>
      </c>
    </row>
    <row r="278" spans="1:16" ht="12.75" customHeight="1" x14ac:dyDescent="0.25">
      <c r="A278" s="128"/>
      <c r="B278" s="341" t="s">
        <v>183</v>
      </c>
      <c r="C278" s="340" t="s">
        <v>188</v>
      </c>
      <c r="D278" s="136"/>
      <c r="E278" s="130"/>
      <c r="F278" s="345">
        <v>6330.4115552210997</v>
      </c>
      <c r="G278" s="345">
        <v>1.5117770521</v>
      </c>
      <c r="H278" s="130"/>
      <c r="I278" s="345">
        <v>4057.8882318946999</v>
      </c>
      <c r="J278" s="345">
        <v>1.3744698416000001</v>
      </c>
      <c r="K278" s="133"/>
      <c r="L278" s="345">
        <v>2054.9062400768998</v>
      </c>
      <c r="M278" s="345">
        <v>0.83191748239999996</v>
      </c>
      <c r="N278" s="130"/>
      <c r="O278" s="345">
        <v>977.78998943140004</v>
      </c>
      <c r="P278" s="345">
        <v>0.39043435389999998</v>
      </c>
    </row>
    <row r="279" spans="1:16" ht="12.75" customHeight="1" x14ac:dyDescent="0.25">
      <c r="A279" s="128"/>
      <c r="B279" s="341" t="s">
        <v>182</v>
      </c>
      <c r="C279" s="340" t="s">
        <v>188</v>
      </c>
      <c r="D279" s="136"/>
      <c r="E279" s="130"/>
      <c r="F279" s="345">
        <v>6215.6080361364002</v>
      </c>
      <c r="G279" s="345">
        <v>1.7211339196</v>
      </c>
      <c r="H279" s="130"/>
      <c r="I279" s="345">
        <v>4053.2253735544</v>
      </c>
      <c r="J279" s="345">
        <v>1.3886775736999999</v>
      </c>
      <c r="K279" s="133"/>
      <c r="L279" s="345">
        <v>2408.9931913633</v>
      </c>
      <c r="M279" s="345">
        <v>0.88898124499999998</v>
      </c>
      <c r="N279" s="130"/>
      <c r="O279" s="345">
        <v>870.58095595500004</v>
      </c>
      <c r="P279" s="345">
        <v>0.34784045219999998</v>
      </c>
    </row>
    <row r="280" spans="1:16" s="13" customFormat="1" ht="6" customHeight="1" x14ac:dyDescent="0.2">
      <c r="A280" s="339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40" t="s">
        <v>188</v>
      </c>
      <c r="D281" s="344">
        <v>62857.6709122908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42"/>
      <c r="C282" s="340"/>
      <c r="E282" s="138"/>
      <c r="H282" s="138"/>
      <c r="K282" s="140"/>
      <c r="N282" s="140"/>
    </row>
    <row r="283" spans="1:16" ht="12.75" customHeight="1" x14ac:dyDescent="0.25">
      <c r="A283" s="128"/>
      <c r="B283" s="341" t="s">
        <v>187</v>
      </c>
      <c r="C283" s="340" t="s">
        <v>188</v>
      </c>
      <c r="D283" s="136"/>
      <c r="E283" s="130"/>
      <c r="F283" s="345">
        <v>36565.002020824497</v>
      </c>
      <c r="G283" s="345">
        <v>1.7055616161</v>
      </c>
      <c r="H283" s="130"/>
      <c r="I283" s="345">
        <v>32856.099948100004</v>
      </c>
      <c r="J283" s="345">
        <v>1.3991300064000001</v>
      </c>
      <c r="K283" s="133"/>
      <c r="L283" s="345">
        <v>22843.9310135333</v>
      </c>
      <c r="M283" s="345">
        <v>1.1787331702999999</v>
      </c>
      <c r="N283" s="130"/>
      <c r="O283" s="345">
        <v>16018.311156698799</v>
      </c>
      <c r="P283" s="345">
        <v>0.92500390359999995</v>
      </c>
    </row>
    <row r="284" spans="1:16" ht="12.75" customHeight="1" x14ac:dyDescent="0.25">
      <c r="A284" s="128"/>
      <c r="B284" s="341" t="s">
        <v>186</v>
      </c>
      <c r="C284" s="340" t="s">
        <v>188</v>
      </c>
      <c r="D284" s="136"/>
      <c r="E284" s="130"/>
      <c r="F284" s="345">
        <v>35341.154223082798</v>
      </c>
      <c r="G284" s="345">
        <v>1.7084930243000001</v>
      </c>
      <c r="H284" s="130"/>
      <c r="I284" s="345">
        <v>34290.937890533598</v>
      </c>
      <c r="J284" s="345">
        <v>1.444037979</v>
      </c>
      <c r="K284" s="133"/>
      <c r="L284" s="345">
        <v>25123.957657495201</v>
      </c>
      <c r="M284" s="345">
        <v>1.2858802233</v>
      </c>
      <c r="N284" s="130"/>
      <c r="O284" s="345">
        <v>13474.9092037961</v>
      </c>
      <c r="P284" s="345">
        <v>0.76756045110000004</v>
      </c>
    </row>
    <row r="285" spans="1:16" ht="12.75" customHeight="1" x14ac:dyDescent="0.25">
      <c r="A285" s="128"/>
      <c r="B285" s="341" t="s">
        <v>185</v>
      </c>
      <c r="C285" s="340" t="s">
        <v>188</v>
      </c>
      <c r="D285" s="136"/>
      <c r="E285" s="130"/>
      <c r="F285" s="345">
        <v>29414.811534290398</v>
      </c>
      <c r="G285" s="345">
        <v>1.5844511442</v>
      </c>
      <c r="H285" s="130"/>
      <c r="I285" s="345">
        <v>30573.3066577973</v>
      </c>
      <c r="J285" s="345">
        <v>1.5239233513999999</v>
      </c>
      <c r="K285" s="133"/>
      <c r="L285" s="345">
        <v>25636.071430224099</v>
      </c>
      <c r="M285" s="345">
        <v>1.2398335438000001</v>
      </c>
      <c r="N285" s="130"/>
      <c r="O285" s="345">
        <v>33207.989800908101</v>
      </c>
      <c r="P285" s="345">
        <v>1.685626622</v>
      </c>
    </row>
    <row r="286" spans="1:16" ht="12.75" customHeight="1" x14ac:dyDescent="0.25">
      <c r="A286" s="128"/>
      <c r="B286" s="341" t="s">
        <v>184</v>
      </c>
      <c r="C286" s="340" t="s">
        <v>188</v>
      </c>
      <c r="D286" s="136"/>
      <c r="E286" s="130"/>
      <c r="F286" s="345">
        <v>47332.546179662</v>
      </c>
      <c r="G286" s="345">
        <v>1.5097482627000001</v>
      </c>
      <c r="H286" s="130"/>
      <c r="I286" s="345">
        <v>25699.330900474801</v>
      </c>
      <c r="J286" s="345">
        <v>1.2784428994000001</v>
      </c>
      <c r="K286" s="133"/>
      <c r="L286" s="345">
        <v>17453.043607759599</v>
      </c>
      <c r="M286" s="345">
        <v>0.97310625949999996</v>
      </c>
      <c r="N286" s="130"/>
      <c r="O286" s="345">
        <v>9065.7001851016994</v>
      </c>
      <c r="P286" s="345">
        <v>0.53132813310000004</v>
      </c>
    </row>
    <row r="287" spans="1:16" ht="12.75" customHeight="1" x14ac:dyDescent="0.25">
      <c r="A287" s="128"/>
      <c r="B287" s="341" t="s">
        <v>183</v>
      </c>
      <c r="C287" s="340" t="s">
        <v>188</v>
      </c>
      <c r="D287" s="136"/>
      <c r="E287" s="130"/>
      <c r="F287" s="345">
        <v>49216.027706626599</v>
      </c>
      <c r="G287" s="345">
        <v>1.6955328205</v>
      </c>
      <c r="H287" s="130"/>
      <c r="I287" s="345">
        <v>26726.6847563396</v>
      </c>
      <c r="J287" s="345">
        <v>1.3588228909</v>
      </c>
      <c r="K287" s="133"/>
      <c r="L287" s="345">
        <v>17014.323388522698</v>
      </c>
      <c r="M287" s="345">
        <v>0.96837945329999997</v>
      </c>
      <c r="N287" s="130"/>
      <c r="O287" s="345">
        <v>9513.5656163325002</v>
      </c>
      <c r="P287" s="345">
        <v>0.54216572699999999</v>
      </c>
    </row>
    <row r="288" spans="1:16" ht="12.75" customHeight="1" x14ac:dyDescent="0.25">
      <c r="A288" s="128"/>
      <c r="B288" s="341" t="s">
        <v>182</v>
      </c>
      <c r="C288" s="340" t="s">
        <v>188</v>
      </c>
      <c r="D288" s="136"/>
      <c r="E288" s="130"/>
      <c r="F288" s="345">
        <v>45449.483778943999</v>
      </c>
      <c r="G288" s="345">
        <v>1.9003288044</v>
      </c>
      <c r="H288" s="130"/>
      <c r="I288" s="345">
        <v>28475.075031667398</v>
      </c>
      <c r="J288" s="345">
        <v>1.3819278191</v>
      </c>
      <c r="K288" s="133"/>
      <c r="L288" s="345">
        <v>23198.651455479201</v>
      </c>
      <c r="M288" s="345">
        <v>1.2764917465000001</v>
      </c>
      <c r="N288" s="130"/>
      <c r="O288" s="345">
        <v>14160.6179946784</v>
      </c>
      <c r="P288" s="345">
        <v>0.80898715870000004</v>
      </c>
    </row>
    <row r="289" spans="1:16" s="13" customFormat="1" ht="6" customHeight="1" x14ac:dyDescent="0.2">
      <c r="A289" s="339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40" t="s">
        <v>188</v>
      </c>
      <c r="D290" s="344">
        <v>19576.847036778501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42"/>
      <c r="C291" s="340"/>
      <c r="E291" s="138"/>
      <c r="H291" s="138"/>
      <c r="K291" s="140"/>
      <c r="N291" s="140"/>
    </row>
    <row r="292" spans="1:16" ht="12.75" customHeight="1" x14ac:dyDescent="0.25">
      <c r="A292" s="128"/>
      <c r="B292" s="341" t="s">
        <v>187</v>
      </c>
      <c r="C292" s="340" t="s">
        <v>188</v>
      </c>
      <c r="D292" s="136"/>
      <c r="E292" s="130"/>
      <c r="F292" s="345">
        <v>11134.930388147</v>
      </c>
      <c r="G292" s="345">
        <v>1.6147365198999999</v>
      </c>
      <c r="H292" s="130"/>
      <c r="I292" s="345">
        <v>9359.8174299007005</v>
      </c>
      <c r="J292" s="345">
        <v>1.4174843524</v>
      </c>
      <c r="K292" s="133"/>
      <c r="L292" s="345">
        <v>7370.8796787097999</v>
      </c>
      <c r="M292" s="345">
        <v>1.1382425410999999</v>
      </c>
      <c r="N292" s="130"/>
      <c r="O292" s="345">
        <v>3448.6372170534</v>
      </c>
      <c r="P292" s="345">
        <v>0.65390405149999997</v>
      </c>
    </row>
    <row r="293" spans="1:16" ht="12.75" customHeight="1" x14ac:dyDescent="0.25">
      <c r="A293" s="128"/>
      <c r="B293" s="341" t="s">
        <v>186</v>
      </c>
      <c r="C293" s="340" t="s">
        <v>188</v>
      </c>
      <c r="D293" s="136"/>
      <c r="E293" s="130"/>
      <c r="F293" s="345">
        <v>9666.3177184131</v>
      </c>
      <c r="G293" s="345">
        <v>1.519758156</v>
      </c>
      <c r="H293" s="130"/>
      <c r="I293" s="345">
        <v>10954.962148270301</v>
      </c>
      <c r="J293" s="345">
        <v>1.6387312366</v>
      </c>
      <c r="K293" s="133"/>
      <c r="L293" s="345">
        <v>8157.3699662688996</v>
      </c>
      <c r="M293" s="345">
        <v>1.3123211757</v>
      </c>
      <c r="N293" s="130"/>
      <c r="O293" s="345">
        <v>4881.7672453017003</v>
      </c>
      <c r="P293" s="345">
        <v>0.90453667319999997</v>
      </c>
    </row>
    <row r="294" spans="1:16" ht="12.75" customHeight="1" x14ac:dyDescent="0.25">
      <c r="A294" s="128"/>
      <c r="B294" s="341" t="s">
        <v>185</v>
      </c>
      <c r="C294" s="340" t="s">
        <v>188</v>
      </c>
      <c r="D294" s="136"/>
      <c r="E294" s="130"/>
      <c r="F294" s="345">
        <v>7989.9498039195996</v>
      </c>
      <c r="G294" s="345">
        <v>1.2820896876000001</v>
      </c>
      <c r="H294" s="130"/>
      <c r="I294" s="345">
        <v>8874.6244191587994</v>
      </c>
      <c r="J294" s="345">
        <v>1.5429375609</v>
      </c>
      <c r="K294" s="133"/>
      <c r="L294" s="345">
        <v>8280.0147263284998</v>
      </c>
      <c r="M294" s="345">
        <v>1.2905453594</v>
      </c>
      <c r="N294" s="130"/>
      <c r="O294" s="345">
        <v>8188.0037132886</v>
      </c>
      <c r="P294" s="345">
        <v>1.2903343326000001</v>
      </c>
    </row>
    <row r="295" spans="1:16" ht="12.75" customHeight="1" x14ac:dyDescent="0.25">
      <c r="A295" s="128"/>
      <c r="B295" s="341" t="s">
        <v>184</v>
      </c>
      <c r="C295" s="340" t="s">
        <v>188</v>
      </c>
      <c r="D295" s="136"/>
      <c r="E295" s="130"/>
      <c r="F295" s="345">
        <v>15120.371562467901</v>
      </c>
      <c r="G295" s="345">
        <v>1.2613455979999999</v>
      </c>
      <c r="H295" s="130"/>
      <c r="I295" s="345">
        <v>7385.9945985963004</v>
      </c>
      <c r="J295" s="345">
        <v>1.2064905217999999</v>
      </c>
      <c r="K295" s="133"/>
      <c r="L295" s="345">
        <v>3569.7988716798</v>
      </c>
      <c r="M295" s="345">
        <v>0.659838598</v>
      </c>
      <c r="N295" s="130"/>
      <c r="O295" s="345">
        <v>2348.6917700847998</v>
      </c>
      <c r="P295" s="345">
        <v>0.45858765620000003</v>
      </c>
    </row>
    <row r="296" spans="1:16" ht="12.75" customHeight="1" x14ac:dyDescent="0.25">
      <c r="A296" s="128"/>
      <c r="B296" s="341" t="s">
        <v>183</v>
      </c>
      <c r="C296" s="340" t="s">
        <v>188</v>
      </c>
      <c r="D296" s="136"/>
      <c r="E296" s="130"/>
      <c r="F296" s="345">
        <v>15145.5628431841</v>
      </c>
      <c r="G296" s="345">
        <v>1.4644816360999999</v>
      </c>
      <c r="H296" s="130"/>
      <c r="I296" s="345">
        <v>7655.6253825185004</v>
      </c>
      <c r="J296" s="345">
        <v>1.2727036674000001</v>
      </c>
      <c r="K296" s="133"/>
      <c r="L296" s="345">
        <v>4469.5458343068003</v>
      </c>
      <c r="M296" s="345">
        <v>0.81018998070000003</v>
      </c>
      <c r="N296" s="130"/>
      <c r="O296" s="345">
        <v>2162.3955216101999</v>
      </c>
      <c r="P296" s="345">
        <v>0.42115444089999998</v>
      </c>
    </row>
    <row r="297" spans="1:16" ht="12.75" customHeight="1" x14ac:dyDescent="0.25">
      <c r="A297" s="128"/>
      <c r="B297" s="341" t="s">
        <v>182</v>
      </c>
      <c r="C297" s="340" t="s">
        <v>188</v>
      </c>
      <c r="D297" s="136"/>
      <c r="E297" s="130"/>
      <c r="F297" s="345">
        <v>10523.5801285874</v>
      </c>
      <c r="G297" s="345">
        <v>1.7475088003000001</v>
      </c>
      <c r="H297" s="130"/>
      <c r="I297" s="345">
        <v>11242.322156500601</v>
      </c>
      <c r="J297" s="345">
        <v>1.6278887746999999</v>
      </c>
      <c r="K297" s="133"/>
      <c r="L297" s="345">
        <v>7732.8317167409996</v>
      </c>
      <c r="M297" s="345">
        <v>1.2705614705999999</v>
      </c>
      <c r="N297" s="130"/>
      <c r="O297" s="345">
        <v>3311.4464726745</v>
      </c>
      <c r="P297" s="345">
        <v>0.63476775379999995</v>
      </c>
    </row>
    <row r="298" spans="1:16" s="13" customFormat="1" ht="6" customHeight="1" x14ac:dyDescent="0.2">
      <c r="A298" s="339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38" t="s">
        <v>36</v>
      </c>
      <c r="D299" s="344">
        <v>13538.356008209001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38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187</v>
      </c>
      <c r="D301" s="136"/>
      <c r="E301" s="130"/>
      <c r="F301" s="345">
        <v>8587.7953538349993</v>
      </c>
      <c r="G301" s="345">
        <v>1.882799994</v>
      </c>
      <c r="H301" s="130"/>
      <c r="I301" s="345">
        <v>6922.8462612909998</v>
      </c>
      <c r="J301" s="345">
        <v>1.4688817037999999</v>
      </c>
      <c r="K301" s="133"/>
      <c r="L301" s="345">
        <v>3993.4715074582</v>
      </c>
      <c r="M301" s="345">
        <v>1.1850947073</v>
      </c>
      <c r="N301" s="130"/>
      <c r="O301" s="345">
        <v>2870.4170772829998</v>
      </c>
      <c r="P301" s="345">
        <v>0.82503345019999996</v>
      </c>
    </row>
    <row r="302" spans="1:16" ht="12.75" customHeight="1" x14ac:dyDescent="0.2">
      <c r="A302" s="128"/>
      <c r="B302" s="14" t="s">
        <v>186</v>
      </c>
      <c r="D302" s="136"/>
      <c r="E302" s="130"/>
      <c r="F302" s="345">
        <v>8167.9263416183003</v>
      </c>
      <c r="G302" s="345">
        <v>1.9092789961000001</v>
      </c>
      <c r="H302" s="130"/>
      <c r="I302" s="345">
        <v>7085.0506362722999</v>
      </c>
      <c r="J302" s="345">
        <v>1.5185729344000001</v>
      </c>
      <c r="K302" s="133"/>
      <c r="L302" s="345">
        <v>4656.6131544267</v>
      </c>
      <c r="M302" s="345">
        <v>1.3007616141</v>
      </c>
      <c r="N302" s="130"/>
      <c r="O302" s="345">
        <v>2932.4835303959999</v>
      </c>
      <c r="P302" s="345">
        <v>0.84893315719999995</v>
      </c>
    </row>
    <row r="303" spans="1:16" ht="12.75" customHeight="1" x14ac:dyDescent="0.2">
      <c r="A303" s="128"/>
      <c r="B303" s="14" t="s">
        <v>185</v>
      </c>
      <c r="D303" s="136"/>
      <c r="E303" s="130"/>
      <c r="F303" s="345">
        <v>7438.2707982314996</v>
      </c>
      <c r="G303" s="345">
        <v>1.783725767</v>
      </c>
      <c r="H303" s="130"/>
      <c r="I303" s="345">
        <v>6695.9865243787999</v>
      </c>
      <c r="J303" s="345">
        <v>1.5481086702</v>
      </c>
      <c r="K303" s="133"/>
      <c r="L303" s="345">
        <v>5344.3118444011998</v>
      </c>
      <c r="M303" s="345">
        <v>1.3917281926</v>
      </c>
      <c r="N303" s="130"/>
      <c r="O303" s="345">
        <v>3645.4883646984999</v>
      </c>
      <c r="P303" s="345">
        <v>1.0177153852</v>
      </c>
    </row>
    <row r="304" spans="1:16" ht="12.75" customHeight="1" x14ac:dyDescent="0.2">
      <c r="A304" s="128"/>
      <c r="B304" s="14" t="s">
        <v>184</v>
      </c>
      <c r="D304" s="136"/>
      <c r="E304" s="130"/>
      <c r="F304" s="345">
        <v>11140.8251937691</v>
      </c>
      <c r="G304" s="345">
        <v>1.4251805069000001</v>
      </c>
      <c r="H304" s="130"/>
      <c r="I304" s="345">
        <v>4938.1309454150996</v>
      </c>
      <c r="J304" s="345">
        <v>1.3192871026999999</v>
      </c>
      <c r="K304" s="133"/>
      <c r="L304" s="345">
        <v>2364.0368160619</v>
      </c>
      <c r="M304" s="345">
        <v>0.71934582130000002</v>
      </c>
      <c r="N304" s="130"/>
      <c r="O304" s="345">
        <v>1693.4879970504001</v>
      </c>
      <c r="P304" s="345">
        <v>0.50898614310000001</v>
      </c>
    </row>
    <row r="305" spans="1:16" ht="12.75" customHeight="1" x14ac:dyDescent="0.2">
      <c r="A305" s="128"/>
      <c r="B305" s="14" t="s">
        <v>183</v>
      </c>
      <c r="D305" s="136"/>
      <c r="E305" s="130"/>
      <c r="F305" s="345">
        <v>11215.3887014012</v>
      </c>
      <c r="G305" s="345">
        <v>1.7509030212000001</v>
      </c>
      <c r="H305" s="130"/>
      <c r="I305" s="345">
        <v>4767.7473214170004</v>
      </c>
      <c r="J305" s="345">
        <v>1.2458793287000001</v>
      </c>
      <c r="K305" s="133"/>
      <c r="L305" s="345">
        <v>3022.9112538827999</v>
      </c>
      <c r="M305" s="345">
        <v>0.86266264000000004</v>
      </c>
      <c r="N305" s="130"/>
      <c r="O305" s="345">
        <v>1592.9794607184999</v>
      </c>
      <c r="P305" s="345">
        <v>0.49015487279999997</v>
      </c>
    </row>
    <row r="306" spans="1:16" ht="12.75" customHeight="1" x14ac:dyDescent="0.2">
      <c r="A306" s="128"/>
      <c r="B306" s="27" t="s">
        <v>182</v>
      </c>
      <c r="D306" s="136"/>
      <c r="E306" s="130"/>
      <c r="F306" s="345">
        <v>9974.5543120109996</v>
      </c>
      <c r="G306" s="345">
        <v>2.1356558499</v>
      </c>
      <c r="H306" s="130"/>
      <c r="I306" s="345">
        <v>6118.3624124014996</v>
      </c>
      <c r="J306" s="345">
        <v>1.4340206672</v>
      </c>
      <c r="K306" s="133"/>
      <c r="L306" s="345">
        <v>4093.7109518504999</v>
      </c>
      <c r="M306" s="345">
        <v>1.1334889992999999</v>
      </c>
      <c r="N306" s="130"/>
      <c r="O306" s="345">
        <v>2216.6851091386002</v>
      </c>
      <c r="P306" s="345">
        <v>0.65967277540000002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22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22"/>
    </row>
    <row r="311" spans="1:16" s="109" customFormat="1" ht="14.25" x14ac:dyDescent="0.2">
      <c r="B311" s="290" t="s">
        <v>150</v>
      </c>
      <c r="D311" s="312"/>
      <c r="F311" s="312"/>
      <c r="G311" s="311"/>
      <c r="I311" s="312"/>
      <c r="J311" s="311"/>
      <c r="L311" s="312"/>
      <c r="M311" s="311"/>
      <c r="O311" s="312"/>
      <c r="P311" s="31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5100C11-251B-4075-834D-8D73979E4ED5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F607-0B61-4FB5-ABE6-2DFF8E4FDE4D}">
  <dimension ref="A1:CI9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392" t="s">
        <v>193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</row>
    <row r="7" spans="1:87" x14ac:dyDescent="0.25">
      <c r="A7" s="103"/>
      <c r="B7" s="395" t="s">
        <v>192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87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</row>
    <row r="9" spans="1:87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344">
        <v>206795.536884114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43" t="s">
        <v>187</v>
      </c>
      <c r="C13" s="45"/>
      <c r="D13" s="136"/>
      <c r="E13" s="54"/>
      <c r="F13" s="345">
        <v>126312.91240071099</v>
      </c>
      <c r="G13" s="345">
        <v>0.37460115240000003</v>
      </c>
      <c r="H13" s="54"/>
      <c r="I13" s="345">
        <v>104490.724812367</v>
      </c>
      <c r="J13" s="345">
        <v>0.33188957279999998</v>
      </c>
      <c r="K13" s="53"/>
      <c r="L13" s="345">
        <v>72443.870686644004</v>
      </c>
      <c r="M13" s="345">
        <v>0.2596505751</v>
      </c>
      <c r="N13" s="54"/>
      <c r="O13" s="345">
        <v>43739.280663954101</v>
      </c>
      <c r="P13" s="345">
        <v>0.1761553387</v>
      </c>
    </row>
    <row r="14" spans="1:87" ht="12.75" customHeight="1" x14ac:dyDescent="0.25">
      <c r="A14" s="107"/>
      <c r="B14" s="343" t="s">
        <v>186</v>
      </c>
      <c r="C14" s="45"/>
      <c r="D14" s="136"/>
      <c r="E14" s="54"/>
      <c r="F14" s="345">
        <v>129633.904707461</v>
      </c>
      <c r="G14" s="345">
        <v>0.3851868007</v>
      </c>
      <c r="H14" s="54"/>
      <c r="I14" s="345">
        <v>104720.67581309599</v>
      </c>
      <c r="J14" s="345">
        <v>0.33993158379999999</v>
      </c>
      <c r="K14" s="53"/>
      <c r="L14" s="345">
        <v>74968.6398149897</v>
      </c>
      <c r="M14" s="345">
        <v>0.26765517529999999</v>
      </c>
      <c r="N14" s="54"/>
      <c r="O14" s="345">
        <v>41122.183696899498</v>
      </c>
      <c r="P14" s="345">
        <v>0.16707091609999999</v>
      </c>
    </row>
    <row r="15" spans="1:87" ht="12.75" customHeight="1" x14ac:dyDescent="0.25">
      <c r="A15" s="104"/>
      <c r="B15" s="343" t="s">
        <v>185</v>
      </c>
      <c r="C15" s="45"/>
      <c r="D15" s="136"/>
      <c r="E15" s="54"/>
      <c r="F15" s="345">
        <v>113562.729083304</v>
      </c>
      <c r="G15" s="345">
        <v>0.38619107530000002</v>
      </c>
      <c r="H15" s="54"/>
      <c r="I15" s="345">
        <v>103218.59030654001</v>
      </c>
      <c r="J15" s="345">
        <v>0.34754455899999998</v>
      </c>
      <c r="K15" s="53"/>
      <c r="L15" s="345">
        <v>77806.914367527497</v>
      </c>
      <c r="M15" s="345">
        <v>0.27630466310000001</v>
      </c>
      <c r="N15" s="54"/>
      <c r="O15" s="345">
        <v>75683.890644335101</v>
      </c>
      <c r="P15" s="345">
        <v>0.27517191790000001</v>
      </c>
    </row>
    <row r="16" spans="1:87" ht="12.75" customHeight="1" x14ac:dyDescent="0.25">
      <c r="A16" s="104"/>
      <c r="B16" s="343" t="s">
        <v>184</v>
      </c>
      <c r="C16" s="45"/>
      <c r="D16" s="136"/>
      <c r="E16" s="54"/>
      <c r="F16" s="345">
        <v>165649.15527908001</v>
      </c>
      <c r="G16" s="345">
        <v>0.35515359549999997</v>
      </c>
      <c r="H16" s="54"/>
      <c r="I16" s="345">
        <v>87755.925233870905</v>
      </c>
      <c r="J16" s="345">
        <v>0.32142341229999999</v>
      </c>
      <c r="K16" s="53"/>
      <c r="L16" s="345">
        <v>51803.580232887398</v>
      </c>
      <c r="M16" s="345">
        <v>0.203731105</v>
      </c>
      <c r="N16" s="54"/>
      <c r="O16" s="345">
        <v>26650.520456667899</v>
      </c>
      <c r="P16" s="345">
        <v>0.1102601971</v>
      </c>
    </row>
    <row r="17" spans="1:16" ht="12.75" customHeight="1" x14ac:dyDescent="0.25">
      <c r="A17" s="104"/>
      <c r="B17" s="343" t="s">
        <v>183</v>
      </c>
      <c r="C17" s="45"/>
      <c r="D17" s="131"/>
      <c r="E17" s="54"/>
      <c r="F17" s="346">
        <v>169915.643244943</v>
      </c>
      <c r="G17" s="346">
        <v>0.36763690189999998</v>
      </c>
      <c r="H17" s="54"/>
      <c r="I17" s="346">
        <v>85820.875565353796</v>
      </c>
      <c r="J17" s="346">
        <v>0.31595125260000001</v>
      </c>
      <c r="K17" s="53"/>
      <c r="L17" s="346">
        <v>48168.464325991503</v>
      </c>
      <c r="M17" s="346">
        <v>0.19001584869999999</v>
      </c>
      <c r="N17" s="54"/>
      <c r="O17" s="346">
        <v>24668.856068739398</v>
      </c>
      <c r="P17" s="346">
        <v>0.10175039919999999</v>
      </c>
    </row>
    <row r="18" spans="1:16" ht="12.75" customHeight="1" x14ac:dyDescent="0.25">
      <c r="A18" s="108"/>
      <c r="B18" s="343" t="s">
        <v>182</v>
      </c>
      <c r="C18" s="45"/>
      <c r="D18" s="131"/>
      <c r="E18" s="54"/>
      <c r="F18" s="346">
        <v>155627.50676212099</v>
      </c>
      <c r="G18" s="346">
        <v>0.38282625949999999</v>
      </c>
      <c r="H18" s="54"/>
      <c r="I18" s="346">
        <v>88520.4923779112</v>
      </c>
      <c r="J18" s="346">
        <v>0.31425239230000002</v>
      </c>
      <c r="K18" s="53"/>
      <c r="L18" s="346">
        <v>58664.244123584198</v>
      </c>
      <c r="M18" s="346">
        <v>0.22369717789999999</v>
      </c>
      <c r="N18" s="54"/>
      <c r="O18" s="346">
        <v>35485.064235256999</v>
      </c>
      <c r="P18" s="346">
        <v>0.1434387386</v>
      </c>
    </row>
    <row r="19" spans="1:16" ht="6" customHeight="1" x14ac:dyDescent="0.25">
      <c r="A19" s="108"/>
      <c r="B19" s="343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344">
        <v>120691.762956369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43" t="s">
        <v>187</v>
      </c>
      <c r="C22" s="45"/>
      <c r="D22" s="136"/>
      <c r="E22" s="54"/>
      <c r="F22" s="345">
        <v>57729.6541817088</v>
      </c>
      <c r="G22" s="345">
        <v>0.62104622860000003</v>
      </c>
      <c r="H22" s="54"/>
      <c r="I22" s="345">
        <v>53159.4800430654</v>
      </c>
      <c r="J22" s="345">
        <v>0.59260083330000002</v>
      </c>
      <c r="K22" s="53"/>
      <c r="L22" s="345">
        <v>43023.182545466203</v>
      </c>
      <c r="M22" s="345">
        <v>0.55596364279999999</v>
      </c>
      <c r="N22" s="54"/>
      <c r="O22" s="345">
        <v>25711.181681036</v>
      </c>
      <c r="P22" s="345">
        <v>0.41381313780000001</v>
      </c>
    </row>
    <row r="23" spans="1:16" x14ac:dyDescent="0.25">
      <c r="B23" s="343" t="s">
        <v>186</v>
      </c>
      <c r="C23" s="45"/>
      <c r="D23" s="136"/>
      <c r="E23" s="54"/>
      <c r="F23" s="345">
        <v>64730.122713924298</v>
      </c>
      <c r="G23" s="345">
        <v>0.75051263810000002</v>
      </c>
      <c r="H23" s="54"/>
      <c r="I23" s="345">
        <v>52400.168187236901</v>
      </c>
      <c r="J23" s="345">
        <v>0.64679925940000005</v>
      </c>
      <c r="K23" s="53"/>
      <c r="L23" s="345">
        <v>45106.488111630002</v>
      </c>
      <c r="M23" s="345">
        <v>0.58804695559999998</v>
      </c>
      <c r="N23" s="54"/>
      <c r="O23" s="345">
        <v>23968.495220604502</v>
      </c>
      <c r="P23" s="345">
        <v>0.37933681190000001</v>
      </c>
    </row>
    <row r="24" spans="1:16" x14ac:dyDescent="0.25">
      <c r="B24" s="343" t="s">
        <v>185</v>
      </c>
      <c r="C24" s="45"/>
      <c r="D24" s="136"/>
      <c r="E24" s="54"/>
      <c r="F24" s="345">
        <v>45997.7156674785</v>
      </c>
      <c r="G24" s="345">
        <v>0.608665495</v>
      </c>
      <c r="H24" s="54"/>
      <c r="I24" s="345">
        <v>45850.101498513097</v>
      </c>
      <c r="J24" s="345">
        <v>0.58632964369999996</v>
      </c>
      <c r="K24" s="53"/>
      <c r="L24" s="345">
        <v>41670.2353352883</v>
      </c>
      <c r="M24" s="345">
        <v>0.52744328350000003</v>
      </c>
      <c r="N24" s="54"/>
      <c r="O24" s="345">
        <v>53082.987257225999</v>
      </c>
      <c r="P24" s="345">
        <v>0.67777365540000001</v>
      </c>
    </row>
    <row r="25" spans="1:16" x14ac:dyDescent="0.25">
      <c r="B25" s="343" t="s">
        <v>184</v>
      </c>
      <c r="C25" s="45"/>
      <c r="D25" s="136"/>
      <c r="E25" s="54"/>
      <c r="F25" s="345">
        <v>96227.387843778793</v>
      </c>
      <c r="G25" s="345">
        <v>0.71943698950000001</v>
      </c>
      <c r="H25" s="54"/>
      <c r="I25" s="345">
        <v>41900.560336569302</v>
      </c>
      <c r="J25" s="345">
        <v>0.64019233480000004</v>
      </c>
      <c r="K25" s="53"/>
      <c r="L25" s="345">
        <v>27978.1262310561</v>
      </c>
      <c r="M25" s="345">
        <v>0.414717954</v>
      </c>
      <c r="N25" s="54"/>
      <c r="O25" s="345">
        <v>12501.586776181201</v>
      </c>
      <c r="P25" s="345">
        <v>0.20924072869999999</v>
      </c>
    </row>
    <row r="26" spans="1:16" x14ac:dyDescent="0.25">
      <c r="B26" s="343" t="s">
        <v>183</v>
      </c>
      <c r="C26" s="45"/>
      <c r="D26" s="136"/>
      <c r="E26" s="54"/>
      <c r="F26" s="345">
        <v>101878.234592553</v>
      </c>
      <c r="G26" s="345">
        <v>0.78007487779999996</v>
      </c>
      <c r="H26" s="54"/>
      <c r="I26" s="345">
        <v>43240.311886283402</v>
      </c>
      <c r="J26" s="345">
        <v>0.6699338937</v>
      </c>
      <c r="K26" s="53"/>
      <c r="L26" s="345">
        <v>24618.782469287598</v>
      </c>
      <c r="M26" s="345">
        <v>0.39190494590000002</v>
      </c>
      <c r="N26" s="54"/>
      <c r="O26" s="345">
        <v>12384.394980982501</v>
      </c>
      <c r="P26" s="345">
        <v>0.20458735319999999</v>
      </c>
    </row>
    <row r="27" spans="1:16" x14ac:dyDescent="0.25">
      <c r="B27" s="343" t="s">
        <v>182</v>
      </c>
      <c r="C27" s="45"/>
      <c r="D27" s="136"/>
      <c r="E27" s="54"/>
      <c r="F27" s="345">
        <v>88065.313039674395</v>
      </c>
      <c r="G27" s="345">
        <v>0.83360622760000003</v>
      </c>
      <c r="H27" s="54"/>
      <c r="I27" s="345">
        <v>43548.387244600599</v>
      </c>
      <c r="J27" s="345">
        <v>0.64797752060000002</v>
      </c>
      <c r="K27" s="53"/>
      <c r="L27" s="345">
        <v>34748.196173140401</v>
      </c>
      <c r="M27" s="345">
        <v>0.52547707190000004</v>
      </c>
      <c r="N27" s="54"/>
      <c r="O27" s="345">
        <v>19673.633882925398</v>
      </c>
      <c r="P27" s="345">
        <v>0.31149543899999999</v>
      </c>
    </row>
    <row r="28" spans="1:16" ht="6" customHeight="1" x14ac:dyDescent="0.25">
      <c r="B28" s="341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344">
        <v>90890.982607614395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43" t="s">
        <v>187</v>
      </c>
      <c r="C31" s="45"/>
      <c r="D31" s="136"/>
      <c r="E31" s="54"/>
      <c r="F31" s="345">
        <v>47942.194659716297</v>
      </c>
      <c r="G31" s="345">
        <v>0.94041651410000004</v>
      </c>
      <c r="H31" s="54"/>
      <c r="I31" s="345">
        <v>41433.029011521001</v>
      </c>
      <c r="J31" s="345">
        <v>0.80737799889999995</v>
      </c>
      <c r="K31" s="53"/>
      <c r="L31" s="345">
        <v>29291.135595415799</v>
      </c>
      <c r="M31" s="345">
        <v>0.6858862362</v>
      </c>
      <c r="N31" s="54"/>
      <c r="O31" s="345">
        <v>17653.312368110899</v>
      </c>
      <c r="P31" s="345">
        <v>0.48613533079999999</v>
      </c>
    </row>
    <row r="32" spans="1:16" x14ac:dyDescent="0.25">
      <c r="B32" s="343" t="s">
        <v>186</v>
      </c>
      <c r="C32" s="45"/>
      <c r="D32" s="136"/>
      <c r="E32" s="54"/>
      <c r="F32" s="345">
        <v>49902.405740695402</v>
      </c>
      <c r="G32" s="345">
        <v>0.96032501100000001</v>
      </c>
      <c r="H32" s="54"/>
      <c r="I32" s="345">
        <v>38894.723861226201</v>
      </c>
      <c r="J32" s="345">
        <v>0.70997630050000005</v>
      </c>
      <c r="K32" s="53"/>
      <c r="L32" s="345">
        <v>31917.004503926899</v>
      </c>
      <c r="M32" s="345">
        <v>0.76159149260000003</v>
      </c>
      <c r="N32" s="54"/>
      <c r="O32" s="345">
        <v>15429.436134366601</v>
      </c>
      <c r="P32" s="345">
        <v>0.44565218109999999</v>
      </c>
    </row>
    <row r="33" spans="2:16" x14ac:dyDescent="0.25">
      <c r="B33" s="343" t="s">
        <v>185</v>
      </c>
      <c r="C33" s="45"/>
      <c r="D33" s="136"/>
      <c r="E33" s="54"/>
      <c r="F33" s="345">
        <v>41136.396881377099</v>
      </c>
      <c r="G33" s="345">
        <v>0.92664086680000002</v>
      </c>
      <c r="H33" s="54"/>
      <c r="I33" s="345">
        <v>38050.967679726898</v>
      </c>
      <c r="J33" s="345">
        <v>0.7440293523</v>
      </c>
      <c r="K33" s="53"/>
      <c r="L33" s="345">
        <v>30804.5110378276</v>
      </c>
      <c r="M33" s="345">
        <v>0.67728984609999998</v>
      </c>
      <c r="N33" s="54"/>
      <c r="O33" s="345">
        <v>29951.475727898302</v>
      </c>
      <c r="P33" s="345">
        <v>0.75769852969999996</v>
      </c>
    </row>
    <row r="34" spans="2:16" x14ac:dyDescent="0.25">
      <c r="B34" s="343" t="s">
        <v>184</v>
      </c>
      <c r="C34" s="45"/>
      <c r="D34" s="136"/>
      <c r="E34" s="54"/>
      <c r="F34" s="345">
        <v>65737.323523717903</v>
      </c>
      <c r="G34" s="345">
        <v>0.78162083110000002</v>
      </c>
      <c r="H34" s="54"/>
      <c r="I34" s="345">
        <v>29301.166551732698</v>
      </c>
      <c r="J34" s="345">
        <v>0.67714648109999998</v>
      </c>
      <c r="K34" s="53"/>
      <c r="L34" s="345">
        <v>17919.089181260901</v>
      </c>
      <c r="M34" s="345">
        <v>0.45475806600000002</v>
      </c>
      <c r="N34" s="54"/>
      <c r="O34" s="345">
        <v>10905.3959617243</v>
      </c>
      <c r="P34" s="345">
        <v>0.30580764690000001</v>
      </c>
    </row>
    <row r="35" spans="2:16" x14ac:dyDescent="0.25">
      <c r="B35" s="343" t="s">
        <v>183</v>
      </c>
      <c r="C35" s="45"/>
      <c r="D35" s="136"/>
      <c r="E35" s="54"/>
      <c r="F35" s="345">
        <v>67228.7149022292</v>
      </c>
      <c r="G35" s="345">
        <v>0.87368760810000001</v>
      </c>
      <c r="H35" s="54"/>
      <c r="I35" s="345">
        <v>32008.781141341999</v>
      </c>
      <c r="J35" s="345">
        <v>0.71255214060000005</v>
      </c>
      <c r="K35" s="53"/>
      <c r="L35" s="345">
        <v>18411.761411101201</v>
      </c>
      <c r="M35" s="345">
        <v>0.49918011600000001</v>
      </c>
      <c r="N35" s="54"/>
      <c r="O35" s="345">
        <v>9007.4821904629007</v>
      </c>
      <c r="P35" s="345">
        <v>0.25603208859999999</v>
      </c>
    </row>
    <row r="36" spans="2:16" x14ac:dyDescent="0.25">
      <c r="B36" s="343" t="s">
        <v>182</v>
      </c>
      <c r="C36" s="45"/>
      <c r="D36" s="136"/>
      <c r="E36" s="54"/>
      <c r="F36" s="345">
        <v>63207.492086247403</v>
      </c>
      <c r="G36" s="345">
        <v>1.0948076737000001</v>
      </c>
      <c r="H36" s="54"/>
      <c r="I36" s="345">
        <v>37373.6083166729</v>
      </c>
      <c r="J36" s="345">
        <v>0.81427592729999998</v>
      </c>
      <c r="K36" s="53"/>
      <c r="L36" s="345">
        <v>22283.1910597674</v>
      </c>
      <c r="M36" s="345">
        <v>0.57901580689999999</v>
      </c>
      <c r="N36" s="54"/>
      <c r="O36" s="345">
        <v>13639.3609218366</v>
      </c>
      <c r="P36" s="345">
        <v>0.38335065369999999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344">
        <v>97047.982503045801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43" t="s">
        <v>187</v>
      </c>
      <c r="C40" s="45"/>
      <c r="D40" s="136"/>
      <c r="E40" s="54"/>
      <c r="F40" s="345">
        <v>59130.576441027799</v>
      </c>
      <c r="G40" s="345">
        <v>1.0512533318999999</v>
      </c>
      <c r="H40" s="54"/>
      <c r="I40" s="345">
        <v>43048.248811845602</v>
      </c>
      <c r="J40" s="345">
        <v>0.86196198069999996</v>
      </c>
      <c r="K40" s="53"/>
      <c r="L40" s="345">
        <v>30080.439555464</v>
      </c>
      <c r="M40" s="345">
        <v>0.69823625830000002</v>
      </c>
      <c r="N40" s="54"/>
      <c r="O40" s="345">
        <v>18435.139584025299</v>
      </c>
      <c r="P40" s="345">
        <v>0.48479521149999999</v>
      </c>
    </row>
    <row r="41" spans="2:16" x14ac:dyDescent="0.25">
      <c r="B41" s="343" t="s">
        <v>186</v>
      </c>
      <c r="C41" s="45"/>
      <c r="D41" s="136"/>
      <c r="E41" s="54"/>
      <c r="F41" s="345">
        <v>54268.865622990103</v>
      </c>
      <c r="G41" s="345">
        <v>0.94285255570000004</v>
      </c>
      <c r="H41" s="54"/>
      <c r="I41" s="345">
        <v>43925.3372135955</v>
      </c>
      <c r="J41" s="345">
        <v>0.79527845549999998</v>
      </c>
      <c r="K41" s="53"/>
      <c r="L41" s="345">
        <v>30730.989361570701</v>
      </c>
      <c r="M41" s="345">
        <v>0.71111389319999996</v>
      </c>
      <c r="N41" s="54"/>
      <c r="O41" s="345">
        <v>18914.203536487399</v>
      </c>
      <c r="P41" s="345">
        <v>0.50751255750000002</v>
      </c>
    </row>
    <row r="42" spans="2:16" x14ac:dyDescent="0.25">
      <c r="B42" s="343" t="s">
        <v>185</v>
      </c>
      <c r="C42" s="45"/>
      <c r="D42" s="136"/>
      <c r="E42" s="54"/>
      <c r="F42" s="345">
        <v>53376.424184184798</v>
      </c>
      <c r="G42" s="345">
        <v>1.1272864128</v>
      </c>
      <c r="H42" s="54"/>
      <c r="I42" s="345">
        <v>48075.267765774697</v>
      </c>
      <c r="J42" s="345">
        <v>1.0353985327999999</v>
      </c>
      <c r="K42" s="53"/>
      <c r="L42" s="345">
        <v>34505.926345179701</v>
      </c>
      <c r="M42" s="345">
        <v>0.85797963249999998</v>
      </c>
      <c r="N42" s="54"/>
      <c r="O42" s="345">
        <v>31056.202814817199</v>
      </c>
      <c r="P42" s="345">
        <v>0.72611478039999999</v>
      </c>
    </row>
    <row r="43" spans="2:16" x14ac:dyDescent="0.25">
      <c r="B43" s="343" t="s">
        <v>184</v>
      </c>
      <c r="C43" s="45"/>
      <c r="D43" s="136"/>
      <c r="E43" s="54"/>
      <c r="F43" s="345">
        <v>72874.819393224607</v>
      </c>
      <c r="G43" s="345">
        <v>0.95879795339999996</v>
      </c>
      <c r="H43" s="54"/>
      <c r="I43" s="345">
        <v>42258.213427284703</v>
      </c>
      <c r="J43" s="345">
        <v>0.9016948575</v>
      </c>
      <c r="K43" s="53"/>
      <c r="L43" s="345">
        <v>24158.369210884201</v>
      </c>
      <c r="M43" s="345">
        <v>0.6701287548</v>
      </c>
      <c r="N43" s="54"/>
      <c r="O43" s="345">
        <v>10465.664572858699</v>
      </c>
      <c r="P43" s="345">
        <v>0.28735046650000001</v>
      </c>
    </row>
    <row r="44" spans="2:16" x14ac:dyDescent="0.25">
      <c r="B44" s="343" t="s">
        <v>183</v>
      </c>
      <c r="C44" s="45"/>
      <c r="D44" s="136"/>
      <c r="E44" s="54"/>
      <c r="F44" s="345">
        <v>73449.286610996103</v>
      </c>
      <c r="G44" s="345">
        <v>0.99274483999999996</v>
      </c>
      <c r="H44" s="54"/>
      <c r="I44" s="345">
        <v>34896.169990224997</v>
      </c>
      <c r="J44" s="345">
        <v>0.76367153980000002</v>
      </c>
      <c r="K44" s="53"/>
      <c r="L44" s="345">
        <v>21795.404862555901</v>
      </c>
      <c r="M44" s="345">
        <v>0.54307077999999998</v>
      </c>
      <c r="N44" s="54"/>
      <c r="O44" s="345">
        <v>11403.2534766354</v>
      </c>
      <c r="P44" s="345">
        <v>0.31064119270000001</v>
      </c>
    </row>
    <row r="45" spans="2:16" x14ac:dyDescent="0.25">
      <c r="B45" s="343" t="s">
        <v>182</v>
      </c>
      <c r="C45" s="45"/>
      <c r="D45" s="136"/>
      <c r="E45" s="54"/>
      <c r="F45" s="345">
        <v>65858.826124450701</v>
      </c>
      <c r="G45" s="345">
        <v>0.97689277240000005</v>
      </c>
      <c r="H45" s="54"/>
      <c r="I45" s="345">
        <v>37157.721365887002</v>
      </c>
      <c r="J45" s="345">
        <v>0.78245382630000004</v>
      </c>
      <c r="K45" s="53"/>
      <c r="L45" s="345">
        <v>28294.173631870799</v>
      </c>
      <c r="M45" s="345">
        <v>0.68276380910000001</v>
      </c>
      <c r="N45" s="54"/>
      <c r="O45" s="345">
        <v>16779.756849987101</v>
      </c>
      <c r="P45" s="345">
        <v>0.45448092550000002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344">
        <v>104563.417320322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43" t="s">
        <v>187</v>
      </c>
      <c r="C49" s="45"/>
      <c r="D49" s="136"/>
      <c r="E49" s="54"/>
      <c r="F49" s="345">
        <v>83236.251461821201</v>
      </c>
      <c r="G49" s="345">
        <v>0.58072528550000002</v>
      </c>
      <c r="H49" s="54"/>
      <c r="I49" s="345">
        <v>67368.389352858896</v>
      </c>
      <c r="J49" s="345">
        <v>0.52729324209999995</v>
      </c>
      <c r="K49" s="53"/>
      <c r="L49" s="345">
        <v>40650.202708730401</v>
      </c>
      <c r="M49" s="345">
        <v>0.35469799600000002</v>
      </c>
      <c r="N49" s="54"/>
      <c r="O49" s="345">
        <v>24601.731368459401</v>
      </c>
      <c r="P49" s="345">
        <v>0.22268156889999999</v>
      </c>
    </row>
    <row r="50" spans="1:87" x14ac:dyDescent="0.25">
      <c r="B50" s="343" t="s">
        <v>186</v>
      </c>
      <c r="C50" s="45"/>
      <c r="D50" s="136"/>
      <c r="E50" s="54"/>
      <c r="F50" s="345">
        <v>85317.461349009303</v>
      </c>
      <c r="G50" s="345">
        <v>0.59341628540000002</v>
      </c>
      <c r="H50" s="54"/>
      <c r="I50" s="345">
        <v>69390.387271991494</v>
      </c>
      <c r="J50" s="345">
        <v>0.55640826619999995</v>
      </c>
      <c r="K50" s="53"/>
      <c r="L50" s="345">
        <v>40418.117317181597</v>
      </c>
      <c r="M50" s="345">
        <v>0.3495622887</v>
      </c>
      <c r="N50" s="54"/>
      <c r="O50" s="345">
        <v>22823.276320836099</v>
      </c>
      <c r="P50" s="345">
        <v>0.20776497739999999</v>
      </c>
    </row>
    <row r="51" spans="1:87" x14ac:dyDescent="0.25">
      <c r="B51" s="343" t="s">
        <v>185</v>
      </c>
      <c r="C51" s="45"/>
      <c r="D51" s="136"/>
      <c r="E51" s="54"/>
      <c r="F51" s="345">
        <v>79340.978317634101</v>
      </c>
      <c r="G51" s="345">
        <v>0.59974920870000004</v>
      </c>
      <c r="H51" s="54"/>
      <c r="I51" s="345">
        <v>69500.100066508807</v>
      </c>
      <c r="J51" s="345">
        <v>0.54836437660000004</v>
      </c>
      <c r="K51" s="53"/>
      <c r="L51" s="345">
        <v>46831.0392524934</v>
      </c>
      <c r="M51" s="345">
        <v>0.39563849960000003</v>
      </c>
      <c r="N51" s="54"/>
      <c r="O51" s="345">
        <v>32529.5152931384</v>
      </c>
      <c r="P51" s="345">
        <v>0.29098558289999998</v>
      </c>
    </row>
    <row r="52" spans="1:87" x14ac:dyDescent="0.25">
      <c r="B52" s="343" t="s">
        <v>184</v>
      </c>
      <c r="C52" s="45"/>
      <c r="D52" s="136"/>
      <c r="E52" s="54"/>
      <c r="F52" s="345">
        <v>93660.484715848797</v>
      </c>
      <c r="G52" s="345">
        <v>0.54016464279999998</v>
      </c>
      <c r="H52" s="54"/>
      <c r="I52" s="345">
        <v>57577.224828435297</v>
      </c>
      <c r="J52" s="345">
        <v>0.4877228294</v>
      </c>
      <c r="K52" s="53"/>
      <c r="L52" s="345">
        <v>31564.7985368476</v>
      </c>
      <c r="M52" s="345">
        <v>0.27810831000000003</v>
      </c>
      <c r="N52" s="54"/>
      <c r="O52" s="345">
        <v>18041.6953930417</v>
      </c>
      <c r="P52" s="345">
        <v>0.16433445990000001</v>
      </c>
    </row>
    <row r="53" spans="1:87" x14ac:dyDescent="0.25">
      <c r="B53" s="343" t="s">
        <v>183</v>
      </c>
      <c r="C53" s="45"/>
      <c r="D53" s="136"/>
      <c r="E53" s="54"/>
      <c r="F53" s="345">
        <v>93829.582159534693</v>
      </c>
      <c r="G53" s="345">
        <v>0.53523100349999997</v>
      </c>
      <c r="H53" s="45"/>
      <c r="I53" s="345">
        <v>57105.475315768803</v>
      </c>
      <c r="J53" s="345">
        <v>0.47966559580000001</v>
      </c>
      <c r="K53" s="45"/>
      <c r="L53" s="345">
        <v>30067.1158793248</v>
      </c>
      <c r="M53" s="345">
        <v>0.26740919400000002</v>
      </c>
      <c r="N53" s="45"/>
      <c r="O53" s="345">
        <v>15642.9539958733</v>
      </c>
      <c r="P53" s="345">
        <v>0.14214010899999999</v>
      </c>
    </row>
    <row r="54" spans="1:87" x14ac:dyDescent="0.25">
      <c r="B54" s="343" t="s">
        <v>182</v>
      </c>
      <c r="C54" s="45"/>
      <c r="D54" s="136"/>
      <c r="E54" s="54"/>
      <c r="F54" s="345">
        <v>91244.299527623196</v>
      </c>
      <c r="G54" s="345">
        <v>0.53760308219999997</v>
      </c>
      <c r="H54" s="45"/>
      <c r="I54" s="345">
        <v>56281.668138244197</v>
      </c>
      <c r="J54" s="345">
        <v>0.46879618319999999</v>
      </c>
      <c r="K54" s="45"/>
      <c r="L54" s="345">
        <v>30710.0186512367</v>
      </c>
      <c r="M54" s="345">
        <v>0.27246377799999999</v>
      </c>
      <c r="N54" s="45"/>
      <c r="O54" s="345">
        <v>20120.952180586501</v>
      </c>
      <c r="P54" s="345">
        <v>0.18048518869999999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109" customFormat="1" ht="14.25" x14ac:dyDescent="0.2">
      <c r="B59" s="290" t="s">
        <v>150</v>
      </c>
      <c r="D59" s="312"/>
      <c r="F59" s="312"/>
      <c r="G59" s="311"/>
      <c r="I59" s="312"/>
      <c r="J59" s="311"/>
      <c r="L59" s="312"/>
      <c r="M59" s="311"/>
      <c r="O59" s="312"/>
      <c r="P59" s="311"/>
    </row>
    <row r="60" spans="1:87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</row>
    <row r="61" spans="1:87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</row>
    <row r="62" spans="1:87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</row>
    <row r="63" spans="1:87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</row>
    <row r="64" spans="1:87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</row>
    <row r="65" spans="2:16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</row>
    <row r="66" spans="2:16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</row>
    <row r="67" spans="2:16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</row>
    <row r="68" spans="2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2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2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2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2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2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2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2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2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2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2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2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2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E34C9DF-DFC1-497E-9A69-37A2B1BDE44D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18" t="s">
        <v>126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190" t="s">
        <v>97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43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206795.536884114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345">
        <v>149117.58428823701</v>
      </c>
      <c r="G13" s="345">
        <v>0.41600733569999998</v>
      </c>
      <c r="H13" s="54"/>
      <c r="I13" s="345">
        <v>97063.244293378593</v>
      </c>
      <c r="J13" s="345">
        <v>0.33230356239999997</v>
      </c>
      <c r="K13" s="53"/>
      <c r="L13" s="345">
        <v>72022.863996637505</v>
      </c>
      <c r="M13" s="345">
        <v>0.2731584386</v>
      </c>
      <c r="N13" s="54"/>
      <c r="O13" s="345">
        <v>38239.455358495201</v>
      </c>
      <c r="P13" s="345">
        <v>0.1552830459</v>
      </c>
    </row>
    <row r="14" spans="1:16" s="13" customFormat="1" ht="12.75" customHeight="1" x14ac:dyDescent="0.2">
      <c r="B14" s="14" t="s">
        <v>45</v>
      </c>
      <c r="D14" s="136"/>
      <c r="E14" s="54"/>
      <c r="F14" s="345">
        <v>137950.14316021599</v>
      </c>
      <c r="G14" s="345">
        <v>0.39800002449999999</v>
      </c>
      <c r="H14" s="54"/>
      <c r="I14" s="345">
        <v>97758.348000474594</v>
      </c>
      <c r="J14" s="345">
        <v>0.33736776130000001</v>
      </c>
      <c r="K14" s="53"/>
      <c r="L14" s="345">
        <v>74391.403854900796</v>
      </c>
      <c r="M14" s="345">
        <v>0.27302593939999997</v>
      </c>
      <c r="N14" s="54"/>
      <c r="O14" s="345">
        <v>52096.531120046398</v>
      </c>
      <c r="P14" s="345">
        <v>0.2079454597</v>
      </c>
    </row>
    <row r="15" spans="1:16" s="13" customFormat="1" ht="12.75" customHeight="1" x14ac:dyDescent="0.2">
      <c r="B15" s="14" t="s">
        <v>46</v>
      </c>
      <c r="D15" s="136"/>
      <c r="E15" s="54"/>
      <c r="F15" s="345">
        <v>130799.106488901</v>
      </c>
      <c r="G15" s="345">
        <v>0.40700838610000001</v>
      </c>
      <c r="H15" s="54"/>
      <c r="I15" s="345">
        <v>94694.526034054201</v>
      </c>
      <c r="J15" s="345">
        <v>0.32070185239999999</v>
      </c>
      <c r="K15" s="53"/>
      <c r="L15" s="345">
        <v>79817.239557697394</v>
      </c>
      <c r="M15" s="345">
        <v>0.2904932355</v>
      </c>
      <c r="N15" s="54"/>
      <c r="O15" s="345">
        <v>57094.977528862801</v>
      </c>
      <c r="P15" s="345">
        <v>0.2174373963</v>
      </c>
    </row>
    <row r="16" spans="1:16" s="13" customFormat="1" ht="12.75" customHeight="1" x14ac:dyDescent="0.2">
      <c r="B16" s="14" t="s">
        <v>47</v>
      </c>
      <c r="D16" s="136"/>
      <c r="E16" s="54"/>
      <c r="F16" s="345">
        <v>126885.760884731</v>
      </c>
      <c r="G16" s="345">
        <v>0.40771778450000001</v>
      </c>
      <c r="H16" s="54"/>
      <c r="I16" s="345">
        <v>86574.745613449602</v>
      </c>
      <c r="J16" s="345">
        <v>0.31824592419999997</v>
      </c>
      <c r="K16" s="53"/>
      <c r="L16" s="345">
        <v>69369.678213486099</v>
      </c>
      <c r="M16" s="345">
        <v>0.26066579369999998</v>
      </c>
      <c r="N16" s="54"/>
      <c r="O16" s="345">
        <v>97272.7672190718</v>
      </c>
      <c r="P16" s="345">
        <v>0.34517895440000002</v>
      </c>
    </row>
    <row r="17" spans="1:16" s="13" customFormat="1" ht="12.75" customHeight="1" x14ac:dyDescent="0.2">
      <c r="B17" s="14" t="s">
        <v>48</v>
      </c>
      <c r="D17" s="131"/>
      <c r="E17" s="54"/>
      <c r="F17" s="346">
        <v>148193.92216272801</v>
      </c>
      <c r="G17" s="346">
        <v>0.43589510339999998</v>
      </c>
      <c r="H17" s="54"/>
      <c r="I17" s="346">
        <v>84508.460629521098</v>
      </c>
      <c r="J17" s="346">
        <v>0.30343779160000001</v>
      </c>
      <c r="K17" s="53"/>
      <c r="L17" s="346">
        <v>69163.475963055898</v>
      </c>
      <c r="M17" s="346">
        <v>0.26318217770000002</v>
      </c>
      <c r="N17" s="54"/>
      <c r="O17" s="346">
        <v>72175.225950258799</v>
      </c>
      <c r="P17" s="346">
        <v>0.27651782009999998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344">
        <v>7637.9279614702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345">
        <v>5969.0449894352996</v>
      </c>
      <c r="G21" s="345">
        <v>1.6777191619</v>
      </c>
      <c r="H21" s="54"/>
      <c r="I21" s="345">
        <v>3877.8688166562001</v>
      </c>
      <c r="J21" s="345">
        <v>1.2654841826000001</v>
      </c>
      <c r="K21" s="53"/>
      <c r="L21" s="345">
        <v>3125.5907861115002</v>
      </c>
      <c r="M21" s="345">
        <v>1.0975604628</v>
      </c>
      <c r="N21" s="54"/>
      <c r="O21" s="345">
        <v>1717.9114314968999</v>
      </c>
      <c r="P21" s="345">
        <v>0.63334530749999995</v>
      </c>
    </row>
    <row r="22" spans="1:16" ht="12.75" customHeight="1" x14ac:dyDescent="0.2">
      <c r="A22" s="1"/>
      <c r="B22" s="14" t="s">
        <v>45</v>
      </c>
      <c r="D22" s="136"/>
      <c r="E22" s="54"/>
      <c r="F22" s="345">
        <v>5884.9164198986</v>
      </c>
      <c r="G22" s="345">
        <v>1.6411843974</v>
      </c>
      <c r="H22" s="54"/>
      <c r="I22" s="345">
        <v>4155.8738248620002</v>
      </c>
      <c r="J22" s="345">
        <v>1.3885997315</v>
      </c>
      <c r="K22" s="53"/>
      <c r="L22" s="345">
        <v>2931.9818672284</v>
      </c>
      <c r="M22" s="345">
        <v>1.0275237908999999</v>
      </c>
      <c r="N22" s="54"/>
      <c r="O22" s="345">
        <v>1873.2872840791999</v>
      </c>
      <c r="P22" s="345">
        <v>0.68213275210000002</v>
      </c>
    </row>
    <row r="23" spans="1:16" ht="12.75" customHeight="1" x14ac:dyDescent="0.2">
      <c r="A23" s="1"/>
      <c r="B23" s="14" t="s">
        <v>46</v>
      </c>
      <c r="D23" s="136"/>
      <c r="E23" s="54"/>
      <c r="F23" s="345">
        <v>6061.1174456054996</v>
      </c>
      <c r="G23" s="345">
        <v>1.9047252746000001</v>
      </c>
      <c r="H23" s="54"/>
      <c r="I23" s="345">
        <v>4355.6113532466998</v>
      </c>
      <c r="J23" s="345">
        <v>1.4223223654999999</v>
      </c>
      <c r="K23" s="53"/>
      <c r="L23" s="345">
        <v>3034.7602392446001</v>
      </c>
      <c r="M23" s="345">
        <v>1.0780888934999999</v>
      </c>
      <c r="N23" s="54"/>
      <c r="O23" s="345">
        <v>2786.85251432</v>
      </c>
      <c r="P23" s="345">
        <v>1.0125294496999999</v>
      </c>
    </row>
    <row r="24" spans="1:16" ht="12.75" customHeight="1" x14ac:dyDescent="0.2">
      <c r="A24" s="1"/>
      <c r="B24" s="14" t="s">
        <v>47</v>
      </c>
      <c r="D24" s="136"/>
      <c r="E24" s="54"/>
      <c r="F24" s="345">
        <v>5435.8336133352996</v>
      </c>
      <c r="G24" s="345">
        <v>1.5907239449999999</v>
      </c>
      <c r="H24" s="54"/>
      <c r="I24" s="345">
        <v>4184.1503163699999</v>
      </c>
      <c r="J24" s="345">
        <v>1.391661745</v>
      </c>
      <c r="K24" s="53"/>
      <c r="L24" s="345">
        <v>2736.8611085368002</v>
      </c>
      <c r="M24" s="345">
        <v>0.99133112759999997</v>
      </c>
      <c r="N24" s="54"/>
      <c r="O24" s="345">
        <v>2944.7925980774999</v>
      </c>
      <c r="P24" s="345">
        <v>1.0167210072999999</v>
      </c>
    </row>
    <row r="25" spans="1:16" ht="12.75" customHeight="1" x14ac:dyDescent="0.2">
      <c r="A25" s="1"/>
      <c r="B25" s="14" t="s">
        <v>48</v>
      </c>
      <c r="D25" s="136"/>
      <c r="E25" s="54"/>
      <c r="F25" s="345">
        <v>6025.2492540187995</v>
      </c>
      <c r="G25" s="345">
        <v>1.8774878382</v>
      </c>
      <c r="H25" s="54"/>
      <c r="I25" s="345">
        <v>3345.2345085201</v>
      </c>
      <c r="J25" s="345">
        <v>1.1240064532</v>
      </c>
      <c r="K25" s="53"/>
      <c r="L25" s="345">
        <v>3164.8153580336002</v>
      </c>
      <c r="M25" s="345">
        <v>1.0904553304</v>
      </c>
      <c r="N25" s="54"/>
      <c r="O25" s="345">
        <v>3256.7830752557002</v>
      </c>
      <c r="P25" s="345">
        <v>1.1467175398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344">
        <v>25570.454135712898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345">
        <v>19500.343340141299</v>
      </c>
      <c r="G29" s="345">
        <v>2.0738438929999998</v>
      </c>
      <c r="H29" s="54"/>
      <c r="I29" s="345">
        <v>16885.783162682499</v>
      </c>
      <c r="J29" s="345">
        <v>1.9326640987000001</v>
      </c>
      <c r="K29" s="53"/>
      <c r="L29" s="345">
        <v>9115.6643869665004</v>
      </c>
      <c r="M29" s="345">
        <v>1.1987886145</v>
      </c>
      <c r="N29" s="54"/>
      <c r="O29" s="345">
        <v>5754.0340421136998</v>
      </c>
      <c r="P29" s="345">
        <v>0.78692309729999999</v>
      </c>
    </row>
    <row r="30" spans="1:16" ht="12.75" customHeight="1" x14ac:dyDescent="0.2">
      <c r="A30" s="128"/>
      <c r="B30" s="14" t="s">
        <v>45</v>
      </c>
      <c r="D30" s="136"/>
      <c r="E30" s="54"/>
      <c r="F30" s="345">
        <v>18778.650298621102</v>
      </c>
      <c r="G30" s="345">
        <v>2.0116518673999999</v>
      </c>
      <c r="H30" s="54"/>
      <c r="I30" s="345">
        <v>17552.904929242999</v>
      </c>
      <c r="J30" s="345">
        <v>2.0178656876000001</v>
      </c>
      <c r="K30" s="53"/>
      <c r="L30" s="345">
        <v>8877.1105216204996</v>
      </c>
      <c r="M30" s="345">
        <v>1.1652595428999999</v>
      </c>
      <c r="N30" s="54"/>
      <c r="O30" s="345">
        <v>5937.6531099744998</v>
      </c>
      <c r="P30" s="345">
        <v>0.80309302019999995</v>
      </c>
    </row>
    <row r="31" spans="1:16" ht="12.75" customHeight="1" x14ac:dyDescent="0.2">
      <c r="A31" s="128"/>
      <c r="B31" s="14" t="s">
        <v>46</v>
      </c>
      <c r="D31" s="136"/>
      <c r="E31" s="54"/>
      <c r="F31" s="345">
        <v>17895.488442648199</v>
      </c>
      <c r="G31" s="345">
        <v>1.9941154901</v>
      </c>
      <c r="H31" s="54"/>
      <c r="I31" s="345">
        <v>17499.338380720699</v>
      </c>
      <c r="J31" s="345">
        <v>2.1079488738999999</v>
      </c>
      <c r="K31" s="53"/>
      <c r="L31" s="345">
        <v>9486.1115857705008</v>
      </c>
      <c r="M31" s="345">
        <v>1.1871430084000001</v>
      </c>
      <c r="N31" s="54"/>
      <c r="O31" s="345">
        <v>7166.6675218671999</v>
      </c>
      <c r="P31" s="345">
        <v>0.94678360849999998</v>
      </c>
    </row>
    <row r="32" spans="1:16" ht="12.75" customHeight="1" x14ac:dyDescent="0.2">
      <c r="A32" s="128"/>
      <c r="B32" s="14" t="s">
        <v>47</v>
      </c>
      <c r="D32" s="136"/>
      <c r="E32" s="54"/>
      <c r="F32" s="345">
        <v>17772.052248868102</v>
      </c>
      <c r="G32" s="345">
        <v>1.9836762529</v>
      </c>
      <c r="H32" s="54"/>
      <c r="I32" s="345">
        <v>16897.247759374699</v>
      </c>
      <c r="J32" s="345">
        <v>2.0004261628000002</v>
      </c>
      <c r="K32" s="53"/>
      <c r="L32" s="345">
        <v>9412.4903220991</v>
      </c>
      <c r="M32" s="345">
        <v>1.204443218</v>
      </c>
      <c r="N32" s="54"/>
      <c r="O32" s="345">
        <v>10884.4980362145</v>
      </c>
      <c r="P32" s="345">
        <v>1.4544433863999999</v>
      </c>
    </row>
    <row r="33" spans="1:16" ht="12.75" customHeight="1" x14ac:dyDescent="0.2">
      <c r="A33" s="128"/>
      <c r="B33" s="14" t="s">
        <v>48</v>
      </c>
      <c r="D33" s="136"/>
      <c r="E33" s="54"/>
      <c r="F33" s="345">
        <v>20696.044303046201</v>
      </c>
      <c r="G33" s="345">
        <v>2.2820814934000002</v>
      </c>
      <c r="H33" s="54"/>
      <c r="I33" s="345">
        <v>15619.038239031601</v>
      </c>
      <c r="J33" s="345">
        <v>1.7958728716000001</v>
      </c>
      <c r="K33" s="53"/>
      <c r="L33" s="345">
        <v>9479.9262684102996</v>
      </c>
      <c r="M33" s="345">
        <v>1.2821748395999999</v>
      </c>
      <c r="N33" s="54"/>
      <c r="O33" s="345">
        <v>7244.1537559393</v>
      </c>
      <c r="P33" s="345">
        <v>0.96597417409999997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344">
        <v>6921.5173755747001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345">
        <v>4116.8585745906003</v>
      </c>
      <c r="G37" s="345">
        <v>2.4062828830999998</v>
      </c>
      <c r="H37" s="130"/>
      <c r="I37" s="345">
        <v>3060.9018625296999</v>
      </c>
      <c r="J37" s="345">
        <v>1.7869796365999999</v>
      </c>
      <c r="K37" s="133"/>
      <c r="L37" s="345">
        <v>3638.2593896619001</v>
      </c>
      <c r="M37" s="345">
        <v>2.0506471306999998</v>
      </c>
      <c r="N37" s="130"/>
      <c r="O37" s="345">
        <v>1451.5104107597999</v>
      </c>
      <c r="P37" s="345">
        <v>0.89020113739999995</v>
      </c>
    </row>
    <row r="38" spans="1:16" ht="12.75" customHeight="1" x14ac:dyDescent="0.2">
      <c r="A38" s="128"/>
      <c r="B38" s="14" t="s">
        <v>45</v>
      </c>
      <c r="D38" s="136"/>
      <c r="E38" s="130"/>
      <c r="F38" s="345">
        <v>3885.2727342080002</v>
      </c>
      <c r="G38" s="345">
        <v>1.9578194145000001</v>
      </c>
      <c r="H38" s="130"/>
      <c r="I38" s="345">
        <v>3226.2098325208999</v>
      </c>
      <c r="J38" s="345">
        <v>1.9823388371999999</v>
      </c>
      <c r="K38" s="133"/>
      <c r="L38" s="345">
        <v>2980.7731492430999</v>
      </c>
      <c r="M38" s="345">
        <v>1.6285688703000001</v>
      </c>
      <c r="N38" s="130"/>
      <c r="O38" s="345">
        <v>2425.1016848789</v>
      </c>
      <c r="P38" s="345">
        <v>1.5371274096</v>
      </c>
    </row>
    <row r="39" spans="1:16" ht="12.75" customHeight="1" x14ac:dyDescent="0.2">
      <c r="A39" s="128"/>
      <c r="B39" s="14" t="s">
        <v>46</v>
      </c>
      <c r="D39" s="136"/>
      <c r="E39" s="130"/>
      <c r="F39" s="345">
        <v>3513.2841613521</v>
      </c>
      <c r="G39" s="345">
        <v>2.3214949048000002</v>
      </c>
      <c r="H39" s="130"/>
      <c r="I39" s="345">
        <v>3464.9273597230999</v>
      </c>
      <c r="J39" s="345">
        <v>1.9831341747</v>
      </c>
      <c r="K39" s="133"/>
      <c r="L39" s="345">
        <v>2437.4818273012002</v>
      </c>
      <c r="M39" s="345">
        <v>1.4992810162000001</v>
      </c>
      <c r="N39" s="130"/>
      <c r="O39" s="345">
        <v>3800.8024209382002</v>
      </c>
      <c r="P39" s="345">
        <v>2.2445881780999999</v>
      </c>
    </row>
    <row r="40" spans="1:16" ht="12.75" customHeight="1" x14ac:dyDescent="0.2">
      <c r="A40" s="128"/>
      <c r="B40" s="14" t="s">
        <v>47</v>
      </c>
      <c r="D40" s="136"/>
      <c r="E40" s="130"/>
      <c r="F40" s="345">
        <v>3197.2380474311999</v>
      </c>
      <c r="G40" s="345">
        <v>2.2651213413</v>
      </c>
      <c r="H40" s="130"/>
      <c r="I40" s="345">
        <v>2858.9606253719999</v>
      </c>
      <c r="J40" s="345">
        <v>1.9386783637</v>
      </c>
      <c r="K40" s="133"/>
      <c r="L40" s="345">
        <v>1875.6111277581001</v>
      </c>
      <c r="M40" s="345">
        <v>1.1126497765000001</v>
      </c>
      <c r="N40" s="130"/>
      <c r="O40" s="345">
        <v>5082.7555007110996</v>
      </c>
      <c r="P40" s="345">
        <v>2.7516577026000002</v>
      </c>
    </row>
    <row r="41" spans="1:16" ht="12.75" customHeight="1" x14ac:dyDescent="0.2">
      <c r="A41" s="128"/>
      <c r="B41" s="14" t="s">
        <v>48</v>
      </c>
      <c r="D41" s="136"/>
      <c r="E41" s="130"/>
      <c r="F41" s="345">
        <v>4442.019089505</v>
      </c>
      <c r="G41" s="345">
        <v>2.1865760013000002</v>
      </c>
      <c r="H41" s="130"/>
      <c r="I41" s="345">
        <v>3242.6047679546</v>
      </c>
      <c r="J41" s="345">
        <v>1.7334523669999999</v>
      </c>
      <c r="K41" s="133"/>
      <c r="L41" s="345">
        <v>2072.1661963696001</v>
      </c>
      <c r="M41" s="345">
        <v>1.1960617008000001</v>
      </c>
      <c r="N41" s="130"/>
      <c r="O41" s="345">
        <v>1874.6344123541</v>
      </c>
      <c r="P41" s="345">
        <v>1.1740111648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344">
        <v>8627.7534504734995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345">
        <v>4765.4143756228996</v>
      </c>
      <c r="G45" s="345">
        <v>1.7067552332</v>
      </c>
      <c r="H45" s="130"/>
      <c r="I45" s="345">
        <v>3269.3106155307</v>
      </c>
      <c r="J45" s="345">
        <v>1.1830120978000001</v>
      </c>
      <c r="K45" s="133"/>
      <c r="L45" s="345">
        <v>3109.0818664857002</v>
      </c>
      <c r="M45" s="345">
        <v>1.2149215502999999</v>
      </c>
      <c r="N45" s="130"/>
      <c r="O45" s="345">
        <v>1840.783767767</v>
      </c>
      <c r="P45" s="345">
        <v>0.8142954375</v>
      </c>
    </row>
    <row r="46" spans="1:16" ht="12.75" customHeight="1" x14ac:dyDescent="0.2">
      <c r="A46" s="128"/>
      <c r="B46" s="14" t="s">
        <v>45</v>
      </c>
      <c r="D46" s="136"/>
      <c r="E46" s="130"/>
      <c r="F46" s="345">
        <v>4557.4115356334996</v>
      </c>
      <c r="G46" s="345">
        <v>1.6530823771000001</v>
      </c>
      <c r="H46" s="130"/>
      <c r="I46" s="345">
        <v>3123.5966133112001</v>
      </c>
      <c r="J46" s="345">
        <v>1.2851874763</v>
      </c>
      <c r="K46" s="133"/>
      <c r="L46" s="345">
        <v>2963.4856891507002</v>
      </c>
      <c r="M46" s="345">
        <v>1.2257677594</v>
      </c>
      <c r="N46" s="130"/>
      <c r="O46" s="345">
        <v>3033.5280475801001</v>
      </c>
      <c r="P46" s="345">
        <v>1.2537232223999999</v>
      </c>
    </row>
    <row r="47" spans="1:16" ht="12.75" customHeight="1" x14ac:dyDescent="0.2">
      <c r="A47" s="128"/>
      <c r="B47" s="14" t="s">
        <v>46</v>
      </c>
      <c r="D47" s="136"/>
      <c r="E47" s="130"/>
      <c r="F47" s="345">
        <v>4043.9166870703998</v>
      </c>
      <c r="G47" s="345">
        <v>1.5988057226000001</v>
      </c>
      <c r="H47" s="130"/>
      <c r="I47" s="345">
        <v>3180.1344901051998</v>
      </c>
      <c r="J47" s="345">
        <v>1.2957912306999999</v>
      </c>
      <c r="K47" s="133"/>
      <c r="L47" s="345">
        <v>3119.5672422353</v>
      </c>
      <c r="M47" s="345">
        <v>1.1998668563999999</v>
      </c>
      <c r="N47" s="130"/>
      <c r="O47" s="345">
        <v>3210.7424572150999</v>
      </c>
      <c r="P47" s="345">
        <v>1.2640992963</v>
      </c>
    </row>
    <row r="48" spans="1:16" ht="12.75" customHeight="1" x14ac:dyDescent="0.2">
      <c r="A48" s="128"/>
      <c r="B48" s="14" t="s">
        <v>47</v>
      </c>
      <c r="D48" s="136"/>
      <c r="E48" s="130"/>
      <c r="F48" s="345">
        <v>3733.6949224402001</v>
      </c>
      <c r="G48" s="345">
        <v>1.6296585223</v>
      </c>
      <c r="H48" s="130"/>
      <c r="I48" s="345">
        <v>2730.2488061138001</v>
      </c>
      <c r="J48" s="345">
        <v>1.3462693741</v>
      </c>
      <c r="K48" s="133"/>
      <c r="L48" s="345">
        <v>3035.2684537859</v>
      </c>
      <c r="M48" s="345">
        <v>1.234010064</v>
      </c>
      <c r="N48" s="130"/>
      <c r="O48" s="345">
        <v>5213.4324553542001</v>
      </c>
      <c r="P48" s="345">
        <v>1.9948377960000001</v>
      </c>
    </row>
    <row r="49" spans="1:16" ht="12.75" customHeight="1" x14ac:dyDescent="0.2">
      <c r="A49" s="128"/>
      <c r="B49" s="14" t="s">
        <v>48</v>
      </c>
      <c r="D49" s="136"/>
      <c r="E49" s="130"/>
      <c r="F49" s="345">
        <v>5771.0393769325001</v>
      </c>
      <c r="G49" s="345">
        <v>1.5741808384</v>
      </c>
      <c r="H49" s="130"/>
      <c r="I49" s="345">
        <v>2704.0205308468999</v>
      </c>
      <c r="J49" s="345">
        <v>1.1820902858</v>
      </c>
      <c r="K49" s="133"/>
      <c r="L49" s="345">
        <v>2636.7297426835999</v>
      </c>
      <c r="M49" s="345">
        <v>1.1048851328</v>
      </c>
      <c r="N49" s="130"/>
      <c r="O49" s="345">
        <v>1971.0213618895</v>
      </c>
      <c r="P49" s="345">
        <v>0.90149156529999996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344">
        <v>15872.674300118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345">
        <v>15645.4968738222</v>
      </c>
      <c r="G53" s="345">
        <v>1.9386885349</v>
      </c>
      <c r="H53" s="130"/>
      <c r="I53" s="345">
        <v>8663.8317251329008</v>
      </c>
      <c r="J53" s="345">
        <v>1.3217962697000001</v>
      </c>
      <c r="K53" s="133"/>
      <c r="L53" s="345">
        <v>10036.905939132799</v>
      </c>
      <c r="M53" s="345">
        <v>1.5503337959000001</v>
      </c>
      <c r="N53" s="130"/>
      <c r="O53" s="345">
        <v>4163.2751046374997</v>
      </c>
      <c r="P53" s="345">
        <v>0.6555588497</v>
      </c>
    </row>
    <row r="54" spans="1:16" ht="12.75" customHeight="1" x14ac:dyDescent="0.2">
      <c r="A54" s="128"/>
      <c r="B54" s="14" t="s">
        <v>45</v>
      </c>
      <c r="D54" s="136"/>
      <c r="E54" s="130"/>
      <c r="F54" s="345">
        <v>15202.661519671699</v>
      </c>
      <c r="G54" s="345">
        <v>1.9717127082999999</v>
      </c>
      <c r="H54" s="130"/>
      <c r="I54" s="345">
        <v>9002.5173865150009</v>
      </c>
      <c r="J54" s="345">
        <v>1.3484122848</v>
      </c>
      <c r="K54" s="133"/>
      <c r="L54" s="345">
        <v>9303.1608017015005</v>
      </c>
      <c r="M54" s="345">
        <v>1.4145477214</v>
      </c>
      <c r="N54" s="130"/>
      <c r="O54" s="345">
        <v>4682.3060283145996</v>
      </c>
      <c r="P54" s="345">
        <v>0.73839126639999997</v>
      </c>
    </row>
    <row r="55" spans="1:16" ht="12.75" customHeight="1" x14ac:dyDescent="0.2">
      <c r="A55" s="128"/>
      <c r="B55" s="14" t="s">
        <v>46</v>
      </c>
      <c r="D55" s="136"/>
      <c r="E55" s="130"/>
      <c r="F55" s="345">
        <v>14735.800317696599</v>
      </c>
      <c r="G55" s="345">
        <v>1.8597620953</v>
      </c>
      <c r="H55" s="130"/>
      <c r="I55" s="345">
        <v>8543.1043432024999</v>
      </c>
      <c r="J55" s="345">
        <v>1.2845895107</v>
      </c>
      <c r="K55" s="133"/>
      <c r="L55" s="345">
        <v>9516.3460771787995</v>
      </c>
      <c r="M55" s="345">
        <v>1.4555193470000001</v>
      </c>
      <c r="N55" s="130"/>
      <c r="O55" s="345">
        <v>4947.1459329754998</v>
      </c>
      <c r="P55" s="345">
        <v>0.77251963670000001</v>
      </c>
    </row>
    <row r="56" spans="1:16" ht="12.75" customHeight="1" x14ac:dyDescent="0.2">
      <c r="A56" s="128"/>
      <c r="B56" s="14" t="s">
        <v>47</v>
      </c>
      <c r="D56" s="136"/>
      <c r="E56" s="130"/>
      <c r="F56" s="345">
        <v>14657.280434783699</v>
      </c>
      <c r="G56" s="345">
        <v>1.8421749433000001</v>
      </c>
      <c r="H56" s="130"/>
      <c r="I56" s="345">
        <v>7787.7774966833003</v>
      </c>
      <c r="J56" s="345">
        <v>1.1999836934000001</v>
      </c>
      <c r="K56" s="133"/>
      <c r="L56" s="345">
        <v>9057.7226499746994</v>
      </c>
      <c r="M56" s="345">
        <v>1.3872824914999999</v>
      </c>
      <c r="N56" s="130"/>
      <c r="O56" s="345">
        <v>6600.2759703775</v>
      </c>
      <c r="P56" s="345">
        <v>1.0070761929000001</v>
      </c>
    </row>
    <row r="57" spans="1:16" ht="12.75" customHeight="1" x14ac:dyDescent="0.2">
      <c r="A57" s="128"/>
      <c r="B57" s="14" t="s">
        <v>48</v>
      </c>
      <c r="D57" s="136"/>
      <c r="E57" s="130"/>
      <c r="F57" s="345">
        <v>14203.126311640101</v>
      </c>
      <c r="G57" s="345">
        <v>1.7250283212999999</v>
      </c>
      <c r="H57" s="130"/>
      <c r="I57" s="345">
        <v>8329.6814771621994</v>
      </c>
      <c r="J57" s="345">
        <v>1.2382160641</v>
      </c>
      <c r="K57" s="133"/>
      <c r="L57" s="345">
        <v>7525.2508017257996</v>
      </c>
      <c r="M57" s="345">
        <v>1.1662639566999999</v>
      </c>
      <c r="N57" s="130"/>
      <c r="O57" s="345">
        <v>6756.9952681432997</v>
      </c>
      <c r="P57" s="345">
        <v>1.0492475765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344">
        <v>6482.4937291401002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345">
        <v>4174.6203659906996</v>
      </c>
      <c r="G61" s="345">
        <v>1.8598442952000001</v>
      </c>
      <c r="H61" s="130"/>
      <c r="I61" s="345">
        <v>2875.9969089347001</v>
      </c>
      <c r="J61" s="345">
        <v>1.6447398199000001</v>
      </c>
      <c r="K61" s="133"/>
      <c r="L61" s="345">
        <v>2134.6038734755998</v>
      </c>
      <c r="M61" s="345">
        <v>1.3393478163000001</v>
      </c>
      <c r="N61" s="130"/>
      <c r="O61" s="345">
        <v>905.62280278200001</v>
      </c>
      <c r="P61" s="345">
        <v>0.61326081099999996</v>
      </c>
    </row>
    <row r="62" spans="1:16" ht="12.75" customHeight="1" x14ac:dyDescent="0.2">
      <c r="A62" s="128"/>
      <c r="B62" s="14" t="s">
        <v>45</v>
      </c>
      <c r="D62" s="136"/>
      <c r="E62" s="130"/>
      <c r="F62" s="345">
        <v>4166.1219933838001</v>
      </c>
      <c r="G62" s="345">
        <v>1.9148851148999999</v>
      </c>
      <c r="H62" s="130"/>
      <c r="I62" s="345">
        <v>2736.5229626759001</v>
      </c>
      <c r="J62" s="345">
        <v>1.6157847004999999</v>
      </c>
      <c r="K62" s="133"/>
      <c r="L62" s="345">
        <v>2134.4507305205998</v>
      </c>
      <c r="M62" s="345">
        <v>1.3057892768999999</v>
      </c>
      <c r="N62" s="130"/>
      <c r="O62" s="345">
        <v>1060.0576798268</v>
      </c>
      <c r="P62" s="345">
        <v>0.68351926910000005</v>
      </c>
    </row>
    <row r="63" spans="1:16" ht="12.75" customHeight="1" x14ac:dyDescent="0.2">
      <c r="A63" s="128"/>
      <c r="B63" s="14" t="s">
        <v>46</v>
      </c>
      <c r="D63" s="136"/>
      <c r="E63" s="130"/>
      <c r="F63" s="345">
        <v>4049.6909354753998</v>
      </c>
      <c r="G63" s="345">
        <v>1.9536296299</v>
      </c>
      <c r="H63" s="130"/>
      <c r="I63" s="345">
        <v>2544.6231963164</v>
      </c>
      <c r="J63" s="345">
        <v>1.4087206428000001</v>
      </c>
      <c r="K63" s="133"/>
      <c r="L63" s="345">
        <v>2031.5059452602</v>
      </c>
      <c r="M63" s="345">
        <v>1.1703282127000001</v>
      </c>
      <c r="N63" s="130"/>
      <c r="O63" s="345">
        <v>1393.0906066411001</v>
      </c>
      <c r="P63" s="345">
        <v>0.92617545800000001</v>
      </c>
    </row>
    <row r="64" spans="1:16" ht="12.75" customHeight="1" x14ac:dyDescent="0.2">
      <c r="A64" s="128"/>
      <c r="B64" s="14" t="s">
        <v>47</v>
      </c>
      <c r="D64" s="136"/>
      <c r="E64" s="130"/>
      <c r="F64" s="345">
        <v>4030.6607884929999</v>
      </c>
      <c r="G64" s="345">
        <v>1.9383080700999999</v>
      </c>
      <c r="H64" s="130"/>
      <c r="I64" s="345">
        <v>2592.5819284636</v>
      </c>
      <c r="J64" s="345">
        <v>1.4694685935</v>
      </c>
      <c r="K64" s="133"/>
      <c r="L64" s="345">
        <v>1979.2854082099</v>
      </c>
      <c r="M64" s="345">
        <v>1.1979438792999999</v>
      </c>
      <c r="N64" s="130"/>
      <c r="O64" s="345">
        <v>1950.4254033642001</v>
      </c>
      <c r="P64" s="345">
        <v>1.3154585008999999</v>
      </c>
    </row>
    <row r="65" spans="1:16" ht="12.75" customHeight="1" x14ac:dyDescent="0.2">
      <c r="A65" s="128"/>
      <c r="B65" s="14" t="s">
        <v>48</v>
      </c>
      <c r="D65" s="136"/>
      <c r="E65" s="130"/>
      <c r="F65" s="345">
        <v>4378.7812632671003</v>
      </c>
      <c r="G65" s="345">
        <v>2.0057632638</v>
      </c>
      <c r="H65" s="130"/>
      <c r="I65" s="345">
        <v>2604.4069287976999</v>
      </c>
      <c r="J65" s="345">
        <v>1.5983458564999999</v>
      </c>
      <c r="K65" s="133"/>
      <c r="L65" s="345">
        <v>1641.0913239224999</v>
      </c>
      <c r="M65" s="345">
        <v>0.97106679340000002</v>
      </c>
      <c r="N65" s="130"/>
      <c r="O65" s="345">
        <v>1696.8860880068</v>
      </c>
      <c r="P65" s="345">
        <v>1.1044650025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344">
        <v>53287.367466882897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345">
        <v>25695.225370986402</v>
      </c>
      <c r="G69" s="345">
        <v>1.5561533863000001</v>
      </c>
      <c r="H69" s="130"/>
      <c r="I69" s="345">
        <v>22030.154533405301</v>
      </c>
      <c r="J69" s="345">
        <v>1.4781037313000001</v>
      </c>
      <c r="K69" s="133"/>
      <c r="L69" s="345">
        <v>20429.9960123003</v>
      </c>
      <c r="M69" s="345">
        <v>1.5195586117</v>
      </c>
      <c r="N69" s="130"/>
      <c r="O69" s="345">
        <v>10653.527525166801</v>
      </c>
      <c r="P69" s="345">
        <v>0.84192488489999995</v>
      </c>
    </row>
    <row r="70" spans="1:16" ht="12.75" customHeight="1" x14ac:dyDescent="0.2">
      <c r="A70" s="128"/>
      <c r="B70" s="14" t="s">
        <v>45</v>
      </c>
      <c r="D70" s="136"/>
      <c r="E70" s="130"/>
      <c r="F70" s="345">
        <v>24180.473683859502</v>
      </c>
      <c r="G70" s="345">
        <v>1.5042796822</v>
      </c>
      <c r="H70" s="130"/>
      <c r="I70" s="345">
        <v>21599.1446371169</v>
      </c>
      <c r="J70" s="345">
        <v>1.635707298</v>
      </c>
      <c r="K70" s="133"/>
      <c r="L70" s="345">
        <v>22324.415256431101</v>
      </c>
      <c r="M70" s="345">
        <v>1.4538140404</v>
      </c>
      <c r="N70" s="130"/>
      <c r="O70" s="345">
        <v>13380.5930114648</v>
      </c>
      <c r="P70" s="345">
        <v>1.109570323</v>
      </c>
    </row>
    <row r="71" spans="1:16" ht="12.75" customHeight="1" x14ac:dyDescent="0.2">
      <c r="A71" s="128"/>
      <c r="B71" s="14" t="s">
        <v>46</v>
      </c>
      <c r="D71" s="136"/>
      <c r="E71" s="130"/>
      <c r="F71" s="345">
        <v>20543.0498717716</v>
      </c>
      <c r="G71" s="345">
        <v>1.4232136044999999</v>
      </c>
      <c r="H71" s="130"/>
      <c r="I71" s="345">
        <v>19496.540835512998</v>
      </c>
      <c r="J71" s="345">
        <v>1.5119956204</v>
      </c>
      <c r="K71" s="133"/>
      <c r="L71" s="345">
        <v>23298.617121957599</v>
      </c>
      <c r="M71" s="345">
        <v>1.4021668269000001</v>
      </c>
      <c r="N71" s="130"/>
      <c r="O71" s="345">
        <v>16061.912667741501</v>
      </c>
      <c r="P71" s="345">
        <v>1.1434783556000001</v>
      </c>
    </row>
    <row r="72" spans="1:16" ht="12.75" customHeight="1" x14ac:dyDescent="0.2">
      <c r="A72" s="128"/>
      <c r="B72" s="14" t="s">
        <v>47</v>
      </c>
      <c r="D72" s="136"/>
      <c r="E72" s="130"/>
      <c r="F72" s="345">
        <v>20133.790297973199</v>
      </c>
      <c r="G72" s="345">
        <v>1.3180352165</v>
      </c>
      <c r="H72" s="130"/>
      <c r="I72" s="345">
        <v>22530.386158766902</v>
      </c>
      <c r="J72" s="345">
        <v>1.5818167067</v>
      </c>
      <c r="K72" s="133"/>
      <c r="L72" s="345">
        <v>15693.329132348799</v>
      </c>
      <c r="M72" s="345">
        <v>1.1425698841</v>
      </c>
      <c r="N72" s="130"/>
      <c r="O72" s="345">
        <v>22238.0056198169</v>
      </c>
      <c r="P72" s="345">
        <v>1.6794438437000001</v>
      </c>
    </row>
    <row r="73" spans="1:16" ht="12.75" customHeight="1" x14ac:dyDescent="0.2">
      <c r="A73" s="128"/>
      <c r="B73" s="14" t="s">
        <v>48</v>
      </c>
      <c r="D73" s="136"/>
      <c r="E73" s="130"/>
      <c r="F73" s="345">
        <v>30456.957457226599</v>
      </c>
      <c r="G73" s="345">
        <v>2.0682620367000002</v>
      </c>
      <c r="H73" s="130"/>
      <c r="I73" s="345">
        <v>18473.706787118001</v>
      </c>
      <c r="J73" s="345">
        <v>1.2937009624</v>
      </c>
      <c r="K73" s="133"/>
      <c r="L73" s="345">
        <v>18352.260924386999</v>
      </c>
      <c r="M73" s="345">
        <v>1.4372564928</v>
      </c>
      <c r="N73" s="130"/>
      <c r="O73" s="345">
        <v>17840.995003561999</v>
      </c>
      <c r="P73" s="345">
        <v>1.385562108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344">
        <v>21640.5052695741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345">
        <v>19008.920830024199</v>
      </c>
      <c r="G77" s="345">
        <v>1.8811649949</v>
      </c>
      <c r="H77" s="130"/>
      <c r="I77" s="345">
        <v>11341.022042570999</v>
      </c>
      <c r="J77" s="345">
        <v>1.2452340983000001</v>
      </c>
      <c r="K77" s="133"/>
      <c r="L77" s="345">
        <v>10091.106381825801</v>
      </c>
      <c r="M77" s="345">
        <v>1.1897428012</v>
      </c>
      <c r="N77" s="130"/>
      <c r="O77" s="345">
        <v>6096.6436306665</v>
      </c>
      <c r="P77" s="345">
        <v>0.72571793740000001</v>
      </c>
    </row>
    <row r="78" spans="1:16" ht="12.75" customHeight="1" x14ac:dyDescent="0.2">
      <c r="A78" s="128"/>
      <c r="B78" s="14" t="s">
        <v>45</v>
      </c>
      <c r="D78" s="136"/>
      <c r="E78" s="130"/>
      <c r="F78" s="345">
        <v>18612.532983276498</v>
      </c>
      <c r="G78" s="345">
        <v>2.0079469139000001</v>
      </c>
      <c r="H78" s="130"/>
      <c r="I78" s="345">
        <v>12482.773373920199</v>
      </c>
      <c r="J78" s="345">
        <v>1.3514689343999999</v>
      </c>
      <c r="K78" s="133"/>
      <c r="L78" s="345">
        <v>9022.1457206226005</v>
      </c>
      <c r="M78" s="345">
        <v>1.0403539722999999</v>
      </c>
      <c r="N78" s="130"/>
      <c r="O78" s="345">
        <v>7983.9560311188998</v>
      </c>
      <c r="P78" s="345">
        <v>0.94286019170000002</v>
      </c>
    </row>
    <row r="79" spans="1:16" ht="12.75" customHeight="1" x14ac:dyDescent="0.2">
      <c r="A79" s="128"/>
      <c r="B79" s="14" t="s">
        <v>46</v>
      </c>
      <c r="D79" s="136"/>
      <c r="E79" s="130"/>
      <c r="F79" s="345">
        <v>18830.241337556199</v>
      </c>
      <c r="G79" s="345">
        <v>1.9616351916000001</v>
      </c>
      <c r="H79" s="130"/>
      <c r="I79" s="345">
        <v>12460.1965301532</v>
      </c>
      <c r="J79" s="345">
        <v>1.3601962685</v>
      </c>
      <c r="K79" s="133"/>
      <c r="L79" s="345">
        <v>10648.352674792201</v>
      </c>
      <c r="M79" s="345">
        <v>1.2233470647</v>
      </c>
      <c r="N79" s="130"/>
      <c r="O79" s="345">
        <v>7120.1350467164002</v>
      </c>
      <c r="P79" s="345">
        <v>0.86152102630000005</v>
      </c>
    </row>
    <row r="80" spans="1:16" ht="12.75" customHeight="1" x14ac:dyDescent="0.2">
      <c r="A80" s="128"/>
      <c r="B80" s="14" t="s">
        <v>47</v>
      </c>
      <c r="D80" s="136"/>
      <c r="E80" s="130"/>
      <c r="F80" s="345">
        <v>18405.464303395602</v>
      </c>
      <c r="G80" s="345">
        <v>1.9192090750999999</v>
      </c>
      <c r="H80" s="130"/>
      <c r="I80" s="345">
        <v>11376.7849769733</v>
      </c>
      <c r="J80" s="345">
        <v>1.2764543211999999</v>
      </c>
      <c r="K80" s="133"/>
      <c r="L80" s="345">
        <v>9849.0362659343009</v>
      </c>
      <c r="M80" s="345">
        <v>1.1362525235000001</v>
      </c>
      <c r="N80" s="130"/>
      <c r="O80" s="345">
        <v>10403.4039535255</v>
      </c>
      <c r="P80" s="345">
        <v>1.2290231131</v>
      </c>
    </row>
    <row r="81" spans="1:16" ht="12.75" customHeight="1" x14ac:dyDescent="0.2">
      <c r="A81" s="128"/>
      <c r="B81" s="14" t="s">
        <v>48</v>
      </c>
      <c r="D81" s="136"/>
      <c r="E81" s="130"/>
      <c r="F81" s="345">
        <v>19639.597945955298</v>
      </c>
      <c r="G81" s="345">
        <v>1.9203287374</v>
      </c>
      <c r="H81" s="130"/>
      <c r="I81" s="345">
        <v>12692.0754644641</v>
      </c>
      <c r="J81" s="345">
        <v>1.4113866879999999</v>
      </c>
      <c r="K81" s="133"/>
      <c r="L81" s="345">
        <v>8866.1027905783994</v>
      </c>
      <c r="M81" s="345">
        <v>1.0915873764999999</v>
      </c>
      <c r="N81" s="130"/>
      <c r="O81" s="345">
        <v>8845.7424524093003</v>
      </c>
      <c r="P81" s="345">
        <v>1.0518718258999999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344">
        <v>48008.948099637397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345">
        <v>40256.620646486001</v>
      </c>
      <c r="G85" s="345">
        <v>1.8356729225999999</v>
      </c>
      <c r="H85" s="130"/>
      <c r="I85" s="345">
        <v>24043.599306460499</v>
      </c>
      <c r="J85" s="345">
        <v>1.4989397362000001</v>
      </c>
      <c r="K85" s="133"/>
      <c r="L85" s="345">
        <v>15730.4402003745</v>
      </c>
      <c r="M85" s="345">
        <v>1.1080135046999999</v>
      </c>
      <c r="N85" s="130"/>
      <c r="O85" s="345">
        <v>9312.6839039273</v>
      </c>
      <c r="P85" s="345">
        <v>0.66130160459999998</v>
      </c>
    </row>
    <row r="86" spans="1:16" ht="12.75" customHeight="1" x14ac:dyDescent="0.2">
      <c r="A86" s="128"/>
      <c r="B86" s="14" t="s">
        <v>45</v>
      </c>
      <c r="D86" s="136"/>
      <c r="E86" s="130"/>
      <c r="F86" s="345">
        <v>39704.632237596299</v>
      </c>
      <c r="G86" s="345">
        <v>1.8393416467999999</v>
      </c>
      <c r="H86" s="130"/>
      <c r="I86" s="345">
        <v>25093.0701877633</v>
      </c>
      <c r="J86" s="345">
        <v>1.5820543376</v>
      </c>
      <c r="K86" s="133"/>
      <c r="L86" s="345">
        <v>16166.1893842261</v>
      </c>
      <c r="M86" s="345">
        <v>1.1086510486000001</v>
      </c>
      <c r="N86" s="130"/>
      <c r="O86" s="345">
        <v>9211.9929489587994</v>
      </c>
      <c r="P86" s="345">
        <v>0.66243215099999997</v>
      </c>
    </row>
    <row r="87" spans="1:16" ht="12.75" customHeight="1" x14ac:dyDescent="0.2">
      <c r="A87" s="128"/>
      <c r="B87" s="14" t="s">
        <v>46</v>
      </c>
      <c r="D87" s="136"/>
      <c r="E87" s="130"/>
      <c r="F87" s="345">
        <v>39105.780900125603</v>
      </c>
      <c r="G87" s="345">
        <v>1.8441471632999999</v>
      </c>
      <c r="H87" s="130"/>
      <c r="I87" s="345">
        <v>24065.244718434598</v>
      </c>
      <c r="J87" s="345">
        <v>1.4761673454999999</v>
      </c>
      <c r="K87" s="133"/>
      <c r="L87" s="345">
        <v>15513.5794908194</v>
      </c>
      <c r="M87" s="345">
        <v>1.0681376820999999</v>
      </c>
      <c r="N87" s="130"/>
      <c r="O87" s="345">
        <v>11356.3337718973</v>
      </c>
      <c r="P87" s="345">
        <v>0.81296230459999996</v>
      </c>
    </row>
    <row r="88" spans="1:16" ht="12.75" customHeight="1" x14ac:dyDescent="0.2">
      <c r="A88" s="128"/>
      <c r="B88" s="14" t="s">
        <v>47</v>
      </c>
      <c r="D88" s="136"/>
      <c r="E88" s="130"/>
      <c r="F88" s="345">
        <v>41166.638354998096</v>
      </c>
      <c r="G88" s="345">
        <v>1.9981508331</v>
      </c>
      <c r="H88" s="130"/>
      <c r="I88" s="345">
        <v>25579.062977067199</v>
      </c>
      <c r="J88" s="345">
        <v>1.6834259818999999</v>
      </c>
      <c r="K88" s="133"/>
      <c r="L88" s="345">
        <v>13920.422486052799</v>
      </c>
      <c r="M88" s="345">
        <v>0.95928292920000002</v>
      </c>
      <c r="N88" s="130"/>
      <c r="O88" s="345">
        <v>14712.820776938799</v>
      </c>
      <c r="P88" s="345">
        <v>1.0302902383000001</v>
      </c>
    </row>
    <row r="89" spans="1:16" ht="12.75" customHeight="1" x14ac:dyDescent="0.2">
      <c r="A89" s="128"/>
      <c r="B89" s="14" t="s">
        <v>48</v>
      </c>
      <c r="D89" s="136"/>
      <c r="E89" s="130"/>
      <c r="F89" s="345">
        <v>36209.934697922901</v>
      </c>
      <c r="G89" s="345">
        <v>2.0557196158000002</v>
      </c>
      <c r="H89" s="130"/>
      <c r="I89" s="345">
        <v>23110.354545113099</v>
      </c>
      <c r="J89" s="345">
        <v>1.5023425204</v>
      </c>
      <c r="K89" s="133"/>
      <c r="L89" s="345">
        <v>13559.5037124551</v>
      </c>
      <c r="M89" s="345">
        <v>0.93015700680000002</v>
      </c>
      <c r="N89" s="130"/>
      <c r="O89" s="345">
        <v>31346.534827615</v>
      </c>
      <c r="P89" s="345">
        <v>2.0989671395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344">
        <v>11831.527299883401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345">
        <v>9288.7348476312</v>
      </c>
      <c r="G93" s="345">
        <v>1.5277684668</v>
      </c>
      <c r="H93" s="130"/>
      <c r="I93" s="345">
        <v>5417.4931920919998</v>
      </c>
      <c r="J93" s="345">
        <v>1.2547970716000001</v>
      </c>
      <c r="K93" s="133"/>
      <c r="L93" s="345">
        <v>3315.3053642168002</v>
      </c>
      <c r="M93" s="345">
        <v>0.83182783790000003</v>
      </c>
      <c r="N93" s="130"/>
      <c r="O93" s="345">
        <v>2655.2183868733</v>
      </c>
      <c r="P93" s="345">
        <v>0.68971863909999997</v>
      </c>
    </row>
    <row r="94" spans="1:16" ht="12.75" customHeight="1" x14ac:dyDescent="0.2">
      <c r="A94" s="128"/>
      <c r="B94" s="14" t="s">
        <v>45</v>
      </c>
      <c r="D94" s="136"/>
      <c r="E94" s="130"/>
      <c r="F94" s="345">
        <v>9194.4197866507002</v>
      </c>
      <c r="G94" s="345">
        <v>1.5495071348</v>
      </c>
      <c r="H94" s="130"/>
      <c r="I94" s="345">
        <v>5084.1950325238004</v>
      </c>
      <c r="J94" s="345">
        <v>1.2310838910999999</v>
      </c>
      <c r="K94" s="133"/>
      <c r="L94" s="345">
        <v>3626.9858186710999</v>
      </c>
      <c r="M94" s="345">
        <v>0.89097524930000005</v>
      </c>
      <c r="N94" s="130"/>
      <c r="O94" s="345">
        <v>3478.9982970622</v>
      </c>
      <c r="P94" s="345">
        <v>0.88811023619999996</v>
      </c>
    </row>
    <row r="95" spans="1:16" ht="12.75" customHeight="1" x14ac:dyDescent="0.2">
      <c r="A95" s="128"/>
      <c r="B95" s="14" t="s">
        <v>46</v>
      </c>
      <c r="D95" s="136"/>
      <c r="E95" s="130"/>
      <c r="F95" s="345">
        <v>9247.6343521534</v>
      </c>
      <c r="G95" s="345">
        <v>1.7132356284000001</v>
      </c>
      <c r="H95" s="130"/>
      <c r="I95" s="345">
        <v>5628.1191241750003</v>
      </c>
      <c r="J95" s="345">
        <v>1.3862716390000001</v>
      </c>
      <c r="K95" s="133"/>
      <c r="L95" s="345">
        <v>3977.6865137618001</v>
      </c>
      <c r="M95" s="345">
        <v>0.95231304729999999</v>
      </c>
      <c r="N95" s="130"/>
      <c r="O95" s="345">
        <v>3253.4848842158999</v>
      </c>
      <c r="P95" s="345">
        <v>0.82175943250000005</v>
      </c>
    </row>
    <row r="96" spans="1:16" ht="12.75" customHeight="1" x14ac:dyDescent="0.2">
      <c r="A96" s="128"/>
      <c r="B96" s="14" t="s">
        <v>47</v>
      </c>
      <c r="D96" s="136"/>
      <c r="E96" s="130"/>
      <c r="F96" s="345">
        <v>8376.6540933938995</v>
      </c>
      <c r="G96" s="345">
        <v>1.7426130042000001</v>
      </c>
      <c r="H96" s="130"/>
      <c r="I96" s="345">
        <v>5263.8256835111997</v>
      </c>
      <c r="J96" s="345">
        <v>1.2760428631</v>
      </c>
      <c r="K96" s="133"/>
      <c r="L96" s="345">
        <v>3663.0324009655001</v>
      </c>
      <c r="M96" s="345">
        <v>0.91514107980000003</v>
      </c>
      <c r="N96" s="130"/>
      <c r="O96" s="345">
        <v>5816.8141302229997</v>
      </c>
      <c r="P96" s="345">
        <v>1.3442200118000001</v>
      </c>
    </row>
    <row r="97" spans="1:16" ht="12.75" customHeight="1" x14ac:dyDescent="0.2">
      <c r="A97" s="128"/>
      <c r="B97" s="14" t="s">
        <v>48</v>
      </c>
      <c r="D97" s="136"/>
      <c r="E97" s="130"/>
      <c r="F97" s="345">
        <v>9996.5982978429001</v>
      </c>
      <c r="G97" s="345">
        <v>1.6166261447000001</v>
      </c>
      <c r="H97" s="130"/>
      <c r="I97" s="345">
        <v>4840.3400697888001</v>
      </c>
      <c r="J97" s="345">
        <v>1.2104829574</v>
      </c>
      <c r="K97" s="133"/>
      <c r="L97" s="345">
        <v>3693.3471215761001</v>
      </c>
      <c r="M97" s="345">
        <v>0.91337152210000006</v>
      </c>
      <c r="N97" s="130"/>
      <c r="O97" s="345">
        <v>3032.0242771602998</v>
      </c>
      <c r="P97" s="345">
        <v>0.79092197419999999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344">
        <v>36073.567298552101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345">
        <v>32207.283250248602</v>
      </c>
      <c r="G101" s="345">
        <v>1.7846176395</v>
      </c>
      <c r="H101" s="130"/>
      <c r="I101" s="345">
        <v>16979.405409661598</v>
      </c>
      <c r="J101" s="345">
        <v>1.4453687630000001</v>
      </c>
      <c r="K101" s="133"/>
      <c r="L101" s="345">
        <v>11729.564791213599</v>
      </c>
      <c r="M101" s="345">
        <v>1.0037184072000001</v>
      </c>
      <c r="N101" s="130"/>
      <c r="O101" s="345">
        <v>5982.0857532994996</v>
      </c>
      <c r="P101" s="345">
        <v>0.52574364689999997</v>
      </c>
    </row>
    <row r="102" spans="1:16" ht="12.75" customHeight="1" x14ac:dyDescent="0.2">
      <c r="A102" s="128"/>
      <c r="B102" s="14" t="s">
        <v>45</v>
      </c>
      <c r="D102" s="136"/>
      <c r="E102" s="130"/>
      <c r="F102" s="345">
        <v>30943.817839529998</v>
      </c>
      <c r="G102" s="345">
        <v>1.8814574074999999</v>
      </c>
      <c r="H102" s="130"/>
      <c r="I102" s="345">
        <v>21173.362779552499</v>
      </c>
      <c r="J102" s="345">
        <v>1.7151784155000001</v>
      </c>
      <c r="K102" s="133"/>
      <c r="L102" s="345">
        <v>11440.401282421</v>
      </c>
      <c r="M102" s="345">
        <v>0.99012229819999997</v>
      </c>
      <c r="N102" s="130"/>
      <c r="O102" s="345">
        <v>8458.5617660799999</v>
      </c>
      <c r="P102" s="345">
        <v>0.74925989540000004</v>
      </c>
    </row>
    <row r="103" spans="1:16" ht="12.75" customHeight="1" x14ac:dyDescent="0.2">
      <c r="A103" s="128"/>
      <c r="B103" s="14" t="s">
        <v>46</v>
      </c>
      <c r="D103" s="136"/>
      <c r="E103" s="130"/>
      <c r="F103" s="345">
        <v>28073.0115716373</v>
      </c>
      <c r="G103" s="345">
        <v>1.7958633168</v>
      </c>
      <c r="H103" s="130"/>
      <c r="I103" s="345">
        <v>16752.976244265901</v>
      </c>
      <c r="J103" s="345">
        <v>1.3682823066000001</v>
      </c>
      <c r="K103" s="133"/>
      <c r="L103" s="345">
        <v>17090.698200962299</v>
      </c>
      <c r="M103" s="345">
        <v>1.3888777524</v>
      </c>
      <c r="N103" s="130"/>
      <c r="O103" s="345">
        <v>9239.9971419829999</v>
      </c>
      <c r="P103" s="345">
        <v>0.79780426169999996</v>
      </c>
    </row>
    <row r="104" spans="1:16" ht="12.75" customHeight="1" x14ac:dyDescent="0.2">
      <c r="A104" s="128"/>
      <c r="B104" s="14" t="s">
        <v>47</v>
      </c>
      <c r="D104" s="136"/>
      <c r="E104" s="130"/>
      <c r="F104" s="345">
        <v>27140.290823673098</v>
      </c>
      <c r="G104" s="345">
        <v>1.7635514694000001</v>
      </c>
      <c r="H104" s="130"/>
      <c r="I104" s="345">
        <v>15556.3390124454</v>
      </c>
      <c r="J104" s="345">
        <v>1.2405183094000001</v>
      </c>
      <c r="K104" s="133"/>
      <c r="L104" s="345">
        <v>12301.504453338601</v>
      </c>
      <c r="M104" s="345">
        <v>1.0763712291</v>
      </c>
      <c r="N104" s="130"/>
      <c r="O104" s="345">
        <v>15008.923213382701</v>
      </c>
      <c r="P104" s="345">
        <v>1.1738271764999999</v>
      </c>
    </row>
    <row r="105" spans="1:16" ht="12.75" customHeight="1" x14ac:dyDescent="0.2">
      <c r="A105" s="128"/>
      <c r="B105" s="14" t="s">
        <v>48</v>
      </c>
      <c r="D105" s="136"/>
      <c r="E105" s="130"/>
      <c r="F105" s="345">
        <v>29624.2966229005</v>
      </c>
      <c r="G105" s="345">
        <v>1.9088433171999999</v>
      </c>
      <c r="H105" s="130"/>
      <c r="I105" s="345">
        <v>13969.813834877201</v>
      </c>
      <c r="J105" s="345">
        <v>1.1476956261</v>
      </c>
      <c r="K105" s="133"/>
      <c r="L105" s="345">
        <v>16206.3808461069</v>
      </c>
      <c r="M105" s="345">
        <v>1.3793017643000001</v>
      </c>
      <c r="N105" s="130"/>
      <c r="O105" s="345">
        <v>11381.5495798909</v>
      </c>
      <c r="P105" s="345">
        <v>0.91708429120000001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344">
        <v>23584.9612443695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345">
        <v>15461.399466200101</v>
      </c>
      <c r="G109" s="345">
        <v>1.6579201362</v>
      </c>
      <c r="H109" s="130"/>
      <c r="I109" s="345">
        <v>10725.7235313131</v>
      </c>
      <c r="J109" s="345">
        <v>1.3873736749000001</v>
      </c>
      <c r="K109" s="133"/>
      <c r="L109" s="345">
        <v>11534.7754820759</v>
      </c>
      <c r="M109" s="345">
        <v>1.3733429939999999</v>
      </c>
      <c r="N109" s="130"/>
      <c r="O109" s="345">
        <v>6039.9716565467997</v>
      </c>
      <c r="P109" s="345">
        <v>0.84434145179999998</v>
      </c>
    </row>
    <row r="110" spans="1:16" ht="12.75" customHeight="1" x14ac:dyDescent="0.2">
      <c r="A110" s="128"/>
      <c r="B110" s="14" t="s">
        <v>45</v>
      </c>
      <c r="D110" s="136"/>
      <c r="E110" s="130"/>
      <c r="F110" s="345">
        <v>14284.456242951999</v>
      </c>
      <c r="G110" s="345">
        <v>1.8084208842</v>
      </c>
      <c r="H110" s="130"/>
      <c r="I110" s="345">
        <v>10364.248845170599</v>
      </c>
      <c r="J110" s="345">
        <v>1.2814122295000001</v>
      </c>
      <c r="K110" s="133"/>
      <c r="L110" s="345">
        <v>9445.7540472004002</v>
      </c>
      <c r="M110" s="345">
        <v>1.218331007</v>
      </c>
      <c r="N110" s="130"/>
      <c r="O110" s="345">
        <v>14585.0057869057</v>
      </c>
      <c r="P110" s="345">
        <v>1.9011873457999999</v>
      </c>
    </row>
    <row r="111" spans="1:16" ht="12.75" customHeight="1" x14ac:dyDescent="0.2">
      <c r="A111" s="128"/>
      <c r="B111" s="14" t="s">
        <v>46</v>
      </c>
      <c r="D111" s="136"/>
      <c r="E111" s="130"/>
      <c r="F111" s="345">
        <v>11811.1304099478</v>
      </c>
      <c r="G111" s="345">
        <v>1.5031829226</v>
      </c>
      <c r="H111" s="130"/>
      <c r="I111" s="345">
        <v>9805.5399045920003</v>
      </c>
      <c r="J111" s="345">
        <v>1.2495487061999999</v>
      </c>
      <c r="K111" s="133"/>
      <c r="L111" s="345">
        <v>13305.811545258501</v>
      </c>
      <c r="M111" s="345">
        <v>1.5871306671000001</v>
      </c>
      <c r="N111" s="130"/>
      <c r="O111" s="345">
        <v>10740.8134565664</v>
      </c>
      <c r="P111" s="345">
        <v>1.3272436715</v>
      </c>
    </row>
    <row r="112" spans="1:16" ht="12.75" customHeight="1" x14ac:dyDescent="0.2">
      <c r="A112" s="128"/>
      <c r="B112" s="14" t="s">
        <v>47</v>
      </c>
      <c r="D112" s="136"/>
      <c r="E112" s="130"/>
      <c r="F112" s="345">
        <v>10641.8784837892</v>
      </c>
      <c r="G112" s="345">
        <v>1.4662029206</v>
      </c>
      <c r="H112" s="130"/>
      <c r="I112" s="345">
        <v>8224.6658776573004</v>
      </c>
      <c r="J112" s="345">
        <v>1.0846314792</v>
      </c>
      <c r="K112" s="133"/>
      <c r="L112" s="345">
        <v>8995.3324142647998</v>
      </c>
      <c r="M112" s="345">
        <v>1.1761423109</v>
      </c>
      <c r="N112" s="130"/>
      <c r="O112" s="345">
        <v>17978.271024600101</v>
      </c>
      <c r="P112" s="345">
        <v>1.8418916540000001</v>
      </c>
    </row>
    <row r="113" spans="1:16" ht="12.75" customHeight="1" x14ac:dyDescent="0.2">
      <c r="A113" s="128"/>
      <c r="B113" s="14" t="s">
        <v>48</v>
      </c>
      <c r="D113" s="136"/>
      <c r="E113" s="130"/>
      <c r="F113" s="345">
        <v>16767.674307462901</v>
      </c>
      <c r="G113" s="345">
        <v>1.7848082153</v>
      </c>
      <c r="H113" s="130"/>
      <c r="I113" s="345">
        <v>10918.3928894199</v>
      </c>
      <c r="J113" s="345">
        <v>1.288440781</v>
      </c>
      <c r="K113" s="133"/>
      <c r="L113" s="345">
        <v>9023.8498747002996</v>
      </c>
      <c r="M113" s="345">
        <v>1.2160299620999999</v>
      </c>
      <c r="N113" s="130"/>
      <c r="O113" s="345">
        <v>8336.606334434</v>
      </c>
      <c r="P113" s="345">
        <v>1.1747115148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344">
        <v>21482.932276223099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345">
        <v>15849.85141474</v>
      </c>
      <c r="G117" s="345">
        <v>1.8082846319999999</v>
      </c>
      <c r="H117" s="130"/>
      <c r="I117" s="345">
        <v>12524.6692396617</v>
      </c>
      <c r="J117" s="345">
        <v>1.5907678575999999</v>
      </c>
      <c r="K117" s="133"/>
      <c r="L117" s="345">
        <v>8141.2902692911002</v>
      </c>
      <c r="M117" s="345">
        <v>1.1000022330999999</v>
      </c>
      <c r="N117" s="130"/>
      <c r="O117" s="345">
        <v>4000.0844698660999</v>
      </c>
      <c r="P117" s="345">
        <v>0.59431975930000003</v>
      </c>
    </row>
    <row r="118" spans="1:16" ht="12.75" customHeight="1" x14ac:dyDescent="0.2">
      <c r="A118" s="128"/>
      <c r="B118" s="14" t="s">
        <v>45</v>
      </c>
      <c r="D118" s="136"/>
      <c r="E118" s="130"/>
      <c r="F118" s="345">
        <v>15850.783029906201</v>
      </c>
      <c r="G118" s="345">
        <v>1.7960210245999999</v>
      </c>
      <c r="H118" s="130"/>
      <c r="I118" s="345">
        <v>11285.637018989501</v>
      </c>
      <c r="J118" s="345">
        <v>1.4902873454000001</v>
      </c>
      <c r="K118" s="133"/>
      <c r="L118" s="345">
        <v>8656.3475001389997</v>
      </c>
      <c r="M118" s="345">
        <v>1.1622399001999999</v>
      </c>
      <c r="N118" s="130"/>
      <c r="O118" s="345">
        <v>6335.4889410651003</v>
      </c>
      <c r="P118" s="345">
        <v>0.92292627000000005</v>
      </c>
    </row>
    <row r="119" spans="1:16" ht="12.75" customHeight="1" x14ac:dyDescent="0.2">
      <c r="A119" s="128"/>
      <c r="B119" s="14" t="s">
        <v>46</v>
      </c>
      <c r="D119" s="136"/>
      <c r="E119" s="130"/>
      <c r="F119" s="345">
        <v>14682.1564728188</v>
      </c>
      <c r="G119" s="345">
        <v>1.692192886</v>
      </c>
      <c r="H119" s="130"/>
      <c r="I119" s="345">
        <v>10489.762779119499</v>
      </c>
      <c r="J119" s="345">
        <v>1.3145051564000001</v>
      </c>
      <c r="K119" s="133"/>
      <c r="L119" s="345">
        <v>10739.329270844</v>
      </c>
      <c r="M119" s="345">
        <v>1.456517386</v>
      </c>
      <c r="N119" s="130"/>
      <c r="O119" s="345">
        <v>6653.8431439019996</v>
      </c>
      <c r="P119" s="345">
        <v>0.98472378650000003</v>
      </c>
    </row>
    <row r="120" spans="1:16" ht="12.75" customHeight="1" x14ac:dyDescent="0.2">
      <c r="A120" s="128"/>
      <c r="B120" s="14" t="s">
        <v>47</v>
      </c>
      <c r="D120" s="136"/>
      <c r="E120" s="130"/>
      <c r="F120" s="345">
        <v>13729.2495442828</v>
      </c>
      <c r="G120" s="345">
        <v>1.5421203459999999</v>
      </c>
      <c r="H120" s="130"/>
      <c r="I120" s="345">
        <v>9958.3999609782004</v>
      </c>
      <c r="J120" s="345">
        <v>1.2776154693999999</v>
      </c>
      <c r="K120" s="133"/>
      <c r="L120" s="345">
        <v>8711.6857232301008</v>
      </c>
      <c r="M120" s="345">
        <v>1.2676797396999999</v>
      </c>
      <c r="N120" s="130"/>
      <c r="O120" s="345">
        <v>11033.9346348574</v>
      </c>
      <c r="P120" s="345">
        <v>1.5114999745</v>
      </c>
    </row>
    <row r="121" spans="1:16" ht="12.75" customHeight="1" x14ac:dyDescent="0.2">
      <c r="A121" s="128"/>
      <c r="B121" s="14" t="s">
        <v>48</v>
      </c>
      <c r="D121" s="136"/>
      <c r="E121" s="130"/>
      <c r="F121" s="345">
        <v>17428.367412041302</v>
      </c>
      <c r="G121" s="345">
        <v>1.9652857676</v>
      </c>
      <c r="H121" s="130"/>
      <c r="I121" s="345">
        <v>10637.6935262721</v>
      </c>
      <c r="J121" s="345">
        <v>1.4457084171000001</v>
      </c>
      <c r="K121" s="133"/>
      <c r="L121" s="345">
        <v>8049.2801138473997</v>
      </c>
      <c r="M121" s="345">
        <v>1.1153125695999999</v>
      </c>
      <c r="N121" s="130"/>
      <c r="O121" s="345">
        <v>8642.7377358008998</v>
      </c>
      <c r="P121" s="345">
        <v>1.2696410028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344">
        <v>46119.986599577402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345">
        <v>38161.581962704797</v>
      </c>
      <c r="G125" s="345">
        <v>2.0672222653999999</v>
      </c>
      <c r="H125" s="130"/>
      <c r="I125" s="345">
        <v>23719.114315705901</v>
      </c>
      <c r="J125" s="345">
        <v>1.646779035</v>
      </c>
      <c r="K125" s="133"/>
      <c r="L125" s="345">
        <v>20549.936181463399</v>
      </c>
      <c r="M125" s="345">
        <v>1.3816604098</v>
      </c>
      <c r="N125" s="130"/>
      <c r="O125" s="345">
        <v>8974.9097199831995</v>
      </c>
      <c r="P125" s="345">
        <v>0.67578836149999999</v>
      </c>
    </row>
    <row r="126" spans="1:16" ht="12.75" customHeight="1" x14ac:dyDescent="0.2">
      <c r="A126" s="128"/>
      <c r="B126" s="14" t="s">
        <v>45</v>
      </c>
      <c r="D126" s="136"/>
      <c r="E126" s="130"/>
      <c r="F126" s="345">
        <v>33204.786542776499</v>
      </c>
      <c r="G126" s="345">
        <v>1.8100639590000001</v>
      </c>
      <c r="H126" s="130"/>
      <c r="I126" s="345">
        <v>25554.457972287499</v>
      </c>
      <c r="J126" s="345">
        <v>1.6277822226000001</v>
      </c>
      <c r="K126" s="133"/>
      <c r="L126" s="345">
        <v>16869.919894538001</v>
      </c>
      <c r="M126" s="345">
        <v>1.1204671768000001</v>
      </c>
      <c r="N126" s="130"/>
      <c r="O126" s="345">
        <v>10221.0956329035</v>
      </c>
      <c r="P126" s="345">
        <v>0.75987343510000005</v>
      </c>
    </row>
    <row r="127" spans="1:16" ht="12.75" customHeight="1" x14ac:dyDescent="0.2">
      <c r="A127" s="128"/>
      <c r="B127" s="14" t="s">
        <v>46</v>
      </c>
      <c r="D127" s="136"/>
      <c r="E127" s="130"/>
      <c r="F127" s="345">
        <v>33908.943046542001</v>
      </c>
      <c r="G127" s="345">
        <v>1.8169743953999999</v>
      </c>
      <c r="H127" s="130"/>
      <c r="I127" s="345">
        <v>24767.039815241798</v>
      </c>
      <c r="J127" s="345">
        <v>1.7167534102999999</v>
      </c>
      <c r="K127" s="133"/>
      <c r="L127" s="345">
        <v>21493.281095741801</v>
      </c>
      <c r="M127" s="345">
        <v>1.4387587829999999</v>
      </c>
      <c r="N127" s="130"/>
      <c r="O127" s="345">
        <v>12376.077109612699</v>
      </c>
      <c r="P127" s="345">
        <v>0.91596634359999995</v>
      </c>
    </row>
    <row r="128" spans="1:16" ht="12.75" customHeight="1" x14ac:dyDescent="0.2">
      <c r="A128" s="128"/>
      <c r="B128" s="14" t="s">
        <v>47</v>
      </c>
      <c r="D128" s="136"/>
      <c r="E128" s="130"/>
      <c r="F128" s="345">
        <v>32371.196777746201</v>
      </c>
      <c r="G128" s="345">
        <v>1.8050262032</v>
      </c>
      <c r="H128" s="130"/>
      <c r="I128" s="345">
        <v>25476.1583908916</v>
      </c>
      <c r="J128" s="345">
        <v>1.6933855043999999</v>
      </c>
      <c r="K128" s="133"/>
      <c r="L128" s="345">
        <v>19576.442457659799</v>
      </c>
      <c r="M128" s="345">
        <v>1.3506466855999999</v>
      </c>
      <c r="N128" s="130"/>
      <c r="O128" s="345">
        <v>15786.8439755652</v>
      </c>
      <c r="P128" s="345">
        <v>1.1395264991</v>
      </c>
    </row>
    <row r="129" spans="1:16" ht="12.75" customHeight="1" x14ac:dyDescent="0.2">
      <c r="A129" s="128"/>
      <c r="B129" s="14" t="s">
        <v>48</v>
      </c>
      <c r="D129" s="136"/>
      <c r="E129" s="130"/>
      <c r="F129" s="345">
        <v>32134.608554787999</v>
      </c>
      <c r="G129" s="345">
        <v>1.8647545941999999</v>
      </c>
      <c r="H129" s="130"/>
      <c r="I129" s="345">
        <v>23941.470286184802</v>
      </c>
      <c r="J129" s="345">
        <v>1.5420177415</v>
      </c>
      <c r="K129" s="133"/>
      <c r="L129" s="345">
        <v>18817.951418516899</v>
      </c>
      <c r="M129" s="345">
        <v>1.2963105584000001</v>
      </c>
      <c r="N129" s="130"/>
      <c r="O129" s="345">
        <v>18356.313546824898</v>
      </c>
      <c r="P129" s="345">
        <v>1.3147425529000001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344">
        <v>131204.09246898501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345">
        <v>94719.935405292897</v>
      </c>
      <c r="G133" s="345">
        <v>1.9172450552</v>
      </c>
      <c r="H133" s="130"/>
      <c r="I133" s="345">
        <v>61737.008464486498</v>
      </c>
      <c r="J133" s="345">
        <v>1.6498222899999999</v>
      </c>
      <c r="K133" s="133"/>
      <c r="L133" s="345">
        <v>37317.213433145604</v>
      </c>
      <c r="M133" s="345">
        <v>1.1757914360999999</v>
      </c>
      <c r="N133" s="130"/>
      <c r="O133" s="345">
        <v>14823.6232520758</v>
      </c>
      <c r="P133" s="345">
        <v>0.50175989939999999</v>
      </c>
    </row>
    <row r="134" spans="1:16" ht="12.75" customHeight="1" x14ac:dyDescent="0.2">
      <c r="A134" s="128"/>
      <c r="B134" s="14" t="s">
        <v>45</v>
      </c>
      <c r="D134" s="136"/>
      <c r="E134" s="130"/>
      <c r="F134" s="345">
        <v>81480.877879996595</v>
      </c>
      <c r="G134" s="345">
        <v>1.6960371385999999</v>
      </c>
      <c r="H134" s="130"/>
      <c r="I134" s="345">
        <v>58891.428054295196</v>
      </c>
      <c r="J134" s="345">
        <v>1.5254186753000001</v>
      </c>
      <c r="K134" s="133"/>
      <c r="L134" s="345">
        <v>39531.132019102297</v>
      </c>
      <c r="M134" s="345">
        <v>1.1703884251000001</v>
      </c>
      <c r="N134" s="130"/>
      <c r="O134" s="345">
        <v>27280.189187460299</v>
      </c>
      <c r="P134" s="345">
        <v>0.88628619559999999</v>
      </c>
    </row>
    <row r="135" spans="1:16" ht="12.75" customHeight="1" x14ac:dyDescent="0.2">
      <c r="A135" s="128"/>
      <c r="B135" s="14" t="s">
        <v>46</v>
      </c>
      <c r="D135" s="136"/>
      <c r="E135" s="130"/>
      <c r="F135" s="345">
        <v>77262.582490413406</v>
      </c>
      <c r="G135" s="345">
        <v>1.8957490131000001</v>
      </c>
      <c r="H135" s="130"/>
      <c r="I135" s="345">
        <v>58210.068262209497</v>
      </c>
      <c r="J135" s="345">
        <v>1.3960939636</v>
      </c>
      <c r="K135" s="133"/>
      <c r="L135" s="345">
        <v>43105.9582304344</v>
      </c>
      <c r="M135" s="345">
        <v>1.2938836421</v>
      </c>
      <c r="N135" s="130"/>
      <c r="O135" s="345">
        <v>27634.837830948702</v>
      </c>
      <c r="P135" s="345">
        <v>0.81720071000000005</v>
      </c>
    </row>
    <row r="136" spans="1:16" ht="12.75" customHeight="1" x14ac:dyDescent="0.2">
      <c r="A136" s="128"/>
      <c r="B136" s="14" t="s">
        <v>47</v>
      </c>
      <c r="D136" s="136"/>
      <c r="E136" s="130"/>
      <c r="F136" s="345">
        <v>76216.894798989597</v>
      </c>
      <c r="G136" s="345">
        <v>1.9439940911</v>
      </c>
      <c r="H136" s="130"/>
      <c r="I136" s="345">
        <v>47049.102928881701</v>
      </c>
      <c r="J136" s="345">
        <v>1.4187158939</v>
      </c>
      <c r="K136" s="133"/>
      <c r="L136" s="345">
        <v>39804.745680163498</v>
      </c>
      <c r="M136" s="345">
        <v>1.1937930784999999</v>
      </c>
      <c r="N136" s="130"/>
      <c r="O136" s="345">
        <v>54638.422693214001</v>
      </c>
      <c r="P136" s="345">
        <v>1.5111073501000001</v>
      </c>
    </row>
    <row r="137" spans="1:16" ht="12.75" customHeight="1" x14ac:dyDescent="0.2">
      <c r="A137" s="128"/>
      <c r="B137" s="14" t="s">
        <v>48</v>
      </c>
      <c r="D137" s="136"/>
      <c r="E137" s="130"/>
      <c r="F137" s="345">
        <v>88402.314307108798</v>
      </c>
      <c r="G137" s="345">
        <v>1.9824436771</v>
      </c>
      <c r="H137" s="130"/>
      <c r="I137" s="345">
        <v>48454.970921255597</v>
      </c>
      <c r="J137" s="345">
        <v>1.3486000484</v>
      </c>
      <c r="K137" s="133"/>
      <c r="L137" s="345">
        <v>39688.579630735498</v>
      </c>
      <c r="M137" s="345">
        <v>1.2071792018</v>
      </c>
      <c r="N137" s="130"/>
      <c r="O137" s="345">
        <v>36782.737484355799</v>
      </c>
      <c r="P137" s="345">
        <v>1.0809850224999999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344">
        <v>34800.277328721597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345">
        <v>30113.826808602898</v>
      </c>
      <c r="G141" s="345">
        <v>1.9939170384</v>
      </c>
      <c r="H141" s="130"/>
      <c r="I141" s="345">
        <v>11865.1968185528</v>
      </c>
      <c r="J141" s="345">
        <v>1.3117495771000001</v>
      </c>
      <c r="K141" s="133"/>
      <c r="L141" s="345">
        <v>11568.5842431935</v>
      </c>
      <c r="M141" s="345">
        <v>1.2606786665</v>
      </c>
      <c r="N141" s="130"/>
      <c r="O141" s="345">
        <v>5438.5784785968999</v>
      </c>
      <c r="P141" s="345">
        <v>0.65444412610000002</v>
      </c>
    </row>
    <row r="142" spans="1:16" ht="12.75" customHeight="1" x14ac:dyDescent="0.2">
      <c r="A142" s="128"/>
      <c r="B142" s="14" t="s">
        <v>45</v>
      </c>
      <c r="D142" s="136"/>
      <c r="E142" s="130"/>
      <c r="F142" s="345">
        <v>27850.2719813527</v>
      </c>
      <c r="G142" s="345">
        <v>1.8547397512999999</v>
      </c>
      <c r="H142" s="130"/>
      <c r="I142" s="345">
        <v>11346.4218366486</v>
      </c>
      <c r="J142" s="345">
        <v>1.2762284966999999</v>
      </c>
      <c r="K142" s="133"/>
      <c r="L142" s="345">
        <v>10706.1406315151</v>
      </c>
      <c r="M142" s="345">
        <v>1.0971765814000001</v>
      </c>
      <c r="N142" s="130"/>
      <c r="O142" s="345">
        <v>8438.3076075927002</v>
      </c>
      <c r="P142" s="345">
        <v>0.99676562390000001</v>
      </c>
    </row>
    <row r="143" spans="1:16" ht="12.75" customHeight="1" x14ac:dyDescent="0.2">
      <c r="A143" s="128"/>
      <c r="B143" s="14" t="s">
        <v>46</v>
      </c>
      <c r="D143" s="136"/>
      <c r="E143" s="130"/>
      <c r="F143" s="345">
        <v>28262.045247346599</v>
      </c>
      <c r="G143" s="345">
        <v>2.0798950496000002</v>
      </c>
      <c r="H143" s="130"/>
      <c r="I143" s="345">
        <v>11485.128689650899</v>
      </c>
      <c r="J143" s="345">
        <v>1.3482266795</v>
      </c>
      <c r="K143" s="133"/>
      <c r="L143" s="345">
        <v>12028.354741962999</v>
      </c>
      <c r="M143" s="345">
        <v>1.2344762233</v>
      </c>
      <c r="N143" s="130"/>
      <c r="O143" s="345">
        <v>9320.4742586176999</v>
      </c>
      <c r="P143" s="345">
        <v>1.0697452245000001</v>
      </c>
    </row>
    <row r="144" spans="1:16" ht="12.75" customHeight="1" x14ac:dyDescent="0.2">
      <c r="A144" s="128"/>
      <c r="B144" s="14" t="s">
        <v>47</v>
      </c>
      <c r="D144" s="136"/>
      <c r="E144" s="130"/>
      <c r="F144" s="345">
        <v>26262.809595811701</v>
      </c>
      <c r="G144" s="345">
        <v>2.0773089179999999</v>
      </c>
      <c r="H144" s="130"/>
      <c r="I144" s="345">
        <v>10727.3054625061</v>
      </c>
      <c r="J144" s="345">
        <v>1.2410438606</v>
      </c>
      <c r="K144" s="133"/>
      <c r="L144" s="345">
        <v>10607.759441291801</v>
      </c>
      <c r="M144" s="345">
        <v>1.1292258198</v>
      </c>
      <c r="N144" s="130"/>
      <c r="O144" s="345">
        <v>16522.7113022755</v>
      </c>
      <c r="P144" s="345">
        <v>1.7924589406</v>
      </c>
    </row>
    <row r="145" spans="1:16" ht="12.75" customHeight="1" x14ac:dyDescent="0.2">
      <c r="A145" s="128"/>
      <c r="B145" s="14" t="s">
        <v>48</v>
      </c>
      <c r="D145" s="136"/>
      <c r="E145" s="130"/>
      <c r="F145" s="345">
        <v>27679.169629813401</v>
      </c>
      <c r="G145" s="345">
        <v>2.0976722212999999</v>
      </c>
      <c r="H145" s="130"/>
      <c r="I145" s="345">
        <v>12040.484358473501</v>
      </c>
      <c r="J145" s="345">
        <v>1.3347749243</v>
      </c>
      <c r="K145" s="133"/>
      <c r="L145" s="345">
        <v>10230.4885640097</v>
      </c>
      <c r="M145" s="345">
        <v>1.0831770703000001</v>
      </c>
      <c r="N145" s="130"/>
      <c r="O145" s="345">
        <v>13462.6979582357</v>
      </c>
      <c r="P145" s="345">
        <v>1.5337069023000001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344">
        <v>18361.487672503201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345">
        <v>13648.7933875586</v>
      </c>
      <c r="G149" s="345">
        <v>1.7360335712999999</v>
      </c>
      <c r="H149" s="130"/>
      <c r="I149" s="345">
        <v>6450.7169699366996</v>
      </c>
      <c r="J149" s="345">
        <v>1.1061170189</v>
      </c>
      <c r="K149" s="133"/>
      <c r="L149" s="345">
        <v>5043.4860344556</v>
      </c>
      <c r="M149" s="345">
        <v>1.1719792096999999</v>
      </c>
      <c r="N149" s="130"/>
      <c r="O149" s="345">
        <v>2311.9965575543001</v>
      </c>
      <c r="P149" s="345">
        <v>0.5994558982</v>
      </c>
    </row>
    <row r="150" spans="1:16" ht="12.75" customHeight="1" x14ac:dyDescent="0.2">
      <c r="A150" s="128"/>
      <c r="B150" s="14" t="s">
        <v>45</v>
      </c>
      <c r="D150" s="136"/>
      <c r="E150" s="130"/>
      <c r="F150" s="345">
        <v>13472.0765422366</v>
      </c>
      <c r="G150" s="345">
        <v>1.8734525701</v>
      </c>
      <c r="H150" s="130"/>
      <c r="I150" s="345">
        <v>8248.8414927401009</v>
      </c>
      <c r="J150" s="345">
        <v>1.524891676</v>
      </c>
      <c r="K150" s="133"/>
      <c r="L150" s="345">
        <v>4822.8734427560003</v>
      </c>
      <c r="M150" s="345">
        <v>1.2550117931</v>
      </c>
      <c r="N150" s="130"/>
      <c r="O150" s="345">
        <v>2602.6538862451998</v>
      </c>
      <c r="P150" s="345">
        <v>0.62552585819999995</v>
      </c>
    </row>
    <row r="151" spans="1:16" ht="12.75" customHeight="1" x14ac:dyDescent="0.2">
      <c r="A151" s="128"/>
      <c r="B151" s="14" t="s">
        <v>46</v>
      </c>
      <c r="D151" s="136"/>
      <c r="E151" s="130"/>
      <c r="F151" s="345">
        <v>12190.824335183601</v>
      </c>
      <c r="G151" s="345">
        <v>1.8338017729</v>
      </c>
      <c r="H151" s="130"/>
      <c r="I151" s="345">
        <v>7991.9741930089003</v>
      </c>
      <c r="J151" s="345">
        <v>1.4663549440999999</v>
      </c>
      <c r="K151" s="133"/>
      <c r="L151" s="345">
        <v>5582.9403575479</v>
      </c>
      <c r="M151" s="345">
        <v>1.4008738275999999</v>
      </c>
      <c r="N151" s="130"/>
      <c r="O151" s="345">
        <v>3746.1248255988999</v>
      </c>
      <c r="P151" s="345">
        <v>0.86543695229999995</v>
      </c>
    </row>
    <row r="152" spans="1:16" ht="12.75" customHeight="1" x14ac:dyDescent="0.2">
      <c r="A152" s="128"/>
      <c r="B152" s="14" t="s">
        <v>47</v>
      </c>
      <c r="D152" s="136"/>
      <c r="E152" s="130"/>
      <c r="F152" s="345">
        <v>11673.081208518999</v>
      </c>
      <c r="G152" s="345">
        <v>1.8538131683000001</v>
      </c>
      <c r="H152" s="130"/>
      <c r="I152" s="345">
        <v>6537.5434942865004</v>
      </c>
      <c r="J152" s="345">
        <v>1.2499785048000001</v>
      </c>
      <c r="K152" s="133"/>
      <c r="L152" s="345">
        <v>5950.5917560949001</v>
      </c>
      <c r="M152" s="345">
        <v>1.2526045231</v>
      </c>
      <c r="N152" s="130"/>
      <c r="O152" s="345">
        <v>5857.2903496913004</v>
      </c>
      <c r="P152" s="345">
        <v>1.4461897515</v>
      </c>
    </row>
    <row r="153" spans="1:16" ht="12.75" customHeight="1" x14ac:dyDescent="0.2">
      <c r="A153" s="128"/>
      <c r="B153" s="14" t="s">
        <v>48</v>
      </c>
      <c r="D153" s="136"/>
      <c r="E153" s="130"/>
      <c r="F153" s="345">
        <v>13587.232790607201</v>
      </c>
      <c r="G153" s="345">
        <v>1.9972262984</v>
      </c>
      <c r="H153" s="130"/>
      <c r="I153" s="345">
        <v>6047.7299145470997</v>
      </c>
      <c r="J153" s="345">
        <v>1.2139262484</v>
      </c>
      <c r="K153" s="133"/>
      <c r="L153" s="345">
        <v>5232.0829223893998</v>
      </c>
      <c r="M153" s="345">
        <v>1.1796038980000001</v>
      </c>
      <c r="N153" s="130"/>
      <c r="O153" s="345">
        <v>4746.1670059341996</v>
      </c>
      <c r="P153" s="345">
        <v>1.1388836143000001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344">
        <v>8434.7008783248002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345">
        <v>6398.7932593161004</v>
      </c>
      <c r="G157" s="345">
        <v>1.5770519187000001</v>
      </c>
      <c r="H157" s="130"/>
      <c r="I157" s="345">
        <v>3874.7892198053</v>
      </c>
      <c r="J157" s="345">
        <v>1.3120047041</v>
      </c>
      <c r="K157" s="133"/>
      <c r="L157" s="345">
        <v>2531.0928063388001</v>
      </c>
      <c r="M157" s="345">
        <v>0.90482052420000003</v>
      </c>
      <c r="N157" s="130"/>
      <c r="O157" s="345">
        <v>1032.4676643601999</v>
      </c>
      <c r="P157" s="345">
        <v>0.41445920609999998</v>
      </c>
    </row>
    <row r="158" spans="1:16" ht="12.75" customHeight="1" x14ac:dyDescent="0.2">
      <c r="A158" s="128"/>
      <c r="B158" s="14" t="s">
        <v>45</v>
      </c>
      <c r="D158" s="136"/>
      <c r="E158" s="130"/>
      <c r="F158" s="345">
        <v>6315.4949444389003</v>
      </c>
      <c r="G158" s="345">
        <v>1.7388868045999999</v>
      </c>
      <c r="H158" s="130"/>
      <c r="I158" s="345">
        <v>4266.8904588994001</v>
      </c>
      <c r="J158" s="345">
        <v>1.5006582079999999</v>
      </c>
      <c r="K158" s="133"/>
      <c r="L158" s="345">
        <v>2604.7310368365002</v>
      </c>
      <c r="M158" s="345">
        <v>0.92884876439999997</v>
      </c>
      <c r="N158" s="130"/>
      <c r="O158" s="345">
        <v>2464.7883779222998</v>
      </c>
      <c r="P158" s="345">
        <v>0.96723706480000005</v>
      </c>
    </row>
    <row r="159" spans="1:16" ht="12.75" customHeight="1" x14ac:dyDescent="0.2">
      <c r="A159" s="128"/>
      <c r="B159" s="14" t="s">
        <v>46</v>
      </c>
      <c r="D159" s="136"/>
      <c r="E159" s="130"/>
      <c r="F159" s="345">
        <v>6444.9255170020997</v>
      </c>
      <c r="G159" s="345">
        <v>1.8414576743</v>
      </c>
      <c r="H159" s="130"/>
      <c r="I159" s="345">
        <v>4203.6502958593001</v>
      </c>
      <c r="J159" s="345">
        <v>1.4965628391000001</v>
      </c>
      <c r="K159" s="133"/>
      <c r="L159" s="345">
        <v>3083.3343482283999</v>
      </c>
      <c r="M159" s="345">
        <v>1.1222251798</v>
      </c>
      <c r="N159" s="130"/>
      <c r="O159" s="345">
        <v>1980.2783001908001</v>
      </c>
      <c r="P159" s="345">
        <v>0.76021640310000005</v>
      </c>
    </row>
    <row r="160" spans="1:16" ht="12.75" customHeight="1" x14ac:dyDescent="0.2">
      <c r="A160" s="128"/>
      <c r="B160" s="14" t="s">
        <v>47</v>
      </c>
      <c r="D160" s="136"/>
      <c r="E160" s="130"/>
      <c r="F160" s="345">
        <v>6576.0404289708003</v>
      </c>
      <c r="G160" s="345">
        <v>2.1247147625</v>
      </c>
      <c r="H160" s="130"/>
      <c r="I160" s="345">
        <v>3945.0012869177999</v>
      </c>
      <c r="J160" s="345">
        <v>1.3526810922000001</v>
      </c>
      <c r="K160" s="133"/>
      <c r="L160" s="345">
        <v>2520.8481375755</v>
      </c>
      <c r="M160" s="345">
        <v>0.95789383579999998</v>
      </c>
      <c r="N160" s="130"/>
      <c r="O160" s="345">
        <v>4304.8121078749</v>
      </c>
      <c r="P160" s="345">
        <v>1.6096829988000001</v>
      </c>
    </row>
    <row r="161" spans="1:16" ht="12.75" customHeight="1" x14ac:dyDescent="0.2">
      <c r="A161" s="128"/>
      <c r="B161" s="14" t="s">
        <v>48</v>
      </c>
      <c r="D161" s="136"/>
      <c r="E161" s="130"/>
      <c r="F161" s="345">
        <v>7601.0429966584998</v>
      </c>
      <c r="G161" s="345">
        <v>2.0112440201999999</v>
      </c>
      <c r="H161" s="130"/>
      <c r="I161" s="345">
        <v>3619.7331319364998</v>
      </c>
      <c r="J161" s="345">
        <v>1.3007964991000001</v>
      </c>
      <c r="K161" s="133"/>
      <c r="L161" s="345">
        <v>2890.4406019213002</v>
      </c>
      <c r="M161" s="345">
        <v>1.1326109231999999</v>
      </c>
      <c r="N161" s="130"/>
      <c r="O161" s="345">
        <v>2185.6043650648999</v>
      </c>
      <c r="P161" s="345">
        <v>0.86765544439999998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344">
        <v>37074.547180637703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345">
        <v>29784.2419344558</v>
      </c>
      <c r="G165" s="345">
        <v>2.2632782598999999</v>
      </c>
      <c r="H165" s="130"/>
      <c r="I165" s="345">
        <v>17223.935453652</v>
      </c>
      <c r="J165" s="345">
        <v>1.3932463948</v>
      </c>
      <c r="K165" s="133"/>
      <c r="L165" s="345">
        <v>17776.185416739201</v>
      </c>
      <c r="M165" s="345">
        <v>1.3509297703000001</v>
      </c>
      <c r="N165" s="130"/>
      <c r="O165" s="345">
        <v>11723.267990709401</v>
      </c>
      <c r="P165" s="345">
        <v>0.94114128730000002</v>
      </c>
    </row>
    <row r="166" spans="1:16" ht="12.75" customHeight="1" x14ac:dyDescent="0.2">
      <c r="A166" s="128"/>
      <c r="B166" s="14" t="s">
        <v>45</v>
      </c>
      <c r="D166" s="136"/>
      <c r="E166" s="130"/>
      <c r="F166" s="345">
        <v>31269.044850713701</v>
      </c>
      <c r="G166" s="345">
        <v>2.1454315528999999</v>
      </c>
      <c r="H166" s="130"/>
      <c r="I166" s="345">
        <v>19275.291070503201</v>
      </c>
      <c r="J166" s="345">
        <v>1.5761783229999999</v>
      </c>
      <c r="K166" s="133"/>
      <c r="L166" s="345">
        <v>18051.4296917703</v>
      </c>
      <c r="M166" s="345">
        <v>1.3794520996999999</v>
      </c>
      <c r="N166" s="130"/>
      <c r="O166" s="345">
        <v>8422.5457906740994</v>
      </c>
      <c r="P166" s="345">
        <v>0.68569151699999997</v>
      </c>
    </row>
    <row r="167" spans="1:16" ht="12.75" customHeight="1" x14ac:dyDescent="0.2">
      <c r="A167" s="128"/>
      <c r="B167" s="14" t="s">
        <v>46</v>
      </c>
      <c r="D167" s="136"/>
      <c r="E167" s="130"/>
      <c r="F167" s="345">
        <v>29226.885196280698</v>
      </c>
      <c r="G167" s="345">
        <v>1.7180752783</v>
      </c>
      <c r="H167" s="130"/>
      <c r="I167" s="345">
        <v>17967.046532390101</v>
      </c>
      <c r="J167" s="345">
        <v>1.402319139</v>
      </c>
      <c r="K167" s="133"/>
      <c r="L167" s="345">
        <v>13529.894969454401</v>
      </c>
      <c r="M167" s="345">
        <v>1.0184791948</v>
      </c>
      <c r="N167" s="130"/>
      <c r="O167" s="345">
        <v>9899.2902180046003</v>
      </c>
      <c r="P167" s="345">
        <v>0.8244691381</v>
      </c>
    </row>
    <row r="168" spans="1:16" ht="12.75" customHeight="1" x14ac:dyDescent="0.2">
      <c r="A168" s="128"/>
      <c r="B168" s="14" t="s">
        <v>47</v>
      </c>
      <c r="D168" s="136"/>
      <c r="E168" s="130"/>
      <c r="F168" s="345">
        <v>28002.677261031698</v>
      </c>
      <c r="G168" s="345">
        <v>1.704735197</v>
      </c>
      <c r="H168" s="130"/>
      <c r="I168" s="345">
        <v>18733.6970166553</v>
      </c>
      <c r="J168" s="345">
        <v>1.4849946187</v>
      </c>
      <c r="K168" s="133"/>
      <c r="L168" s="345">
        <v>16021.7421555199</v>
      </c>
      <c r="M168" s="345">
        <v>1.2152821277999999</v>
      </c>
      <c r="N168" s="130"/>
      <c r="O168" s="345">
        <v>10469.720837237401</v>
      </c>
      <c r="P168" s="345">
        <v>0.8674673799</v>
      </c>
    </row>
    <row r="169" spans="1:16" ht="12.75" customHeight="1" x14ac:dyDescent="0.2">
      <c r="A169" s="128"/>
      <c r="B169" s="14" t="s">
        <v>48</v>
      </c>
      <c r="D169" s="136"/>
      <c r="E169" s="130"/>
      <c r="F169" s="345">
        <v>33389.765459729198</v>
      </c>
      <c r="G169" s="345">
        <v>1.8831108857000001</v>
      </c>
      <c r="H169" s="130"/>
      <c r="I169" s="345">
        <v>17016.557855484101</v>
      </c>
      <c r="J169" s="345">
        <v>1.4516308117000001</v>
      </c>
      <c r="K169" s="133"/>
      <c r="L169" s="345">
        <v>14699.794554586901</v>
      </c>
      <c r="M169" s="345">
        <v>1.13637612</v>
      </c>
      <c r="N169" s="130"/>
      <c r="O169" s="345">
        <v>13919.5203336385</v>
      </c>
      <c r="P169" s="345">
        <v>1.1643528869999999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344">
        <v>42547.144422326899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345">
        <v>24585.341025618502</v>
      </c>
      <c r="G173" s="345">
        <v>1.5463025132999999</v>
      </c>
      <c r="H173" s="130"/>
      <c r="I173" s="345">
        <v>17051.841034754201</v>
      </c>
      <c r="J173" s="345">
        <v>1.382320896</v>
      </c>
      <c r="K173" s="133"/>
      <c r="L173" s="345">
        <v>14003.672234715201</v>
      </c>
      <c r="M173" s="345">
        <v>1.3705532608</v>
      </c>
      <c r="N173" s="130"/>
      <c r="O173" s="345">
        <v>7139.9993228997</v>
      </c>
      <c r="P173" s="345">
        <v>0.70261847099999997</v>
      </c>
    </row>
    <row r="174" spans="1:16" ht="12.75" customHeight="1" x14ac:dyDescent="0.2">
      <c r="A174" s="128"/>
      <c r="B174" s="14" t="s">
        <v>45</v>
      </c>
      <c r="D174" s="136"/>
      <c r="E174" s="130"/>
      <c r="F174" s="345">
        <v>25036.193699989199</v>
      </c>
      <c r="G174" s="345">
        <v>1.8586673973000001</v>
      </c>
      <c r="H174" s="130"/>
      <c r="I174" s="345">
        <v>17112.337977076</v>
      </c>
      <c r="J174" s="345">
        <v>1.4313116181000001</v>
      </c>
      <c r="K174" s="133"/>
      <c r="L174" s="345">
        <v>14143.140619047301</v>
      </c>
      <c r="M174" s="345">
        <v>1.3848647999999999</v>
      </c>
      <c r="N174" s="130"/>
      <c r="O174" s="345">
        <v>11181.597542867499</v>
      </c>
      <c r="P174" s="345">
        <v>1.1098449967999999</v>
      </c>
    </row>
    <row r="175" spans="1:16" ht="12.75" customHeight="1" x14ac:dyDescent="0.2">
      <c r="A175" s="128"/>
      <c r="B175" s="14" t="s">
        <v>46</v>
      </c>
      <c r="D175" s="136"/>
      <c r="E175" s="130"/>
      <c r="F175" s="345">
        <v>22389.525019223001</v>
      </c>
      <c r="G175" s="345">
        <v>1.7694594124</v>
      </c>
      <c r="H175" s="130"/>
      <c r="I175" s="345">
        <v>13630.969338294</v>
      </c>
      <c r="J175" s="345">
        <v>1.3269097207</v>
      </c>
      <c r="K175" s="133"/>
      <c r="L175" s="345">
        <v>16332.316861412301</v>
      </c>
      <c r="M175" s="345">
        <v>1.3670464043999999</v>
      </c>
      <c r="N175" s="130"/>
      <c r="O175" s="345">
        <v>15174.291911029801</v>
      </c>
      <c r="P175" s="345">
        <v>1.3735336539</v>
      </c>
    </row>
    <row r="176" spans="1:16" ht="12.75" customHeight="1" x14ac:dyDescent="0.2">
      <c r="A176" s="128"/>
      <c r="B176" s="14" t="s">
        <v>47</v>
      </c>
      <c r="D176" s="136"/>
      <c r="E176" s="130"/>
      <c r="F176" s="345">
        <v>17857.295144881999</v>
      </c>
      <c r="G176" s="345">
        <v>1.6009713063</v>
      </c>
      <c r="H176" s="130"/>
      <c r="I176" s="345">
        <v>12601.714004852</v>
      </c>
      <c r="J176" s="345">
        <v>1.1149311521</v>
      </c>
      <c r="K176" s="133"/>
      <c r="L176" s="345">
        <v>15394.408438692901</v>
      </c>
      <c r="M176" s="345">
        <v>1.4832357808000001</v>
      </c>
      <c r="N176" s="130"/>
      <c r="O176" s="345">
        <v>26455.6669004625</v>
      </c>
      <c r="P176" s="345">
        <v>2.348679905</v>
      </c>
    </row>
    <row r="177" spans="1:16" ht="12.75" customHeight="1" x14ac:dyDescent="0.2">
      <c r="A177" s="128"/>
      <c r="B177" s="14" t="s">
        <v>48</v>
      </c>
      <c r="D177" s="136"/>
      <c r="E177" s="130"/>
      <c r="F177" s="345">
        <v>33178.549166826997</v>
      </c>
      <c r="G177" s="345">
        <v>2.4362052204000002</v>
      </c>
      <c r="H177" s="130"/>
      <c r="I177" s="345">
        <v>15383.040457049299</v>
      </c>
      <c r="J177" s="345">
        <v>1.5096336560000001</v>
      </c>
      <c r="K177" s="133"/>
      <c r="L177" s="345">
        <v>13962.908840911299</v>
      </c>
      <c r="M177" s="345">
        <v>1.3547724999999999</v>
      </c>
      <c r="N177" s="130"/>
      <c r="O177" s="345">
        <v>10786.355286317599</v>
      </c>
      <c r="P177" s="345">
        <v>1.1633422956999999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344">
        <v>46002.280336427299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345">
        <v>31156.8142416759</v>
      </c>
      <c r="G181" s="345">
        <v>1.8680706364999999</v>
      </c>
      <c r="H181" s="130"/>
      <c r="I181" s="345">
        <v>20813.3340912893</v>
      </c>
      <c r="J181" s="345">
        <v>1.4600161700000001</v>
      </c>
      <c r="K181" s="133"/>
      <c r="L181" s="345">
        <v>16507.886316808799</v>
      </c>
      <c r="M181" s="345">
        <v>1.1458192117999999</v>
      </c>
      <c r="N181" s="130"/>
      <c r="O181" s="345">
        <v>8767.1549254892998</v>
      </c>
      <c r="P181" s="345">
        <v>0.71143600549999997</v>
      </c>
    </row>
    <row r="182" spans="1:16" ht="12.75" customHeight="1" x14ac:dyDescent="0.2">
      <c r="A182" s="128"/>
      <c r="B182" s="14" t="s">
        <v>45</v>
      </c>
      <c r="D182" s="136"/>
      <c r="E182" s="130"/>
      <c r="F182" s="345">
        <v>28311.334064251601</v>
      </c>
      <c r="G182" s="345">
        <v>1.7404611867999999</v>
      </c>
      <c r="H182" s="130"/>
      <c r="I182" s="345">
        <v>20815.999505051299</v>
      </c>
      <c r="J182" s="345">
        <v>1.4302985804999999</v>
      </c>
      <c r="K182" s="133"/>
      <c r="L182" s="345">
        <v>20522.746357210199</v>
      </c>
      <c r="M182" s="345">
        <v>1.4898317335</v>
      </c>
      <c r="N182" s="130"/>
      <c r="O182" s="345">
        <v>11537.6948893756</v>
      </c>
      <c r="P182" s="345">
        <v>0.92973877299999996</v>
      </c>
    </row>
    <row r="183" spans="1:16" ht="12.75" customHeight="1" x14ac:dyDescent="0.2">
      <c r="A183" s="128"/>
      <c r="B183" s="14" t="s">
        <v>46</v>
      </c>
      <c r="D183" s="136"/>
      <c r="E183" s="130"/>
      <c r="F183" s="345">
        <v>28495.111371141898</v>
      </c>
      <c r="G183" s="345">
        <v>1.8957412699</v>
      </c>
      <c r="H183" s="130"/>
      <c r="I183" s="345">
        <v>21745.753995570802</v>
      </c>
      <c r="J183" s="345">
        <v>1.5114732874000001</v>
      </c>
      <c r="K183" s="133"/>
      <c r="L183" s="345">
        <v>19929.309813249401</v>
      </c>
      <c r="M183" s="345">
        <v>1.5192738393</v>
      </c>
      <c r="N183" s="130"/>
      <c r="O183" s="345">
        <v>13759.341765196399</v>
      </c>
      <c r="P183" s="345">
        <v>1.0134903649</v>
      </c>
    </row>
    <row r="184" spans="1:16" ht="12.75" customHeight="1" x14ac:dyDescent="0.2">
      <c r="A184" s="128"/>
      <c r="B184" s="14" t="s">
        <v>47</v>
      </c>
      <c r="D184" s="136"/>
      <c r="E184" s="130"/>
      <c r="F184" s="345">
        <v>26537.944907991401</v>
      </c>
      <c r="G184" s="345">
        <v>1.8347514916000001</v>
      </c>
      <c r="H184" s="130"/>
      <c r="I184" s="345">
        <v>17785.014050937101</v>
      </c>
      <c r="J184" s="345">
        <v>1.3074963283000001</v>
      </c>
      <c r="K184" s="133"/>
      <c r="L184" s="345">
        <v>13181.1035488899</v>
      </c>
      <c r="M184" s="345">
        <v>1.0646994597999999</v>
      </c>
      <c r="N184" s="130"/>
      <c r="O184" s="345">
        <v>30223.721570211001</v>
      </c>
      <c r="P184" s="345">
        <v>2.0876092812999998</v>
      </c>
    </row>
    <row r="185" spans="1:16" ht="12.75" customHeight="1" x14ac:dyDescent="0.2">
      <c r="A185" s="128"/>
      <c r="B185" s="14" t="s">
        <v>48</v>
      </c>
      <c r="D185" s="136"/>
      <c r="E185" s="130"/>
      <c r="F185" s="345">
        <v>27405.6325183792</v>
      </c>
      <c r="G185" s="345">
        <v>1.6520664434000001</v>
      </c>
      <c r="H185" s="130"/>
      <c r="I185" s="345">
        <v>20980.202778742201</v>
      </c>
      <c r="J185" s="345">
        <v>1.5051497497999999</v>
      </c>
      <c r="K185" s="133"/>
      <c r="L185" s="345">
        <v>17177.803170148301</v>
      </c>
      <c r="M185" s="345">
        <v>1.2750104931999999</v>
      </c>
      <c r="N185" s="130"/>
      <c r="O185" s="345">
        <v>19393.796623852399</v>
      </c>
      <c r="P185" s="345">
        <v>1.5304800186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344">
        <v>27228.768426438201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345">
        <v>16559.963043432999</v>
      </c>
      <c r="G189" s="345">
        <v>1.9789957687999999</v>
      </c>
      <c r="H189" s="130"/>
      <c r="I189" s="345">
        <v>10106.790041738001</v>
      </c>
      <c r="J189" s="345">
        <v>1.4890506757999999</v>
      </c>
      <c r="K189" s="133"/>
      <c r="L189" s="345">
        <v>8396.0222730387995</v>
      </c>
      <c r="M189" s="345">
        <v>1.4264521588000001</v>
      </c>
      <c r="N189" s="130"/>
      <c r="O189" s="345">
        <v>3702.6057589744</v>
      </c>
      <c r="P189" s="345">
        <v>0.70754413689999995</v>
      </c>
    </row>
    <row r="190" spans="1:16" ht="12.75" customHeight="1" x14ac:dyDescent="0.2">
      <c r="A190" s="128"/>
      <c r="B190" s="14" t="s">
        <v>45</v>
      </c>
      <c r="D190" s="136"/>
      <c r="E190" s="130"/>
      <c r="F190" s="345">
        <v>15282.225027549001</v>
      </c>
      <c r="G190" s="345">
        <v>2.1725315768</v>
      </c>
      <c r="H190" s="130"/>
      <c r="I190" s="345">
        <v>10668.514114036599</v>
      </c>
      <c r="J190" s="345">
        <v>1.4996559202999999</v>
      </c>
      <c r="K190" s="133"/>
      <c r="L190" s="345">
        <v>7312.1127392729004</v>
      </c>
      <c r="M190" s="345">
        <v>1.1988242276000001</v>
      </c>
      <c r="N190" s="130"/>
      <c r="O190" s="345">
        <v>7539.3392682640997</v>
      </c>
      <c r="P190" s="345">
        <v>1.4067079154</v>
      </c>
    </row>
    <row r="191" spans="1:16" ht="12.75" customHeight="1" x14ac:dyDescent="0.2">
      <c r="A191" s="128"/>
      <c r="B191" s="14" t="s">
        <v>46</v>
      </c>
      <c r="D191" s="136"/>
      <c r="E191" s="130"/>
      <c r="F191" s="345">
        <v>14750.049550862601</v>
      </c>
      <c r="G191" s="345">
        <v>2.2528703029999999</v>
      </c>
      <c r="H191" s="130"/>
      <c r="I191" s="345">
        <v>11855.455441555499</v>
      </c>
      <c r="J191" s="345">
        <v>1.7850345299000001</v>
      </c>
      <c r="K191" s="133"/>
      <c r="L191" s="345">
        <v>9575.1030783589995</v>
      </c>
      <c r="M191" s="345">
        <v>1.5324225680000001</v>
      </c>
      <c r="N191" s="130"/>
      <c r="O191" s="345">
        <v>5392.6468885200002</v>
      </c>
      <c r="P191" s="345">
        <v>0.97671153050000004</v>
      </c>
    </row>
    <row r="192" spans="1:16" ht="12.75" customHeight="1" x14ac:dyDescent="0.2">
      <c r="A192" s="128"/>
      <c r="B192" s="14" t="s">
        <v>47</v>
      </c>
      <c r="D192" s="136"/>
      <c r="E192" s="130"/>
      <c r="F192" s="345">
        <v>13956.549463187401</v>
      </c>
      <c r="G192" s="345">
        <v>2.4253777040000002</v>
      </c>
      <c r="H192" s="130"/>
      <c r="I192" s="345">
        <v>12444.828848474999</v>
      </c>
      <c r="J192" s="345">
        <v>2.2283523090999999</v>
      </c>
      <c r="K192" s="133"/>
      <c r="L192" s="345">
        <v>5190.8581817344002</v>
      </c>
      <c r="M192" s="345">
        <v>1.0111987922000001</v>
      </c>
      <c r="N192" s="130"/>
      <c r="O192" s="345">
        <v>16410.857201435199</v>
      </c>
      <c r="P192" s="345">
        <v>2.6818037232999998</v>
      </c>
    </row>
    <row r="193" spans="1:16" ht="12.75" customHeight="1" x14ac:dyDescent="0.2">
      <c r="A193" s="128"/>
      <c r="B193" s="14" t="s">
        <v>48</v>
      </c>
      <c r="D193" s="136"/>
      <c r="E193" s="130"/>
      <c r="F193" s="345">
        <v>16736.175947456599</v>
      </c>
      <c r="G193" s="345">
        <v>2.0231635576999998</v>
      </c>
      <c r="H193" s="130"/>
      <c r="I193" s="345">
        <v>8799.9979480802995</v>
      </c>
      <c r="J193" s="345">
        <v>1.3599670624</v>
      </c>
      <c r="K193" s="133"/>
      <c r="L193" s="345">
        <v>7220.0662221798002</v>
      </c>
      <c r="M193" s="345">
        <v>1.2446138215</v>
      </c>
      <c r="N193" s="130"/>
      <c r="O193" s="345">
        <v>6949.3908170434997</v>
      </c>
      <c r="P193" s="345">
        <v>1.2247234353000001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344">
        <v>16590.224099263702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345">
        <v>9281.8408946911004</v>
      </c>
      <c r="G197" s="345">
        <v>2.6055933779</v>
      </c>
      <c r="H197" s="130"/>
      <c r="I197" s="345">
        <v>8752.1949525689997</v>
      </c>
      <c r="J197" s="345">
        <v>1.8258001468</v>
      </c>
      <c r="K197" s="133"/>
      <c r="L197" s="345">
        <v>9606.2241665111997</v>
      </c>
      <c r="M197" s="345">
        <v>2.1451851211999999</v>
      </c>
      <c r="N197" s="130"/>
      <c r="O197" s="345">
        <v>2995.0357666955001</v>
      </c>
      <c r="P197" s="345">
        <v>0.8539985873</v>
      </c>
    </row>
    <row r="198" spans="1:16" ht="12.75" customHeight="1" x14ac:dyDescent="0.2">
      <c r="A198" s="128"/>
      <c r="B198" s="14" t="s">
        <v>45</v>
      </c>
      <c r="D198" s="136"/>
      <c r="E198" s="130"/>
      <c r="F198" s="345">
        <v>8439.1176128391999</v>
      </c>
      <c r="G198" s="345">
        <v>2.4330817556</v>
      </c>
      <c r="H198" s="130"/>
      <c r="I198" s="345">
        <v>9399.6374589722</v>
      </c>
      <c r="J198" s="345">
        <v>1.8536002145999999</v>
      </c>
      <c r="K198" s="133"/>
      <c r="L198" s="345">
        <v>8471.8914493868997</v>
      </c>
      <c r="M198" s="345">
        <v>1.8822168398000001</v>
      </c>
      <c r="N198" s="130"/>
      <c r="O198" s="345">
        <v>3682.8073123691001</v>
      </c>
      <c r="P198" s="345">
        <v>1.0085471814</v>
      </c>
    </row>
    <row r="199" spans="1:16" ht="12.75" customHeight="1" x14ac:dyDescent="0.2">
      <c r="A199" s="128"/>
      <c r="B199" s="14" t="s">
        <v>46</v>
      </c>
      <c r="D199" s="136"/>
      <c r="E199" s="130"/>
      <c r="F199" s="345">
        <v>8986.2895562407994</v>
      </c>
      <c r="G199" s="345">
        <v>2.5468798196</v>
      </c>
      <c r="H199" s="130"/>
      <c r="I199" s="345">
        <v>8265.4479612490995</v>
      </c>
      <c r="J199" s="345">
        <v>1.8307362617</v>
      </c>
      <c r="K199" s="133"/>
      <c r="L199" s="345">
        <v>8370.3514419227995</v>
      </c>
      <c r="M199" s="345">
        <v>1.6730238273</v>
      </c>
      <c r="N199" s="130"/>
      <c r="O199" s="345">
        <v>6007.2472765535003</v>
      </c>
      <c r="P199" s="345">
        <v>1.5759778187</v>
      </c>
    </row>
    <row r="200" spans="1:16" ht="12.75" customHeight="1" x14ac:dyDescent="0.2">
      <c r="A200" s="128"/>
      <c r="B200" s="14" t="s">
        <v>47</v>
      </c>
      <c r="D200" s="136"/>
      <c r="E200" s="130"/>
      <c r="F200" s="345">
        <v>9150.6821289049003</v>
      </c>
      <c r="G200" s="345">
        <v>2.5534508616</v>
      </c>
      <c r="H200" s="130"/>
      <c r="I200" s="345">
        <v>8262.0900845051001</v>
      </c>
      <c r="J200" s="345">
        <v>1.8712194317999999</v>
      </c>
      <c r="K200" s="133"/>
      <c r="L200" s="345">
        <v>9336.7555407426007</v>
      </c>
      <c r="M200" s="345">
        <v>2.0941349033000001</v>
      </c>
      <c r="N200" s="130"/>
      <c r="O200" s="345">
        <v>7496.6337343026998</v>
      </c>
      <c r="P200" s="345">
        <v>2.1264735052999999</v>
      </c>
    </row>
    <row r="201" spans="1:16" ht="12.75" customHeight="1" x14ac:dyDescent="0.2">
      <c r="A201" s="128"/>
      <c r="B201" s="14" t="s">
        <v>48</v>
      </c>
      <c r="D201" s="136"/>
      <c r="E201" s="130"/>
      <c r="F201" s="345">
        <v>8295.9623373851991</v>
      </c>
      <c r="G201" s="345">
        <v>2.6980682523000001</v>
      </c>
      <c r="H201" s="130"/>
      <c r="I201" s="345">
        <v>5902.7330849768996</v>
      </c>
      <c r="J201" s="345">
        <v>1.5434173876999999</v>
      </c>
      <c r="K201" s="133"/>
      <c r="L201" s="345">
        <v>9545.1107734257002</v>
      </c>
      <c r="M201" s="345">
        <v>2.2740325657999998</v>
      </c>
      <c r="N201" s="130"/>
      <c r="O201" s="345">
        <v>9340.4763504950006</v>
      </c>
      <c r="P201" s="345">
        <v>2.2406337230000002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344">
        <v>14882.082672734099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345">
        <v>13662.0857124264</v>
      </c>
      <c r="G205" s="345">
        <v>1.8462635386999999</v>
      </c>
      <c r="H205" s="130"/>
      <c r="I205" s="345">
        <v>8055.4957003533</v>
      </c>
      <c r="J205" s="345">
        <v>1.3334220054999999</v>
      </c>
      <c r="K205" s="133"/>
      <c r="L205" s="345">
        <v>7699.1077870270001</v>
      </c>
      <c r="M205" s="345">
        <v>1.2721286082000001</v>
      </c>
      <c r="N205" s="130"/>
      <c r="O205" s="345">
        <v>2775.8989258557999</v>
      </c>
      <c r="P205" s="345">
        <v>0.4749864097</v>
      </c>
    </row>
    <row r="206" spans="1:16" ht="12.75" customHeight="1" x14ac:dyDescent="0.2">
      <c r="A206" s="128"/>
      <c r="B206" s="14" t="s">
        <v>45</v>
      </c>
      <c r="D206" s="136"/>
      <c r="E206" s="130"/>
      <c r="F206" s="345">
        <v>13864.568511654599</v>
      </c>
      <c r="G206" s="345">
        <v>1.9590192588999999</v>
      </c>
      <c r="H206" s="130"/>
      <c r="I206" s="345">
        <v>7997.0231639488002</v>
      </c>
      <c r="J206" s="345">
        <v>1.3473178395000001</v>
      </c>
      <c r="K206" s="133"/>
      <c r="L206" s="345">
        <v>7586.2976602003</v>
      </c>
      <c r="M206" s="345">
        <v>1.2397389031999999</v>
      </c>
      <c r="N206" s="130"/>
      <c r="O206" s="345">
        <v>4833.178974556</v>
      </c>
      <c r="P206" s="345">
        <v>0.8223658801</v>
      </c>
    </row>
    <row r="207" spans="1:16" ht="12.75" customHeight="1" x14ac:dyDescent="0.2">
      <c r="A207" s="128"/>
      <c r="B207" s="14" t="s">
        <v>46</v>
      </c>
      <c r="D207" s="136"/>
      <c r="E207" s="130"/>
      <c r="F207" s="345">
        <v>13046.6955781336</v>
      </c>
      <c r="G207" s="345">
        <v>1.8452670035000001</v>
      </c>
      <c r="H207" s="130"/>
      <c r="I207" s="345">
        <v>7526.2203983748996</v>
      </c>
      <c r="J207" s="345">
        <v>1.3343200207000001</v>
      </c>
      <c r="K207" s="133"/>
      <c r="L207" s="345">
        <v>8783.5609190031992</v>
      </c>
      <c r="M207" s="345">
        <v>1.3829974502</v>
      </c>
      <c r="N207" s="130"/>
      <c r="O207" s="345">
        <v>4847.2233387812003</v>
      </c>
      <c r="P207" s="345">
        <v>0.81534922489999995</v>
      </c>
    </row>
    <row r="208" spans="1:16" ht="12.75" customHeight="1" x14ac:dyDescent="0.2">
      <c r="A208" s="128"/>
      <c r="B208" s="14" t="s">
        <v>47</v>
      </c>
      <c r="D208" s="136"/>
      <c r="E208" s="130"/>
      <c r="F208" s="345">
        <v>12261.620609507499</v>
      </c>
      <c r="G208" s="345">
        <v>1.6864770437000001</v>
      </c>
      <c r="H208" s="130"/>
      <c r="I208" s="345">
        <v>7384.4981038646001</v>
      </c>
      <c r="J208" s="345">
        <v>1.2189387207</v>
      </c>
      <c r="K208" s="133"/>
      <c r="L208" s="345">
        <v>6074.9907770087002</v>
      </c>
      <c r="M208" s="345">
        <v>0.99585468700000002</v>
      </c>
      <c r="N208" s="130"/>
      <c r="O208" s="345">
        <v>8423.5373037961999</v>
      </c>
      <c r="P208" s="345">
        <v>1.4156521598</v>
      </c>
    </row>
    <row r="209" spans="1:16" ht="12.75" customHeight="1" x14ac:dyDescent="0.2">
      <c r="A209" s="128"/>
      <c r="B209" s="14" t="s">
        <v>48</v>
      </c>
      <c r="D209" s="136"/>
      <c r="E209" s="130"/>
      <c r="F209" s="345">
        <v>13284.478995904899</v>
      </c>
      <c r="G209" s="345">
        <v>1.7291528519999999</v>
      </c>
      <c r="H209" s="130"/>
      <c r="I209" s="345">
        <v>7112.8959923898001</v>
      </c>
      <c r="J209" s="345">
        <v>1.1749165329</v>
      </c>
      <c r="K209" s="133"/>
      <c r="L209" s="345">
        <v>6456.1008286756996</v>
      </c>
      <c r="M209" s="345">
        <v>1.0631605656000001</v>
      </c>
      <c r="N209" s="130"/>
      <c r="O209" s="345">
        <v>4819.3165562250997</v>
      </c>
      <c r="P209" s="345">
        <v>0.82046683819999999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344">
        <v>17697.139692004599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345">
        <v>14197.188580280899</v>
      </c>
      <c r="G213" s="345">
        <v>1.6703179476000001</v>
      </c>
      <c r="H213" s="130"/>
      <c r="I213" s="345">
        <v>10027.979194215701</v>
      </c>
      <c r="J213" s="345">
        <v>1.3216067991</v>
      </c>
      <c r="K213" s="133"/>
      <c r="L213" s="345">
        <v>8576.1429694258004</v>
      </c>
      <c r="M213" s="345">
        <v>1.2262859556000001</v>
      </c>
      <c r="N213" s="130"/>
      <c r="O213" s="345">
        <v>4699.3010038804996</v>
      </c>
      <c r="P213" s="345">
        <v>0.70088394580000002</v>
      </c>
    </row>
    <row r="214" spans="1:16" ht="12.75" customHeight="1" x14ac:dyDescent="0.2">
      <c r="A214" s="128"/>
      <c r="B214" s="14" t="s">
        <v>45</v>
      </c>
      <c r="D214" s="136"/>
      <c r="E214" s="130"/>
      <c r="F214" s="345">
        <v>15391.887906837001</v>
      </c>
      <c r="G214" s="345">
        <v>1.8921337701000001</v>
      </c>
      <c r="H214" s="130"/>
      <c r="I214" s="345">
        <v>10717.4511270844</v>
      </c>
      <c r="J214" s="345">
        <v>1.4644618457</v>
      </c>
      <c r="K214" s="133"/>
      <c r="L214" s="345">
        <v>9158.2297083381</v>
      </c>
      <c r="M214" s="345">
        <v>1.2849467509000001</v>
      </c>
      <c r="N214" s="130"/>
      <c r="O214" s="345">
        <v>5806.6656387712001</v>
      </c>
      <c r="P214" s="345">
        <v>0.88803106440000001</v>
      </c>
    </row>
    <row r="215" spans="1:16" ht="12.75" customHeight="1" x14ac:dyDescent="0.2">
      <c r="A215" s="128"/>
      <c r="B215" s="14" t="s">
        <v>46</v>
      </c>
      <c r="D215" s="136"/>
      <c r="E215" s="130"/>
      <c r="F215" s="345">
        <v>14027.907786377</v>
      </c>
      <c r="G215" s="345">
        <v>1.7377339243000001</v>
      </c>
      <c r="H215" s="130"/>
      <c r="I215" s="345">
        <v>10500.109993067501</v>
      </c>
      <c r="J215" s="345">
        <v>1.4389794706000001</v>
      </c>
      <c r="K215" s="133"/>
      <c r="L215" s="345">
        <v>10275.575498675</v>
      </c>
      <c r="M215" s="345">
        <v>1.4442053108999999</v>
      </c>
      <c r="N215" s="130"/>
      <c r="O215" s="345">
        <v>6037.6324795148003</v>
      </c>
      <c r="P215" s="345">
        <v>0.90259941499999996</v>
      </c>
    </row>
    <row r="216" spans="1:16" ht="12.75" customHeight="1" x14ac:dyDescent="0.2">
      <c r="A216" s="128"/>
      <c r="B216" s="14" t="s">
        <v>47</v>
      </c>
      <c r="D216" s="136"/>
      <c r="E216" s="130"/>
      <c r="F216" s="345">
        <v>13149.0263064301</v>
      </c>
      <c r="G216" s="345">
        <v>1.6546510074</v>
      </c>
      <c r="H216" s="130"/>
      <c r="I216" s="345">
        <v>10328.769776928601</v>
      </c>
      <c r="J216" s="345">
        <v>1.3803478549999999</v>
      </c>
      <c r="K216" s="133"/>
      <c r="L216" s="345">
        <v>8947.2894814272004</v>
      </c>
      <c r="M216" s="345">
        <v>1.2576018228000001</v>
      </c>
      <c r="N216" s="130"/>
      <c r="O216" s="345">
        <v>8756.7278077866995</v>
      </c>
      <c r="P216" s="345">
        <v>1.2989975823</v>
      </c>
    </row>
    <row r="217" spans="1:16" ht="12.75" customHeight="1" x14ac:dyDescent="0.2">
      <c r="A217" s="128"/>
      <c r="B217" s="14" t="s">
        <v>48</v>
      </c>
      <c r="D217" s="136"/>
      <c r="E217" s="130"/>
      <c r="F217" s="345">
        <v>14166.193125669801</v>
      </c>
      <c r="G217" s="345">
        <v>1.7058267104</v>
      </c>
      <c r="H217" s="130"/>
      <c r="I217" s="345">
        <v>10860.096263351001</v>
      </c>
      <c r="J217" s="345">
        <v>1.3964507679</v>
      </c>
      <c r="K217" s="133"/>
      <c r="L217" s="345">
        <v>7942.1925067809998</v>
      </c>
      <c r="M217" s="345">
        <v>1.176184989</v>
      </c>
      <c r="N217" s="130"/>
      <c r="O217" s="345">
        <v>5713.5326426235997</v>
      </c>
      <c r="P217" s="345">
        <v>0.84895623539999998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344">
        <v>20296.342988481301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345">
        <v>15345.0204602294</v>
      </c>
      <c r="G221" s="345">
        <v>1.9516057710000001</v>
      </c>
      <c r="H221" s="130"/>
      <c r="I221" s="345">
        <v>9238.0551806447002</v>
      </c>
      <c r="J221" s="345">
        <v>1.4176230264</v>
      </c>
      <c r="K221" s="133"/>
      <c r="L221" s="345">
        <v>9374.8270844465005</v>
      </c>
      <c r="M221" s="345">
        <v>1.3273016926000001</v>
      </c>
      <c r="N221" s="130"/>
      <c r="O221" s="345">
        <v>6821.1922694496998</v>
      </c>
      <c r="P221" s="345">
        <v>1.0097576183999999</v>
      </c>
    </row>
    <row r="222" spans="1:16" ht="12.75" customHeight="1" x14ac:dyDescent="0.2">
      <c r="A222" s="128"/>
      <c r="B222" s="14" t="s">
        <v>45</v>
      </c>
      <c r="D222" s="136"/>
      <c r="E222" s="130"/>
      <c r="F222" s="345">
        <v>14458.6521870953</v>
      </c>
      <c r="G222" s="345">
        <v>1.9394537395</v>
      </c>
      <c r="H222" s="130"/>
      <c r="I222" s="345">
        <v>10023.2046869851</v>
      </c>
      <c r="J222" s="345">
        <v>1.2918795959</v>
      </c>
      <c r="K222" s="133"/>
      <c r="L222" s="345">
        <v>8400.4324559518991</v>
      </c>
      <c r="M222" s="345">
        <v>1.2325604307</v>
      </c>
      <c r="N222" s="130"/>
      <c r="O222" s="345">
        <v>7078.6838509093004</v>
      </c>
      <c r="P222" s="345">
        <v>1.049923613</v>
      </c>
    </row>
    <row r="223" spans="1:16" ht="12.75" customHeight="1" x14ac:dyDescent="0.2">
      <c r="A223" s="128"/>
      <c r="B223" s="14" t="s">
        <v>46</v>
      </c>
      <c r="D223" s="136"/>
      <c r="E223" s="130"/>
      <c r="F223" s="345">
        <v>14030.118720021401</v>
      </c>
      <c r="G223" s="345">
        <v>1.920992824</v>
      </c>
      <c r="H223" s="130"/>
      <c r="I223" s="345">
        <v>11003.69427914</v>
      </c>
      <c r="J223" s="345">
        <v>1.472212772</v>
      </c>
      <c r="K223" s="133"/>
      <c r="L223" s="345">
        <v>9014.2274216933001</v>
      </c>
      <c r="M223" s="345">
        <v>1.2510399476</v>
      </c>
      <c r="N223" s="130"/>
      <c r="O223" s="345">
        <v>6171.3420091844</v>
      </c>
      <c r="P223" s="345">
        <v>0.9302377704</v>
      </c>
    </row>
    <row r="224" spans="1:16" ht="12.75" customHeight="1" x14ac:dyDescent="0.2">
      <c r="A224" s="128"/>
      <c r="B224" s="14" t="s">
        <v>47</v>
      </c>
      <c r="D224" s="136"/>
      <c r="E224" s="130"/>
      <c r="F224" s="345">
        <v>13561.2495644398</v>
      </c>
      <c r="G224" s="345">
        <v>1.8998569987</v>
      </c>
      <c r="H224" s="130"/>
      <c r="I224" s="345">
        <v>10322.246649984299</v>
      </c>
      <c r="J224" s="345">
        <v>1.4037032860000001</v>
      </c>
      <c r="K224" s="133"/>
      <c r="L224" s="345">
        <v>8668.3242934215996</v>
      </c>
      <c r="M224" s="345">
        <v>1.2202183997</v>
      </c>
      <c r="N224" s="130"/>
      <c r="O224" s="345">
        <v>9772.1846836137993</v>
      </c>
      <c r="P224" s="345">
        <v>1.457387816</v>
      </c>
    </row>
    <row r="225" spans="1:16" ht="12.75" customHeight="1" x14ac:dyDescent="0.2">
      <c r="A225" s="128"/>
      <c r="B225" s="14" t="s">
        <v>48</v>
      </c>
      <c r="D225" s="136"/>
      <c r="E225" s="130"/>
      <c r="F225" s="345">
        <v>15532.0702331836</v>
      </c>
      <c r="G225" s="345">
        <v>2.0062130297</v>
      </c>
      <c r="H225" s="130"/>
      <c r="I225" s="345">
        <v>10643.753377087</v>
      </c>
      <c r="J225" s="345">
        <v>1.5330654661000001</v>
      </c>
      <c r="K225" s="133"/>
      <c r="L225" s="345">
        <v>6443.4149495656002</v>
      </c>
      <c r="M225" s="345">
        <v>0.96275981600000005</v>
      </c>
      <c r="N225" s="130"/>
      <c r="O225" s="345">
        <v>8266.3333395144</v>
      </c>
      <c r="P225" s="345">
        <v>1.2186559275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344">
        <v>20074.553062652802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345">
        <v>10392.891585085799</v>
      </c>
      <c r="G229" s="345">
        <v>1.3361639944000001</v>
      </c>
      <c r="H229" s="130"/>
      <c r="I229" s="345">
        <v>8907.8574416324009</v>
      </c>
      <c r="J229" s="345">
        <v>1.3933322704</v>
      </c>
      <c r="K229" s="133"/>
      <c r="L229" s="345">
        <v>8263.3092532827995</v>
      </c>
      <c r="M229" s="345">
        <v>1.2979177989999999</v>
      </c>
      <c r="N229" s="130"/>
      <c r="O229" s="345">
        <v>4884.6231893872</v>
      </c>
      <c r="P229" s="345">
        <v>0.83870629919999995</v>
      </c>
    </row>
    <row r="230" spans="1:16" ht="12.75" customHeight="1" x14ac:dyDescent="0.2">
      <c r="A230" s="128"/>
      <c r="B230" s="14" t="s">
        <v>45</v>
      </c>
      <c r="D230" s="136"/>
      <c r="E230" s="130"/>
      <c r="F230" s="345">
        <v>10247.497732780501</v>
      </c>
      <c r="G230" s="345">
        <v>1.4782180031000001</v>
      </c>
      <c r="H230" s="130"/>
      <c r="I230" s="345">
        <v>8606.6866140083002</v>
      </c>
      <c r="J230" s="345">
        <v>1.4165155196999999</v>
      </c>
      <c r="K230" s="133"/>
      <c r="L230" s="345">
        <v>7709.1431663643998</v>
      </c>
      <c r="M230" s="345">
        <v>1.169148047</v>
      </c>
      <c r="N230" s="130"/>
      <c r="O230" s="345">
        <v>7163.1082500922003</v>
      </c>
      <c r="P230" s="345">
        <v>1.1708033839</v>
      </c>
    </row>
    <row r="231" spans="1:16" ht="12.75" customHeight="1" x14ac:dyDescent="0.2">
      <c r="A231" s="128"/>
      <c r="B231" s="14" t="s">
        <v>46</v>
      </c>
      <c r="D231" s="136"/>
      <c r="E231" s="130"/>
      <c r="F231" s="345">
        <v>9561.9419628565993</v>
      </c>
      <c r="G231" s="345">
        <v>1.4654425877999999</v>
      </c>
      <c r="H231" s="130"/>
      <c r="I231" s="345">
        <v>8104.2133595071</v>
      </c>
      <c r="J231" s="345">
        <v>1.3195986246</v>
      </c>
      <c r="K231" s="133"/>
      <c r="L231" s="345">
        <v>8778.0837208742996</v>
      </c>
      <c r="M231" s="345">
        <v>1.3001338730000001</v>
      </c>
      <c r="N231" s="130"/>
      <c r="O231" s="345">
        <v>7213.5632052579003</v>
      </c>
      <c r="P231" s="345">
        <v>1.1290112319000001</v>
      </c>
    </row>
    <row r="232" spans="1:16" ht="12.75" customHeight="1" x14ac:dyDescent="0.2">
      <c r="A232" s="128"/>
      <c r="B232" s="14" t="s">
        <v>47</v>
      </c>
      <c r="D232" s="136"/>
      <c r="E232" s="130"/>
      <c r="F232" s="345">
        <v>9266.7922597526995</v>
      </c>
      <c r="G232" s="345">
        <v>1.3594356958</v>
      </c>
      <c r="H232" s="130"/>
      <c r="I232" s="345">
        <v>8776.7361041159002</v>
      </c>
      <c r="J232" s="345">
        <v>1.2328569007000001</v>
      </c>
      <c r="K232" s="133"/>
      <c r="L232" s="345">
        <v>8329.8783425184993</v>
      </c>
      <c r="M232" s="345">
        <v>1.260948988</v>
      </c>
      <c r="N232" s="130"/>
      <c r="O232" s="345">
        <v>6529.6515346469996</v>
      </c>
      <c r="P232" s="345">
        <v>1.1337939908000001</v>
      </c>
    </row>
    <row r="233" spans="1:16" ht="12.75" customHeight="1" x14ac:dyDescent="0.2">
      <c r="A233" s="128"/>
      <c r="B233" s="14" t="s">
        <v>48</v>
      </c>
      <c r="D233" s="136"/>
      <c r="E233" s="130"/>
      <c r="F233" s="345">
        <v>12944.9717064091</v>
      </c>
      <c r="G233" s="345">
        <v>1.7038653484999999</v>
      </c>
      <c r="H233" s="130"/>
      <c r="I233" s="345">
        <v>7925.0838376351003</v>
      </c>
      <c r="J233" s="345">
        <v>1.2444071811999999</v>
      </c>
      <c r="K233" s="133"/>
      <c r="L233" s="345">
        <v>7007.0801681529001</v>
      </c>
      <c r="M233" s="345">
        <v>1.2301890932999999</v>
      </c>
      <c r="N233" s="130"/>
      <c r="O233" s="345">
        <v>6329.6475184428</v>
      </c>
      <c r="P233" s="345">
        <v>1.077030524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344">
        <v>18931.826991932499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345">
        <v>17421.9752552563</v>
      </c>
      <c r="G237" s="345">
        <v>1.9163378521000001</v>
      </c>
      <c r="H237" s="130"/>
      <c r="I237" s="345">
        <v>10325.697652180999</v>
      </c>
      <c r="J237" s="345">
        <v>1.3218970249999999</v>
      </c>
      <c r="K237" s="133"/>
      <c r="L237" s="345">
        <v>9149.2897637120004</v>
      </c>
      <c r="M237" s="345">
        <v>1.2394121566</v>
      </c>
      <c r="N237" s="130"/>
      <c r="O237" s="345">
        <v>5300.5141733259998</v>
      </c>
      <c r="P237" s="345">
        <v>0.7235462185</v>
      </c>
    </row>
    <row r="238" spans="1:16" ht="12.75" customHeight="1" x14ac:dyDescent="0.2">
      <c r="A238" s="128"/>
      <c r="B238" s="14" t="s">
        <v>45</v>
      </c>
      <c r="D238" s="136"/>
      <c r="E238" s="130"/>
      <c r="F238" s="345">
        <v>16144.326706486499</v>
      </c>
      <c r="G238" s="345">
        <v>1.8215642205</v>
      </c>
      <c r="H238" s="130"/>
      <c r="I238" s="345">
        <v>11255.6028316055</v>
      </c>
      <c r="J238" s="345">
        <v>1.4066215433</v>
      </c>
      <c r="K238" s="133"/>
      <c r="L238" s="345">
        <v>9142.7915586465006</v>
      </c>
      <c r="M238" s="345">
        <v>1.2318024140999999</v>
      </c>
      <c r="N238" s="130"/>
      <c r="O238" s="345">
        <v>6165.0333938152999</v>
      </c>
      <c r="P238" s="345">
        <v>0.83978923979999998</v>
      </c>
    </row>
    <row r="239" spans="1:16" ht="12.75" customHeight="1" x14ac:dyDescent="0.2">
      <c r="A239" s="128"/>
      <c r="B239" s="14" t="s">
        <v>46</v>
      </c>
      <c r="D239" s="136"/>
      <c r="E239" s="130"/>
      <c r="F239" s="345">
        <v>15374.400422009099</v>
      </c>
      <c r="G239" s="345">
        <v>1.8203796487999999</v>
      </c>
      <c r="H239" s="130"/>
      <c r="I239" s="345">
        <v>11031.800975903399</v>
      </c>
      <c r="J239" s="345">
        <v>1.3934086091</v>
      </c>
      <c r="K239" s="133"/>
      <c r="L239" s="345">
        <v>9680.1242619267996</v>
      </c>
      <c r="M239" s="345">
        <v>1.2397307436</v>
      </c>
      <c r="N239" s="130"/>
      <c r="O239" s="345">
        <v>7671.1483507059002</v>
      </c>
      <c r="P239" s="345">
        <v>1.0469147128</v>
      </c>
    </row>
    <row r="240" spans="1:16" ht="12.75" customHeight="1" x14ac:dyDescent="0.2">
      <c r="A240" s="128"/>
      <c r="B240" s="14" t="s">
        <v>47</v>
      </c>
      <c r="D240" s="136"/>
      <c r="E240" s="130"/>
      <c r="F240" s="345">
        <v>15109.175817404801</v>
      </c>
      <c r="G240" s="345">
        <v>1.8704750212000001</v>
      </c>
      <c r="H240" s="130"/>
      <c r="I240" s="345">
        <v>11429.6185714453</v>
      </c>
      <c r="J240" s="345">
        <v>1.3867518836999999</v>
      </c>
      <c r="K240" s="133"/>
      <c r="L240" s="345">
        <v>9125.4889130491993</v>
      </c>
      <c r="M240" s="345">
        <v>1.2602764309000001</v>
      </c>
      <c r="N240" s="130"/>
      <c r="O240" s="345">
        <v>10574.1925127465</v>
      </c>
      <c r="P240" s="345">
        <v>1.3836771585000001</v>
      </c>
    </row>
    <row r="241" spans="1:16" ht="12.75" customHeight="1" x14ac:dyDescent="0.2">
      <c r="A241" s="128"/>
      <c r="B241" s="14" t="s">
        <v>48</v>
      </c>
      <c r="D241" s="136"/>
      <c r="E241" s="130"/>
      <c r="F241" s="345">
        <v>16428.773660834198</v>
      </c>
      <c r="G241" s="345">
        <v>1.7859498707000001</v>
      </c>
      <c r="H241" s="130"/>
      <c r="I241" s="345">
        <v>10838.6610724235</v>
      </c>
      <c r="J241" s="345">
        <v>1.3466873315000001</v>
      </c>
      <c r="K241" s="133"/>
      <c r="L241" s="345">
        <v>8483.8275727874006</v>
      </c>
      <c r="M241" s="345">
        <v>1.1644500595</v>
      </c>
      <c r="N241" s="130"/>
      <c r="O241" s="345">
        <v>7868.7082860369001</v>
      </c>
      <c r="P241" s="345">
        <v>1.0944705719000001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344">
        <v>7742.5499765431996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345">
        <v>5137.7166102766996</v>
      </c>
      <c r="G245" s="345">
        <v>1.5551838933</v>
      </c>
      <c r="H245" s="130"/>
      <c r="I245" s="345">
        <v>4151.1136299242999</v>
      </c>
      <c r="J245" s="345">
        <v>1.3444624639</v>
      </c>
      <c r="K245" s="133"/>
      <c r="L245" s="345">
        <v>2825.1856451754002</v>
      </c>
      <c r="M245" s="345">
        <v>0.95036375920000005</v>
      </c>
      <c r="N245" s="130"/>
      <c r="O245" s="345">
        <v>1350.6392515110001</v>
      </c>
      <c r="P245" s="345">
        <v>0.53026923690000005</v>
      </c>
    </row>
    <row r="246" spans="1:16" ht="12.75" customHeight="1" x14ac:dyDescent="0.2">
      <c r="A246" s="128"/>
      <c r="B246" s="14" t="s">
        <v>45</v>
      </c>
      <c r="D246" s="136"/>
      <c r="E246" s="130"/>
      <c r="F246" s="345">
        <v>5203.4407117558003</v>
      </c>
      <c r="G246" s="345">
        <v>1.5590460259000001</v>
      </c>
      <c r="H246" s="130"/>
      <c r="I246" s="345">
        <v>4336.2711354014</v>
      </c>
      <c r="J246" s="345">
        <v>1.4174118953999999</v>
      </c>
      <c r="K246" s="133"/>
      <c r="L246" s="345">
        <v>3445.7055686171002</v>
      </c>
      <c r="M246" s="345">
        <v>1.1949254906</v>
      </c>
      <c r="N246" s="130"/>
      <c r="O246" s="345">
        <v>1832.6796765346</v>
      </c>
      <c r="P246" s="345">
        <v>0.75519283250000002</v>
      </c>
    </row>
    <row r="247" spans="1:16" ht="12.75" customHeight="1" x14ac:dyDescent="0.2">
      <c r="A247" s="128"/>
      <c r="B247" s="14" t="s">
        <v>46</v>
      </c>
      <c r="D247" s="136"/>
      <c r="E247" s="130"/>
      <c r="F247" s="345">
        <v>4573.5107674366</v>
      </c>
      <c r="G247" s="345">
        <v>1.418377749</v>
      </c>
      <c r="H247" s="130"/>
      <c r="I247" s="345">
        <v>4445.2977098655001</v>
      </c>
      <c r="J247" s="345">
        <v>1.4302296929</v>
      </c>
      <c r="K247" s="133"/>
      <c r="L247" s="345">
        <v>3368.9453330962001</v>
      </c>
      <c r="M247" s="345">
        <v>1.1178437823</v>
      </c>
      <c r="N247" s="130"/>
      <c r="O247" s="345">
        <v>1586.101892246</v>
      </c>
      <c r="P247" s="345">
        <v>0.63717417249999997</v>
      </c>
    </row>
    <row r="248" spans="1:16" ht="12.75" customHeight="1" x14ac:dyDescent="0.2">
      <c r="A248" s="128"/>
      <c r="B248" s="14" t="s">
        <v>47</v>
      </c>
      <c r="D248" s="136"/>
      <c r="E248" s="130"/>
      <c r="F248" s="345">
        <v>4471.3772288576001</v>
      </c>
      <c r="G248" s="345">
        <v>1.4663744132000001</v>
      </c>
      <c r="H248" s="130"/>
      <c r="I248" s="345">
        <v>3836.0144950317999</v>
      </c>
      <c r="J248" s="345">
        <v>1.4100627421</v>
      </c>
      <c r="K248" s="133"/>
      <c r="L248" s="345">
        <v>3091.7142193171999</v>
      </c>
      <c r="M248" s="345">
        <v>1.0553535005000001</v>
      </c>
      <c r="N248" s="130"/>
      <c r="O248" s="345">
        <v>4130.5230188502001</v>
      </c>
      <c r="P248" s="345">
        <v>1.4788635019</v>
      </c>
    </row>
    <row r="249" spans="1:16" ht="12.75" customHeight="1" x14ac:dyDescent="0.2">
      <c r="A249" s="128"/>
      <c r="B249" s="14" t="s">
        <v>48</v>
      </c>
      <c r="D249" s="136"/>
      <c r="E249" s="130"/>
      <c r="F249" s="345">
        <v>5271.3383600236002</v>
      </c>
      <c r="G249" s="345">
        <v>1.6643182906</v>
      </c>
      <c r="H249" s="130"/>
      <c r="I249" s="345">
        <v>4135.6404133309998</v>
      </c>
      <c r="J249" s="345">
        <v>1.4188414739999999</v>
      </c>
      <c r="K249" s="133"/>
      <c r="L249" s="345">
        <v>3070.7214310971999</v>
      </c>
      <c r="M249" s="345">
        <v>1.0055262346</v>
      </c>
      <c r="N249" s="130"/>
      <c r="O249" s="345">
        <v>2610.5460790100001</v>
      </c>
      <c r="P249" s="345">
        <v>1.0603265792000001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344">
        <v>62857.6709122908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345">
        <v>39097.797330639398</v>
      </c>
      <c r="G253" s="345">
        <v>1.6675074314</v>
      </c>
      <c r="H253" s="130"/>
      <c r="I253" s="345">
        <v>29820.701493579101</v>
      </c>
      <c r="J253" s="345">
        <v>1.2761006813</v>
      </c>
      <c r="K253" s="133"/>
      <c r="L253" s="345">
        <v>21987.366820375999</v>
      </c>
      <c r="M253" s="345">
        <v>1.2170602156000001</v>
      </c>
      <c r="N253" s="130"/>
      <c r="O253" s="345">
        <v>17376.756960064798</v>
      </c>
      <c r="P253" s="345">
        <v>0.9967583444</v>
      </c>
    </row>
    <row r="254" spans="1:16" ht="12.75" customHeight="1" x14ac:dyDescent="0.2">
      <c r="A254" s="128"/>
      <c r="B254" s="14" t="s">
        <v>45</v>
      </c>
      <c r="D254" s="136"/>
      <c r="E254" s="130"/>
      <c r="F254" s="345">
        <v>40147.692222371697</v>
      </c>
      <c r="G254" s="345">
        <v>1.7275629572</v>
      </c>
      <c r="H254" s="130"/>
      <c r="I254" s="345">
        <v>30119.496091838198</v>
      </c>
      <c r="J254" s="345">
        <v>1.5317537689</v>
      </c>
      <c r="K254" s="133"/>
      <c r="L254" s="345">
        <v>26448.063767826799</v>
      </c>
      <c r="M254" s="345">
        <v>1.3847678256</v>
      </c>
      <c r="N254" s="130"/>
      <c r="O254" s="345">
        <v>20026.067415872101</v>
      </c>
      <c r="P254" s="345">
        <v>1.1464729415999999</v>
      </c>
    </row>
    <row r="255" spans="1:16" ht="12.75" customHeight="1" x14ac:dyDescent="0.2">
      <c r="A255" s="128"/>
      <c r="B255" s="14" t="s">
        <v>46</v>
      </c>
      <c r="D255" s="136"/>
      <c r="E255" s="130"/>
      <c r="F255" s="345">
        <v>35218.0852261693</v>
      </c>
      <c r="G255" s="345">
        <v>1.6454980854000001</v>
      </c>
      <c r="H255" s="130"/>
      <c r="I255" s="345">
        <v>30174.0327025185</v>
      </c>
      <c r="J255" s="345">
        <v>1.3977559332</v>
      </c>
      <c r="K255" s="133"/>
      <c r="L255" s="345">
        <v>25130.8491596354</v>
      </c>
      <c r="M255" s="345">
        <v>1.2784494314999999</v>
      </c>
      <c r="N255" s="130"/>
      <c r="O255" s="345">
        <v>23981.920674611101</v>
      </c>
      <c r="P255" s="345">
        <v>1.3488157848</v>
      </c>
    </row>
    <row r="256" spans="1:16" ht="12.75" customHeight="1" x14ac:dyDescent="0.2">
      <c r="A256" s="128"/>
      <c r="B256" s="14" t="s">
        <v>47</v>
      </c>
      <c r="D256" s="136"/>
      <c r="E256" s="130"/>
      <c r="F256" s="345">
        <v>33592.119828467999</v>
      </c>
      <c r="G256" s="345">
        <v>1.6614221682999999</v>
      </c>
      <c r="H256" s="130"/>
      <c r="I256" s="345">
        <v>26756.0295237836</v>
      </c>
      <c r="J256" s="345">
        <v>1.3925022189</v>
      </c>
      <c r="K256" s="133"/>
      <c r="L256" s="345">
        <v>21340.906782590999</v>
      </c>
      <c r="M256" s="345">
        <v>1.1460578737</v>
      </c>
      <c r="N256" s="130"/>
      <c r="O256" s="345">
        <v>39261.530325664702</v>
      </c>
      <c r="P256" s="345">
        <v>2.0204786494000002</v>
      </c>
    </row>
    <row r="257" spans="1:16" ht="12.75" customHeight="1" x14ac:dyDescent="0.2">
      <c r="A257" s="128"/>
      <c r="B257" s="14" t="s">
        <v>48</v>
      </c>
      <c r="D257" s="136"/>
      <c r="E257" s="130"/>
      <c r="F257" s="345">
        <v>49231.268432189303</v>
      </c>
      <c r="G257" s="345">
        <v>2.0599982452000001</v>
      </c>
      <c r="H257" s="130"/>
      <c r="I257" s="345">
        <v>23165.898239304599</v>
      </c>
      <c r="J257" s="345">
        <v>1.2041359482</v>
      </c>
      <c r="K257" s="133"/>
      <c r="L257" s="345">
        <v>18982.001121685</v>
      </c>
      <c r="M257" s="345">
        <v>1.0808084472999999</v>
      </c>
      <c r="N257" s="130"/>
      <c r="O257" s="345">
        <v>20956.484797744099</v>
      </c>
      <c r="P257" s="345">
        <v>1.1248928441999999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344">
        <v>19576.847036778501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345">
        <v>12947.0381000542</v>
      </c>
      <c r="G261" s="345">
        <v>1.8585904180999999</v>
      </c>
      <c r="H261" s="130"/>
      <c r="I261" s="345">
        <v>9636.4229012937994</v>
      </c>
      <c r="J261" s="345">
        <v>1.4587463295</v>
      </c>
      <c r="K261" s="133"/>
      <c r="L261" s="345">
        <v>6749.4900915458002</v>
      </c>
      <c r="M261" s="345">
        <v>1.1590139238999999</v>
      </c>
      <c r="N261" s="130"/>
      <c r="O261" s="345">
        <v>3356.5631964226</v>
      </c>
      <c r="P261" s="345">
        <v>0.63182505010000001</v>
      </c>
    </row>
    <row r="262" spans="1:16" ht="12.75" customHeight="1" x14ac:dyDescent="0.2">
      <c r="A262" s="128"/>
      <c r="B262" s="14" t="s">
        <v>45</v>
      </c>
      <c r="D262" s="136"/>
      <c r="E262" s="130"/>
      <c r="F262" s="345">
        <v>12044.959979883401</v>
      </c>
      <c r="G262" s="345">
        <v>1.8116931222999999</v>
      </c>
      <c r="H262" s="130"/>
      <c r="I262" s="345">
        <v>9079.4778105498008</v>
      </c>
      <c r="J262" s="345">
        <v>1.4388726025</v>
      </c>
      <c r="K262" s="133"/>
      <c r="L262" s="345">
        <v>6580.4716797929996</v>
      </c>
      <c r="M262" s="345">
        <v>1.1322428087</v>
      </c>
      <c r="N262" s="130"/>
      <c r="O262" s="345">
        <v>5769.6445433033005</v>
      </c>
      <c r="P262" s="345">
        <v>0.99115424490000004</v>
      </c>
    </row>
    <row r="263" spans="1:16" ht="12.75" customHeight="1" x14ac:dyDescent="0.2">
      <c r="A263" s="128"/>
      <c r="B263" s="14" t="s">
        <v>46</v>
      </c>
      <c r="D263" s="136"/>
      <c r="E263" s="130"/>
      <c r="F263" s="345">
        <v>11252.3743375582</v>
      </c>
      <c r="G263" s="345">
        <v>1.8879425232</v>
      </c>
      <c r="H263" s="130"/>
      <c r="I263" s="345">
        <v>8176.5225185571999</v>
      </c>
      <c r="J263" s="345">
        <v>1.2740164414999999</v>
      </c>
      <c r="K263" s="133"/>
      <c r="L263" s="345">
        <v>7466.4739199987998</v>
      </c>
      <c r="M263" s="345">
        <v>1.2694612716</v>
      </c>
      <c r="N263" s="130"/>
      <c r="O263" s="345">
        <v>7741.4926379040999</v>
      </c>
      <c r="P263" s="345">
        <v>1.2428996789</v>
      </c>
    </row>
    <row r="264" spans="1:16" ht="12.75" customHeight="1" x14ac:dyDescent="0.2">
      <c r="A264" s="128"/>
      <c r="B264" s="14" t="s">
        <v>47</v>
      </c>
      <c r="D264" s="136"/>
      <c r="E264" s="130"/>
      <c r="F264" s="345">
        <v>10134.003010918999</v>
      </c>
      <c r="G264" s="345">
        <v>1.6800887794999999</v>
      </c>
      <c r="H264" s="130"/>
      <c r="I264" s="345">
        <v>8031.8247592581001</v>
      </c>
      <c r="J264" s="345">
        <v>1.2747590853999999</v>
      </c>
      <c r="K264" s="133"/>
      <c r="L264" s="345">
        <v>5267.6783041181998</v>
      </c>
      <c r="M264" s="345">
        <v>1.0209984190000001</v>
      </c>
      <c r="N264" s="130"/>
      <c r="O264" s="345">
        <v>10609.519389749699</v>
      </c>
      <c r="P264" s="345">
        <v>1.5716987355000001</v>
      </c>
    </row>
    <row r="265" spans="1:16" ht="12.75" customHeight="1" x14ac:dyDescent="0.2">
      <c r="A265" s="128"/>
      <c r="B265" s="14" t="s">
        <v>48</v>
      </c>
      <c r="D265" s="136"/>
      <c r="E265" s="130"/>
      <c r="F265" s="345">
        <v>15399.8063453783</v>
      </c>
      <c r="G265" s="345">
        <v>1.965540101</v>
      </c>
      <c r="H265" s="130"/>
      <c r="I265" s="345">
        <v>7936.1656530739001</v>
      </c>
      <c r="J265" s="345">
        <v>1.2661962789000001</v>
      </c>
      <c r="K265" s="133"/>
      <c r="L265" s="345">
        <v>4876.9793244085004</v>
      </c>
      <c r="M265" s="345">
        <v>0.91795133279999996</v>
      </c>
      <c r="N265" s="130"/>
      <c r="O265" s="345">
        <v>4567.0744569424996</v>
      </c>
      <c r="P265" s="345">
        <v>0.85263881770000005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344">
        <v>13538.356008209001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345">
        <v>10929.411045588</v>
      </c>
      <c r="G269" s="345">
        <v>1.8632938129000001</v>
      </c>
      <c r="H269" s="130"/>
      <c r="I269" s="345">
        <v>5399.1505916290998</v>
      </c>
      <c r="J269" s="345">
        <v>1.4147374712</v>
      </c>
      <c r="K269" s="133"/>
      <c r="L269" s="345">
        <v>3747.7899422546998</v>
      </c>
      <c r="M269" s="345">
        <v>1.0791567389000001</v>
      </c>
      <c r="N269" s="130"/>
      <c r="O269" s="345">
        <v>1512.1666231449999</v>
      </c>
      <c r="P269" s="345">
        <v>0.4652101877</v>
      </c>
    </row>
    <row r="270" spans="1:16" ht="12.75" customHeight="1" x14ac:dyDescent="0.2">
      <c r="A270" s="128"/>
      <c r="B270" s="14" t="s">
        <v>45</v>
      </c>
      <c r="D270" s="136"/>
      <c r="E270" s="130"/>
      <c r="F270" s="345">
        <v>10783.953248358201</v>
      </c>
      <c r="G270" s="345">
        <v>2.0992071528</v>
      </c>
      <c r="H270" s="130"/>
      <c r="I270" s="345">
        <v>6093.9145332859998</v>
      </c>
      <c r="J270" s="345">
        <v>1.6787161152000001</v>
      </c>
      <c r="K270" s="133"/>
      <c r="L270" s="345">
        <v>3824.5085890531</v>
      </c>
      <c r="M270" s="345">
        <v>1.0925630324</v>
      </c>
      <c r="N270" s="130"/>
      <c r="O270" s="345">
        <v>2564.9378375763999</v>
      </c>
      <c r="P270" s="345">
        <v>0.74375667430000003</v>
      </c>
    </row>
    <row r="271" spans="1:16" ht="12.75" customHeight="1" x14ac:dyDescent="0.2">
      <c r="A271" s="128"/>
      <c r="B271" s="14" t="s">
        <v>46</v>
      </c>
      <c r="D271" s="136"/>
      <c r="E271" s="130"/>
      <c r="F271" s="345">
        <v>10056.846126324401</v>
      </c>
      <c r="G271" s="345">
        <v>1.8056122154000001</v>
      </c>
      <c r="H271" s="130"/>
      <c r="I271" s="345">
        <v>5400.7368164039999</v>
      </c>
      <c r="J271" s="345">
        <v>1.3706268359</v>
      </c>
      <c r="K271" s="133"/>
      <c r="L271" s="345">
        <v>4059.4780353413998</v>
      </c>
      <c r="M271" s="345">
        <v>1.1926595985999999</v>
      </c>
      <c r="N271" s="130"/>
      <c r="O271" s="345">
        <v>2318.3632421051998</v>
      </c>
      <c r="P271" s="345">
        <v>0.66318015119999996</v>
      </c>
    </row>
    <row r="272" spans="1:16" ht="12.75" customHeight="1" x14ac:dyDescent="0.2">
      <c r="A272" s="128"/>
      <c r="B272" s="14" t="s">
        <v>47</v>
      </c>
      <c r="D272" s="136"/>
      <c r="E272" s="130"/>
      <c r="F272" s="345">
        <v>8223.7105321882991</v>
      </c>
      <c r="G272" s="345">
        <v>1.7441020612</v>
      </c>
      <c r="H272" s="130"/>
      <c r="I272" s="345">
        <v>5053.2144039087998</v>
      </c>
      <c r="J272" s="345">
        <v>1.3444724392</v>
      </c>
      <c r="K272" s="133"/>
      <c r="L272" s="345">
        <v>4215.2398523624997</v>
      </c>
      <c r="M272" s="345">
        <v>1.1600643185999999</v>
      </c>
      <c r="N272" s="130"/>
      <c r="O272" s="345">
        <v>5793.8920951485998</v>
      </c>
      <c r="P272" s="345">
        <v>1.5058217657999999</v>
      </c>
    </row>
    <row r="273" spans="1:16" ht="12.75" customHeight="1" x14ac:dyDescent="0.2">
      <c r="A273" s="128"/>
      <c r="B273" s="14" t="s">
        <v>48</v>
      </c>
      <c r="D273" s="136"/>
      <c r="E273" s="130"/>
      <c r="F273" s="345">
        <v>10935.5328045971</v>
      </c>
      <c r="G273" s="345">
        <v>2.0211423370000001</v>
      </c>
      <c r="H273" s="130"/>
      <c r="I273" s="345">
        <v>5647.6842811740999</v>
      </c>
      <c r="J273" s="345">
        <v>1.5573288052000001</v>
      </c>
      <c r="K273" s="133"/>
      <c r="L273" s="345">
        <v>3378.6556935269</v>
      </c>
      <c r="M273" s="345">
        <v>1.0149911799</v>
      </c>
      <c r="N273" s="130"/>
      <c r="O273" s="345">
        <v>3860.3696072722</v>
      </c>
      <c r="P273" s="345">
        <v>1.1219208377000001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ht="12.75" customHeight="1" x14ac:dyDescent="0.25">
      <c r="A278" s="1"/>
      <c r="B278" s="290" t="s">
        <v>150</v>
      </c>
    </row>
    <row r="279" spans="1:16" ht="12.75" customHeight="1" x14ac:dyDescent="0.25">
      <c r="A279" s="1"/>
    </row>
    <row r="280" spans="1:16" ht="12.75" customHeight="1" x14ac:dyDescent="0.25">
      <c r="A280" s="1"/>
    </row>
    <row r="281" spans="1:16" ht="12.75" customHeight="1" x14ac:dyDescent="0.25">
      <c r="A281" s="1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35E8C3B-DFDE-4791-8F1E-EB3186D27F8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75F4-647F-4D16-BA10-D88CC4E992A9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368" t="s">
        <v>194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18" t="s">
        <v>140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395" t="s">
        <v>86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47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344">
        <v>206795.536884114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345">
        <v>149117.58428823701</v>
      </c>
      <c r="G13" s="345">
        <v>0.41600733569999998</v>
      </c>
      <c r="H13" s="54"/>
      <c r="I13" s="345">
        <v>97063.244293378593</v>
      </c>
      <c r="J13" s="345">
        <v>0.33230356239999997</v>
      </c>
      <c r="K13" s="53"/>
      <c r="L13" s="345">
        <v>72022.863996637505</v>
      </c>
      <c r="M13" s="345">
        <v>0.2731584386</v>
      </c>
      <c r="N13" s="54"/>
      <c r="O13" s="345">
        <v>38239.455358495201</v>
      </c>
      <c r="P13" s="345">
        <v>0.1552830459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345">
        <v>137950.14316021599</v>
      </c>
      <c r="G14" s="345">
        <v>0.39800002449999999</v>
      </c>
      <c r="H14" s="54"/>
      <c r="I14" s="345">
        <v>97758.348000474594</v>
      </c>
      <c r="J14" s="345">
        <v>0.33736776130000001</v>
      </c>
      <c r="K14" s="53"/>
      <c r="L14" s="345">
        <v>74391.403854900796</v>
      </c>
      <c r="M14" s="345">
        <v>0.27302593939999997</v>
      </c>
      <c r="N14" s="54"/>
      <c r="O14" s="345">
        <v>52096.531120046398</v>
      </c>
      <c r="P14" s="345">
        <v>0.2079454597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345">
        <v>130799.106488901</v>
      </c>
      <c r="G15" s="345">
        <v>0.40700838610000001</v>
      </c>
      <c r="H15" s="54"/>
      <c r="I15" s="345">
        <v>94694.526034054201</v>
      </c>
      <c r="J15" s="345">
        <v>0.32070185239999999</v>
      </c>
      <c r="K15" s="53"/>
      <c r="L15" s="345">
        <v>79817.239557697394</v>
      </c>
      <c r="M15" s="345">
        <v>0.2904932355</v>
      </c>
      <c r="N15" s="54"/>
      <c r="O15" s="345">
        <v>57094.977528862801</v>
      </c>
      <c r="P15" s="345">
        <v>0.2174373963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345">
        <v>126885.760884731</v>
      </c>
      <c r="G16" s="345">
        <v>0.40771778450000001</v>
      </c>
      <c r="H16" s="54"/>
      <c r="I16" s="345">
        <v>86574.745613449602</v>
      </c>
      <c r="J16" s="345">
        <v>0.31824592419999997</v>
      </c>
      <c r="K16" s="53"/>
      <c r="L16" s="345">
        <v>69369.678213486099</v>
      </c>
      <c r="M16" s="345">
        <v>0.26066579369999998</v>
      </c>
      <c r="N16" s="54"/>
      <c r="O16" s="345">
        <v>97272.7672190718</v>
      </c>
      <c r="P16" s="345">
        <v>0.34517895440000002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345">
        <v>148193.92216272801</v>
      </c>
      <c r="G17" s="345">
        <v>0.43589510339999998</v>
      </c>
      <c r="H17" s="54"/>
      <c r="I17" s="345">
        <v>84508.460629521098</v>
      </c>
      <c r="J17" s="345">
        <v>0.30343779160000001</v>
      </c>
      <c r="K17" s="53"/>
      <c r="L17" s="345">
        <v>69163.475963055898</v>
      </c>
      <c r="M17" s="345">
        <v>0.26318217770000002</v>
      </c>
      <c r="N17" s="54"/>
      <c r="O17" s="345">
        <v>72175.225950258799</v>
      </c>
      <c r="P17" s="345">
        <v>0.27651782009999998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344">
        <v>120691.762956369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345">
        <v>77680.137728800604</v>
      </c>
      <c r="G21" s="345">
        <v>0.80782525110000003</v>
      </c>
      <c r="H21" s="45"/>
      <c r="I21" s="345">
        <v>52928.454877808501</v>
      </c>
      <c r="J21" s="345">
        <v>0.68064506079999998</v>
      </c>
      <c r="K21" s="45"/>
      <c r="L21" s="345">
        <v>37638.914113369799</v>
      </c>
      <c r="M21" s="345">
        <v>0.53930273480000002</v>
      </c>
      <c r="N21" s="45"/>
      <c r="O21" s="345">
        <v>21555.5490722008</v>
      </c>
      <c r="P21" s="345">
        <v>0.35723883000000001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345">
        <v>63567.700593069902</v>
      </c>
      <c r="G22" s="345">
        <v>0.71467309379999999</v>
      </c>
      <c r="H22" s="54"/>
      <c r="I22" s="345">
        <v>51923.584651347002</v>
      </c>
      <c r="J22" s="345">
        <v>0.67375764319999998</v>
      </c>
      <c r="K22" s="53"/>
      <c r="L22" s="345">
        <v>41770.2015838796</v>
      </c>
      <c r="M22" s="345">
        <v>0.53415213480000001</v>
      </c>
      <c r="N22" s="54"/>
      <c r="O22" s="345">
        <v>39808.388321012797</v>
      </c>
      <c r="P22" s="345">
        <v>0.63764949029999995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345">
        <v>56924.005278700599</v>
      </c>
      <c r="G23" s="345">
        <v>0.70119715699999996</v>
      </c>
      <c r="H23" s="54"/>
      <c r="I23" s="345">
        <v>48469.614889066397</v>
      </c>
      <c r="J23" s="345">
        <v>0.58332599770000004</v>
      </c>
      <c r="K23" s="53"/>
      <c r="L23" s="345">
        <v>47884.155100540302</v>
      </c>
      <c r="M23" s="345">
        <v>0.63410927380000004</v>
      </c>
      <c r="N23" s="54"/>
      <c r="O23" s="345">
        <v>35033.55872904</v>
      </c>
      <c r="P23" s="345">
        <v>0.50248825909999995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345">
        <v>52898.458673177403</v>
      </c>
      <c r="G24" s="345">
        <v>0.66867969250000003</v>
      </c>
      <c r="H24" s="54"/>
      <c r="I24" s="345">
        <v>42139.004446200903</v>
      </c>
      <c r="J24" s="345">
        <v>0.5866883436</v>
      </c>
      <c r="K24" s="53"/>
      <c r="L24" s="345">
        <v>35197.975247232898</v>
      </c>
      <c r="M24" s="345">
        <v>0.51216949609999995</v>
      </c>
      <c r="N24" s="54"/>
      <c r="O24" s="345">
        <v>68248.842119387104</v>
      </c>
      <c r="P24" s="345">
        <v>0.88034334999999997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345">
        <v>81533.290615226695</v>
      </c>
      <c r="G25" s="345">
        <v>0.87533660150000003</v>
      </c>
      <c r="H25" s="54"/>
      <c r="I25" s="345">
        <v>41393.622376610903</v>
      </c>
      <c r="J25" s="345">
        <v>0.56215914010000001</v>
      </c>
      <c r="K25" s="53"/>
      <c r="L25" s="345">
        <v>34677.158647265504</v>
      </c>
      <c r="M25" s="345">
        <v>0.51314779730000004</v>
      </c>
      <c r="N25" s="54"/>
      <c r="O25" s="345">
        <v>32698.716952816201</v>
      </c>
      <c r="P25" s="345">
        <v>0.47859337130000001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344">
        <v>90890.982607614395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345">
        <v>62394.783370159203</v>
      </c>
      <c r="G29" s="345">
        <v>1.1146787673</v>
      </c>
      <c r="H29" s="54"/>
      <c r="I29" s="345">
        <v>34894.829715195199</v>
      </c>
      <c r="J29" s="345">
        <v>0.79377296789999996</v>
      </c>
      <c r="K29" s="53"/>
      <c r="L29" s="345">
        <v>27264.937641285898</v>
      </c>
      <c r="M29" s="345">
        <v>0.69265356860000005</v>
      </c>
      <c r="N29" s="54"/>
      <c r="O29" s="345">
        <v>13468.439564632799</v>
      </c>
      <c r="P29" s="345">
        <v>0.36641594579999998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345">
        <v>58434.3631083242</v>
      </c>
      <c r="G30" s="345">
        <v>1.0963989410999999</v>
      </c>
      <c r="H30" s="54"/>
      <c r="I30" s="345">
        <v>35406.173608817102</v>
      </c>
      <c r="J30" s="345">
        <v>0.82818085679999998</v>
      </c>
      <c r="K30" s="53"/>
      <c r="L30" s="345">
        <v>31309.521241413298</v>
      </c>
      <c r="M30" s="345">
        <v>0.7563831406</v>
      </c>
      <c r="N30" s="54"/>
      <c r="O30" s="345">
        <v>16446.6050135484</v>
      </c>
      <c r="P30" s="345">
        <v>0.4476829658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345">
        <v>53513.5902244358</v>
      </c>
      <c r="G31" s="345">
        <v>1.0284201786</v>
      </c>
      <c r="H31" s="54"/>
      <c r="I31" s="345">
        <v>33754.798848231498</v>
      </c>
      <c r="J31" s="345">
        <v>0.78227956109999996</v>
      </c>
      <c r="K31" s="53"/>
      <c r="L31" s="345">
        <v>32440.575829487399</v>
      </c>
      <c r="M31" s="345">
        <v>0.76979501559999997</v>
      </c>
      <c r="N31" s="54"/>
      <c r="O31" s="345">
        <v>23441.033980307398</v>
      </c>
      <c r="P31" s="345">
        <v>0.62064633719999995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345">
        <v>50033.394499542701</v>
      </c>
      <c r="G32" s="345">
        <v>1.0376209688</v>
      </c>
      <c r="H32" s="54"/>
      <c r="I32" s="345">
        <v>30147.249905041899</v>
      </c>
      <c r="J32" s="345">
        <v>0.7341281824</v>
      </c>
      <c r="K32" s="53"/>
      <c r="L32" s="345">
        <v>24690.0195328435</v>
      </c>
      <c r="M32" s="345">
        <v>0.66424347080000001</v>
      </c>
      <c r="N32" s="54"/>
      <c r="O32" s="345">
        <v>45072.149346528298</v>
      </c>
      <c r="P32" s="345">
        <v>1.0456721309000001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345">
        <v>60277.081620665696</v>
      </c>
      <c r="G33" s="345">
        <v>1.1175652190000001</v>
      </c>
      <c r="H33" s="54"/>
      <c r="I33" s="345">
        <v>29313.8047719934</v>
      </c>
      <c r="J33" s="345">
        <v>0.68521928850000002</v>
      </c>
      <c r="K33" s="53"/>
      <c r="L33" s="345">
        <v>26910.9414610809</v>
      </c>
      <c r="M33" s="345">
        <v>0.6793666733</v>
      </c>
      <c r="N33" s="54"/>
      <c r="O33" s="345">
        <v>26135.7873480446</v>
      </c>
      <c r="P33" s="345">
        <v>0.67783238690000003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344">
        <v>97047.982503045801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345">
        <v>68165.398854328101</v>
      </c>
      <c r="G37" s="345">
        <v>1.2187848076000001</v>
      </c>
      <c r="H37" s="54"/>
      <c r="I37" s="345">
        <v>47322.3413933173</v>
      </c>
      <c r="J37" s="345">
        <v>1.013213208</v>
      </c>
      <c r="K37" s="53"/>
      <c r="L37" s="345">
        <v>34179.173139606602</v>
      </c>
      <c r="M37" s="345">
        <v>0.89314546620000002</v>
      </c>
      <c r="N37" s="54"/>
      <c r="O37" s="345">
        <v>15593.1559854557</v>
      </c>
      <c r="P37" s="345">
        <v>0.42537737370000001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345">
        <v>61697.792477003903</v>
      </c>
      <c r="G38" s="345">
        <v>1.064159678</v>
      </c>
      <c r="H38" s="54"/>
      <c r="I38" s="345">
        <v>45959.782579434002</v>
      </c>
      <c r="J38" s="345">
        <v>0.96639673670000004</v>
      </c>
      <c r="K38" s="53"/>
      <c r="L38" s="345">
        <v>30460.3878087421</v>
      </c>
      <c r="M38" s="345">
        <v>0.76918257459999995</v>
      </c>
      <c r="N38" s="54"/>
      <c r="O38" s="345">
        <v>17730.3895971159</v>
      </c>
      <c r="P38" s="345">
        <v>0.46006632110000001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345">
        <v>59214.680383694496</v>
      </c>
      <c r="G39" s="345">
        <v>1.1508318973</v>
      </c>
      <c r="H39" s="45"/>
      <c r="I39" s="345">
        <v>42267.959946192001</v>
      </c>
      <c r="J39" s="345">
        <v>0.88868358800000002</v>
      </c>
      <c r="K39" s="45"/>
      <c r="L39" s="345">
        <v>34250.377461153803</v>
      </c>
      <c r="M39" s="345">
        <v>0.84232832479999997</v>
      </c>
      <c r="N39" s="45"/>
      <c r="O39" s="345">
        <v>25390.177800665901</v>
      </c>
      <c r="P39" s="345">
        <v>0.62792762749999997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345">
        <v>55237.967979614798</v>
      </c>
      <c r="G40" s="345">
        <v>1.1117280007000001</v>
      </c>
      <c r="H40" s="54"/>
      <c r="I40" s="345">
        <v>35800.539168152201</v>
      </c>
      <c r="J40" s="345">
        <v>0.87317394230000001</v>
      </c>
      <c r="K40" s="53"/>
      <c r="L40" s="345">
        <v>33175.170156072498</v>
      </c>
      <c r="M40" s="345">
        <v>0.74475791599999996</v>
      </c>
      <c r="N40" s="54"/>
      <c r="O40" s="345">
        <v>37912.556444196998</v>
      </c>
      <c r="P40" s="345">
        <v>0.87938835449999997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345">
        <v>64430.596151234</v>
      </c>
      <c r="G41" s="345">
        <v>1.2036142294000001</v>
      </c>
      <c r="H41" s="54"/>
      <c r="I41" s="345">
        <v>37085.218177726201</v>
      </c>
      <c r="J41" s="345">
        <v>0.83267312090000001</v>
      </c>
      <c r="K41" s="53"/>
      <c r="L41" s="345">
        <v>30216.6407600028</v>
      </c>
      <c r="M41" s="345">
        <v>0.71016146670000002</v>
      </c>
      <c r="N41" s="54"/>
      <c r="O41" s="345">
        <v>28305.340176953901</v>
      </c>
      <c r="P41" s="345">
        <v>0.71483304079999999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344">
        <v>104563.417320322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345">
        <v>88413.508566281103</v>
      </c>
      <c r="G45" s="345">
        <v>0.5941584781</v>
      </c>
      <c r="H45" s="45"/>
      <c r="I45" s="345">
        <v>56398.783592556501</v>
      </c>
      <c r="J45" s="345">
        <v>0.4659507416</v>
      </c>
      <c r="K45" s="45"/>
      <c r="L45" s="345">
        <v>43166.695093189599</v>
      </c>
      <c r="M45" s="345">
        <v>0.37193903090000002</v>
      </c>
      <c r="N45" s="45"/>
      <c r="O45" s="345">
        <v>24132.738007749998</v>
      </c>
      <c r="P45" s="345">
        <v>0.2146181258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345">
        <v>88763.831359123695</v>
      </c>
      <c r="G46" s="345">
        <v>0.58742026940000003</v>
      </c>
      <c r="H46" s="45"/>
      <c r="I46" s="345">
        <v>59410.342511322102</v>
      </c>
      <c r="J46" s="345">
        <v>0.49007962570000002</v>
      </c>
      <c r="K46" s="45"/>
      <c r="L46" s="345">
        <v>43402.886722762902</v>
      </c>
      <c r="M46" s="345">
        <v>0.37908062809999998</v>
      </c>
      <c r="N46" s="45"/>
      <c r="O46" s="345">
        <v>23341.445791157701</v>
      </c>
      <c r="P46" s="345">
        <v>0.20882222540000001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345">
        <v>87300.048456732999</v>
      </c>
      <c r="G47" s="345">
        <v>0.60910136530000003</v>
      </c>
      <c r="H47" s="45"/>
      <c r="I47" s="345">
        <v>60900.722531461397</v>
      </c>
      <c r="J47" s="345">
        <v>0.49477286390000003</v>
      </c>
      <c r="K47" s="45"/>
      <c r="L47" s="345">
        <v>43256.310137568398</v>
      </c>
      <c r="M47" s="345">
        <v>0.37644885249999999</v>
      </c>
      <c r="N47" s="45"/>
      <c r="O47" s="345">
        <v>28995.557061698899</v>
      </c>
      <c r="P47" s="345">
        <v>0.25749340590000003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345">
        <v>88565.319736234203</v>
      </c>
      <c r="G48" s="345">
        <v>0.6224566413</v>
      </c>
      <c r="H48" s="45"/>
      <c r="I48" s="345">
        <v>59579.661598304003</v>
      </c>
      <c r="J48" s="345">
        <v>0.49609392730000001</v>
      </c>
      <c r="K48" s="45"/>
      <c r="L48" s="345">
        <v>43256.122069462799</v>
      </c>
      <c r="M48" s="345">
        <v>0.37769187529999998</v>
      </c>
      <c r="N48" s="45"/>
      <c r="O48" s="345">
        <v>36657.983291072203</v>
      </c>
      <c r="P48" s="345">
        <v>0.32144405040000001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345">
        <v>87203.092528987501</v>
      </c>
      <c r="G49" s="345">
        <v>0.63390955670000004</v>
      </c>
      <c r="H49" s="45"/>
      <c r="I49" s="345">
        <v>56761.235387371999</v>
      </c>
      <c r="J49" s="345">
        <v>0.47374935029999998</v>
      </c>
      <c r="K49" s="45"/>
      <c r="L49" s="345">
        <v>44180.8974303176</v>
      </c>
      <c r="M49" s="345">
        <v>0.3908557694</v>
      </c>
      <c r="N49" s="45"/>
      <c r="O49" s="345">
        <v>51585.990041076897</v>
      </c>
      <c r="P49" s="345">
        <v>0.44530011580000001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x14ac:dyDescent="0.25">
      <c r="B54" s="290" t="s">
        <v>150</v>
      </c>
      <c r="C54" s="45"/>
      <c r="D54" s="144"/>
      <c r="E54" s="45"/>
      <c r="F54" s="144"/>
      <c r="G54" s="145"/>
      <c r="H54" s="45"/>
      <c r="I54" s="144"/>
      <c r="J54" s="145"/>
      <c r="K54" s="45"/>
      <c r="L54" s="144"/>
      <c r="M54" s="145"/>
      <c r="N54" s="45"/>
      <c r="O54" s="144"/>
      <c r="P54" s="1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:36" x14ac:dyDescent="0.25">
      <c r="B55" s="45"/>
      <c r="C55" s="45"/>
      <c r="D55" s="144"/>
      <c r="E55" s="45"/>
      <c r="F55" s="144"/>
      <c r="G55" s="145"/>
      <c r="H55" s="45"/>
      <c r="I55" s="144"/>
      <c r="J55" s="145"/>
      <c r="K55" s="45"/>
      <c r="L55" s="144"/>
      <c r="M55" s="145"/>
      <c r="N55" s="45"/>
      <c r="O55" s="144"/>
      <c r="P55" s="1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</row>
    <row r="56" spans="1:36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</row>
    <row r="57" spans="1:36" x14ac:dyDescent="0.25">
      <c r="B57" s="45"/>
      <c r="C57" s="45"/>
      <c r="D57" s="144"/>
      <c r="E57" s="45"/>
      <c r="F57" s="144"/>
      <c r="G57" s="145"/>
      <c r="H57" s="45"/>
      <c r="I57" s="144"/>
      <c r="J57" s="145"/>
      <c r="K57" s="45"/>
      <c r="L57" s="144"/>
      <c r="M57" s="145"/>
      <c r="N57" s="45"/>
      <c r="O57" s="144"/>
      <c r="P57" s="1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</row>
    <row r="58" spans="1:36" x14ac:dyDescent="0.25">
      <c r="B58" s="45"/>
      <c r="C58" s="45"/>
      <c r="D58" s="144"/>
      <c r="E58" s="45"/>
      <c r="F58" s="144"/>
      <c r="G58" s="145"/>
      <c r="H58" s="45"/>
      <c r="I58" s="144"/>
      <c r="J58" s="145"/>
      <c r="K58" s="45"/>
      <c r="L58" s="144"/>
      <c r="M58" s="145"/>
      <c r="N58" s="45"/>
      <c r="O58" s="144"/>
      <c r="P58" s="1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6" x14ac:dyDescent="0.25">
      <c r="B59" s="45"/>
      <c r="C59" s="45"/>
      <c r="D59" s="144"/>
      <c r="E59" s="45"/>
      <c r="F59" s="144"/>
      <c r="G59" s="145"/>
      <c r="H59" s="45"/>
      <c r="I59" s="144"/>
      <c r="J59" s="145"/>
      <c r="K59" s="45"/>
      <c r="L59" s="144"/>
      <c r="M59" s="145"/>
      <c r="N59" s="45"/>
      <c r="O59" s="144"/>
      <c r="P59" s="1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6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6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6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8799BE9-E32A-4706-B178-367C411B0EE2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1414-0A9F-4EDD-B612-A4B95D70FAFD}">
  <sheetPr>
    <pageSetUpPr fitToPage="1"/>
  </sheetPr>
  <dimension ref="A1:CI31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18" t="s">
        <v>141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99</v>
      </c>
    </row>
    <row r="6" spans="1:17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7" ht="15" customHeight="1" x14ac:dyDescent="0.2">
      <c r="A7" s="103"/>
      <c r="B7" s="406" t="s">
        <v>49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7" ht="23.25" customHeight="1" x14ac:dyDescent="0.2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7" ht="15" customHeight="1" x14ac:dyDescent="0.2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48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5">
      <c r="B11" s="12" t="s">
        <v>4</v>
      </c>
      <c r="D11" s="344">
        <v>245318.59867594499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7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7" s="13" customFormat="1" ht="12.75" customHeight="1" x14ac:dyDescent="0.25">
      <c r="B13" s="14" t="s">
        <v>51</v>
      </c>
      <c r="D13" s="136"/>
      <c r="E13" s="54"/>
      <c r="F13" s="345">
        <v>170531.122173871</v>
      </c>
      <c r="G13" s="345">
        <v>0.36368792220000001</v>
      </c>
      <c r="H13" s="54"/>
      <c r="I13" s="345">
        <v>123536.38222878599</v>
      </c>
      <c r="J13" s="345">
        <v>0.28308389620000002</v>
      </c>
      <c r="K13" s="53"/>
      <c r="L13" s="345">
        <v>85850.677942073205</v>
      </c>
      <c r="M13" s="345">
        <v>0.21996666309999999</v>
      </c>
      <c r="N13" s="54"/>
      <c r="O13" s="345">
        <v>74910.438787095904</v>
      </c>
      <c r="P13" s="345">
        <v>0.2023361437</v>
      </c>
      <c r="Q13" s="45"/>
    </row>
    <row r="14" spans="1:17" s="13" customFormat="1" ht="12.75" customHeight="1" x14ac:dyDescent="0.25">
      <c r="B14" s="14" t="s">
        <v>52</v>
      </c>
      <c r="D14" s="136"/>
      <c r="E14" s="54"/>
      <c r="F14" s="345">
        <v>179953.67460550199</v>
      </c>
      <c r="G14" s="345">
        <v>0.369819173</v>
      </c>
      <c r="H14" s="54"/>
      <c r="I14" s="345">
        <v>130259.403456279</v>
      </c>
      <c r="J14" s="345">
        <v>0.30182099019999997</v>
      </c>
      <c r="K14" s="53"/>
      <c r="L14" s="345">
        <v>80826.013835013102</v>
      </c>
      <c r="M14" s="345">
        <v>0.2150991203</v>
      </c>
      <c r="N14" s="54"/>
      <c r="O14" s="345">
        <v>57251.605343969197</v>
      </c>
      <c r="P14" s="345">
        <v>0.15540226839999999</v>
      </c>
      <c r="Q14" s="45"/>
    </row>
    <row r="15" spans="1:17" s="13" customFormat="1" ht="12.75" customHeight="1" x14ac:dyDescent="0.25">
      <c r="B15" s="14" t="s">
        <v>53</v>
      </c>
      <c r="D15" s="136"/>
      <c r="E15" s="54"/>
      <c r="F15" s="345">
        <v>184629.641739085</v>
      </c>
      <c r="G15" s="345">
        <v>0.4318757614</v>
      </c>
      <c r="H15" s="54"/>
      <c r="I15" s="345">
        <v>123731.41383033901</v>
      </c>
      <c r="J15" s="345">
        <v>0.29611019919999998</v>
      </c>
      <c r="K15" s="53"/>
      <c r="L15" s="345">
        <v>105577.728897201</v>
      </c>
      <c r="M15" s="345">
        <v>0.27243549560000002</v>
      </c>
      <c r="N15" s="54"/>
      <c r="O15" s="345">
        <v>92258.885948847499</v>
      </c>
      <c r="P15" s="345">
        <v>0.24719116490000001</v>
      </c>
      <c r="Q15" s="45"/>
    </row>
    <row r="16" spans="1:17" s="13" customFormat="1" ht="12.75" customHeight="1" x14ac:dyDescent="0.25">
      <c r="B16" s="14" t="s">
        <v>54</v>
      </c>
      <c r="D16" s="136"/>
      <c r="E16" s="54"/>
      <c r="F16" s="345">
        <v>171322.32401679701</v>
      </c>
      <c r="G16" s="345">
        <v>0.40257166160000002</v>
      </c>
      <c r="H16" s="54"/>
      <c r="I16" s="345">
        <v>125625.558741334</v>
      </c>
      <c r="J16" s="345">
        <v>0.29814178829999999</v>
      </c>
      <c r="K16" s="53"/>
      <c r="L16" s="345">
        <v>98859.677700410204</v>
      </c>
      <c r="M16" s="345">
        <v>0.25271390599999999</v>
      </c>
      <c r="N16" s="54"/>
      <c r="O16" s="345">
        <v>107744.907955177</v>
      </c>
      <c r="P16" s="345">
        <v>0.2880453945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346">
        <v>162429.77921188899</v>
      </c>
      <c r="G17" s="346">
        <v>0.38382871880000002</v>
      </c>
      <c r="H17" s="54"/>
      <c r="I17" s="346">
        <v>122323.25423668799</v>
      </c>
      <c r="J17" s="346">
        <v>0.28471695689999998</v>
      </c>
      <c r="K17" s="53"/>
      <c r="L17" s="346">
        <v>101333.130755579</v>
      </c>
      <c r="M17" s="346">
        <v>0.2579307434</v>
      </c>
      <c r="N17" s="54"/>
      <c r="O17" s="346">
        <v>118340.529561863</v>
      </c>
      <c r="P17" s="346">
        <v>0.31661608390000001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346">
        <v>128250.153501993</v>
      </c>
      <c r="G18" s="346">
        <v>0.33676701930000003</v>
      </c>
      <c r="H18" s="54"/>
      <c r="I18" s="346">
        <v>110928.976966542</v>
      </c>
      <c r="J18" s="346">
        <v>0.27316983449999999</v>
      </c>
      <c r="K18" s="53"/>
      <c r="L18" s="346">
        <v>113788.738686254</v>
      </c>
      <c r="M18" s="346">
        <v>0.28754329579999999</v>
      </c>
      <c r="N18" s="54"/>
      <c r="O18" s="346">
        <v>158138.66429050101</v>
      </c>
      <c r="P18" s="346">
        <v>0.37417614049999998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344">
        <v>8967.3004696325006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345">
        <v>6607.5857840930003</v>
      </c>
      <c r="G22" s="345">
        <v>1.4271499501</v>
      </c>
      <c r="H22" s="54"/>
      <c r="I22" s="345">
        <v>5178.8327524274</v>
      </c>
      <c r="J22" s="345">
        <v>1.1482605722999999</v>
      </c>
      <c r="K22" s="53"/>
      <c r="L22" s="345">
        <v>3468.0535107272999</v>
      </c>
      <c r="M22" s="345">
        <v>0.83109869839999995</v>
      </c>
      <c r="N22" s="54"/>
      <c r="O22" s="345">
        <v>3275.9029174019001</v>
      </c>
      <c r="P22" s="345">
        <v>0.80974909360000003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345">
        <v>8169.5384075221</v>
      </c>
      <c r="G23" s="345">
        <v>1.7214349107</v>
      </c>
      <c r="H23" s="54"/>
      <c r="I23" s="345">
        <v>5108.4884786352004</v>
      </c>
      <c r="J23" s="345">
        <v>1.2023125602</v>
      </c>
      <c r="K23" s="53"/>
      <c r="L23" s="345">
        <v>3004.918707287</v>
      </c>
      <c r="M23" s="345">
        <v>0.72734361349999999</v>
      </c>
      <c r="N23" s="54"/>
      <c r="O23" s="345">
        <v>3362.2665506346002</v>
      </c>
      <c r="P23" s="345">
        <v>0.84843965519999998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345">
        <v>7537.4033344506997</v>
      </c>
      <c r="G24" s="345">
        <v>1.6923959808</v>
      </c>
      <c r="H24" s="54"/>
      <c r="I24" s="345">
        <v>5586.8470291009999</v>
      </c>
      <c r="J24" s="345">
        <v>1.2229986078999999</v>
      </c>
      <c r="K24" s="53"/>
      <c r="L24" s="345">
        <v>4014.9204163302002</v>
      </c>
      <c r="M24" s="345">
        <v>0.97438859010000001</v>
      </c>
      <c r="N24" s="54"/>
      <c r="O24" s="345">
        <v>3358.3362783964999</v>
      </c>
      <c r="P24" s="345">
        <v>0.85245104770000002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345">
        <v>6806.6324802666004</v>
      </c>
      <c r="G25" s="345">
        <v>1.7139765885</v>
      </c>
      <c r="H25" s="54"/>
      <c r="I25" s="345">
        <v>5999.7217595987004</v>
      </c>
      <c r="J25" s="345">
        <v>1.2933335655</v>
      </c>
      <c r="K25" s="53"/>
      <c r="L25" s="345">
        <v>4005.0078860366998</v>
      </c>
      <c r="M25" s="345">
        <v>0.946314981</v>
      </c>
      <c r="N25" s="54"/>
      <c r="O25" s="345">
        <v>4313.7563652269</v>
      </c>
      <c r="P25" s="345">
        <v>1.0796924378999999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345">
        <v>7065.1092719230001</v>
      </c>
      <c r="G26" s="345">
        <v>1.6449581059</v>
      </c>
      <c r="H26" s="54"/>
      <c r="I26" s="345">
        <v>5359.1439137690004</v>
      </c>
      <c r="J26" s="345">
        <v>1.1790541644000001</v>
      </c>
      <c r="K26" s="53"/>
      <c r="L26" s="345">
        <v>3984.1592105640002</v>
      </c>
      <c r="M26" s="345">
        <v>0.93816138449999997</v>
      </c>
      <c r="N26" s="54"/>
      <c r="O26" s="345">
        <v>4430.6666837836001</v>
      </c>
      <c r="P26" s="345">
        <v>1.1174266412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345">
        <v>5741.4431092874001</v>
      </c>
      <c r="G27" s="345">
        <v>1.4708657961</v>
      </c>
      <c r="H27" s="54"/>
      <c r="I27" s="345">
        <v>5388.4487554359002</v>
      </c>
      <c r="J27" s="345">
        <v>1.2724869071</v>
      </c>
      <c r="K27" s="53"/>
      <c r="L27" s="345">
        <v>5422.7834372496</v>
      </c>
      <c r="M27" s="345">
        <v>1.3165534282</v>
      </c>
      <c r="N27" s="54"/>
      <c r="O27" s="345">
        <v>6609.1406272104005</v>
      </c>
      <c r="P27" s="345">
        <v>1.5314149958000001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344">
        <v>30546.712730472598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345">
        <v>26351.832022896</v>
      </c>
      <c r="G31" s="345">
        <v>1.8106085606</v>
      </c>
      <c r="H31" s="54"/>
      <c r="I31" s="345">
        <v>21198.7021528855</v>
      </c>
      <c r="J31" s="345">
        <v>1.6748013495</v>
      </c>
      <c r="K31" s="53"/>
      <c r="L31" s="345">
        <v>10095.582841874</v>
      </c>
      <c r="M31" s="345">
        <v>0.86170903860000003</v>
      </c>
      <c r="N31" s="54"/>
      <c r="O31" s="345">
        <v>9254.1930503680996</v>
      </c>
      <c r="P31" s="345">
        <v>0.77290334800000005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345">
        <v>29069.280075263101</v>
      </c>
      <c r="G32" s="345">
        <v>1.9300742227000001</v>
      </c>
      <c r="H32" s="54"/>
      <c r="I32" s="345">
        <v>19738.7501166408</v>
      </c>
      <c r="J32" s="345">
        <v>1.6036044178</v>
      </c>
      <c r="K32" s="53"/>
      <c r="L32" s="345">
        <v>10169.9205852144</v>
      </c>
      <c r="M32" s="345">
        <v>0.82513932310000004</v>
      </c>
      <c r="N32" s="54"/>
      <c r="O32" s="345">
        <v>5316.0317373171001</v>
      </c>
      <c r="P32" s="345">
        <v>0.46818331140000002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345">
        <v>23861.0947174705</v>
      </c>
      <c r="G33" s="345">
        <v>1.7571460958</v>
      </c>
      <c r="H33" s="54"/>
      <c r="I33" s="345">
        <v>18693.0045216215</v>
      </c>
      <c r="J33" s="345">
        <v>1.4500365085</v>
      </c>
      <c r="K33" s="53"/>
      <c r="L33" s="345">
        <v>14195.0863329317</v>
      </c>
      <c r="M33" s="345">
        <v>1.1009575474</v>
      </c>
      <c r="N33" s="54"/>
      <c r="O33" s="345">
        <v>11079.2931888407</v>
      </c>
      <c r="P33" s="345">
        <v>0.95085165289999996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345">
        <v>27209.011101129199</v>
      </c>
      <c r="G34" s="345">
        <v>1.7467935094</v>
      </c>
      <c r="H34" s="54"/>
      <c r="I34" s="345">
        <v>21470.403204293201</v>
      </c>
      <c r="J34" s="345">
        <v>1.595413223</v>
      </c>
      <c r="K34" s="53"/>
      <c r="L34" s="345">
        <v>8888.7509710691993</v>
      </c>
      <c r="M34" s="345">
        <v>0.76350268080000006</v>
      </c>
      <c r="N34" s="54"/>
      <c r="O34" s="345">
        <v>7496.5419917563004</v>
      </c>
      <c r="P34" s="345">
        <v>0.66948861879999999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345">
        <v>27744.402947991999</v>
      </c>
      <c r="G35" s="345">
        <v>1.9244551640000001</v>
      </c>
      <c r="H35" s="54"/>
      <c r="I35" s="345">
        <v>19544.417085528301</v>
      </c>
      <c r="J35" s="345">
        <v>1.4862116112999999</v>
      </c>
      <c r="K35" s="53"/>
      <c r="L35" s="345">
        <v>13377.3922512272</v>
      </c>
      <c r="M35" s="345">
        <v>1.1545055777</v>
      </c>
      <c r="N35" s="54"/>
      <c r="O35" s="345">
        <v>9179.0838158548995</v>
      </c>
      <c r="P35" s="345">
        <v>0.79550685190000003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345">
        <v>20149.009395658701</v>
      </c>
      <c r="G36" s="345">
        <v>1.5228692931000001</v>
      </c>
      <c r="H36" s="54"/>
      <c r="I36" s="345">
        <v>17659.269323657401</v>
      </c>
      <c r="J36" s="345">
        <v>1.4208792214999999</v>
      </c>
      <c r="K36" s="53"/>
      <c r="L36" s="345">
        <v>17379.9734391171</v>
      </c>
      <c r="M36" s="345">
        <v>1.3671260589000001</v>
      </c>
      <c r="N36" s="54"/>
      <c r="O36" s="345">
        <v>17185.995579913499</v>
      </c>
      <c r="P36" s="345">
        <v>1.4151634027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344">
        <v>8722.5870993348999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345">
        <v>5259.9364748886001</v>
      </c>
      <c r="G40" s="345">
        <v>1.9471427583000001</v>
      </c>
      <c r="H40" s="130"/>
      <c r="I40" s="345">
        <v>4437.2481721267995</v>
      </c>
      <c r="J40" s="345">
        <v>1.4396029376999999</v>
      </c>
      <c r="K40" s="133"/>
      <c r="L40" s="345">
        <v>4218.1040757372002</v>
      </c>
      <c r="M40" s="345">
        <v>1.4821252306999999</v>
      </c>
      <c r="N40" s="130"/>
      <c r="O40" s="345">
        <v>2410.4120841890999</v>
      </c>
      <c r="P40" s="345">
        <v>0.98025236540000005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345">
        <v>5651.6269931561001</v>
      </c>
      <c r="G41" s="345">
        <v>2.3573806826000001</v>
      </c>
      <c r="H41" s="130"/>
      <c r="I41" s="345">
        <v>5048.0510072550996</v>
      </c>
      <c r="J41" s="345">
        <v>1.6588589523999999</v>
      </c>
      <c r="K41" s="133"/>
      <c r="L41" s="345">
        <v>4003.7294047037999</v>
      </c>
      <c r="M41" s="345">
        <v>1.4779206237</v>
      </c>
      <c r="N41" s="130"/>
      <c r="O41" s="345">
        <v>1981.2886652657</v>
      </c>
      <c r="P41" s="345">
        <v>0.75261465279999995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345">
        <v>5791.5644391345004</v>
      </c>
      <c r="G42" s="345">
        <v>2.2137209981999999</v>
      </c>
      <c r="H42" s="130"/>
      <c r="I42" s="345">
        <v>4148.4988888119997</v>
      </c>
      <c r="J42" s="345">
        <v>1.4699687237000001</v>
      </c>
      <c r="K42" s="133"/>
      <c r="L42" s="345">
        <v>5036.7597107717002</v>
      </c>
      <c r="M42" s="345">
        <v>1.8258557290999999</v>
      </c>
      <c r="N42" s="130"/>
      <c r="O42" s="345">
        <v>2843.6513586311999</v>
      </c>
      <c r="P42" s="345">
        <v>1.0573320711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345">
        <v>5618.2237291635001</v>
      </c>
      <c r="G43" s="345">
        <v>2.3396904702999999</v>
      </c>
      <c r="H43" s="130"/>
      <c r="I43" s="345">
        <v>4913.9134690890996</v>
      </c>
      <c r="J43" s="345">
        <v>1.5930412088000001</v>
      </c>
      <c r="K43" s="133"/>
      <c r="L43" s="345">
        <v>4472.7903890702</v>
      </c>
      <c r="M43" s="345">
        <v>1.6750051298999999</v>
      </c>
      <c r="N43" s="130"/>
      <c r="O43" s="345">
        <v>2702.3081476466</v>
      </c>
      <c r="P43" s="345">
        <v>1.0163603731999999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345">
        <v>5967.9402490345001</v>
      </c>
      <c r="G44" s="345">
        <v>2.3905445544999999</v>
      </c>
      <c r="H44" s="130"/>
      <c r="I44" s="345">
        <v>4148.1699697404001</v>
      </c>
      <c r="J44" s="345">
        <v>1.477433094</v>
      </c>
      <c r="K44" s="133"/>
      <c r="L44" s="345">
        <v>4150.3879145723004</v>
      </c>
      <c r="M44" s="345">
        <v>1.5454828962</v>
      </c>
      <c r="N44" s="130"/>
      <c r="O44" s="345">
        <v>4114.8859912014004</v>
      </c>
      <c r="P44" s="345">
        <v>1.5646921167000001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345">
        <v>4299.6490812774</v>
      </c>
      <c r="G45" s="345">
        <v>1.8701503180000001</v>
      </c>
      <c r="H45" s="130"/>
      <c r="I45" s="345">
        <v>3994.1400311521002</v>
      </c>
      <c r="J45" s="345">
        <v>1.4498118283999999</v>
      </c>
      <c r="K45" s="133"/>
      <c r="L45" s="345">
        <v>4398.0666465634004</v>
      </c>
      <c r="M45" s="345">
        <v>1.6004854317999999</v>
      </c>
      <c r="N45" s="130"/>
      <c r="O45" s="345">
        <v>5226.5102838253997</v>
      </c>
      <c r="P45" s="345">
        <v>1.7402153410000001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344">
        <v>9823.9999164673009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345">
        <v>5756.7012809446996</v>
      </c>
      <c r="G49" s="345">
        <v>1.41935623</v>
      </c>
      <c r="H49" s="130"/>
      <c r="I49" s="345">
        <v>3600.3833529797998</v>
      </c>
      <c r="J49" s="345">
        <v>1.0830286324</v>
      </c>
      <c r="K49" s="133"/>
      <c r="L49" s="345">
        <v>3237.4382643344002</v>
      </c>
      <c r="M49" s="345">
        <v>1.1092037419</v>
      </c>
      <c r="N49" s="130"/>
      <c r="O49" s="345">
        <v>2881.93316258</v>
      </c>
      <c r="P49" s="345">
        <v>0.96178180889999998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345">
        <v>6237.2839976844998</v>
      </c>
      <c r="G50" s="345">
        <v>1.7068965589</v>
      </c>
      <c r="H50" s="130"/>
      <c r="I50" s="345">
        <v>4023.5408602681</v>
      </c>
      <c r="J50" s="345">
        <v>1.1817382208</v>
      </c>
      <c r="K50" s="133"/>
      <c r="L50" s="345">
        <v>3136.3897103784002</v>
      </c>
      <c r="M50" s="345">
        <v>1.0205774063999999</v>
      </c>
      <c r="N50" s="130"/>
      <c r="O50" s="345">
        <v>1964.1779420570001</v>
      </c>
      <c r="P50" s="345">
        <v>0.69542898340000003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345">
        <v>6027.0793140265996</v>
      </c>
      <c r="G51" s="345">
        <v>1.9130091222000001</v>
      </c>
      <c r="H51" s="130"/>
      <c r="I51" s="345">
        <v>4168.7928149687004</v>
      </c>
      <c r="J51" s="345">
        <v>1.3570608913</v>
      </c>
      <c r="K51" s="133"/>
      <c r="L51" s="345">
        <v>4158.1322790873</v>
      </c>
      <c r="M51" s="345">
        <v>1.2705808277999999</v>
      </c>
      <c r="N51" s="130"/>
      <c r="O51" s="345">
        <v>2579.4862151159</v>
      </c>
      <c r="P51" s="345">
        <v>0.90886827240000001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345">
        <v>5902.7466317947001</v>
      </c>
      <c r="G52" s="345">
        <v>2.0913639668999999</v>
      </c>
      <c r="H52" s="130"/>
      <c r="I52" s="345">
        <v>4045.4730837883999</v>
      </c>
      <c r="J52" s="345">
        <v>1.3760512067999999</v>
      </c>
      <c r="K52" s="133"/>
      <c r="L52" s="345">
        <v>4196.5519121754996</v>
      </c>
      <c r="M52" s="345">
        <v>1.3624632669000001</v>
      </c>
      <c r="N52" s="130"/>
      <c r="O52" s="345">
        <v>5029.7471206806003</v>
      </c>
      <c r="P52" s="345">
        <v>1.6802827992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345">
        <v>5960.8529161890001</v>
      </c>
      <c r="G53" s="345">
        <v>1.8634470398</v>
      </c>
      <c r="H53" s="130"/>
      <c r="I53" s="345">
        <v>4027.5819732194</v>
      </c>
      <c r="J53" s="345">
        <v>1.1971122730999999</v>
      </c>
      <c r="K53" s="133"/>
      <c r="L53" s="345">
        <v>3239.2592204397001</v>
      </c>
      <c r="M53" s="345">
        <v>0.98646500749999999</v>
      </c>
      <c r="N53" s="130"/>
      <c r="O53" s="345">
        <v>3169.4528804326001</v>
      </c>
      <c r="P53" s="345">
        <v>1.0911280566999999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345">
        <v>5680.6779592939001</v>
      </c>
      <c r="G54" s="345">
        <v>2.051809988</v>
      </c>
      <c r="H54" s="130"/>
      <c r="I54" s="345">
        <v>3745.3212395587998</v>
      </c>
      <c r="J54" s="345">
        <v>1.297158491</v>
      </c>
      <c r="K54" s="133"/>
      <c r="L54" s="345">
        <v>4273.4960163945998</v>
      </c>
      <c r="M54" s="345">
        <v>1.3062115995000001</v>
      </c>
      <c r="N54" s="130"/>
      <c r="O54" s="345">
        <v>5347.5885429622003</v>
      </c>
      <c r="P54" s="345">
        <v>1.7386403016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344">
        <v>20174.373876367401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345">
        <v>19440.438503861002</v>
      </c>
      <c r="G58" s="345">
        <v>1.6523783588000001</v>
      </c>
      <c r="H58" s="130"/>
      <c r="I58" s="345">
        <v>11751.271724123601</v>
      </c>
      <c r="J58" s="345">
        <v>1.2112883694000001</v>
      </c>
      <c r="K58" s="133"/>
      <c r="L58" s="345">
        <v>8579.6661879238</v>
      </c>
      <c r="M58" s="345">
        <v>0.88697204139999997</v>
      </c>
      <c r="N58" s="130"/>
      <c r="O58" s="345">
        <v>7116.9362134610001</v>
      </c>
      <c r="P58" s="345">
        <v>0.79452441250000005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345">
        <v>20250.114240702402</v>
      </c>
      <c r="G59" s="345">
        <v>1.5925851825999999</v>
      </c>
      <c r="H59" s="130"/>
      <c r="I59" s="345">
        <v>10985.962033166399</v>
      </c>
      <c r="J59" s="345">
        <v>1.1664350994999999</v>
      </c>
      <c r="K59" s="133"/>
      <c r="L59" s="345">
        <v>7262.4519483949998</v>
      </c>
      <c r="M59" s="345">
        <v>0.76872245439999998</v>
      </c>
      <c r="N59" s="130"/>
      <c r="O59" s="345">
        <v>6345.2964121397999</v>
      </c>
      <c r="P59" s="345">
        <v>0.69547522569999998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345">
        <v>18246.1233164472</v>
      </c>
      <c r="G60" s="345">
        <v>1.7560359346000001</v>
      </c>
      <c r="H60" s="130"/>
      <c r="I60" s="345">
        <v>11802.206593201099</v>
      </c>
      <c r="J60" s="345">
        <v>1.2303695304</v>
      </c>
      <c r="K60" s="133"/>
      <c r="L60" s="345">
        <v>11898.6849308812</v>
      </c>
      <c r="M60" s="345">
        <v>1.2350332136</v>
      </c>
      <c r="N60" s="130"/>
      <c r="O60" s="345">
        <v>7291.0020124629</v>
      </c>
      <c r="P60" s="345">
        <v>0.74587788479999995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345">
        <v>19488.286892423999</v>
      </c>
      <c r="G61" s="345">
        <v>1.8120158549000001</v>
      </c>
      <c r="H61" s="130"/>
      <c r="I61" s="345">
        <v>12082.300663894001</v>
      </c>
      <c r="J61" s="345">
        <v>1.3043385098</v>
      </c>
      <c r="K61" s="133"/>
      <c r="L61" s="345">
        <v>9090.8627766605005</v>
      </c>
      <c r="M61" s="345">
        <v>0.94872183229999996</v>
      </c>
      <c r="N61" s="130"/>
      <c r="O61" s="345">
        <v>7609.1914674270001</v>
      </c>
      <c r="P61" s="345">
        <v>0.78436220189999994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345">
        <v>19263.638435199999</v>
      </c>
      <c r="G62" s="345">
        <v>1.8237049254</v>
      </c>
      <c r="H62" s="130"/>
      <c r="I62" s="345">
        <v>11526.705354221</v>
      </c>
      <c r="J62" s="345">
        <v>1.2572938568000001</v>
      </c>
      <c r="K62" s="133"/>
      <c r="L62" s="345">
        <v>11652.860930418199</v>
      </c>
      <c r="M62" s="345">
        <v>1.2115933187000001</v>
      </c>
      <c r="N62" s="130"/>
      <c r="O62" s="345">
        <v>8942.5946146269998</v>
      </c>
      <c r="P62" s="345">
        <v>0.92472964059999996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345">
        <v>17371.1008490196</v>
      </c>
      <c r="G63" s="345">
        <v>1.808111029</v>
      </c>
      <c r="H63" s="130"/>
      <c r="I63" s="345">
        <v>11271.7415567029</v>
      </c>
      <c r="J63" s="345">
        <v>1.2074321598</v>
      </c>
      <c r="K63" s="133"/>
      <c r="L63" s="345">
        <v>10454.9834160667</v>
      </c>
      <c r="M63" s="345">
        <v>1.0812504209</v>
      </c>
      <c r="N63" s="130"/>
      <c r="O63" s="345">
        <v>14754.483954732401</v>
      </c>
      <c r="P63" s="345">
        <v>1.4343964998000001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344">
        <v>8619.0153653119996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345">
        <v>5716.959199201</v>
      </c>
      <c r="G67" s="345">
        <v>1.5254610900000001</v>
      </c>
      <c r="H67" s="130"/>
      <c r="I67" s="345">
        <v>3292.1488127317002</v>
      </c>
      <c r="J67" s="345">
        <v>1.1923882576</v>
      </c>
      <c r="K67" s="133"/>
      <c r="L67" s="345">
        <v>2371.7385717582001</v>
      </c>
      <c r="M67" s="345">
        <v>0.88486408940000005</v>
      </c>
      <c r="N67" s="130"/>
      <c r="O67" s="345">
        <v>2386.4970907717002</v>
      </c>
      <c r="P67" s="345">
        <v>0.96535680779999999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345">
        <v>6285.3401093181001</v>
      </c>
      <c r="G68" s="345">
        <v>1.5657274502</v>
      </c>
      <c r="H68" s="130"/>
      <c r="I68" s="345">
        <v>3499.6889104275001</v>
      </c>
      <c r="J68" s="345">
        <v>1.1705161762</v>
      </c>
      <c r="K68" s="133"/>
      <c r="L68" s="345">
        <v>2059.5809489917001</v>
      </c>
      <c r="M68" s="345">
        <v>0.87007262829999998</v>
      </c>
      <c r="N68" s="130"/>
      <c r="O68" s="345">
        <v>1917.9856244580001</v>
      </c>
      <c r="P68" s="345">
        <v>0.79582792059999996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345">
        <v>5277.2405855830002</v>
      </c>
      <c r="G69" s="345">
        <v>1.6865938508</v>
      </c>
      <c r="H69" s="130"/>
      <c r="I69" s="345">
        <v>4358.2251017410999</v>
      </c>
      <c r="J69" s="345">
        <v>1.4091281137</v>
      </c>
      <c r="K69" s="133"/>
      <c r="L69" s="345">
        <v>2964.9590749232002</v>
      </c>
      <c r="M69" s="345">
        <v>1.1771828099999999</v>
      </c>
      <c r="N69" s="130"/>
      <c r="O69" s="345">
        <v>2141.2611173341002</v>
      </c>
      <c r="P69" s="345">
        <v>0.8913866882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345">
        <v>5095.5153681782003</v>
      </c>
      <c r="G70" s="345">
        <v>1.7517842265000001</v>
      </c>
      <c r="H70" s="130"/>
      <c r="I70" s="345">
        <v>3974.7761968452</v>
      </c>
      <c r="J70" s="345">
        <v>1.3617905465</v>
      </c>
      <c r="K70" s="133"/>
      <c r="L70" s="345">
        <v>3291.5103452315002</v>
      </c>
      <c r="M70" s="345">
        <v>1.2207085325</v>
      </c>
      <c r="N70" s="130"/>
      <c r="O70" s="345">
        <v>2744.2088638936002</v>
      </c>
      <c r="P70" s="345">
        <v>1.1190090028999999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345">
        <v>6369.0160349698999</v>
      </c>
      <c r="G71" s="345">
        <v>1.8299034625999999</v>
      </c>
      <c r="H71" s="130"/>
      <c r="I71" s="345">
        <v>3505.1319628384999</v>
      </c>
      <c r="J71" s="345">
        <v>1.218984275</v>
      </c>
      <c r="K71" s="133"/>
      <c r="L71" s="345">
        <v>2695.0856124422999</v>
      </c>
      <c r="M71" s="345">
        <v>1.0759888931999999</v>
      </c>
      <c r="N71" s="130"/>
      <c r="O71" s="345">
        <v>1850.6744159412001</v>
      </c>
      <c r="P71" s="345">
        <v>0.75865202610000004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345">
        <v>4192.9018579447002</v>
      </c>
      <c r="G72" s="345">
        <v>1.6065162614999999</v>
      </c>
      <c r="H72" s="130"/>
      <c r="I72" s="345">
        <v>3966.0472113866999</v>
      </c>
      <c r="J72" s="345">
        <v>1.2646880069999999</v>
      </c>
      <c r="K72" s="133"/>
      <c r="L72" s="345">
        <v>3227.0107989830999</v>
      </c>
      <c r="M72" s="345">
        <v>1.1993567198999999</v>
      </c>
      <c r="N72" s="130"/>
      <c r="O72" s="345">
        <v>3789.1162004731</v>
      </c>
      <c r="P72" s="345">
        <v>1.4257093389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344">
        <v>63038.559215489498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345">
        <v>34932.602912157003</v>
      </c>
      <c r="G76" s="345">
        <v>1.6583618687999999</v>
      </c>
      <c r="H76" s="130"/>
      <c r="I76" s="345">
        <v>26225.913937022498</v>
      </c>
      <c r="J76" s="345">
        <v>1.2259686027000001</v>
      </c>
      <c r="K76" s="133"/>
      <c r="L76" s="345">
        <v>17502.206948351999</v>
      </c>
      <c r="M76" s="345">
        <v>1.0261929187000001</v>
      </c>
      <c r="N76" s="130"/>
      <c r="O76" s="345">
        <v>16960.747043865402</v>
      </c>
      <c r="P76" s="345">
        <v>1.0931376267999999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345">
        <v>39644.002539980203</v>
      </c>
      <c r="G77" s="345">
        <v>1.564337576</v>
      </c>
      <c r="H77" s="130"/>
      <c r="I77" s="345">
        <v>24413.216102120601</v>
      </c>
      <c r="J77" s="345">
        <v>1.2351466696</v>
      </c>
      <c r="K77" s="133"/>
      <c r="L77" s="345">
        <v>17505.114013927399</v>
      </c>
      <c r="M77" s="345">
        <v>1.0302938973</v>
      </c>
      <c r="N77" s="130"/>
      <c r="O77" s="345">
        <v>11050.2621748314</v>
      </c>
      <c r="P77" s="345">
        <v>0.74873646969999996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345">
        <v>37507.132705834701</v>
      </c>
      <c r="G78" s="345">
        <v>2.1488310732999998</v>
      </c>
      <c r="H78" s="130"/>
      <c r="I78" s="345">
        <v>20357.101096692499</v>
      </c>
      <c r="J78" s="345">
        <v>1.0567869213000001</v>
      </c>
      <c r="K78" s="133"/>
      <c r="L78" s="345">
        <v>23804.696695640301</v>
      </c>
      <c r="M78" s="345">
        <v>1.2453129578</v>
      </c>
      <c r="N78" s="130"/>
      <c r="O78" s="345">
        <v>25447.2061355101</v>
      </c>
      <c r="P78" s="345">
        <v>1.6444176404999999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345">
        <v>27575.431580647499</v>
      </c>
      <c r="G79" s="345">
        <v>1.6254503049</v>
      </c>
      <c r="H79" s="130"/>
      <c r="I79" s="345">
        <v>24656.6094212977</v>
      </c>
      <c r="J79" s="345">
        <v>1.4326524661</v>
      </c>
      <c r="K79" s="133"/>
      <c r="L79" s="345">
        <v>22450.665131751201</v>
      </c>
      <c r="M79" s="345">
        <v>1.3744723742</v>
      </c>
      <c r="N79" s="130"/>
      <c r="O79" s="345">
        <v>36499.840951778497</v>
      </c>
      <c r="P79" s="345">
        <v>2.0564912457000002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345">
        <v>35354.114736427597</v>
      </c>
      <c r="G80" s="345">
        <v>1.8941992251999999</v>
      </c>
      <c r="H80" s="130"/>
      <c r="I80" s="345">
        <v>22254.872021565901</v>
      </c>
      <c r="J80" s="345">
        <v>1.2070977046</v>
      </c>
      <c r="K80" s="133"/>
      <c r="L80" s="345">
        <v>21911.080288665202</v>
      </c>
      <c r="M80" s="345">
        <v>1.2813541288000001</v>
      </c>
      <c r="N80" s="130"/>
      <c r="O80" s="345">
        <v>33302.407228356999</v>
      </c>
      <c r="P80" s="345">
        <v>2.1773608978999999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345">
        <v>19024.882904323698</v>
      </c>
      <c r="G81" s="345">
        <v>1.1234199573999999</v>
      </c>
      <c r="H81" s="130"/>
      <c r="I81" s="345">
        <v>19272.182978039698</v>
      </c>
      <c r="J81" s="345">
        <v>1.2122217396999999</v>
      </c>
      <c r="K81" s="133"/>
      <c r="L81" s="345">
        <v>25133.481661652</v>
      </c>
      <c r="M81" s="345">
        <v>1.4690577144999999</v>
      </c>
      <c r="N81" s="130"/>
      <c r="O81" s="345">
        <v>40535.879087159003</v>
      </c>
      <c r="P81" s="345">
        <v>2.0096800066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344">
        <v>21528.302989013799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345">
        <v>20611.377420991601</v>
      </c>
      <c r="G85" s="345">
        <v>1.4895205215</v>
      </c>
      <c r="H85" s="130"/>
      <c r="I85" s="345">
        <v>12510.4041309312</v>
      </c>
      <c r="J85" s="345">
        <v>1.0438260345000001</v>
      </c>
      <c r="K85" s="133"/>
      <c r="L85" s="345">
        <v>10917.208237987301</v>
      </c>
      <c r="M85" s="345">
        <v>0.92688634589999996</v>
      </c>
      <c r="N85" s="130"/>
      <c r="O85" s="345">
        <v>8434.3154692077005</v>
      </c>
      <c r="P85" s="345">
        <v>0.69799332670000003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345">
        <v>22029.472557648802</v>
      </c>
      <c r="G86" s="345">
        <v>1.7342892249999999</v>
      </c>
      <c r="H86" s="130"/>
      <c r="I86" s="345">
        <v>14951.143244819201</v>
      </c>
      <c r="J86" s="345">
        <v>1.2109115622</v>
      </c>
      <c r="K86" s="133"/>
      <c r="L86" s="345">
        <v>10748.711789563</v>
      </c>
      <c r="M86" s="345">
        <v>0.89347205640000005</v>
      </c>
      <c r="N86" s="130"/>
      <c r="O86" s="345">
        <v>7826.4685430053996</v>
      </c>
      <c r="P86" s="345">
        <v>0.67402201139999995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345">
        <v>21792.636046694399</v>
      </c>
      <c r="G87" s="345">
        <v>1.8474201484999999</v>
      </c>
      <c r="H87" s="130"/>
      <c r="I87" s="345">
        <v>15258.0030983002</v>
      </c>
      <c r="J87" s="345">
        <v>1.1964052623000001</v>
      </c>
      <c r="K87" s="133"/>
      <c r="L87" s="345">
        <v>13255.2152173879</v>
      </c>
      <c r="M87" s="345">
        <v>1.1139748704000001</v>
      </c>
      <c r="N87" s="130"/>
      <c r="O87" s="345">
        <v>12013.446158516599</v>
      </c>
      <c r="P87" s="345">
        <v>1.0051120936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345">
        <v>21371.505565524301</v>
      </c>
      <c r="G88" s="345">
        <v>1.7529957768</v>
      </c>
      <c r="H88" s="130"/>
      <c r="I88" s="345">
        <v>14923.5317440826</v>
      </c>
      <c r="J88" s="345">
        <v>1.2361510111</v>
      </c>
      <c r="K88" s="133"/>
      <c r="L88" s="345">
        <v>11957.2635502504</v>
      </c>
      <c r="M88" s="345">
        <v>0.96700839999999999</v>
      </c>
      <c r="N88" s="130"/>
      <c r="O88" s="345">
        <v>11217.3005075819</v>
      </c>
      <c r="P88" s="345">
        <v>0.95768844549999999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345">
        <v>21498.0579947361</v>
      </c>
      <c r="G89" s="345">
        <v>1.7060974135</v>
      </c>
      <c r="H89" s="130"/>
      <c r="I89" s="345">
        <v>15101.095706771999</v>
      </c>
      <c r="J89" s="345">
        <v>1.2701105056999999</v>
      </c>
      <c r="K89" s="133"/>
      <c r="L89" s="345">
        <v>11810.804817922801</v>
      </c>
      <c r="M89" s="345">
        <v>0.97673966199999995</v>
      </c>
      <c r="N89" s="130"/>
      <c r="O89" s="345">
        <v>13645.720909998199</v>
      </c>
      <c r="P89" s="345">
        <v>1.1564594775000001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345">
        <v>20141.875979611999</v>
      </c>
      <c r="G90" s="345">
        <v>1.6931689453000001</v>
      </c>
      <c r="H90" s="130"/>
      <c r="I90" s="345">
        <v>14988.9613439398</v>
      </c>
      <c r="J90" s="345">
        <v>1.2972144641000001</v>
      </c>
      <c r="K90" s="133"/>
      <c r="L90" s="345">
        <v>13784.6749405841</v>
      </c>
      <c r="M90" s="345">
        <v>1.1038331281</v>
      </c>
      <c r="N90" s="130"/>
      <c r="O90" s="345">
        <v>17029.9035662389</v>
      </c>
      <c r="P90" s="345">
        <v>1.3890039244000001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344">
        <v>50347.549406123697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345">
        <v>45307.735438119998</v>
      </c>
      <c r="G94" s="345">
        <v>1.4613117678</v>
      </c>
      <c r="H94" s="130"/>
      <c r="I94" s="345">
        <v>35534.665331052602</v>
      </c>
      <c r="J94" s="345">
        <v>1.1838774379000001</v>
      </c>
      <c r="K94" s="133"/>
      <c r="L94" s="345">
        <v>25526.535376919899</v>
      </c>
      <c r="M94" s="345">
        <v>0.88755667400000005</v>
      </c>
      <c r="N94" s="130"/>
      <c r="O94" s="345">
        <v>18343.257012616799</v>
      </c>
      <c r="P94" s="345">
        <v>0.65573815700000004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345">
        <v>49745.101903082301</v>
      </c>
      <c r="G95" s="345">
        <v>1.5078589318</v>
      </c>
      <c r="H95" s="130"/>
      <c r="I95" s="345">
        <v>34026.668393189801</v>
      </c>
      <c r="J95" s="345">
        <v>1.1435699554000001</v>
      </c>
      <c r="K95" s="133"/>
      <c r="L95" s="345">
        <v>22264.938854344698</v>
      </c>
      <c r="M95" s="345">
        <v>0.7914841493</v>
      </c>
      <c r="N95" s="130"/>
      <c r="O95" s="345">
        <v>14699.7829056961</v>
      </c>
      <c r="P95" s="345">
        <v>0.53586711909999996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345">
        <v>51440.458725809498</v>
      </c>
      <c r="G96" s="345">
        <v>1.6273367570999999</v>
      </c>
      <c r="H96" s="130"/>
      <c r="I96" s="345">
        <v>36327.958018320503</v>
      </c>
      <c r="J96" s="345">
        <v>1.2501958267</v>
      </c>
      <c r="K96" s="133"/>
      <c r="L96" s="345">
        <v>26622.947239007601</v>
      </c>
      <c r="M96" s="345">
        <v>0.93560288540000003</v>
      </c>
      <c r="N96" s="130"/>
      <c r="O96" s="345">
        <v>15507.4868274288</v>
      </c>
      <c r="P96" s="345">
        <v>0.56113296629999998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345">
        <v>51043.494266549802</v>
      </c>
      <c r="G97" s="345">
        <v>1.5714191922</v>
      </c>
      <c r="H97" s="130"/>
      <c r="I97" s="345">
        <v>34824.808065141297</v>
      </c>
      <c r="J97" s="345">
        <v>1.1989377054000001</v>
      </c>
      <c r="K97" s="133"/>
      <c r="L97" s="345">
        <v>23835.2888550729</v>
      </c>
      <c r="M97" s="345">
        <v>0.84771193450000004</v>
      </c>
      <c r="N97" s="130"/>
      <c r="O97" s="345">
        <v>15936.7809556627</v>
      </c>
      <c r="P97" s="345">
        <v>0.57590634760000003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345">
        <v>53609.862263413597</v>
      </c>
      <c r="G98" s="345">
        <v>1.7624413446</v>
      </c>
      <c r="H98" s="130"/>
      <c r="I98" s="345">
        <v>34094.958640034703</v>
      </c>
      <c r="J98" s="345">
        <v>1.1620442994</v>
      </c>
      <c r="K98" s="133"/>
      <c r="L98" s="345">
        <v>27134.089953712799</v>
      </c>
      <c r="M98" s="345">
        <v>0.96244249230000001</v>
      </c>
      <c r="N98" s="130"/>
      <c r="O98" s="345">
        <v>23218.870576606099</v>
      </c>
      <c r="P98" s="345">
        <v>0.8257531467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345">
        <v>44198.4223153153</v>
      </c>
      <c r="G99" s="345">
        <v>1.5611003314</v>
      </c>
      <c r="H99" s="130"/>
      <c r="I99" s="345">
        <v>35188.999513685303</v>
      </c>
      <c r="J99" s="345">
        <v>1.1992533565000001</v>
      </c>
      <c r="K99" s="133"/>
      <c r="L99" s="345">
        <v>30932.594150908601</v>
      </c>
      <c r="M99" s="345">
        <v>1.0624013886999999</v>
      </c>
      <c r="N99" s="130"/>
      <c r="O99" s="345">
        <v>35582.607486592497</v>
      </c>
      <c r="P99" s="345">
        <v>1.224303205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344">
        <v>12174.4839866041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345">
        <v>9482.6631056345996</v>
      </c>
      <c r="G103" s="345">
        <v>1.5131969034999999</v>
      </c>
      <c r="H103" s="130"/>
      <c r="I103" s="345">
        <v>6331.8740892266997</v>
      </c>
      <c r="J103" s="345">
        <v>1.1617076052999999</v>
      </c>
      <c r="K103" s="133"/>
      <c r="L103" s="345">
        <v>4815.5214128517</v>
      </c>
      <c r="M103" s="345">
        <v>0.89726925899999999</v>
      </c>
      <c r="N103" s="130"/>
      <c r="O103" s="345">
        <v>4957.6779823464003</v>
      </c>
      <c r="P103" s="345">
        <v>0.90851734910000004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345">
        <v>10977.455597342499</v>
      </c>
      <c r="G104" s="345">
        <v>1.5157967375000001</v>
      </c>
      <c r="H104" s="130"/>
      <c r="I104" s="345">
        <v>5951.3695716621996</v>
      </c>
      <c r="J104" s="345">
        <v>1.1151258674</v>
      </c>
      <c r="K104" s="133"/>
      <c r="L104" s="345">
        <v>4143.4644542481001</v>
      </c>
      <c r="M104" s="345">
        <v>0.78906726599999999</v>
      </c>
      <c r="N104" s="130"/>
      <c r="O104" s="345">
        <v>3526.4318108829002</v>
      </c>
      <c r="P104" s="345">
        <v>0.68717247839999995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345">
        <v>10925.116445006901</v>
      </c>
      <c r="G105" s="345">
        <v>1.8833748127000001</v>
      </c>
      <c r="H105" s="130"/>
      <c r="I105" s="345">
        <v>7175.1866851988998</v>
      </c>
      <c r="J105" s="345">
        <v>1.2282203529</v>
      </c>
      <c r="K105" s="133"/>
      <c r="L105" s="345">
        <v>6009.3349816519003</v>
      </c>
      <c r="M105" s="345">
        <v>1.1442246084000001</v>
      </c>
      <c r="N105" s="130"/>
      <c r="O105" s="345">
        <v>5273.1844817440997</v>
      </c>
      <c r="P105" s="345">
        <v>1.0364264997999999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345">
        <v>10023.366152799499</v>
      </c>
      <c r="G106" s="345">
        <v>1.8196779823</v>
      </c>
      <c r="H106" s="130"/>
      <c r="I106" s="345">
        <v>6772.0398553244004</v>
      </c>
      <c r="J106" s="345">
        <v>1.1354686142999999</v>
      </c>
      <c r="K106" s="133"/>
      <c r="L106" s="345">
        <v>6096.9243466302996</v>
      </c>
      <c r="M106" s="345">
        <v>1.1127272439</v>
      </c>
      <c r="N106" s="130"/>
      <c r="O106" s="345">
        <v>6048.0432288896</v>
      </c>
      <c r="P106" s="345">
        <v>1.1731134988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345">
        <v>10075.0782364303</v>
      </c>
      <c r="G107" s="345">
        <v>1.7847181159000001</v>
      </c>
      <c r="H107" s="130"/>
      <c r="I107" s="345">
        <v>6673.5348593208</v>
      </c>
      <c r="J107" s="345">
        <v>1.1485037867000001</v>
      </c>
      <c r="K107" s="133"/>
      <c r="L107" s="345">
        <v>5840.7661255233998</v>
      </c>
      <c r="M107" s="345">
        <v>1.0999745592000001</v>
      </c>
      <c r="N107" s="130"/>
      <c r="O107" s="345">
        <v>6734.3165452344001</v>
      </c>
      <c r="P107" s="345">
        <v>1.2829263442000001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345">
        <v>8446.4923612383991</v>
      </c>
      <c r="G108" s="345">
        <v>1.6203236897</v>
      </c>
      <c r="H108" s="130"/>
      <c r="I108" s="345">
        <v>5886.8974850532004</v>
      </c>
      <c r="J108" s="345">
        <v>1.0891003835999999</v>
      </c>
      <c r="K108" s="133"/>
      <c r="L108" s="345">
        <v>6911.8277438490004</v>
      </c>
      <c r="M108" s="345">
        <v>1.2260835172</v>
      </c>
      <c r="N108" s="130"/>
      <c r="O108" s="345">
        <v>8133.3022296873996</v>
      </c>
      <c r="P108" s="345">
        <v>1.4168416439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344">
        <v>39342.759310615002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345">
        <v>31050.297405746402</v>
      </c>
      <c r="G112" s="345">
        <v>1.6962028141000001</v>
      </c>
      <c r="H112" s="130"/>
      <c r="I112" s="345">
        <v>23776.653737219902</v>
      </c>
      <c r="J112" s="345">
        <v>1.3504146267999999</v>
      </c>
      <c r="K112" s="133"/>
      <c r="L112" s="345">
        <v>18254.2202286516</v>
      </c>
      <c r="M112" s="345">
        <v>1.0488354284000001</v>
      </c>
      <c r="N112" s="130"/>
      <c r="O112" s="345">
        <v>15356.168280841001</v>
      </c>
      <c r="P112" s="345">
        <v>0.90911636230000004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345">
        <v>32585.267097149899</v>
      </c>
      <c r="G113" s="345">
        <v>1.6230935666999999</v>
      </c>
      <c r="H113" s="130"/>
      <c r="I113" s="345">
        <v>24743.048346887001</v>
      </c>
      <c r="J113" s="345">
        <v>1.3685818372</v>
      </c>
      <c r="K113" s="133"/>
      <c r="L113" s="345">
        <v>14143.101960566801</v>
      </c>
      <c r="M113" s="345">
        <v>0.81788441219999997</v>
      </c>
      <c r="N113" s="130"/>
      <c r="O113" s="345">
        <v>14277.558445762001</v>
      </c>
      <c r="P113" s="345">
        <v>0.90357911319999995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345">
        <v>30265.524728890301</v>
      </c>
      <c r="G114" s="345">
        <v>1.7731661108000001</v>
      </c>
      <c r="H114" s="130"/>
      <c r="I114" s="345">
        <v>22182.913590205801</v>
      </c>
      <c r="J114" s="345">
        <v>1.2478002275</v>
      </c>
      <c r="K114" s="133"/>
      <c r="L114" s="345">
        <v>18418.480055658401</v>
      </c>
      <c r="M114" s="345">
        <v>1.0647837614</v>
      </c>
      <c r="N114" s="130"/>
      <c r="O114" s="345">
        <v>25279.2398554799</v>
      </c>
      <c r="P114" s="345">
        <v>1.4861580318000001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345">
        <v>33616.439929875902</v>
      </c>
      <c r="G115" s="345">
        <v>1.7906535361</v>
      </c>
      <c r="H115" s="130"/>
      <c r="I115" s="345">
        <v>20390.943835691902</v>
      </c>
      <c r="J115" s="345">
        <v>1.2296834867999999</v>
      </c>
      <c r="K115" s="133"/>
      <c r="L115" s="345">
        <v>23578.156284309</v>
      </c>
      <c r="M115" s="345">
        <v>1.3883487201</v>
      </c>
      <c r="N115" s="130"/>
      <c r="O115" s="345">
        <v>25853.779745368902</v>
      </c>
      <c r="P115" s="345">
        <v>1.5904124205000001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345">
        <v>33247.600709712402</v>
      </c>
      <c r="G116" s="345">
        <v>1.7970461311000001</v>
      </c>
      <c r="H116" s="130"/>
      <c r="I116" s="345">
        <v>20217.8416350343</v>
      </c>
      <c r="J116" s="345">
        <v>1.2269430812</v>
      </c>
      <c r="K116" s="133"/>
      <c r="L116" s="345">
        <v>19090.171457092099</v>
      </c>
      <c r="M116" s="345">
        <v>1.1346793618</v>
      </c>
      <c r="N116" s="130"/>
      <c r="O116" s="345">
        <v>28033.575383892301</v>
      </c>
      <c r="P116" s="345">
        <v>1.6557414778999999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345">
        <v>27133.581575425502</v>
      </c>
      <c r="G117" s="345">
        <v>1.5470711788</v>
      </c>
      <c r="H117" s="130"/>
      <c r="I117" s="345">
        <v>20369.2476956551</v>
      </c>
      <c r="J117" s="345">
        <v>1.2457205920000001</v>
      </c>
      <c r="K117" s="133"/>
      <c r="L117" s="345">
        <v>23271.807719915902</v>
      </c>
      <c r="M117" s="345">
        <v>1.3264465890999999</v>
      </c>
      <c r="N117" s="130"/>
      <c r="O117" s="345">
        <v>28965.745501309</v>
      </c>
      <c r="P117" s="345">
        <v>1.6719002462000001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344">
        <v>28850.313181142301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345">
        <v>18377.521648687401</v>
      </c>
      <c r="G121" s="345">
        <v>1.3311146323</v>
      </c>
      <c r="H121" s="130"/>
      <c r="I121" s="345">
        <v>13862.3061022742</v>
      </c>
      <c r="J121" s="345">
        <v>1.1552144981000001</v>
      </c>
      <c r="K121" s="133"/>
      <c r="L121" s="345">
        <v>10876.5762176382</v>
      </c>
      <c r="M121" s="345">
        <v>1.0982648939999999</v>
      </c>
      <c r="N121" s="130"/>
      <c r="O121" s="345">
        <v>8395.6269288470994</v>
      </c>
      <c r="P121" s="345">
        <v>0.84723161199999997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345">
        <v>21514.695911869399</v>
      </c>
      <c r="G122" s="345">
        <v>1.7311272253000001</v>
      </c>
      <c r="H122" s="130"/>
      <c r="I122" s="345">
        <v>14015.4259531876</v>
      </c>
      <c r="J122" s="345">
        <v>1.2478296079</v>
      </c>
      <c r="K122" s="133"/>
      <c r="L122" s="345">
        <v>12316.2178356084</v>
      </c>
      <c r="M122" s="345">
        <v>1.1740737331</v>
      </c>
      <c r="N122" s="130"/>
      <c r="O122" s="345">
        <v>6680.3523795469</v>
      </c>
      <c r="P122" s="345">
        <v>0.69779572050000005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345">
        <v>21133.8629570103</v>
      </c>
      <c r="G123" s="345">
        <v>1.8249782372000001</v>
      </c>
      <c r="H123" s="130"/>
      <c r="I123" s="345">
        <v>13404.5482282581</v>
      </c>
      <c r="J123" s="345">
        <v>1.1748590172</v>
      </c>
      <c r="K123" s="133"/>
      <c r="L123" s="345">
        <v>13313.8914352994</v>
      </c>
      <c r="M123" s="345">
        <v>1.2207565654000001</v>
      </c>
      <c r="N123" s="130"/>
      <c r="O123" s="345">
        <v>13059.333428326099</v>
      </c>
      <c r="P123" s="345">
        <v>1.3889170154999999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345">
        <v>15468.9699739353</v>
      </c>
      <c r="G124" s="345">
        <v>1.4691581615</v>
      </c>
      <c r="H124" s="130"/>
      <c r="I124" s="345">
        <v>12371.0160834915</v>
      </c>
      <c r="J124" s="345">
        <v>1.1289560086999999</v>
      </c>
      <c r="K124" s="133"/>
      <c r="L124" s="345">
        <v>13126.112947677801</v>
      </c>
      <c r="M124" s="345">
        <v>1.2699024833999999</v>
      </c>
      <c r="N124" s="130"/>
      <c r="O124" s="345">
        <v>22303.415356984398</v>
      </c>
      <c r="P124" s="345">
        <v>2.1336259011999998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345">
        <v>17369.665301550602</v>
      </c>
      <c r="G125" s="345">
        <v>1.6722211948000001</v>
      </c>
      <c r="H125" s="130"/>
      <c r="I125" s="345">
        <v>12108.7784858091</v>
      </c>
      <c r="J125" s="345">
        <v>1.0793648674</v>
      </c>
      <c r="K125" s="133"/>
      <c r="L125" s="345">
        <v>13323.688528922001</v>
      </c>
      <c r="M125" s="345">
        <v>1.2174832191</v>
      </c>
      <c r="N125" s="130"/>
      <c r="O125" s="345">
        <v>21097.074831612801</v>
      </c>
      <c r="P125" s="345">
        <v>2.0918639227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345">
        <v>11913.0670499352</v>
      </c>
      <c r="G126" s="345">
        <v>1.1916126532</v>
      </c>
      <c r="H126" s="130"/>
      <c r="I126" s="345">
        <v>10315.637416777399</v>
      </c>
      <c r="J126" s="345">
        <v>1.0169395363</v>
      </c>
      <c r="K126" s="133"/>
      <c r="L126" s="345">
        <v>10772.0102124315</v>
      </c>
      <c r="M126" s="345">
        <v>0.99098599580000002</v>
      </c>
      <c r="N126" s="130"/>
      <c r="O126" s="345">
        <v>21878.673064332899</v>
      </c>
      <c r="P126" s="345">
        <v>1.658523932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344">
        <v>24330.5739194446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345">
        <v>16648.124905592998</v>
      </c>
      <c r="G130" s="345">
        <v>1.3241863828</v>
      </c>
      <c r="H130" s="130"/>
      <c r="I130" s="345">
        <v>12408.6264405122</v>
      </c>
      <c r="J130" s="345">
        <v>1.2395768603999999</v>
      </c>
      <c r="K130" s="133"/>
      <c r="L130" s="345">
        <v>8956.3989123847005</v>
      </c>
      <c r="M130" s="345">
        <v>0.91941557309999999</v>
      </c>
      <c r="N130" s="130"/>
      <c r="O130" s="345">
        <v>7921.8621467576004</v>
      </c>
      <c r="P130" s="345">
        <v>0.94301508710000004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345">
        <v>19528.378447652602</v>
      </c>
      <c r="G131" s="345">
        <v>1.6118418358</v>
      </c>
      <c r="H131" s="130"/>
      <c r="I131" s="345">
        <v>13136.715157017599</v>
      </c>
      <c r="J131" s="345">
        <v>1.3333054171000001</v>
      </c>
      <c r="K131" s="133"/>
      <c r="L131" s="345">
        <v>10230.0318308634</v>
      </c>
      <c r="M131" s="345">
        <v>1.1391590237</v>
      </c>
      <c r="N131" s="130"/>
      <c r="O131" s="345">
        <v>6822.5284462505997</v>
      </c>
      <c r="P131" s="345">
        <v>0.81547640430000001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345">
        <v>20231.693484502801</v>
      </c>
      <c r="G132" s="345">
        <v>1.8654257356999999</v>
      </c>
      <c r="H132" s="130"/>
      <c r="I132" s="345">
        <v>14020.029388024201</v>
      </c>
      <c r="J132" s="345">
        <v>1.3631141469000001</v>
      </c>
      <c r="K132" s="133"/>
      <c r="L132" s="345">
        <v>10515.518644810099</v>
      </c>
      <c r="M132" s="345">
        <v>1.1723800147000001</v>
      </c>
      <c r="N132" s="130"/>
      <c r="O132" s="345">
        <v>8797.9082079808995</v>
      </c>
      <c r="P132" s="345">
        <v>1.057947266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345">
        <v>15839.0928863094</v>
      </c>
      <c r="G133" s="345">
        <v>1.5466051087999999</v>
      </c>
      <c r="H133" s="130"/>
      <c r="I133" s="345">
        <v>14874.958054213699</v>
      </c>
      <c r="J133" s="345">
        <v>1.4593122718</v>
      </c>
      <c r="K133" s="133"/>
      <c r="L133" s="345">
        <v>12445.9492712995</v>
      </c>
      <c r="M133" s="345">
        <v>1.3336388323999999</v>
      </c>
      <c r="N133" s="130"/>
      <c r="O133" s="345">
        <v>13005.824610889</v>
      </c>
      <c r="P133" s="345">
        <v>1.5276078958999999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345">
        <v>15376.985990385399</v>
      </c>
      <c r="G134" s="345">
        <v>1.6210706842</v>
      </c>
      <c r="H134" s="130"/>
      <c r="I134" s="345">
        <v>13166.060049739301</v>
      </c>
      <c r="J134" s="345">
        <v>1.3486015656000001</v>
      </c>
      <c r="K134" s="133"/>
      <c r="L134" s="345">
        <v>11416.6700314626</v>
      </c>
      <c r="M134" s="345">
        <v>1.1872313477000001</v>
      </c>
      <c r="N134" s="130"/>
      <c r="O134" s="345">
        <v>14522.3246372463</v>
      </c>
      <c r="P134" s="345">
        <v>1.5370084868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345">
        <v>11970.3982971895</v>
      </c>
      <c r="G135" s="345">
        <v>1.2676634035000001</v>
      </c>
      <c r="H135" s="130"/>
      <c r="I135" s="345">
        <v>13575.6499267896</v>
      </c>
      <c r="J135" s="345">
        <v>1.4004712799000001</v>
      </c>
      <c r="K135" s="133"/>
      <c r="L135" s="345">
        <v>11132.288607148899</v>
      </c>
      <c r="M135" s="345">
        <v>1.1454106635000001</v>
      </c>
      <c r="N135" s="130"/>
      <c r="O135" s="345">
        <v>17055.107416148199</v>
      </c>
      <c r="P135" s="345">
        <v>1.8443806768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344">
        <v>55559.275928897499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345">
        <v>48269.758344812602</v>
      </c>
      <c r="G139" s="345">
        <v>1.6974047724000001</v>
      </c>
      <c r="H139" s="130"/>
      <c r="I139" s="345">
        <v>32008.971238890801</v>
      </c>
      <c r="J139" s="345">
        <v>1.1525498512000001</v>
      </c>
      <c r="K139" s="133"/>
      <c r="L139" s="345">
        <v>22643.157737375099</v>
      </c>
      <c r="M139" s="345">
        <v>0.96889611450000002</v>
      </c>
      <c r="N139" s="130"/>
      <c r="O139" s="345">
        <v>17086.6232114015</v>
      </c>
      <c r="P139" s="345">
        <v>0.71553387000000002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345">
        <v>48143.288043722598</v>
      </c>
      <c r="G140" s="345">
        <v>1.4990954080000001</v>
      </c>
      <c r="H140" s="130"/>
      <c r="I140" s="345">
        <v>32111.7366052217</v>
      </c>
      <c r="J140" s="345">
        <v>1.2188599175999999</v>
      </c>
      <c r="K140" s="133"/>
      <c r="L140" s="345">
        <v>18266.992370660799</v>
      </c>
      <c r="M140" s="345">
        <v>0.76203162810000002</v>
      </c>
      <c r="N140" s="130"/>
      <c r="O140" s="345">
        <v>12228.7250372854</v>
      </c>
      <c r="P140" s="345">
        <v>0.52911453539999997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345">
        <v>52485.827376772497</v>
      </c>
      <c r="G141" s="345">
        <v>2.0740282697999999</v>
      </c>
      <c r="H141" s="130"/>
      <c r="I141" s="345">
        <v>32287.466731487199</v>
      </c>
      <c r="J141" s="345">
        <v>1.2328741268000001</v>
      </c>
      <c r="K141" s="133"/>
      <c r="L141" s="345">
        <v>32802.469654866298</v>
      </c>
      <c r="M141" s="345">
        <v>1.3154455405000001</v>
      </c>
      <c r="N141" s="130"/>
      <c r="O141" s="345">
        <v>24933.232167323102</v>
      </c>
      <c r="P141" s="345">
        <v>1.0607190176000001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345">
        <v>43677.215573072201</v>
      </c>
      <c r="G142" s="345">
        <v>1.7512492179000001</v>
      </c>
      <c r="H142" s="130"/>
      <c r="I142" s="345">
        <v>31798.3278814041</v>
      </c>
      <c r="J142" s="345">
        <v>1.1578221901000001</v>
      </c>
      <c r="K142" s="133"/>
      <c r="L142" s="345">
        <v>31094.056985808598</v>
      </c>
      <c r="M142" s="345">
        <v>1.2679306444</v>
      </c>
      <c r="N142" s="130"/>
      <c r="O142" s="345">
        <v>26821.8952531594</v>
      </c>
      <c r="P142" s="345">
        <v>1.1131062099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345">
        <v>42429.766036792898</v>
      </c>
      <c r="G143" s="345">
        <v>1.6895271728000001</v>
      </c>
      <c r="H143" s="130"/>
      <c r="I143" s="345">
        <v>30708.1117904848</v>
      </c>
      <c r="J143" s="345">
        <v>1.0822986828000001</v>
      </c>
      <c r="K143" s="133"/>
      <c r="L143" s="345">
        <v>30684.185674230699</v>
      </c>
      <c r="M143" s="345">
        <v>1.1995668665999999</v>
      </c>
      <c r="N143" s="130"/>
      <c r="O143" s="345">
        <v>26124.599871550399</v>
      </c>
      <c r="P143" s="345">
        <v>1.1278488616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345">
        <v>38054.837233546001</v>
      </c>
      <c r="G144" s="345">
        <v>1.6271324938</v>
      </c>
      <c r="H144" s="130"/>
      <c r="I144" s="345">
        <v>33500.528546669098</v>
      </c>
      <c r="J144" s="345">
        <v>1.2743364627</v>
      </c>
      <c r="K144" s="133"/>
      <c r="L144" s="345">
        <v>31034.0545582872</v>
      </c>
      <c r="M144" s="345">
        <v>1.1553311818000001</v>
      </c>
      <c r="N144" s="130"/>
      <c r="O144" s="345">
        <v>39089.159970656998</v>
      </c>
      <c r="P144" s="345">
        <v>1.5983622423999999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344">
        <v>153845.18493733901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345">
        <v>102558.323944419</v>
      </c>
      <c r="G148" s="345">
        <v>1.5987318720999999</v>
      </c>
      <c r="H148" s="130"/>
      <c r="I148" s="345">
        <v>76669.367331273403</v>
      </c>
      <c r="J148" s="345">
        <v>1.3035921405999999</v>
      </c>
      <c r="K148" s="133"/>
      <c r="L148" s="345">
        <v>47865.416372510197</v>
      </c>
      <c r="M148" s="345">
        <v>0.93077726159999996</v>
      </c>
      <c r="N148" s="130"/>
      <c r="O148" s="345">
        <v>47525.449934512399</v>
      </c>
      <c r="P148" s="345">
        <v>0.98614700089999996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345">
        <v>101393.15403871299</v>
      </c>
      <c r="G149" s="345">
        <v>1.5826690589000001</v>
      </c>
      <c r="H149" s="130"/>
      <c r="I149" s="345">
        <v>86033.512994305594</v>
      </c>
      <c r="J149" s="345">
        <v>1.4583695321000001</v>
      </c>
      <c r="K149" s="133"/>
      <c r="L149" s="345">
        <v>48853.516134966398</v>
      </c>
      <c r="M149" s="345">
        <v>1.0140468757000001</v>
      </c>
      <c r="N149" s="130"/>
      <c r="O149" s="345">
        <v>33737.780731480401</v>
      </c>
      <c r="P149" s="345">
        <v>0.66471356770000001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345">
        <v>115591.36670296799</v>
      </c>
      <c r="G150" s="345">
        <v>1.9030527779999999</v>
      </c>
      <c r="H150" s="130"/>
      <c r="I150" s="345">
        <v>78768.908170598996</v>
      </c>
      <c r="J150" s="345">
        <v>1.4140271077</v>
      </c>
      <c r="K150" s="133"/>
      <c r="L150" s="345">
        <v>57077.182499699797</v>
      </c>
      <c r="M150" s="345">
        <v>1.1889253567</v>
      </c>
      <c r="N150" s="130"/>
      <c r="O150" s="345">
        <v>44071.842153834201</v>
      </c>
      <c r="P150" s="345">
        <v>0.89283408409999998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345">
        <v>105830.992595392</v>
      </c>
      <c r="G151" s="345">
        <v>1.8033337398</v>
      </c>
      <c r="H151" s="130"/>
      <c r="I151" s="345">
        <v>75861.336572780303</v>
      </c>
      <c r="J151" s="345">
        <v>1.3278323165999999</v>
      </c>
      <c r="K151" s="133"/>
      <c r="L151" s="345">
        <v>53200.832915699801</v>
      </c>
      <c r="M151" s="345">
        <v>1.0251682394999999</v>
      </c>
      <c r="N151" s="130"/>
      <c r="O151" s="345">
        <v>52643.918394639302</v>
      </c>
      <c r="P151" s="345">
        <v>1.0616252263999999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345">
        <v>90082.464814018007</v>
      </c>
      <c r="G152" s="345">
        <v>1.5819193568000001</v>
      </c>
      <c r="H152" s="130"/>
      <c r="I152" s="345">
        <v>75400.454894599694</v>
      </c>
      <c r="J152" s="345">
        <v>1.2407180145000001</v>
      </c>
      <c r="K152" s="133"/>
      <c r="L152" s="345">
        <v>56676.736100312002</v>
      </c>
      <c r="M152" s="345">
        <v>1.1164506863999999</v>
      </c>
      <c r="N152" s="130"/>
      <c r="O152" s="345">
        <v>70379.275391000207</v>
      </c>
      <c r="P152" s="345">
        <v>1.4019863256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345">
        <v>73223.272835765994</v>
      </c>
      <c r="G153" s="345">
        <v>1.4428147177999999</v>
      </c>
      <c r="H153" s="130"/>
      <c r="I153" s="345">
        <v>60480.079101258802</v>
      </c>
      <c r="J153" s="345">
        <v>1.0800690472000001</v>
      </c>
      <c r="K153" s="133"/>
      <c r="L153" s="345">
        <v>65462.873888645998</v>
      </c>
      <c r="M153" s="345">
        <v>1.3318412752</v>
      </c>
      <c r="N153" s="130"/>
      <c r="O153" s="345">
        <v>102177.21464630601</v>
      </c>
      <c r="P153" s="345">
        <v>1.7233495664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344">
        <v>48544.014646115298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345">
        <v>40050.462580961401</v>
      </c>
      <c r="G157" s="345">
        <v>1.9496777709999999</v>
      </c>
      <c r="H157" s="130"/>
      <c r="I157" s="345">
        <v>18247.943427124901</v>
      </c>
      <c r="J157" s="345">
        <v>1.180540922</v>
      </c>
      <c r="K157" s="133"/>
      <c r="L157" s="345">
        <v>11924.299043429</v>
      </c>
      <c r="M157" s="345">
        <v>0.88329890430000002</v>
      </c>
      <c r="N157" s="130"/>
      <c r="O157" s="345">
        <v>11967.2189622804</v>
      </c>
      <c r="P157" s="345">
        <v>0.91433853570000001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345">
        <v>40634.446184792498</v>
      </c>
      <c r="G158" s="345">
        <v>1.9656359187000001</v>
      </c>
      <c r="H158" s="130"/>
      <c r="I158" s="345">
        <v>18609.538305388302</v>
      </c>
      <c r="J158" s="345">
        <v>1.2511453066</v>
      </c>
      <c r="K158" s="133"/>
      <c r="L158" s="345">
        <v>13733.3738751908</v>
      </c>
      <c r="M158" s="345">
        <v>1.0037066581</v>
      </c>
      <c r="N158" s="130"/>
      <c r="O158" s="345">
        <v>10847.5941775055</v>
      </c>
      <c r="P158" s="345">
        <v>0.81908420959999995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345">
        <v>42279.326145649</v>
      </c>
      <c r="G159" s="345">
        <v>2.5414002538</v>
      </c>
      <c r="H159" s="130"/>
      <c r="I159" s="345">
        <v>15603.9291124256</v>
      </c>
      <c r="J159" s="345">
        <v>1.0644837490000001</v>
      </c>
      <c r="K159" s="133"/>
      <c r="L159" s="345">
        <v>23506.032866878701</v>
      </c>
      <c r="M159" s="345">
        <v>1.6589157343000001</v>
      </c>
      <c r="N159" s="130"/>
      <c r="O159" s="345">
        <v>16156.218125741099</v>
      </c>
      <c r="P159" s="345">
        <v>1.2628128461999999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345">
        <v>39913.630689251098</v>
      </c>
      <c r="G160" s="345">
        <v>2.1609691324</v>
      </c>
      <c r="H160" s="130"/>
      <c r="I160" s="345">
        <v>19046.7355297053</v>
      </c>
      <c r="J160" s="345">
        <v>1.2561826225999999</v>
      </c>
      <c r="K160" s="133"/>
      <c r="L160" s="345">
        <v>17081.309458356802</v>
      </c>
      <c r="M160" s="345">
        <v>1.2620577515</v>
      </c>
      <c r="N160" s="130"/>
      <c r="O160" s="345">
        <v>15303.4695484817</v>
      </c>
      <c r="P160" s="345">
        <v>1.2116075340000001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345">
        <v>37945.238707737903</v>
      </c>
      <c r="G161" s="345">
        <v>2.0291330642999998</v>
      </c>
      <c r="H161" s="130"/>
      <c r="I161" s="345">
        <v>17475.330082629502</v>
      </c>
      <c r="J161" s="345">
        <v>1.1178691478</v>
      </c>
      <c r="K161" s="133"/>
      <c r="L161" s="345">
        <v>17743.655190551501</v>
      </c>
      <c r="M161" s="345">
        <v>1.2594628623999999</v>
      </c>
      <c r="N161" s="130"/>
      <c r="O161" s="345">
        <v>18917.807783655</v>
      </c>
      <c r="P161" s="345">
        <v>1.5447978131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345">
        <v>27591.384563738</v>
      </c>
      <c r="G162" s="345">
        <v>1.6448923311999999</v>
      </c>
      <c r="H162" s="130"/>
      <c r="I162" s="345">
        <v>17701.578528944599</v>
      </c>
      <c r="J162" s="345">
        <v>1.1094291301999999</v>
      </c>
      <c r="K162" s="133"/>
      <c r="L162" s="345">
        <v>18725.515155898502</v>
      </c>
      <c r="M162" s="345">
        <v>1.3268093344</v>
      </c>
      <c r="N162" s="130"/>
      <c r="O162" s="345">
        <v>24137.570170392999</v>
      </c>
      <c r="P162" s="345">
        <v>1.6909544157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344">
        <v>20366.691328497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345">
        <v>13209.0744137197</v>
      </c>
      <c r="G166" s="345">
        <v>1.3656589321999999</v>
      </c>
      <c r="H166" s="130"/>
      <c r="I166" s="345">
        <v>9044.6917667345006</v>
      </c>
      <c r="J166" s="345">
        <v>1.1871554625</v>
      </c>
      <c r="K166" s="133"/>
      <c r="L166" s="345">
        <v>5128.2566947204996</v>
      </c>
      <c r="M166" s="345">
        <v>0.91403821360000004</v>
      </c>
      <c r="N166" s="130"/>
      <c r="O166" s="345">
        <v>4960.2975813570001</v>
      </c>
      <c r="P166" s="345">
        <v>0.74177471139999995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345">
        <v>15689.729094964699</v>
      </c>
      <c r="G167" s="345">
        <v>1.4704261237</v>
      </c>
      <c r="H167" s="130"/>
      <c r="I167" s="345">
        <v>9066.8656923366998</v>
      </c>
      <c r="J167" s="345">
        <v>1.2974562735999999</v>
      </c>
      <c r="K167" s="133"/>
      <c r="L167" s="345">
        <v>5514.4124676519996</v>
      </c>
      <c r="M167" s="345">
        <v>0.96733186029999996</v>
      </c>
      <c r="N167" s="130"/>
      <c r="O167" s="345">
        <v>4793.3991849802997</v>
      </c>
      <c r="P167" s="345">
        <v>0.82065468210000003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345">
        <v>16997.1980460042</v>
      </c>
      <c r="G168" s="345">
        <v>2.0050367402</v>
      </c>
      <c r="H168" s="130"/>
      <c r="I168" s="345">
        <v>9086.8421472281007</v>
      </c>
      <c r="J168" s="345">
        <v>1.3072488329</v>
      </c>
      <c r="K168" s="133"/>
      <c r="L168" s="345">
        <v>6365.4881918056999</v>
      </c>
      <c r="M168" s="345">
        <v>1.0414518298</v>
      </c>
      <c r="N168" s="130"/>
      <c r="O168" s="345">
        <v>5144.4812247681002</v>
      </c>
      <c r="P168" s="345">
        <v>0.91419674610000001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345">
        <v>15765.515880908701</v>
      </c>
      <c r="G169" s="345">
        <v>1.9955486738999999</v>
      </c>
      <c r="H169" s="130"/>
      <c r="I169" s="345">
        <v>9175.7024813126009</v>
      </c>
      <c r="J169" s="345">
        <v>1.3487048963999999</v>
      </c>
      <c r="K169" s="133"/>
      <c r="L169" s="345">
        <v>7538.5449977620001</v>
      </c>
      <c r="M169" s="345">
        <v>1.1797532853999999</v>
      </c>
      <c r="N169" s="130"/>
      <c r="O169" s="345">
        <v>5717.8117546809999</v>
      </c>
      <c r="P169" s="345">
        <v>0.96100930490000003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345">
        <v>16872.848370855001</v>
      </c>
      <c r="G170" s="345">
        <v>1.9109897473999999</v>
      </c>
      <c r="H170" s="130"/>
      <c r="I170" s="345">
        <v>7151.3392273149002</v>
      </c>
      <c r="J170" s="345">
        <v>1.1904958300999999</v>
      </c>
      <c r="K170" s="133"/>
      <c r="L170" s="345">
        <v>8282.6316534440994</v>
      </c>
      <c r="M170" s="345">
        <v>1.3070455767</v>
      </c>
      <c r="N170" s="130"/>
      <c r="O170" s="345">
        <v>6855.9991139537997</v>
      </c>
      <c r="P170" s="345">
        <v>1.2295006649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345">
        <v>11073.911360890301</v>
      </c>
      <c r="G171" s="345">
        <v>1.5944985612</v>
      </c>
      <c r="H171" s="130"/>
      <c r="I171" s="345">
        <v>7168.4048816061004</v>
      </c>
      <c r="J171" s="345">
        <v>1.1821129598</v>
      </c>
      <c r="K171" s="133"/>
      <c r="L171" s="345">
        <v>9738.6053610957006</v>
      </c>
      <c r="M171" s="345">
        <v>1.4909684938000001</v>
      </c>
      <c r="N171" s="130"/>
      <c r="O171" s="345">
        <v>12124.474941508101</v>
      </c>
      <c r="P171" s="345">
        <v>1.7706318399000001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344">
        <v>10075.872713184701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345">
        <v>7350.7110660618</v>
      </c>
      <c r="G175" s="345">
        <v>1.5810350743999999</v>
      </c>
      <c r="H175" s="130"/>
      <c r="I175" s="345">
        <v>5187.2279541655998</v>
      </c>
      <c r="J175" s="345">
        <v>1.1790425143000001</v>
      </c>
      <c r="K175" s="133"/>
      <c r="L175" s="345">
        <v>3492.2950596431001</v>
      </c>
      <c r="M175" s="345">
        <v>0.85981679379999998</v>
      </c>
      <c r="N175" s="130"/>
      <c r="O175" s="345">
        <v>2805.0714506435002</v>
      </c>
      <c r="P175" s="345">
        <v>0.76660461010000003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345">
        <v>9012.3093772229004</v>
      </c>
      <c r="G176" s="345">
        <v>1.8215200378</v>
      </c>
      <c r="H176" s="130"/>
      <c r="I176" s="345">
        <v>5404.1140971728</v>
      </c>
      <c r="J176" s="345">
        <v>1.3695598939</v>
      </c>
      <c r="K176" s="133"/>
      <c r="L176" s="345">
        <v>2973.3985462616001</v>
      </c>
      <c r="M176" s="345">
        <v>0.78264790110000004</v>
      </c>
      <c r="N176" s="130"/>
      <c r="O176" s="345">
        <v>2797.2584925747001</v>
      </c>
      <c r="P176" s="345">
        <v>0.75544734940000002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345">
        <v>8128.3993623083998</v>
      </c>
      <c r="G177" s="345">
        <v>2.0389540464000002</v>
      </c>
      <c r="H177" s="130"/>
      <c r="I177" s="345">
        <v>5411.2761805665004</v>
      </c>
      <c r="J177" s="345">
        <v>1.3035104622</v>
      </c>
      <c r="K177" s="133"/>
      <c r="L177" s="345">
        <v>4770.0299883251</v>
      </c>
      <c r="M177" s="345">
        <v>1.1717671360999999</v>
      </c>
      <c r="N177" s="130"/>
      <c r="O177" s="345">
        <v>2725.9836972629</v>
      </c>
      <c r="P177" s="345">
        <v>0.68601952259999999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345">
        <v>8128.2818259492997</v>
      </c>
      <c r="G178" s="345">
        <v>2.0091925542000002</v>
      </c>
      <c r="H178" s="130"/>
      <c r="I178" s="345">
        <v>6088.5842833885999</v>
      </c>
      <c r="J178" s="345">
        <v>1.4070331708999999</v>
      </c>
      <c r="K178" s="133"/>
      <c r="L178" s="345">
        <v>4012.3509758983</v>
      </c>
      <c r="M178" s="345">
        <v>1.0071937046999999</v>
      </c>
      <c r="N178" s="130"/>
      <c r="O178" s="345">
        <v>5780.2164408516001</v>
      </c>
      <c r="P178" s="345">
        <v>1.5872230203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345">
        <v>9003.7234132488993</v>
      </c>
      <c r="G179" s="345">
        <v>2.1979392277000001</v>
      </c>
      <c r="H179" s="130"/>
      <c r="I179" s="345">
        <v>6820.8058223584003</v>
      </c>
      <c r="J179" s="345">
        <v>1.6938054535</v>
      </c>
      <c r="K179" s="133"/>
      <c r="L179" s="345">
        <v>4067.4166364053999</v>
      </c>
      <c r="M179" s="345">
        <v>1.0362425303</v>
      </c>
      <c r="N179" s="130"/>
      <c r="O179" s="345">
        <v>3876.4311368272001</v>
      </c>
      <c r="P179" s="345">
        <v>1.0409888315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345">
        <v>7626.8351303575</v>
      </c>
      <c r="G180" s="345">
        <v>2.0163183715000002</v>
      </c>
      <c r="H180" s="130"/>
      <c r="I180" s="345">
        <v>5532.7635328055003</v>
      </c>
      <c r="J180" s="345">
        <v>1.3407388819999999</v>
      </c>
      <c r="K180" s="133"/>
      <c r="L180" s="345">
        <v>5000.6709572318996</v>
      </c>
      <c r="M180" s="345">
        <v>1.2582732508000001</v>
      </c>
      <c r="N180" s="130"/>
      <c r="O180" s="345">
        <v>6979.6663075564002</v>
      </c>
      <c r="P180" s="345">
        <v>1.7809971153999999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344">
        <v>46826.58478284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345">
        <v>36100.789293641297</v>
      </c>
      <c r="G184" s="345">
        <v>1.8340413468000001</v>
      </c>
      <c r="H184" s="130"/>
      <c r="I184" s="345">
        <v>22980.546494328999</v>
      </c>
      <c r="J184" s="345">
        <v>1.1456124544999999</v>
      </c>
      <c r="K184" s="133"/>
      <c r="L184" s="345">
        <v>15767.740961028499</v>
      </c>
      <c r="M184" s="345">
        <v>0.86114460370000001</v>
      </c>
      <c r="N184" s="130"/>
      <c r="O184" s="345">
        <v>18192.4928342534</v>
      </c>
      <c r="P184" s="345">
        <v>1.0440886968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345">
        <v>38429.878711739701</v>
      </c>
      <c r="G185" s="345">
        <v>1.6525922247</v>
      </c>
      <c r="H185" s="130"/>
      <c r="I185" s="345">
        <v>23606.576342989902</v>
      </c>
      <c r="J185" s="345">
        <v>1.2023087691000001</v>
      </c>
      <c r="K185" s="133"/>
      <c r="L185" s="345">
        <v>10866.2145097457</v>
      </c>
      <c r="M185" s="345">
        <v>0.64194029529999996</v>
      </c>
      <c r="N185" s="130"/>
      <c r="O185" s="345">
        <v>14119.016109919199</v>
      </c>
      <c r="P185" s="345">
        <v>0.83047334439999998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345">
        <v>37850.568645968102</v>
      </c>
      <c r="G186" s="345">
        <v>2.2891711888000001</v>
      </c>
      <c r="H186" s="130"/>
      <c r="I186" s="345">
        <v>23824.4992176411</v>
      </c>
      <c r="J186" s="345">
        <v>1.2542191075</v>
      </c>
      <c r="K186" s="133"/>
      <c r="L186" s="345">
        <v>18879.1177497153</v>
      </c>
      <c r="M186" s="345">
        <v>1.0292153351</v>
      </c>
      <c r="N186" s="130"/>
      <c r="O186" s="345">
        <v>26497.262039643902</v>
      </c>
      <c r="P186" s="345">
        <v>1.4841474525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345">
        <v>39587.295192695303</v>
      </c>
      <c r="G187" s="345">
        <v>1.9743646691000001</v>
      </c>
      <c r="H187" s="130"/>
      <c r="I187" s="345">
        <v>27477.314243093399</v>
      </c>
      <c r="J187" s="345">
        <v>1.4665421911000001</v>
      </c>
      <c r="K187" s="133"/>
      <c r="L187" s="345">
        <v>15960.6775787606</v>
      </c>
      <c r="M187" s="345">
        <v>0.90380223999999998</v>
      </c>
      <c r="N187" s="130"/>
      <c r="O187" s="345">
        <v>21136.949028443702</v>
      </c>
      <c r="P187" s="345">
        <v>1.2516662339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345">
        <v>38422.268780836101</v>
      </c>
      <c r="G188" s="345">
        <v>1.8411569534000001</v>
      </c>
      <c r="H188" s="130"/>
      <c r="I188" s="345">
        <v>22971.304246015901</v>
      </c>
      <c r="J188" s="345">
        <v>1.2336303984999999</v>
      </c>
      <c r="K188" s="133"/>
      <c r="L188" s="345">
        <v>15103.316390021</v>
      </c>
      <c r="M188" s="345">
        <v>0.83746593889999998</v>
      </c>
      <c r="N188" s="130"/>
      <c r="O188" s="345">
        <v>22500.088664912098</v>
      </c>
      <c r="P188" s="345">
        <v>1.3258560328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345">
        <v>29714.270093963201</v>
      </c>
      <c r="G189" s="345">
        <v>1.8407202301000001</v>
      </c>
      <c r="H189" s="130"/>
      <c r="I189" s="345">
        <v>26100.644182517899</v>
      </c>
      <c r="J189" s="345">
        <v>1.3615805272999999</v>
      </c>
      <c r="K189" s="133"/>
      <c r="L189" s="345">
        <v>22264.627889985401</v>
      </c>
      <c r="M189" s="345">
        <v>1.1706126610000001</v>
      </c>
      <c r="N189" s="130"/>
      <c r="O189" s="345">
        <v>29192.325007368599</v>
      </c>
      <c r="P189" s="345">
        <v>1.6026333974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344">
        <v>51721.305046021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345">
        <v>28237.2057588139</v>
      </c>
      <c r="G193" s="345">
        <v>1.5328797771</v>
      </c>
      <c r="H193" s="130"/>
      <c r="I193" s="345">
        <v>18048.4843596961</v>
      </c>
      <c r="J193" s="345">
        <v>1.0707610569999999</v>
      </c>
      <c r="K193" s="133"/>
      <c r="L193" s="345">
        <v>17162.801159091901</v>
      </c>
      <c r="M193" s="345">
        <v>1.197073949</v>
      </c>
      <c r="N193" s="130"/>
      <c r="O193" s="345">
        <v>13325.708552173</v>
      </c>
      <c r="P193" s="345">
        <v>1.1117372888999999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345">
        <v>32495.957352246998</v>
      </c>
      <c r="G194" s="345">
        <v>1.7757575504000001</v>
      </c>
      <c r="H194" s="130"/>
      <c r="I194" s="345">
        <v>19267.6390270681</v>
      </c>
      <c r="J194" s="345">
        <v>1.1411703236999999</v>
      </c>
      <c r="K194" s="133"/>
      <c r="L194" s="345">
        <v>14409.390110451001</v>
      </c>
      <c r="M194" s="345">
        <v>1.0888092693</v>
      </c>
      <c r="N194" s="130"/>
      <c r="O194" s="345">
        <v>10885.7159002396</v>
      </c>
      <c r="P194" s="345">
        <v>0.91562058160000004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345">
        <v>29441.609065827601</v>
      </c>
      <c r="G195" s="345">
        <v>2.1351891328999999</v>
      </c>
      <c r="H195" s="130"/>
      <c r="I195" s="345">
        <v>20595.321586813701</v>
      </c>
      <c r="J195" s="345">
        <v>1.2305451219000001</v>
      </c>
      <c r="K195" s="133"/>
      <c r="L195" s="345">
        <v>17655.699008798601</v>
      </c>
      <c r="M195" s="345">
        <v>1.2355611729</v>
      </c>
      <c r="N195" s="130"/>
      <c r="O195" s="345">
        <v>17912.825273458198</v>
      </c>
      <c r="P195" s="345">
        <v>1.4310529343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345">
        <v>26813.7289629878</v>
      </c>
      <c r="G196" s="345">
        <v>2.0003858851</v>
      </c>
      <c r="H196" s="130"/>
      <c r="I196" s="345">
        <v>20657.481150297899</v>
      </c>
      <c r="J196" s="345">
        <v>1.3058091144999999</v>
      </c>
      <c r="K196" s="133"/>
      <c r="L196" s="345">
        <v>20281.238905251299</v>
      </c>
      <c r="M196" s="345">
        <v>1.3719655698</v>
      </c>
      <c r="N196" s="130"/>
      <c r="O196" s="345">
        <v>23528.552418873802</v>
      </c>
      <c r="P196" s="345">
        <v>1.9839951646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345">
        <v>27071.811774165399</v>
      </c>
      <c r="G197" s="345">
        <v>1.9255976476000001</v>
      </c>
      <c r="H197" s="130"/>
      <c r="I197" s="345">
        <v>20646.110487023299</v>
      </c>
      <c r="J197" s="345">
        <v>1.1886290417000001</v>
      </c>
      <c r="K197" s="133"/>
      <c r="L197" s="345">
        <v>17983.4903062993</v>
      </c>
      <c r="M197" s="345">
        <v>1.1155007700999999</v>
      </c>
      <c r="N197" s="130"/>
      <c r="O197" s="345">
        <v>20080.9080232003</v>
      </c>
      <c r="P197" s="345">
        <v>1.7767095783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345">
        <v>16001.3431672362</v>
      </c>
      <c r="G198" s="345">
        <v>1.2181762842999999</v>
      </c>
      <c r="H198" s="130"/>
      <c r="I198" s="345">
        <v>15432.923586397201</v>
      </c>
      <c r="J198" s="345">
        <v>1.0149777126999999</v>
      </c>
      <c r="K198" s="133"/>
      <c r="L198" s="345">
        <v>22035.949975216601</v>
      </c>
      <c r="M198" s="345">
        <v>1.4211952783999999</v>
      </c>
      <c r="N198" s="130"/>
      <c r="O198" s="345">
        <v>24818.689973831599</v>
      </c>
      <c r="P198" s="345">
        <v>1.6427957788000001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344">
        <v>60553.044746405503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345">
        <v>31529.507689727299</v>
      </c>
      <c r="G202" s="345">
        <v>1.3902077876000001</v>
      </c>
      <c r="H202" s="130"/>
      <c r="I202" s="345">
        <v>29060.463599852799</v>
      </c>
      <c r="J202" s="345">
        <v>1.1707733070999999</v>
      </c>
      <c r="K202" s="133"/>
      <c r="L202" s="345">
        <v>24750.822498231199</v>
      </c>
      <c r="M202" s="345">
        <v>1.2013496679</v>
      </c>
      <c r="N202" s="130"/>
      <c r="O202" s="345">
        <v>15131.573862334601</v>
      </c>
      <c r="P202" s="345">
        <v>0.84341579929999999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345">
        <v>38064.500983808502</v>
      </c>
      <c r="G203" s="345">
        <v>1.7219129874000001</v>
      </c>
      <c r="H203" s="130"/>
      <c r="I203" s="345">
        <v>28539.085994367499</v>
      </c>
      <c r="J203" s="345">
        <v>1.1712493754</v>
      </c>
      <c r="K203" s="133"/>
      <c r="L203" s="345">
        <v>24972.868563832399</v>
      </c>
      <c r="M203" s="345">
        <v>1.2638885749</v>
      </c>
      <c r="N203" s="130"/>
      <c r="O203" s="345">
        <v>11487.0418810098</v>
      </c>
      <c r="P203" s="345">
        <v>0.64766019379999995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345">
        <v>35217.969433193401</v>
      </c>
      <c r="G204" s="345">
        <v>1.9017792414000001</v>
      </c>
      <c r="H204" s="130"/>
      <c r="I204" s="345">
        <v>23607.374931626899</v>
      </c>
      <c r="J204" s="345">
        <v>1.2005846916</v>
      </c>
      <c r="K204" s="133"/>
      <c r="L204" s="345">
        <v>29764.239275919401</v>
      </c>
      <c r="M204" s="345">
        <v>1.3945575694000001</v>
      </c>
      <c r="N204" s="130"/>
      <c r="O204" s="345">
        <v>27078.772122326402</v>
      </c>
      <c r="P204" s="345">
        <v>1.3516654052999999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345">
        <v>31741.4103509083</v>
      </c>
      <c r="G205" s="345">
        <v>1.6120351222</v>
      </c>
      <c r="H205" s="130"/>
      <c r="I205" s="345">
        <v>30164.8148068884</v>
      </c>
      <c r="J205" s="345">
        <v>1.3227827347000001</v>
      </c>
      <c r="K205" s="133"/>
      <c r="L205" s="345">
        <v>25982.002921805401</v>
      </c>
      <c r="M205" s="345">
        <v>1.1762911353000001</v>
      </c>
      <c r="N205" s="130"/>
      <c r="O205" s="345">
        <v>26358.1272352298</v>
      </c>
      <c r="P205" s="345">
        <v>1.4880561986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345">
        <v>27185.615894644601</v>
      </c>
      <c r="G206" s="345">
        <v>1.342379692</v>
      </c>
      <c r="H206" s="130"/>
      <c r="I206" s="345">
        <v>29454.733932765201</v>
      </c>
      <c r="J206" s="345">
        <v>1.3106571337999999</v>
      </c>
      <c r="K206" s="133"/>
      <c r="L206" s="345">
        <v>26787.409263281901</v>
      </c>
      <c r="M206" s="345">
        <v>1.3411342449000001</v>
      </c>
      <c r="N206" s="130"/>
      <c r="O206" s="345">
        <v>30478.235508182599</v>
      </c>
      <c r="P206" s="345">
        <v>1.6109593679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345">
        <v>19978.681130520701</v>
      </c>
      <c r="G207" s="345">
        <v>1.0799419493</v>
      </c>
      <c r="H207" s="130"/>
      <c r="I207" s="345">
        <v>23344.1038887289</v>
      </c>
      <c r="J207" s="345">
        <v>1.1882500042999999</v>
      </c>
      <c r="K207" s="133"/>
      <c r="L207" s="345">
        <v>24790.323697597101</v>
      </c>
      <c r="M207" s="345">
        <v>1.1337342729</v>
      </c>
      <c r="N207" s="130"/>
      <c r="O207" s="345">
        <v>39029.513226515599</v>
      </c>
      <c r="P207" s="345">
        <v>1.7032721555000001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344">
        <v>32602.288410915098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345">
        <v>15113.9205333873</v>
      </c>
      <c r="G211" s="345">
        <v>1.7139630445</v>
      </c>
      <c r="H211" s="130"/>
      <c r="I211" s="345">
        <v>11247.6824543616</v>
      </c>
      <c r="J211" s="345">
        <v>1.3294657212000001</v>
      </c>
      <c r="K211" s="133"/>
      <c r="L211" s="345">
        <v>12144.902307161101</v>
      </c>
      <c r="M211" s="345">
        <v>1.4630931031000001</v>
      </c>
      <c r="N211" s="130"/>
      <c r="O211" s="345">
        <v>10967.01161777</v>
      </c>
      <c r="P211" s="345">
        <v>1.3819194453999999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345">
        <v>17753.287909019298</v>
      </c>
      <c r="G212" s="345">
        <v>1.9486986470000001</v>
      </c>
      <c r="H212" s="130"/>
      <c r="I212" s="345">
        <v>14276.577264690601</v>
      </c>
      <c r="J212" s="345">
        <v>1.5060823883000001</v>
      </c>
      <c r="K212" s="133"/>
      <c r="L212" s="345">
        <v>8487.9764618511999</v>
      </c>
      <c r="M212" s="345">
        <v>0.95324686420000004</v>
      </c>
      <c r="N212" s="130"/>
      <c r="O212" s="345">
        <v>9755.6458364535993</v>
      </c>
      <c r="P212" s="345">
        <v>1.3957550320000001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345">
        <v>15716.105598448001</v>
      </c>
      <c r="G213" s="345">
        <v>2.1010236015000001</v>
      </c>
      <c r="H213" s="130"/>
      <c r="I213" s="345">
        <v>15645.4586517235</v>
      </c>
      <c r="J213" s="345">
        <v>1.7660396413999999</v>
      </c>
      <c r="K213" s="133"/>
      <c r="L213" s="345">
        <v>10594.584940855801</v>
      </c>
      <c r="M213" s="345">
        <v>1.235196945</v>
      </c>
      <c r="N213" s="130"/>
      <c r="O213" s="345">
        <v>13917.5761217082</v>
      </c>
      <c r="P213" s="345">
        <v>1.8938565743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345">
        <v>13594.025560472601</v>
      </c>
      <c r="G214" s="345">
        <v>1.9856216366999999</v>
      </c>
      <c r="H214" s="130"/>
      <c r="I214" s="345">
        <v>12035.797404836099</v>
      </c>
      <c r="J214" s="345">
        <v>1.4594900489</v>
      </c>
      <c r="K214" s="133"/>
      <c r="L214" s="345">
        <v>11798.799376483399</v>
      </c>
      <c r="M214" s="345">
        <v>1.3857511037000001</v>
      </c>
      <c r="N214" s="130"/>
      <c r="O214" s="345">
        <v>16489.839100447702</v>
      </c>
      <c r="P214" s="345">
        <v>2.0516163014000002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345">
        <v>16102.440481136</v>
      </c>
      <c r="G215" s="345">
        <v>2.0483438115000001</v>
      </c>
      <c r="H215" s="130"/>
      <c r="I215" s="345">
        <v>11157.7369759762</v>
      </c>
      <c r="J215" s="345">
        <v>1.4595888321999999</v>
      </c>
      <c r="K215" s="133"/>
      <c r="L215" s="345">
        <v>12092.6085598154</v>
      </c>
      <c r="M215" s="345">
        <v>1.3456977929</v>
      </c>
      <c r="N215" s="130"/>
      <c r="O215" s="345">
        <v>15971.3595594216</v>
      </c>
      <c r="P215" s="345">
        <v>2.0951479754000002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345">
        <v>11230.143536675099</v>
      </c>
      <c r="G216" s="345">
        <v>1.7342400068999999</v>
      </c>
      <c r="H216" s="130"/>
      <c r="I216" s="345">
        <v>11620.2534012539</v>
      </c>
      <c r="J216" s="345">
        <v>1.4055854709</v>
      </c>
      <c r="K216" s="133"/>
      <c r="L216" s="345">
        <v>9862.9157528260002</v>
      </c>
      <c r="M216" s="345">
        <v>1.1944827007000001</v>
      </c>
      <c r="N216" s="130"/>
      <c r="O216" s="345">
        <v>20271.153603308601</v>
      </c>
      <c r="P216" s="345">
        <v>2.2342648639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344">
        <v>21975.205253110002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345">
        <v>12191.4475143777</v>
      </c>
      <c r="G220" s="345">
        <v>2.2288424429</v>
      </c>
      <c r="H220" s="130"/>
      <c r="I220" s="345">
        <v>15827.230481168301</v>
      </c>
      <c r="J220" s="345">
        <v>2.0379419706999999</v>
      </c>
      <c r="K220" s="133"/>
      <c r="L220" s="345">
        <v>9839.2877541674006</v>
      </c>
      <c r="M220" s="345">
        <v>1.6084084999999999</v>
      </c>
      <c r="N220" s="130"/>
      <c r="O220" s="345">
        <v>4788.3716523249996</v>
      </c>
      <c r="P220" s="345">
        <v>0.85417061849999998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345">
        <v>15952.0551449983</v>
      </c>
      <c r="G221" s="345">
        <v>2.3647192098000001</v>
      </c>
      <c r="H221" s="130"/>
      <c r="I221" s="345">
        <v>14139.5040198848</v>
      </c>
      <c r="J221" s="345">
        <v>1.989525108</v>
      </c>
      <c r="K221" s="133"/>
      <c r="L221" s="345">
        <v>6605.3705803471003</v>
      </c>
      <c r="M221" s="345">
        <v>1.0066004374999999</v>
      </c>
      <c r="N221" s="130"/>
      <c r="O221" s="345">
        <v>3690.1725211088001</v>
      </c>
      <c r="P221" s="345">
        <v>0.70494412870000001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345">
        <v>11066.508124432999</v>
      </c>
      <c r="G222" s="345">
        <v>2.2176151928999999</v>
      </c>
      <c r="H222" s="130"/>
      <c r="I222" s="345">
        <v>16282.307066364599</v>
      </c>
      <c r="J222" s="345">
        <v>2.1039634001</v>
      </c>
      <c r="K222" s="133"/>
      <c r="L222" s="345">
        <v>9487.0139514475995</v>
      </c>
      <c r="M222" s="345">
        <v>1.4056062282999999</v>
      </c>
      <c r="N222" s="130"/>
      <c r="O222" s="345">
        <v>5825.5293923644003</v>
      </c>
      <c r="P222" s="345">
        <v>1.0463288887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345">
        <v>13059.0527682335</v>
      </c>
      <c r="G223" s="345">
        <v>2.3058579680000002</v>
      </c>
      <c r="H223" s="130"/>
      <c r="I223" s="345">
        <v>16074.766860675199</v>
      </c>
      <c r="J223" s="345">
        <v>2.1888397082000002</v>
      </c>
      <c r="K223" s="133"/>
      <c r="L223" s="345">
        <v>7020.0406313590001</v>
      </c>
      <c r="M223" s="345">
        <v>1.0975582706</v>
      </c>
      <c r="N223" s="130"/>
      <c r="O223" s="345">
        <v>6468.4204106820998</v>
      </c>
      <c r="P223" s="345">
        <v>1.1460551452000001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345">
        <v>14738.5301592901</v>
      </c>
      <c r="G224" s="345">
        <v>2.5318076948999999</v>
      </c>
      <c r="H224" s="130"/>
      <c r="I224" s="345">
        <v>16245.211407159301</v>
      </c>
      <c r="J224" s="345">
        <v>2.2411188692000001</v>
      </c>
      <c r="K224" s="133"/>
      <c r="L224" s="345">
        <v>8121.6579990640003</v>
      </c>
      <c r="M224" s="345">
        <v>1.2588544150000001</v>
      </c>
      <c r="N224" s="130"/>
      <c r="O224" s="345">
        <v>6023.1073559324004</v>
      </c>
      <c r="P224" s="345">
        <v>1.1166566684999999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345">
        <v>11187.100896915599</v>
      </c>
      <c r="G225" s="345">
        <v>2.0216448168999999</v>
      </c>
      <c r="H225" s="130"/>
      <c r="I225" s="345">
        <v>9824.9202730978996</v>
      </c>
      <c r="J225" s="345">
        <v>1.4118568642</v>
      </c>
      <c r="K225" s="133"/>
      <c r="L225" s="345">
        <v>13915.5752727087</v>
      </c>
      <c r="M225" s="345">
        <v>1.7821135028999999</v>
      </c>
      <c r="N225" s="130"/>
      <c r="O225" s="345">
        <v>10291.2775007084</v>
      </c>
      <c r="P225" s="345">
        <v>1.8746971548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344">
        <v>15666.7398479494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345">
        <v>12954.8802835674</v>
      </c>
      <c r="G229" s="345">
        <v>1.3450826279999999</v>
      </c>
      <c r="H229" s="130"/>
      <c r="I229" s="345">
        <v>8597.9064213246002</v>
      </c>
      <c r="J229" s="345">
        <v>1.0097354475</v>
      </c>
      <c r="K229" s="133"/>
      <c r="L229" s="345">
        <v>7405.0389996942004</v>
      </c>
      <c r="M229" s="345">
        <v>0.91534760429999995</v>
      </c>
      <c r="N229" s="130"/>
      <c r="O229" s="345">
        <v>6980.0689293865998</v>
      </c>
      <c r="P229" s="345">
        <v>0.86957424620000001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345">
        <v>15628.285102072499</v>
      </c>
      <c r="G230" s="345">
        <v>1.45797336</v>
      </c>
      <c r="H230" s="130"/>
      <c r="I230" s="345">
        <v>9107.3154949136006</v>
      </c>
      <c r="J230" s="345">
        <v>1.1226197198000001</v>
      </c>
      <c r="K230" s="133"/>
      <c r="L230" s="345">
        <v>6630.2664608122996</v>
      </c>
      <c r="M230" s="345">
        <v>0.84179541339999997</v>
      </c>
      <c r="N230" s="130"/>
      <c r="O230" s="345">
        <v>5043.5746691881996</v>
      </c>
      <c r="P230" s="345">
        <v>0.64519442859999998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345">
        <v>16164.449746595399</v>
      </c>
      <c r="G231" s="345">
        <v>1.8457014569000001</v>
      </c>
      <c r="H231" s="130"/>
      <c r="I231" s="345">
        <v>9818.7351321332008</v>
      </c>
      <c r="J231" s="345">
        <v>1.1983696267999999</v>
      </c>
      <c r="K231" s="133"/>
      <c r="L231" s="345">
        <v>8905.1196533164002</v>
      </c>
      <c r="M231" s="345">
        <v>1.0990685011000001</v>
      </c>
      <c r="N231" s="130"/>
      <c r="O231" s="345">
        <v>8998.2727755661999</v>
      </c>
      <c r="P231" s="345">
        <v>1.1374143355999999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345">
        <v>13829.684659643701</v>
      </c>
      <c r="G232" s="345">
        <v>1.6437024414000001</v>
      </c>
      <c r="H232" s="130"/>
      <c r="I232" s="345">
        <v>10328.3697975867</v>
      </c>
      <c r="J232" s="345">
        <v>1.2141429345999999</v>
      </c>
      <c r="K232" s="133"/>
      <c r="L232" s="345">
        <v>10104.2812176649</v>
      </c>
      <c r="M232" s="345">
        <v>1.2579933926</v>
      </c>
      <c r="N232" s="130"/>
      <c r="O232" s="345">
        <v>11398.311679803899</v>
      </c>
      <c r="P232" s="345">
        <v>1.4358624057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345">
        <v>13820.4018393981</v>
      </c>
      <c r="G233" s="345">
        <v>1.5763496785</v>
      </c>
      <c r="H233" s="130"/>
      <c r="I233" s="345">
        <v>9403.5259370479998</v>
      </c>
      <c r="J233" s="345">
        <v>1.1594665175000001</v>
      </c>
      <c r="K233" s="133"/>
      <c r="L233" s="345">
        <v>9800.7526461415</v>
      </c>
      <c r="M233" s="345">
        <v>1.2007672331000001</v>
      </c>
      <c r="N233" s="130"/>
      <c r="O233" s="345">
        <v>11630.9239182451</v>
      </c>
      <c r="P233" s="345">
        <v>1.450102851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345">
        <v>11284.1274941626</v>
      </c>
      <c r="G234" s="345">
        <v>1.4530720333</v>
      </c>
      <c r="H234" s="130"/>
      <c r="I234" s="345">
        <v>10109.8059881427</v>
      </c>
      <c r="J234" s="345">
        <v>1.2256236604999999</v>
      </c>
      <c r="K234" s="133"/>
      <c r="L234" s="345">
        <v>9591.5696061405997</v>
      </c>
      <c r="M234" s="345">
        <v>1.1615565287</v>
      </c>
      <c r="N234" s="130"/>
      <c r="O234" s="345">
        <v>15941.5890694913</v>
      </c>
      <c r="P234" s="345">
        <v>1.9038686601999999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344">
        <v>19480.778027771601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345">
        <v>16464.4466229602</v>
      </c>
      <c r="G238" s="345">
        <v>1.5009621084</v>
      </c>
      <c r="H238" s="130"/>
      <c r="I238" s="345">
        <v>12644.5104128248</v>
      </c>
      <c r="J238" s="345">
        <v>1.3296190502</v>
      </c>
      <c r="K238" s="133"/>
      <c r="L238" s="345">
        <v>7089.1103263903997</v>
      </c>
      <c r="M238" s="345">
        <v>0.76900666660000006</v>
      </c>
      <c r="N238" s="130"/>
      <c r="O238" s="345">
        <v>5761.8619374896998</v>
      </c>
      <c r="P238" s="345">
        <v>0.64669689269999997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345">
        <v>18579.967179020201</v>
      </c>
      <c r="G239" s="345">
        <v>1.7223505061</v>
      </c>
      <c r="H239" s="130"/>
      <c r="I239" s="345">
        <v>11872.8510727048</v>
      </c>
      <c r="J239" s="345">
        <v>1.3549956111999999</v>
      </c>
      <c r="K239" s="133"/>
      <c r="L239" s="345">
        <v>8963.5246319578</v>
      </c>
      <c r="M239" s="345">
        <v>0.98915102349999995</v>
      </c>
      <c r="N239" s="130"/>
      <c r="O239" s="345">
        <v>5759.0520639007</v>
      </c>
      <c r="P239" s="345">
        <v>0.6367817321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345">
        <v>18361.056669462701</v>
      </c>
      <c r="G240" s="345">
        <v>1.8751113945</v>
      </c>
      <c r="H240" s="130"/>
      <c r="I240" s="345">
        <v>12683.883562481</v>
      </c>
      <c r="J240" s="345">
        <v>1.3558713680000001</v>
      </c>
      <c r="K240" s="133"/>
      <c r="L240" s="345">
        <v>11576.065832590401</v>
      </c>
      <c r="M240" s="345">
        <v>1.3550308972</v>
      </c>
      <c r="N240" s="130"/>
      <c r="O240" s="345">
        <v>11605.749955178</v>
      </c>
      <c r="P240" s="345">
        <v>1.2853926572000001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345">
        <v>16478.077009023102</v>
      </c>
      <c r="G241" s="345">
        <v>1.6163765049000001</v>
      </c>
      <c r="H241" s="130"/>
      <c r="I241" s="345">
        <v>14174.405179505</v>
      </c>
      <c r="J241" s="345">
        <v>1.5389716443999999</v>
      </c>
      <c r="K241" s="133"/>
      <c r="L241" s="345">
        <v>10269.825801851901</v>
      </c>
      <c r="M241" s="345">
        <v>1.1222481161</v>
      </c>
      <c r="N241" s="130"/>
      <c r="O241" s="345">
        <v>10026.6455399322</v>
      </c>
      <c r="P241" s="345">
        <v>1.1324612493999999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345">
        <v>16319.005042307201</v>
      </c>
      <c r="G242" s="345">
        <v>1.5327245143999999</v>
      </c>
      <c r="H242" s="130"/>
      <c r="I242" s="345">
        <v>13188.2806947754</v>
      </c>
      <c r="J242" s="345">
        <v>1.4042106411999999</v>
      </c>
      <c r="K242" s="133"/>
      <c r="L242" s="345">
        <v>9115.9242414611999</v>
      </c>
      <c r="M242" s="345">
        <v>0.99338982570000001</v>
      </c>
      <c r="N242" s="130"/>
      <c r="O242" s="345">
        <v>8808.152571949</v>
      </c>
      <c r="P242" s="345">
        <v>1.0062633566000001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345">
        <v>13267.807284999901</v>
      </c>
      <c r="G243" s="345">
        <v>1.4574615063</v>
      </c>
      <c r="H243" s="130"/>
      <c r="I243" s="345">
        <v>12513.598060018099</v>
      </c>
      <c r="J243" s="345">
        <v>1.2527835890000001</v>
      </c>
      <c r="K243" s="133"/>
      <c r="L243" s="345">
        <v>10880.7171893378</v>
      </c>
      <c r="M243" s="345">
        <v>1.2163377947</v>
      </c>
      <c r="N243" s="130"/>
      <c r="O243" s="345">
        <v>13595.9497069109</v>
      </c>
      <c r="P243" s="345">
        <v>1.4511671610000001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344">
        <v>25928.550404547899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345">
        <v>17832.713064792999</v>
      </c>
      <c r="G247" s="345">
        <v>1.4795335969000001</v>
      </c>
      <c r="H247" s="130"/>
      <c r="I247" s="345">
        <v>12608.946213785401</v>
      </c>
      <c r="J247" s="345">
        <v>1.2267474412999999</v>
      </c>
      <c r="K247" s="133"/>
      <c r="L247" s="345">
        <v>8772.1642033540993</v>
      </c>
      <c r="M247" s="345">
        <v>0.91935342760000005</v>
      </c>
      <c r="N247" s="130"/>
      <c r="O247" s="345">
        <v>8121.7341094126004</v>
      </c>
      <c r="P247" s="345">
        <v>0.85763574470000004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345">
        <v>16306.4053194922</v>
      </c>
      <c r="G248" s="345">
        <v>1.5789361607000001</v>
      </c>
      <c r="H248" s="130"/>
      <c r="I248" s="345">
        <v>13217.978994994401</v>
      </c>
      <c r="J248" s="345">
        <v>1.1298361734</v>
      </c>
      <c r="K248" s="133"/>
      <c r="L248" s="345">
        <v>9612.1132561269005</v>
      </c>
      <c r="M248" s="345">
        <v>0.94653854150000005</v>
      </c>
      <c r="N248" s="130"/>
      <c r="O248" s="345">
        <v>4887.4714024816003</v>
      </c>
      <c r="P248" s="345">
        <v>0.53818642130000005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345">
        <v>17199.2569472865</v>
      </c>
      <c r="G249" s="345">
        <v>1.7519175746</v>
      </c>
      <c r="H249" s="130"/>
      <c r="I249" s="345">
        <v>12198.296882487601</v>
      </c>
      <c r="J249" s="345">
        <v>1.1575271605999999</v>
      </c>
      <c r="K249" s="133"/>
      <c r="L249" s="345">
        <v>13495.9629947377</v>
      </c>
      <c r="M249" s="345">
        <v>1.3637540221</v>
      </c>
      <c r="N249" s="130"/>
      <c r="O249" s="345">
        <v>9654.2650545304004</v>
      </c>
      <c r="P249" s="345">
        <v>1.0039692409000001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345">
        <v>16271.3566713044</v>
      </c>
      <c r="G250" s="345">
        <v>1.7861500606</v>
      </c>
      <c r="H250" s="130"/>
      <c r="I250" s="345">
        <v>14667.290098757299</v>
      </c>
      <c r="J250" s="345">
        <v>1.2786499854</v>
      </c>
      <c r="K250" s="133"/>
      <c r="L250" s="345">
        <v>10402.642571409</v>
      </c>
      <c r="M250" s="345">
        <v>1.0570978976000001</v>
      </c>
      <c r="N250" s="130"/>
      <c r="O250" s="345">
        <v>8836.5344503016004</v>
      </c>
      <c r="P250" s="345">
        <v>0.95017775989999997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345">
        <v>16673.664189953699</v>
      </c>
      <c r="G251" s="345">
        <v>1.4850436220000001</v>
      </c>
      <c r="H251" s="130"/>
      <c r="I251" s="345">
        <v>13466.127244106799</v>
      </c>
      <c r="J251" s="345">
        <v>1.1461231639</v>
      </c>
      <c r="K251" s="133"/>
      <c r="L251" s="345">
        <v>9790.6863752018999</v>
      </c>
      <c r="M251" s="345">
        <v>0.96970811570000004</v>
      </c>
      <c r="N251" s="130"/>
      <c r="O251" s="345">
        <v>7362.7383998195</v>
      </c>
      <c r="P251" s="345">
        <v>0.83904922879999999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345">
        <v>15832.4597501712</v>
      </c>
      <c r="G252" s="345">
        <v>1.6488494642</v>
      </c>
      <c r="H252" s="130"/>
      <c r="I252" s="345">
        <v>14979.839579516</v>
      </c>
      <c r="J252" s="345">
        <v>1.4272322455999999</v>
      </c>
      <c r="K252" s="133"/>
      <c r="L252" s="345">
        <v>12279.3766035193</v>
      </c>
      <c r="M252" s="345">
        <v>1.2669115912</v>
      </c>
      <c r="N252" s="130"/>
      <c r="O252" s="345">
        <v>14174.3676132609</v>
      </c>
      <c r="P252" s="345">
        <v>1.4714968556000001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344">
        <v>24998.115892135302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345">
        <v>13229.2910388455</v>
      </c>
      <c r="G256" s="345">
        <v>1.3282075291</v>
      </c>
      <c r="H256" s="130"/>
      <c r="I256" s="345">
        <v>11209.5384229232</v>
      </c>
      <c r="J256" s="345">
        <v>1.2106634569000001</v>
      </c>
      <c r="K256" s="133"/>
      <c r="L256" s="345">
        <v>9292.9174672436002</v>
      </c>
      <c r="M256" s="345">
        <v>1.1679160506999999</v>
      </c>
      <c r="N256" s="130"/>
      <c r="O256" s="345">
        <v>6459.7751237365001</v>
      </c>
      <c r="P256" s="345">
        <v>0.84343455469999995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345">
        <v>15589.2634668629</v>
      </c>
      <c r="G257" s="345">
        <v>1.7001347441000001</v>
      </c>
      <c r="H257" s="130"/>
      <c r="I257" s="345">
        <v>12648.2964612007</v>
      </c>
      <c r="J257" s="345">
        <v>1.5028594045999999</v>
      </c>
      <c r="K257" s="133"/>
      <c r="L257" s="345">
        <v>10719.837374164599</v>
      </c>
      <c r="M257" s="345">
        <v>1.4023076685</v>
      </c>
      <c r="N257" s="130"/>
      <c r="O257" s="345">
        <v>5435.7996108958996</v>
      </c>
      <c r="P257" s="345">
        <v>0.7219499023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345">
        <v>16546.681873130801</v>
      </c>
      <c r="G258" s="345">
        <v>1.9946398075</v>
      </c>
      <c r="H258" s="130"/>
      <c r="I258" s="345">
        <v>12681.048553824499</v>
      </c>
      <c r="J258" s="345">
        <v>1.4508810408999999</v>
      </c>
      <c r="K258" s="133"/>
      <c r="L258" s="345">
        <v>9663.6127609937994</v>
      </c>
      <c r="M258" s="345">
        <v>1.2898414319</v>
      </c>
      <c r="N258" s="130"/>
      <c r="O258" s="345">
        <v>7565.9512367707002</v>
      </c>
      <c r="P258" s="345">
        <v>0.99214241690000005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345">
        <v>12796.181274103101</v>
      </c>
      <c r="G259" s="345">
        <v>1.5459320649999999</v>
      </c>
      <c r="H259" s="130"/>
      <c r="I259" s="345">
        <v>11566.5219622073</v>
      </c>
      <c r="J259" s="345">
        <v>1.3700014599000001</v>
      </c>
      <c r="K259" s="133"/>
      <c r="L259" s="345">
        <v>11335.881326942101</v>
      </c>
      <c r="M259" s="345">
        <v>1.3986676311999999</v>
      </c>
      <c r="N259" s="130"/>
      <c r="O259" s="345">
        <v>12000.328518312799</v>
      </c>
      <c r="P259" s="345">
        <v>1.626375624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345">
        <v>14109.0019196335</v>
      </c>
      <c r="G260" s="345">
        <v>1.7372319715</v>
      </c>
      <c r="H260" s="130"/>
      <c r="I260" s="345">
        <v>10021.555158229599</v>
      </c>
      <c r="J260" s="345">
        <v>1.2409338898</v>
      </c>
      <c r="K260" s="133"/>
      <c r="L260" s="345">
        <v>10755.7931948679</v>
      </c>
      <c r="M260" s="345">
        <v>1.3467669180999999</v>
      </c>
      <c r="N260" s="130"/>
      <c r="O260" s="345">
        <v>14565.9669984015</v>
      </c>
      <c r="P260" s="345">
        <v>1.9406288630999999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345">
        <v>9771.5237873170008</v>
      </c>
      <c r="G261" s="345">
        <v>1.2657449733999999</v>
      </c>
      <c r="H261" s="130"/>
      <c r="I261" s="345">
        <v>8847.4569038085992</v>
      </c>
      <c r="J261" s="345">
        <v>1.0742404569999999</v>
      </c>
      <c r="K261" s="133"/>
      <c r="L261" s="345">
        <v>11946.118871209101</v>
      </c>
      <c r="M261" s="345">
        <v>1.4713554981000001</v>
      </c>
      <c r="N261" s="130"/>
      <c r="O261" s="345">
        <v>15635.073012282501</v>
      </c>
      <c r="P261" s="345">
        <v>1.8924582508000001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344">
        <v>22249.9713929684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345">
        <v>20595.768848084401</v>
      </c>
      <c r="G265" s="345">
        <v>1.4491114661</v>
      </c>
      <c r="H265" s="130"/>
      <c r="I265" s="345">
        <v>13793.2994408424</v>
      </c>
      <c r="J265" s="345">
        <v>1.2333694292999999</v>
      </c>
      <c r="K265" s="133"/>
      <c r="L265" s="345">
        <v>9218.5596568843994</v>
      </c>
      <c r="M265" s="345">
        <v>0.83394188079999998</v>
      </c>
      <c r="N265" s="130"/>
      <c r="O265" s="345">
        <v>9585.1840041185005</v>
      </c>
      <c r="P265" s="345">
        <v>0.91698339269999996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345">
        <v>19053.841177824001</v>
      </c>
      <c r="G266" s="345">
        <v>1.4836672172000001</v>
      </c>
      <c r="H266" s="130"/>
      <c r="I266" s="345">
        <v>16092.604639195801</v>
      </c>
      <c r="J266" s="345">
        <v>1.3457191007</v>
      </c>
      <c r="K266" s="133"/>
      <c r="L266" s="345">
        <v>9520.5358299828004</v>
      </c>
      <c r="M266" s="345">
        <v>0.87742850049999999</v>
      </c>
      <c r="N266" s="130"/>
      <c r="O266" s="345">
        <v>8328.9267981481007</v>
      </c>
      <c r="P266" s="345">
        <v>0.78507225879999998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345">
        <v>20682.558031736899</v>
      </c>
      <c r="G267" s="345">
        <v>1.705048889</v>
      </c>
      <c r="H267" s="130"/>
      <c r="I267" s="345">
        <v>16912.224839690101</v>
      </c>
      <c r="J267" s="345">
        <v>1.4409887572</v>
      </c>
      <c r="K267" s="133"/>
      <c r="L267" s="345">
        <v>11742.275935485801</v>
      </c>
      <c r="M267" s="345">
        <v>1.0529348328000001</v>
      </c>
      <c r="N267" s="130"/>
      <c r="O267" s="345">
        <v>10625.4897410914</v>
      </c>
      <c r="P267" s="345">
        <v>1.0173697281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345">
        <v>19007.689331238598</v>
      </c>
      <c r="G268" s="345">
        <v>1.5730484949000001</v>
      </c>
      <c r="H268" s="130"/>
      <c r="I268" s="345">
        <v>16896.542610619701</v>
      </c>
      <c r="J268" s="345">
        <v>1.3882289908000001</v>
      </c>
      <c r="K268" s="133"/>
      <c r="L268" s="345">
        <v>9331.3184781882992</v>
      </c>
      <c r="M268" s="345">
        <v>0.82307916160000005</v>
      </c>
      <c r="N268" s="130"/>
      <c r="O268" s="345">
        <v>9522.3821227103999</v>
      </c>
      <c r="P268" s="345">
        <v>0.92050111130000001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345">
        <v>18476.0796070498</v>
      </c>
      <c r="G269" s="345">
        <v>1.5157420419000001</v>
      </c>
      <c r="H269" s="130"/>
      <c r="I269" s="345">
        <v>15884.831644465499</v>
      </c>
      <c r="J269" s="345">
        <v>1.2830475578</v>
      </c>
      <c r="K269" s="133"/>
      <c r="L269" s="345">
        <v>10994.536885084901</v>
      </c>
      <c r="M269" s="345">
        <v>0.95694887269999995</v>
      </c>
      <c r="N269" s="130"/>
      <c r="O269" s="345">
        <v>9230.2498581431992</v>
      </c>
      <c r="P269" s="345">
        <v>0.90275114580000004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345">
        <v>16109.5235697229</v>
      </c>
      <c r="G270" s="345">
        <v>1.3679520182</v>
      </c>
      <c r="H270" s="130"/>
      <c r="I270" s="345">
        <v>16961.889234684699</v>
      </c>
      <c r="J270" s="345">
        <v>1.3746957725</v>
      </c>
      <c r="K270" s="133"/>
      <c r="L270" s="345">
        <v>12486.100822111899</v>
      </c>
      <c r="M270" s="345">
        <v>1.0878636013</v>
      </c>
      <c r="N270" s="130"/>
      <c r="O270" s="345">
        <v>13627.6088093038</v>
      </c>
      <c r="P270" s="345">
        <v>1.3237725971000001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344">
        <v>9032.6462727959006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345">
        <v>5628.9356892647002</v>
      </c>
      <c r="G274" s="345">
        <v>1.3282097674</v>
      </c>
      <c r="H274" s="130"/>
      <c r="I274" s="345">
        <v>5168.2279073639002</v>
      </c>
      <c r="J274" s="345">
        <v>1.3437875050000001</v>
      </c>
      <c r="K274" s="133"/>
      <c r="L274" s="345">
        <v>4145.9722033288999</v>
      </c>
      <c r="M274" s="345">
        <v>1.0744075485</v>
      </c>
      <c r="N274" s="130"/>
      <c r="O274" s="345">
        <v>2833.337240283</v>
      </c>
      <c r="P274" s="345">
        <v>0.79772433580000002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345">
        <v>6834.3038139513001</v>
      </c>
      <c r="G275" s="345">
        <v>1.6710186363999999</v>
      </c>
      <c r="H275" s="130"/>
      <c r="I275" s="345">
        <v>4652.4915584695</v>
      </c>
      <c r="J275" s="345">
        <v>1.1726059283000001</v>
      </c>
      <c r="K275" s="133"/>
      <c r="L275" s="345">
        <v>4268.3137484143999</v>
      </c>
      <c r="M275" s="345">
        <v>1.1451148632000001</v>
      </c>
      <c r="N275" s="130"/>
      <c r="O275" s="345">
        <v>2343.8993364562002</v>
      </c>
      <c r="P275" s="345">
        <v>0.66751834880000005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345">
        <v>5884.2979513872997</v>
      </c>
      <c r="G276" s="345">
        <v>1.5525376886</v>
      </c>
      <c r="H276" s="130"/>
      <c r="I276" s="345">
        <v>4879.85348677</v>
      </c>
      <c r="J276" s="345">
        <v>1.2454149535000001</v>
      </c>
      <c r="K276" s="133"/>
      <c r="L276" s="345">
        <v>4409.7603252037998</v>
      </c>
      <c r="M276" s="345">
        <v>1.1584950550999999</v>
      </c>
      <c r="N276" s="130"/>
      <c r="O276" s="345">
        <v>4526.2688594992997</v>
      </c>
      <c r="P276" s="345">
        <v>1.2635692712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345">
        <v>4520.6863100826004</v>
      </c>
      <c r="G277" s="345">
        <v>1.1953510304999999</v>
      </c>
      <c r="H277" s="130"/>
      <c r="I277" s="345">
        <v>4983.4209508506001</v>
      </c>
      <c r="J277" s="345">
        <v>1.2683338768000001</v>
      </c>
      <c r="K277" s="133"/>
      <c r="L277" s="345">
        <v>4487.6781990916998</v>
      </c>
      <c r="M277" s="345">
        <v>1.1849218551</v>
      </c>
      <c r="N277" s="130"/>
      <c r="O277" s="345">
        <v>5469.0945071564001</v>
      </c>
      <c r="P277" s="345">
        <v>1.4896395415000001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345">
        <v>4847.1202435044997</v>
      </c>
      <c r="G278" s="345">
        <v>1.2749040007000001</v>
      </c>
      <c r="H278" s="130"/>
      <c r="I278" s="345">
        <v>5390.1969402161003</v>
      </c>
      <c r="J278" s="345">
        <v>1.3084261988999999</v>
      </c>
      <c r="K278" s="133"/>
      <c r="L278" s="345">
        <v>4303.4772878940003</v>
      </c>
      <c r="M278" s="345">
        <v>1.1070814639</v>
      </c>
      <c r="N278" s="130"/>
      <c r="O278" s="345">
        <v>3759.1097961328001</v>
      </c>
      <c r="P278" s="345">
        <v>1.0353652729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345">
        <v>3235.9713654083998</v>
      </c>
      <c r="G279" s="345">
        <v>0.94094090139999997</v>
      </c>
      <c r="H279" s="130"/>
      <c r="I279" s="345">
        <v>4487.1840329850002</v>
      </c>
      <c r="J279" s="345">
        <v>1.1644792468</v>
      </c>
      <c r="K279" s="133"/>
      <c r="L279" s="345">
        <v>4950.7692198804998</v>
      </c>
      <c r="M279" s="345">
        <v>1.3115727857999999</v>
      </c>
      <c r="N279" s="130"/>
      <c r="O279" s="345">
        <v>5997.1635169756</v>
      </c>
      <c r="P279" s="345">
        <v>1.4116863763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344">
        <v>73888.639891829996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345">
        <v>51135.192971061697</v>
      </c>
      <c r="G283" s="345">
        <v>1.6218209797000001</v>
      </c>
      <c r="H283" s="130"/>
      <c r="I283" s="345">
        <v>35398.850501878602</v>
      </c>
      <c r="J283" s="345">
        <v>1.1700196115999999</v>
      </c>
      <c r="K283" s="133"/>
      <c r="L283" s="345">
        <v>26260.436160438301</v>
      </c>
      <c r="M283" s="345">
        <v>0.99415809740000005</v>
      </c>
      <c r="N283" s="130"/>
      <c r="O283" s="345">
        <v>20155.654697167</v>
      </c>
      <c r="P283" s="345">
        <v>0.80232185460000005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345">
        <v>58187.7877071654</v>
      </c>
      <c r="G284" s="345">
        <v>1.5691613629000001</v>
      </c>
      <c r="H284" s="130"/>
      <c r="I284" s="345">
        <v>36813.811709293303</v>
      </c>
      <c r="J284" s="345">
        <v>1.231170503</v>
      </c>
      <c r="K284" s="133"/>
      <c r="L284" s="345">
        <v>20036.761452524701</v>
      </c>
      <c r="M284" s="345">
        <v>0.84494459050000004</v>
      </c>
      <c r="N284" s="130"/>
      <c r="O284" s="345">
        <v>16336.915027347</v>
      </c>
      <c r="P284" s="345">
        <v>0.68958247679999995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345">
        <v>49485.752889875999</v>
      </c>
      <c r="G285" s="345">
        <v>1.6565393572</v>
      </c>
      <c r="H285" s="130"/>
      <c r="I285" s="345">
        <v>33952.421983423301</v>
      </c>
      <c r="J285" s="345">
        <v>1.1485856613000001</v>
      </c>
      <c r="K285" s="133"/>
      <c r="L285" s="345">
        <v>33296.9930634587</v>
      </c>
      <c r="M285" s="345">
        <v>1.2290597108000001</v>
      </c>
      <c r="N285" s="130"/>
      <c r="O285" s="345">
        <v>30858.050328981499</v>
      </c>
      <c r="P285" s="345">
        <v>1.2680236609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345">
        <v>47912.562094221801</v>
      </c>
      <c r="G286" s="345">
        <v>1.6650698747999999</v>
      </c>
      <c r="H286" s="130"/>
      <c r="I286" s="345">
        <v>36421.0961499271</v>
      </c>
      <c r="J286" s="345">
        <v>1.2648886197</v>
      </c>
      <c r="K286" s="133"/>
      <c r="L286" s="345">
        <v>32179.200198076898</v>
      </c>
      <c r="M286" s="345">
        <v>1.2487118189999999</v>
      </c>
      <c r="N286" s="130"/>
      <c r="O286" s="345">
        <v>43458.164345823599</v>
      </c>
      <c r="P286" s="345">
        <v>1.7478108637000001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345">
        <v>44206.7283563202</v>
      </c>
      <c r="G287" s="345">
        <v>1.5186539796</v>
      </c>
      <c r="H287" s="130"/>
      <c r="I287" s="345">
        <v>38816.720070373602</v>
      </c>
      <c r="J287" s="345">
        <v>1.3971466754999999</v>
      </c>
      <c r="K287" s="133"/>
      <c r="L287" s="345">
        <v>34259.471693228603</v>
      </c>
      <c r="M287" s="345">
        <v>1.2747853371</v>
      </c>
      <c r="N287" s="130"/>
      <c r="O287" s="345">
        <v>40294.805125339997</v>
      </c>
      <c r="P287" s="345">
        <v>1.6260801034000001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345">
        <v>34214.210681577497</v>
      </c>
      <c r="G288" s="345">
        <v>1.2887399065</v>
      </c>
      <c r="H288" s="130"/>
      <c r="I288" s="345">
        <v>36420.298302278497</v>
      </c>
      <c r="J288" s="345">
        <v>1.3311809541999999</v>
      </c>
      <c r="K288" s="133"/>
      <c r="L288" s="345">
        <v>37881.3893101258</v>
      </c>
      <c r="M288" s="345">
        <v>1.3992717091</v>
      </c>
      <c r="N288" s="130"/>
      <c r="O288" s="345">
        <v>44202.332117229598</v>
      </c>
      <c r="P288" s="345">
        <v>1.6264106813999999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344">
        <v>22166.611550397301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345">
        <v>14969.8682585931</v>
      </c>
      <c r="G292" s="345">
        <v>1.5013345202999999</v>
      </c>
      <c r="H292" s="130"/>
      <c r="I292" s="345">
        <v>9390.6150117511006</v>
      </c>
      <c r="J292" s="345">
        <v>1.2482728085000001</v>
      </c>
      <c r="K292" s="133"/>
      <c r="L292" s="345">
        <v>7313.8643322742</v>
      </c>
      <c r="M292" s="345">
        <v>0.97225788179999995</v>
      </c>
      <c r="N292" s="130"/>
      <c r="O292" s="345">
        <v>5907.2071969624003</v>
      </c>
      <c r="P292" s="345">
        <v>0.79660577720000003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345">
        <v>14659.6318695136</v>
      </c>
      <c r="G293" s="345">
        <v>1.5625602139999999</v>
      </c>
      <c r="H293" s="130"/>
      <c r="I293" s="345">
        <v>10411.7681574814</v>
      </c>
      <c r="J293" s="345">
        <v>1.3061297542000001</v>
      </c>
      <c r="K293" s="133"/>
      <c r="L293" s="345">
        <v>7710.6782656695996</v>
      </c>
      <c r="M293" s="345">
        <v>0.98969333150000005</v>
      </c>
      <c r="N293" s="130"/>
      <c r="O293" s="345">
        <v>4369.4109829060999</v>
      </c>
      <c r="P293" s="345">
        <v>0.63187611470000005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345">
        <v>15630.267896826201</v>
      </c>
      <c r="G294" s="345">
        <v>1.8463788795</v>
      </c>
      <c r="H294" s="130"/>
      <c r="I294" s="345">
        <v>9771.7463947068009</v>
      </c>
      <c r="J294" s="345">
        <v>1.1943185840999999</v>
      </c>
      <c r="K294" s="133"/>
      <c r="L294" s="345">
        <v>10641.5745921665</v>
      </c>
      <c r="M294" s="345">
        <v>1.3945576980000001</v>
      </c>
      <c r="N294" s="130"/>
      <c r="O294" s="345">
        <v>5901.9742002879002</v>
      </c>
      <c r="P294" s="345">
        <v>0.8975938832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345">
        <v>14729.2194847758</v>
      </c>
      <c r="G295" s="345">
        <v>1.8341110363999999</v>
      </c>
      <c r="H295" s="130"/>
      <c r="I295" s="345">
        <v>10966.8868149805</v>
      </c>
      <c r="J295" s="345">
        <v>1.2072152099</v>
      </c>
      <c r="K295" s="133"/>
      <c r="L295" s="345">
        <v>9182.7771282457998</v>
      </c>
      <c r="M295" s="345">
        <v>1.3016612225999999</v>
      </c>
      <c r="N295" s="130"/>
      <c r="O295" s="345">
        <v>6935.5819372491997</v>
      </c>
      <c r="P295" s="345">
        <v>0.97268797890000003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345">
        <v>15980.230338044201</v>
      </c>
      <c r="G296" s="345">
        <v>1.7627561952999999</v>
      </c>
      <c r="H296" s="130"/>
      <c r="I296" s="345">
        <v>9726.5949696666994</v>
      </c>
      <c r="J296" s="345">
        <v>1.2302518118000001</v>
      </c>
      <c r="K296" s="133"/>
      <c r="L296" s="345">
        <v>8285.0334527244995</v>
      </c>
      <c r="M296" s="345">
        <v>1.1266007271</v>
      </c>
      <c r="N296" s="130"/>
      <c r="O296" s="345">
        <v>5410.3032465558999</v>
      </c>
      <c r="P296" s="345">
        <v>0.76116840720000001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345">
        <v>11328.6646814627</v>
      </c>
      <c r="G297" s="345">
        <v>1.4634907624</v>
      </c>
      <c r="H297" s="130"/>
      <c r="I297" s="345">
        <v>10331.452126234301</v>
      </c>
      <c r="J297" s="345">
        <v>1.166255552</v>
      </c>
      <c r="K297" s="133"/>
      <c r="L297" s="345">
        <v>9240.3979732156004</v>
      </c>
      <c r="M297" s="345">
        <v>1.144495829</v>
      </c>
      <c r="N297" s="130"/>
      <c r="O297" s="345">
        <v>9267.9974617446005</v>
      </c>
      <c r="P297" s="345">
        <v>1.2706356868999999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344">
        <v>16223.618786687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345">
        <v>11194.169229961801</v>
      </c>
      <c r="G301" s="345">
        <v>1.6150012863000001</v>
      </c>
      <c r="H301" s="130"/>
      <c r="I301" s="345">
        <v>6953.5306506955003</v>
      </c>
      <c r="J301" s="345">
        <v>1.2370211739999999</v>
      </c>
      <c r="K301" s="133"/>
      <c r="L301" s="345">
        <v>4310.1178215148002</v>
      </c>
      <c r="M301" s="345">
        <v>0.87399193490000004</v>
      </c>
      <c r="N301" s="130"/>
      <c r="O301" s="345">
        <v>4260.1646655026998</v>
      </c>
      <c r="P301" s="345">
        <v>0.85770600500000005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345">
        <v>12487.0134667129</v>
      </c>
      <c r="G302" s="345">
        <v>1.7212230657000001</v>
      </c>
      <c r="H302" s="130"/>
      <c r="I302" s="345">
        <v>6550.7174227375999</v>
      </c>
      <c r="J302" s="345">
        <v>1.2947268666</v>
      </c>
      <c r="K302" s="133"/>
      <c r="L302" s="345">
        <v>5628.2639909592999</v>
      </c>
      <c r="M302" s="345">
        <v>1.1368145342</v>
      </c>
      <c r="N302" s="130"/>
      <c r="O302" s="345">
        <v>3438.4017624828002</v>
      </c>
      <c r="P302" s="345">
        <v>0.72616010210000004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345">
        <v>10986.6490254288</v>
      </c>
      <c r="G303" s="345">
        <v>2.0275275311000001</v>
      </c>
      <c r="H303" s="130"/>
      <c r="I303" s="345">
        <v>7929.7317704330999</v>
      </c>
      <c r="J303" s="345">
        <v>1.3870627985999999</v>
      </c>
      <c r="K303" s="133"/>
      <c r="L303" s="345">
        <v>6903.9798397309996</v>
      </c>
      <c r="M303" s="345">
        <v>1.2960035034999999</v>
      </c>
      <c r="N303" s="130"/>
      <c r="O303" s="345">
        <v>5356.6016652343997</v>
      </c>
      <c r="P303" s="345">
        <v>1.1230242998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345">
        <v>9952.4877714534996</v>
      </c>
      <c r="G304" s="345">
        <v>1.7856801979000001</v>
      </c>
      <c r="H304" s="130"/>
      <c r="I304" s="345">
        <v>6670.9179234556004</v>
      </c>
      <c r="J304" s="345">
        <v>1.2230841588000001</v>
      </c>
      <c r="K304" s="133"/>
      <c r="L304" s="345">
        <v>6988.9476182829003</v>
      </c>
      <c r="M304" s="345">
        <v>1.3085243573000001</v>
      </c>
      <c r="N304" s="130"/>
      <c r="O304" s="345">
        <v>6532.5982769072998</v>
      </c>
      <c r="P304" s="345">
        <v>1.2840683501000001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345">
        <v>9771.8361952719006</v>
      </c>
      <c r="G305" s="345">
        <v>1.8166820915999999</v>
      </c>
      <c r="H305" s="130"/>
      <c r="I305" s="345">
        <v>6825.9875267886</v>
      </c>
      <c r="J305" s="345">
        <v>1.1761509982</v>
      </c>
      <c r="K305" s="133"/>
      <c r="L305" s="345">
        <v>5750.0726443552003</v>
      </c>
      <c r="M305" s="345">
        <v>1.0703369753</v>
      </c>
      <c r="N305" s="130"/>
      <c r="O305" s="345">
        <v>7189.4907153575004</v>
      </c>
      <c r="P305" s="345">
        <v>1.3806832193</v>
      </c>
    </row>
    <row r="306" spans="1:87" ht="12.75" customHeight="1" x14ac:dyDescent="0.2">
      <c r="A306" s="143"/>
      <c r="B306" s="14" t="s">
        <v>56</v>
      </c>
      <c r="D306" s="136"/>
      <c r="E306" s="130"/>
      <c r="F306" s="345">
        <v>8085.8433665334996</v>
      </c>
      <c r="G306" s="345">
        <v>1.5684168507</v>
      </c>
      <c r="H306" s="130"/>
      <c r="I306" s="345">
        <v>6563.7903289318001</v>
      </c>
      <c r="J306" s="345">
        <v>1.2462763971999999</v>
      </c>
      <c r="K306" s="133"/>
      <c r="L306" s="345">
        <v>6386.2166890115004</v>
      </c>
      <c r="M306" s="345">
        <v>1.2623334002</v>
      </c>
      <c r="N306" s="130"/>
      <c r="O306" s="345">
        <v>10308.5823269433</v>
      </c>
      <c r="P306" s="345">
        <v>1.8498093049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195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ht="12.75" customHeight="1" x14ac:dyDescent="0.25">
      <c r="A311" s="1"/>
      <c r="B311" s="290" t="s">
        <v>150</v>
      </c>
    </row>
    <row r="312" spans="1:87" ht="12.75" customHeight="1" x14ac:dyDescent="0.25">
      <c r="A312" s="1"/>
    </row>
    <row r="313" spans="1:87" ht="12.75" customHeight="1" x14ac:dyDescent="0.25">
      <c r="A313" s="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09CE261-3843-4735-9C66-F975E9DED88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EFFB-6461-4DBE-BE68-6EC3292AA23E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18" t="s">
        <v>142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06" t="s">
        <v>87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49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344">
        <v>245318.59867594499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345">
        <v>170531.122173871</v>
      </c>
      <c r="G13" s="345">
        <v>0.36368792220000001</v>
      </c>
      <c r="H13" s="54"/>
      <c r="I13" s="345">
        <v>123536.38222878599</v>
      </c>
      <c r="J13" s="345">
        <v>0.28308389620000002</v>
      </c>
      <c r="K13" s="53"/>
      <c r="L13" s="345">
        <v>85850.677942073205</v>
      </c>
      <c r="M13" s="345">
        <v>0.21996666309999999</v>
      </c>
      <c r="N13" s="54"/>
      <c r="O13" s="345">
        <v>74910.438787095904</v>
      </c>
      <c r="P13" s="345">
        <v>0.2023361437</v>
      </c>
    </row>
    <row r="14" spans="1:34" s="45" customFormat="1" ht="12.75" customHeight="1" x14ac:dyDescent="0.25">
      <c r="A14" s="107"/>
      <c r="B14" s="49" t="s">
        <v>52</v>
      </c>
      <c r="D14" s="136"/>
      <c r="E14" s="54"/>
      <c r="F14" s="345">
        <v>179953.67460550199</v>
      </c>
      <c r="G14" s="345">
        <v>0.369819173</v>
      </c>
      <c r="H14" s="54"/>
      <c r="I14" s="345">
        <v>130259.403456279</v>
      </c>
      <c r="J14" s="345">
        <v>0.30182099019999997</v>
      </c>
      <c r="K14" s="53"/>
      <c r="L14" s="345">
        <v>80826.013835013102</v>
      </c>
      <c r="M14" s="345">
        <v>0.2150991203</v>
      </c>
      <c r="N14" s="54"/>
      <c r="O14" s="345">
        <v>57251.605343969197</v>
      </c>
      <c r="P14" s="345">
        <v>0.15540226839999999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345">
        <v>184629.641739085</v>
      </c>
      <c r="G15" s="345">
        <v>0.4318757614</v>
      </c>
      <c r="H15" s="54"/>
      <c r="I15" s="345">
        <v>123731.41383033901</v>
      </c>
      <c r="J15" s="345">
        <v>0.29611019919999998</v>
      </c>
      <c r="K15" s="53"/>
      <c r="L15" s="345">
        <v>105577.728897201</v>
      </c>
      <c r="M15" s="345">
        <v>0.27243549560000002</v>
      </c>
      <c r="N15" s="54"/>
      <c r="O15" s="345">
        <v>92258.885948847499</v>
      </c>
      <c r="P15" s="345">
        <v>0.24719116490000001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345">
        <v>171322.32401679701</v>
      </c>
      <c r="G16" s="345">
        <v>0.40257166160000002</v>
      </c>
      <c r="H16" s="54"/>
      <c r="I16" s="345">
        <v>125625.558741334</v>
      </c>
      <c r="J16" s="345">
        <v>0.29814178829999999</v>
      </c>
      <c r="K16" s="53"/>
      <c r="L16" s="345">
        <v>98859.677700410204</v>
      </c>
      <c r="M16" s="345">
        <v>0.25271390599999999</v>
      </c>
      <c r="N16" s="54"/>
      <c r="O16" s="345">
        <v>107744.907955177</v>
      </c>
      <c r="P16" s="345">
        <v>0.2880453945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346">
        <v>162429.77921188899</v>
      </c>
      <c r="G17" s="346">
        <v>0.38382871880000002</v>
      </c>
      <c r="H17" s="54"/>
      <c r="I17" s="346">
        <v>122323.25423668799</v>
      </c>
      <c r="J17" s="346">
        <v>0.28471695689999998</v>
      </c>
      <c r="K17" s="53"/>
      <c r="L17" s="346">
        <v>101333.130755579</v>
      </c>
      <c r="M17" s="346">
        <v>0.2579307434</v>
      </c>
      <c r="N17" s="54"/>
      <c r="O17" s="346">
        <v>118340.529561863</v>
      </c>
      <c r="P17" s="346">
        <v>0.31661608390000001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346">
        <v>128250.153501993</v>
      </c>
      <c r="G18" s="346">
        <v>0.33676701930000003</v>
      </c>
      <c r="H18" s="54"/>
      <c r="I18" s="346">
        <v>110928.976966542</v>
      </c>
      <c r="J18" s="346">
        <v>0.27316983449999999</v>
      </c>
      <c r="K18" s="53"/>
      <c r="L18" s="346">
        <v>113788.738686254</v>
      </c>
      <c r="M18" s="346">
        <v>0.28754329579999999</v>
      </c>
      <c r="N18" s="54"/>
      <c r="O18" s="346">
        <v>158138.66429050101</v>
      </c>
      <c r="P18" s="346">
        <v>0.37417614049999998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344">
        <v>130448.21952647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345">
        <v>84852.225517130806</v>
      </c>
      <c r="G22" s="345">
        <v>0.8645673331</v>
      </c>
      <c r="H22" s="54"/>
      <c r="I22" s="345">
        <v>56955.003267483902</v>
      </c>
      <c r="J22" s="345">
        <v>0.58094886540000001</v>
      </c>
      <c r="K22" s="53"/>
      <c r="L22" s="345">
        <v>45767.6939242839</v>
      </c>
      <c r="M22" s="345">
        <v>0.54670372899999997</v>
      </c>
      <c r="N22" s="54"/>
      <c r="O22" s="345">
        <v>44896.316303217704</v>
      </c>
      <c r="P22" s="345">
        <v>0.58258821110000003</v>
      </c>
    </row>
    <row r="23" spans="1:16" s="45" customFormat="1" x14ac:dyDescent="0.25">
      <c r="A23" s="109"/>
      <c r="B23" s="49" t="s">
        <v>52</v>
      </c>
      <c r="D23" s="136"/>
      <c r="E23" s="54"/>
      <c r="F23" s="345">
        <v>89244.305921849504</v>
      </c>
      <c r="G23" s="345">
        <v>0.7971337369</v>
      </c>
      <c r="H23" s="54"/>
      <c r="I23" s="345">
        <v>57083.519025822301</v>
      </c>
      <c r="J23" s="345">
        <v>0.5851616905</v>
      </c>
      <c r="K23" s="53"/>
      <c r="L23" s="345">
        <v>45192.499207906803</v>
      </c>
      <c r="M23" s="345">
        <v>0.59986558339999996</v>
      </c>
      <c r="N23" s="54"/>
      <c r="O23" s="345">
        <v>34118.599755787902</v>
      </c>
      <c r="P23" s="345">
        <v>0.42797473870000002</v>
      </c>
    </row>
    <row r="24" spans="1:16" s="45" customFormat="1" x14ac:dyDescent="0.25">
      <c r="A24" s="109"/>
      <c r="B24" s="49" t="s">
        <v>53</v>
      </c>
      <c r="D24" s="136"/>
      <c r="E24" s="54"/>
      <c r="F24" s="345">
        <v>95301.673308340396</v>
      </c>
      <c r="G24" s="345">
        <v>1.0868829180999999</v>
      </c>
      <c r="H24" s="54"/>
      <c r="I24" s="345">
        <v>53702.059328253701</v>
      </c>
      <c r="J24" s="345">
        <v>0.58409304549999996</v>
      </c>
      <c r="K24" s="53"/>
      <c r="L24" s="345">
        <v>50388.364491690802</v>
      </c>
      <c r="M24" s="345">
        <v>0.60680540780000003</v>
      </c>
      <c r="N24" s="54"/>
      <c r="O24" s="345">
        <v>60888.486574852199</v>
      </c>
      <c r="P24" s="345">
        <v>0.76951740369999999</v>
      </c>
    </row>
    <row r="25" spans="1:16" s="45" customFormat="1" x14ac:dyDescent="0.25">
      <c r="A25" s="109"/>
      <c r="B25" s="49" t="s">
        <v>54</v>
      </c>
      <c r="D25" s="136"/>
      <c r="E25" s="54"/>
      <c r="F25" s="345">
        <v>72258.830363715795</v>
      </c>
      <c r="G25" s="345">
        <v>0.87014721589999999</v>
      </c>
      <c r="H25" s="54"/>
      <c r="I25" s="345">
        <v>54741.422451255799</v>
      </c>
      <c r="J25" s="345">
        <v>0.63598775350000003</v>
      </c>
      <c r="K25" s="53"/>
      <c r="L25" s="345">
        <v>48639.652279252099</v>
      </c>
      <c r="M25" s="345">
        <v>0.56369586869999999</v>
      </c>
      <c r="N25" s="54"/>
      <c r="O25" s="345">
        <v>86375.272714058796</v>
      </c>
      <c r="P25" s="345">
        <v>1.0504059106999999</v>
      </c>
    </row>
    <row r="26" spans="1:16" s="45" customFormat="1" x14ac:dyDescent="0.25">
      <c r="A26" s="109"/>
      <c r="B26" s="49" t="s">
        <v>55</v>
      </c>
      <c r="D26" s="136"/>
      <c r="E26" s="54"/>
      <c r="F26" s="345">
        <v>66149.301552306293</v>
      </c>
      <c r="G26" s="345">
        <v>0.74711564029999999</v>
      </c>
      <c r="H26" s="54"/>
      <c r="I26" s="345">
        <v>57819.911401993697</v>
      </c>
      <c r="J26" s="345">
        <v>0.63487364629999998</v>
      </c>
      <c r="K26" s="53"/>
      <c r="L26" s="345">
        <v>44382.931096890403</v>
      </c>
      <c r="M26" s="345">
        <v>0.50411132339999998</v>
      </c>
      <c r="N26" s="54"/>
      <c r="O26" s="345">
        <v>83931.903451936203</v>
      </c>
      <c r="P26" s="345">
        <v>1.0524112555</v>
      </c>
    </row>
    <row r="27" spans="1:16" s="45" customFormat="1" x14ac:dyDescent="0.25">
      <c r="A27" s="109"/>
      <c r="B27" s="49" t="s">
        <v>56</v>
      </c>
      <c r="D27" s="136"/>
      <c r="E27" s="54"/>
      <c r="F27" s="345">
        <v>39887.691981260898</v>
      </c>
      <c r="G27" s="345">
        <v>0.50589819530000002</v>
      </c>
      <c r="H27" s="54"/>
      <c r="I27" s="345">
        <v>43258.974477184202</v>
      </c>
      <c r="J27" s="345">
        <v>0.5261050397</v>
      </c>
      <c r="K27" s="53"/>
      <c r="L27" s="345">
        <v>47058.683868804597</v>
      </c>
      <c r="M27" s="345">
        <v>0.56668837969999997</v>
      </c>
      <c r="N27" s="54"/>
      <c r="O27" s="345">
        <v>100567.70150635199</v>
      </c>
      <c r="P27" s="345">
        <v>0.91137232440000004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344">
        <v>120874.88248751601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345">
        <v>71114.356148036997</v>
      </c>
      <c r="G31" s="345">
        <v>0.90718125869999999</v>
      </c>
      <c r="H31" s="54"/>
      <c r="I31" s="345">
        <v>44560.034613835298</v>
      </c>
      <c r="J31" s="345">
        <v>0.67009517360000004</v>
      </c>
      <c r="K31" s="53"/>
      <c r="L31" s="345">
        <v>34071.752793568798</v>
      </c>
      <c r="M31" s="345">
        <v>0.58676339349999995</v>
      </c>
      <c r="N31" s="54"/>
      <c r="O31" s="345">
        <v>27232.372703590001</v>
      </c>
      <c r="P31" s="345">
        <v>0.52444167829999999</v>
      </c>
    </row>
    <row r="32" spans="1:16" s="45" customFormat="1" x14ac:dyDescent="0.25">
      <c r="A32" s="109"/>
      <c r="B32" s="49" t="s">
        <v>52</v>
      </c>
      <c r="D32" s="136"/>
      <c r="E32" s="54"/>
      <c r="F32" s="345">
        <v>79608.072588588198</v>
      </c>
      <c r="G32" s="345">
        <v>0.88618617150000001</v>
      </c>
      <c r="H32" s="54"/>
      <c r="I32" s="345">
        <v>45018.071726895301</v>
      </c>
      <c r="J32" s="345">
        <v>0.66778282190000005</v>
      </c>
      <c r="K32" s="53"/>
      <c r="L32" s="345">
        <v>30148.134951018601</v>
      </c>
      <c r="M32" s="345">
        <v>0.57158810010000005</v>
      </c>
      <c r="N32" s="54"/>
      <c r="O32" s="345">
        <v>19064.3566018579</v>
      </c>
      <c r="P32" s="345">
        <v>0.38522159239999998</v>
      </c>
    </row>
    <row r="33" spans="1:16" s="45" customFormat="1" x14ac:dyDescent="0.25">
      <c r="A33" s="109"/>
      <c r="B33" s="49" t="s">
        <v>53</v>
      </c>
      <c r="D33" s="136"/>
      <c r="E33" s="54"/>
      <c r="F33" s="345">
        <v>75367.128531506198</v>
      </c>
      <c r="G33" s="345">
        <v>1.1266210565000001</v>
      </c>
      <c r="H33" s="54"/>
      <c r="I33" s="345">
        <v>40758.632871013302</v>
      </c>
      <c r="J33" s="345">
        <v>0.64602195949999996</v>
      </c>
      <c r="K33" s="53"/>
      <c r="L33" s="345">
        <v>40451.243453647199</v>
      </c>
      <c r="M33" s="345">
        <v>0.70117967940000003</v>
      </c>
      <c r="N33" s="54"/>
      <c r="O33" s="345">
        <v>36021.829241687097</v>
      </c>
      <c r="P33" s="345">
        <v>0.70295753920000004</v>
      </c>
    </row>
    <row r="34" spans="1:16" s="45" customFormat="1" x14ac:dyDescent="0.25">
      <c r="A34" s="109"/>
      <c r="B34" s="49" t="s">
        <v>54</v>
      </c>
      <c r="D34" s="136"/>
      <c r="E34" s="54"/>
      <c r="F34" s="345">
        <v>71804.141820324396</v>
      </c>
      <c r="G34" s="345">
        <v>1.0848834438999999</v>
      </c>
      <c r="H34" s="54"/>
      <c r="I34" s="345">
        <v>46383.307066220899</v>
      </c>
      <c r="J34" s="345">
        <v>0.72831423070000001</v>
      </c>
      <c r="K34" s="53"/>
      <c r="L34" s="345">
        <v>42127.801966307401</v>
      </c>
      <c r="M34" s="345">
        <v>0.77192970900000002</v>
      </c>
      <c r="N34" s="54"/>
      <c r="O34" s="345">
        <v>43290.282259492102</v>
      </c>
      <c r="P34" s="345">
        <v>0.86410028429999997</v>
      </c>
    </row>
    <row r="35" spans="1:16" s="45" customFormat="1" x14ac:dyDescent="0.25">
      <c r="A35" s="109"/>
      <c r="B35" s="49" t="s">
        <v>55</v>
      </c>
      <c r="D35" s="136"/>
      <c r="E35" s="54"/>
      <c r="F35" s="345">
        <v>65140.506610615397</v>
      </c>
      <c r="G35" s="345">
        <v>0.97502393590000003</v>
      </c>
      <c r="H35" s="54"/>
      <c r="I35" s="345">
        <v>45340.248051038099</v>
      </c>
      <c r="J35" s="345">
        <v>0.71135719789999996</v>
      </c>
      <c r="K35" s="53"/>
      <c r="L35" s="345">
        <v>44440.294258591202</v>
      </c>
      <c r="M35" s="345">
        <v>0.8038535899</v>
      </c>
      <c r="N35" s="54"/>
      <c r="O35" s="345">
        <v>42129.168142903</v>
      </c>
      <c r="P35" s="345">
        <v>0.79918564589999996</v>
      </c>
    </row>
    <row r="36" spans="1:16" s="45" customFormat="1" x14ac:dyDescent="0.25">
      <c r="A36" s="109"/>
      <c r="B36" s="49" t="s">
        <v>56</v>
      </c>
      <c r="D36" s="136"/>
      <c r="E36" s="54"/>
      <c r="F36" s="345">
        <v>49173.969243229898</v>
      </c>
      <c r="G36" s="345">
        <v>0.84569931769999995</v>
      </c>
      <c r="H36" s="54"/>
      <c r="I36" s="345">
        <v>43263.7805528647</v>
      </c>
      <c r="J36" s="345">
        <v>0.72203213300000002</v>
      </c>
      <c r="K36" s="53"/>
      <c r="L36" s="345">
        <v>44976.426888253402</v>
      </c>
      <c r="M36" s="345">
        <v>0.8009945544</v>
      </c>
      <c r="N36" s="54"/>
      <c r="O36" s="345">
        <v>62529.745584596203</v>
      </c>
      <c r="P36" s="345">
        <v>1.0452871606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344">
        <v>129177.384084488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345">
        <v>88465.191302207095</v>
      </c>
      <c r="G40" s="345">
        <v>1.0433540113999999</v>
      </c>
      <c r="H40" s="54"/>
      <c r="I40" s="345">
        <v>59341.188494966402</v>
      </c>
      <c r="J40" s="345">
        <v>0.77255710050000004</v>
      </c>
      <c r="K40" s="53"/>
      <c r="L40" s="345">
        <v>33149.450542127001</v>
      </c>
      <c r="M40" s="345">
        <v>0.52670792740000005</v>
      </c>
      <c r="N40" s="54"/>
      <c r="O40" s="345">
        <v>29598.9403380812</v>
      </c>
      <c r="P40" s="345">
        <v>0.50481491349999996</v>
      </c>
    </row>
    <row r="41" spans="1:16" s="45" customFormat="1" x14ac:dyDescent="0.25">
      <c r="A41" s="109"/>
      <c r="B41" s="49" t="s">
        <v>52</v>
      </c>
      <c r="D41" s="136"/>
      <c r="E41" s="54"/>
      <c r="F41" s="345">
        <v>86153.158155366895</v>
      </c>
      <c r="G41" s="345">
        <v>1.0486933812999999</v>
      </c>
      <c r="H41" s="54"/>
      <c r="I41" s="345">
        <v>63761.422111615502</v>
      </c>
      <c r="J41" s="345">
        <v>0.83677865770000004</v>
      </c>
      <c r="K41" s="53"/>
      <c r="L41" s="345">
        <v>33276.120271293701</v>
      </c>
      <c r="M41" s="345">
        <v>0.51399441680000002</v>
      </c>
      <c r="N41" s="54"/>
      <c r="O41" s="345">
        <v>20440.928334525099</v>
      </c>
      <c r="P41" s="345">
        <v>0.34298192030000002</v>
      </c>
    </row>
    <row r="42" spans="1:16" s="45" customFormat="1" x14ac:dyDescent="0.25">
      <c r="A42" s="109"/>
      <c r="B42" s="49" t="s">
        <v>53</v>
      </c>
      <c r="D42" s="136"/>
      <c r="E42" s="54"/>
      <c r="F42" s="345">
        <v>90147.186569704194</v>
      </c>
      <c r="G42" s="345">
        <v>1.1899070079</v>
      </c>
      <c r="H42" s="54"/>
      <c r="I42" s="345">
        <v>57952.960533726298</v>
      </c>
      <c r="J42" s="345">
        <v>0.77979021380000002</v>
      </c>
      <c r="K42" s="53"/>
      <c r="L42" s="345">
        <v>54514.858969702997</v>
      </c>
      <c r="M42" s="345">
        <v>0.89591753279999997</v>
      </c>
      <c r="N42" s="54"/>
      <c r="O42" s="345">
        <v>34545.679960875997</v>
      </c>
      <c r="P42" s="345">
        <v>0.58199601810000001</v>
      </c>
    </row>
    <row r="43" spans="1:16" s="45" customFormat="1" x14ac:dyDescent="0.25">
      <c r="A43" s="109"/>
      <c r="B43" s="49" t="s">
        <v>54</v>
      </c>
      <c r="D43" s="136"/>
      <c r="E43" s="54"/>
      <c r="F43" s="345">
        <v>83785.330052160396</v>
      </c>
      <c r="G43" s="345">
        <v>1.1102681933</v>
      </c>
      <c r="H43" s="54"/>
      <c r="I43" s="345">
        <v>61626.760598605601</v>
      </c>
      <c r="J43" s="345">
        <v>0.75541903040000002</v>
      </c>
      <c r="K43" s="53"/>
      <c r="L43" s="345">
        <v>47310.199623515597</v>
      </c>
      <c r="M43" s="345">
        <v>0.74175349359999998</v>
      </c>
      <c r="N43" s="54"/>
      <c r="O43" s="345">
        <v>26720.132267810801</v>
      </c>
      <c r="P43" s="345">
        <v>0.45754017159999999</v>
      </c>
    </row>
    <row r="44" spans="1:16" s="45" customFormat="1" x14ac:dyDescent="0.25">
      <c r="A44" s="109"/>
      <c r="B44" s="49" t="s">
        <v>55</v>
      </c>
      <c r="D44" s="136"/>
      <c r="E44" s="54"/>
      <c r="F44" s="345">
        <v>77268.352828809104</v>
      </c>
      <c r="G44" s="345">
        <v>1.0531296493</v>
      </c>
      <c r="H44" s="54"/>
      <c r="I44" s="345">
        <v>60794.194718013001</v>
      </c>
      <c r="J44" s="345">
        <v>0.75692432340000004</v>
      </c>
      <c r="K44" s="53"/>
      <c r="L44" s="345">
        <v>46119.4882716953</v>
      </c>
      <c r="M44" s="345">
        <v>0.69794064739999995</v>
      </c>
      <c r="N44" s="54"/>
      <c r="O44" s="345">
        <v>44525.121212267703</v>
      </c>
      <c r="P44" s="345">
        <v>0.76104901599999997</v>
      </c>
    </row>
    <row r="45" spans="1:16" s="45" customFormat="1" x14ac:dyDescent="0.25">
      <c r="A45" s="109"/>
      <c r="B45" s="49" t="s">
        <v>56</v>
      </c>
      <c r="D45" s="136"/>
      <c r="E45" s="54"/>
      <c r="F45" s="345">
        <v>55638.451501500298</v>
      </c>
      <c r="G45" s="345">
        <v>0.84808222929999999</v>
      </c>
      <c r="H45" s="54"/>
      <c r="I45" s="345">
        <v>54116.949410620298</v>
      </c>
      <c r="J45" s="345">
        <v>0.72183768000000004</v>
      </c>
      <c r="K45" s="53"/>
      <c r="L45" s="345">
        <v>52976.1308004948</v>
      </c>
      <c r="M45" s="345">
        <v>0.74508208320000002</v>
      </c>
      <c r="N45" s="54"/>
      <c r="O45" s="345">
        <v>59939.392849796699</v>
      </c>
      <c r="P45" s="345">
        <v>0.8927323667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344">
        <v>113668.722195625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345">
        <v>96135.876424880495</v>
      </c>
      <c r="G49" s="345">
        <v>0.48612617479999998</v>
      </c>
      <c r="H49" s="54"/>
      <c r="I49" s="345">
        <v>81492.866067404801</v>
      </c>
      <c r="J49" s="345">
        <v>0.41246484680000001</v>
      </c>
      <c r="K49" s="53"/>
      <c r="L49" s="345">
        <v>55009.251136970102</v>
      </c>
      <c r="M49" s="345">
        <v>0.29951271540000002</v>
      </c>
      <c r="N49" s="54"/>
      <c r="O49" s="345">
        <v>44523.909517279797</v>
      </c>
      <c r="P49" s="345">
        <v>0.24531067610000001</v>
      </c>
    </row>
    <row r="50" spans="1:87" s="45" customFormat="1" x14ac:dyDescent="0.25">
      <c r="A50" s="109"/>
      <c r="B50" s="49" t="s">
        <v>52</v>
      </c>
      <c r="D50" s="136"/>
      <c r="E50" s="54"/>
      <c r="F50" s="345">
        <v>104764.071586001</v>
      </c>
      <c r="G50" s="345">
        <v>0.52419963290000005</v>
      </c>
      <c r="H50" s="54"/>
      <c r="I50" s="345">
        <v>87838.050503341306</v>
      </c>
      <c r="J50" s="345">
        <v>0.44997829550000001</v>
      </c>
      <c r="K50" s="53"/>
      <c r="L50" s="345">
        <v>49876.680457460803</v>
      </c>
      <c r="M50" s="345">
        <v>0.2749051636</v>
      </c>
      <c r="N50" s="54"/>
      <c r="O50" s="345">
        <v>36504.826521241797</v>
      </c>
      <c r="P50" s="345">
        <v>0.20381785099999999</v>
      </c>
    </row>
    <row r="51" spans="1:87" s="45" customFormat="1" x14ac:dyDescent="0.25">
      <c r="A51" s="109"/>
      <c r="B51" s="49" t="s">
        <v>53</v>
      </c>
      <c r="D51" s="136"/>
      <c r="E51" s="54"/>
      <c r="F51" s="345">
        <v>106918.813630089</v>
      </c>
      <c r="G51" s="345">
        <v>0.56344083769999997</v>
      </c>
      <c r="H51" s="54"/>
      <c r="I51" s="345">
        <v>86758.462892190306</v>
      </c>
      <c r="J51" s="345">
        <v>0.4475225766</v>
      </c>
      <c r="K51" s="53"/>
      <c r="L51" s="345">
        <v>63383.291715494597</v>
      </c>
      <c r="M51" s="345">
        <v>0.34366123679999999</v>
      </c>
      <c r="N51" s="54"/>
      <c r="O51" s="345">
        <v>48138.665088422997</v>
      </c>
      <c r="P51" s="345">
        <v>0.26587971329999999</v>
      </c>
    </row>
    <row r="52" spans="1:87" s="45" customFormat="1" x14ac:dyDescent="0.25">
      <c r="A52" s="109"/>
      <c r="B52" s="49" t="s">
        <v>54</v>
      </c>
      <c r="D52" s="136"/>
      <c r="E52" s="54"/>
      <c r="F52" s="345">
        <v>110379.259242029</v>
      </c>
      <c r="G52" s="345">
        <v>0.55434053959999996</v>
      </c>
      <c r="H52" s="54"/>
      <c r="I52" s="345">
        <v>83193.307603610097</v>
      </c>
      <c r="J52" s="345">
        <v>0.43183323369999999</v>
      </c>
      <c r="K52" s="53"/>
      <c r="L52" s="345">
        <v>58347.421887495198</v>
      </c>
      <c r="M52" s="345">
        <v>0.32048439719999999</v>
      </c>
      <c r="N52" s="54"/>
      <c r="O52" s="345">
        <v>39697.820866198199</v>
      </c>
      <c r="P52" s="345">
        <v>0.22211625190000001</v>
      </c>
    </row>
    <row r="53" spans="1:87" s="45" customFormat="1" x14ac:dyDescent="0.25">
      <c r="A53" s="109"/>
      <c r="B53" s="49" t="s">
        <v>55</v>
      </c>
      <c r="D53" s="136"/>
      <c r="E53" s="54"/>
      <c r="F53" s="345">
        <v>109495.31281179099</v>
      </c>
      <c r="G53" s="345">
        <v>0.55365115990000002</v>
      </c>
      <c r="I53" s="345">
        <v>76959.604557237602</v>
      </c>
      <c r="J53" s="345">
        <v>0.40031224989999997</v>
      </c>
      <c r="L53" s="345">
        <v>65001.090776722602</v>
      </c>
      <c r="M53" s="345">
        <v>0.35639089979999999</v>
      </c>
      <c r="O53" s="345">
        <v>56844.099126463203</v>
      </c>
      <c r="P53" s="345">
        <v>0.31585816449999998</v>
      </c>
    </row>
    <row r="54" spans="1:87" s="45" customFormat="1" x14ac:dyDescent="0.25">
      <c r="A54" s="109"/>
      <c r="B54" s="49" t="s">
        <v>56</v>
      </c>
      <c r="D54" s="136"/>
      <c r="E54" s="54"/>
      <c r="F54" s="345">
        <v>96905.068140533505</v>
      </c>
      <c r="G54" s="345">
        <v>0.5271131993</v>
      </c>
      <c r="I54" s="345">
        <v>75485.789927876598</v>
      </c>
      <c r="J54" s="345">
        <v>0.3959937114</v>
      </c>
      <c r="L54" s="345">
        <v>77356.960041106096</v>
      </c>
      <c r="M54" s="345">
        <v>0.41562071519999999</v>
      </c>
      <c r="O54" s="345">
        <v>86237.059783228295</v>
      </c>
      <c r="P54" s="345">
        <v>0.46581274950000001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195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45" customFormat="1" x14ac:dyDescent="0.25">
      <c r="A59" s="109"/>
      <c r="B59" s="290" t="s">
        <v>150</v>
      </c>
      <c r="D59" s="144"/>
      <c r="F59" s="144"/>
      <c r="G59" s="145"/>
      <c r="I59" s="144"/>
      <c r="J59" s="145"/>
      <c r="L59" s="144"/>
      <c r="M59" s="145"/>
      <c r="O59" s="144"/>
      <c r="P59" s="145"/>
    </row>
    <row r="60" spans="1:87" s="45" customFormat="1" x14ac:dyDescent="0.25">
      <c r="A60" s="109"/>
      <c r="D60" s="144"/>
      <c r="F60" s="144"/>
      <c r="G60" s="145"/>
      <c r="I60" s="144"/>
      <c r="J60" s="145"/>
      <c r="L60" s="144"/>
      <c r="M60" s="145"/>
      <c r="O60" s="144"/>
      <c r="P60" s="145"/>
    </row>
    <row r="61" spans="1:87" s="45" customFormat="1" x14ac:dyDescent="0.25">
      <c r="A61" s="109"/>
      <c r="D61" s="144"/>
      <c r="F61" s="144"/>
      <c r="G61" s="145"/>
      <c r="I61" s="144"/>
      <c r="J61" s="145"/>
      <c r="L61" s="144"/>
      <c r="M61" s="145"/>
      <c r="O61" s="144"/>
      <c r="P61" s="145"/>
    </row>
    <row r="62" spans="1:87" s="45" customFormat="1" x14ac:dyDescent="0.25">
      <c r="A62" s="109"/>
      <c r="D62" s="144"/>
      <c r="F62" s="144"/>
      <c r="G62" s="145"/>
      <c r="I62" s="144"/>
      <c r="J62" s="145"/>
      <c r="L62" s="144"/>
      <c r="M62" s="145"/>
      <c r="O62" s="144"/>
      <c r="P62" s="145"/>
    </row>
    <row r="63" spans="1:87" s="45" customFormat="1" x14ac:dyDescent="0.25">
      <c r="A63" s="109"/>
      <c r="D63" s="144"/>
      <c r="F63" s="144"/>
      <c r="G63" s="145"/>
      <c r="I63" s="144"/>
      <c r="J63" s="145"/>
      <c r="L63" s="144"/>
      <c r="M63" s="145"/>
      <c r="O63" s="144"/>
      <c r="P63" s="145"/>
    </row>
    <row r="64" spans="1:87" s="45" customFormat="1" x14ac:dyDescent="0.25">
      <c r="A64" s="109"/>
      <c r="D64" s="144"/>
      <c r="F64" s="144"/>
      <c r="G64" s="145"/>
      <c r="I64" s="144"/>
      <c r="J64" s="145"/>
      <c r="L64" s="144"/>
      <c r="M64" s="145"/>
      <c r="O64" s="144"/>
      <c r="P64" s="145"/>
    </row>
    <row r="65" spans="1:16" s="45" customFormat="1" x14ac:dyDescent="0.25">
      <c r="A65" s="109"/>
      <c r="D65" s="144"/>
      <c r="F65" s="144"/>
      <c r="G65" s="145"/>
      <c r="I65" s="144"/>
      <c r="J65" s="145"/>
      <c r="L65" s="144"/>
      <c r="M65" s="145"/>
      <c r="O65" s="144"/>
      <c r="P65" s="145"/>
    </row>
    <row r="66" spans="1:16" s="45" customFormat="1" x14ac:dyDescent="0.25">
      <c r="A66" s="109"/>
      <c r="D66" s="144"/>
      <c r="F66" s="144"/>
      <c r="G66" s="145"/>
      <c r="I66" s="144"/>
      <c r="J66" s="145"/>
      <c r="L66" s="144"/>
      <c r="M66" s="145"/>
      <c r="O66" s="144"/>
      <c r="P66" s="145"/>
    </row>
    <row r="67" spans="1:16" s="45" customFormat="1" x14ac:dyDescent="0.25">
      <c r="A67" s="109"/>
      <c r="D67" s="144"/>
      <c r="F67" s="144"/>
      <c r="G67" s="145"/>
      <c r="I67" s="144"/>
      <c r="J67" s="145"/>
      <c r="L67" s="144"/>
      <c r="M67" s="145"/>
      <c r="O67" s="144"/>
      <c r="P67" s="145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4C36E10-E04D-4D9A-BA99-4F9E58A0F0B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75EF-CFA9-4A3E-BCB9-1E280955A1DD}">
  <sheetPr>
    <pageSetUpPr fitToPage="1"/>
  </sheetPr>
  <dimension ref="A1:AB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18" t="s">
        <v>76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101</v>
      </c>
    </row>
    <row r="6" spans="1:19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9" ht="15" customHeight="1" x14ac:dyDescent="0.2">
      <c r="A7" s="103"/>
      <c r="B7" s="395" t="s">
        <v>0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</row>
    <row r="8" spans="1:19" ht="23.25" customHeight="1" x14ac:dyDescent="0.2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L8" s="417" t="s">
        <v>63</v>
      </c>
      <c r="M8" s="417"/>
      <c r="O8" s="417" t="s">
        <v>64</v>
      </c>
      <c r="P8" s="417"/>
      <c r="R8" s="422"/>
      <c r="S8" s="422"/>
    </row>
    <row r="9" spans="1:19" ht="15" customHeight="1" x14ac:dyDescent="0.2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50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245318.59867594499</v>
      </c>
      <c r="E11" s="52"/>
      <c r="F11" s="344">
        <v>81573.867504463706</v>
      </c>
      <c r="G11" s="344">
        <v>0.21324980830000001</v>
      </c>
      <c r="H11" s="52"/>
      <c r="I11" s="344">
        <v>67071.0278052707</v>
      </c>
      <c r="J11" s="344">
        <v>0.17681791359999999</v>
      </c>
      <c r="K11" s="53"/>
      <c r="L11" s="344">
        <v>77879.622023544696</v>
      </c>
      <c r="M11" s="344">
        <v>0.20435109260000001</v>
      </c>
      <c r="N11" s="52"/>
      <c r="O11" s="344">
        <v>79878.229304921406</v>
      </c>
      <c r="P11" s="344">
        <v>0.20964460460000001</v>
      </c>
      <c r="R11" s="344">
        <v>220462.198063869</v>
      </c>
      <c r="S11" s="344">
        <v>0.24075954699999999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345">
        <v>8967.3004696325006</v>
      </c>
      <c r="E13" s="54"/>
      <c r="F13" s="345">
        <v>3580.5367647536</v>
      </c>
      <c r="G13" s="345">
        <v>0.90729833969999996</v>
      </c>
      <c r="H13" s="54"/>
      <c r="I13" s="345">
        <v>3317.2347434298999</v>
      </c>
      <c r="J13" s="345">
        <v>0.84544119029999998</v>
      </c>
      <c r="K13" s="53"/>
      <c r="L13" s="345">
        <v>3800.7251346784001</v>
      </c>
      <c r="M13" s="345">
        <v>0.96916327449999995</v>
      </c>
      <c r="N13" s="54"/>
      <c r="O13" s="345">
        <v>3731.0976865705002</v>
      </c>
      <c r="P13" s="345">
        <v>0.95283195259999998</v>
      </c>
      <c r="R13" s="345">
        <v>9036.6069402046996</v>
      </c>
      <c r="S13" s="345">
        <v>1.0547931660000001</v>
      </c>
    </row>
    <row r="14" spans="1:19" ht="12.75" customHeight="1" x14ac:dyDescent="0.2">
      <c r="A14" s="107"/>
      <c r="B14" s="29" t="s">
        <v>6</v>
      </c>
      <c r="D14" s="345">
        <v>30546.712730472598</v>
      </c>
      <c r="E14" s="54"/>
      <c r="F14" s="345">
        <v>15626.7856580918</v>
      </c>
      <c r="G14" s="345">
        <v>1.2179408391</v>
      </c>
      <c r="H14" s="54"/>
      <c r="I14" s="345">
        <v>14282.952888902</v>
      </c>
      <c r="J14" s="345">
        <v>1.1368519216999999</v>
      </c>
      <c r="K14" s="53"/>
      <c r="L14" s="345">
        <v>16635.670799904899</v>
      </c>
      <c r="M14" s="345">
        <v>1.2930207247000001</v>
      </c>
      <c r="N14" s="54"/>
      <c r="O14" s="345">
        <v>16112.105075138499</v>
      </c>
      <c r="P14" s="345">
        <v>1.2607983634</v>
      </c>
      <c r="R14" s="345">
        <v>26281.1409966561</v>
      </c>
      <c r="S14" s="345">
        <v>1.3068178202</v>
      </c>
    </row>
    <row r="15" spans="1:19" ht="12.75" customHeight="1" x14ac:dyDescent="0.2">
      <c r="A15" s="104"/>
      <c r="B15" s="29" t="s">
        <v>7</v>
      </c>
      <c r="D15" s="345">
        <v>8722.5870993348999</v>
      </c>
      <c r="E15" s="54"/>
      <c r="F15" s="345">
        <v>2874.6351396042</v>
      </c>
      <c r="G15" s="345">
        <v>1.1721849036</v>
      </c>
      <c r="H15" s="54"/>
      <c r="I15" s="345">
        <v>2767.4052981395998</v>
      </c>
      <c r="J15" s="345">
        <v>1.1272955053</v>
      </c>
      <c r="K15" s="53"/>
      <c r="L15" s="345">
        <v>2804.1201139436998</v>
      </c>
      <c r="M15" s="345">
        <v>1.1544102821</v>
      </c>
      <c r="N15" s="54"/>
      <c r="O15" s="345">
        <v>2797.4735459105</v>
      </c>
      <c r="P15" s="345">
        <v>1.1538603220000001</v>
      </c>
      <c r="R15" s="345">
        <v>8701.2243634928</v>
      </c>
      <c r="S15" s="345">
        <v>1.2551525041</v>
      </c>
    </row>
    <row r="16" spans="1:19" ht="12.75" customHeight="1" x14ac:dyDescent="0.2">
      <c r="A16" s="104"/>
      <c r="B16" s="29" t="s">
        <v>8</v>
      </c>
      <c r="D16" s="345">
        <v>9823.9999164673009</v>
      </c>
      <c r="E16" s="54"/>
      <c r="F16" s="345">
        <v>2592.5309872732</v>
      </c>
      <c r="G16" s="345">
        <v>0.90716105319999996</v>
      </c>
      <c r="H16" s="54"/>
      <c r="I16" s="345">
        <v>2331.6342147203</v>
      </c>
      <c r="J16" s="345">
        <v>0.83597904180000004</v>
      </c>
      <c r="K16" s="53"/>
      <c r="L16" s="345">
        <v>2631.0248006334</v>
      </c>
      <c r="M16" s="345">
        <v>0.86659723950000001</v>
      </c>
      <c r="N16" s="54"/>
      <c r="O16" s="345">
        <v>2571.5734514166002</v>
      </c>
      <c r="P16" s="345">
        <v>0.90269544430000004</v>
      </c>
      <c r="R16" s="345">
        <v>8444.1758257849997</v>
      </c>
      <c r="S16" s="345">
        <v>0.98550676110000002</v>
      </c>
    </row>
    <row r="17" spans="1:19" ht="12.75" customHeight="1" x14ac:dyDescent="0.2">
      <c r="A17" s="104"/>
      <c r="B17" s="29" t="s">
        <v>9</v>
      </c>
      <c r="D17" s="346">
        <v>20174.373876367401</v>
      </c>
      <c r="E17" s="54"/>
      <c r="F17" s="346">
        <v>10418.4329596116</v>
      </c>
      <c r="G17" s="346">
        <v>1.0395962658</v>
      </c>
      <c r="H17" s="54"/>
      <c r="I17" s="346">
        <v>10193.077589758699</v>
      </c>
      <c r="J17" s="346">
        <v>1.0397976011000001</v>
      </c>
      <c r="K17" s="53"/>
      <c r="L17" s="346">
        <v>10937.997162690601</v>
      </c>
      <c r="M17" s="346">
        <v>1.1198053372000001</v>
      </c>
      <c r="N17" s="54"/>
      <c r="O17" s="346">
        <v>10406.950927406</v>
      </c>
      <c r="P17" s="346">
        <v>1.0556900352</v>
      </c>
      <c r="R17" s="346">
        <v>18017.908821380101</v>
      </c>
      <c r="S17" s="346">
        <v>1.1829394541</v>
      </c>
    </row>
    <row r="18" spans="1:19" ht="12.75" customHeight="1" x14ac:dyDescent="0.2">
      <c r="A18" s="108"/>
      <c r="B18" s="29" t="s">
        <v>10</v>
      </c>
      <c r="D18" s="346">
        <v>8619.0153653119996</v>
      </c>
      <c r="E18" s="54"/>
      <c r="F18" s="346">
        <v>2557.9263760864001</v>
      </c>
      <c r="G18" s="346">
        <v>0.95748568030000003</v>
      </c>
      <c r="H18" s="54"/>
      <c r="I18" s="346">
        <v>2249.1147801310999</v>
      </c>
      <c r="J18" s="346">
        <v>0.87150906949999996</v>
      </c>
      <c r="K18" s="53"/>
      <c r="L18" s="346">
        <v>2441.4932121852999</v>
      </c>
      <c r="M18" s="346">
        <v>0.92417281709999999</v>
      </c>
      <c r="N18" s="54"/>
      <c r="O18" s="346">
        <v>2537.8364938712998</v>
      </c>
      <c r="P18" s="346">
        <v>0.96771163270000005</v>
      </c>
      <c r="R18" s="346">
        <v>7564.9432760666004</v>
      </c>
      <c r="S18" s="346">
        <v>1.0497546172000001</v>
      </c>
    </row>
    <row r="19" spans="1:19" ht="12.75" customHeight="1" x14ac:dyDescent="0.2">
      <c r="A19" s="108"/>
      <c r="B19" s="29" t="s">
        <v>11</v>
      </c>
      <c r="D19" s="345">
        <v>63038.559215489498</v>
      </c>
      <c r="E19" s="54"/>
      <c r="F19" s="345">
        <v>19053.106728155199</v>
      </c>
      <c r="G19" s="345">
        <v>1.1835584853000001</v>
      </c>
      <c r="H19" s="54"/>
      <c r="I19" s="345">
        <v>17978.237428477401</v>
      </c>
      <c r="J19" s="345">
        <v>1.0923258077</v>
      </c>
      <c r="K19" s="53"/>
      <c r="L19" s="345">
        <v>21540.3787531874</v>
      </c>
      <c r="M19" s="345">
        <v>1.2145025438999999</v>
      </c>
      <c r="N19" s="54"/>
      <c r="O19" s="345">
        <v>19713.7914518295</v>
      </c>
      <c r="P19" s="345">
        <v>1.1673260814999999</v>
      </c>
      <c r="R19" s="345">
        <v>51809.712946212698</v>
      </c>
      <c r="S19" s="345">
        <v>1.3864172266000001</v>
      </c>
    </row>
    <row r="20" spans="1:19" s="2" customFormat="1" ht="12.75" customHeight="1" x14ac:dyDescent="0.2">
      <c r="A20" s="109"/>
      <c r="B20" s="29" t="s">
        <v>12</v>
      </c>
      <c r="C20" s="1"/>
      <c r="D20" s="345">
        <v>21528.302989013799</v>
      </c>
      <c r="E20" s="54"/>
      <c r="F20" s="345">
        <v>8612.5651992711992</v>
      </c>
      <c r="G20" s="345">
        <v>0.74295975319999996</v>
      </c>
      <c r="H20" s="54"/>
      <c r="I20" s="345">
        <v>7431.2401722102004</v>
      </c>
      <c r="J20" s="345">
        <v>0.64634824479999997</v>
      </c>
      <c r="K20" s="53"/>
      <c r="L20" s="345">
        <v>8121.2517586916001</v>
      </c>
      <c r="M20" s="345">
        <v>0.70904304520000005</v>
      </c>
      <c r="N20" s="54"/>
      <c r="O20" s="345">
        <v>9008.2895880794003</v>
      </c>
      <c r="P20" s="345">
        <v>0.77856387370000002</v>
      </c>
      <c r="R20" s="345">
        <v>22181.132680065199</v>
      </c>
      <c r="S20" s="345">
        <v>0.87041268999999999</v>
      </c>
    </row>
    <row r="21" spans="1:19" s="2" customFormat="1" ht="12.75" customHeight="1" x14ac:dyDescent="0.2">
      <c r="A21" s="109"/>
      <c r="B21" s="29" t="s">
        <v>13</v>
      </c>
      <c r="C21" s="1"/>
      <c r="D21" s="345">
        <v>50347.549406123697</v>
      </c>
      <c r="E21" s="54"/>
      <c r="F21" s="345">
        <v>22297.622544718601</v>
      </c>
      <c r="G21" s="345">
        <v>0.80003280160000001</v>
      </c>
      <c r="H21" s="54"/>
      <c r="I21" s="345">
        <v>20622.482021152598</v>
      </c>
      <c r="J21" s="345">
        <v>0.74887435290000004</v>
      </c>
      <c r="K21" s="53"/>
      <c r="L21" s="345">
        <v>21813.614625019</v>
      </c>
      <c r="M21" s="345">
        <v>0.78297956479999997</v>
      </c>
      <c r="N21" s="54"/>
      <c r="O21" s="345">
        <v>23741.6921045407</v>
      </c>
      <c r="P21" s="345">
        <v>0.85089500780000005</v>
      </c>
      <c r="R21" s="345">
        <v>50083.184518270296</v>
      </c>
      <c r="S21" s="345">
        <v>0.9462368766</v>
      </c>
    </row>
    <row r="22" spans="1:19" s="2" customFormat="1" ht="12.75" customHeight="1" x14ac:dyDescent="0.2">
      <c r="A22" s="109"/>
      <c r="B22" s="29" t="s">
        <v>14</v>
      </c>
      <c r="C22" s="1"/>
      <c r="D22" s="345">
        <v>12174.4839866041</v>
      </c>
      <c r="E22" s="54"/>
      <c r="F22" s="345">
        <v>5168.6371138216</v>
      </c>
      <c r="G22" s="345">
        <v>1.0097652485999999</v>
      </c>
      <c r="H22" s="54"/>
      <c r="I22" s="345">
        <v>4264.2669251226998</v>
      </c>
      <c r="J22" s="345">
        <v>0.80918722139999999</v>
      </c>
      <c r="K22" s="53"/>
      <c r="L22" s="345">
        <v>4856.0148573710003</v>
      </c>
      <c r="M22" s="345">
        <v>0.93546837029999996</v>
      </c>
      <c r="N22" s="54"/>
      <c r="O22" s="345">
        <v>5324.2637423370998</v>
      </c>
      <c r="P22" s="345">
        <v>1.0042559073999999</v>
      </c>
      <c r="R22" s="345">
        <v>11801.9014472898</v>
      </c>
      <c r="S22" s="345">
        <v>1.1579899139000001</v>
      </c>
    </row>
    <row r="23" spans="1:19" s="2" customFormat="1" ht="12.75" customHeight="1" x14ac:dyDescent="0.2">
      <c r="A23" s="109"/>
      <c r="B23" s="29" t="s">
        <v>15</v>
      </c>
      <c r="C23" s="1"/>
      <c r="D23" s="345">
        <v>39342.759310615002</v>
      </c>
      <c r="E23" s="54"/>
      <c r="F23" s="345">
        <v>13197.563583888101</v>
      </c>
      <c r="G23" s="345">
        <v>0.79574015330000003</v>
      </c>
      <c r="H23" s="54"/>
      <c r="I23" s="345">
        <v>10201.3933534111</v>
      </c>
      <c r="J23" s="345">
        <v>0.60438963109999999</v>
      </c>
      <c r="K23" s="53"/>
      <c r="L23" s="345">
        <v>10993.9342805745</v>
      </c>
      <c r="M23" s="345">
        <v>0.6378184268</v>
      </c>
      <c r="N23" s="54"/>
      <c r="O23" s="345">
        <v>11874.105622777401</v>
      </c>
      <c r="P23" s="345">
        <v>0.70164457820000004</v>
      </c>
      <c r="R23" s="345">
        <v>36930.4805064631</v>
      </c>
      <c r="S23" s="345">
        <v>0.85779063430000002</v>
      </c>
    </row>
    <row r="24" spans="1:19" s="2" customFormat="1" ht="12.75" customHeight="1" x14ac:dyDescent="0.2">
      <c r="A24" s="109"/>
      <c r="B24" s="29" t="s">
        <v>16</v>
      </c>
      <c r="C24" s="1"/>
      <c r="D24" s="345">
        <v>28850.313181142301</v>
      </c>
      <c r="E24" s="54"/>
      <c r="F24" s="345">
        <v>11859.251049705001</v>
      </c>
      <c r="G24" s="345">
        <v>1.0482611087</v>
      </c>
      <c r="H24" s="54"/>
      <c r="I24" s="345">
        <v>10381.213450027801</v>
      </c>
      <c r="J24" s="345">
        <v>1.0033449576</v>
      </c>
      <c r="K24" s="53"/>
      <c r="L24" s="345">
        <v>11159.1598019794</v>
      </c>
      <c r="M24" s="345">
        <v>1.075534795</v>
      </c>
      <c r="N24" s="54"/>
      <c r="O24" s="345">
        <v>13062.9534159494</v>
      </c>
      <c r="P24" s="345">
        <v>1.1032885277</v>
      </c>
      <c r="R24" s="345">
        <v>22172.291425825599</v>
      </c>
      <c r="S24" s="345">
        <v>1.1438479238999999</v>
      </c>
    </row>
    <row r="25" spans="1:19" s="2" customFormat="1" ht="12.75" customHeight="1" x14ac:dyDescent="0.2">
      <c r="A25" s="109"/>
      <c r="B25" s="29" t="s">
        <v>17</v>
      </c>
      <c r="C25" s="1"/>
      <c r="D25" s="345">
        <v>24330.5739194446</v>
      </c>
      <c r="E25" s="54"/>
      <c r="F25" s="345">
        <v>9675.3610698162993</v>
      </c>
      <c r="G25" s="345">
        <v>0.97758943809999999</v>
      </c>
      <c r="H25" s="54"/>
      <c r="I25" s="345">
        <v>8683.9934636417001</v>
      </c>
      <c r="J25" s="345">
        <v>0.90829368570000002</v>
      </c>
      <c r="K25" s="53"/>
      <c r="L25" s="345">
        <v>9639.8478414656001</v>
      </c>
      <c r="M25" s="345">
        <v>0.98380657660000004</v>
      </c>
      <c r="N25" s="54"/>
      <c r="O25" s="345">
        <v>10194.726547620699</v>
      </c>
      <c r="P25" s="345">
        <v>1.0462014442000001</v>
      </c>
      <c r="R25" s="345">
        <v>20528.915147882301</v>
      </c>
      <c r="S25" s="345">
        <v>1.1671121941</v>
      </c>
    </row>
    <row r="26" spans="1:19" s="2" customFormat="1" ht="12.75" customHeight="1" x14ac:dyDescent="0.2">
      <c r="A26" s="109"/>
      <c r="B26" s="29" t="s">
        <v>18</v>
      </c>
      <c r="C26" s="1"/>
      <c r="D26" s="345">
        <v>55559.275928897499</v>
      </c>
      <c r="E26" s="54"/>
      <c r="F26" s="345">
        <v>21845.6107985284</v>
      </c>
      <c r="G26" s="345">
        <v>0.88015800450000004</v>
      </c>
      <c r="H26" s="54"/>
      <c r="I26" s="345">
        <v>18212.521714687002</v>
      </c>
      <c r="J26" s="345">
        <v>0.75095281940000003</v>
      </c>
      <c r="K26" s="53"/>
      <c r="L26" s="345">
        <v>21086.899757396</v>
      </c>
      <c r="M26" s="345">
        <v>0.85803351900000002</v>
      </c>
      <c r="N26" s="54"/>
      <c r="O26" s="345">
        <v>20072.885445222601</v>
      </c>
      <c r="P26" s="345">
        <v>0.80642671239999997</v>
      </c>
      <c r="R26" s="345">
        <v>51348.6547697278</v>
      </c>
      <c r="S26" s="345">
        <v>1.0055161075000001</v>
      </c>
    </row>
    <row r="27" spans="1:19" s="2" customFormat="1" ht="12.75" customHeight="1" x14ac:dyDescent="0.2">
      <c r="A27" s="109"/>
      <c r="B27" s="29" t="s">
        <v>19</v>
      </c>
      <c r="C27" s="1"/>
      <c r="D27" s="345">
        <v>153845.18493733901</v>
      </c>
      <c r="E27" s="54"/>
      <c r="F27" s="345">
        <v>48937.127129549001</v>
      </c>
      <c r="G27" s="345">
        <v>0.97025998339999997</v>
      </c>
      <c r="H27" s="54"/>
      <c r="I27" s="345">
        <v>34249.638201867303</v>
      </c>
      <c r="J27" s="345">
        <v>0.66572714180000003</v>
      </c>
      <c r="K27" s="53"/>
      <c r="L27" s="345">
        <v>42162.411868556301</v>
      </c>
      <c r="M27" s="345">
        <v>0.83281122320000001</v>
      </c>
      <c r="N27" s="54"/>
      <c r="O27" s="345">
        <v>45153.734960859998</v>
      </c>
      <c r="P27" s="345">
        <v>0.90611719769999999</v>
      </c>
      <c r="R27" s="345">
        <v>137163.97087464199</v>
      </c>
      <c r="S27" s="345">
        <v>1.0413079289</v>
      </c>
    </row>
    <row r="28" spans="1:19" s="2" customFormat="1" ht="12.75" customHeight="1" x14ac:dyDescent="0.2">
      <c r="A28" s="109"/>
      <c r="B28" s="29" t="s">
        <v>20</v>
      </c>
      <c r="C28" s="1"/>
      <c r="D28" s="345">
        <v>48544.014646115298</v>
      </c>
      <c r="E28" s="54"/>
      <c r="F28" s="345">
        <v>12918.1654785232</v>
      </c>
      <c r="G28" s="345">
        <v>0.88582336279999996</v>
      </c>
      <c r="H28" s="54"/>
      <c r="I28" s="345">
        <v>11426.0066348002</v>
      </c>
      <c r="J28" s="345">
        <v>0.80620146790000002</v>
      </c>
      <c r="K28" s="53"/>
      <c r="L28" s="345">
        <v>12343.9794593099</v>
      </c>
      <c r="M28" s="345">
        <v>0.88218719400000001</v>
      </c>
      <c r="N28" s="54"/>
      <c r="O28" s="345">
        <v>12401.7159542915</v>
      </c>
      <c r="P28" s="345">
        <v>0.88548824010000005</v>
      </c>
      <c r="R28" s="345">
        <v>43567.2202554221</v>
      </c>
      <c r="S28" s="345">
        <v>0.9866702919</v>
      </c>
    </row>
    <row r="29" spans="1:19" s="2" customFormat="1" ht="12.75" customHeight="1" x14ac:dyDescent="0.2">
      <c r="A29" s="109"/>
      <c r="B29" s="29" t="s">
        <v>21</v>
      </c>
      <c r="C29" s="1"/>
      <c r="D29" s="345">
        <v>20366.691328497</v>
      </c>
      <c r="E29" s="54"/>
      <c r="F29" s="345">
        <v>7991.7640684168</v>
      </c>
      <c r="G29" s="345">
        <v>1.2289951408999999</v>
      </c>
      <c r="H29" s="54"/>
      <c r="I29" s="345">
        <v>6720.9542732074997</v>
      </c>
      <c r="J29" s="345">
        <v>1.1231632704000001</v>
      </c>
      <c r="K29" s="53"/>
      <c r="L29" s="345">
        <v>7505.9578499208001</v>
      </c>
      <c r="M29" s="345">
        <v>1.1935680495000001</v>
      </c>
      <c r="N29" s="54"/>
      <c r="O29" s="345">
        <v>7560.0241883019999</v>
      </c>
      <c r="P29" s="345">
        <v>1.1228639424</v>
      </c>
      <c r="R29" s="345">
        <v>17629.140278243402</v>
      </c>
      <c r="S29" s="345">
        <v>1.2560608541</v>
      </c>
    </row>
    <row r="30" spans="1:19" s="2" customFormat="1" ht="12.75" customHeight="1" x14ac:dyDescent="0.2">
      <c r="A30" s="109"/>
      <c r="B30" s="29" t="s">
        <v>22</v>
      </c>
      <c r="C30" s="1"/>
      <c r="D30" s="345">
        <v>10075.872713184701</v>
      </c>
      <c r="E30" s="54"/>
      <c r="F30" s="345">
        <v>2877.0117332216</v>
      </c>
      <c r="G30" s="345">
        <v>0.77858307090000001</v>
      </c>
      <c r="H30" s="54"/>
      <c r="I30" s="345">
        <v>2232.0112945716</v>
      </c>
      <c r="J30" s="345">
        <v>0.60732454589999996</v>
      </c>
      <c r="K30" s="53"/>
      <c r="L30" s="345">
        <v>2389.4912296644002</v>
      </c>
      <c r="M30" s="345">
        <v>0.63830711900000003</v>
      </c>
      <c r="N30" s="54"/>
      <c r="O30" s="345">
        <v>2879.1880467780002</v>
      </c>
      <c r="P30" s="345">
        <v>0.76874769060000003</v>
      </c>
      <c r="R30" s="345">
        <v>9541.1029559601993</v>
      </c>
      <c r="S30" s="345">
        <v>0.89414036149999998</v>
      </c>
    </row>
    <row r="31" spans="1:19" s="2" customFormat="1" ht="12.75" customHeight="1" x14ac:dyDescent="0.2">
      <c r="A31" s="109"/>
      <c r="B31" s="29" t="s">
        <v>23</v>
      </c>
      <c r="C31" s="1"/>
      <c r="D31" s="345">
        <v>46826.58478284</v>
      </c>
      <c r="E31" s="54"/>
      <c r="F31" s="345">
        <v>13360.6834168276</v>
      </c>
      <c r="G31" s="345">
        <v>0.82002314649999997</v>
      </c>
      <c r="H31" s="54"/>
      <c r="I31" s="345">
        <v>11852.8299053958</v>
      </c>
      <c r="J31" s="345">
        <v>0.71772144429999996</v>
      </c>
      <c r="K31" s="53"/>
      <c r="L31" s="345">
        <v>12180.275483076501</v>
      </c>
      <c r="M31" s="345">
        <v>0.7491411026</v>
      </c>
      <c r="N31" s="54"/>
      <c r="O31" s="345">
        <v>12505.9566506757</v>
      </c>
      <c r="P31" s="345">
        <v>0.76505873059999996</v>
      </c>
      <c r="R31" s="345">
        <v>48096.5831058564</v>
      </c>
      <c r="S31" s="345">
        <v>0.9327115493</v>
      </c>
    </row>
    <row r="32" spans="1:19" s="2" customFormat="1" ht="12.75" customHeight="1" x14ac:dyDescent="0.2">
      <c r="A32" s="109"/>
      <c r="B32" s="29" t="s">
        <v>24</v>
      </c>
      <c r="C32" s="1"/>
      <c r="D32" s="345">
        <v>51721.305046021</v>
      </c>
      <c r="E32" s="54"/>
      <c r="F32" s="345">
        <v>15099.7664550846</v>
      </c>
      <c r="G32" s="345">
        <v>1.1003691277000001</v>
      </c>
      <c r="H32" s="54"/>
      <c r="I32" s="345">
        <v>13547.9435190845</v>
      </c>
      <c r="J32" s="345">
        <v>1.0996676836999999</v>
      </c>
      <c r="K32" s="53"/>
      <c r="L32" s="345">
        <v>16373.0507678865</v>
      </c>
      <c r="M32" s="345">
        <v>1.3248396756</v>
      </c>
      <c r="N32" s="54"/>
      <c r="O32" s="345">
        <v>15215.755917210699</v>
      </c>
      <c r="P32" s="345">
        <v>1.1671765809000001</v>
      </c>
      <c r="R32" s="345">
        <v>43353.073868178697</v>
      </c>
      <c r="S32" s="345">
        <v>1.3390049614999999</v>
      </c>
    </row>
    <row r="33" spans="1:19" s="2" customFormat="1" ht="12.75" customHeight="1" x14ac:dyDescent="0.2">
      <c r="A33" s="109"/>
      <c r="B33" s="29" t="s">
        <v>25</v>
      </c>
      <c r="C33" s="1"/>
      <c r="D33" s="345">
        <v>60553.044746405503</v>
      </c>
      <c r="E33" s="54"/>
      <c r="F33" s="345">
        <v>19763.019746430298</v>
      </c>
      <c r="G33" s="345">
        <v>1.05188164</v>
      </c>
      <c r="H33" s="54"/>
      <c r="I33" s="345">
        <v>16293.924012146999</v>
      </c>
      <c r="J33" s="345">
        <v>0.91087122769999995</v>
      </c>
      <c r="K33" s="53"/>
      <c r="L33" s="345">
        <v>18415.116053606202</v>
      </c>
      <c r="M33" s="345">
        <v>1.0557139235999999</v>
      </c>
      <c r="N33" s="54"/>
      <c r="O33" s="345">
        <v>18708.5407711648</v>
      </c>
      <c r="P33" s="345">
        <v>1.0404089730999999</v>
      </c>
      <c r="R33" s="345">
        <v>53674.157206319702</v>
      </c>
      <c r="S33" s="345">
        <v>1.1334411713000001</v>
      </c>
    </row>
    <row r="34" spans="1:19" s="2" customFormat="1" ht="12.75" customHeight="1" x14ac:dyDescent="0.2">
      <c r="A34" s="109"/>
      <c r="B34" s="29" t="s">
        <v>26</v>
      </c>
      <c r="C34" s="1"/>
      <c r="D34" s="345">
        <v>32602.288410915098</v>
      </c>
      <c r="E34" s="54"/>
      <c r="F34" s="345">
        <v>9317.8383860430004</v>
      </c>
      <c r="G34" s="345">
        <v>1.1286736338000001</v>
      </c>
      <c r="H34" s="54"/>
      <c r="I34" s="345">
        <v>7301.6798687133996</v>
      </c>
      <c r="J34" s="345">
        <v>0.90342586260000002</v>
      </c>
      <c r="K34" s="53"/>
      <c r="L34" s="345">
        <v>8652.9121936848005</v>
      </c>
      <c r="M34" s="345">
        <v>1.0521914439</v>
      </c>
      <c r="N34" s="54"/>
      <c r="O34" s="345">
        <v>9707.2569819831006</v>
      </c>
      <c r="P34" s="345">
        <v>1.1763208075</v>
      </c>
      <c r="R34" s="345">
        <v>27680.381704875301</v>
      </c>
      <c r="S34" s="345">
        <v>1.2727067969999999</v>
      </c>
    </row>
    <row r="35" spans="1:19" s="2" customFormat="1" ht="12.75" customHeight="1" x14ac:dyDescent="0.2">
      <c r="A35" s="109"/>
      <c r="B35" s="29" t="s">
        <v>27</v>
      </c>
      <c r="C35" s="1"/>
      <c r="D35" s="345">
        <v>21975.205253110002</v>
      </c>
      <c r="E35" s="54"/>
      <c r="F35" s="345">
        <v>6220.2471297085003</v>
      </c>
      <c r="G35" s="345">
        <v>1.0274944516</v>
      </c>
      <c r="H35" s="54"/>
      <c r="I35" s="345">
        <v>6023.1039608532001</v>
      </c>
      <c r="J35" s="345">
        <v>1.0037612601999999</v>
      </c>
      <c r="K35" s="53"/>
      <c r="L35" s="345">
        <v>6201.5182724868</v>
      </c>
      <c r="M35" s="345">
        <v>1.0347521826999999</v>
      </c>
      <c r="N35" s="54"/>
      <c r="O35" s="345">
        <v>6236.0997190879998</v>
      </c>
      <c r="P35" s="345">
        <v>1.0435259819</v>
      </c>
      <c r="R35" s="345">
        <v>20541.6683490264</v>
      </c>
      <c r="S35" s="345">
        <v>1.0672718993000001</v>
      </c>
    </row>
    <row r="36" spans="1:19" s="2" customFormat="1" ht="12.75" customHeight="1" x14ac:dyDescent="0.2">
      <c r="A36" s="109"/>
      <c r="B36" s="29" t="s">
        <v>28</v>
      </c>
      <c r="C36" s="1"/>
      <c r="D36" s="345">
        <v>15666.7398479494</v>
      </c>
      <c r="E36" s="54"/>
      <c r="F36" s="345">
        <v>7165.3355653642002</v>
      </c>
      <c r="G36" s="345">
        <v>0.87939874409999996</v>
      </c>
      <c r="H36" s="54"/>
      <c r="I36" s="345">
        <v>6474.9567494204002</v>
      </c>
      <c r="J36" s="345">
        <v>0.80296838270000004</v>
      </c>
      <c r="K36" s="53"/>
      <c r="L36" s="345">
        <v>7118.9792194661004</v>
      </c>
      <c r="M36" s="345">
        <v>0.88547192549999998</v>
      </c>
      <c r="N36" s="54"/>
      <c r="O36" s="345">
        <v>6979.8574143470996</v>
      </c>
      <c r="P36" s="345">
        <v>0.85836302200000003</v>
      </c>
      <c r="R36" s="345">
        <v>14902.646829175401</v>
      </c>
      <c r="S36" s="345">
        <v>0.95587046040000001</v>
      </c>
    </row>
    <row r="37" spans="1:19" s="2" customFormat="1" ht="12.75" customHeight="1" x14ac:dyDescent="0.2">
      <c r="A37" s="109"/>
      <c r="B37" s="29" t="s">
        <v>29</v>
      </c>
      <c r="C37" s="1"/>
      <c r="D37" s="345">
        <v>19480.778027771601</v>
      </c>
      <c r="E37" s="54"/>
      <c r="F37" s="345">
        <v>6622.7021520540002</v>
      </c>
      <c r="G37" s="345">
        <v>0.77961334199999999</v>
      </c>
      <c r="H37" s="54"/>
      <c r="I37" s="345">
        <v>6196.1641806596999</v>
      </c>
      <c r="J37" s="345">
        <v>0.67577048429999997</v>
      </c>
      <c r="K37" s="53"/>
      <c r="L37" s="345">
        <v>6741.4266084919</v>
      </c>
      <c r="M37" s="345">
        <v>0.76867259720000003</v>
      </c>
      <c r="N37" s="54"/>
      <c r="O37" s="345">
        <v>6825.3707328420996</v>
      </c>
      <c r="P37" s="345">
        <v>0.7740560125</v>
      </c>
      <c r="R37" s="345">
        <v>18629.064035245901</v>
      </c>
      <c r="S37" s="345">
        <v>0.93316621929999999</v>
      </c>
    </row>
    <row r="38" spans="1:19" s="2" customFormat="1" ht="12.75" customHeight="1" x14ac:dyDescent="0.2">
      <c r="A38" s="109"/>
      <c r="B38" s="29" t="s">
        <v>30</v>
      </c>
      <c r="C38" s="1"/>
      <c r="D38" s="345">
        <v>25928.550404547899</v>
      </c>
      <c r="E38" s="54"/>
      <c r="F38" s="345">
        <v>8069.9193221592996</v>
      </c>
      <c r="G38" s="345">
        <v>0.85595293979999998</v>
      </c>
      <c r="H38" s="54"/>
      <c r="I38" s="345">
        <v>7357.1038074181997</v>
      </c>
      <c r="J38" s="345">
        <v>0.77324669530000001</v>
      </c>
      <c r="K38" s="53"/>
      <c r="L38" s="345">
        <v>8923.0209885687</v>
      </c>
      <c r="M38" s="345">
        <v>0.96300590649999995</v>
      </c>
      <c r="N38" s="54"/>
      <c r="O38" s="345">
        <v>9154.3482447823008</v>
      </c>
      <c r="P38" s="345">
        <v>0.98276138479999997</v>
      </c>
      <c r="R38" s="345">
        <v>24189.7846112724</v>
      </c>
      <c r="S38" s="345">
        <v>1.1105832774</v>
      </c>
    </row>
    <row r="39" spans="1:19" s="2" customFormat="1" ht="12.75" customHeight="1" x14ac:dyDescent="0.2">
      <c r="A39" s="109"/>
      <c r="B39" s="29" t="s">
        <v>31</v>
      </c>
      <c r="C39" s="1"/>
      <c r="D39" s="345">
        <v>24998.115892135302</v>
      </c>
      <c r="E39" s="54"/>
      <c r="F39" s="345">
        <v>9275.3815910704998</v>
      </c>
      <c r="G39" s="345">
        <v>1.1471265923</v>
      </c>
      <c r="H39" s="54"/>
      <c r="I39" s="345">
        <v>8605.3421958318995</v>
      </c>
      <c r="J39" s="345">
        <v>1.0907178403</v>
      </c>
      <c r="K39" s="53"/>
      <c r="L39" s="345">
        <v>9992.1337616975998</v>
      </c>
      <c r="M39" s="345">
        <v>1.2396388083000001</v>
      </c>
      <c r="N39" s="54"/>
      <c r="O39" s="345">
        <v>10358.1497112455</v>
      </c>
      <c r="P39" s="345">
        <v>1.2993764557</v>
      </c>
      <c r="R39" s="345">
        <v>20611.6655236802</v>
      </c>
      <c r="S39" s="345">
        <v>1.3826643311</v>
      </c>
    </row>
    <row r="40" spans="1:19" s="2" customFormat="1" ht="12.75" customHeight="1" x14ac:dyDescent="0.2">
      <c r="A40" s="109"/>
      <c r="B40" s="29" t="s">
        <v>32</v>
      </c>
      <c r="C40" s="1"/>
      <c r="D40" s="345">
        <v>22249.9713929684</v>
      </c>
      <c r="E40" s="54"/>
      <c r="F40" s="345">
        <v>8420.6742047416992</v>
      </c>
      <c r="G40" s="345">
        <v>0.78115629200000003</v>
      </c>
      <c r="H40" s="54"/>
      <c r="I40" s="345">
        <v>8151.6545115098997</v>
      </c>
      <c r="J40" s="345">
        <v>0.76355553009999999</v>
      </c>
      <c r="K40" s="53"/>
      <c r="L40" s="345">
        <v>7691.9632310060997</v>
      </c>
      <c r="M40" s="345">
        <v>0.72328054959999999</v>
      </c>
      <c r="N40" s="54"/>
      <c r="O40" s="345">
        <v>9581.1822045614008</v>
      </c>
      <c r="P40" s="345">
        <v>0.8799832944</v>
      </c>
      <c r="R40" s="345">
        <v>21685.428546654101</v>
      </c>
      <c r="S40" s="345">
        <v>0.99211373030000005</v>
      </c>
    </row>
    <row r="41" spans="1:19" s="2" customFormat="1" ht="12.75" customHeight="1" x14ac:dyDescent="0.2">
      <c r="A41" s="109"/>
      <c r="B41" s="29" t="s">
        <v>33</v>
      </c>
      <c r="C41" s="1"/>
      <c r="D41" s="345">
        <v>9032.6462727959006</v>
      </c>
      <c r="E41" s="54"/>
      <c r="F41" s="345">
        <v>3170.2273106419002</v>
      </c>
      <c r="G41" s="345">
        <v>0.86886060109999996</v>
      </c>
      <c r="H41" s="54"/>
      <c r="I41" s="345">
        <v>2613.7619383761999</v>
      </c>
      <c r="J41" s="345">
        <v>0.73048166339999998</v>
      </c>
      <c r="K41" s="53"/>
      <c r="L41" s="345">
        <v>3029.9026226989999</v>
      </c>
      <c r="M41" s="345">
        <v>0.81737589799999999</v>
      </c>
      <c r="N41" s="54"/>
      <c r="O41" s="345">
        <v>3224.2875022308999</v>
      </c>
      <c r="P41" s="345">
        <v>0.86893673819999995</v>
      </c>
      <c r="R41" s="345">
        <v>8133.1353332817998</v>
      </c>
      <c r="S41" s="345">
        <v>0.93267505490000002</v>
      </c>
    </row>
    <row r="42" spans="1:19" s="2" customFormat="1" ht="12.75" customHeight="1" x14ac:dyDescent="0.2">
      <c r="A42" s="109"/>
      <c r="B42" s="29" t="s">
        <v>34</v>
      </c>
      <c r="C42" s="1"/>
      <c r="D42" s="345">
        <v>73888.639891829996</v>
      </c>
      <c r="E42" s="54"/>
      <c r="F42" s="345">
        <v>21718.089337857498</v>
      </c>
      <c r="G42" s="345">
        <v>0.89696786129999995</v>
      </c>
      <c r="H42" s="54"/>
      <c r="I42" s="345">
        <v>18648.517842679801</v>
      </c>
      <c r="J42" s="345">
        <v>0.77606432299999994</v>
      </c>
      <c r="K42" s="53"/>
      <c r="L42" s="345">
        <v>22775.277278189598</v>
      </c>
      <c r="M42" s="345">
        <v>0.93504455689999999</v>
      </c>
      <c r="N42" s="54"/>
      <c r="O42" s="345">
        <v>21982.268417554998</v>
      </c>
      <c r="P42" s="345">
        <v>0.87346365650000002</v>
      </c>
      <c r="R42" s="345">
        <v>67434.181832348506</v>
      </c>
      <c r="S42" s="345">
        <v>1.0897480938999999</v>
      </c>
    </row>
    <row r="43" spans="1:19" s="2" customFormat="1" ht="12.75" customHeight="1" x14ac:dyDescent="0.2">
      <c r="A43" s="109"/>
      <c r="B43" s="29" t="s">
        <v>35</v>
      </c>
      <c r="C43" s="1"/>
      <c r="D43" s="345">
        <v>22166.611550397301</v>
      </c>
      <c r="E43" s="54"/>
      <c r="F43" s="345">
        <v>6920.7649699742997</v>
      </c>
      <c r="G43" s="345">
        <v>0.88640255140000002</v>
      </c>
      <c r="H43" s="54"/>
      <c r="I43" s="345">
        <v>6670.1066845160003</v>
      </c>
      <c r="J43" s="345">
        <v>0.88471977059999996</v>
      </c>
      <c r="K43" s="53"/>
      <c r="L43" s="345">
        <v>8970.7170113678003</v>
      </c>
      <c r="M43" s="345">
        <v>1.1147471608999999</v>
      </c>
      <c r="N43" s="54"/>
      <c r="O43" s="345">
        <v>8944.8827413898998</v>
      </c>
      <c r="P43" s="345">
        <v>1.1273920318999999</v>
      </c>
      <c r="R43" s="345">
        <v>17784.501929158901</v>
      </c>
      <c r="S43" s="345">
        <v>1.2678477174</v>
      </c>
    </row>
    <row r="44" spans="1:19" s="2" customFormat="1" ht="12.75" customHeight="1" x14ac:dyDescent="0.2">
      <c r="A44" s="109"/>
      <c r="B44" s="31" t="s">
        <v>36</v>
      </c>
      <c r="C44" s="1"/>
      <c r="D44" s="345">
        <v>16223.618786687</v>
      </c>
      <c r="E44" s="54"/>
      <c r="F44" s="345">
        <v>4134.4502392846998</v>
      </c>
      <c r="G44" s="345">
        <v>0.82096916949999998</v>
      </c>
      <c r="H44" s="54"/>
      <c r="I44" s="345">
        <v>3702.2358325496998</v>
      </c>
      <c r="J44" s="345">
        <v>0.79852718820000002</v>
      </c>
      <c r="K44" s="53"/>
      <c r="L44" s="345">
        <v>4150.2172087616</v>
      </c>
      <c r="M44" s="345">
        <v>0.82834765109999997</v>
      </c>
      <c r="N44" s="54"/>
      <c r="O44" s="345">
        <v>4069.6973946162998</v>
      </c>
      <c r="P44" s="345">
        <v>0.80695651810000002</v>
      </c>
      <c r="R44" s="345">
        <v>14490.551171294799</v>
      </c>
      <c r="S44" s="345">
        <v>0.92986001689999997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2:4" ht="12.75" customHeight="1" x14ac:dyDescent="0.2">
      <c r="B49" s="290" t="s">
        <v>150</v>
      </c>
      <c r="D49" s="175"/>
    </row>
  </sheetData>
  <mergeCells count="10">
    <mergeCell ref="R7:S8"/>
    <mergeCell ref="F8:G8"/>
    <mergeCell ref="I8:J8"/>
    <mergeCell ref="L8:M8"/>
    <mergeCell ref="O8:P8"/>
    <mergeCell ref="B5:O5"/>
    <mergeCell ref="B6:J6"/>
    <mergeCell ref="B7:C9"/>
    <mergeCell ref="D7:D9"/>
    <mergeCell ref="F7:P7"/>
  </mergeCells>
  <hyperlinks>
    <hyperlink ref="S1" location="Índice!A1" tooltip="Ir a ÍNDICE" display="INDICE" xr:uid="{AFF8BF04-60FA-4255-9029-EED74571E62B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B964-A9C9-4763-BBC1-D5F7987786BE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18" t="s">
        <v>82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395" t="s">
        <v>84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K8" s="2"/>
      <c r="L8" s="417" t="s">
        <v>63</v>
      </c>
      <c r="M8" s="417"/>
      <c r="N8" s="2"/>
      <c r="O8" s="417" t="s">
        <v>64</v>
      </c>
      <c r="P8" s="417"/>
      <c r="R8" s="422"/>
      <c r="S8" s="42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51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344">
        <v>245318.59867594499</v>
      </c>
      <c r="E11" s="60"/>
      <c r="F11" s="344">
        <v>81573.867504463706</v>
      </c>
      <c r="G11" s="344">
        <v>0.21324980830000001</v>
      </c>
      <c r="H11" s="60"/>
      <c r="I11" s="344">
        <v>67071.0278052707</v>
      </c>
      <c r="J11" s="344">
        <v>0.17681791359999999</v>
      </c>
      <c r="K11" s="53"/>
      <c r="L11" s="344">
        <v>77879.622023544696</v>
      </c>
      <c r="M11" s="344">
        <v>0.20435109260000001</v>
      </c>
      <c r="N11" s="60"/>
      <c r="O11" s="344">
        <v>79878.229304921406</v>
      </c>
      <c r="P11" s="344">
        <v>0.20964460460000001</v>
      </c>
      <c r="Q11" s="13"/>
      <c r="R11" s="344">
        <v>220462.198063869</v>
      </c>
      <c r="S11" s="344">
        <v>0.24075954699999999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345">
        <v>130448.21952647</v>
      </c>
      <c r="E13" s="61"/>
      <c r="F13" s="345">
        <v>47339.809971557799</v>
      </c>
      <c r="G13" s="345">
        <v>0.54729386069999997</v>
      </c>
      <c r="H13" s="61"/>
      <c r="I13" s="345">
        <v>34586.3950487357</v>
      </c>
      <c r="J13" s="345">
        <v>0.40111157549999998</v>
      </c>
      <c r="K13" s="53"/>
      <c r="L13" s="345">
        <v>40828.654694976802</v>
      </c>
      <c r="M13" s="345">
        <v>0.45930920730000002</v>
      </c>
      <c r="N13" s="61"/>
      <c r="O13" s="345">
        <v>36539.161638532598</v>
      </c>
      <c r="P13" s="345">
        <v>0.41444404740000002</v>
      </c>
      <c r="R13" s="345">
        <v>108862.46507783599</v>
      </c>
      <c r="S13" s="345">
        <v>0.56501212820000002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345">
        <v>120874.88248751601</v>
      </c>
      <c r="E14" s="61"/>
      <c r="F14" s="345">
        <v>30514.0750055551</v>
      </c>
      <c r="G14" s="345">
        <v>0.55988514199999995</v>
      </c>
      <c r="H14" s="61"/>
      <c r="I14" s="345">
        <v>25262.702111782499</v>
      </c>
      <c r="J14" s="345">
        <v>0.47571038090000001</v>
      </c>
      <c r="K14" s="53"/>
      <c r="L14" s="345">
        <v>32007.897079792201</v>
      </c>
      <c r="M14" s="345">
        <v>0.61456419039999999</v>
      </c>
      <c r="N14" s="61"/>
      <c r="O14" s="345">
        <v>32487.262186550899</v>
      </c>
      <c r="P14" s="345">
        <v>0.61322898879999999</v>
      </c>
      <c r="R14" s="345">
        <v>104923.94678142099</v>
      </c>
      <c r="S14" s="345">
        <v>0.66857677319999997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345">
        <v>129177.384084488</v>
      </c>
      <c r="E15" s="61"/>
      <c r="F15" s="345">
        <v>32951.628715520099</v>
      </c>
      <c r="G15" s="345">
        <v>0.54054619849999996</v>
      </c>
      <c r="H15" s="61"/>
      <c r="I15" s="345">
        <v>28062.739752834699</v>
      </c>
      <c r="J15" s="345">
        <v>0.44828576069999998</v>
      </c>
      <c r="K15" s="53"/>
      <c r="L15" s="345">
        <v>32236.997883220702</v>
      </c>
      <c r="M15" s="345">
        <v>0.53158129980000002</v>
      </c>
      <c r="N15" s="61"/>
      <c r="O15" s="345">
        <v>32520.156574588898</v>
      </c>
      <c r="P15" s="345">
        <v>0.52264246020000005</v>
      </c>
      <c r="R15" s="345">
        <v>114709.669939536</v>
      </c>
      <c r="S15" s="345">
        <v>0.59481779879999996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345">
        <v>113668.722195625</v>
      </c>
      <c r="E16" s="61"/>
      <c r="F16" s="345">
        <v>49115.701328399999</v>
      </c>
      <c r="G16" s="345">
        <v>0.27619489349999998</v>
      </c>
      <c r="H16" s="61"/>
      <c r="I16" s="345">
        <v>43451.2896495268</v>
      </c>
      <c r="J16" s="345">
        <v>0.2449501322</v>
      </c>
      <c r="K16" s="53"/>
      <c r="L16" s="345">
        <v>48440.293053952802</v>
      </c>
      <c r="M16" s="345">
        <v>0.27143436830000001</v>
      </c>
      <c r="N16" s="61"/>
      <c r="O16" s="345">
        <v>54268.619256002799</v>
      </c>
      <c r="P16" s="345">
        <v>0.30280186329999997</v>
      </c>
      <c r="R16" s="345">
        <v>115558.582319724</v>
      </c>
      <c r="S16" s="345">
        <v>0.32780564680000002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2"/>
      <c r="R21" s="136"/>
      <c r="S21" s="137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2"/>
      <c r="R22" s="136"/>
      <c r="S22" s="137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2"/>
      <c r="R23" s="136"/>
      <c r="S23" s="137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2"/>
      <c r="R24" s="136"/>
      <c r="S24" s="137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2"/>
      <c r="R25" s="136"/>
      <c r="S25" s="137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2"/>
      <c r="R26" s="136"/>
      <c r="S26" s="137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231"/>
      <c r="Q27" s="2"/>
      <c r="R27" s="226"/>
      <c r="S27" s="233"/>
      <c r="T27" s="98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231"/>
      <c r="Q28" s="2"/>
      <c r="R28" s="226"/>
      <c r="S28" s="233"/>
      <c r="T28" s="98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231"/>
      <c r="Q29" s="2"/>
      <c r="R29" s="226"/>
      <c r="S29" s="233"/>
      <c r="T29" s="98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0">
    <mergeCell ref="B5:O5"/>
    <mergeCell ref="B6:J6"/>
    <mergeCell ref="B7:C9"/>
    <mergeCell ref="D7:D9"/>
    <mergeCell ref="F7:P7"/>
    <mergeCell ref="R7:S8"/>
    <mergeCell ref="F8:G8"/>
    <mergeCell ref="I8:J8"/>
    <mergeCell ref="L8:M8"/>
    <mergeCell ref="O8:P8"/>
  </mergeCells>
  <hyperlinks>
    <hyperlink ref="S1" location="Índice!A1" tooltip="Ir a ÍNDICE" display="INDICE" xr:uid="{C5E32AC3-63A7-4819-AE1F-5CB85419ADA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0F6-4F5A-4CA0-80A0-47E7317E9221}">
  <sheetPr>
    <pageSetUpPr fitToPage="1"/>
  </sheetPr>
  <dimension ref="A1:CI34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136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103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77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245318.59867594499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65</v>
      </c>
      <c r="D13" s="136"/>
      <c r="E13" s="54"/>
      <c r="F13" s="345">
        <v>177991.57629894599</v>
      </c>
      <c r="G13" s="345">
        <v>0.37379857560000002</v>
      </c>
      <c r="H13" s="54"/>
      <c r="I13" s="345">
        <v>95736.038242926094</v>
      </c>
      <c r="J13" s="345">
        <v>0.24762387280000001</v>
      </c>
      <c r="K13" s="53"/>
      <c r="L13" s="345">
        <v>85796.3007231675</v>
      </c>
      <c r="M13" s="345">
        <v>0.2249591638</v>
      </c>
      <c r="N13" s="54"/>
      <c r="O13" s="345">
        <v>126520.459187373</v>
      </c>
      <c r="P13" s="345">
        <v>0.33034623219999998</v>
      </c>
    </row>
    <row r="14" spans="1:16" s="13" customFormat="1" ht="12.75" customHeight="1" x14ac:dyDescent="0.2">
      <c r="B14" s="14" t="s">
        <v>66</v>
      </c>
      <c r="D14" s="136"/>
      <c r="E14" s="54"/>
      <c r="F14" s="345">
        <v>113716.352890083</v>
      </c>
      <c r="G14" s="345">
        <v>0.2773201615</v>
      </c>
      <c r="H14" s="54"/>
      <c r="I14" s="345">
        <v>97699.2851380832</v>
      </c>
      <c r="J14" s="345">
        <v>0.2456521405</v>
      </c>
      <c r="K14" s="53"/>
      <c r="L14" s="345">
        <v>104704.245482215</v>
      </c>
      <c r="M14" s="345">
        <v>0.25857412299999999</v>
      </c>
      <c r="N14" s="54"/>
      <c r="O14" s="345">
        <v>152558.15703772899</v>
      </c>
      <c r="P14" s="345">
        <v>0.34971116460000001</v>
      </c>
    </row>
    <row r="15" spans="1:16" s="13" customFormat="1" ht="12.75" customHeight="1" x14ac:dyDescent="0.2">
      <c r="B15" s="14" t="s">
        <v>67</v>
      </c>
      <c r="D15" s="136"/>
      <c r="E15" s="54"/>
      <c r="F15" s="345">
        <v>153499.31618366201</v>
      </c>
      <c r="G15" s="345">
        <v>0.35437894819999999</v>
      </c>
      <c r="H15" s="54"/>
      <c r="I15" s="345">
        <v>99147.858234564206</v>
      </c>
      <c r="J15" s="345">
        <v>0.24958512990000001</v>
      </c>
      <c r="K15" s="53"/>
      <c r="L15" s="345">
        <v>107998.053768497</v>
      </c>
      <c r="M15" s="345">
        <v>0.27193911440000001</v>
      </c>
      <c r="N15" s="54"/>
      <c r="O15" s="345">
        <v>132200.15200482</v>
      </c>
      <c r="P15" s="345">
        <v>0.33981446510000002</v>
      </c>
    </row>
    <row r="16" spans="1:16" s="13" customFormat="1" ht="12.75" customHeight="1" x14ac:dyDescent="0.2">
      <c r="B16" s="14" t="s">
        <v>68</v>
      </c>
      <c r="D16" s="136"/>
      <c r="E16" s="54"/>
      <c r="F16" s="345">
        <v>87094.270681767695</v>
      </c>
      <c r="G16" s="345">
        <v>0.23269124120000001</v>
      </c>
      <c r="H16" s="54"/>
      <c r="I16" s="345">
        <v>81149.352766591197</v>
      </c>
      <c r="J16" s="345">
        <v>0.21521492989999999</v>
      </c>
      <c r="K16" s="53"/>
      <c r="L16" s="345">
        <v>100449.372939832</v>
      </c>
      <c r="M16" s="345">
        <v>0.26392189669999999</v>
      </c>
      <c r="N16" s="54"/>
      <c r="O16" s="345">
        <v>205205.63311639099</v>
      </c>
      <c r="P16" s="345">
        <v>0.40572694679999999</v>
      </c>
    </row>
    <row r="17" spans="1:18" s="13" customFormat="1" ht="12.75" customHeight="1" x14ac:dyDescent="0.2">
      <c r="B17" s="14" t="s">
        <v>69</v>
      </c>
      <c r="D17" s="131"/>
      <c r="E17" s="54"/>
      <c r="F17" s="346">
        <v>92584.967165345297</v>
      </c>
      <c r="G17" s="346">
        <v>0.25144911009999998</v>
      </c>
      <c r="H17" s="54"/>
      <c r="I17" s="346">
        <v>91057.4857833813</v>
      </c>
      <c r="J17" s="346">
        <v>0.23722520450000001</v>
      </c>
      <c r="K17" s="53"/>
      <c r="L17" s="346">
        <v>109418.76121539201</v>
      </c>
      <c r="M17" s="346">
        <v>0.26943081299999999</v>
      </c>
      <c r="N17" s="54"/>
      <c r="O17" s="346">
        <v>190558.69460098399</v>
      </c>
      <c r="P17" s="346">
        <v>0.400158128</v>
      </c>
    </row>
    <row r="18" spans="1:18" s="13" customFormat="1" ht="12.75" customHeight="1" x14ac:dyDescent="0.2">
      <c r="B18" s="14" t="s">
        <v>70</v>
      </c>
      <c r="D18" s="131"/>
      <c r="E18" s="54"/>
      <c r="F18" s="346">
        <v>118725.68444400901</v>
      </c>
      <c r="G18" s="346">
        <v>0.31120807849999998</v>
      </c>
      <c r="H18" s="54"/>
      <c r="I18" s="346">
        <v>91116.3644149311</v>
      </c>
      <c r="J18" s="346">
        <v>0.23853651570000001</v>
      </c>
      <c r="K18" s="53"/>
      <c r="L18" s="346">
        <v>104937.058721233</v>
      </c>
      <c r="M18" s="346">
        <v>0.2620965945</v>
      </c>
      <c r="N18" s="54"/>
      <c r="O18" s="346">
        <v>181984.129105053</v>
      </c>
      <c r="P18" s="346">
        <v>0.40025232259999999</v>
      </c>
    </row>
    <row r="19" spans="1:18" s="13" customFormat="1" ht="12.75" customHeight="1" x14ac:dyDescent="0.2">
      <c r="B19" s="14" t="s">
        <v>71</v>
      </c>
      <c r="D19" s="136"/>
      <c r="E19" s="54"/>
      <c r="F19" s="345">
        <v>136884.82105472201</v>
      </c>
      <c r="G19" s="345">
        <v>0.35280013240000002</v>
      </c>
      <c r="H19" s="54"/>
      <c r="I19" s="345">
        <v>102010.126659649</v>
      </c>
      <c r="J19" s="345">
        <v>0.25375469229999997</v>
      </c>
      <c r="K19" s="53"/>
      <c r="L19" s="345">
        <v>106753.476604462</v>
      </c>
      <c r="M19" s="345">
        <v>0.2627558981</v>
      </c>
      <c r="N19" s="54"/>
      <c r="O19" s="345">
        <v>154070.152744466</v>
      </c>
      <c r="P19" s="345">
        <v>0.36299846140000003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344">
        <v>8967.3004696325006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345">
        <v>5433.0041536234003</v>
      </c>
      <c r="G23" s="345">
        <v>1.3106704956999999</v>
      </c>
      <c r="H23" s="54"/>
      <c r="I23" s="345">
        <v>4280.5071117351999</v>
      </c>
      <c r="J23" s="345">
        <v>1.0078541563000001</v>
      </c>
      <c r="K23" s="53"/>
      <c r="L23" s="345">
        <v>5133.040239979</v>
      </c>
      <c r="M23" s="345">
        <v>1.2142880646</v>
      </c>
      <c r="N23" s="54"/>
      <c r="O23" s="345">
        <v>6733.6388003823004</v>
      </c>
      <c r="P23" s="345">
        <v>1.5408025067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345">
        <v>5716.6195765043003</v>
      </c>
      <c r="G24" s="345">
        <v>1.2543568913000001</v>
      </c>
      <c r="H24" s="54"/>
      <c r="I24" s="345">
        <v>3978.0135529757999</v>
      </c>
      <c r="J24" s="345">
        <v>0.95917043680000003</v>
      </c>
      <c r="K24" s="53"/>
      <c r="L24" s="345">
        <v>3863.6291564154999</v>
      </c>
      <c r="M24" s="345">
        <v>0.93440536129999996</v>
      </c>
      <c r="N24" s="54"/>
      <c r="O24" s="345">
        <v>6727.0774024222001</v>
      </c>
      <c r="P24" s="345">
        <v>1.5776450303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345">
        <v>6553.6667911258</v>
      </c>
      <c r="G25" s="345">
        <v>1.4897256961000001</v>
      </c>
      <c r="H25" s="54"/>
      <c r="I25" s="345">
        <v>4373.5341306419004</v>
      </c>
      <c r="J25" s="345">
        <v>1.071615191</v>
      </c>
      <c r="K25" s="53"/>
      <c r="L25" s="345">
        <v>4220.0711143697999</v>
      </c>
      <c r="M25" s="345">
        <v>0.99886478190000005</v>
      </c>
      <c r="N25" s="54"/>
      <c r="O25" s="345">
        <v>6876.7483301818002</v>
      </c>
      <c r="P25" s="345">
        <v>1.6966491636000001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345">
        <v>2892.2628368244</v>
      </c>
      <c r="G26" s="345">
        <v>0.73333527750000005</v>
      </c>
      <c r="H26" s="54"/>
      <c r="I26" s="345">
        <v>4410.9918469984996</v>
      </c>
      <c r="J26" s="345">
        <v>1.067172907</v>
      </c>
      <c r="K26" s="53"/>
      <c r="L26" s="345">
        <v>3443.2382178354001</v>
      </c>
      <c r="M26" s="345">
        <v>0.8731173954</v>
      </c>
      <c r="N26" s="54"/>
      <c r="O26" s="345">
        <v>8137.2652770444001</v>
      </c>
      <c r="P26" s="345">
        <v>1.5414945008000001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345">
        <v>4232.9556978883002</v>
      </c>
      <c r="G27" s="345">
        <v>1.0297645727</v>
      </c>
      <c r="H27" s="54"/>
      <c r="I27" s="345">
        <v>3840.9753552457</v>
      </c>
      <c r="J27" s="345">
        <v>0.91067114699999996</v>
      </c>
      <c r="K27" s="53"/>
      <c r="L27" s="345">
        <v>4319.2999442854998</v>
      </c>
      <c r="M27" s="345">
        <v>1.0060032939000001</v>
      </c>
      <c r="N27" s="54"/>
      <c r="O27" s="345">
        <v>7772.4474471371004</v>
      </c>
      <c r="P27" s="345">
        <v>1.8098221623999999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345">
        <v>4836.4668613054</v>
      </c>
      <c r="G28" s="345">
        <v>1.1852795771</v>
      </c>
      <c r="H28" s="54"/>
      <c r="I28" s="345">
        <v>4638.590187668</v>
      </c>
      <c r="J28" s="345">
        <v>1.0869289589</v>
      </c>
      <c r="K28" s="53"/>
      <c r="L28" s="345">
        <v>4715.8385593502999</v>
      </c>
      <c r="M28" s="345">
        <v>1.0731112218000001</v>
      </c>
      <c r="N28" s="54"/>
      <c r="O28" s="345">
        <v>7329.4753474421004</v>
      </c>
      <c r="P28" s="345">
        <v>1.7364512639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345">
        <v>5648.7313194648996</v>
      </c>
      <c r="G29" s="345">
        <v>1.3759538443999999</v>
      </c>
      <c r="H29" s="54"/>
      <c r="I29" s="345">
        <v>4972.5673951895997</v>
      </c>
      <c r="J29" s="345">
        <v>1.1051111628000001</v>
      </c>
      <c r="K29" s="53"/>
      <c r="L29" s="345">
        <v>4523.1769661387998</v>
      </c>
      <c r="M29" s="345">
        <v>1.0855256325</v>
      </c>
      <c r="N29" s="54"/>
      <c r="O29" s="345">
        <v>6834.2722838418003</v>
      </c>
      <c r="P29" s="345">
        <v>1.6185520401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344">
        <v>30546.712730472598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345">
        <v>25571.1311083771</v>
      </c>
      <c r="G33" s="345">
        <v>1.7210536204</v>
      </c>
      <c r="H33" s="54"/>
      <c r="I33" s="345">
        <v>17028.884092697099</v>
      </c>
      <c r="J33" s="345">
        <v>1.4544939183000001</v>
      </c>
      <c r="K33" s="53"/>
      <c r="L33" s="345">
        <v>11276.845579594499</v>
      </c>
      <c r="M33" s="345">
        <v>0.92234089360000004</v>
      </c>
      <c r="N33" s="54"/>
      <c r="O33" s="345">
        <v>17983.609871911802</v>
      </c>
      <c r="P33" s="345">
        <v>1.5080705037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345">
        <v>14554.989180513099</v>
      </c>
      <c r="G34" s="345">
        <v>1.1627322892</v>
      </c>
      <c r="H34" s="54"/>
      <c r="I34" s="345">
        <v>15716.8135317291</v>
      </c>
      <c r="J34" s="345">
        <v>1.2813570244000001</v>
      </c>
      <c r="K34" s="53"/>
      <c r="L34" s="345">
        <v>13487.1583691903</v>
      </c>
      <c r="M34" s="345">
        <v>1.0455156424000001</v>
      </c>
      <c r="N34" s="54"/>
      <c r="O34" s="345">
        <v>23965.450292592799</v>
      </c>
      <c r="P34" s="345">
        <v>1.7777499590000001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345">
        <v>18800.871971235101</v>
      </c>
      <c r="G35" s="345">
        <v>1.4362993930000001</v>
      </c>
      <c r="H35" s="54"/>
      <c r="I35" s="345">
        <v>14475.379303879099</v>
      </c>
      <c r="J35" s="345">
        <v>1.2607606980999999</v>
      </c>
      <c r="K35" s="53"/>
      <c r="L35" s="345">
        <v>15326.9794193506</v>
      </c>
      <c r="M35" s="345">
        <v>1.180451565</v>
      </c>
      <c r="N35" s="54"/>
      <c r="O35" s="345">
        <v>21309.898397934299</v>
      </c>
      <c r="P35" s="345">
        <v>1.6137542689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345">
        <v>15127.8503053489</v>
      </c>
      <c r="G36" s="345">
        <v>1.2307413411999999</v>
      </c>
      <c r="H36" s="54"/>
      <c r="I36" s="345">
        <v>15772.733572532001</v>
      </c>
      <c r="J36" s="345">
        <v>1.3031474903</v>
      </c>
      <c r="K36" s="53"/>
      <c r="L36" s="345">
        <v>11881.702073427001</v>
      </c>
      <c r="M36" s="345">
        <v>0.93961047099999995</v>
      </c>
      <c r="N36" s="54"/>
      <c r="O36" s="345">
        <v>24973.438239531199</v>
      </c>
      <c r="P36" s="345">
        <v>1.7675972778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345">
        <v>14922.496831464199</v>
      </c>
      <c r="G37" s="345">
        <v>1.1959775131999999</v>
      </c>
      <c r="H37" s="54"/>
      <c r="I37" s="345">
        <v>15508.433377974899</v>
      </c>
      <c r="J37" s="345">
        <v>1.3463504594</v>
      </c>
      <c r="K37" s="53"/>
      <c r="L37" s="345">
        <v>14079.1875388878</v>
      </c>
      <c r="M37" s="345">
        <v>1.1223491496</v>
      </c>
      <c r="N37" s="54"/>
      <c r="O37" s="345">
        <v>25900.420092586599</v>
      </c>
      <c r="P37" s="345">
        <v>1.8311162888000001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345">
        <v>16103.751975674801</v>
      </c>
      <c r="G38" s="345">
        <v>1.2985307822000001</v>
      </c>
      <c r="H38" s="54"/>
      <c r="I38" s="345">
        <v>14939.3039893408</v>
      </c>
      <c r="J38" s="345">
        <v>1.2170356326</v>
      </c>
      <c r="K38" s="53"/>
      <c r="L38" s="345">
        <v>14812.4522880968</v>
      </c>
      <c r="M38" s="345">
        <v>1.1287079085</v>
      </c>
      <c r="N38" s="54"/>
      <c r="O38" s="345">
        <v>23429.5887055903</v>
      </c>
      <c r="P38" s="345">
        <v>1.7785443112999999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345">
        <v>18721.5766198653</v>
      </c>
      <c r="G39" s="345">
        <v>1.4711899768000001</v>
      </c>
      <c r="H39" s="54"/>
      <c r="I39" s="345">
        <v>16508.237155500501</v>
      </c>
      <c r="J39" s="345">
        <v>1.3761065386</v>
      </c>
      <c r="K39" s="53"/>
      <c r="L39" s="345">
        <v>14040.1926937758</v>
      </c>
      <c r="M39" s="345">
        <v>1.1188259201999999</v>
      </c>
      <c r="N39" s="54"/>
      <c r="O39" s="345">
        <v>22689.0747296427</v>
      </c>
      <c r="P39" s="345">
        <v>1.7194587406999999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344">
        <v>8722.5870993348999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345">
        <v>6742.2534467654996</v>
      </c>
      <c r="G43" s="345">
        <v>1.8084828099000001</v>
      </c>
      <c r="H43" s="130"/>
      <c r="I43" s="345">
        <v>3141.0588924772001</v>
      </c>
      <c r="J43" s="345">
        <v>1.3238277125</v>
      </c>
      <c r="K43" s="133"/>
      <c r="L43" s="345">
        <v>2836.2341412370001</v>
      </c>
      <c r="M43" s="345">
        <v>1.1581819521000001</v>
      </c>
      <c r="N43" s="130"/>
      <c r="O43" s="345">
        <v>4392.2157593342999</v>
      </c>
      <c r="P43" s="345">
        <v>1.6375470244999999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345">
        <v>3948.6526020546999</v>
      </c>
      <c r="G44" s="345">
        <v>1.3166440691000001</v>
      </c>
      <c r="H44" s="130"/>
      <c r="I44" s="345">
        <v>3421.8150830686</v>
      </c>
      <c r="J44" s="345">
        <v>1.2526408726</v>
      </c>
      <c r="K44" s="133"/>
      <c r="L44" s="345">
        <v>4136.0433891087996</v>
      </c>
      <c r="M44" s="345">
        <v>1.4616514328000001</v>
      </c>
      <c r="N44" s="130"/>
      <c r="O44" s="345">
        <v>4635.6852182532002</v>
      </c>
      <c r="P44" s="345">
        <v>1.6418873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345">
        <v>6182.5511280329001</v>
      </c>
      <c r="G45" s="345">
        <v>1.9729882623999999</v>
      </c>
      <c r="H45" s="130"/>
      <c r="I45" s="345">
        <v>2947.5204370366</v>
      </c>
      <c r="J45" s="345">
        <v>1.013690752</v>
      </c>
      <c r="K45" s="133"/>
      <c r="L45" s="345">
        <v>3441.0937209054</v>
      </c>
      <c r="M45" s="345">
        <v>1.2378912987999999</v>
      </c>
      <c r="N45" s="130"/>
      <c r="O45" s="345">
        <v>4181.2136718324</v>
      </c>
      <c r="P45" s="345">
        <v>1.6895107872999999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345">
        <v>2082.7731444977999</v>
      </c>
      <c r="G46" s="345">
        <v>0.81900681259999997</v>
      </c>
      <c r="H46" s="130"/>
      <c r="I46" s="345">
        <v>2321.8999413076999</v>
      </c>
      <c r="J46" s="345">
        <v>0.88128170880000001</v>
      </c>
      <c r="K46" s="133"/>
      <c r="L46" s="345">
        <v>3717.9352761527998</v>
      </c>
      <c r="M46" s="345">
        <v>1.3776749422000001</v>
      </c>
      <c r="N46" s="130"/>
      <c r="O46" s="345">
        <v>7061.2602133684004</v>
      </c>
      <c r="P46" s="345">
        <v>1.8839585237000001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345">
        <v>3030.5376021494999</v>
      </c>
      <c r="G47" s="345">
        <v>1.1565924809999999</v>
      </c>
      <c r="H47" s="130"/>
      <c r="I47" s="345">
        <v>3329.4952566290999</v>
      </c>
      <c r="J47" s="345">
        <v>1.106334076</v>
      </c>
      <c r="K47" s="133"/>
      <c r="L47" s="345">
        <v>3381.3845349639</v>
      </c>
      <c r="M47" s="345">
        <v>1.2361281551000001</v>
      </c>
      <c r="N47" s="130"/>
      <c r="O47" s="345">
        <v>5620.6623021185997</v>
      </c>
      <c r="P47" s="345">
        <v>1.7840152863000001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345">
        <v>3190.0091817764001</v>
      </c>
      <c r="G48" s="345">
        <v>1.2134131654</v>
      </c>
      <c r="H48" s="130"/>
      <c r="I48" s="345">
        <v>3351.3531286452999</v>
      </c>
      <c r="J48" s="345">
        <v>1.0927926508000001</v>
      </c>
      <c r="K48" s="133"/>
      <c r="L48" s="345">
        <v>3801.8507659257002</v>
      </c>
      <c r="M48" s="345">
        <v>1.2515975793</v>
      </c>
      <c r="N48" s="130"/>
      <c r="O48" s="345">
        <v>5345.4334116965001</v>
      </c>
      <c r="P48" s="345">
        <v>1.9454553781999999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345">
        <v>3000.0917043277</v>
      </c>
      <c r="G49" s="345">
        <v>1.2277835932000001</v>
      </c>
      <c r="H49" s="130"/>
      <c r="I49" s="345">
        <v>3376.1071510972001</v>
      </c>
      <c r="J49" s="345">
        <v>1.2092772508</v>
      </c>
      <c r="K49" s="133"/>
      <c r="L49" s="345">
        <v>4696.9949132656002</v>
      </c>
      <c r="M49" s="345">
        <v>1.4528358911999999</v>
      </c>
      <c r="N49" s="130"/>
      <c r="O49" s="345">
        <v>5378.3385675153004</v>
      </c>
      <c r="P49" s="345">
        <v>1.8277847638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344">
        <v>9823.9999164673009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345">
        <v>5813.4168697894002</v>
      </c>
      <c r="G53" s="345">
        <v>1.5455332058</v>
      </c>
      <c r="H53" s="130"/>
      <c r="I53" s="345">
        <v>2897.4164712513998</v>
      </c>
      <c r="J53" s="345">
        <v>0.98498762750000002</v>
      </c>
      <c r="K53" s="133"/>
      <c r="L53" s="345">
        <v>3081.9335505529002</v>
      </c>
      <c r="M53" s="345">
        <v>1.0232648693999999</v>
      </c>
      <c r="N53" s="130"/>
      <c r="O53" s="345">
        <v>4478.3512306110997</v>
      </c>
      <c r="P53" s="345">
        <v>1.4308814375000001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345">
        <v>4338.8916801705</v>
      </c>
      <c r="G54" s="345">
        <v>1.4160576106</v>
      </c>
      <c r="H54" s="130"/>
      <c r="I54" s="345">
        <v>3118.1785168496999</v>
      </c>
      <c r="J54" s="345">
        <v>1.0505287146</v>
      </c>
      <c r="K54" s="133"/>
      <c r="L54" s="345">
        <v>3643.0696708319001</v>
      </c>
      <c r="M54" s="345">
        <v>1.0471627116</v>
      </c>
      <c r="N54" s="130"/>
      <c r="O54" s="345">
        <v>5209.5945161792997</v>
      </c>
      <c r="P54" s="345">
        <v>1.5553615859000001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345">
        <v>4945.4571580526999</v>
      </c>
      <c r="G55" s="345">
        <v>1.5287579306000001</v>
      </c>
      <c r="H55" s="130"/>
      <c r="I55" s="345">
        <v>3458.830203338</v>
      </c>
      <c r="J55" s="345">
        <v>1.1932755758</v>
      </c>
      <c r="K55" s="133"/>
      <c r="L55" s="345">
        <v>3860.3030546901</v>
      </c>
      <c r="M55" s="345">
        <v>1.1683324782</v>
      </c>
      <c r="N55" s="130"/>
      <c r="O55" s="345">
        <v>4810.5647896528999</v>
      </c>
      <c r="P55" s="345">
        <v>1.5426989421999999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345">
        <v>2564.4309118738001</v>
      </c>
      <c r="G56" s="345">
        <v>0.96508660410000002</v>
      </c>
      <c r="H56" s="130"/>
      <c r="I56" s="345">
        <v>2502.4831749532</v>
      </c>
      <c r="J56" s="345">
        <v>0.89921366709999995</v>
      </c>
      <c r="K56" s="133"/>
      <c r="L56" s="345">
        <v>3183.2547791618999</v>
      </c>
      <c r="M56" s="345">
        <v>1.0014712947</v>
      </c>
      <c r="N56" s="130"/>
      <c r="O56" s="345">
        <v>7634.3165183780002</v>
      </c>
      <c r="P56" s="345">
        <v>1.7372650143999999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345">
        <v>3336.8640152567</v>
      </c>
      <c r="G57" s="345">
        <v>1.1290890421999999</v>
      </c>
      <c r="H57" s="130"/>
      <c r="I57" s="345">
        <v>3029.6930152118998</v>
      </c>
      <c r="J57" s="345">
        <v>1.0204027787000001</v>
      </c>
      <c r="K57" s="133"/>
      <c r="L57" s="345">
        <v>3573.0896894893999</v>
      </c>
      <c r="M57" s="345">
        <v>0.9693373032</v>
      </c>
      <c r="N57" s="130"/>
      <c r="O57" s="345">
        <v>5639.1092045452997</v>
      </c>
      <c r="P57" s="345">
        <v>1.5277714239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345">
        <v>3814.1117577329001</v>
      </c>
      <c r="G58" s="345">
        <v>1.2224122466</v>
      </c>
      <c r="H58" s="130"/>
      <c r="I58" s="345">
        <v>3044.8253026204002</v>
      </c>
      <c r="J58" s="345">
        <v>1.0508940712999999</v>
      </c>
      <c r="K58" s="133"/>
      <c r="L58" s="345">
        <v>3326.1553637784</v>
      </c>
      <c r="M58" s="345">
        <v>1.0556236123</v>
      </c>
      <c r="N58" s="130"/>
      <c r="O58" s="345">
        <v>6493.1455753460996</v>
      </c>
      <c r="P58" s="345">
        <v>1.9084659668999999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345">
        <v>5020.0998407686002</v>
      </c>
      <c r="G59" s="345">
        <v>1.5100188796</v>
      </c>
      <c r="H59" s="130"/>
      <c r="I59" s="345">
        <v>3043.4083163819</v>
      </c>
      <c r="J59" s="345">
        <v>1.1510903689</v>
      </c>
      <c r="K59" s="133"/>
      <c r="L59" s="345">
        <v>3516.6177422336</v>
      </c>
      <c r="M59" s="345">
        <v>1.0564446344</v>
      </c>
      <c r="N59" s="130"/>
      <c r="O59" s="345">
        <v>5987.2375813963999</v>
      </c>
      <c r="P59" s="345">
        <v>1.9705167884999999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344">
        <v>20174.373876367401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345">
        <v>17307.483939374499</v>
      </c>
      <c r="G63" s="345">
        <v>1.6070743112000001</v>
      </c>
      <c r="H63" s="130"/>
      <c r="I63" s="345">
        <v>8489.5940430266</v>
      </c>
      <c r="J63" s="345">
        <v>0.94039138799999999</v>
      </c>
      <c r="K63" s="133"/>
      <c r="L63" s="345">
        <v>9440.2061657867998</v>
      </c>
      <c r="M63" s="345">
        <v>1.0005754155</v>
      </c>
      <c r="N63" s="130"/>
      <c r="O63" s="345">
        <v>16217.688198526401</v>
      </c>
      <c r="P63" s="345">
        <v>1.6389851215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345">
        <v>12853.1471084477</v>
      </c>
      <c r="G64" s="345">
        <v>1.2846764590999999</v>
      </c>
      <c r="H64" s="130"/>
      <c r="I64" s="345">
        <v>8371.8243728594007</v>
      </c>
      <c r="J64" s="345">
        <v>0.89398413129999998</v>
      </c>
      <c r="K64" s="133"/>
      <c r="L64" s="345">
        <v>8289.7191442623007</v>
      </c>
      <c r="M64" s="345">
        <v>0.90976302180000002</v>
      </c>
      <c r="N64" s="130"/>
      <c r="O64" s="345">
        <v>17916.0715736161</v>
      </c>
      <c r="P64" s="345">
        <v>1.570775671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345">
        <v>13839.5378332852</v>
      </c>
      <c r="G65" s="345">
        <v>1.3588786803999999</v>
      </c>
      <c r="H65" s="130"/>
      <c r="I65" s="345">
        <v>9420.9199894779995</v>
      </c>
      <c r="J65" s="345">
        <v>0.99213711670000004</v>
      </c>
      <c r="K65" s="133"/>
      <c r="L65" s="345">
        <v>9011.2446855343005</v>
      </c>
      <c r="M65" s="345">
        <v>0.94103762049999995</v>
      </c>
      <c r="N65" s="130"/>
      <c r="O65" s="345">
        <v>16792.3079161469</v>
      </c>
      <c r="P65" s="345">
        <v>1.6287676552999999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345">
        <v>8620.2646822876995</v>
      </c>
      <c r="G66" s="345">
        <v>0.94944883469999997</v>
      </c>
      <c r="H66" s="130"/>
      <c r="I66" s="345">
        <v>6916.6649343075997</v>
      </c>
      <c r="J66" s="345">
        <v>0.75865896450000003</v>
      </c>
      <c r="K66" s="133"/>
      <c r="L66" s="345">
        <v>9175.1723264319007</v>
      </c>
      <c r="M66" s="345">
        <v>0.97581166350000004</v>
      </c>
      <c r="N66" s="130"/>
      <c r="O66" s="345">
        <v>20944.325941208601</v>
      </c>
      <c r="P66" s="345">
        <v>1.533804605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345">
        <v>7119.9737628900002</v>
      </c>
      <c r="G67" s="345">
        <v>0.77445894930000003</v>
      </c>
      <c r="H67" s="130"/>
      <c r="I67" s="345">
        <v>7769.9399588327997</v>
      </c>
      <c r="J67" s="345">
        <v>0.81129661190000002</v>
      </c>
      <c r="K67" s="133"/>
      <c r="L67" s="345">
        <v>9869.1460965271999</v>
      </c>
      <c r="M67" s="345">
        <v>0.99097085549999997</v>
      </c>
      <c r="N67" s="130"/>
      <c r="O67" s="345">
        <v>17350.874879184401</v>
      </c>
      <c r="P67" s="345">
        <v>1.3848920554999999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345">
        <v>8560.3447235380008</v>
      </c>
      <c r="G68" s="345">
        <v>0.92652359139999996</v>
      </c>
      <c r="H68" s="130"/>
      <c r="I68" s="345">
        <v>8460.4824521258997</v>
      </c>
      <c r="J68" s="345">
        <v>0.89356846860000005</v>
      </c>
      <c r="K68" s="133"/>
      <c r="L68" s="345">
        <v>9296.3552757569996</v>
      </c>
      <c r="M68" s="345">
        <v>0.9917705913</v>
      </c>
      <c r="N68" s="130"/>
      <c r="O68" s="345">
        <v>19993.1490620771</v>
      </c>
      <c r="P68" s="345">
        <v>1.6173118698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345">
        <v>11764.0597610365</v>
      </c>
      <c r="G69" s="345">
        <v>1.2534746399000001</v>
      </c>
      <c r="H69" s="130"/>
      <c r="I69" s="345">
        <v>8727.4033899491005</v>
      </c>
      <c r="J69" s="345">
        <v>0.93298526810000004</v>
      </c>
      <c r="K69" s="133"/>
      <c r="L69" s="345">
        <v>9945.3877912329008</v>
      </c>
      <c r="M69" s="345">
        <v>1.085497478</v>
      </c>
      <c r="N69" s="130"/>
      <c r="O69" s="345">
        <v>19777.966259074801</v>
      </c>
      <c r="P69" s="345">
        <v>1.6659387694000001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344">
        <v>8619.0153653119996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345">
        <v>5972.7209934327002</v>
      </c>
      <c r="G73" s="345">
        <v>1.9896234952</v>
      </c>
      <c r="H73" s="130"/>
      <c r="I73" s="345">
        <v>2855.8960750668998</v>
      </c>
      <c r="J73" s="345">
        <v>1.1201627164000001</v>
      </c>
      <c r="K73" s="133"/>
      <c r="L73" s="345">
        <v>2246.1642481363001</v>
      </c>
      <c r="M73" s="345">
        <v>0.93431284339999998</v>
      </c>
      <c r="N73" s="130"/>
      <c r="O73" s="345">
        <v>5338.1664833348996</v>
      </c>
      <c r="P73" s="345">
        <v>2.0291141150000001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345">
        <v>2858.0887350108001</v>
      </c>
      <c r="G74" s="345">
        <v>1.1211103453</v>
      </c>
      <c r="H74" s="130"/>
      <c r="I74" s="345">
        <v>2313.1841904487001</v>
      </c>
      <c r="J74" s="345">
        <v>0.9154031239</v>
      </c>
      <c r="K74" s="133"/>
      <c r="L74" s="345">
        <v>2709.1582108513999</v>
      </c>
      <c r="M74" s="345">
        <v>1.0264392786000001</v>
      </c>
      <c r="N74" s="130"/>
      <c r="O74" s="345">
        <v>5970.2227800645996</v>
      </c>
      <c r="P74" s="345">
        <v>1.4281572527999999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345">
        <v>3947.3887009177001</v>
      </c>
      <c r="G75" s="345">
        <v>1.4344541335000001</v>
      </c>
      <c r="H75" s="130"/>
      <c r="I75" s="345">
        <v>2896.5617932724999</v>
      </c>
      <c r="J75" s="345">
        <v>1.0559420954000001</v>
      </c>
      <c r="K75" s="133"/>
      <c r="L75" s="345">
        <v>3530.6850064119999</v>
      </c>
      <c r="M75" s="345">
        <v>1.2785767394000001</v>
      </c>
      <c r="N75" s="130"/>
      <c r="O75" s="345">
        <v>4686.4287731353998</v>
      </c>
      <c r="P75" s="345">
        <v>1.6658488736999999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345">
        <v>2092.277836232</v>
      </c>
      <c r="G76" s="345">
        <v>0.84491767929999995</v>
      </c>
      <c r="H76" s="130"/>
      <c r="I76" s="345">
        <v>2075.0008949447001</v>
      </c>
      <c r="J76" s="345">
        <v>0.82057542539999995</v>
      </c>
      <c r="K76" s="133"/>
      <c r="L76" s="345">
        <v>2109.0329048916001</v>
      </c>
      <c r="M76" s="345">
        <v>0.90705755219999995</v>
      </c>
      <c r="N76" s="130"/>
      <c r="O76" s="345">
        <v>7631.9645696409998</v>
      </c>
      <c r="P76" s="345">
        <v>1.8497244794000001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345">
        <v>3823.9442856694</v>
      </c>
      <c r="G77" s="345">
        <v>1.4385963013</v>
      </c>
      <c r="H77" s="130"/>
      <c r="I77" s="345">
        <v>2376.5696771201001</v>
      </c>
      <c r="J77" s="345">
        <v>0.99353932160000002</v>
      </c>
      <c r="K77" s="133"/>
      <c r="L77" s="345">
        <v>2976.4397715614</v>
      </c>
      <c r="M77" s="345">
        <v>1.0474563086999999</v>
      </c>
      <c r="N77" s="130"/>
      <c r="O77" s="345">
        <v>5627.9974278732998</v>
      </c>
      <c r="P77" s="345">
        <v>1.7940449475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345">
        <v>2279.0747687364001</v>
      </c>
      <c r="G78" s="345">
        <v>0.96633073290000004</v>
      </c>
      <c r="H78" s="130"/>
      <c r="I78" s="345">
        <v>2184.8999466153</v>
      </c>
      <c r="J78" s="345">
        <v>0.96093710080000005</v>
      </c>
      <c r="K78" s="133"/>
      <c r="L78" s="345">
        <v>2934.5964105779999</v>
      </c>
      <c r="M78" s="345">
        <v>1.1357259200000001</v>
      </c>
      <c r="N78" s="130"/>
      <c r="O78" s="345">
        <v>7106.1622642841003</v>
      </c>
      <c r="P78" s="345">
        <v>1.6829931516000001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345">
        <v>3118.9683609379999</v>
      </c>
      <c r="G79" s="345">
        <v>1.294526603</v>
      </c>
      <c r="H79" s="130"/>
      <c r="I79" s="345">
        <v>2686.2196582881002</v>
      </c>
      <c r="J79" s="345">
        <v>1.1642828156</v>
      </c>
      <c r="K79" s="133"/>
      <c r="L79" s="345">
        <v>3156.1507816930998</v>
      </c>
      <c r="M79" s="345">
        <v>1.1576909420999999</v>
      </c>
      <c r="N79" s="130"/>
      <c r="O79" s="345">
        <v>6397.6814250253001</v>
      </c>
      <c r="P79" s="345">
        <v>1.7856869230000001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344">
        <v>63038.559215489498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345">
        <v>38207.4854852887</v>
      </c>
      <c r="G83" s="345">
        <v>1.8125505459</v>
      </c>
      <c r="H83" s="130"/>
      <c r="I83" s="345">
        <v>13954.2864501535</v>
      </c>
      <c r="J83" s="345">
        <v>0.83630405279999998</v>
      </c>
      <c r="K83" s="133"/>
      <c r="L83" s="345">
        <v>15233.717325834499</v>
      </c>
      <c r="M83" s="345">
        <v>0.92621470930000005</v>
      </c>
      <c r="N83" s="130"/>
      <c r="O83" s="345">
        <v>26399.184372580199</v>
      </c>
      <c r="P83" s="345">
        <v>1.3029485926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345">
        <v>18817.452486117199</v>
      </c>
      <c r="G84" s="345">
        <v>1.0500973034000001</v>
      </c>
      <c r="H84" s="130"/>
      <c r="I84" s="345">
        <v>15925.112669619601</v>
      </c>
      <c r="J84" s="345">
        <v>0.94368699190000005</v>
      </c>
      <c r="K84" s="133"/>
      <c r="L84" s="345">
        <v>18896.772924170898</v>
      </c>
      <c r="M84" s="345">
        <v>1.0896353783999999</v>
      </c>
      <c r="N84" s="130"/>
      <c r="O84" s="345">
        <v>38324.085971798602</v>
      </c>
      <c r="P84" s="345">
        <v>1.5838196428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345">
        <v>22498.500919473201</v>
      </c>
      <c r="G85" s="345">
        <v>1.2554056006000001</v>
      </c>
      <c r="H85" s="130"/>
      <c r="I85" s="345">
        <v>15729.9284062558</v>
      </c>
      <c r="J85" s="345">
        <v>0.86474536089999998</v>
      </c>
      <c r="K85" s="133"/>
      <c r="L85" s="345">
        <v>24532.263292796</v>
      </c>
      <c r="M85" s="345">
        <v>1.3147718794000001</v>
      </c>
      <c r="N85" s="130"/>
      <c r="O85" s="345">
        <v>32586.0047668566</v>
      </c>
      <c r="P85" s="345">
        <v>1.6307719602999999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345">
        <v>7876.8712567155999</v>
      </c>
      <c r="G86" s="345">
        <v>0.55257094969999998</v>
      </c>
      <c r="H86" s="130"/>
      <c r="I86" s="345">
        <v>7006.7601191040003</v>
      </c>
      <c r="J86" s="345">
        <v>0.47725094410000002</v>
      </c>
      <c r="K86" s="133"/>
      <c r="L86" s="345">
        <v>11394.1347017631</v>
      </c>
      <c r="M86" s="345">
        <v>0.780433296</v>
      </c>
      <c r="N86" s="130"/>
      <c r="O86" s="345">
        <v>59592.174375178103</v>
      </c>
      <c r="P86" s="345">
        <v>1.2719942597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345">
        <v>9239.8742998790003</v>
      </c>
      <c r="G87" s="345">
        <v>0.62431995819999997</v>
      </c>
      <c r="H87" s="130"/>
      <c r="I87" s="345">
        <v>9599.5031788382003</v>
      </c>
      <c r="J87" s="345">
        <v>0.68379304480000003</v>
      </c>
      <c r="K87" s="133"/>
      <c r="L87" s="345">
        <v>17155.255496624199</v>
      </c>
      <c r="M87" s="345">
        <v>1.0294755035000001</v>
      </c>
      <c r="N87" s="130"/>
      <c r="O87" s="345">
        <v>53790.801654036099</v>
      </c>
      <c r="P87" s="345">
        <v>1.4981773441999999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345">
        <v>11056.1394928151</v>
      </c>
      <c r="G88" s="345">
        <v>0.77974619229999997</v>
      </c>
      <c r="H88" s="130"/>
      <c r="I88" s="345">
        <v>11930.652951030899</v>
      </c>
      <c r="J88" s="345">
        <v>0.77774297079999999</v>
      </c>
      <c r="K88" s="133"/>
      <c r="L88" s="345">
        <v>19079.684999351601</v>
      </c>
      <c r="M88" s="345">
        <v>1.1265204203000001</v>
      </c>
      <c r="N88" s="130"/>
      <c r="O88" s="345">
        <v>49178.718330123404</v>
      </c>
      <c r="P88" s="345">
        <v>1.3880364655999999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345">
        <v>17484.5679181265</v>
      </c>
      <c r="G89" s="345">
        <v>1.1411757303000001</v>
      </c>
      <c r="H89" s="130"/>
      <c r="I89" s="345">
        <v>16601.493682564102</v>
      </c>
      <c r="J89" s="345">
        <v>1.0486004267</v>
      </c>
      <c r="K89" s="133"/>
      <c r="L89" s="345">
        <v>23916.081891874601</v>
      </c>
      <c r="M89" s="345">
        <v>1.4482048697000001</v>
      </c>
      <c r="N89" s="130"/>
      <c r="O89" s="345">
        <v>45535.622930175603</v>
      </c>
      <c r="P89" s="345">
        <v>1.9869098838000001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344">
        <v>21528.302989013799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345">
        <v>15807.866271042099</v>
      </c>
      <c r="G93" s="345">
        <v>1.3302035496</v>
      </c>
      <c r="H93" s="130"/>
      <c r="I93" s="345">
        <v>12293.450750952399</v>
      </c>
      <c r="J93" s="345">
        <v>1.0462203174</v>
      </c>
      <c r="K93" s="133"/>
      <c r="L93" s="345">
        <v>11584.0853304805</v>
      </c>
      <c r="M93" s="345">
        <v>0.98007987770000005</v>
      </c>
      <c r="N93" s="130"/>
      <c r="O93" s="345">
        <v>21383.042165314</v>
      </c>
      <c r="P93" s="345">
        <v>1.6130664751999999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345">
        <v>11998.1183242143</v>
      </c>
      <c r="G94" s="345">
        <v>1.0139908687999999</v>
      </c>
      <c r="H94" s="130"/>
      <c r="I94" s="345">
        <v>12220.501552317</v>
      </c>
      <c r="J94" s="345">
        <v>1.0234945591</v>
      </c>
      <c r="K94" s="133"/>
      <c r="L94" s="345">
        <v>12082.453461368999</v>
      </c>
      <c r="M94" s="345">
        <v>1.0382394637000001</v>
      </c>
      <c r="N94" s="130"/>
      <c r="O94" s="345">
        <v>21042.207245607799</v>
      </c>
      <c r="P94" s="345">
        <v>1.5143013853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345">
        <v>14153.850118775399</v>
      </c>
      <c r="G95" s="345">
        <v>1.176482405</v>
      </c>
      <c r="H95" s="130"/>
      <c r="I95" s="345">
        <v>12344.030852325501</v>
      </c>
      <c r="J95" s="345">
        <v>1.0473930124999999</v>
      </c>
      <c r="K95" s="133"/>
      <c r="L95" s="345">
        <v>13229.975349112099</v>
      </c>
      <c r="M95" s="345">
        <v>1.1220391922999999</v>
      </c>
      <c r="N95" s="130"/>
      <c r="O95" s="345">
        <v>21751.607883475201</v>
      </c>
      <c r="P95" s="345">
        <v>1.6772770588999999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345">
        <v>10551.3891628729</v>
      </c>
      <c r="G96" s="345">
        <v>0.90150799189999997</v>
      </c>
      <c r="H96" s="130"/>
      <c r="I96" s="345">
        <v>11477.061940638399</v>
      </c>
      <c r="J96" s="345">
        <v>0.98160849949999995</v>
      </c>
      <c r="K96" s="133"/>
      <c r="L96" s="345">
        <v>12515.0905962216</v>
      </c>
      <c r="M96" s="345">
        <v>1.0574583831</v>
      </c>
      <c r="N96" s="130"/>
      <c r="O96" s="345">
        <v>22665.567815684699</v>
      </c>
      <c r="P96" s="345">
        <v>1.6025857084999999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345">
        <v>10974.951909817801</v>
      </c>
      <c r="G97" s="345">
        <v>0.93887971270000004</v>
      </c>
      <c r="H97" s="130"/>
      <c r="I97" s="345">
        <v>9643.3113789433992</v>
      </c>
      <c r="J97" s="345">
        <v>0.83812563569999998</v>
      </c>
      <c r="K97" s="133"/>
      <c r="L97" s="345">
        <v>12754.2797090203</v>
      </c>
      <c r="M97" s="345">
        <v>1.0911792548000001</v>
      </c>
      <c r="N97" s="130"/>
      <c r="O97" s="345">
        <v>23300.133543541298</v>
      </c>
      <c r="P97" s="345">
        <v>1.600536014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345">
        <v>9880.7958239197997</v>
      </c>
      <c r="G98" s="345">
        <v>0.83819110649999995</v>
      </c>
      <c r="H98" s="130"/>
      <c r="I98" s="345">
        <v>9246.3854078347995</v>
      </c>
      <c r="J98" s="345">
        <v>0.80130331850000003</v>
      </c>
      <c r="K98" s="133"/>
      <c r="L98" s="345">
        <v>12107.212105836399</v>
      </c>
      <c r="M98" s="345">
        <v>1.0188532501000001</v>
      </c>
      <c r="N98" s="130"/>
      <c r="O98" s="345">
        <v>22830.749781168601</v>
      </c>
      <c r="P98" s="345">
        <v>1.5688353909999999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345">
        <v>11553.484922395701</v>
      </c>
      <c r="G99" s="345">
        <v>0.98969363259999998</v>
      </c>
      <c r="H99" s="130"/>
      <c r="I99" s="345">
        <v>10349.8202139026</v>
      </c>
      <c r="J99" s="345">
        <v>0.8833647483</v>
      </c>
      <c r="K99" s="133"/>
      <c r="L99" s="345">
        <v>14208.192683510501</v>
      </c>
      <c r="M99" s="345">
        <v>1.1735369261999999</v>
      </c>
      <c r="N99" s="130"/>
      <c r="O99" s="345">
        <v>23553.324310545999</v>
      </c>
      <c r="P99" s="345">
        <v>1.770731855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344">
        <v>50347.549406123697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345">
        <v>47481.472790104599</v>
      </c>
      <c r="G103" s="345">
        <v>1.4703173922999999</v>
      </c>
      <c r="H103" s="130"/>
      <c r="I103" s="345">
        <v>30225.294300826601</v>
      </c>
      <c r="J103" s="345">
        <v>1.0648551927000001</v>
      </c>
      <c r="K103" s="133"/>
      <c r="L103" s="345">
        <v>26056.716830933899</v>
      </c>
      <c r="M103" s="345">
        <v>0.93102572640000003</v>
      </c>
      <c r="N103" s="130"/>
      <c r="O103" s="345">
        <v>36176.2869094138</v>
      </c>
      <c r="P103" s="345">
        <v>1.2881773499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345">
        <v>42924.388106994302</v>
      </c>
      <c r="G104" s="345">
        <v>1.3918173169000001</v>
      </c>
      <c r="H104" s="130"/>
      <c r="I104" s="345">
        <v>31750.644234496402</v>
      </c>
      <c r="J104" s="345">
        <v>1.1063540719</v>
      </c>
      <c r="K104" s="133"/>
      <c r="L104" s="345">
        <v>31556.913678471501</v>
      </c>
      <c r="M104" s="345">
        <v>1.1174856953000001</v>
      </c>
      <c r="N104" s="130"/>
      <c r="O104" s="345">
        <v>34379.4176682978</v>
      </c>
      <c r="P104" s="345">
        <v>1.1954844937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345">
        <v>43778.942567135302</v>
      </c>
      <c r="G105" s="345">
        <v>1.450384366</v>
      </c>
      <c r="H105" s="130"/>
      <c r="I105" s="345">
        <v>31955.3410026581</v>
      </c>
      <c r="J105" s="345">
        <v>1.1033426871000001</v>
      </c>
      <c r="K105" s="133"/>
      <c r="L105" s="345">
        <v>31423.7551321397</v>
      </c>
      <c r="M105" s="345">
        <v>1.093816159</v>
      </c>
      <c r="N105" s="130"/>
      <c r="O105" s="345">
        <v>34708.352532070297</v>
      </c>
      <c r="P105" s="345">
        <v>1.2197587483000001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345">
        <v>25182.573366762099</v>
      </c>
      <c r="G106" s="345">
        <v>0.90322434100000004</v>
      </c>
      <c r="H106" s="130"/>
      <c r="I106" s="345">
        <v>27905.9431308895</v>
      </c>
      <c r="J106" s="345">
        <v>1.0028633976000001</v>
      </c>
      <c r="K106" s="133"/>
      <c r="L106" s="345">
        <v>33632.851208189801</v>
      </c>
      <c r="M106" s="345">
        <v>1.1343050119</v>
      </c>
      <c r="N106" s="130"/>
      <c r="O106" s="345">
        <v>49304.097832519001</v>
      </c>
      <c r="P106" s="345">
        <v>1.5609967377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345">
        <v>23313.161342676402</v>
      </c>
      <c r="G107" s="345">
        <v>0.84501269189999995</v>
      </c>
      <c r="H107" s="130"/>
      <c r="I107" s="345">
        <v>26152.527746129301</v>
      </c>
      <c r="J107" s="345">
        <v>0.94507671569999996</v>
      </c>
      <c r="K107" s="133"/>
      <c r="L107" s="345">
        <v>34954.744510457</v>
      </c>
      <c r="M107" s="345">
        <v>1.1588627687999999</v>
      </c>
      <c r="N107" s="130"/>
      <c r="O107" s="345">
        <v>50589.095456086798</v>
      </c>
      <c r="P107" s="345">
        <v>1.6040074681000001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345">
        <v>42848.3774725474</v>
      </c>
      <c r="G108" s="345">
        <v>1.4732605696000001</v>
      </c>
      <c r="H108" s="130"/>
      <c r="I108" s="345">
        <v>30476.929892328499</v>
      </c>
      <c r="J108" s="345">
        <v>1.0646035046</v>
      </c>
      <c r="K108" s="133"/>
      <c r="L108" s="345">
        <v>31817.9606423029</v>
      </c>
      <c r="M108" s="345">
        <v>1.0835572994</v>
      </c>
      <c r="N108" s="130"/>
      <c r="O108" s="345">
        <v>42980.510747421496</v>
      </c>
      <c r="P108" s="345">
        <v>1.5019616981999999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345">
        <v>48689.662868841799</v>
      </c>
      <c r="G109" s="345">
        <v>1.5588553901</v>
      </c>
      <c r="H109" s="130"/>
      <c r="I109" s="345">
        <v>31904.589809919999</v>
      </c>
      <c r="J109" s="345">
        <v>1.093118789</v>
      </c>
      <c r="K109" s="133"/>
      <c r="L109" s="345">
        <v>32123.560763444799</v>
      </c>
      <c r="M109" s="345">
        <v>1.1298403770000001</v>
      </c>
      <c r="N109" s="130"/>
      <c r="O109" s="345">
        <v>25684.325651418501</v>
      </c>
      <c r="P109" s="345">
        <v>0.92365091050000003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344">
        <v>12174.4839866041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345">
        <v>8960.7465742290005</v>
      </c>
      <c r="G113" s="345">
        <v>1.3990570441000001</v>
      </c>
      <c r="H113" s="130"/>
      <c r="I113" s="345">
        <v>5309.0052977094001</v>
      </c>
      <c r="J113" s="345">
        <v>1.0089408390000001</v>
      </c>
      <c r="K113" s="133"/>
      <c r="L113" s="345">
        <v>3907.9340179740002</v>
      </c>
      <c r="M113" s="345">
        <v>0.75364628990000004</v>
      </c>
      <c r="N113" s="130"/>
      <c r="O113" s="345">
        <v>7803.0466773413</v>
      </c>
      <c r="P113" s="345">
        <v>1.359973748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345">
        <v>6382.1469770761996</v>
      </c>
      <c r="G114" s="345">
        <v>1.1752028431999999</v>
      </c>
      <c r="H114" s="130"/>
      <c r="I114" s="345">
        <v>5489.9717689158997</v>
      </c>
      <c r="J114" s="345">
        <v>0.99381852400000004</v>
      </c>
      <c r="K114" s="133"/>
      <c r="L114" s="345">
        <v>5464.9301491212</v>
      </c>
      <c r="M114" s="345">
        <v>1.0512644592</v>
      </c>
      <c r="N114" s="130"/>
      <c r="O114" s="345">
        <v>9504.9210611936996</v>
      </c>
      <c r="P114" s="345">
        <v>1.5168392744000001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345">
        <v>7853.3438461467003</v>
      </c>
      <c r="G115" s="345">
        <v>1.3852383561999999</v>
      </c>
      <c r="H115" s="130"/>
      <c r="I115" s="345">
        <v>6609.1846064933998</v>
      </c>
      <c r="J115" s="345">
        <v>1.1944070479</v>
      </c>
      <c r="K115" s="133"/>
      <c r="L115" s="345">
        <v>5195.1449357908004</v>
      </c>
      <c r="M115" s="345">
        <v>0.97801209619999996</v>
      </c>
      <c r="N115" s="130"/>
      <c r="O115" s="345">
        <v>8589.3498380963993</v>
      </c>
      <c r="P115" s="345">
        <v>1.5371438947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345">
        <v>5637.0792755011998</v>
      </c>
      <c r="G116" s="345">
        <v>1.0826369603999999</v>
      </c>
      <c r="H116" s="130"/>
      <c r="I116" s="345">
        <v>4266.3029100238</v>
      </c>
      <c r="J116" s="345">
        <v>0.81273347829999998</v>
      </c>
      <c r="K116" s="133"/>
      <c r="L116" s="345">
        <v>4959.4560212467004</v>
      </c>
      <c r="M116" s="345">
        <v>0.92591423220000002</v>
      </c>
      <c r="N116" s="130"/>
      <c r="O116" s="345">
        <v>11576.2978617884</v>
      </c>
      <c r="P116" s="345">
        <v>1.7690378071999999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345">
        <v>5311.3482533482002</v>
      </c>
      <c r="G117" s="345">
        <v>1.0288815294</v>
      </c>
      <c r="H117" s="130"/>
      <c r="I117" s="345">
        <v>5086.9975483917997</v>
      </c>
      <c r="J117" s="345">
        <v>0.91631478129999999</v>
      </c>
      <c r="K117" s="133"/>
      <c r="L117" s="345">
        <v>5752.9112765725004</v>
      </c>
      <c r="M117" s="345">
        <v>1.0321763728</v>
      </c>
      <c r="N117" s="130"/>
      <c r="O117" s="345">
        <v>9410.1672242637997</v>
      </c>
      <c r="P117" s="345">
        <v>1.4443905667000001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345">
        <v>5258.9801615527003</v>
      </c>
      <c r="G118" s="345">
        <v>1.0133255591999999</v>
      </c>
      <c r="H118" s="130"/>
      <c r="I118" s="345">
        <v>4673.8423704146999</v>
      </c>
      <c r="J118" s="345">
        <v>0.87279089229999995</v>
      </c>
      <c r="K118" s="133"/>
      <c r="L118" s="345">
        <v>5289.9574912173002</v>
      </c>
      <c r="M118" s="345">
        <v>0.98144912689999997</v>
      </c>
      <c r="N118" s="130"/>
      <c r="O118" s="345">
        <v>11031.289866438199</v>
      </c>
      <c r="P118" s="345">
        <v>1.6893745600000001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345">
        <v>6245.4429116062001</v>
      </c>
      <c r="G119" s="345">
        <v>1.2183769719999999</v>
      </c>
      <c r="H119" s="130"/>
      <c r="I119" s="345">
        <v>5818.2522960906999</v>
      </c>
      <c r="J119" s="345">
        <v>1.0749807775</v>
      </c>
      <c r="K119" s="133"/>
      <c r="L119" s="345">
        <v>5409.5027455407999</v>
      </c>
      <c r="M119" s="345">
        <v>1.0276179477</v>
      </c>
      <c r="N119" s="130"/>
      <c r="O119" s="345">
        <v>11296.9007593352</v>
      </c>
      <c r="P119" s="345">
        <v>1.8191597192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344">
        <v>39342.759310615002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345">
        <v>24736.2598854145</v>
      </c>
      <c r="G123" s="345">
        <v>1.3991380034000001</v>
      </c>
      <c r="H123" s="130"/>
      <c r="I123" s="345">
        <v>16892.987936208701</v>
      </c>
      <c r="J123" s="345">
        <v>1.0797089180999999</v>
      </c>
      <c r="K123" s="133"/>
      <c r="L123" s="345">
        <v>22116.6898471438</v>
      </c>
      <c r="M123" s="345">
        <v>1.2913767470999999</v>
      </c>
      <c r="N123" s="130"/>
      <c r="O123" s="345">
        <v>32035.082723309901</v>
      </c>
      <c r="P123" s="345">
        <v>1.7081433174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345">
        <v>20940.290892054301</v>
      </c>
      <c r="G124" s="345">
        <v>1.2127238966</v>
      </c>
      <c r="H124" s="130"/>
      <c r="I124" s="345">
        <v>19700.264060182399</v>
      </c>
      <c r="J124" s="345">
        <v>1.1604323729999999</v>
      </c>
      <c r="K124" s="133"/>
      <c r="L124" s="345">
        <v>20603.091682751499</v>
      </c>
      <c r="M124" s="345">
        <v>1.1481582451000001</v>
      </c>
      <c r="N124" s="130"/>
      <c r="O124" s="345">
        <v>30262.624457800499</v>
      </c>
      <c r="P124" s="345">
        <v>1.7245306697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345">
        <v>24097.6075775846</v>
      </c>
      <c r="G125" s="345">
        <v>1.4401571313999999</v>
      </c>
      <c r="H125" s="130"/>
      <c r="I125" s="345">
        <v>19510.857203707001</v>
      </c>
      <c r="J125" s="345">
        <v>1.1679510489</v>
      </c>
      <c r="K125" s="133"/>
      <c r="L125" s="345">
        <v>22281.600824146499</v>
      </c>
      <c r="M125" s="345">
        <v>1.2374584439</v>
      </c>
      <c r="N125" s="130"/>
      <c r="O125" s="345">
        <v>31123.541888961499</v>
      </c>
      <c r="P125" s="345">
        <v>1.7304026633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345">
        <v>17998.920252194101</v>
      </c>
      <c r="G126" s="345">
        <v>1.0720507821</v>
      </c>
      <c r="H126" s="130"/>
      <c r="I126" s="345">
        <v>12294.2654678462</v>
      </c>
      <c r="J126" s="345">
        <v>0.75395331200000004</v>
      </c>
      <c r="K126" s="133"/>
      <c r="L126" s="345">
        <v>16535.113421146001</v>
      </c>
      <c r="M126" s="345">
        <v>1.0235923070999999</v>
      </c>
      <c r="N126" s="130"/>
      <c r="O126" s="345">
        <v>36298.305901775901</v>
      </c>
      <c r="P126" s="345">
        <v>1.6303780650999999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345">
        <v>19557.357549849599</v>
      </c>
      <c r="G127" s="345">
        <v>1.2260790543</v>
      </c>
      <c r="H127" s="130"/>
      <c r="I127" s="345">
        <v>14796.3905626948</v>
      </c>
      <c r="J127" s="345">
        <v>0.92272482769999997</v>
      </c>
      <c r="K127" s="133"/>
      <c r="L127" s="345">
        <v>20998.533687805899</v>
      </c>
      <c r="M127" s="345">
        <v>1.1905157050999999</v>
      </c>
      <c r="N127" s="130"/>
      <c r="O127" s="345">
        <v>38730.8964558199</v>
      </c>
      <c r="P127" s="345">
        <v>1.8665362343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345">
        <v>18293.744926674601</v>
      </c>
      <c r="G128" s="345">
        <v>1.1275018111999999</v>
      </c>
      <c r="H128" s="130"/>
      <c r="I128" s="345">
        <v>15174.825630824</v>
      </c>
      <c r="J128" s="345">
        <v>0.94807103479999999</v>
      </c>
      <c r="K128" s="133"/>
      <c r="L128" s="345">
        <v>23876.081943767302</v>
      </c>
      <c r="M128" s="345">
        <v>1.3821219849999999</v>
      </c>
      <c r="N128" s="130"/>
      <c r="O128" s="345">
        <v>36562.938506788298</v>
      </c>
      <c r="P128" s="345">
        <v>1.8102156592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345">
        <v>22791.755061992499</v>
      </c>
      <c r="G129" s="345">
        <v>1.3876050791000001</v>
      </c>
      <c r="H129" s="130"/>
      <c r="I129" s="345">
        <v>15689.1536934052</v>
      </c>
      <c r="J129" s="345">
        <v>0.89037527800000005</v>
      </c>
      <c r="K129" s="133"/>
      <c r="L129" s="345">
        <v>23243.494852227501</v>
      </c>
      <c r="M129" s="345">
        <v>1.2989130751</v>
      </c>
      <c r="N129" s="130"/>
      <c r="O129" s="345">
        <v>32382.110574772101</v>
      </c>
      <c r="P129" s="345">
        <v>1.7973727394000001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344">
        <v>28850.313181142301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345">
        <v>21764.876315469701</v>
      </c>
      <c r="G133" s="345">
        <v>1.4808066018999999</v>
      </c>
      <c r="H133" s="130"/>
      <c r="I133" s="345">
        <v>8988.4805093043997</v>
      </c>
      <c r="J133" s="345">
        <v>0.85826939930000001</v>
      </c>
      <c r="K133" s="133"/>
      <c r="L133" s="345">
        <v>10489.7721231987</v>
      </c>
      <c r="M133" s="345">
        <v>1.1180754154000001</v>
      </c>
      <c r="N133" s="130"/>
      <c r="O133" s="345">
        <v>13701.538825444801</v>
      </c>
      <c r="P133" s="345">
        <v>1.3284876728999999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345">
        <v>12461.756838326601</v>
      </c>
      <c r="G134" s="345">
        <v>1.1850007686999999</v>
      </c>
      <c r="H134" s="130"/>
      <c r="I134" s="345">
        <v>9757.4260948453993</v>
      </c>
      <c r="J134" s="345">
        <v>0.86142804809999995</v>
      </c>
      <c r="K134" s="133"/>
      <c r="L134" s="345">
        <v>11241.9363864507</v>
      </c>
      <c r="M134" s="345">
        <v>0.96340403119999996</v>
      </c>
      <c r="N134" s="130"/>
      <c r="O134" s="345">
        <v>17886.030201326699</v>
      </c>
      <c r="P134" s="345">
        <v>1.5369017951999999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345">
        <v>16741.9946791115</v>
      </c>
      <c r="G135" s="345">
        <v>1.4173219813</v>
      </c>
      <c r="H135" s="130"/>
      <c r="I135" s="345">
        <v>10083.5285697377</v>
      </c>
      <c r="J135" s="345">
        <v>0.93331262910000001</v>
      </c>
      <c r="K135" s="133"/>
      <c r="L135" s="345">
        <v>12589.3989872703</v>
      </c>
      <c r="M135" s="345">
        <v>1.1584045869999999</v>
      </c>
      <c r="N135" s="130"/>
      <c r="O135" s="345">
        <v>13355.0618736242</v>
      </c>
      <c r="P135" s="345">
        <v>1.2002472127999999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345">
        <v>7105.3432995563999</v>
      </c>
      <c r="G136" s="345">
        <v>0.74662436539999999</v>
      </c>
      <c r="H136" s="130"/>
      <c r="I136" s="345">
        <v>5922.7517410578002</v>
      </c>
      <c r="J136" s="345">
        <v>0.6276445651</v>
      </c>
      <c r="K136" s="133"/>
      <c r="L136" s="345">
        <v>9499.9059174268004</v>
      </c>
      <c r="M136" s="345">
        <v>0.98071835230000004</v>
      </c>
      <c r="N136" s="130"/>
      <c r="O136" s="345">
        <v>28252.7967092492</v>
      </c>
      <c r="P136" s="345">
        <v>1.5674835699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345">
        <v>8734.2939176077998</v>
      </c>
      <c r="G137" s="345">
        <v>0.90450312460000004</v>
      </c>
      <c r="H137" s="130"/>
      <c r="I137" s="345">
        <v>9643.9614490688</v>
      </c>
      <c r="J137" s="345">
        <v>0.95889789530000002</v>
      </c>
      <c r="K137" s="133"/>
      <c r="L137" s="345">
        <v>12908.027398119801</v>
      </c>
      <c r="M137" s="345">
        <v>1.1772405290000001</v>
      </c>
      <c r="N137" s="130"/>
      <c r="O137" s="345">
        <v>23228.718457103801</v>
      </c>
      <c r="P137" s="345">
        <v>1.7355536823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345">
        <v>6739.6865826971998</v>
      </c>
      <c r="G138" s="345">
        <v>0.70303872249999999</v>
      </c>
      <c r="H138" s="130"/>
      <c r="I138" s="345">
        <v>6276.4055234225998</v>
      </c>
      <c r="J138" s="345">
        <v>0.66091178149999996</v>
      </c>
      <c r="K138" s="133"/>
      <c r="L138" s="345">
        <v>10538.002906036299</v>
      </c>
      <c r="M138" s="345">
        <v>0.99163236509999997</v>
      </c>
      <c r="N138" s="130"/>
      <c r="O138" s="345">
        <v>25688.9253610337</v>
      </c>
      <c r="P138" s="345">
        <v>1.5279212489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345">
        <v>7241.5846880511999</v>
      </c>
      <c r="G139" s="345">
        <v>0.74855134999999995</v>
      </c>
      <c r="H139" s="130"/>
      <c r="I139" s="345">
        <v>7160.3827711887998</v>
      </c>
      <c r="J139" s="345">
        <v>0.70642409839999998</v>
      </c>
      <c r="K139" s="133"/>
      <c r="L139" s="345">
        <v>12645.2802155277</v>
      </c>
      <c r="M139" s="345">
        <v>1.1599306284999999</v>
      </c>
      <c r="N139" s="130"/>
      <c r="O139" s="345">
        <v>23601.756851857601</v>
      </c>
      <c r="P139" s="345">
        <v>1.6490582438000001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344">
        <v>24330.5739194446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345">
        <v>20838.392049801601</v>
      </c>
      <c r="G143" s="345">
        <v>1.9104600492999999</v>
      </c>
      <c r="H143" s="130"/>
      <c r="I143" s="345">
        <v>8711.3854156406996</v>
      </c>
      <c r="J143" s="345">
        <v>0.9271524444</v>
      </c>
      <c r="K143" s="133"/>
      <c r="L143" s="345">
        <v>10428.9516861436</v>
      </c>
      <c r="M143" s="345">
        <v>1.1645548822</v>
      </c>
      <c r="N143" s="130"/>
      <c r="O143" s="345">
        <v>15207.750726185701</v>
      </c>
      <c r="P143" s="345">
        <v>1.7108574291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345">
        <v>10618.148318981899</v>
      </c>
      <c r="G144" s="345">
        <v>1.1607316996000001</v>
      </c>
      <c r="H144" s="130"/>
      <c r="I144" s="345">
        <v>10731.494148237</v>
      </c>
      <c r="J144" s="345">
        <v>1.1145886312</v>
      </c>
      <c r="K144" s="133"/>
      <c r="L144" s="345">
        <v>12500.201892397599</v>
      </c>
      <c r="M144" s="345">
        <v>1.2667955688000001</v>
      </c>
      <c r="N144" s="130"/>
      <c r="O144" s="345">
        <v>18669.373394172399</v>
      </c>
      <c r="P144" s="345">
        <v>1.9206799131000001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345">
        <v>14316.417520278599</v>
      </c>
      <c r="G145" s="345">
        <v>1.5110431627000001</v>
      </c>
      <c r="H145" s="130"/>
      <c r="I145" s="345">
        <v>12175.2952017481</v>
      </c>
      <c r="J145" s="345">
        <v>1.1968214675</v>
      </c>
      <c r="K145" s="133"/>
      <c r="L145" s="345">
        <v>10586.5659045828</v>
      </c>
      <c r="M145" s="345">
        <v>1.0818857188</v>
      </c>
      <c r="N145" s="130"/>
      <c r="O145" s="345">
        <v>16638.5695125323</v>
      </c>
      <c r="P145" s="345">
        <v>1.8207792694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345">
        <v>17072.3017893828</v>
      </c>
      <c r="G146" s="345">
        <v>1.9051819001999999</v>
      </c>
      <c r="H146" s="130"/>
      <c r="I146" s="345">
        <v>7363.0745642169004</v>
      </c>
      <c r="J146" s="345">
        <v>0.78954668819999996</v>
      </c>
      <c r="K146" s="133"/>
      <c r="L146" s="345">
        <v>9072.4111144161998</v>
      </c>
      <c r="M146" s="345">
        <v>0.96410108650000004</v>
      </c>
      <c r="N146" s="130"/>
      <c r="O146" s="345">
        <v>24187.706488224601</v>
      </c>
      <c r="P146" s="345">
        <v>2.5062567115999999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345">
        <v>10271.005429185399</v>
      </c>
      <c r="G147" s="345">
        <v>1.1696135484000001</v>
      </c>
      <c r="H147" s="130"/>
      <c r="I147" s="345">
        <v>9002.4523243896001</v>
      </c>
      <c r="J147" s="345">
        <v>1.0180624163000001</v>
      </c>
      <c r="K147" s="133"/>
      <c r="L147" s="345">
        <v>12545.1177377927</v>
      </c>
      <c r="M147" s="345">
        <v>1.2712774803</v>
      </c>
      <c r="N147" s="130"/>
      <c r="O147" s="345">
        <v>21788.372834115798</v>
      </c>
      <c r="P147" s="345">
        <v>1.9956043296999999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345">
        <v>12955.0528028238</v>
      </c>
      <c r="G148" s="345">
        <v>1.3548530692</v>
      </c>
      <c r="H148" s="130"/>
      <c r="I148" s="345">
        <v>8247.5135633729005</v>
      </c>
      <c r="J148" s="345">
        <v>0.82345115030000005</v>
      </c>
      <c r="K148" s="133"/>
      <c r="L148" s="345">
        <v>10884.6009304872</v>
      </c>
      <c r="M148" s="345">
        <v>1.1362333299</v>
      </c>
      <c r="N148" s="130"/>
      <c r="O148" s="345">
        <v>17621.341851952198</v>
      </c>
      <c r="P148" s="345">
        <v>1.8316978656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345">
        <v>16520.451013417201</v>
      </c>
      <c r="G149" s="345">
        <v>1.6588738867999999</v>
      </c>
      <c r="H149" s="130"/>
      <c r="I149" s="345">
        <v>10438.4134394263</v>
      </c>
      <c r="J149" s="345">
        <v>1.0794771517999999</v>
      </c>
      <c r="K149" s="133"/>
      <c r="L149" s="345">
        <v>10536.0077378727</v>
      </c>
      <c r="M149" s="345">
        <v>1.1585269451</v>
      </c>
      <c r="N149" s="130"/>
      <c r="O149" s="345">
        <v>17568.4736481662</v>
      </c>
      <c r="P149" s="345">
        <v>1.9202963603000001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344">
        <v>55559.275928897499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345">
        <v>45373.368542849697</v>
      </c>
      <c r="G153" s="345">
        <v>1.5503196761</v>
      </c>
      <c r="H153" s="130"/>
      <c r="I153" s="345">
        <v>25656.3467188223</v>
      </c>
      <c r="J153" s="345">
        <v>1.0394149635000001</v>
      </c>
      <c r="K153" s="133"/>
      <c r="L153" s="345">
        <v>20543.601444472399</v>
      </c>
      <c r="M153" s="345">
        <v>0.86992518740000002</v>
      </c>
      <c r="N153" s="130"/>
      <c r="O153" s="345">
        <v>35920.828153877199</v>
      </c>
      <c r="P153" s="345">
        <v>1.497848429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345">
        <v>36427.129669681301</v>
      </c>
      <c r="G154" s="345">
        <v>1.4104433759999999</v>
      </c>
      <c r="H154" s="130"/>
      <c r="I154" s="345">
        <v>25001.460885311699</v>
      </c>
      <c r="J154" s="345">
        <v>1.0115528498999999</v>
      </c>
      <c r="K154" s="133"/>
      <c r="L154" s="345">
        <v>26307.711109809199</v>
      </c>
      <c r="M154" s="345">
        <v>1.0742367691000001</v>
      </c>
      <c r="N154" s="130"/>
      <c r="O154" s="345">
        <v>43299.637447201902</v>
      </c>
      <c r="P154" s="345">
        <v>1.6447516531999999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345">
        <v>49388.343509920604</v>
      </c>
      <c r="G155" s="345">
        <v>1.8662711942000001</v>
      </c>
      <c r="H155" s="130"/>
      <c r="I155" s="345">
        <v>26727.020715647199</v>
      </c>
      <c r="J155" s="345">
        <v>1.0728868961</v>
      </c>
      <c r="K155" s="133"/>
      <c r="L155" s="345">
        <v>26093.371702122</v>
      </c>
      <c r="M155" s="345">
        <v>1.1067796065</v>
      </c>
      <c r="N155" s="130"/>
      <c r="O155" s="345">
        <v>38084.129369906703</v>
      </c>
      <c r="P155" s="345">
        <v>1.536953515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345">
        <v>26757.099029319299</v>
      </c>
      <c r="G156" s="345">
        <v>1.117034079</v>
      </c>
      <c r="H156" s="130"/>
      <c r="I156" s="345">
        <v>19674.124576842201</v>
      </c>
      <c r="J156" s="345">
        <v>0.8487281539</v>
      </c>
      <c r="K156" s="133"/>
      <c r="L156" s="345">
        <v>28325.103627244702</v>
      </c>
      <c r="M156" s="345">
        <v>1.1711392441999999</v>
      </c>
      <c r="N156" s="130"/>
      <c r="O156" s="345">
        <v>54749.2624425022</v>
      </c>
      <c r="P156" s="345">
        <v>1.7903594092999999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345">
        <v>34387.749432945799</v>
      </c>
      <c r="G157" s="345">
        <v>1.4907785554999999</v>
      </c>
      <c r="H157" s="130"/>
      <c r="I157" s="345">
        <v>23607.4063315327</v>
      </c>
      <c r="J157" s="345">
        <v>0.97013161209999998</v>
      </c>
      <c r="K157" s="133"/>
      <c r="L157" s="345">
        <v>29626.4344223716</v>
      </c>
      <c r="M157" s="345">
        <v>1.1391218968000001</v>
      </c>
      <c r="N157" s="130"/>
      <c r="O157" s="345">
        <v>50112.319312916501</v>
      </c>
      <c r="P157" s="345">
        <v>1.7369649871999999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345">
        <v>32785.783585077501</v>
      </c>
      <c r="G158" s="345">
        <v>1.4162977890999999</v>
      </c>
      <c r="H158" s="130"/>
      <c r="I158" s="345">
        <v>26230.410632511499</v>
      </c>
      <c r="J158" s="345">
        <v>1.0323677086</v>
      </c>
      <c r="K158" s="133"/>
      <c r="L158" s="345">
        <v>27502.269438587999</v>
      </c>
      <c r="M158" s="345">
        <v>1.1126274760999999</v>
      </c>
      <c r="N158" s="130"/>
      <c r="O158" s="345">
        <v>53163.581147632598</v>
      </c>
      <c r="P158" s="345">
        <v>1.9658835173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345">
        <v>37583.845735764597</v>
      </c>
      <c r="G159" s="345">
        <v>1.6247183924999999</v>
      </c>
      <c r="H159" s="130"/>
      <c r="I159" s="345">
        <v>27839.3677605419</v>
      </c>
      <c r="J159" s="345">
        <v>1.0938858177999999</v>
      </c>
      <c r="K159" s="133"/>
      <c r="L159" s="345">
        <v>30518.969159615001</v>
      </c>
      <c r="M159" s="345">
        <v>1.1530346016999999</v>
      </c>
      <c r="N159" s="130"/>
      <c r="O159" s="345">
        <v>47201.504022539397</v>
      </c>
      <c r="P159" s="345">
        <v>1.8472419772999999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344">
        <v>153845.18493733901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345">
        <v>117887.195854099</v>
      </c>
      <c r="G163" s="345">
        <v>1.6200630063000001</v>
      </c>
      <c r="H163" s="130"/>
      <c r="I163" s="345">
        <v>57001.505191324002</v>
      </c>
      <c r="J163" s="345">
        <v>1.1040987710000001</v>
      </c>
      <c r="K163" s="133"/>
      <c r="L163" s="345">
        <v>48046.2532318542</v>
      </c>
      <c r="M163" s="345">
        <v>0.96165491550000004</v>
      </c>
      <c r="N163" s="130"/>
      <c r="O163" s="345">
        <v>60231.209211145098</v>
      </c>
      <c r="P163" s="345">
        <v>1.2672917697999999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345">
        <v>64267.855443316701</v>
      </c>
      <c r="G164" s="345">
        <v>1.1053210535</v>
      </c>
      <c r="H164" s="130"/>
      <c r="I164" s="345">
        <v>62682.638216171399</v>
      </c>
      <c r="J164" s="345">
        <v>1.1744634261</v>
      </c>
      <c r="K164" s="133"/>
      <c r="L164" s="345">
        <v>65882.743193669696</v>
      </c>
      <c r="M164" s="345">
        <v>1.2097802423999999</v>
      </c>
      <c r="N164" s="130"/>
      <c r="O164" s="345">
        <v>83679.779168645793</v>
      </c>
      <c r="P164" s="345">
        <v>1.4812545944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345">
        <v>103570.68235079</v>
      </c>
      <c r="G165" s="345">
        <v>1.5985361337999999</v>
      </c>
      <c r="H165" s="130"/>
      <c r="I165" s="345">
        <v>58676.818150442101</v>
      </c>
      <c r="J165" s="345">
        <v>1.1308694959000001</v>
      </c>
      <c r="K165" s="133"/>
      <c r="L165" s="345">
        <v>65145.237021231798</v>
      </c>
      <c r="M165" s="345">
        <v>1.2703236405</v>
      </c>
      <c r="N165" s="130"/>
      <c r="O165" s="345">
        <v>64157.284622252802</v>
      </c>
      <c r="P165" s="345">
        <v>1.3042678167999999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345">
        <v>56189.083264848101</v>
      </c>
      <c r="G166" s="345">
        <v>1.0911683579</v>
      </c>
      <c r="H166" s="130"/>
      <c r="I166" s="345">
        <v>53909.669730022797</v>
      </c>
      <c r="J166" s="345">
        <v>1.0473265718</v>
      </c>
      <c r="K166" s="133"/>
      <c r="L166" s="345">
        <v>67150.453498918796</v>
      </c>
      <c r="M166" s="345">
        <v>1.3615584131</v>
      </c>
      <c r="N166" s="130"/>
      <c r="O166" s="345">
        <v>117162.08436573199</v>
      </c>
      <c r="P166" s="345">
        <v>1.9044214071000001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345">
        <v>47818.914729641598</v>
      </c>
      <c r="G167" s="345">
        <v>0.98582158580000001</v>
      </c>
      <c r="H167" s="130"/>
      <c r="I167" s="345">
        <v>62331.4686063872</v>
      </c>
      <c r="J167" s="345">
        <v>1.1587581029</v>
      </c>
      <c r="K167" s="133"/>
      <c r="L167" s="345">
        <v>66609.212048617206</v>
      </c>
      <c r="M167" s="345">
        <v>1.2344586114</v>
      </c>
      <c r="N167" s="130"/>
      <c r="O167" s="345">
        <v>110551.88611952501</v>
      </c>
      <c r="P167" s="345">
        <v>1.8241019806000001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345">
        <v>84114.732549205102</v>
      </c>
      <c r="G168" s="345">
        <v>1.5814508947000001</v>
      </c>
      <c r="H168" s="130"/>
      <c r="I168" s="345">
        <v>57895.729056684599</v>
      </c>
      <c r="J168" s="345">
        <v>1.1488972911999999</v>
      </c>
      <c r="K168" s="133"/>
      <c r="L168" s="345">
        <v>63121.646629957802</v>
      </c>
      <c r="M168" s="345">
        <v>1.185117602</v>
      </c>
      <c r="N168" s="130"/>
      <c r="O168" s="345">
        <v>97637.462163797099</v>
      </c>
      <c r="P168" s="345">
        <v>1.7334969284999999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345">
        <v>90770.6198529713</v>
      </c>
      <c r="G169" s="345">
        <v>1.8568258177999999</v>
      </c>
      <c r="H169" s="130"/>
      <c r="I169" s="345">
        <v>64493.776759549502</v>
      </c>
      <c r="J169" s="345">
        <v>1.1546886514000001</v>
      </c>
      <c r="K169" s="133"/>
      <c r="L169" s="345">
        <v>55616.560258582402</v>
      </c>
      <c r="M169" s="345">
        <v>1.0239407887</v>
      </c>
      <c r="N169" s="130"/>
      <c r="O169" s="345">
        <v>73219.009122943098</v>
      </c>
      <c r="P169" s="345">
        <v>1.3493143857000001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344">
        <v>48544.014646115298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345">
        <v>29234.885371956701</v>
      </c>
      <c r="G173" s="345">
        <v>1.7866371418</v>
      </c>
      <c r="H173" s="130"/>
      <c r="I173" s="345">
        <v>14338.030069968399</v>
      </c>
      <c r="J173" s="345">
        <v>0.97505348150000004</v>
      </c>
      <c r="K173" s="133"/>
      <c r="L173" s="345">
        <v>16922.527790539902</v>
      </c>
      <c r="M173" s="345">
        <v>1.1656024111000001</v>
      </c>
      <c r="N173" s="130"/>
      <c r="O173" s="345">
        <v>26714.1804723553</v>
      </c>
      <c r="P173" s="345">
        <v>1.6915534639000001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345">
        <v>17621.306655178902</v>
      </c>
      <c r="G174" s="345">
        <v>1.1551838828000001</v>
      </c>
      <c r="H174" s="130"/>
      <c r="I174" s="345">
        <v>17552.1822392674</v>
      </c>
      <c r="J174" s="345">
        <v>1.1049486712000001</v>
      </c>
      <c r="K174" s="133"/>
      <c r="L174" s="345">
        <v>14639.9775259118</v>
      </c>
      <c r="M174" s="345">
        <v>0.98808892000000004</v>
      </c>
      <c r="N174" s="130"/>
      <c r="O174" s="345">
        <v>28391.3330350498</v>
      </c>
      <c r="P174" s="345">
        <v>1.4987644939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345">
        <v>26209.686673460801</v>
      </c>
      <c r="G175" s="345">
        <v>1.6793233733999999</v>
      </c>
      <c r="H175" s="130"/>
      <c r="I175" s="345">
        <v>14253.0287100441</v>
      </c>
      <c r="J175" s="345">
        <v>0.99064444060000001</v>
      </c>
      <c r="K175" s="133"/>
      <c r="L175" s="345">
        <v>16510.901220180702</v>
      </c>
      <c r="M175" s="345">
        <v>1.0930637797</v>
      </c>
      <c r="N175" s="130"/>
      <c r="O175" s="345">
        <v>26773.203452153099</v>
      </c>
      <c r="P175" s="345">
        <v>1.4976931543000001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345">
        <v>14489.781693468</v>
      </c>
      <c r="G176" s="345">
        <v>1.0683059883999999</v>
      </c>
      <c r="H176" s="130"/>
      <c r="I176" s="345">
        <v>11549.627726615799</v>
      </c>
      <c r="J176" s="345">
        <v>0.83246836410000002</v>
      </c>
      <c r="K176" s="133"/>
      <c r="L176" s="345">
        <v>11666.910909607799</v>
      </c>
      <c r="M176" s="345">
        <v>0.8572448305</v>
      </c>
      <c r="N176" s="130"/>
      <c r="O176" s="345">
        <v>41852.113999413697</v>
      </c>
      <c r="P176" s="345">
        <v>1.6995075985000001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345">
        <v>15478.8254243387</v>
      </c>
      <c r="G177" s="345">
        <v>1.1893399915</v>
      </c>
      <c r="H177" s="130"/>
      <c r="I177" s="345">
        <v>13081.6413905023</v>
      </c>
      <c r="J177" s="345">
        <v>0.89446813619999999</v>
      </c>
      <c r="K177" s="133"/>
      <c r="L177" s="345">
        <v>17626.0441306707</v>
      </c>
      <c r="M177" s="345">
        <v>1.1709290952</v>
      </c>
      <c r="N177" s="130"/>
      <c r="O177" s="345">
        <v>38249.3573934491</v>
      </c>
      <c r="P177" s="345">
        <v>1.7824748847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345">
        <v>13146.2522223782</v>
      </c>
      <c r="G178" s="345">
        <v>0.99509673009999999</v>
      </c>
      <c r="H178" s="130"/>
      <c r="I178" s="345">
        <v>13515.624701102401</v>
      </c>
      <c r="J178" s="345">
        <v>0.97356629880000001</v>
      </c>
      <c r="K178" s="133"/>
      <c r="L178" s="345">
        <v>14685.2617710293</v>
      </c>
      <c r="M178" s="345">
        <v>0.98364898320000005</v>
      </c>
      <c r="N178" s="130"/>
      <c r="O178" s="345">
        <v>40288.464104887396</v>
      </c>
      <c r="P178" s="345">
        <v>1.8426785604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345">
        <v>17738.148571923499</v>
      </c>
      <c r="G179" s="345">
        <v>1.3225369336999999</v>
      </c>
      <c r="H179" s="130"/>
      <c r="I179" s="345">
        <v>15164.3120768889</v>
      </c>
      <c r="J179" s="345">
        <v>1.0410852721999999</v>
      </c>
      <c r="K179" s="133"/>
      <c r="L179" s="345">
        <v>18985.8261711087</v>
      </c>
      <c r="M179" s="345">
        <v>1.2783638622</v>
      </c>
      <c r="N179" s="130"/>
      <c r="O179" s="345">
        <v>37530.606546267103</v>
      </c>
      <c r="P179" s="345">
        <v>2.0582584861000002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344">
        <v>20366.691328497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345">
        <v>16449.746788509299</v>
      </c>
      <c r="G183" s="345">
        <v>1.5590918755000001</v>
      </c>
      <c r="H183" s="130"/>
      <c r="I183" s="345">
        <v>6989.7040906265001</v>
      </c>
      <c r="J183" s="345">
        <v>1.1430018576000001</v>
      </c>
      <c r="K183" s="133"/>
      <c r="L183" s="345">
        <v>4514.4617637480997</v>
      </c>
      <c r="M183" s="345">
        <v>0.86313156069999997</v>
      </c>
      <c r="N183" s="130"/>
      <c r="O183" s="345">
        <v>7821.2589874915002</v>
      </c>
      <c r="P183" s="345">
        <v>1.1733604401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345">
        <v>9299.4228040316993</v>
      </c>
      <c r="G184" s="345">
        <v>1.3646841826</v>
      </c>
      <c r="H184" s="130"/>
      <c r="I184" s="345">
        <v>6756.9557127708003</v>
      </c>
      <c r="J184" s="345">
        <v>0.96022395890000001</v>
      </c>
      <c r="K184" s="133"/>
      <c r="L184" s="345">
        <v>8426.5670633690006</v>
      </c>
      <c r="M184" s="345">
        <v>1.2236728851000001</v>
      </c>
      <c r="N184" s="130"/>
      <c r="O184" s="345">
        <v>10697.880012896299</v>
      </c>
      <c r="P184" s="345">
        <v>1.4244501569000001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345">
        <v>9129.5787388476001</v>
      </c>
      <c r="G185" s="345">
        <v>1.3966296475</v>
      </c>
      <c r="H185" s="130"/>
      <c r="I185" s="345">
        <v>7392.4412680820997</v>
      </c>
      <c r="J185" s="345">
        <v>1.2488329615</v>
      </c>
      <c r="K185" s="133"/>
      <c r="L185" s="345">
        <v>8516.0578808521004</v>
      </c>
      <c r="M185" s="345">
        <v>1.2974102116999999</v>
      </c>
      <c r="N185" s="130"/>
      <c r="O185" s="345">
        <v>12348.661368217399</v>
      </c>
      <c r="P185" s="345">
        <v>1.5352275491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345">
        <v>5197.0393906100999</v>
      </c>
      <c r="G186" s="345">
        <v>0.91074205799999997</v>
      </c>
      <c r="H186" s="130"/>
      <c r="I186" s="345">
        <v>4618.6891936231996</v>
      </c>
      <c r="J186" s="345">
        <v>0.74138409409999995</v>
      </c>
      <c r="K186" s="133"/>
      <c r="L186" s="345">
        <v>7927.8205643613001</v>
      </c>
      <c r="M186" s="345">
        <v>1.0792053096000001</v>
      </c>
      <c r="N186" s="130"/>
      <c r="O186" s="345">
        <v>15506.722082578101</v>
      </c>
      <c r="P186" s="345">
        <v>1.5881053759999999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345">
        <v>4059.1987245760001</v>
      </c>
      <c r="G187" s="345">
        <v>0.72531542169999996</v>
      </c>
      <c r="H187" s="130"/>
      <c r="I187" s="345">
        <v>4777.3684720923002</v>
      </c>
      <c r="J187" s="345">
        <v>0.86565939459999997</v>
      </c>
      <c r="K187" s="133"/>
      <c r="L187" s="345">
        <v>8403.3154061794994</v>
      </c>
      <c r="M187" s="345">
        <v>1.2458617513000001</v>
      </c>
      <c r="N187" s="130"/>
      <c r="O187" s="345">
        <v>17147.2035959157</v>
      </c>
      <c r="P187" s="345">
        <v>1.6988730943999999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345">
        <v>7026.6133221520004</v>
      </c>
      <c r="G188" s="345">
        <v>1.283297728</v>
      </c>
      <c r="H188" s="130"/>
      <c r="I188" s="345">
        <v>5324.1165767860002</v>
      </c>
      <c r="J188" s="345">
        <v>0.97249698070000001</v>
      </c>
      <c r="K188" s="133"/>
      <c r="L188" s="345">
        <v>7363.7903670829</v>
      </c>
      <c r="M188" s="345">
        <v>1.2159590107</v>
      </c>
      <c r="N188" s="130"/>
      <c r="O188" s="345">
        <v>18288.208547108501</v>
      </c>
      <c r="P188" s="345">
        <v>1.9584449742000001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345">
        <v>10171.648197033801</v>
      </c>
      <c r="G189" s="345">
        <v>1.7812103749999999</v>
      </c>
      <c r="H189" s="130"/>
      <c r="I189" s="345">
        <v>9097.4086443629003</v>
      </c>
      <c r="J189" s="345">
        <v>1.3631916247</v>
      </c>
      <c r="K189" s="133"/>
      <c r="L189" s="345">
        <v>8716.8464658034009</v>
      </c>
      <c r="M189" s="345">
        <v>1.1827143089000001</v>
      </c>
      <c r="N189" s="130"/>
      <c r="O189" s="345">
        <v>11600.664479909899</v>
      </c>
      <c r="P189" s="345">
        <v>1.6127784301000001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344">
        <v>10075.872713184701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345">
        <v>5263.5648436684996</v>
      </c>
      <c r="G193" s="345">
        <v>1.1787486456</v>
      </c>
      <c r="H193" s="130"/>
      <c r="I193" s="345">
        <v>3810.6875868102002</v>
      </c>
      <c r="J193" s="345">
        <v>1.0078000041999999</v>
      </c>
      <c r="K193" s="133"/>
      <c r="L193" s="345">
        <v>3546.1598914688002</v>
      </c>
      <c r="M193" s="345">
        <v>0.91562482919999999</v>
      </c>
      <c r="N193" s="130"/>
      <c r="O193" s="345">
        <v>7170.0080429517002</v>
      </c>
      <c r="P193" s="345">
        <v>1.559454348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345">
        <v>4361.3001997311003</v>
      </c>
      <c r="G194" s="345">
        <v>1.0695589109000001</v>
      </c>
      <c r="H194" s="130"/>
      <c r="I194" s="345">
        <v>3839.5780152635002</v>
      </c>
      <c r="J194" s="345">
        <v>0.97674526110000004</v>
      </c>
      <c r="K194" s="133"/>
      <c r="L194" s="345">
        <v>4244.2504033820996</v>
      </c>
      <c r="M194" s="345">
        <v>1.0116403822</v>
      </c>
      <c r="N194" s="130"/>
      <c r="O194" s="345">
        <v>7140.6546605988997</v>
      </c>
      <c r="P194" s="345">
        <v>1.6156605465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345">
        <v>5023.6830198914004</v>
      </c>
      <c r="G195" s="345">
        <v>1.2274104577</v>
      </c>
      <c r="H195" s="130"/>
      <c r="I195" s="345">
        <v>4367.2857069790998</v>
      </c>
      <c r="J195" s="345">
        <v>1.0992492190000001</v>
      </c>
      <c r="K195" s="133"/>
      <c r="L195" s="345">
        <v>4576.1118377540997</v>
      </c>
      <c r="M195" s="345">
        <v>1.1183811161999999</v>
      </c>
      <c r="N195" s="130"/>
      <c r="O195" s="345">
        <v>7557.9844379890001</v>
      </c>
      <c r="P195" s="345">
        <v>1.8545802363999999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345">
        <v>3106.6923615242999</v>
      </c>
      <c r="G196" s="345">
        <v>0.8555950886</v>
      </c>
      <c r="H196" s="130"/>
      <c r="I196" s="345">
        <v>1894.0909890451001</v>
      </c>
      <c r="J196" s="345">
        <v>0.51870075120000003</v>
      </c>
      <c r="K196" s="133"/>
      <c r="L196" s="345">
        <v>4241.4489228811999</v>
      </c>
      <c r="M196" s="345">
        <v>1.1109346042999999</v>
      </c>
      <c r="N196" s="130"/>
      <c r="O196" s="345">
        <v>9908.7935983461994</v>
      </c>
      <c r="P196" s="345">
        <v>1.6683931878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345">
        <v>3735.7751255191001</v>
      </c>
      <c r="G197" s="345">
        <v>0.9910850766</v>
      </c>
      <c r="H197" s="130"/>
      <c r="I197" s="345">
        <v>3253.8716855537</v>
      </c>
      <c r="J197" s="345">
        <v>0.85658689139999999</v>
      </c>
      <c r="K197" s="133"/>
      <c r="L197" s="345">
        <v>4535.3897098350999</v>
      </c>
      <c r="M197" s="345">
        <v>1.1256554964000001</v>
      </c>
      <c r="N197" s="130"/>
      <c r="O197" s="345">
        <v>8116.9074089188998</v>
      </c>
      <c r="P197" s="345">
        <v>1.5596534352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345">
        <v>2458.6199985377998</v>
      </c>
      <c r="G198" s="345">
        <v>0.63882501560000005</v>
      </c>
      <c r="H198" s="130"/>
      <c r="I198" s="345">
        <v>2935.4573660277001</v>
      </c>
      <c r="J198" s="345">
        <v>0.79029007139999996</v>
      </c>
      <c r="K198" s="133"/>
      <c r="L198" s="345">
        <v>4398.868907653</v>
      </c>
      <c r="M198" s="345">
        <v>1.1643627893999999</v>
      </c>
      <c r="N198" s="130"/>
      <c r="O198" s="345">
        <v>9035.713263521</v>
      </c>
      <c r="P198" s="345">
        <v>1.5638429639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345">
        <v>3544.5821261134001</v>
      </c>
      <c r="G199" s="345">
        <v>0.93287997649999999</v>
      </c>
      <c r="H199" s="130"/>
      <c r="I199" s="345">
        <v>4148.4071013149996</v>
      </c>
      <c r="J199" s="345">
        <v>1.0390004075999999</v>
      </c>
      <c r="K199" s="133"/>
      <c r="L199" s="345">
        <v>4181.7133230275003</v>
      </c>
      <c r="M199" s="345">
        <v>1.0079932511</v>
      </c>
      <c r="N199" s="130"/>
      <c r="O199" s="345">
        <v>7966.4609709210999</v>
      </c>
      <c r="P199" s="345">
        <v>1.7343754187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344">
        <v>46826.58478284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345">
        <v>31519.731158066101</v>
      </c>
      <c r="G203" s="345">
        <v>1.5820809676000001</v>
      </c>
      <c r="H203" s="130"/>
      <c r="I203" s="345">
        <v>25416.201790130399</v>
      </c>
      <c r="J203" s="345">
        <v>1.4137444924</v>
      </c>
      <c r="K203" s="133"/>
      <c r="L203" s="345">
        <v>17425.568544623398</v>
      </c>
      <c r="M203" s="345">
        <v>0.92726989829999995</v>
      </c>
      <c r="N203" s="130"/>
      <c r="O203" s="345">
        <v>29975.3787609602</v>
      </c>
      <c r="P203" s="345">
        <v>1.7198802394999999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345">
        <v>25319.779134803099</v>
      </c>
      <c r="G204" s="345">
        <v>1.3101912676</v>
      </c>
      <c r="H204" s="130"/>
      <c r="I204" s="345">
        <v>19857.3707950516</v>
      </c>
      <c r="J204" s="345">
        <v>1.0214832859</v>
      </c>
      <c r="K204" s="133"/>
      <c r="L204" s="345">
        <v>19466.371996985501</v>
      </c>
      <c r="M204" s="345">
        <v>1.0304314032999999</v>
      </c>
      <c r="N204" s="130"/>
      <c r="O204" s="345">
        <v>28770.231995473299</v>
      </c>
      <c r="P204" s="345">
        <v>1.5615071908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345">
        <v>29893.409643274099</v>
      </c>
      <c r="G205" s="345">
        <v>1.5459178111</v>
      </c>
      <c r="H205" s="130"/>
      <c r="I205" s="345">
        <v>22803.7461366225</v>
      </c>
      <c r="J205" s="345">
        <v>1.2021276237</v>
      </c>
      <c r="K205" s="133"/>
      <c r="L205" s="345">
        <v>16746.745543176901</v>
      </c>
      <c r="M205" s="345">
        <v>0.93607831720000001</v>
      </c>
      <c r="N205" s="130"/>
      <c r="O205" s="345">
        <v>32453.950239051901</v>
      </c>
      <c r="P205" s="345">
        <v>1.9124634780000001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345">
        <v>25009.309851649701</v>
      </c>
      <c r="G206" s="345">
        <v>1.4145487402000001</v>
      </c>
      <c r="H206" s="130"/>
      <c r="I206" s="345">
        <v>21372.044736939399</v>
      </c>
      <c r="J206" s="345">
        <v>1.1526017560999999</v>
      </c>
      <c r="K206" s="133"/>
      <c r="L206" s="345">
        <v>15356.891254861601</v>
      </c>
      <c r="M206" s="345">
        <v>0.83361691339999999</v>
      </c>
      <c r="N206" s="130"/>
      <c r="O206" s="345">
        <v>37250.604914180898</v>
      </c>
      <c r="P206" s="345">
        <v>1.8641858758000001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345">
        <v>34637.791319301003</v>
      </c>
      <c r="G207" s="345">
        <v>1.8508426156</v>
      </c>
      <c r="H207" s="130"/>
      <c r="I207" s="345">
        <v>22350.698217388901</v>
      </c>
      <c r="J207" s="345">
        <v>1.2499958308000001</v>
      </c>
      <c r="K207" s="133"/>
      <c r="L207" s="345">
        <v>17053.015704372399</v>
      </c>
      <c r="M207" s="345">
        <v>1.0235962890999999</v>
      </c>
      <c r="N207" s="130"/>
      <c r="O207" s="345">
        <v>34048.705902733403</v>
      </c>
      <c r="P207" s="345">
        <v>1.9333145652999999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345">
        <v>24525.042205106602</v>
      </c>
      <c r="G208" s="345">
        <v>1.3912139104000001</v>
      </c>
      <c r="H208" s="130"/>
      <c r="I208" s="345">
        <v>23880.076220204599</v>
      </c>
      <c r="J208" s="345">
        <v>1.2997145590000001</v>
      </c>
      <c r="K208" s="133"/>
      <c r="L208" s="345">
        <v>20579.920158841102</v>
      </c>
      <c r="M208" s="345">
        <v>1.1511175224000001</v>
      </c>
      <c r="N208" s="130"/>
      <c r="O208" s="345">
        <v>37671.407631273498</v>
      </c>
      <c r="P208" s="345">
        <v>1.9553377595999999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345">
        <v>32281.796961459499</v>
      </c>
      <c r="G209" s="345">
        <v>1.6768999271</v>
      </c>
      <c r="H209" s="130"/>
      <c r="I209" s="345">
        <v>20025.760408530001</v>
      </c>
      <c r="J209" s="345">
        <v>1.0572153243</v>
      </c>
      <c r="K209" s="133"/>
      <c r="L209" s="345">
        <v>21887.6768482183</v>
      </c>
      <c r="M209" s="345">
        <v>1.1573307337000001</v>
      </c>
      <c r="N209" s="130"/>
      <c r="O209" s="345">
        <v>30556.296169748301</v>
      </c>
      <c r="P209" s="345">
        <v>1.8104377875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344">
        <v>51721.305046021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345">
        <v>32658.1712751052</v>
      </c>
      <c r="G213" s="345">
        <v>1.5804175396</v>
      </c>
      <c r="H213" s="130"/>
      <c r="I213" s="345">
        <v>12571.552579208201</v>
      </c>
      <c r="J213" s="345">
        <v>0.89713121529999995</v>
      </c>
      <c r="K213" s="133"/>
      <c r="L213" s="345">
        <v>13704.4977357404</v>
      </c>
      <c r="M213" s="345">
        <v>1.0677762085</v>
      </c>
      <c r="N213" s="130"/>
      <c r="O213" s="345">
        <v>16148.151852028301</v>
      </c>
      <c r="P213" s="345">
        <v>1.1592292996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345">
        <v>14168.565955865201</v>
      </c>
      <c r="G214" s="345">
        <v>1.0262598700000001</v>
      </c>
      <c r="H214" s="130"/>
      <c r="I214" s="345">
        <v>12530.933417729901</v>
      </c>
      <c r="J214" s="345">
        <v>0.84075465540000005</v>
      </c>
      <c r="K214" s="133"/>
      <c r="L214" s="345">
        <v>18570.738554541302</v>
      </c>
      <c r="M214" s="345">
        <v>1.2705437716000001</v>
      </c>
      <c r="N214" s="130"/>
      <c r="O214" s="345">
        <v>28418.145973798601</v>
      </c>
      <c r="P214" s="345">
        <v>1.4962502496000001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345">
        <v>24225.1369815137</v>
      </c>
      <c r="G215" s="345">
        <v>1.5610209903000001</v>
      </c>
      <c r="H215" s="130"/>
      <c r="I215" s="345">
        <v>14681.8565631403</v>
      </c>
      <c r="J215" s="345">
        <v>1.0110314605999999</v>
      </c>
      <c r="K215" s="133"/>
      <c r="L215" s="345">
        <v>19676.2191837768</v>
      </c>
      <c r="M215" s="345">
        <v>1.3419495065</v>
      </c>
      <c r="N215" s="130"/>
      <c r="O215" s="345">
        <v>19570.842135288101</v>
      </c>
      <c r="P215" s="345">
        <v>1.3708850805999999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345">
        <v>5312.2456048913</v>
      </c>
      <c r="G216" s="345">
        <v>0.4528202979</v>
      </c>
      <c r="H216" s="130"/>
      <c r="I216" s="345">
        <v>11033.445006710899</v>
      </c>
      <c r="J216" s="345">
        <v>0.91428654050000002</v>
      </c>
      <c r="K216" s="133"/>
      <c r="L216" s="345">
        <v>15806.325703013899</v>
      </c>
      <c r="M216" s="345">
        <v>1.2393876332</v>
      </c>
      <c r="N216" s="130"/>
      <c r="O216" s="345">
        <v>44348.214490209997</v>
      </c>
      <c r="P216" s="345">
        <v>2.0151758866999998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345">
        <v>14206.9666689729</v>
      </c>
      <c r="G217" s="345">
        <v>1.129903538</v>
      </c>
      <c r="H217" s="130"/>
      <c r="I217" s="345">
        <v>10696.032917349699</v>
      </c>
      <c r="J217" s="345">
        <v>0.80582422509999996</v>
      </c>
      <c r="K217" s="133"/>
      <c r="L217" s="345">
        <v>20617.263096753799</v>
      </c>
      <c r="M217" s="345">
        <v>1.4132823038</v>
      </c>
      <c r="N217" s="130"/>
      <c r="O217" s="345">
        <v>31663.2393195771</v>
      </c>
      <c r="P217" s="345">
        <v>1.7128630973000001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345">
        <v>10456.2388203929</v>
      </c>
      <c r="G218" s="345">
        <v>0.82619763430000004</v>
      </c>
      <c r="H218" s="130"/>
      <c r="I218" s="345">
        <v>11899.4626620084</v>
      </c>
      <c r="J218" s="345">
        <v>0.94026932330000002</v>
      </c>
      <c r="K218" s="133"/>
      <c r="L218" s="345">
        <v>19308.611240861999</v>
      </c>
      <c r="M218" s="345">
        <v>1.2211898942999999</v>
      </c>
      <c r="N218" s="130"/>
      <c r="O218" s="345">
        <v>32250.37078293</v>
      </c>
      <c r="P218" s="345">
        <v>1.5772680830000001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345">
        <v>13206.023390722101</v>
      </c>
      <c r="G219" s="345">
        <v>1.0079201557999999</v>
      </c>
      <c r="H219" s="130"/>
      <c r="I219" s="345">
        <v>14526.703288552701</v>
      </c>
      <c r="J219" s="345">
        <v>1.0868337819</v>
      </c>
      <c r="K219" s="133"/>
      <c r="L219" s="345">
        <v>19014.067229878001</v>
      </c>
      <c r="M219" s="345">
        <v>1.1808165089</v>
      </c>
      <c r="N219" s="130"/>
      <c r="O219" s="345">
        <v>30901.160054046399</v>
      </c>
      <c r="P219" s="345">
        <v>1.8377510887999999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344">
        <v>60553.044746405503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345">
        <v>29590.052426819799</v>
      </c>
      <c r="G223" s="345">
        <v>1.5223011593</v>
      </c>
      <c r="H223" s="130"/>
      <c r="I223" s="345">
        <v>20517.022116267599</v>
      </c>
      <c r="J223" s="345">
        <v>0.98187255699999998</v>
      </c>
      <c r="K223" s="133"/>
      <c r="L223" s="345">
        <v>18429.410576863302</v>
      </c>
      <c r="M223" s="345">
        <v>0.92520594919999999</v>
      </c>
      <c r="N223" s="130"/>
      <c r="O223" s="345">
        <v>32554.464808589499</v>
      </c>
      <c r="P223" s="345">
        <v>1.4761826355000001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345">
        <v>28380.8620584202</v>
      </c>
      <c r="G224" s="345">
        <v>1.3860720882999999</v>
      </c>
      <c r="H224" s="130"/>
      <c r="I224" s="345">
        <v>22829.4210682308</v>
      </c>
      <c r="J224" s="345">
        <v>1.0818048908</v>
      </c>
      <c r="K224" s="133"/>
      <c r="L224" s="345">
        <v>20929.185863894301</v>
      </c>
      <c r="M224" s="345">
        <v>1.1405884045000001</v>
      </c>
      <c r="N224" s="130"/>
      <c r="O224" s="345">
        <v>37606.239415803298</v>
      </c>
      <c r="P224" s="345">
        <v>1.7449295191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345">
        <v>31453.341157333602</v>
      </c>
      <c r="G225" s="345">
        <v>1.4438217312999999</v>
      </c>
      <c r="H225" s="130"/>
      <c r="I225" s="345">
        <v>24163.565431489798</v>
      </c>
      <c r="J225" s="345">
        <v>1.1023119246999999</v>
      </c>
      <c r="K225" s="133"/>
      <c r="L225" s="345">
        <v>21905.030651204299</v>
      </c>
      <c r="M225" s="345">
        <v>1.0533657599999999</v>
      </c>
      <c r="N225" s="130"/>
      <c r="O225" s="345">
        <v>26333.402992202798</v>
      </c>
      <c r="P225" s="345">
        <v>1.3082829836000001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345">
        <v>15503.8970381133</v>
      </c>
      <c r="G226" s="345">
        <v>0.80554370249999996</v>
      </c>
      <c r="H226" s="130"/>
      <c r="I226" s="345">
        <v>17193.302197412901</v>
      </c>
      <c r="J226" s="345">
        <v>0.89062378019999999</v>
      </c>
      <c r="K226" s="133"/>
      <c r="L226" s="345">
        <v>21617.4364541207</v>
      </c>
      <c r="M226" s="345">
        <v>1.0470392098000001</v>
      </c>
      <c r="N226" s="130"/>
      <c r="O226" s="345">
        <v>43837.8031200185</v>
      </c>
      <c r="P226" s="345">
        <v>1.6884449944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345">
        <v>22109.751890658299</v>
      </c>
      <c r="G227" s="345">
        <v>1.1412903227</v>
      </c>
      <c r="H227" s="130"/>
      <c r="I227" s="345">
        <v>19791.640141891101</v>
      </c>
      <c r="J227" s="345">
        <v>1.0698828107</v>
      </c>
      <c r="K227" s="133"/>
      <c r="L227" s="345">
        <v>24069.520305180398</v>
      </c>
      <c r="M227" s="345">
        <v>1.1725020334</v>
      </c>
      <c r="N227" s="130"/>
      <c r="O227" s="345">
        <v>40643.304736987899</v>
      </c>
      <c r="P227" s="345">
        <v>1.7296094224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345">
        <v>27501.562688694601</v>
      </c>
      <c r="G228" s="345">
        <v>1.2947639096000001</v>
      </c>
      <c r="H228" s="130"/>
      <c r="I228" s="345">
        <v>22394.646779849201</v>
      </c>
      <c r="J228" s="345">
        <v>1.1017195353</v>
      </c>
      <c r="K228" s="133"/>
      <c r="L228" s="345">
        <v>21914.3256763625</v>
      </c>
      <c r="M228" s="345">
        <v>1.0572492989</v>
      </c>
      <c r="N228" s="130"/>
      <c r="O228" s="345">
        <v>34021.509354428403</v>
      </c>
      <c r="P228" s="345">
        <v>1.6248697258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345">
        <v>36745.5439993092</v>
      </c>
      <c r="G229" s="345">
        <v>1.689829687</v>
      </c>
      <c r="H229" s="130"/>
      <c r="I229" s="345">
        <v>27376.6577603681</v>
      </c>
      <c r="J229" s="345">
        <v>1.3376154304000001</v>
      </c>
      <c r="K229" s="133"/>
      <c r="L229" s="345">
        <v>21480.021669377398</v>
      </c>
      <c r="M229" s="345">
        <v>1.0282400322</v>
      </c>
      <c r="N229" s="130"/>
      <c r="O229" s="345">
        <v>28854.655549727398</v>
      </c>
      <c r="P229" s="345">
        <v>1.571567114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344">
        <v>32602.288410915098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345">
        <v>20543.505479353102</v>
      </c>
      <c r="G233" s="345">
        <v>2.032878534</v>
      </c>
      <c r="H233" s="130"/>
      <c r="I233" s="345">
        <v>8127.0520417812004</v>
      </c>
      <c r="J233" s="345">
        <v>1.1030460085</v>
      </c>
      <c r="K233" s="133"/>
      <c r="L233" s="345">
        <v>8020.5123845983999</v>
      </c>
      <c r="M233" s="345">
        <v>1.0282453697</v>
      </c>
      <c r="N233" s="130"/>
      <c r="O233" s="345">
        <v>13797.163007789701</v>
      </c>
      <c r="P233" s="345">
        <v>1.5966853135000001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345">
        <v>12093.1913970571</v>
      </c>
      <c r="G234" s="345">
        <v>1.4487987918</v>
      </c>
      <c r="H234" s="130"/>
      <c r="I234" s="345">
        <v>8016.7944067388999</v>
      </c>
      <c r="J234" s="345">
        <v>1.0459036056</v>
      </c>
      <c r="K234" s="133"/>
      <c r="L234" s="345">
        <v>10652.9222522166</v>
      </c>
      <c r="M234" s="345">
        <v>1.2737608898999999</v>
      </c>
      <c r="N234" s="130"/>
      <c r="O234" s="345">
        <v>18936.8419160005</v>
      </c>
      <c r="P234" s="345">
        <v>1.8533737749000001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345">
        <v>13542.323470610399</v>
      </c>
      <c r="G235" s="345">
        <v>1.512771702</v>
      </c>
      <c r="H235" s="130"/>
      <c r="I235" s="345">
        <v>8130.3962450853996</v>
      </c>
      <c r="J235" s="345">
        <v>1.0394643372000001</v>
      </c>
      <c r="K235" s="133"/>
      <c r="L235" s="345">
        <v>11653.0876357077</v>
      </c>
      <c r="M235" s="345">
        <v>1.3970281019999999</v>
      </c>
      <c r="N235" s="130"/>
      <c r="O235" s="345">
        <v>17744.027671910499</v>
      </c>
      <c r="P235" s="345">
        <v>1.9954506915000001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345">
        <v>7971.4079340302997</v>
      </c>
      <c r="G236" s="345">
        <v>1.1295148370999999</v>
      </c>
      <c r="H236" s="130"/>
      <c r="I236" s="345">
        <v>6377.9736914229998</v>
      </c>
      <c r="J236" s="345">
        <v>0.91039338359999999</v>
      </c>
      <c r="K236" s="133"/>
      <c r="L236" s="345">
        <v>8527.2558530659007</v>
      </c>
      <c r="M236" s="345">
        <v>1.0578913464999999</v>
      </c>
      <c r="N236" s="130"/>
      <c r="O236" s="345">
        <v>25414.702366218899</v>
      </c>
      <c r="P236" s="345">
        <v>1.8021869158999999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345">
        <v>6887.8519267613001</v>
      </c>
      <c r="G237" s="345">
        <v>1.0040346146000001</v>
      </c>
      <c r="H237" s="130"/>
      <c r="I237" s="345">
        <v>7656.5404815299999</v>
      </c>
      <c r="J237" s="345">
        <v>1.0651957029000001</v>
      </c>
      <c r="K237" s="133"/>
      <c r="L237" s="345">
        <v>10573.4644508198</v>
      </c>
      <c r="M237" s="345">
        <v>1.1757136576</v>
      </c>
      <c r="N237" s="130"/>
      <c r="O237" s="345">
        <v>24268.6696750091</v>
      </c>
      <c r="P237" s="345">
        <v>1.9781584725000001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345">
        <v>15007.292293332001</v>
      </c>
      <c r="G238" s="345">
        <v>1.9075835188000001</v>
      </c>
      <c r="H238" s="130"/>
      <c r="I238" s="345">
        <v>9811.8550871126008</v>
      </c>
      <c r="J238" s="345">
        <v>1.2696098685999999</v>
      </c>
      <c r="K238" s="133"/>
      <c r="L238" s="345">
        <v>10274.381036136499</v>
      </c>
      <c r="M238" s="345">
        <v>1.3136904749</v>
      </c>
      <c r="N238" s="130"/>
      <c r="O238" s="345">
        <v>22142.598070988599</v>
      </c>
      <c r="P238" s="345">
        <v>2.6018227192999999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345">
        <v>15955.7705837182</v>
      </c>
      <c r="G239" s="345">
        <v>1.8871997904</v>
      </c>
      <c r="H239" s="130"/>
      <c r="I239" s="345">
        <v>10393.0691018789</v>
      </c>
      <c r="J239" s="345">
        <v>1.3030572082</v>
      </c>
      <c r="K239" s="133"/>
      <c r="L239" s="345">
        <v>9737.9226986948997</v>
      </c>
      <c r="M239" s="345">
        <v>1.2238983768</v>
      </c>
      <c r="N239" s="130"/>
      <c r="O239" s="345">
        <v>17798.105075439002</v>
      </c>
      <c r="P239" s="345">
        <v>2.074324726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344">
        <v>21975.205253110002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345">
        <v>10367.2453804251</v>
      </c>
      <c r="G243" s="345">
        <v>1.8842841531000001</v>
      </c>
      <c r="H243" s="130"/>
      <c r="I243" s="345">
        <v>13139.0351480953</v>
      </c>
      <c r="J243" s="345">
        <v>1.8515708363000001</v>
      </c>
      <c r="K243" s="133"/>
      <c r="L243" s="345">
        <v>9765.1632833375006</v>
      </c>
      <c r="M243" s="345">
        <v>1.3942640050999999</v>
      </c>
      <c r="N243" s="130"/>
      <c r="O243" s="345">
        <v>10198.920055521599</v>
      </c>
      <c r="P243" s="345">
        <v>1.8510161292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345">
        <v>6799.7182920614996</v>
      </c>
      <c r="G244" s="345">
        <v>1.1698957756999999</v>
      </c>
      <c r="H244" s="130"/>
      <c r="I244" s="345">
        <v>8193.3534285666992</v>
      </c>
      <c r="J244" s="345">
        <v>1.1978345331</v>
      </c>
      <c r="K244" s="133"/>
      <c r="L244" s="345">
        <v>17002.645335360899</v>
      </c>
      <c r="M244" s="345">
        <v>2.4402351408</v>
      </c>
      <c r="N244" s="130"/>
      <c r="O244" s="345">
        <v>10792.953928995499</v>
      </c>
      <c r="P244" s="345">
        <v>2.0724242364999999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345">
        <v>13084.2045704102</v>
      </c>
      <c r="G245" s="345">
        <v>1.8493636547000001</v>
      </c>
      <c r="H245" s="130"/>
      <c r="I245" s="345">
        <v>7614.2979305454</v>
      </c>
      <c r="J245" s="345">
        <v>1.2303124351000001</v>
      </c>
      <c r="K245" s="133"/>
      <c r="L245" s="345">
        <v>14394.5317272053</v>
      </c>
      <c r="M245" s="345">
        <v>2.2594887574000002</v>
      </c>
      <c r="N245" s="130"/>
      <c r="O245" s="345">
        <v>10663.944840694299</v>
      </c>
      <c r="P245" s="345">
        <v>1.9143338560000001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345">
        <v>2786.9605966679001</v>
      </c>
      <c r="G246" s="345">
        <v>0.50202838439999997</v>
      </c>
      <c r="H246" s="130"/>
      <c r="I246" s="345">
        <v>4741.8098156183996</v>
      </c>
      <c r="J246" s="345">
        <v>0.830443021</v>
      </c>
      <c r="K246" s="133"/>
      <c r="L246" s="345">
        <v>11520.9767176041</v>
      </c>
      <c r="M246" s="345">
        <v>1.7600944440999999</v>
      </c>
      <c r="N246" s="130"/>
      <c r="O246" s="345">
        <v>17253.070998949101</v>
      </c>
      <c r="P246" s="345">
        <v>1.9780357567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345">
        <v>5922.8621271709999</v>
      </c>
      <c r="G247" s="345">
        <v>1.0346783201</v>
      </c>
      <c r="H247" s="130"/>
      <c r="I247" s="345">
        <v>6360.9080530526999</v>
      </c>
      <c r="J247" s="345">
        <v>1.0065631722999999</v>
      </c>
      <c r="K247" s="133"/>
      <c r="L247" s="345">
        <v>14685.7251031244</v>
      </c>
      <c r="M247" s="345">
        <v>1.9527375861</v>
      </c>
      <c r="N247" s="130"/>
      <c r="O247" s="345">
        <v>12857.7778884936</v>
      </c>
      <c r="P247" s="345">
        <v>2.0847434238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345">
        <v>6198.3183434106004</v>
      </c>
      <c r="G248" s="345">
        <v>1.1656381097999999</v>
      </c>
      <c r="H248" s="130"/>
      <c r="I248" s="345">
        <v>9502.9586967879004</v>
      </c>
      <c r="J248" s="345">
        <v>1.4065755154999999</v>
      </c>
      <c r="K248" s="133"/>
      <c r="L248" s="345">
        <v>14404.4186325875</v>
      </c>
      <c r="M248" s="345">
        <v>2.0609069368999999</v>
      </c>
      <c r="N248" s="130"/>
      <c r="O248" s="345">
        <v>13968.2457580099</v>
      </c>
      <c r="P248" s="345">
        <v>2.3069322334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345">
        <v>10893.669484059999</v>
      </c>
      <c r="G249" s="345">
        <v>1.7412471514000001</v>
      </c>
      <c r="H249" s="130"/>
      <c r="I249" s="345">
        <v>10549.319013795101</v>
      </c>
      <c r="J249" s="345">
        <v>1.4841512810999999</v>
      </c>
      <c r="K249" s="133"/>
      <c r="L249" s="345">
        <v>13400.2758036657</v>
      </c>
      <c r="M249" s="345">
        <v>2.0250671615</v>
      </c>
      <c r="N249" s="130"/>
      <c r="O249" s="345">
        <v>9973.9417798908999</v>
      </c>
      <c r="P249" s="345">
        <v>1.8711108506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344">
        <v>15666.7398479494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345">
        <v>13443.0715960875</v>
      </c>
      <c r="G253" s="345">
        <v>1.4377592486999999</v>
      </c>
      <c r="H253" s="130"/>
      <c r="I253" s="345">
        <v>8250.9053974210001</v>
      </c>
      <c r="J253" s="345">
        <v>1.0485210803</v>
      </c>
      <c r="K253" s="133"/>
      <c r="L253" s="345">
        <v>7968.4905233168001</v>
      </c>
      <c r="M253" s="345">
        <v>0.98521037170000003</v>
      </c>
      <c r="N253" s="130"/>
      <c r="O253" s="345">
        <v>11085.651918904799</v>
      </c>
      <c r="P253" s="345">
        <v>1.3463048301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345">
        <v>8494.9717755446</v>
      </c>
      <c r="G254" s="345">
        <v>1.0483301385999999</v>
      </c>
      <c r="H254" s="130"/>
      <c r="I254" s="345">
        <v>7931.6848088395</v>
      </c>
      <c r="J254" s="345">
        <v>0.98054918629999999</v>
      </c>
      <c r="K254" s="133"/>
      <c r="L254" s="345">
        <v>8071.1573964709996</v>
      </c>
      <c r="M254" s="345">
        <v>0.98726818429999996</v>
      </c>
      <c r="N254" s="130"/>
      <c r="O254" s="345">
        <v>14706.1941726774</v>
      </c>
      <c r="P254" s="345">
        <v>1.5826510924999999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345">
        <v>10879.3523295912</v>
      </c>
      <c r="G255" s="345">
        <v>1.2799060680000001</v>
      </c>
      <c r="H255" s="130"/>
      <c r="I255" s="345">
        <v>8430.1709355998992</v>
      </c>
      <c r="J255" s="345">
        <v>1.0764576146</v>
      </c>
      <c r="K255" s="133"/>
      <c r="L255" s="345">
        <v>8439.7285052442003</v>
      </c>
      <c r="M255" s="345">
        <v>1.0359013214999999</v>
      </c>
      <c r="N255" s="130"/>
      <c r="O255" s="345">
        <v>16047.7583538049</v>
      </c>
      <c r="P255" s="345">
        <v>1.8990525942000001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345">
        <v>7252.3370683106996</v>
      </c>
      <c r="G256" s="345">
        <v>0.89981987289999998</v>
      </c>
      <c r="H256" s="130"/>
      <c r="I256" s="345">
        <v>6176.1938179931003</v>
      </c>
      <c r="J256" s="345">
        <v>0.77686856829999995</v>
      </c>
      <c r="K256" s="133"/>
      <c r="L256" s="345">
        <v>6077.5084343505996</v>
      </c>
      <c r="M256" s="345">
        <v>0.76490692459999998</v>
      </c>
      <c r="N256" s="130"/>
      <c r="O256" s="345">
        <v>15399.6406492143</v>
      </c>
      <c r="P256" s="345">
        <v>1.4938649123000001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345">
        <v>5880.1154004286</v>
      </c>
      <c r="G257" s="345">
        <v>0.74438410129999999</v>
      </c>
      <c r="H257" s="130"/>
      <c r="I257" s="345">
        <v>5994.9046655139</v>
      </c>
      <c r="J257" s="345">
        <v>0.78064415710000001</v>
      </c>
      <c r="K257" s="133"/>
      <c r="L257" s="345">
        <v>7779.2288876790999</v>
      </c>
      <c r="M257" s="345">
        <v>0.96925906399999995</v>
      </c>
      <c r="N257" s="130"/>
      <c r="O257" s="345">
        <v>16729.722614645001</v>
      </c>
      <c r="P257" s="345">
        <v>1.5434808054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345">
        <v>8386.5528218481995</v>
      </c>
      <c r="G258" s="345">
        <v>1.0614849304</v>
      </c>
      <c r="H258" s="130"/>
      <c r="I258" s="345">
        <v>6717.8590851338004</v>
      </c>
      <c r="J258" s="345">
        <v>0.85539373969999999</v>
      </c>
      <c r="K258" s="133"/>
      <c r="L258" s="345">
        <v>8703.0835229011991</v>
      </c>
      <c r="M258" s="345">
        <v>1.0706570538</v>
      </c>
      <c r="N258" s="130"/>
      <c r="O258" s="345">
        <v>15322.1673982307</v>
      </c>
      <c r="P258" s="345">
        <v>1.5072751007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345">
        <v>9815.8738479133008</v>
      </c>
      <c r="G259" s="345">
        <v>1.2035597374</v>
      </c>
      <c r="H259" s="130"/>
      <c r="I259" s="345">
        <v>10055.718240435601</v>
      </c>
      <c r="J259" s="345">
        <v>1.2641247394999999</v>
      </c>
      <c r="K259" s="133"/>
      <c r="L259" s="345">
        <v>8829.9475454538006</v>
      </c>
      <c r="M259" s="345">
        <v>1.1121053211</v>
      </c>
      <c r="N259" s="130"/>
      <c r="O259" s="345">
        <v>15211.028397398301</v>
      </c>
      <c r="P259" s="345">
        <v>1.6752272291999999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344">
        <v>19480.778027771601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345">
        <v>13566.4490858016</v>
      </c>
      <c r="G263" s="345">
        <v>1.5292171059999999</v>
      </c>
      <c r="H263" s="130"/>
      <c r="I263" s="345">
        <v>8743.3949253066003</v>
      </c>
      <c r="J263" s="345">
        <v>0.97961340870000002</v>
      </c>
      <c r="K263" s="133"/>
      <c r="L263" s="345">
        <v>11582.9452358075</v>
      </c>
      <c r="M263" s="345">
        <v>1.2291487605</v>
      </c>
      <c r="N263" s="130"/>
      <c r="O263" s="345">
        <v>16843.8250940408</v>
      </c>
      <c r="P263" s="345">
        <v>1.6515911048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345">
        <v>10010.859795923199</v>
      </c>
      <c r="G264" s="345">
        <v>1.0703576214999999</v>
      </c>
      <c r="H264" s="130"/>
      <c r="I264" s="345">
        <v>8240.8244605993004</v>
      </c>
      <c r="J264" s="345">
        <v>0.868977047</v>
      </c>
      <c r="K264" s="133"/>
      <c r="L264" s="345">
        <v>12407.3927563249</v>
      </c>
      <c r="M264" s="345">
        <v>1.3639927890000001</v>
      </c>
      <c r="N264" s="130"/>
      <c r="O264" s="345">
        <v>14151.6740146268</v>
      </c>
      <c r="P264" s="345">
        <v>1.351438355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345">
        <v>13717.309810193499</v>
      </c>
      <c r="G265" s="345">
        <v>1.4952378069000001</v>
      </c>
      <c r="H265" s="130"/>
      <c r="I265" s="345">
        <v>10634.5699276673</v>
      </c>
      <c r="J265" s="345">
        <v>1.1506642070999999</v>
      </c>
      <c r="K265" s="133"/>
      <c r="L265" s="345">
        <v>11692.0130874488</v>
      </c>
      <c r="M265" s="345">
        <v>1.2577118037999999</v>
      </c>
      <c r="N265" s="130"/>
      <c r="O265" s="345">
        <v>14138.0973147355</v>
      </c>
      <c r="P265" s="345">
        <v>1.4564752952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345">
        <v>4284.6044954604004</v>
      </c>
      <c r="G266" s="345">
        <v>0.49268494350000003</v>
      </c>
      <c r="H266" s="130"/>
      <c r="I266" s="345">
        <v>6360.5579869737003</v>
      </c>
      <c r="J266" s="345">
        <v>0.69640910089999997</v>
      </c>
      <c r="K266" s="133"/>
      <c r="L266" s="345">
        <v>9662.3882686241996</v>
      </c>
      <c r="M266" s="345">
        <v>1.0854681000999999</v>
      </c>
      <c r="N266" s="130"/>
      <c r="O266" s="345">
        <v>17983.984445710299</v>
      </c>
      <c r="P266" s="345">
        <v>1.2907390821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345">
        <v>5762.8231965854002</v>
      </c>
      <c r="G267" s="345">
        <v>0.67705642200000005</v>
      </c>
      <c r="H267" s="130"/>
      <c r="I267" s="345">
        <v>8544.8363108762005</v>
      </c>
      <c r="J267" s="345">
        <v>0.93030452389999996</v>
      </c>
      <c r="K267" s="133"/>
      <c r="L267" s="345">
        <v>10419.8512489281</v>
      </c>
      <c r="M267" s="345">
        <v>1.0853909807</v>
      </c>
      <c r="N267" s="130"/>
      <c r="O267" s="345">
        <v>17009.7446694102</v>
      </c>
      <c r="P267" s="345">
        <v>1.461216378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345">
        <v>4387.6545734520996</v>
      </c>
      <c r="G268" s="345">
        <v>0.52035050230000002</v>
      </c>
      <c r="H268" s="130"/>
      <c r="I268" s="345">
        <v>6580.1603217061001</v>
      </c>
      <c r="J268" s="345">
        <v>0.75035610019999999</v>
      </c>
      <c r="K268" s="133"/>
      <c r="L268" s="345">
        <v>10689.033061615301</v>
      </c>
      <c r="M268" s="345">
        <v>1.1528277011000001</v>
      </c>
      <c r="N268" s="130"/>
      <c r="O268" s="345">
        <v>18502.481070203201</v>
      </c>
      <c r="P268" s="345">
        <v>1.3827346286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345">
        <v>5798.6664727500001</v>
      </c>
      <c r="G269" s="345">
        <v>0.70683210919999995</v>
      </c>
      <c r="H269" s="130"/>
      <c r="I269" s="345">
        <v>8483.0943890215003</v>
      </c>
      <c r="J269" s="345">
        <v>0.92177537779999996</v>
      </c>
      <c r="K269" s="133"/>
      <c r="L269" s="345">
        <v>10849.1670055454</v>
      </c>
      <c r="M269" s="345">
        <v>1.1963955079999999</v>
      </c>
      <c r="N269" s="130"/>
      <c r="O269" s="345">
        <v>18236.8252758116</v>
      </c>
      <c r="P269" s="345">
        <v>1.4436286848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344">
        <v>25928.550404547899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345">
        <v>12866.9499701691</v>
      </c>
      <c r="G273" s="345">
        <v>1.4262672327999999</v>
      </c>
      <c r="H273" s="130"/>
      <c r="I273" s="345">
        <v>8285.3004451966008</v>
      </c>
      <c r="J273" s="345">
        <v>0.89415274919999999</v>
      </c>
      <c r="K273" s="133"/>
      <c r="L273" s="345">
        <v>8699.2494704049004</v>
      </c>
      <c r="M273" s="345">
        <v>0.93560243850000002</v>
      </c>
      <c r="N273" s="130"/>
      <c r="O273" s="345">
        <v>21377.921016732798</v>
      </c>
      <c r="P273" s="345">
        <v>1.8141031134000001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345">
        <v>12144.724091526001</v>
      </c>
      <c r="G274" s="345">
        <v>1.0975412526999999</v>
      </c>
      <c r="H274" s="130"/>
      <c r="I274" s="345">
        <v>9264.2165631500993</v>
      </c>
      <c r="J274" s="345">
        <v>1.0213965759000001</v>
      </c>
      <c r="K274" s="133"/>
      <c r="L274" s="345">
        <v>12399.875036237399</v>
      </c>
      <c r="M274" s="345">
        <v>1.1722514693999999</v>
      </c>
      <c r="N274" s="130"/>
      <c r="O274" s="345">
        <v>15631.460475960001</v>
      </c>
      <c r="P274" s="345">
        <v>1.5027076508999999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345">
        <v>15441.5112235868</v>
      </c>
      <c r="G275" s="345">
        <v>1.4401887566</v>
      </c>
      <c r="H275" s="130"/>
      <c r="I275" s="345">
        <v>10636.2353304771</v>
      </c>
      <c r="J275" s="345">
        <v>1.0299939359000001</v>
      </c>
      <c r="K275" s="133"/>
      <c r="L275" s="345">
        <v>11290.732632962399</v>
      </c>
      <c r="M275" s="345">
        <v>1.0551559204000001</v>
      </c>
      <c r="N275" s="130"/>
      <c r="O275" s="345">
        <v>11289.663314765299</v>
      </c>
      <c r="P275" s="345">
        <v>1.1798058989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345">
        <v>7084.3784742436001</v>
      </c>
      <c r="G276" s="345">
        <v>0.7598133239</v>
      </c>
      <c r="H276" s="130"/>
      <c r="I276" s="345">
        <v>8595.2483642013995</v>
      </c>
      <c r="J276" s="345">
        <v>0.87726978099999997</v>
      </c>
      <c r="K276" s="133"/>
      <c r="L276" s="345">
        <v>11103.082400786499</v>
      </c>
      <c r="M276" s="345">
        <v>1.1612232845999999</v>
      </c>
      <c r="N276" s="130"/>
      <c r="O276" s="345">
        <v>20973.286109102399</v>
      </c>
      <c r="P276" s="345">
        <v>1.7375621724000001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345">
        <v>8733.1027515241003</v>
      </c>
      <c r="G277" s="345">
        <v>0.98389445499999995</v>
      </c>
      <c r="H277" s="130"/>
      <c r="I277" s="345">
        <v>9512.2325863492006</v>
      </c>
      <c r="J277" s="345">
        <v>1.0077295682</v>
      </c>
      <c r="K277" s="133"/>
      <c r="L277" s="345">
        <v>14108.843583752199</v>
      </c>
      <c r="M277" s="345">
        <v>1.3067740774000001</v>
      </c>
      <c r="N277" s="130"/>
      <c r="O277" s="345">
        <v>17935.2055064827</v>
      </c>
      <c r="P277" s="345">
        <v>1.5416868552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345">
        <v>10349.7746754336</v>
      </c>
      <c r="G278" s="345">
        <v>1.1267807859000001</v>
      </c>
      <c r="H278" s="130"/>
      <c r="I278" s="345">
        <v>8848.6768658350993</v>
      </c>
      <c r="J278" s="345">
        <v>0.89359858280000004</v>
      </c>
      <c r="K278" s="133"/>
      <c r="L278" s="345">
        <v>11047.326776964001</v>
      </c>
      <c r="M278" s="345">
        <v>1.1027001970999999</v>
      </c>
      <c r="N278" s="130"/>
      <c r="O278" s="345">
        <v>18327.046351929599</v>
      </c>
      <c r="P278" s="345">
        <v>1.4779492636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345">
        <v>10561.983318525299</v>
      </c>
      <c r="G279" s="345">
        <v>1.1639483450000001</v>
      </c>
      <c r="H279" s="130"/>
      <c r="I279" s="345">
        <v>9366.2010187421001</v>
      </c>
      <c r="J279" s="345">
        <v>1.0305275600999999</v>
      </c>
      <c r="K279" s="133"/>
      <c r="L279" s="345">
        <v>12609.4364026804</v>
      </c>
      <c r="M279" s="345">
        <v>1.2709471242999999</v>
      </c>
      <c r="N279" s="130"/>
      <c r="O279" s="345">
        <v>20932.8167653132</v>
      </c>
      <c r="P279" s="345">
        <v>1.8568546154000001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344">
        <v>24998.115892135302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345">
        <v>14495.8048358259</v>
      </c>
      <c r="G283" s="345">
        <v>1.416017004</v>
      </c>
      <c r="H283" s="130"/>
      <c r="I283" s="345">
        <v>7828.4961378681</v>
      </c>
      <c r="J283" s="345">
        <v>1.0115172708</v>
      </c>
      <c r="K283" s="133"/>
      <c r="L283" s="345">
        <v>7832.2308070420004</v>
      </c>
      <c r="M283" s="345">
        <v>1.0519843169</v>
      </c>
      <c r="N283" s="130"/>
      <c r="O283" s="345">
        <v>12216.403625151899</v>
      </c>
      <c r="P283" s="345">
        <v>1.4781113624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345">
        <v>10194.7876387942</v>
      </c>
      <c r="G284" s="345">
        <v>1.3485968434</v>
      </c>
      <c r="H284" s="130"/>
      <c r="I284" s="345">
        <v>7267.2243368108002</v>
      </c>
      <c r="J284" s="345">
        <v>0.91167781459999997</v>
      </c>
      <c r="K284" s="133"/>
      <c r="L284" s="345">
        <v>10113.1752924067</v>
      </c>
      <c r="M284" s="345">
        <v>1.1774689831</v>
      </c>
      <c r="N284" s="130"/>
      <c r="O284" s="345">
        <v>14977.6376284711</v>
      </c>
      <c r="P284" s="345">
        <v>1.5435217716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345">
        <v>14566.1101403829</v>
      </c>
      <c r="G285" s="345">
        <v>1.5496236902</v>
      </c>
      <c r="H285" s="130"/>
      <c r="I285" s="345">
        <v>9761.7224457275006</v>
      </c>
      <c r="J285" s="345">
        <v>1.2275036601</v>
      </c>
      <c r="K285" s="133"/>
      <c r="L285" s="345">
        <v>9527.8755566246</v>
      </c>
      <c r="M285" s="345">
        <v>1.2735604381000001</v>
      </c>
      <c r="N285" s="130"/>
      <c r="O285" s="345">
        <v>12113.513692432</v>
      </c>
      <c r="P285" s="345">
        <v>1.5509930478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345">
        <v>8672.1857530940997</v>
      </c>
      <c r="G286" s="345">
        <v>1.2086448104</v>
      </c>
      <c r="H286" s="130"/>
      <c r="I286" s="345">
        <v>6017.7426627369996</v>
      </c>
      <c r="J286" s="345">
        <v>0.77183765380000002</v>
      </c>
      <c r="K286" s="133"/>
      <c r="L286" s="345">
        <v>9666.3420594662002</v>
      </c>
      <c r="M286" s="345">
        <v>1.2563360652</v>
      </c>
      <c r="N286" s="130"/>
      <c r="O286" s="345">
        <v>20240.354575760801</v>
      </c>
      <c r="P286" s="345">
        <v>2.0112378661000001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345">
        <v>8517.9058883456</v>
      </c>
      <c r="G287" s="345">
        <v>1.1517495551000001</v>
      </c>
      <c r="H287" s="130"/>
      <c r="I287" s="345">
        <v>8117.5557778946004</v>
      </c>
      <c r="J287" s="345">
        <v>0.99589597730000001</v>
      </c>
      <c r="K287" s="133"/>
      <c r="L287" s="345">
        <v>11719.8800448035</v>
      </c>
      <c r="M287" s="345">
        <v>1.505731954</v>
      </c>
      <c r="N287" s="130"/>
      <c r="O287" s="345">
        <v>16360.0153533419</v>
      </c>
      <c r="P287" s="345">
        <v>1.7234970355999999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345">
        <v>12647.3272701982</v>
      </c>
      <c r="G288" s="345">
        <v>1.5720394031</v>
      </c>
      <c r="H288" s="130"/>
      <c r="I288" s="345">
        <v>8629.9081913370992</v>
      </c>
      <c r="J288" s="345">
        <v>1.0881025150000001</v>
      </c>
      <c r="K288" s="133"/>
      <c r="L288" s="345">
        <v>9726.0765780344009</v>
      </c>
      <c r="M288" s="345">
        <v>1.1723207985999999</v>
      </c>
      <c r="N288" s="130"/>
      <c r="O288" s="345">
        <v>15877.2087692965</v>
      </c>
      <c r="P288" s="345">
        <v>1.9942693924999999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345">
        <v>17603.8459615352</v>
      </c>
      <c r="G289" s="345">
        <v>2.06532969</v>
      </c>
      <c r="H289" s="130"/>
      <c r="I289" s="345">
        <v>9250.9886937280007</v>
      </c>
      <c r="J289" s="345">
        <v>1.1769698563</v>
      </c>
      <c r="K289" s="133"/>
      <c r="L289" s="345">
        <v>9599.2744635781</v>
      </c>
      <c r="M289" s="345">
        <v>1.2403768690999999</v>
      </c>
      <c r="N289" s="130"/>
      <c r="O289" s="345">
        <v>13310.1770124548</v>
      </c>
      <c r="P289" s="345">
        <v>1.8078866839000001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344">
        <v>22249.9713929684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345">
        <v>20184.100402120399</v>
      </c>
      <c r="G293" s="345">
        <v>1.8256655324</v>
      </c>
      <c r="H293" s="130"/>
      <c r="I293" s="345">
        <v>12421.4496388101</v>
      </c>
      <c r="J293" s="345">
        <v>1.1597420281999999</v>
      </c>
      <c r="K293" s="133"/>
      <c r="L293" s="345">
        <v>11351.420515936899</v>
      </c>
      <c r="M293" s="345">
        <v>0.98462721490000005</v>
      </c>
      <c r="N293" s="130"/>
      <c r="O293" s="345">
        <v>19775.181569187102</v>
      </c>
      <c r="P293" s="345">
        <v>1.7197119141999999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345">
        <v>14695.215646349799</v>
      </c>
      <c r="G294" s="345">
        <v>1.2151536576999999</v>
      </c>
      <c r="H294" s="130"/>
      <c r="I294" s="345">
        <v>10526.439629656899</v>
      </c>
      <c r="J294" s="345">
        <v>0.92894145809999995</v>
      </c>
      <c r="K294" s="133"/>
      <c r="L294" s="345">
        <v>11261.605678575201</v>
      </c>
      <c r="M294" s="345">
        <v>1.0198554261999999</v>
      </c>
      <c r="N294" s="130"/>
      <c r="O294" s="345">
        <v>16730.242625073199</v>
      </c>
      <c r="P294" s="345">
        <v>1.4943969542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345">
        <v>18093.393823902701</v>
      </c>
      <c r="G295" s="345">
        <v>1.443229061</v>
      </c>
      <c r="H295" s="130"/>
      <c r="I295" s="345">
        <v>11304.565019911801</v>
      </c>
      <c r="J295" s="345">
        <v>0.95202014109999999</v>
      </c>
      <c r="K295" s="133"/>
      <c r="L295" s="345">
        <v>11855.9874495556</v>
      </c>
      <c r="M295" s="345">
        <v>1.0914201567999999</v>
      </c>
      <c r="N295" s="130"/>
      <c r="O295" s="345">
        <v>16165.9737340229</v>
      </c>
      <c r="P295" s="345">
        <v>1.60058945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345">
        <v>9521.6618190990994</v>
      </c>
      <c r="G296" s="345">
        <v>0.88059856150000004</v>
      </c>
      <c r="H296" s="130"/>
      <c r="I296" s="345">
        <v>8270.7152606577001</v>
      </c>
      <c r="J296" s="345">
        <v>0.74209987509999997</v>
      </c>
      <c r="K296" s="133"/>
      <c r="L296" s="345">
        <v>10819.6843115511</v>
      </c>
      <c r="M296" s="345">
        <v>0.96681442319999999</v>
      </c>
      <c r="N296" s="130"/>
      <c r="O296" s="345">
        <v>20910.630085156201</v>
      </c>
      <c r="P296" s="345">
        <v>1.5723253896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345">
        <v>15785.6305558808</v>
      </c>
      <c r="G297" s="345">
        <v>1.3839260729</v>
      </c>
      <c r="H297" s="130"/>
      <c r="I297" s="345">
        <v>10740.121735671801</v>
      </c>
      <c r="J297" s="345">
        <v>0.99180650930000003</v>
      </c>
      <c r="K297" s="133"/>
      <c r="L297" s="345">
        <v>11771.6849709855</v>
      </c>
      <c r="M297" s="345">
        <v>1.0759424596</v>
      </c>
      <c r="N297" s="130"/>
      <c r="O297" s="345">
        <v>19028.282127745901</v>
      </c>
      <c r="P297" s="345">
        <v>1.5776985639000001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345">
        <v>11096.706219101099</v>
      </c>
      <c r="G298" s="345">
        <v>0.99589383419999999</v>
      </c>
      <c r="H298" s="130"/>
      <c r="I298" s="345">
        <v>8416.8405484559007</v>
      </c>
      <c r="J298" s="345">
        <v>0.76393006549999998</v>
      </c>
      <c r="K298" s="133"/>
      <c r="L298" s="345">
        <v>12894.307224182499</v>
      </c>
      <c r="M298" s="345">
        <v>1.1871736964999999</v>
      </c>
      <c r="N298" s="130"/>
      <c r="O298" s="345">
        <v>20083.388499273002</v>
      </c>
      <c r="P298" s="345">
        <v>1.5568451766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345">
        <v>10706.9551082003</v>
      </c>
      <c r="G299" s="345">
        <v>0.97191893630000004</v>
      </c>
      <c r="H299" s="130"/>
      <c r="I299" s="345">
        <v>9942.7168090384002</v>
      </c>
      <c r="J299" s="345">
        <v>0.90611476729999996</v>
      </c>
      <c r="K299" s="133"/>
      <c r="L299" s="345">
        <v>13334.664556392399</v>
      </c>
      <c r="M299" s="345">
        <v>1.2035344658</v>
      </c>
      <c r="N299" s="130"/>
      <c r="O299" s="345">
        <v>20662.355896460602</v>
      </c>
      <c r="P299" s="345">
        <v>1.6108204041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344">
        <v>9032.6462727959006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345">
        <v>6862.4214388582004</v>
      </c>
      <c r="G303" s="345">
        <v>1.504699727</v>
      </c>
      <c r="H303" s="130"/>
      <c r="I303" s="345">
        <v>3714.5424169303001</v>
      </c>
      <c r="J303" s="345">
        <v>1.0472038724999999</v>
      </c>
      <c r="K303" s="133"/>
      <c r="L303" s="345">
        <v>3675.1467564135</v>
      </c>
      <c r="M303" s="345">
        <v>1.0615484960999999</v>
      </c>
      <c r="N303" s="130"/>
      <c r="O303" s="345">
        <v>4483.8522015254002</v>
      </c>
      <c r="P303" s="345">
        <v>1.1945086102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345">
        <v>3663.8527017214001</v>
      </c>
      <c r="G304" s="345">
        <v>1.0586536386000001</v>
      </c>
      <c r="H304" s="130"/>
      <c r="I304" s="345">
        <v>3585.7154238373</v>
      </c>
      <c r="J304" s="345">
        <v>1.0108267257000001</v>
      </c>
      <c r="K304" s="133"/>
      <c r="L304" s="345">
        <v>4582.7311590621002</v>
      </c>
      <c r="M304" s="345">
        <v>1.2520687223</v>
      </c>
      <c r="N304" s="130"/>
      <c r="O304" s="345">
        <v>6797.6831335899997</v>
      </c>
      <c r="P304" s="345">
        <v>1.4365541381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345">
        <v>5507.9825747020004</v>
      </c>
      <c r="G305" s="345">
        <v>1.4989099859999999</v>
      </c>
      <c r="H305" s="130"/>
      <c r="I305" s="345">
        <v>3964.6458485233002</v>
      </c>
      <c r="J305" s="345">
        <v>1.0794674637999999</v>
      </c>
      <c r="K305" s="133"/>
      <c r="L305" s="345">
        <v>4390.1662471838999</v>
      </c>
      <c r="M305" s="345">
        <v>1.1379139931</v>
      </c>
      <c r="N305" s="130"/>
      <c r="O305" s="345">
        <v>5070.2844312860998</v>
      </c>
      <c r="P305" s="345">
        <v>1.2637024753999999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345">
        <v>2988.1241268570002</v>
      </c>
      <c r="G306" s="345">
        <v>0.90496374930000001</v>
      </c>
      <c r="H306" s="130"/>
      <c r="I306" s="345">
        <v>3090.9624750572998</v>
      </c>
      <c r="J306" s="345">
        <v>0.93139884350000002</v>
      </c>
      <c r="K306" s="133"/>
      <c r="L306" s="345">
        <v>4377.3927361436999</v>
      </c>
      <c r="M306" s="345">
        <v>1.2815404456999999</v>
      </c>
      <c r="N306" s="130"/>
      <c r="O306" s="345">
        <v>9319.5783418403007</v>
      </c>
      <c r="P306" s="345">
        <v>1.8112147399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345">
        <v>1709.5542687934001</v>
      </c>
      <c r="G307" s="345">
        <v>0.51773783829999998</v>
      </c>
      <c r="H307" s="130"/>
      <c r="I307" s="345">
        <v>2882.6436812887</v>
      </c>
      <c r="J307" s="345">
        <v>0.81643190710000002</v>
      </c>
      <c r="K307" s="133"/>
      <c r="L307" s="345">
        <v>4840.1136026804998</v>
      </c>
      <c r="M307" s="345">
        <v>1.3079859413999999</v>
      </c>
      <c r="N307" s="130"/>
      <c r="O307" s="345">
        <v>7947.1496071214997</v>
      </c>
      <c r="P307" s="345">
        <v>1.6000209881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345">
        <v>4669.4232806842001</v>
      </c>
      <c r="G308" s="345">
        <v>1.2806007925</v>
      </c>
      <c r="H308" s="130"/>
      <c r="I308" s="345">
        <v>3707.0380028103</v>
      </c>
      <c r="J308" s="345">
        <v>0.99759055370000005</v>
      </c>
      <c r="K308" s="133"/>
      <c r="L308" s="345">
        <v>4494.0213256508996</v>
      </c>
      <c r="M308" s="345">
        <v>1.2838973896000001</v>
      </c>
      <c r="N308" s="130"/>
      <c r="O308" s="345">
        <v>6378.7428449412</v>
      </c>
      <c r="P308" s="345">
        <v>1.4963856889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345">
        <v>5575.5730488851004</v>
      </c>
      <c r="G309" s="345">
        <v>1.5043756262000001</v>
      </c>
      <c r="H309" s="130"/>
      <c r="I309" s="345">
        <v>4427.6618977732996</v>
      </c>
      <c r="J309" s="345">
        <v>1.1975450988</v>
      </c>
      <c r="K309" s="133"/>
      <c r="L309" s="345">
        <v>4874.9027971820997</v>
      </c>
      <c r="M309" s="345">
        <v>1.2721732876</v>
      </c>
      <c r="N309" s="130"/>
      <c r="O309" s="345">
        <v>4816.6060605830999</v>
      </c>
      <c r="P309" s="345">
        <v>1.2606605644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344">
        <v>73888.639891829996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345">
        <v>54755.273352444601</v>
      </c>
      <c r="G313" s="345">
        <v>1.8546595263000001</v>
      </c>
      <c r="H313" s="130"/>
      <c r="I313" s="345">
        <v>29091.844468824998</v>
      </c>
      <c r="J313" s="345">
        <v>1.1221704161999999</v>
      </c>
      <c r="K313" s="133"/>
      <c r="L313" s="345">
        <v>26929.668933939301</v>
      </c>
      <c r="M313" s="345">
        <v>1.0465477603</v>
      </c>
      <c r="N313" s="130"/>
      <c r="O313" s="345">
        <v>37606.113027179199</v>
      </c>
      <c r="P313" s="345">
        <v>1.3761953447999999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345">
        <v>29979.936826969501</v>
      </c>
      <c r="G314" s="345">
        <v>1.1590861949</v>
      </c>
      <c r="H314" s="130"/>
      <c r="I314" s="345">
        <v>23051.966904630899</v>
      </c>
      <c r="J314" s="345">
        <v>0.89387872700000004</v>
      </c>
      <c r="K314" s="133"/>
      <c r="L314" s="345">
        <v>28086.263485821801</v>
      </c>
      <c r="M314" s="345">
        <v>0.92918959030000003</v>
      </c>
      <c r="N314" s="130"/>
      <c r="O314" s="345">
        <v>50411.1352666311</v>
      </c>
      <c r="P314" s="345">
        <v>1.5331208967000001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345">
        <v>31865.7809183637</v>
      </c>
      <c r="G315" s="345">
        <v>1.2025792231000001</v>
      </c>
      <c r="H315" s="130"/>
      <c r="I315" s="345">
        <v>29464.493087707098</v>
      </c>
      <c r="J315" s="345">
        <v>1.0606411427</v>
      </c>
      <c r="K315" s="133"/>
      <c r="L315" s="345">
        <v>35002.168098601498</v>
      </c>
      <c r="M315" s="345">
        <v>1.2326345516999999</v>
      </c>
      <c r="N315" s="130"/>
      <c r="O315" s="345">
        <v>45874.5911215085</v>
      </c>
      <c r="P315" s="345">
        <v>1.6244244887999999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345">
        <v>18273.203080478699</v>
      </c>
      <c r="G316" s="345">
        <v>0.74384303910000005</v>
      </c>
      <c r="H316" s="130"/>
      <c r="I316" s="345">
        <v>18097.8771016559</v>
      </c>
      <c r="J316" s="345">
        <v>0.72668642059999999</v>
      </c>
      <c r="K316" s="133"/>
      <c r="L316" s="345">
        <v>25698.087393904301</v>
      </c>
      <c r="M316" s="345">
        <v>0.98800895089999996</v>
      </c>
      <c r="N316" s="130"/>
      <c r="O316" s="345">
        <v>63282.093635033001</v>
      </c>
      <c r="P316" s="345">
        <v>1.4565919668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345">
        <v>24034.313281757801</v>
      </c>
      <c r="G317" s="345">
        <v>0.98777878699999999</v>
      </c>
      <c r="H317" s="130"/>
      <c r="I317" s="345">
        <v>21129.914732493999</v>
      </c>
      <c r="J317" s="345">
        <v>0.87064288820000002</v>
      </c>
      <c r="K317" s="133"/>
      <c r="L317" s="345">
        <v>31997.5863337013</v>
      </c>
      <c r="M317" s="345">
        <v>1.1422886476</v>
      </c>
      <c r="N317" s="130"/>
      <c r="O317" s="345">
        <v>59590.927787624198</v>
      </c>
      <c r="P317" s="345">
        <v>1.6080649273000001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345">
        <v>17835.307340527099</v>
      </c>
      <c r="G318" s="345">
        <v>0.75405599130000001</v>
      </c>
      <c r="H318" s="130"/>
      <c r="I318" s="345">
        <v>19988.8230642788</v>
      </c>
      <c r="J318" s="345">
        <v>0.80400599039999998</v>
      </c>
      <c r="K318" s="133"/>
      <c r="L318" s="345">
        <v>31187.1381970529</v>
      </c>
      <c r="M318" s="345">
        <v>1.1282452889000001</v>
      </c>
      <c r="N318" s="130"/>
      <c r="O318" s="345">
        <v>62706.742943993799</v>
      </c>
      <c r="P318" s="345">
        <v>1.6254665788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345">
        <v>24224.958022002498</v>
      </c>
      <c r="G319" s="345">
        <v>0.98556703950000002</v>
      </c>
      <c r="H319" s="130"/>
      <c r="I319" s="345">
        <v>27297.1518306777</v>
      </c>
      <c r="J319" s="345">
        <v>1.0279871618</v>
      </c>
      <c r="K319" s="133"/>
      <c r="L319" s="345">
        <v>39505.174876951598</v>
      </c>
      <c r="M319" s="345">
        <v>1.3745638105</v>
      </c>
      <c r="N319" s="130"/>
      <c r="O319" s="345">
        <v>53936.786952267001</v>
      </c>
      <c r="P319" s="345">
        <v>1.8125972716000001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344">
        <v>22166.611550397301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345">
        <v>13285.832093045899</v>
      </c>
      <c r="G323" s="345">
        <v>1.7311649176999999</v>
      </c>
      <c r="H323" s="130"/>
      <c r="I323" s="345">
        <v>7758.3880658137996</v>
      </c>
      <c r="J323" s="345">
        <v>1.0513361907000001</v>
      </c>
      <c r="K323" s="133"/>
      <c r="L323" s="345">
        <v>7565.5389943584996</v>
      </c>
      <c r="M323" s="345">
        <v>0.89671393870000005</v>
      </c>
      <c r="N323" s="130"/>
      <c r="O323" s="345">
        <v>11666.4504815906</v>
      </c>
      <c r="P323" s="345">
        <v>1.4297785569999999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345">
        <v>9585.0889056827</v>
      </c>
      <c r="G324" s="345">
        <v>1.2668728632999999</v>
      </c>
      <c r="H324" s="130"/>
      <c r="I324" s="345">
        <v>8517.7092264555995</v>
      </c>
      <c r="J324" s="345">
        <v>1.2162617100999999</v>
      </c>
      <c r="K324" s="133"/>
      <c r="L324" s="345">
        <v>9140.7509883608</v>
      </c>
      <c r="M324" s="345">
        <v>1.0542528328</v>
      </c>
      <c r="N324" s="130"/>
      <c r="O324" s="345">
        <v>13344.8656716568</v>
      </c>
      <c r="P324" s="345">
        <v>1.5831105094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345">
        <v>13379.966975749399</v>
      </c>
      <c r="G325" s="345">
        <v>1.7393137917999999</v>
      </c>
      <c r="H325" s="130"/>
      <c r="I325" s="345">
        <v>8534.0033457356003</v>
      </c>
      <c r="J325" s="345">
        <v>1.0962372063000001</v>
      </c>
      <c r="K325" s="133"/>
      <c r="L325" s="345">
        <v>9620.803400113</v>
      </c>
      <c r="M325" s="345">
        <v>1.2161171318999999</v>
      </c>
      <c r="N325" s="130"/>
      <c r="O325" s="345">
        <v>11278.0304325464</v>
      </c>
      <c r="P325" s="345">
        <v>1.4995753375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345">
        <v>5307.8917899832004</v>
      </c>
      <c r="G326" s="345">
        <v>0.79434803490000006</v>
      </c>
      <c r="H326" s="130"/>
      <c r="I326" s="345">
        <v>6591.8141060459002</v>
      </c>
      <c r="J326" s="345">
        <v>0.95250911520000003</v>
      </c>
      <c r="K326" s="133"/>
      <c r="L326" s="345">
        <v>9230.0032755417997</v>
      </c>
      <c r="M326" s="345">
        <v>1.0909927033</v>
      </c>
      <c r="N326" s="130"/>
      <c r="O326" s="345">
        <v>16471.0169890016</v>
      </c>
      <c r="P326" s="345">
        <v>1.5380241858999999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345">
        <v>10993.1527040852</v>
      </c>
      <c r="G327" s="345">
        <v>1.4103345765999999</v>
      </c>
      <c r="H327" s="130"/>
      <c r="I327" s="345">
        <v>7350.9466187407997</v>
      </c>
      <c r="J327" s="345">
        <v>0.96295184609999995</v>
      </c>
      <c r="K327" s="133"/>
      <c r="L327" s="345">
        <v>9167.3765482463004</v>
      </c>
      <c r="M327" s="345">
        <v>1.1438272357999999</v>
      </c>
      <c r="N327" s="130"/>
      <c r="O327" s="345">
        <v>12334.9188959901</v>
      </c>
      <c r="P327" s="345">
        <v>1.5516654261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345">
        <v>11418.958784111701</v>
      </c>
      <c r="G328" s="345">
        <v>1.5978634251999999</v>
      </c>
      <c r="H328" s="130"/>
      <c r="I328" s="345">
        <v>6516.1732582647001</v>
      </c>
      <c r="J328" s="345">
        <v>0.94962301800000004</v>
      </c>
      <c r="K328" s="133"/>
      <c r="L328" s="345">
        <v>9110.5688608605997</v>
      </c>
      <c r="M328" s="345">
        <v>1.2388053339</v>
      </c>
      <c r="N328" s="130"/>
      <c r="O328" s="345">
        <v>17860.3848460142</v>
      </c>
      <c r="P328" s="345">
        <v>2.0831476218999998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345">
        <v>11817.271143035499</v>
      </c>
      <c r="G329" s="345">
        <v>1.614752755</v>
      </c>
      <c r="H329" s="130"/>
      <c r="I329" s="345">
        <v>9039.2425228338998</v>
      </c>
      <c r="J329" s="345">
        <v>1.2898366827000001</v>
      </c>
      <c r="K329" s="133"/>
      <c r="L329" s="345">
        <v>9855.5394822664002</v>
      </c>
      <c r="M329" s="345">
        <v>1.3422607204000001</v>
      </c>
      <c r="N329" s="130"/>
      <c r="O329" s="345">
        <v>16353.4099065669</v>
      </c>
      <c r="P329" s="345">
        <v>2.0610326913999999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344">
        <v>16223.618786687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345">
        <v>8658.2290142580005</v>
      </c>
      <c r="G333" s="345">
        <v>1.6630301186000001</v>
      </c>
      <c r="H333" s="54"/>
      <c r="I333" s="345">
        <v>6310.6835615655</v>
      </c>
      <c r="J333" s="345">
        <v>1.1904958181</v>
      </c>
      <c r="K333" s="53"/>
      <c r="L333" s="345">
        <v>5221.5923416271999</v>
      </c>
      <c r="M333" s="345">
        <v>1.0605399339999999</v>
      </c>
      <c r="N333" s="54"/>
      <c r="O333" s="345">
        <v>10327.540631395699</v>
      </c>
      <c r="P333" s="345">
        <v>1.7961301919999999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345">
        <v>5858.117828335</v>
      </c>
      <c r="G334" s="345">
        <v>1.2317121781</v>
      </c>
      <c r="H334" s="54"/>
      <c r="I334" s="345">
        <v>4702.8298436163996</v>
      </c>
      <c r="J334" s="345">
        <v>0.94372369430000003</v>
      </c>
      <c r="K334" s="53"/>
      <c r="L334" s="345">
        <v>5298.4028181517997</v>
      </c>
      <c r="M334" s="345">
        <v>1.1409009461999999</v>
      </c>
      <c r="N334" s="54"/>
      <c r="O334" s="345">
        <v>13306.420266217499</v>
      </c>
      <c r="P334" s="345">
        <v>1.9000811952000001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345">
        <v>7055.7798087523997</v>
      </c>
      <c r="G335" s="345">
        <v>1.4090379687000001</v>
      </c>
      <c r="H335" s="54"/>
      <c r="I335" s="345">
        <v>5817.1555656702003</v>
      </c>
      <c r="J335" s="345">
        <v>1.0605259298</v>
      </c>
      <c r="K335" s="53"/>
      <c r="L335" s="345">
        <v>6861.6050333190997</v>
      </c>
      <c r="M335" s="345">
        <v>1.2828202801999999</v>
      </c>
      <c r="N335" s="54"/>
      <c r="O335" s="345">
        <v>9592.2002051855998</v>
      </c>
      <c r="P335" s="345">
        <v>1.6656186127999999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345">
        <v>3194.8634346440999</v>
      </c>
      <c r="G336" s="345">
        <v>0.70254522129999997</v>
      </c>
      <c r="H336" s="54"/>
      <c r="I336" s="345">
        <v>2903.3370963206999</v>
      </c>
      <c r="J336" s="345">
        <v>0.62609929050000002</v>
      </c>
      <c r="K336" s="53"/>
      <c r="L336" s="345">
        <v>4534.2611646584</v>
      </c>
      <c r="M336" s="345">
        <v>0.97718113770000004</v>
      </c>
      <c r="N336" s="54"/>
      <c r="O336" s="345">
        <v>15465.689397914301</v>
      </c>
      <c r="P336" s="345">
        <v>1.4781162417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345">
        <v>4954.3904142090996</v>
      </c>
      <c r="G337" s="345">
        <v>1.0438208303000001</v>
      </c>
      <c r="H337" s="54"/>
      <c r="I337" s="345">
        <v>4543.5183649073997</v>
      </c>
      <c r="J337" s="345">
        <v>0.94495539959999997</v>
      </c>
      <c r="K337" s="53"/>
      <c r="L337" s="345">
        <v>5816.5232565440001</v>
      </c>
      <c r="M337" s="345">
        <v>1.1692578843999999</v>
      </c>
      <c r="N337" s="54"/>
      <c r="O337" s="345">
        <v>13258.2377014047</v>
      </c>
      <c r="P337" s="345">
        <v>1.7858791111000001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345">
        <v>4373.7764047070996</v>
      </c>
      <c r="G338" s="345">
        <v>0.94802478599999995</v>
      </c>
      <c r="H338" s="54"/>
      <c r="I338" s="345">
        <v>4132.9725605777003</v>
      </c>
      <c r="J338" s="345">
        <v>0.88065106879999999</v>
      </c>
      <c r="K338" s="53"/>
      <c r="L338" s="345">
        <v>5538.8598736227004</v>
      </c>
      <c r="M338" s="345">
        <v>1.1663680010999999</v>
      </c>
      <c r="N338" s="54"/>
      <c r="O338" s="345">
        <v>14747.2998835486</v>
      </c>
      <c r="P338" s="345">
        <v>1.9223924590999999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345">
        <v>5730.4547296297997</v>
      </c>
      <c r="G339" s="345">
        <v>1.2280644344</v>
      </c>
      <c r="H339" s="54"/>
      <c r="I339" s="345">
        <v>5193.3279649325996</v>
      </c>
      <c r="J339" s="345">
        <v>1.0578524584</v>
      </c>
      <c r="K339" s="53"/>
      <c r="L339" s="345">
        <v>5300.3033760815997</v>
      </c>
      <c r="M339" s="345">
        <v>1.1829946033000001</v>
      </c>
      <c r="N339" s="54"/>
      <c r="O339" s="345">
        <v>14503.0573946192</v>
      </c>
      <c r="P339" s="345">
        <v>2.0537643219000001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196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ht="12.75" customHeight="1" x14ac:dyDescent="0.25">
      <c r="A344" s="1"/>
      <c r="B34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84A878FA-E9E2-4602-8502-E702D49F8C9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46EF-D61E-4A47-B750-B11E9B80E470}">
  <sheetPr>
    <pageSetUpPr fitToPage="1"/>
  </sheetPr>
  <dimension ref="A1:CI6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135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104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88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3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245318.59867594499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A13" s="107"/>
      <c r="B13" s="14" t="s">
        <v>65</v>
      </c>
      <c r="D13" s="136"/>
      <c r="E13" s="54"/>
      <c r="F13" s="345">
        <v>177991.57629894599</v>
      </c>
      <c r="G13" s="345">
        <v>0.37379857560000002</v>
      </c>
      <c r="H13" s="54"/>
      <c r="I13" s="345">
        <v>95736.038242926094</v>
      </c>
      <c r="J13" s="345">
        <v>0.24762387280000001</v>
      </c>
      <c r="K13" s="53"/>
      <c r="L13" s="345">
        <v>85796.3007231675</v>
      </c>
      <c r="M13" s="345">
        <v>0.2249591638</v>
      </c>
      <c r="N13" s="54"/>
      <c r="O13" s="345">
        <v>126520.459187373</v>
      </c>
      <c r="P13" s="345">
        <v>0.33034623219999998</v>
      </c>
    </row>
    <row r="14" spans="1:16" s="13" customFormat="1" ht="12.75" customHeight="1" x14ac:dyDescent="0.2">
      <c r="A14" s="107"/>
      <c r="B14" s="14" t="s">
        <v>66</v>
      </c>
      <c r="D14" s="136"/>
      <c r="E14" s="54"/>
      <c r="F14" s="345">
        <v>113716.352890083</v>
      </c>
      <c r="G14" s="345">
        <v>0.2773201615</v>
      </c>
      <c r="H14" s="54"/>
      <c r="I14" s="345">
        <v>97699.2851380832</v>
      </c>
      <c r="J14" s="345">
        <v>0.2456521405</v>
      </c>
      <c r="K14" s="53"/>
      <c r="L14" s="345">
        <v>104704.245482215</v>
      </c>
      <c r="M14" s="345">
        <v>0.25857412299999999</v>
      </c>
      <c r="N14" s="54"/>
      <c r="O14" s="345">
        <v>152558.15703772899</v>
      </c>
      <c r="P14" s="345">
        <v>0.34971116460000001</v>
      </c>
    </row>
    <row r="15" spans="1:16" s="13" customFormat="1" ht="12.75" customHeight="1" x14ac:dyDescent="0.2">
      <c r="A15" s="104"/>
      <c r="B15" s="14" t="s">
        <v>67</v>
      </c>
      <c r="D15" s="136"/>
      <c r="E15" s="54"/>
      <c r="F15" s="345">
        <v>153499.31618366201</v>
      </c>
      <c r="G15" s="345">
        <v>0.35437894819999999</v>
      </c>
      <c r="H15" s="54"/>
      <c r="I15" s="345">
        <v>99147.858234564206</v>
      </c>
      <c r="J15" s="345">
        <v>0.24958512990000001</v>
      </c>
      <c r="K15" s="53"/>
      <c r="L15" s="345">
        <v>107998.053768497</v>
      </c>
      <c r="M15" s="345">
        <v>0.27193911440000001</v>
      </c>
      <c r="N15" s="54"/>
      <c r="O15" s="345">
        <v>132200.15200482</v>
      </c>
      <c r="P15" s="345">
        <v>0.33981446510000002</v>
      </c>
    </row>
    <row r="16" spans="1:16" s="13" customFormat="1" ht="12.75" customHeight="1" x14ac:dyDescent="0.2">
      <c r="A16" s="104"/>
      <c r="B16" s="14" t="s">
        <v>68</v>
      </c>
      <c r="D16" s="136"/>
      <c r="E16" s="54"/>
      <c r="F16" s="345">
        <v>87094.270681767695</v>
      </c>
      <c r="G16" s="345">
        <v>0.23269124120000001</v>
      </c>
      <c r="H16" s="54"/>
      <c r="I16" s="345">
        <v>81149.352766591197</v>
      </c>
      <c r="J16" s="345">
        <v>0.21521492989999999</v>
      </c>
      <c r="K16" s="53"/>
      <c r="L16" s="345">
        <v>100449.372939832</v>
      </c>
      <c r="M16" s="345">
        <v>0.26392189669999999</v>
      </c>
      <c r="N16" s="54"/>
      <c r="O16" s="345">
        <v>205205.63311639099</v>
      </c>
      <c r="P16" s="345">
        <v>0.40572694679999999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346">
        <v>92584.967165345297</v>
      </c>
      <c r="G17" s="346">
        <v>0.25144911009999998</v>
      </c>
      <c r="H17" s="54"/>
      <c r="I17" s="346">
        <v>91057.4857833813</v>
      </c>
      <c r="J17" s="346">
        <v>0.23722520450000001</v>
      </c>
      <c r="K17" s="53"/>
      <c r="L17" s="346">
        <v>109418.76121539201</v>
      </c>
      <c r="M17" s="346">
        <v>0.26943081299999999</v>
      </c>
      <c r="N17" s="54"/>
      <c r="O17" s="346">
        <v>190558.69460098399</v>
      </c>
      <c r="P17" s="346">
        <v>0.400158128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346">
        <v>118725.68444400901</v>
      </c>
      <c r="G18" s="346">
        <v>0.31120807849999998</v>
      </c>
      <c r="H18" s="54"/>
      <c r="I18" s="346">
        <v>91116.3644149311</v>
      </c>
      <c r="J18" s="346">
        <v>0.23853651570000001</v>
      </c>
      <c r="K18" s="53"/>
      <c r="L18" s="346">
        <v>104937.058721233</v>
      </c>
      <c r="M18" s="346">
        <v>0.2620965945</v>
      </c>
      <c r="N18" s="54"/>
      <c r="O18" s="346">
        <v>181984.129105053</v>
      </c>
      <c r="P18" s="346">
        <v>0.40025232259999999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345">
        <v>136884.82105472201</v>
      </c>
      <c r="G19" s="345">
        <v>0.35280013240000002</v>
      </c>
      <c r="H19" s="54"/>
      <c r="I19" s="345">
        <v>102010.126659649</v>
      </c>
      <c r="J19" s="345">
        <v>0.25375469229999997</v>
      </c>
      <c r="K19" s="53"/>
      <c r="L19" s="345">
        <v>106753.476604462</v>
      </c>
      <c r="M19" s="345">
        <v>0.2627558981</v>
      </c>
      <c r="N19" s="54"/>
      <c r="O19" s="345">
        <v>154070.152744466</v>
      </c>
      <c r="P19" s="345">
        <v>0.36299846140000003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344">
        <v>130448.21952647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345">
        <v>97604.889701924199</v>
      </c>
      <c r="G23" s="345">
        <v>0.8014021268</v>
      </c>
      <c r="H23" s="54"/>
      <c r="I23" s="345">
        <v>39826.987164388302</v>
      </c>
      <c r="J23" s="345">
        <v>0.47170999299999999</v>
      </c>
      <c r="K23" s="53"/>
      <c r="L23" s="345">
        <v>35934.157662370402</v>
      </c>
      <c r="M23" s="345">
        <v>0.4472753203</v>
      </c>
      <c r="N23" s="54"/>
      <c r="O23" s="345">
        <v>55937.737585723902</v>
      </c>
      <c r="P23" s="345">
        <v>0.765502197</v>
      </c>
    </row>
    <row r="24" spans="1:21" ht="12.75" customHeight="1" x14ac:dyDescent="0.2">
      <c r="B24" s="14" t="s">
        <v>66</v>
      </c>
      <c r="C24" s="38"/>
      <c r="D24" s="136"/>
      <c r="E24" s="54"/>
      <c r="F24" s="345">
        <v>41002.036233159997</v>
      </c>
      <c r="G24" s="345">
        <v>0.47243924129999998</v>
      </c>
      <c r="H24" s="54"/>
      <c r="I24" s="345">
        <v>37311.702490107498</v>
      </c>
      <c r="J24" s="345">
        <v>0.43307448520000003</v>
      </c>
      <c r="K24" s="53"/>
      <c r="L24" s="345">
        <v>52654.591237221503</v>
      </c>
      <c r="M24" s="345">
        <v>0.55956862269999996</v>
      </c>
      <c r="N24" s="54"/>
      <c r="O24" s="345">
        <v>83584.323382075105</v>
      </c>
      <c r="P24" s="345">
        <v>0.87779048250000002</v>
      </c>
    </row>
    <row r="25" spans="1:21" ht="12.75" customHeight="1" x14ac:dyDescent="0.2">
      <c r="B25" s="14" t="s">
        <v>67</v>
      </c>
      <c r="C25" s="38"/>
      <c r="D25" s="136"/>
      <c r="E25" s="54"/>
      <c r="F25" s="345">
        <v>74414.119908401204</v>
      </c>
      <c r="G25" s="345">
        <v>0.7614096521</v>
      </c>
      <c r="H25" s="54"/>
      <c r="I25" s="345">
        <v>41842.3605789598</v>
      </c>
      <c r="J25" s="345">
        <v>0.51461832539999997</v>
      </c>
      <c r="K25" s="53"/>
      <c r="L25" s="345">
        <v>52342.728472436</v>
      </c>
      <c r="M25" s="345">
        <v>0.61960618499999998</v>
      </c>
      <c r="N25" s="54"/>
      <c r="O25" s="345">
        <v>68169.794741845501</v>
      </c>
      <c r="P25" s="345">
        <v>0.82651477750000002</v>
      </c>
    </row>
    <row r="26" spans="1:21" ht="12.75" customHeight="1" x14ac:dyDescent="0.2">
      <c r="B26" s="14" t="s">
        <v>68</v>
      </c>
      <c r="C26" s="38"/>
      <c r="D26" s="136"/>
      <c r="E26" s="54"/>
      <c r="F26" s="345">
        <v>41652.5907082657</v>
      </c>
      <c r="G26" s="345">
        <v>0.52051744239999997</v>
      </c>
      <c r="H26" s="54"/>
      <c r="I26" s="345">
        <v>26571.826753685898</v>
      </c>
      <c r="J26" s="345">
        <v>0.33457908209999998</v>
      </c>
      <c r="K26" s="53"/>
      <c r="L26" s="345">
        <v>30911.12666446</v>
      </c>
      <c r="M26" s="345">
        <v>0.41909398780000001</v>
      </c>
      <c r="N26" s="54"/>
      <c r="O26" s="345">
        <v>109082.044144022</v>
      </c>
      <c r="P26" s="345">
        <v>0.81489644500000002</v>
      </c>
    </row>
    <row r="27" spans="1:21" ht="12.75" customHeight="1" x14ac:dyDescent="0.2">
      <c r="B27" s="14" t="s">
        <v>69</v>
      </c>
      <c r="C27" s="38"/>
      <c r="D27" s="136"/>
      <c r="E27" s="54"/>
      <c r="F27" s="345">
        <v>32877.198033640001</v>
      </c>
      <c r="G27" s="345">
        <v>0.43236015929999999</v>
      </c>
      <c r="H27" s="54"/>
      <c r="I27" s="345">
        <v>31877.1346418781</v>
      </c>
      <c r="J27" s="345">
        <v>0.38581970189999998</v>
      </c>
      <c r="K27" s="53"/>
      <c r="L27" s="345">
        <v>46200.176708935804</v>
      </c>
      <c r="M27" s="345">
        <v>0.51801040519999997</v>
      </c>
      <c r="N27" s="54"/>
      <c r="O27" s="345">
        <v>100715.622323588</v>
      </c>
      <c r="P27" s="345">
        <v>0.79722915650000004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345">
        <v>41257.636101735101</v>
      </c>
      <c r="G28" s="345">
        <v>0.51736193699999999</v>
      </c>
      <c r="H28" s="54"/>
      <c r="I28" s="345">
        <v>35828.080033812199</v>
      </c>
      <c r="J28" s="345">
        <v>0.44766990239999999</v>
      </c>
      <c r="K28" s="53"/>
      <c r="L28" s="345">
        <v>42162.159257295803</v>
      </c>
      <c r="M28" s="345">
        <v>0.4736689248</v>
      </c>
      <c r="N28" s="54"/>
      <c r="O28" s="345">
        <v>106074.512635434</v>
      </c>
      <c r="P28" s="345">
        <v>1.0561645471000001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345">
        <v>55843.740084092402</v>
      </c>
      <c r="G29" s="345">
        <v>0.71318852430000002</v>
      </c>
      <c r="H29" s="54"/>
      <c r="I29" s="345">
        <v>37739.773986441498</v>
      </c>
      <c r="J29" s="345">
        <v>0.46136047499999999</v>
      </c>
      <c r="K29" s="53"/>
      <c r="L29" s="345">
        <v>51153.657292344498</v>
      </c>
      <c r="M29" s="345">
        <v>0.56504722220000003</v>
      </c>
      <c r="N29" s="54"/>
      <c r="O29" s="345">
        <v>101545.39709054399</v>
      </c>
      <c r="P29" s="345">
        <v>1.0661785361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344">
        <v>120874.88248751601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345">
        <v>79361.757135049207</v>
      </c>
      <c r="G33" s="345">
        <v>1.1140939738</v>
      </c>
      <c r="H33" s="54"/>
      <c r="I33" s="345">
        <v>29663.747070637401</v>
      </c>
      <c r="J33" s="345">
        <v>0.50750650159999999</v>
      </c>
      <c r="K33" s="53"/>
      <c r="L33" s="345">
        <v>27308.196677152999</v>
      </c>
      <c r="M33" s="345">
        <v>0.51856618369999996</v>
      </c>
      <c r="N33" s="54"/>
      <c r="O33" s="345">
        <v>50471.632138412198</v>
      </c>
      <c r="P33" s="345">
        <v>0.86086680680000005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345">
        <v>45520.0076761706</v>
      </c>
      <c r="G34" s="345">
        <v>0.74564809160000001</v>
      </c>
      <c r="H34" s="54"/>
      <c r="I34" s="345">
        <v>36268.2158465217</v>
      </c>
      <c r="J34" s="345">
        <v>0.59661751740000002</v>
      </c>
      <c r="K34" s="53"/>
      <c r="L34" s="345">
        <v>33821.594518724502</v>
      </c>
      <c r="M34" s="345">
        <v>0.56859444869999998</v>
      </c>
      <c r="N34" s="54"/>
      <c r="O34" s="345">
        <v>62371.734226808097</v>
      </c>
      <c r="P34" s="345">
        <v>0.88157292180000002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345">
        <v>67003.239121402701</v>
      </c>
      <c r="G35" s="345">
        <v>1.0262129165</v>
      </c>
      <c r="H35" s="54"/>
      <c r="I35" s="345">
        <v>37853.494324513202</v>
      </c>
      <c r="J35" s="345">
        <v>0.5680383926</v>
      </c>
      <c r="K35" s="53"/>
      <c r="L35" s="345">
        <v>35951.271553987601</v>
      </c>
      <c r="M35" s="345">
        <v>0.60834088019999999</v>
      </c>
      <c r="N35" s="54"/>
      <c r="O35" s="345">
        <v>46781.860652028401</v>
      </c>
      <c r="P35" s="345">
        <v>0.8666873209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345">
        <v>35969.420361001401</v>
      </c>
      <c r="G36" s="345">
        <v>0.68346053790000005</v>
      </c>
      <c r="H36" s="54"/>
      <c r="I36" s="345">
        <v>24966.9677247605</v>
      </c>
      <c r="J36" s="345">
        <v>0.4572481417</v>
      </c>
      <c r="K36" s="53"/>
      <c r="L36" s="345">
        <v>31499.0705014212</v>
      </c>
      <c r="M36" s="345">
        <v>0.58370472790000005</v>
      </c>
      <c r="N36" s="54"/>
      <c r="O36" s="345">
        <v>91305.032888615402</v>
      </c>
      <c r="P36" s="345">
        <v>1.1449555932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345">
        <v>48061.806671025101</v>
      </c>
      <c r="G37" s="345">
        <v>0.95427105710000004</v>
      </c>
      <c r="H37" s="54"/>
      <c r="I37" s="345">
        <v>30466.8235959175</v>
      </c>
      <c r="J37" s="345">
        <v>0.56338401490000001</v>
      </c>
      <c r="K37" s="53"/>
      <c r="L37" s="345">
        <v>37594.682622762397</v>
      </c>
      <c r="M37" s="345">
        <v>0.67187747959999999</v>
      </c>
      <c r="N37" s="54"/>
      <c r="O37" s="345">
        <v>83425.1526642768</v>
      </c>
      <c r="P37" s="345">
        <v>1.0794208538000001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345">
        <v>49694.607178712002</v>
      </c>
      <c r="G38" s="345">
        <v>0.89809694470000001</v>
      </c>
      <c r="H38" s="54"/>
      <c r="I38" s="345">
        <v>30049.9490105521</v>
      </c>
      <c r="J38" s="345">
        <v>0.5221912742</v>
      </c>
      <c r="K38" s="53"/>
      <c r="L38" s="345">
        <v>36272.479485482101</v>
      </c>
      <c r="M38" s="345">
        <v>0.62650618329999996</v>
      </c>
      <c r="N38" s="54"/>
      <c r="O38" s="345">
        <v>74189.793248214599</v>
      </c>
      <c r="P38" s="345">
        <v>1.0715386259999999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345">
        <v>56691.643139226297</v>
      </c>
      <c r="G39" s="345">
        <v>1.0182272854000001</v>
      </c>
      <c r="H39" s="54"/>
      <c r="I39" s="345">
        <v>38198.626183685403</v>
      </c>
      <c r="J39" s="345">
        <v>0.59865804980000004</v>
      </c>
      <c r="K39" s="53"/>
      <c r="L39" s="345">
        <v>41042.0913542532</v>
      </c>
      <c r="M39" s="345">
        <v>0.69420317939999998</v>
      </c>
      <c r="N39" s="54"/>
      <c r="O39" s="345">
        <v>62537.161975693598</v>
      </c>
      <c r="P39" s="345">
        <v>1.0532692929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344">
        <v>129177.384084488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345">
        <v>73235.376015280999</v>
      </c>
      <c r="G43" s="345">
        <v>0.86419295149999997</v>
      </c>
      <c r="H43" s="54"/>
      <c r="I43" s="345">
        <v>43510.738377821101</v>
      </c>
      <c r="J43" s="345">
        <v>0.67478643279999995</v>
      </c>
      <c r="K43" s="53"/>
      <c r="L43" s="345">
        <v>40551.773191368899</v>
      </c>
      <c r="M43" s="345">
        <v>0.61176103079999999</v>
      </c>
      <c r="N43" s="54"/>
      <c r="O43" s="345">
        <v>57845.8175115392</v>
      </c>
      <c r="P43" s="345">
        <v>0.85197100000000003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345">
        <v>55890.717066552003</v>
      </c>
      <c r="G44" s="345">
        <v>0.78926867899999997</v>
      </c>
      <c r="H44" s="54"/>
      <c r="I44" s="345">
        <v>44637.921828268503</v>
      </c>
      <c r="J44" s="345">
        <v>0.64283781699999998</v>
      </c>
      <c r="K44" s="53"/>
      <c r="L44" s="345">
        <v>43675.531052869199</v>
      </c>
      <c r="M44" s="345">
        <v>0.65913999089999997</v>
      </c>
      <c r="N44" s="54"/>
      <c r="O44" s="345">
        <v>68875.525100817598</v>
      </c>
      <c r="P44" s="345">
        <v>0.90237425959999995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345">
        <v>69971.445482952302</v>
      </c>
      <c r="G45" s="345">
        <v>0.95883404940000005</v>
      </c>
      <c r="H45" s="54"/>
      <c r="I45" s="345">
        <v>46254.5997540756</v>
      </c>
      <c r="J45" s="345">
        <v>0.67476291050000003</v>
      </c>
      <c r="K45" s="53"/>
      <c r="L45" s="345">
        <v>46242.476441764396</v>
      </c>
      <c r="M45" s="345">
        <v>0.65180223849999996</v>
      </c>
      <c r="N45" s="54"/>
      <c r="O45" s="345">
        <v>53163.360361874198</v>
      </c>
      <c r="P45" s="345">
        <v>0.77021710649999997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345">
        <v>41575.415703703999</v>
      </c>
      <c r="G46" s="345">
        <v>0.70948674310000004</v>
      </c>
      <c r="H46" s="54"/>
      <c r="I46" s="345">
        <v>45238.2299871676</v>
      </c>
      <c r="J46" s="345">
        <v>0.72675419809999997</v>
      </c>
      <c r="K46" s="53"/>
      <c r="L46" s="345">
        <v>46346.387741718201</v>
      </c>
      <c r="M46" s="345">
        <v>0.68907472979999995</v>
      </c>
      <c r="N46" s="54"/>
      <c r="O46" s="345">
        <v>97718.804838425698</v>
      </c>
      <c r="P46" s="345">
        <v>1.1448997672000001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345">
        <v>42935.456603904102</v>
      </c>
      <c r="G47" s="345">
        <v>0.72708391939999995</v>
      </c>
      <c r="H47" s="54"/>
      <c r="I47" s="345">
        <v>50601.508775287301</v>
      </c>
      <c r="J47" s="345">
        <v>0.78289357100000001</v>
      </c>
      <c r="K47" s="53"/>
      <c r="L47" s="345">
        <v>50377.368334514198</v>
      </c>
      <c r="M47" s="345">
        <v>0.69168640660000003</v>
      </c>
      <c r="N47" s="54"/>
      <c r="O47" s="345">
        <v>90206.516066591605</v>
      </c>
      <c r="P47" s="345">
        <v>1.1990738877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345">
        <v>53451.088169926901</v>
      </c>
      <c r="G48" s="345">
        <v>0.84636444489999996</v>
      </c>
      <c r="H48" s="54"/>
      <c r="I48" s="345">
        <v>36385.619988715902</v>
      </c>
      <c r="J48" s="345">
        <v>0.58088818529999997</v>
      </c>
      <c r="K48" s="53"/>
      <c r="L48" s="345">
        <v>45397.585878696103</v>
      </c>
      <c r="M48" s="345">
        <v>0.65822245720000006</v>
      </c>
      <c r="N48" s="54"/>
      <c r="O48" s="345">
        <v>85457.859065832497</v>
      </c>
      <c r="P48" s="345">
        <v>1.0120498513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345">
        <v>58793.7814282283</v>
      </c>
      <c r="G49" s="345">
        <v>0.93116177010000001</v>
      </c>
      <c r="H49" s="54"/>
      <c r="I49" s="345">
        <v>45731.718447767598</v>
      </c>
      <c r="J49" s="345">
        <v>0.61732911410000002</v>
      </c>
      <c r="K49" s="53"/>
      <c r="L49" s="345">
        <v>50950.345667456997</v>
      </c>
      <c r="M49" s="345">
        <v>0.72957365659999995</v>
      </c>
      <c r="N49" s="54"/>
      <c r="O49" s="345">
        <v>65526.302544601502</v>
      </c>
      <c r="P49" s="345">
        <v>0.88321373319999996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344">
        <v>113668.722195625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345">
        <v>103524.881683896</v>
      </c>
      <c r="G53" s="345">
        <v>0.52111663460000002</v>
      </c>
      <c r="I53" s="345">
        <v>69491.251872324297</v>
      </c>
      <c r="J53" s="345">
        <v>0.37774815319999999</v>
      </c>
      <c r="L53" s="345">
        <v>60694.683630536798</v>
      </c>
      <c r="M53" s="345">
        <v>0.33164315150000001</v>
      </c>
      <c r="O53" s="345">
        <v>84071.860467923107</v>
      </c>
      <c r="P53" s="345">
        <v>0.45614617299999999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345">
        <v>78223.798765514905</v>
      </c>
      <c r="G54" s="345">
        <v>0.40576112679999998</v>
      </c>
      <c r="I54" s="345">
        <v>70075.626052594307</v>
      </c>
      <c r="J54" s="345">
        <v>0.37750177210000002</v>
      </c>
      <c r="L54" s="345">
        <v>71918.205339035005</v>
      </c>
      <c r="M54" s="345">
        <v>0.3823399455</v>
      </c>
      <c r="O54" s="345">
        <v>88220.591176838498</v>
      </c>
      <c r="P54" s="345">
        <v>0.47017589929999998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345">
        <v>93363.421061292203</v>
      </c>
      <c r="G55" s="345">
        <v>0.48583150990000001</v>
      </c>
      <c r="I55" s="345">
        <v>67631.811324045004</v>
      </c>
      <c r="J55" s="345">
        <v>0.36564953929999999</v>
      </c>
      <c r="L55" s="345">
        <v>74418.994694997105</v>
      </c>
      <c r="M55" s="345">
        <v>0.40164054710000002</v>
      </c>
      <c r="O55" s="345">
        <v>88903.172621544596</v>
      </c>
      <c r="P55" s="345">
        <v>0.47847645929999999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345">
        <v>53312.180956978496</v>
      </c>
      <c r="G56" s="345">
        <v>0.2960999533</v>
      </c>
      <c r="I56" s="345">
        <v>56726.535685741997</v>
      </c>
      <c r="J56" s="345">
        <v>0.3111225339</v>
      </c>
      <c r="L56" s="345">
        <v>77695.714315856603</v>
      </c>
      <c r="M56" s="345">
        <v>0.41169300920000002</v>
      </c>
      <c r="O56" s="345">
        <v>112653.755723849</v>
      </c>
      <c r="P56" s="345">
        <v>0.55977864619999995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345">
        <v>58020.857429917502</v>
      </c>
      <c r="G57" s="345">
        <v>0.31786738440000001</v>
      </c>
      <c r="I57" s="345">
        <v>61740.275029879398</v>
      </c>
      <c r="J57" s="345">
        <v>0.33643978949999997</v>
      </c>
      <c r="L57" s="345">
        <v>77043.780132775893</v>
      </c>
      <c r="M57" s="345">
        <v>0.40403014050000002</v>
      </c>
      <c r="O57" s="345">
        <v>106345.06927301201</v>
      </c>
      <c r="P57" s="345">
        <v>0.54187724960000005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345">
        <v>84321.409892972602</v>
      </c>
      <c r="G58" s="345">
        <v>0.46180250010000001</v>
      </c>
      <c r="I58" s="345">
        <v>69429.515197245506</v>
      </c>
      <c r="J58" s="345">
        <v>0.37275130270000001</v>
      </c>
      <c r="L58" s="345">
        <v>76751.637349844605</v>
      </c>
      <c r="M58" s="345">
        <v>0.40437912590000002</v>
      </c>
      <c r="O58" s="345">
        <v>96088.155703461598</v>
      </c>
      <c r="P58" s="345">
        <v>0.50829863279999998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345">
        <v>94938.880594471193</v>
      </c>
      <c r="G59" s="345">
        <v>0.48909030730000003</v>
      </c>
      <c r="I59" s="345">
        <v>74114.3267241617</v>
      </c>
      <c r="J59" s="345">
        <v>0.39352999970000002</v>
      </c>
      <c r="L59" s="345">
        <v>67448.252419350698</v>
      </c>
      <c r="M59" s="345">
        <v>0.36346731840000002</v>
      </c>
      <c r="O59" s="345">
        <v>72896.251091424594</v>
      </c>
      <c r="P59" s="345">
        <v>0.3943748158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196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ht="12.75" customHeight="1" x14ac:dyDescent="0.2">
      <c r="B6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948A7DD-34BB-42F0-88D0-A3AAD10924D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D25-B5AF-4BD9-9EF0-A4F030ED884E}">
  <sheetPr>
    <pageSetUpPr fitToPage="1"/>
  </sheetPr>
  <dimension ref="A1:CI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30" customHeight="1" x14ac:dyDescent="0.2">
      <c r="A5" s="103"/>
      <c r="B5" s="418" t="s">
        <v>143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33" t="s">
        <v>72</v>
      </c>
      <c r="C11" s="288"/>
      <c r="D11" s="344">
        <v>245318.59867594499</v>
      </c>
      <c r="E11" s="52"/>
      <c r="F11" s="344">
        <v>74410.296525656406</v>
      </c>
      <c r="G11" s="344">
        <v>0.19682970189999999</v>
      </c>
      <c r="H11" s="52"/>
      <c r="I11" s="344">
        <v>77650.384698885202</v>
      </c>
      <c r="J11" s="344">
        <v>0.2045013054</v>
      </c>
      <c r="K11" s="53"/>
      <c r="L11" s="344">
        <v>85361.934654193596</v>
      </c>
      <c r="M11" s="344">
        <v>0.22009999099999999</v>
      </c>
      <c r="N11" s="52"/>
      <c r="O11" s="344">
        <v>195685.41595357499</v>
      </c>
      <c r="P11" s="344">
        <v>0.34443562039999998</v>
      </c>
    </row>
    <row r="12" spans="1:16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8967.3004696325006</v>
      </c>
      <c r="E13" s="54"/>
      <c r="F13" s="345">
        <v>3296.5618142772</v>
      </c>
      <c r="G13" s="345">
        <v>0.82963317859999997</v>
      </c>
      <c r="H13" s="54"/>
      <c r="I13" s="345">
        <v>3983.5600048722999</v>
      </c>
      <c r="J13" s="345">
        <v>0.91588017070000005</v>
      </c>
      <c r="K13" s="53"/>
      <c r="L13" s="345">
        <v>3092.6082912474999</v>
      </c>
      <c r="M13" s="345">
        <v>0.75517540009999995</v>
      </c>
      <c r="N13" s="54"/>
      <c r="O13" s="345">
        <v>6999.1131771803002</v>
      </c>
      <c r="P13" s="345">
        <v>1.3300405689000001</v>
      </c>
    </row>
    <row r="14" spans="1:16" ht="12.75" customHeight="1" x14ac:dyDescent="0.2">
      <c r="A14" s="107"/>
      <c r="B14" s="29" t="s">
        <v>6</v>
      </c>
      <c r="D14" s="345">
        <v>30546.712730472598</v>
      </c>
      <c r="E14" s="54"/>
      <c r="F14" s="345">
        <v>14228.6837873407</v>
      </c>
      <c r="G14" s="345">
        <v>1.1314993954999999</v>
      </c>
      <c r="H14" s="54"/>
      <c r="I14" s="345">
        <v>10789.993867630201</v>
      </c>
      <c r="J14" s="345">
        <v>0.93921333949999997</v>
      </c>
      <c r="K14" s="53"/>
      <c r="L14" s="345">
        <v>12069.533999617401</v>
      </c>
      <c r="M14" s="345">
        <v>1.033953355</v>
      </c>
      <c r="N14" s="54"/>
      <c r="O14" s="345">
        <v>26244.763061210699</v>
      </c>
      <c r="P14" s="345">
        <v>1.5735346610000001</v>
      </c>
    </row>
    <row r="15" spans="1:16" ht="12.75" customHeight="1" x14ac:dyDescent="0.2">
      <c r="A15" s="104"/>
      <c r="B15" s="29" t="s">
        <v>7</v>
      </c>
      <c r="D15" s="345">
        <v>8722.5870993348999</v>
      </c>
      <c r="E15" s="54"/>
      <c r="F15" s="345">
        <v>3138.1780985785999</v>
      </c>
      <c r="G15" s="345">
        <v>1.1851908083</v>
      </c>
      <c r="H15" s="54"/>
      <c r="I15" s="345">
        <v>2743.3782148117998</v>
      </c>
      <c r="J15" s="345">
        <v>1.0191654634</v>
      </c>
      <c r="K15" s="53"/>
      <c r="L15" s="345">
        <v>4320.4552547348003</v>
      </c>
      <c r="M15" s="345">
        <v>1.5268947529000001</v>
      </c>
      <c r="N15" s="54"/>
      <c r="O15" s="345">
        <v>5390.0045180206998</v>
      </c>
      <c r="P15" s="345">
        <v>1.8891073509</v>
      </c>
    </row>
    <row r="16" spans="1:16" ht="12.75" customHeight="1" x14ac:dyDescent="0.2">
      <c r="A16" s="104"/>
      <c r="B16" s="29" t="s">
        <v>8</v>
      </c>
      <c r="D16" s="345">
        <v>9823.9999164673009</v>
      </c>
      <c r="E16" s="54"/>
      <c r="F16" s="345">
        <v>3111.4519402166002</v>
      </c>
      <c r="G16" s="345">
        <v>1.0687245359999999</v>
      </c>
      <c r="H16" s="54"/>
      <c r="I16" s="345">
        <v>2731.66745184</v>
      </c>
      <c r="J16" s="345">
        <v>0.863566477</v>
      </c>
      <c r="K16" s="53"/>
      <c r="L16" s="345">
        <v>2392.0582975249999</v>
      </c>
      <c r="M16" s="345">
        <v>0.77380723139999996</v>
      </c>
      <c r="N16" s="54"/>
      <c r="O16" s="345">
        <v>6556.0250635950997</v>
      </c>
      <c r="P16" s="345">
        <v>1.4462443628999999</v>
      </c>
    </row>
    <row r="17" spans="1:16" ht="12.75" customHeight="1" x14ac:dyDescent="0.2">
      <c r="A17" s="104"/>
      <c r="B17" s="29" t="s">
        <v>9</v>
      </c>
      <c r="D17" s="346">
        <v>20174.373876367401</v>
      </c>
      <c r="E17" s="54"/>
      <c r="F17" s="346">
        <v>7373.4295668819996</v>
      </c>
      <c r="G17" s="346">
        <v>0.76695395470000005</v>
      </c>
      <c r="H17" s="54"/>
      <c r="I17" s="346">
        <v>8254.0170233648005</v>
      </c>
      <c r="J17" s="346">
        <v>0.90254582130000005</v>
      </c>
      <c r="K17" s="53"/>
      <c r="L17" s="346">
        <v>6811.9845568841001</v>
      </c>
      <c r="M17" s="346">
        <v>0.76162288290000002</v>
      </c>
      <c r="N17" s="54"/>
      <c r="O17" s="346">
        <v>19939.460684707101</v>
      </c>
      <c r="P17" s="346">
        <v>1.3337417465000001</v>
      </c>
    </row>
    <row r="18" spans="1:16" ht="12.75" customHeight="1" x14ac:dyDescent="0.2">
      <c r="A18" s="108"/>
      <c r="B18" s="29" t="s">
        <v>10</v>
      </c>
      <c r="D18" s="346">
        <v>8619.0153653119996</v>
      </c>
      <c r="E18" s="54"/>
      <c r="F18" s="346">
        <v>1996.3241589408999</v>
      </c>
      <c r="G18" s="346">
        <v>0.80742469149999996</v>
      </c>
      <c r="H18" s="54"/>
      <c r="I18" s="346">
        <v>1603.4002442141</v>
      </c>
      <c r="J18" s="346">
        <v>0.65879327269999999</v>
      </c>
      <c r="K18" s="53"/>
      <c r="L18" s="346">
        <v>1871.3914342200001</v>
      </c>
      <c r="M18" s="346">
        <v>0.79153878980000003</v>
      </c>
      <c r="N18" s="54"/>
      <c r="O18" s="346">
        <v>7564.3713415702996</v>
      </c>
      <c r="P18" s="346">
        <v>1.4105344412</v>
      </c>
    </row>
    <row r="19" spans="1:16" ht="12.75" customHeight="1" x14ac:dyDescent="0.2">
      <c r="A19" s="108"/>
      <c r="B19" s="29" t="s">
        <v>11</v>
      </c>
      <c r="D19" s="345">
        <v>63038.559215489498</v>
      </c>
      <c r="E19" s="54"/>
      <c r="F19" s="345">
        <v>15688.8893468158</v>
      </c>
      <c r="G19" s="345">
        <v>0.98180196310000001</v>
      </c>
      <c r="H19" s="54"/>
      <c r="I19" s="345">
        <v>14075.9337798284</v>
      </c>
      <c r="J19" s="345">
        <v>0.85370596129999998</v>
      </c>
      <c r="K19" s="53"/>
      <c r="L19" s="345">
        <v>15480.8850144025</v>
      </c>
      <c r="M19" s="345">
        <v>0.92801228039999994</v>
      </c>
      <c r="N19" s="54"/>
      <c r="O19" s="345">
        <v>44110.587428546198</v>
      </c>
      <c r="P19" s="345">
        <v>1.3123319471999999</v>
      </c>
    </row>
    <row r="20" spans="1:16" s="2" customFormat="1" ht="12.75" customHeight="1" x14ac:dyDescent="0.2">
      <c r="A20" s="109"/>
      <c r="B20" s="29" t="s">
        <v>12</v>
      </c>
      <c r="C20" s="1"/>
      <c r="D20" s="345">
        <v>21528.302989013799</v>
      </c>
      <c r="E20" s="54"/>
      <c r="F20" s="345">
        <v>8338.2259004314001</v>
      </c>
      <c r="G20" s="345">
        <v>0.72025962840000002</v>
      </c>
      <c r="H20" s="54"/>
      <c r="I20" s="345">
        <v>8390.2367572732001</v>
      </c>
      <c r="J20" s="345">
        <v>0.72413166630000003</v>
      </c>
      <c r="K20" s="53"/>
      <c r="L20" s="345">
        <v>8225.3804480632007</v>
      </c>
      <c r="M20" s="345">
        <v>0.70702808819999996</v>
      </c>
      <c r="N20" s="54"/>
      <c r="O20" s="345">
        <v>22622.044384013501</v>
      </c>
      <c r="P20" s="345">
        <v>1.2964662009000001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50347.549406123697</v>
      </c>
      <c r="E21" s="54"/>
      <c r="F21" s="345">
        <v>25891.619373635898</v>
      </c>
      <c r="G21" s="345">
        <v>0.90870349419999996</v>
      </c>
      <c r="H21" s="54"/>
      <c r="I21" s="345">
        <v>24743.3283428459</v>
      </c>
      <c r="J21" s="345">
        <v>0.88461639010000004</v>
      </c>
      <c r="K21" s="53"/>
      <c r="L21" s="345">
        <v>28746.255776320198</v>
      </c>
      <c r="M21" s="345">
        <v>1.0151386969</v>
      </c>
      <c r="N21" s="54"/>
      <c r="O21" s="345">
        <v>45312.956577849502</v>
      </c>
      <c r="P21" s="345">
        <v>1.2971436730000001</v>
      </c>
    </row>
    <row r="22" spans="1:16" s="2" customFormat="1" ht="12.75" customHeight="1" x14ac:dyDescent="0.2">
      <c r="A22" s="109"/>
      <c r="B22" s="29" t="s">
        <v>14</v>
      </c>
      <c r="C22" s="1"/>
      <c r="D22" s="345">
        <v>12174.4839866041</v>
      </c>
      <c r="E22" s="54"/>
      <c r="F22" s="345">
        <v>4402.8954775410002</v>
      </c>
      <c r="G22" s="345">
        <v>0.86018245900000001</v>
      </c>
      <c r="H22" s="54"/>
      <c r="I22" s="345">
        <v>3955.8115338914999</v>
      </c>
      <c r="J22" s="345">
        <v>0.74248011059999997</v>
      </c>
      <c r="K22" s="53"/>
      <c r="L22" s="345">
        <v>3792.5807931784002</v>
      </c>
      <c r="M22" s="345">
        <v>0.7207835454</v>
      </c>
      <c r="N22" s="54"/>
      <c r="O22" s="345">
        <v>10690.4059932168</v>
      </c>
      <c r="P22" s="345">
        <v>1.2652543537000001</v>
      </c>
    </row>
    <row r="23" spans="1:16" s="2" customFormat="1" ht="12.75" customHeight="1" x14ac:dyDescent="0.2">
      <c r="A23" s="109"/>
      <c r="B23" s="29" t="s">
        <v>15</v>
      </c>
      <c r="C23" s="1"/>
      <c r="D23" s="345">
        <v>39342.759310615002</v>
      </c>
      <c r="E23" s="54"/>
      <c r="F23" s="345">
        <v>13713.896260376299</v>
      </c>
      <c r="G23" s="345">
        <v>0.81706966469999998</v>
      </c>
      <c r="H23" s="54"/>
      <c r="I23" s="345">
        <v>14276.984975791</v>
      </c>
      <c r="J23" s="345">
        <v>0.9000525882</v>
      </c>
      <c r="K23" s="53"/>
      <c r="L23" s="345">
        <v>18847.353898387501</v>
      </c>
      <c r="M23" s="345">
        <v>1.104345881</v>
      </c>
      <c r="N23" s="54"/>
      <c r="O23" s="345">
        <v>36039.976725572902</v>
      </c>
      <c r="P23" s="345">
        <v>1.6254358509</v>
      </c>
    </row>
    <row r="24" spans="1:16" s="2" customFormat="1" ht="12.75" customHeight="1" x14ac:dyDescent="0.2">
      <c r="A24" s="109"/>
      <c r="B24" s="29" t="s">
        <v>16</v>
      </c>
      <c r="C24" s="1"/>
      <c r="D24" s="345">
        <v>28850.313181142301</v>
      </c>
      <c r="E24" s="54"/>
      <c r="F24" s="345">
        <v>9310.4665123058003</v>
      </c>
      <c r="G24" s="345">
        <v>0.95202088340000002</v>
      </c>
      <c r="H24" s="54"/>
      <c r="I24" s="345">
        <v>7541.6579131536</v>
      </c>
      <c r="J24" s="345">
        <v>0.74490323400000003</v>
      </c>
      <c r="K24" s="53"/>
      <c r="L24" s="345">
        <v>10163.6014464009</v>
      </c>
      <c r="M24" s="345">
        <v>1.0208796596</v>
      </c>
      <c r="N24" s="54"/>
      <c r="O24" s="345">
        <v>23723.218587936299</v>
      </c>
      <c r="P24" s="345">
        <v>1.3864483851</v>
      </c>
    </row>
    <row r="25" spans="1:16" s="2" customFormat="1" ht="12.75" customHeight="1" x14ac:dyDescent="0.2">
      <c r="A25" s="109"/>
      <c r="B25" s="29" t="s">
        <v>17</v>
      </c>
      <c r="C25" s="1"/>
      <c r="D25" s="345">
        <v>24330.5739194446</v>
      </c>
      <c r="E25" s="54"/>
      <c r="F25" s="345">
        <v>8361.6777990444007</v>
      </c>
      <c r="G25" s="345">
        <v>0.90279625210000003</v>
      </c>
      <c r="H25" s="54"/>
      <c r="I25" s="345">
        <v>7343.7189608761</v>
      </c>
      <c r="J25" s="345">
        <v>0.7724830587</v>
      </c>
      <c r="K25" s="53"/>
      <c r="L25" s="345">
        <v>9199.6004294079994</v>
      </c>
      <c r="M25" s="345">
        <v>0.92738539519999996</v>
      </c>
      <c r="N25" s="54"/>
      <c r="O25" s="345">
        <v>17475.957437896399</v>
      </c>
      <c r="P25" s="345">
        <v>1.4323266734</v>
      </c>
    </row>
    <row r="26" spans="1:16" s="2" customFormat="1" ht="12.75" customHeight="1" x14ac:dyDescent="0.2">
      <c r="A26" s="109"/>
      <c r="B26" s="29" t="s">
        <v>18</v>
      </c>
      <c r="C26" s="1"/>
      <c r="D26" s="345">
        <v>55559.275928897499</v>
      </c>
      <c r="E26" s="54"/>
      <c r="F26" s="345">
        <v>18268.094341352102</v>
      </c>
      <c r="G26" s="345">
        <v>0.76312283619999999</v>
      </c>
      <c r="H26" s="54"/>
      <c r="I26" s="345">
        <v>20013.463781123701</v>
      </c>
      <c r="J26" s="345">
        <v>0.80688237110000005</v>
      </c>
      <c r="K26" s="53"/>
      <c r="L26" s="345">
        <v>25873.503250662499</v>
      </c>
      <c r="M26" s="345">
        <v>1.0738740115000001</v>
      </c>
      <c r="N26" s="54"/>
      <c r="O26" s="345">
        <v>48311.8586535465</v>
      </c>
      <c r="P26" s="345">
        <v>1.4264247343000001</v>
      </c>
    </row>
    <row r="27" spans="1:16" s="2" customFormat="1" ht="12.75" customHeight="1" x14ac:dyDescent="0.2">
      <c r="A27" s="109"/>
      <c r="B27" s="29" t="s">
        <v>19</v>
      </c>
      <c r="C27" s="1"/>
      <c r="D27" s="345">
        <v>153845.18493733901</v>
      </c>
      <c r="E27" s="54"/>
      <c r="F27" s="345">
        <v>42740.511737993002</v>
      </c>
      <c r="G27" s="345">
        <v>0.86516722550000003</v>
      </c>
      <c r="H27" s="54"/>
      <c r="I27" s="345">
        <v>51500.7476790371</v>
      </c>
      <c r="J27" s="345">
        <v>1.0239220323</v>
      </c>
      <c r="K27" s="53"/>
      <c r="L27" s="345">
        <v>49127.786061032399</v>
      </c>
      <c r="M27" s="345">
        <v>0.91632942210000001</v>
      </c>
      <c r="N27" s="54"/>
      <c r="O27" s="345">
        <v>120144.041683801</v>
      </c>
      <c r="P27" s="345">
        <v>1.6380193506</v>
      </c>
    </row>
    <row r="28" spans="1:16" s="2" customFormat="1" ht="12.75" customHeight="1" x14ac:dyDescent="0.2">
      <c r="A28" s="109"/>
      <c r="B28" s="29" t="s">
        <v>20</v>
      </c>
      <c r="C28" s="1"/>
      <c r="D28" s="345">
        <v>48544.014646115298</v>
      </c>
      <c r="E28" s="54"/>
      <c r="F28" s="345">
        <v>8972.2678628117992</v>
      </c>
      <c r="G28" s="345">
        <v>0.65012492820000001</v>
      </c>
      <c r="H28" s="54"/>
      <c r="I28" s="345">
        <v>9213.6923167259993</v>
      </c>
      <c r="J28" s="345">
        <v>0.65188696960000003</v>
      </c>
      <c r="K28" s="53"/>
      <c r="L28" s="345">
        <v>12914.804163889599</v>
      </c>
      <c r="M28" s="345">
        <v>0.9330275992</v>
      </c>
      <c r="N28" s="54"/>
      <c r="O28" s="345">
        <v>40477.161923004402</v>
      </c>
      <c r="P28" s="345">
        <v>1.3024836417000001</v>
      </c>
    </row>
    <row r="29" spans="1:16" s="2" customFormat="1" ht="12.75" customHeight="1" x14ac:dyDescent="0.2">
      <c r="A29" s="109"/>
      <c r="B29" s="29" t="s">
        <v>21</v>
      </c>
      <c r="C29" s="1"/>
      <c r="D29" s="345">
        <v>20366.691328497</v>
      </c>
      <c r="E29" s="54"/>
      <c r="F29" s="345">
        <v>4395.3724080623997</v>
      </c>
      <c r="G29" s="345">
        <v>0.7325516648</v>
      </c>
      <c r="H29" s="54"/>
      <c r="I29" s="345">
        <v>5215.9803638949998</v>
      </c>
      <c r="J29" s="345">
        <v>0.91059486379999999</v>
      </c>
      <c r="K29" s="53"/>
      <c r="L29" s="345">
        <v>4714.1002587617004</v>
      </c>
      <c r="M29" s="345">
        <v>0.85201293</v>
      </c>
      <c r="N29" s="54"/>
      <c r="O29" s="345">
        <v>19537.468625149198</v>
      </c>
      <c r="P29" s="345">
        <v>1.5185723347</v>
      </c>
    </row>
    <row r="30" spans="1:16" s="2" customFormat="1" ht="12.75" customHeight="1" x14ac:dyDescent="0.2">
      <c r="A30" s="109"/>
      <c r="B30" s="29" t="s">
        <v>22</v>
      </c>
      <c r="C30" s="1"/>
      <c r="D30" s="345">
        <v>10075.872713184701</v>
      </c>
      <c r="E30" s="54"/>
      <c r="F30" s="345">
        <v>1888.6070149258001</v>
      </c>
      <c r="G30" s="345">
        <v>0.50214319240000005</v>
      </c>
      <c r="H30" s="54"/>
      <c r="I30" s="345">
        <v>2529.9177969102002</v>
      </c>
      <c r="J30" s="345">
        <v>0.64458013349999999</v>
      </c>
      <c r="K30" s="53"/>
      <c r="L30" s="345">
        <v>3848.5185050737</v>
      </c>
      <c r="M30" s="345">
        <v>1.0592271547000001</v>
      </c>
      <c r="N30" s="54"/>
      <c r="O30" s="345">
        <v>9187.6054404166007</v>
      </c>
      <c r="P30" s="345">
        <v>1.3523188635000001</v>
      </c>
    </row>
    <row r="31" spans="1:16" s="2" customFormat="1" ht="12.75" customHeight="1" x14ac:dyDescent="0.2">
      <c r="A31" s="109"/>
      <c r="B31" s="29" t="s">
        <v>23</v>
      </c>
      <c r="C31" s="1"/>
      <c r="D31" s="345">
        <v>46826.58478284</v>
      </c>
      <c r="E31" s="54"/>
      <c r="F31" s="345">
        <v>17083.364252400799</v>
      </c>
      <c r="G31" s="345">
        <v>0.96116510820000001</v>
      </c>
      <c r="H31" s="54"/>
      <c r="I31" s="345">
        <v>13740.8504093221</v>
      </c>
      <c r="J31" s="345">
        <v>0.75885737090000005</v>
      </c>
      <c r="K31" s="53"/>
      <c r="L31" s="345">
        <v>17262.3222679637</v>
      </c>
      <c r="M31" s="345">
        <v>0.94182436319999996</v>
      </c>
      <c r="N31" s="54"/>
      <c r="O31" s="345">
        <v>36347.233794297797</v>
      </c>
      <c r="P31" s="345">
        <v>1.5638771182</v>
      </c>
    </row>
    <row r="32" spans="1:16" s="2" customFormat="1" ht="12.75" customHeight="1" x14ac:dyDescent="0.2">
      <c r="A32" s="109"/>
      <c r="B32" s="29" t="s">
        <v>24</v>
      </c>
      <c r="C32" s="1"/>
      <c r="D32" s="345">
        <v>51721.305046021</v>
      </c>
      <c r="E32" s="54"/>
      <c r="F32" s="345">
        <v>13030.7223588078</v>
      </c>
      <c r="G32" s="345">
        <v>0.99158863900000005</v>
      </c>
      <c r="H32" s="54"/>
      <c r="I32" s="345">
        <v>10266.1362340869</v>
      </c>
      <c r="J32" s="345">
        <v>0.77246309869999996</v>
      </c>
      <c r="K32" s="53"/>
      <c r="L32" s="345">
        <v>11625.4715515838</v>
      </c>
      <c r="M32" s="345">
        <v>0.90934299110000005</v>
      </c>
      <c r="N32" s="54"/>
      <c r="O32" s="345">
        <v>37371.248691547997</v>
      </c>
      <c r="P32" s="345">
        <v>1.4945728361999999</v>
      </c>
    </row>
    <row r="33" spans="1:87" s="2" customFormat="1" ht="12.75" customHeight="1" x14ac:dyDescent="0.2">
      <c r="A33" s="109"/>
      <c r="B33" s="29" t="s">
        <v>25</v>
      </c>
      <c r="C33" s="1"/>
      <c r="D33" s="345">
        <v>60553.044746405503</v>
      </c>
      <c r="E33" s="54"/>
      <c r="F33" s="345">
        <v>17374.183980133301</v>
      </c>
      <c r="G33" s="345">
        <v>0.85160120009999996</v>
      </c>
      <c r="H33" s="54"/>
      <c r="I33" s="345">
        <v>15779.4433108715</v>
      </c>
      <c r="J33" s="345">
        <v>0.82138029759999998</v>
      </c>
      <c r="K33" s="53"/>
      <c r="L33" s="345">
        <v>18575.3030536687</v>
      </c>
      <c r="M33" s="345">
        <v>0.98199184210000001</v>
      </c>
      <c r="N33" s="54"/>
      <c r="O33" s="345">
        <v>44964.129563263799</v>
      </c>
      <c r="P33" s="345">
        <v>1.5675880921000001</v>
      </c>
    </row>
    <row r="34" spans="1:87" s="2" customFormat="1" ht="12.75" customHeight="1" x14ac:dyDescent="0.2">
      <c r="A34" s="109"/>
      <c r="B34" s="29" t="s">
        <v>26</v>
      </c>
      <c r="C34" s="1"/>
      <c r="D34" s="345">
        <v>32602.288410915098</v>
      </c>
      <c r="E34" s="54"/>
      <c r="F34" s="345">
        <v>8852.7283456969999</v>
      </c>
      <c r="G34" s="345">
        <v>1.1984065622</v>
      </c>
      <c r="H34" s="54"/>
      <c r="I34" s="345">
        <v>6823.3215362232004</v>
      </c>
      <c r="J34" s="345">
        <v>0.89857402109999995</v>
      </c>
      <c r="K34" s="53"/>
      <c r="L34" s="345">
        <v>9767.1679928935991</v>
      </c>
      <c r="M34" s="345">
        <v>1.1834426847999999</v>
      </c>
      <c r="N34" s="54"/>
      <c r="O34" s="345">
        <v>22366.123530797799</v>
      </c>
      <c r="P34" s="345">
        <v>1.7371963253</v>
      </c>
    </row>
    <row r="35" spans="1:87" s="2" customFormat="1" ht="12.75" customHeight="1" x14ac:dyDescent="0.2">
      <c r="A35" s="109"/>
      <c r="B35" s="29" t="s">
        <v>27</v>
      </c>
      <c r="C35" s="1"/>
      <c r="D35" s="345">
        <v>21975.205253110002</v>
      </c>
      <c r="E35" s="54"/>
      <c r="F35" s="345">
        <v>6946.1016606199</v>
      </c>
      <c r="G35" s="345">
        <v>1.1359775373000001</v>
      </c>
      <c r="H35" s="54"/>
      <c r="I35" s="345">
        <v>12354.4082753696</v>
      </c>
      <c r="J35" s="345">
        <v>1.8384422515000001</v>
      </c>
      <c r="K35" s="53"/>
      <c r="L35" s="345">
        <v>10424.7091561669</v>
      </c>
      <c r="M35" s="345">
        <v>1.5910700514</v>
      </c>
      <c r="N35" s="54"/>
      <c r="O35" s="345">
        <v>12741.0069768471</v>
      </c>
      <c r="P35" s="345">
        <v>2.6682948582999999</v>
      </c>
    </row>
    <row r="36" spans="1:87" s="2" customFormat="1" ht="12.75" customHeight="1" x14ac:dyDescent="0.2">
      <c r="A36" s="109"/>
      <c r="B36" s="29" t="s">
        <v>28</v>
      </c>
      <c r="C36" s="1"/>
      <c r="D36" s="345">
        <v>15666.7398479494</v>
      </c>
      <c r="E36" s="54"/>
      <c r="F36" s="345">
        <v>5634.7761656111998</v>
      </c>
      <c r="G36" s="345">
        <v>0.69158279769999997</v>
      </c>
      <c r="H36" s="54"/>
      <c r="I36" s="345">
        <v>6602.1199092020997</v>
      </c>
      <c r="J36" s="345">
        <v>0.82189362119999998</v>
      </c>
      <c r="K36" s="53"/>
      <c r="L36" s="345">
        <v>7138.5574869405</v>
      </c>
      <c r="M36" s="345">
        <v>0.87614489110000005</v>
      </c>
      <c r="N36" s="54"/>
      <c r="O36" s="345">
        <v>13119.3139677902</v>
      </c>
      <c r="P36" s="345">
        <v>1.1784712153000001</v>
      </c>
    </row>
    <row r="37" spans="1:87" s="2" customFormat="1" ht="12.75" customHeight="1" x14ac:dyDescent="0.2">
      <c r="A37" s="109"/>
      <c r="B37" s="29" t="s">
        <v>29</v>
      </c>
      <c r="C37" s="1"/>
      <c r="D37" s="345">
        <v>19480.778027771601</v>
      </c>
      <c r="E37" s="54"/>
      <c r="F37" s="345">
        <v>7274.6999080486003</v>
      </c>
      <c r="G37" s="345">
        <v>0.80301380990000004</v>
      </c>
      <c r="H37" s="54"/>
      <c r="I37" s="345">
        <v>7342.7237701222002</v>
      </c>
      <c r="J37" s="345">
        <v>0.87278865279999995</v>
      </c>
      <c r="K37" s="53"/>
      <c r="L37" s="345">
        <v>9070.6958746793007</v>
      </c>
      <c r="M37" s="345">
        <v>1.0024625143999999</v>
      </c>
      <c r="N37" s="54"/>
      <c r="O37" s="345">
        <v>18043.987628212799</v>
      </c>
      <c r="P37" s="345">
        <v>1.3443672953000001</v>
      </c>
    </row>
    <row r="38" spans="1:87" s="2" customFormat="1" ht="12.75" customHeight="1" x14ac:dyDescent="0.2">
      <c r="A38" s="109"/>
      <c r="B38" s="29" t="s">
        <v>30</v>
      </c>
      <c r="C38" s="1"/>
      <c r="D38" s="345">
        <v>25928.550404547899</v>
      </c>
      <c r="E38" s="54"/>
      <c r="F38" s="345">
        <v>8784.6535780610993</v>
      </c>
      <c r="G38" s="345">
        <v>0.87981073570000001</v>
      </c>
      <c r="H38" s="54"/>
      <c r="I38" s="345">
        <v>6694.9628627272004</v>
      </c>
      <c r="J38" s="345">
        <v>0.74968378739999997</v>
      </c>
      <c r="K38" s="53"/>
      <c r="L38" s="345">
        <v>7163.2511226774004</v>
      </c>
      <c r="M38" s="345">
        <v>0.77723368869999998</v>
      </c>
      <c r="N38" s="54"/>
      <c r="O38" s="345">
        <v>20847.495947978401</v>
      </c>
      <c r="P38" s="345">
        <v>1.2579176865999999</v>
      </c>
    </row>
    <row r="39" spans="1:87" s="2" customFormat="1" ht="12.75" customHeight="1" x14ac:dyDescent="0.2">
      <c r="A39" s="109"/>
      <c r="B39" s="29" t="s">
        <v>31</v>
      </c>
      <c r="C39" s="1"/>
      <c r="D39" s="345">
        <v>24998.115892135302</v>
      </c>
      <c r="E39" s="54"/>
      <c r="F39" s="345">
        <v>6988.2342036774999</v>
      </c>
      <c r="G39" s="345">
        <v>0.94999434540000005</v>
      </c>
      <c r="H39" s="54"/>
      <c r="I39" s="345">
        <v>6887.9960622573999</v>
      </c>
      <c r="J39" s="345">
        <v>0.92291688940000005</v>
      </c>
      <c r="K39" s="53"/>
      <c r="L39" s="345">
        <v>7450.7563644272996</v>
      </c>
      <c r="M39" s="345">
        <v>0.98434574050000001</v>
      </c>
      <c r="N39" s="54"/>
      <c r="O39" s="345">
        <v>19572.909435069701</v>
      </c>
      <c r="P39" s="345">
        <v>1.6173562526</v>
      </c>
    </row>
    <row r="40" spans="1:87" s="2" customFormat="1" ht="12.75" customHeight="1" x14ac:dyDescent="0.2">
      <c r="A40" s="109"/>
      <c r="B40" s="29" t="s">
        <v>32</v>
      </c>
      <c r="C40" s="1"/>
      <c r="D40" s="345">
        <v>22249.9713929684</v>
      </c>
      <c r="E40" s="54"/>
      <c r="F40" s="345">
        <v>11851.7053085235</v>
      </c>
      <c r="G40" s="345">
        <v>1.1088462997999999</v>
      </c>
      <c r="H40" s="54"/>
      <c r="I40" s="345">
        <v>9803.3674693774992</v>
      </c>
      <c r="J40" s="345">
        <v>0.87040342339999999</v>
      </c>
      <c r="K40" s="53"/>
      <c r="L40" s="345">
        <v>7896.8947459972997</v>
      </c>
      <c r="M40" s="345">
        <v>0.7270416019</v>
      </c>
      <c r="N40" s="54"/>
      <c r="O40" s="345">
        <v>23366.099046142099</v>
      </c>
      <c r="P40" s="345">
        <v>1.7443139646000001</v>
      </c>
    </row>
    <row r="41" spans="1:87" s="2" customFormat="1" ht="12.75" customHeight="1" x14ac:dyDescent="0.2">
      <c r="A41" s="109"/>
      <c r="B41" s="29" t="s">
        <v>33</v>
      </c>
      <c r="C41" s="1"/>
      <c r="D41" s="345">
        <v>9032.6462727959006</v>
      </c>
      <c r="E41" s="54"/>
      <c r="F41" s="345">
        <v>3280.5521891235999</v>
      </c>
      <c r="G41" s="345">
        <v>0.86525994549999996</v>
      </c>
      <c r="H41" s="54"/>
      <c r="I41" s="345">
        <v>3550.1598617084001</v>
      </c>
      <c r="J41" s="345">
        <v>0.97605850660000004</v>
      </c>
      <c r="K41" s="53"/>
      <c r="L41" s="345">
        <v>3505.8935384739998</v>
      </c>
      <c r="M41" s="345">
        <v>1.0094680345</v>
      </c>
      <c r="N41" s="54"/>
      <c r="O41" s="345">
        <v>7158.5947567076</v>
      </c>
      <c r="P41" s="345">
        <v>1.5335128913</v>
      </c>
    </row>
    <row r="42" spans="1:87" s="2" customFormat="1" ht="12.75" customHeight="1" x14ac:dyDescent="0.2">
      <c r="A42" s="109"/>
      <c r="B42" s="29" t="s">
        <v>34</v>
      </c>
      <c r="C42" s="1"/>
      <c r="D42" s="345">
        <v>73888.639891829996</v>
      </c>
      <c r="E42" s="54"/>
      <c r="F42" s="345">
        <v>17799.042434868901</v>
      </c>
      <c r="G42" s="345">
        <v>0.71814177739999996</v>
      </c>
      <c r="H42" s="54"/>
      <c r="I42" s="345">
        <v>18410.344204242399</v>
      </c>
      <c r="J42" s="345">
        <v>0.70988672149999998</v>
      </c>
      <c r="K42" s="53"/>
      <c r="L42" s="345">
        <v>26894.285262449001</v>
      </c>
      <c r="M42" s="345">
        <v>1.0410733481000001</v>
      </c>
      <c r="N42" s="54"/>
      <c r="O42" s="345">
        <v>59817.338763366497</v>
      </c>
      <c r="P42" s="345">
        <v>1.3653271997</v>
      </c>
    </row>
    <row r="43" spans="1:87" s="2" customFormat="1" ht="12.75" customHeight="1" x14ac:dyDescent="0.2">
      <c r="A43" s="109"/>
      <c r="B43" s="29" t="s">
        <v>35</v>
      </c>
      <c r="C43" s="1"/>
      <c r="D43" s="345">
        <v>22166.611550397301</v>
      </c>
      <c r="E43" s="54"/>
      <c r="F43" s="345">
        <v>7024.1210534671</v>
      </c>
      <c r="G43" s="345">
        <v>0.92549475299999995</v>
      </c>
      <c r="H43" s="54"/>
      <c r="I43" s="345">
        <v>5785.8397749414999</v>
      </c>
      <c r="J43" s="345">
        <v>0.85470816059999999</v>
      </c>
      <c r="K43" s="53"/>
      <c r="L43" s="345">
        <v>6521.1345779147996</v>
      </c>
      <c r="M43" s="345">
        <v>0.85051159939999998</v>
      </c>
      <c r="N43" s="54"/>
      <c r="O43" s="345">
        <v>16168.0499392455</v>
      </c>
      <c r="P43" s="345">
        <v>1.3018534910999999</v>
      </c>
    </row>
    <row r="44" spans="1:87" s="2" customFormat="1" ht="12.75" customHeight="1" x14ac:dyDescent="0.2">
      <c r="A44" s="109"/>
      <c r="B44" s="31" t="s">
        <v>36</v>
      </c>
      <c r="C44" s="1"/>
      <c r="D44" s="345">
        <v>16223.618786687</v>
      </c>
      <c r="E44" s="54"/>
      <c r="F44" s="345">
        <v>3681.5567857259998</v>
      </c>
      <c r="G44" s="345">
        <v>0.77844078240000003</v>
      </c>
      <c r="H44" s="54"/>
      <c r="I44" s="345">
        <v>3988.4363277019002</v>
      </c>
      <c r="J44" s="345">
        <v>0.83366426910000002</v>
      </c>
      <c r="K44" s="53"/>
      <c r="L44" s="345">
        <v>4040.9581631975002</v>
      </c>
      <c r="M44" s="345">
        <v>0.81990358090000004</v>
      </c>
      <c r="N44" s="54"/>
      <c r="O44" s="345">
        <v>14444.7164605137</v>
      </c>
      <c r="P44" s="345">
        <v>1.7218944253999999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197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2:4" ht="12.75" customHeight="1" x14ac:dyDescent="0.2">
      <c r="B49" s="290" t="s">
        <v>150</v>
      </c>
      <c r="D49" s="17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76E79718-F840-43F4-B6C6-1C3F1023416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A465-1C18-4C4C-8E17-11966C89A798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18" t="s">
        <v>144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395" t="s">
        <v>84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K8" s="2"/>
      <c r="L8" s="417" t="s">
        <v>59</v>
      </c>
      <c r="M8" s="417"/>
      <c r="N8" s="2"/>
      <c r="O8" s="417" t="s">
        <v>60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344">
        <v>245318.59867594499</v>
      </c>
      <c r="E11" s="60"/>
      <c r="F11" s="344">
        <v>74410.296525656406</v>
      </c>
      <c r="G11" s="344">
        <v>0.19682970189999999</v>
      </c>
      <c r="H11" s="60"/>
      <c r="I11" s="344">
        <v>77650.384698885202</v>
      </c>
      <c r="J11" s="344">
        <v>0.2045013054</v>
      </c>
      <c r="K11" s="53"/>
      <c r="L11" s="344">
        <v>85361.934654193596</v>
      </c>
      <c r="M11" s="344">
        <v>0.22009999099999999</v>
      </c>
      <c r="N11" s="60"/>
      <c r="O11" s="344">
        <v>195685.41595357499</v>
      </c>
      <c r="P11" s="344">
        <v>0.34443562039999998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345">
        <v>130448.21952647</v>
      </c>
      <c r="E13" s="61"/>
      <c r="F13" s="345">
        <v>34591.183267823799</v>
      </c>
      <c r="G13" s="345">
        <v>0.41191811969999997</v>
      </c>
      <c r="H13" s="61"/>
      <c r="I13" s="345">
        <v>27447.631988482201</v>
      </c>
      <c r="J13" s="345">
        <v>0.33484185869999999</v>
      </c>
      <c r="K13" s="53"/>
      <c r="L13" s="345">
        <v>35588.911527302997</v>
      </c>
      <c r="M13" s="345">
        <v>0.42618716210000002</v>
      </c>
      <c r="N13" s="61"/>
      <c r="O13" s="345">
        <v>97311.825463205503</v>
      </c>
      <c r="P13" s="345">
        <v>0.64332476790000004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345">
        <v>120874.88248751601</v>
      </c>
      <c r="E14" s="61"/>
      <c r="F14" s="345">
        <v>27080.840203830099</v>
      </c>
      <c r="G14" s="345">
        <v>0.51386552910000005</v>
      </c>
      <c r="H14" s="61"/>
      <c r="I14" s="345">
        <v>25254.989148132001</v>
      </c>
      <c r="J14" s="345">
        <v>0.44516175219999998</v>
      </c>
      <c r="K14" s="53"/>
      <c r="L14" s="345">
        <v>29783.547782244001</v>
      </c>
      <c r="M14" s="345">
        <v>0.52303828080000003</v>
      </c>
      <c r="N14" s="61"/>
      <c r="O14" s="345">
        <v>86622.194686687697</v>
      </c>
      <c r="P14" s="345">
        <v>0.84766405499999997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345">
        <v>129177.384084488</v>
      </c>
      <c r="E15" s="61"/>
      <c r="F15" s="345">
        <v>30979.067005345001</v>
      </c>
      <c r="G15" s="345">
        <v>0.49920018119999998</v>
      </c>
      <c r="H15" s="61"/>
      <c r="I15" s="345">
        <v>39712.000426854996</v>
      </c>
      <c r="J15" s="345">
        <v>0.63718556989999997</v>
      </c>
      <c r="K15" s="53"/>
      <c r="L15" s="345">
        <v>41041.397636275004</v>
      </c>
      <c r="M15" s="345">
        <v>0.60676813269999996</v>
      </c>
      <c r="N15" s="61"/>
      <c r="O15" s="345">
        <v>93959.726339077999</v>
      </c>
      <c r="P15" s="345">
        <v>0.9704196692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345">
        <v>113668.722195625</v>
      </c>
      <c r="E16" s="61"/>
      <c r="F16" s="345">
        <v>51596.148206482903</v>
      </c>
      <c r="G16" s="345">
        <v>0.28616979120000002</v>
      </c>
      <c r="H16" s="61"/>
      <c r="I16" s="345">
        <v>55591.435773477999</v>
      </c>
      <c r="J16" s="345">
        <v>0.3046898623</v>
      </c>
      <c r="K16" s="53"/>
      <c r="L16" s="345">
        <v>58837.514577020702</v>
      </c>
      <c r="M16" s="345">
        <v>0.32426990709999998</v>
      </c>
      <c r="N16" s="61"/>
      <c r="O16" s="345">
        <v>113746.407819877</v>
      </c>
      <c r="P16" s="345">
        <v>0.50647701789999999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197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</row>
    <row r="22" spans="1:87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</row>
    <row r="23" spans="1:87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</row>
    <row r="24" spans="1:87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</row>
    <row r="25" spans="1:87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</row>
    <row r="26" spans="1:87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</row>
    <row r="27" spans="1:87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1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</row>
    <row r="28" spans="1:87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</row>
    <row r="29" spans="1:87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1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FD002117-6D2E-42B6-8FE6-8D9E209D2248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3829-3B46-494E-BCD2-2D855061BBE1}">
  <sheetPr>
    <pageSetUpPr fitToPage="1"/>
  </sheetPr>
  <dimension ref="A1:Y48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18" t="s">
        <v>78</v>
      </c>
      <c r="C5" s="418"/>
      <c r="D5" s="418"/>
      <c r="E5" s="418"/>
      <c r="F5" s="418"/>
      <c r="G5" s="418"/>
      <c r="H5" s="418"/>
      <c r="I5" s="418"/>
      <c r="J5" s="418"/>
      <c r="K5" s="418"/>
      <c r="L5" s="209"/>
      <c r="M5" s="190" t="s">
        <v>107</v>
      </c>
    </row>
    <row r="6" spans="1:13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3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</row>
    <row r="8" spans="1:13" ht="23.25" customHeight="1" x14ac:dyDescent="0.2">
      <c r="A8" s="103"/>
      <c r="B8" s="396"/>
      <c r="C8" s="396"/>
      <c r="D8" s="399"/>
      <c r="E8" s="5"/>
      <c r="F8" s="416" t="s">
        <v>73</v>
      </c>
      <c r="G8" s="416"/>
      <c r="H8" s="6"/>
      <c r="I8" s="417" t="s">
        <v>74</v>
      </c>
      <c r="J8" s="417"/>
      <c r="L8" s="417" t="s">
        <v>37</v>
      </c>
      <c r="M8" s="417"/>
    </row>
    <row r="9" spans="1:13" ht="15" customHeight="1" x14ac:dyDescent="0.2">
      <c r="A9" s="104"/>
      <c r="B9" s="426"/>
      <c r="C9" s="426"/>
      <c r="D9" s="425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356">
        <v>245318.59867594499</v>
      </c>
      <c r="E11" s="299"/>
      <c r="F11" s="356">
        <v>123493.303045938</v>
      </c>
      <c r="G11" s="356">
        <v>0.29745965419999998</v>
      </c>
      <c r="H11" s="299"/>
      <c r="I11" s="356">
        <v>207128.634476615</v>
      </c>
      <c r="J11" s="356">
        <v>0.3008944248</v>
      </c>
      <c r="K11" s="301"/>
      <c r="L11" s="356">
        <v>25439.853502000002</v>
      </c>
      <c r="M11" s="356">
        <v>7.1909285899999995E-2</v>
      </c>
    </row>
    <row r="12" spans="1:13" s="13" customFormat="1" ht="6" customHeight="1" x14ac:dyDescent="0.2">
      <c r="A12" s="107"/>
      <c r="B12" s="42"/>
      <c r="C12" s="288"/>
      <c r="D12" s="293"/>
      <c r="E12" s="299"/>
      <c r="F12" s="293"/>
      <c r="G12" s="295"/>
      <c r="H12" s="299"/>
      <c r="I12" s="293"/>
      <c r="J12" s="295"/>
      <c r="K12" s="301"/>
      <c r="L12" s="293"/>
      <c r="M12" s="295"/>
    </row>
    <row r="13" spans="1:13" ht="12.75" customHeight="1" x14ac:dyDescent="0.2">
      <c r="A13" s="107"/>
      <c r="B13" s="29" t="s">
        <v>5</v>
      </c>
      <c r="D13" s="354">
        <v>8967.3004696325006</v>
      </c>
      <c r="E13" s="300"/>
      <c r="F13" s="354">
        <v>5132.4063790666996</v>
      </c>
      <c r="G13" s="354">
        <v>1.1195835721</v>
      </c>
      <c r="H13" s="300"/>
      <c r="I13" s="354">
        <v>7491.7675300909996</v>
      </c>
      <c r="J13" s="354">
        <v>1.1261955021000001</v>
      </c>
      <c r="K13" s="301"/>
      <c r="L13" s="354">
        <v>1050.8786633678999</v>
      </c>
      <c r="M13" s="354">
        <v>0.27211303009999999</v>
      </c>
    </row>
    <row r="14" spans="1:13" ht="13.5" customHeight="1" x14ac:dyDescent="0.2">
      <c r="A14" s="107"/>
      <c r="B14" s="29" t="s">
        <v>6</v>
      </c>
      <c r="D14" s="354">
        <v>30546.712730472598</v>
      </c>
      <c r="E14" s="300"/>
      <c r="F14" s="354">
        <v>17706.263301631701</v>
      </c>
      <c r="G14" s="354">
        <v>1.3188576329999999</v>
      </c>
      <c r="H14" s="300"/>
      <c r="I14" s="354">
        <v>25264.269809608901</v>
      </c>
      <c r="J14" s="354">
        <v>1.2989931903</v>
      </c>
      <c r="K14" s="301"/>
      <c r="L14" s="354">
        <v>2824.9997734351</v>
      </c>
      <c r="M14" s="354">
        <v>0.24797275660000001</v>
      </c>
    </row>
    <row r="15" spans="1:13" ht="12.75" customHeight="1" x14ac:dyDescent="0.2">
      <c r="A15" s="104"/>
      <c r="B15" s="29" t="s">
        <v>7</v>
      </c>
      <c r="D15" s="354">
        <v>8722.5870993348999</v>
      </c>
      <c r="E15" s="300"/>
      <c r="F15" s="354">
        <v>4315.3275262275001</v>
      </c>
      <c r="G15" s="354">
        <v>1.4646590329</v>
      </c>
      <c r="H15" s="300"/>
      <c r="I15" s="354">
        <v>7212.6617830846999</v>
      </c>
      <c r="J15" s="354">
        <v>1.5070916259</v>
      </c>
      <c r="K15" s="301"/>
      <c r="L15" s="354">
        <v>616.20198255989999</v>
      </c>
      <c r="M15" s="354">
        <v>0.25547986659999999</v>
      </c>
    </row>
    <row r="16" spans="1:13" ht="12.75" customHeight="1" x14ac:dyDescent="0.2">
      <c r="A16" s="104"/>
      <c r="B16" s="29" t="s">
        <v>8</v>
      </c>
      <c r="D16" s="354">
        <v>9823.9999164673009</v>
      </c>
      <c r="E16" s="300"/>
      <c r="F16" s="354">
        <v>5863.5775646517004</v>
      </c>
      <c r="G16" s="354">
        <v>1.6389227495000001</v>
      </c>
      <c r="H16" s="300"/>
      <c r="I16" s="354">
        <v>6854.7820923103</v>
      </c>
      <c r="J16" s="354">
        <v>1.6578830347</v>
      </c>
      <c r="K16" s="301"/>
      <c r="L16" s="354">
        <v>1382.8760436187999</v>
      </c>
      <c r="M16" s="354">
        <v>0.52065618420000004</v>
      </c>
    </row>
    <row r="17" spans="1:15" ht="12.75" customHeight="1" x14ac:dyDescent="0.2">
      <c r="A17" s="104"/>
      <c r="B17" s="29" t="s">
        <v>9</v>
      </c>
      <c r="D17" s="355">
        <v>20174.373876367401</v>
      </c>
      <c r="E17" s="300"/>
      <c r="F17" s="355">
        <v>10622.381226883501</v>
      </c>
      <c r="G17" s="355">
        <v>1.0891132506000001</v>
      </c>
      <c r="H17" s="300"/>
      <c r="I17" s="355">
        <v>18401.5973156459</v>
      </c>
      <c r="J17" s="355">
        <v>1.1243448277999999</v>
      </c>
      <c r="K17" s="301"/>
      <c r="L17" s="355">
        <v>3282.2095677425</v>
      </c>
      <c r="M17" s="355">
        <v>0.35600762670000002</v>
      </c>
    </row>
    <row r="18" spans="1:15" ht="12.75" customHeight="1" x14ac:dyDescent="0.2">
      <c r="A18" s="108"/>
      <c r="B18" s="29" t="s">
        <v>10</v>
      </c>
      <c r="D18" s="355">
        <v>8619.0153653119996</v>
      </c>
      <c r="E18" s="300"/>
      <c r="F18" s="355">
        <v>3237.5747719464998</v>
      </c>
      <c r="G18" s="355">
        <v>1.2441455885999999</v>
      </c>
      <c r="H18" s="300"/>
      <c r="I18" s="355">
        <v>7641.3971658381997</v>
      </c>
      <c r="J18" s="355">
        <v>1.2671627804000001</v>
      </c>
      <c r="K18" s="301"/>
      <c r="L18" s="355">
        <v>683.84330219200001</v>
      </c>
      <c r="M18" s="355">
        <v>0.29930140370000002</v>
      </c>
    </row>
    <row r="19" spans="1:15" ht="12.75" customHeight="1" x14ac:dyDescent="0.2">
      <c r="A19" s="108"/>
      <c r="B19" s="29" t="s">
        <v>11</v>
      </c>
      <c r="D19" s="354">
        <v>63038.559215489498</v>
      </c>
      <c r="E19" s="300"/>
      <c r="F19" s="354">
        <v>29672.328399495302</v>
      </c>
      <c r="G19" s="354">
        <v>1.4606663776</v>
      </c>
      <c r="H19" s="300"/>
      <c r="I19" s="354">
        <v>46422.788790801002</v>
      </c>
      <c r="J19" s="354">
        <v>1.4627907688999999</v>
      </c>
      <c r="K19" s="301"/>
      <c r="L19" s="354">
        <v>3888.7524949921999</v>
      </c>
      <c r="M19" s="354">
        <v>0.28018457619999998</v>
      </c>
    </row>
    <row r="20" spans="1:15" s="2" customFormat="1" ht="12.75" customHeight="1" x14ac:dyDescent="0.2">
      <c r="A20" s="109"/>
      <c r="B20" s="29" t="s">
        <v>12</v>
      </c>
      <c r="C20" s="1"/>
      <c r="D20" s="354">
        <v>21528.302989013799</v>
      </c>
      <c r="E20" s="300"/>
      <c r="F20" s="354">
        <v>13792.6329980995</v>
      </c>
      <c r="G20" s="354">
        <v>1.1571072795999999</v>
      </c>
      <c r="H20" s="300"/>
      <c r="I20" s="354">
        <v>21898.464410144701</v>
      </c>
      <c r="J20" s="354">
        <v>1.1647959315</v>
      </c>
      <c r="K20" s="301"/>
      <c r="L20" s="354">
        <v>4370.0852588106</v>
      </c>
      <c r="M20" s="354">
        <v>0.38271536070000001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354">
        <v>50347.549406123697</v>
      </c>
      <c r="E21" s="300"/>
      <c r="F21" s="354">
        <v>34278.086240695397</v>
      </c>
      <c r="G21" s="354">
        <v>1.1643719229</v>
      </c>
      <c r="H21" s="300"/>
      <c r="I21" s="354">
        <v>49302.885136803197</v>
      </c>
      <c r="J21" s="354">
        <v>1.1923425373000001</v>
      </c>
      <c r="K21" s="301"/>
      <c r="L21" s="354">
        <v>7684.9776032130003</v>
      </c>
      <c r="M21" s="354">
        <v>0.2833077625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354">
        <v>12174.4839866041</v>
      </c>
      <c r="E22" s="300"/>
      <c r="F22" s="354">
        <v>7454.2766171614003</v>
      </c>
      <c r="G22" s="354">
        <v>1.2891302987</v>
      </c>
      <c r="H22" s="300"/>
      <c r="I22" s="354">
        <v>10545.912025187101</v>
      </c>
      <c r="J22" s="354">
        <v>1.2831336282000001</v>
      </c>
      <c r="K22" s="301"/>
      <c r="L22" s="354">
        <v>960.94579768419999</v>
      </c>
      <c r="M22" s="354">
        <v>0.19207663050000001</v>
      </c>
    </row>
    <row r="23" spans="1:15" s="2" customFormat="1" ht="12.75" customHeight="1" x14ac:dyDescent="0.2">
      <c r="A23" s="109"/>
      <c r="B23" s="29" t="s">
        <v>15</v>
      </c>
      <c r="C23" s="1"/>
      <c r="D23" s="354">
        <v>39342.759310615002</v>
      </c>
      <c r="E23" s="300"/>
      <c r="F23" s="354">
        <v>22359.1078877613</v>
      </c>
      <c r="G23" s="354">
        <v>1.3440517917000001</v>
      </c>
      <c r="H23" s="300"/>
      <c r="I23" s="354">
        <v>38366.328267102697</v>
      </c>
      <c r="J23" s="354">
        <v>1.3678839330999999</v>
      </c>
      <c r="K23" s="301"/>
      <c r="L23" s="354">
        <v>7345.8665376883</v>
      </c>
      <c r="M23" s="354">
        <v>0.46019272700000002</v>
      </c>
    </row>
    <row r="24" spans="1:15" s="2" customFormat="1" ht="12.75" customHeight="1" x14ac:dyDescent="0.2">
      <c r="A24" s="109"/>
      <c r="B24" s="29" t="s">
        <v>16</v>
      </c>
      <c r="C24" s="1"/>
      <c r="D24" s="354">
        <v>28850.313181142301</v>
      </c>
      <c r="E24" s="300"/>
      <c r="F24" s="354">
        <v>17358.609762036001</v>
      </c>
      <c r="G24" s="354">
        <v>1.5841406728</v>
      </c>
      <c r="H24" s="300"/>
      <c r="I24" s="354">
        <v>24146.3311529331</v>
      </c>
      <c r="J24" s="354">
        <v>1.5563017718000001</v>
      </c>
      <c r="K24" s="301"/>
      <c r="L24" s="354">
        <v>2446.1284463553002</v>
      </c>
      <c r="M24" s="354">
        <v>0.25934541500000002</v>
      </c>
    </row>
    <row r="25" spans="1:15" s="2" customFormat="1" ht="12.75" customHeight="1" x14ac:dyDescent="0.2">
      <c r="A25" s="109"/>
      <c r="B25" s="29" t="s">
        <v>17</v>
      </c>
      <c r="C25" s="1"/>
      <c r="D25" s="354">
        <v>24330.5739194446</v>
      </c>
      <c r="E25" s="300"/>
      <c r="F25" s="354">
        <v>12933.1489391348</v>
      </c>
      <c r="G25" s="354">
        <v>1.3347141869000001</v>
      </c>
      <c r="H25" s="300"/>
      <c r="I25" s="354">
        <v>21419.303814306601</v>
      </c>
      <c r="J25" s="354">
        <v>1.3618929076999999</v>
      </c>
      <c r="K25" s="301"/>
      <c r="L25" s="354">
        <v>2766.6474762827002</v>
      </c>
      <c r="M25" s="354">
        <v>0.32074051570000001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354">
        <v>55559.275928897499</v>
      </c>
      <c r="E26" s="300"/>
      <c r="F26" s="354">
        <v>30776.095552602601</v>
      </c>
      <c r="G26" s="354">
        <v>1.1772320471</v>
      </c>
      <c r="H26" s="300"/>
      <c r="I26" s="354">
        <v>48706.536719828197</v>
      </c>
      <c r="J26" s="354">
        <v>1.1784449751999999</v>
      </c>
      <c r="K26" s="301"/>
      <c r="L26" s="354">
        <v>6415.1332849736</v>
      </c>
      <c r="M26" s="354">
        <v>0.2787444744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354">
        <v>153845.18493733901</v>
      </c>
      <c r="E27" s="300"/>
      <c r="F27" s="354">
        <v>68453.879496064401</v>
      </c>
      <c r="G27" s="354">
        <v>1.2438182005</v>
      </c>
      <c r="H27" s="300"/>
      <c r="I27" s="354">
        <v>128415.232243629</v>
      </c>
      <c r="J27" s="354">
        <v>1.2807075045</v>
      </c>
      <c r="K27" s="301"/>
      <c r="L27" s="354">
        <v>16682.508732831699</v>
      </c>
      <c r="M27" s="354">
        <v>0.35783557230000002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354">
        <v>48544.014646115298</v>
      </c>
      <c r="E28" s="300"/>
      <c r="F28" s="354">
        <v>19420.095517940499</v>
      </c>
      <c r="G28" s="354">
        <v>1.2552016511999999</v>
      </c>
      <c r="H28" s="300"/>
      <c r="I28" s="354">
        <v>41068.935460876499</v>
      </c>
      <c r="J28" s="354">
        <v>1.25683386</v>
      </c>
      <c r="K28" s="301"/>
      <c r="L28" s="354">
        <v>2612.4618065105001</v>
      </c>
      <c r="M28" s="354">
        <v>0.2038520281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354">
        <v>20366.691328497</v>
      </c>
      <c r="E29" s="300"/>
      <c r="F29" s="354">
        <v>8500.5153636484993</v>
      </c>
      <c r="G29" s="354">
        <v>1.4285390526999999</v>
      </c>
      <c r="H29" s="300"/>
      <c r="I29" s="354">
        <v>19094.025413913001</v>
      </c>
      <c r="J29" s="354">
        <v>1.4387862384000001</v>
      </c>
      <c r="K29" s="301"/>
      <c r="L29" s="354">
        <v>982.63036212580005</v>
      </c>
      <c r="M29" s="354">
        <v>0.172264308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354">
        <v>10075.872713184701</v>
      </c>
      <c r="E30" s="300"/>
      <c r="F30" s="354">
        <v>3999.1093526241002</v>
      </c>
      <c r="G30" s="354">
        <v>0.99350686089999996</v>
      </c>
      <c r="H30" s="300"/>
      <c r="I30" s="354">
        <v>9022.9636831251992</v>
      </c>
      <c r="J30" s="354">
        <v>0.99321174300000004</v>
      </c>
      <c r="K30" s="301"/>
      <c r="L30" s="354">
        <v>263.0475242233</v>
      </c>
      <c r="M30" s="354">
        <v>7.3236910899999993E-2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354">
        <v>46826.58478284</v>
      </c>
      <c r="E31" s="300"/>
      <c r="F31" s="354">
        <v>23753.3020463838</v>
      </c>
      <c r="G31" s="354">
        <v>1.2812411830999999</v>
      </c>
      <c r="H31" s="300"/>
      <c r="I31" s="354">
        <v>41677.503356012399</v>
      </c>
      <c r="J31" s="354">
        <v>1.3057572180000001</v>
      </c>
      <c r="K31" s="301"/>
      <c r="L31" s="354">
        <v>5693.5003729347</v>
      </c>
      <c r="M31" s="354">
        <v>0.3406565527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354">
        <v>51721.305046021</v>
      </c>
      <c r="E32" s="300"/>
      <c r="F32" s="354">
        <v>21578.376014415298</v>
      </c>
      <c r="G32" s="354">
        <v>1.3144055776000001</v>
      </c>
      <c r="H32" s="300"/>
      <c r="I32" s="354">
        <v>38764.497291969601</v>
      </c>
      <c r="J32" s="354">
        <v>1.3413600787</v>
      </c>
      <c r="K32" s="301"/>
      <c r="L32" s="354">
        <v>2045.4296351251</v>
      </c>
      <c r="M32" s="354">
        <v>0.1834412741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354">
        <v>60553.044746405503</v>
      </c>
      <c r="E33" s="300"/>
      <c r="F33" s="354">
        <v>36693.733361960301</v>
      </c>
      <c r="G33" s="354">
        <v>1.7673679371</v>
      </c>
      <c r="H33" s="300"/>
      <c r="I33" s="354">
        <v>49210.4654757424</v>
      </c>
      <c r="J33" s="354">
        <v>1.7119149525999999</v>
      </c>
      <c r="K33" s="301"/>
      <c r="L33" s="354">
        <v>3886.6083929308002</v>
      </c>
      <c r="M33" s="354">
        <v>0.22506744749999999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354">
        <v>32602.288410915098</v>
      </c>
      <c r="E34" s="300"/>
      <c r="F34" s="354">
        <v>19029.7612002637</v>
      </c>
      <c r="G34" s="354">
        <v>1.8103427684</v>
      </c>
      <c r="H34" s="300"/>
      <c r="I34" s="354">
        <v>20215.012008387199</v>
      </c>
      <c r="J34" s="354">
        <v>1.8021110299</v>
      </c>
      <c r="K34" s="301"/>
      <c r="L34" s="354">
        <v>1792.4790347093001</v>
      </c>
      <c r="M34" s="354">
        <v>0.27496915030000002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354">
        <v>21975.205253110002</v>
      </c>
      <c r="E35" s="300"/>
      <c r="F35" s="354">
        <v>17422.522831681199</v>
      </c>
      <c r="G35" s="354">
        <v>2.3245389009999999</v>
      </c>
      <c r="H35" s="300"/>
      <c r="I35" s="354">
        <v>15302.871915370701</v>
      </c>
      <c r="J35" s="354">
        <v>2.3116675755</v>
      </c>
      <c r="K35" s="301"/>
      <c r="L35" s="354">
        <v>1302.8874925463001</v>
      </c>
      <c r="M35" s="354">
        <v>0.2357601735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354">
        <v>15666.7398479494</v>
      </c>
      <c r="E36" s="300"/>
      <c r="F36" s="354">
        <v>10750.101895895299</v>
      </c>
      <c r="G36" s="354">
        <v>1.226982134</v>
      </c>
      <c r="H36" s="300"/>
      <c r="I36" s="354">
        <v>14079.410438012799</v>
      </c>
      <c r="J36" s="354">
        <v>1.2327611943000001</v>
      </c>
      <c r="K36" s="301"/>
      <c r="L36" s="354">
        <v>2150.2106252264002</v>
      </c>
      <c r="M36" s="354">
        <v>0.27777109970000002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354">
        <v>19480.778027771601</v>
      </c>
      <c r="E37" s="300"/>
      <c r="F37" s="354">
        <v>10805.4203738411</v>
      </c>
      <c r="G37" s="354">
        <v>1.2289128202999999</v>
      </c>
      <c r="H37" s="300"/>
      <c r="I37" s="354">
        <v>18744.676424527999</v>
      </c>
      <c r="J37" s="354">
        <v>1.2080093085000001</v>
      </c>
      <c r="K37" s="301"/>
      <c r="L37" s="354">
        <v>2954.2437999028002</v>
      </c>
      <c r="M37" s="354">
        <v>0.33621008769999999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354">
        <v>25928.550404547899</v>
      </c>
      <c r="E38" s="300"/>
      <c r="F38" s="354">
        <v>13916.543666740001</v>
      </c>
      <c r="G38" s="354">
        <v>1.3144173048000001</v>
      </c>
      <c r="H38" s="300"/>
      <c r="I38" s="354">
        <v>21211.1987710557</v>
      </c>
      <c r="J38" s="354">
        <v>1.2817093244</v>
      </c>
      <c r="K38" s="301"/>
      <c r="L38" s="354">
        <v>2010.1661906710999</v>
      </c>
      <c r="M38" s="354">
        <v>0.2296894525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354">
        <v>24998.115892135302</v>
      </c>
      <c r="E39" s="300"/>
      <c r="F39" s="354">
        <v>12138.318442022</v>
      </c>
      <c r="G39" s="354">
        <v>1.5725424684</v>
      </c>
      <c r="H39" s="300"/>
      <c r="I39" s="354">
        <v>21286.749907046698</v>
      </c>
      <c r="J39" s="354">
        <v>1.5168144912999999</v>
      </c>
      <c r="K39" s="301"/>
      <c r="L39" s="354">
        <v>1955.1601738277</v>
      </c>
      <c r="M39" s="354">
        <v>0.28199450180000002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354">
        <v>22249.9713929684</v>
      </c>
      <c r="E40" s="300"/>
      <c r="F40" s="354">
        <v>16870.134116430501</v>
      </c>
      <c r="G40" s="354">
        <v>1.3995592780999999</v>
      </c>
      <c r="H40" s="300"/>
      <c r="I40" s="354">
        <v>20182.077607195999</v>
      </c>
      <c r="J40" s="354">
        <v>1.3828663805000001</v>
      </c>
      <c r="K40" s="301"/>
      <c r="L40" s="354">
        <v>3818.5937101428999</v>
      </c>
      <c r="M40" s="354">
        <v>0.36860303119999999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354">
        <v>9032.6462727959006</v>
      </c>
      <c r="E41" s="300"/>
      <c r="F41" s="354">
        <v>5808.5829071997996</v>
      </c>
      <c r="G41" s="354">
        <v>1.2655340557999999</v>
      </c>
      <c r="H41" s="300"/>
      <c r="I41" s="354">
        <v>6538.3915939344997</v>
      </c>
      <c r="J41" s="354">
        <v>1.2659248846</v>
      </c>
      <c r="K41" s="301"/>
      <c r="L41" s="354">
        <v>765.40598110029998</v>
      </c>
      <c r="M41" s="354">
        <v>0.2281532704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354">
        <v>73888.639891829996</v>
      </c>
      <c r="E42" s="300"/>
      <c r="F42" s="354">
        <v>34723.684843451003</v>
      </c>
      <c r="G42" s="354">
        <v>1.3029210318</v>
      </c>
      <c r="H42" s="300"/>
      <c r="I42" s="354">
        <v>65618.0809606736</v>
      </c>
      <c r="J42" s="354">
        <v>1.3418969941000001</v>
      </c>
      <c r="K42" s="301"/>
      <c r="L42" s="354">
        <v>6290.7086757307998</v>
      </c>
      <c r="M42" s="354">
        <v>0.26561432480000002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354">
        <v>22166.611550397301</v>
      </c>
      <c r="E43" s="300"/>
      <c r="F43" s="354">
        <v>13608.0511695677</v>
      </c>
      <c r="G43" s="354">
        <v>1.6647607447999999</v>
      </c>
      <c r="H43" s="300"/>
      <c r="I43" s="354">
        <v>17802.0347901606</v>
      </c>
      <c r="J43" s="354">
        <v>1.6524197665</v>
      </c>
      <c r="K43" s="301"/>
      <c r="L43" s="354">
        <v>1365.4863492544</v>
      </c>
      <c r="M43" s="354">
        <v>0.20714122539999999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354">
        <v>16223.618786687</v>
      </c>
      <c r="E44" s="300"/>
      <c r="F44" s="354">
        <v>6452.6753602425997</v>
      </c>
      <c r="G44" s="354">
        <v>1.2315716553</v>
      </c>
      <c r="H44" s="300"/>
      <c r="I44" s="354">
        <v>14015.4648206495</v>
      </c>
      <c r="J44" s="354">
        <v>1.2381081653999999</v>
      </c>
      <c r="K44" s="301"/>
      <c r="L44" s="354">
        <v>1005.7120818936</v>
      </c>
      <c r="M44" s="354">
        <v>0.2221583315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ht="12.75" customHeight="1" x14ac:dyDescent="0.2">
      <c r="B48" s="290" t="s">
        <v>150</v>
      </c>
      <c r="D48" s="17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210EA52A-9993-4C33-9FFE-82E1C75E5C2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1E8E-D52D-4186-AB9A-3760D94B6610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368" t="s">
        <v>194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18" t="s">
        <v>83</v>
      </c>
      <c r="C5" s="418"/>
      <c r="D5" s="418"/>
      <c r="E5" s="418"/>
      <c r="F5" s="418"/>
      <c r="G5" s="418"/>
      <c r="H5" s="418"/>
      <c r="I5" s="418"/>
      <c r="J5" s="418"/>
      <c r="K5" s="418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395" t="s">
        <v>84</v>
      </c>
      <c r="C7" s="395"/>
      <c r="D7" s="427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396"/>
      <c r="C8" s="396"/>
      <c r="D8" s="428"/>
      <c r="E8" s="5"/>
      <c r="F8" s="416" t="s">
        <v>73</v>
      </c>
      <c r="G8" s="416"/>
      <c r="H8" s="6"/>
      <c r="I8" s="417" t="s">
        <v>74</v>
      </c>
      <c r="J8" s="417"/>
      <c r="K8" s="2"/>
      <c r="L8" s="417" t="s">
        <v>37</v>
      </c>
      <c r="M8" s="417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26"/>
      <c r="C9" s="426"/>
      <c r="D9" s="429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356">
        <v>245318.59867594499</v>
      </c>
      <c r="E11" s="291"/>
      <c r="F11" s="356">
        <v>123493.303045938</v>
      </c>
      <c r="G11" s="356">
        <v>0.29745965419999998</v>
      </c>
      <c r="H11" s="291"/>
      <c r="I11" s="356">
        <v>207128.634476615</v>
      </c>
      <c r="J11" s="356">
        <v>0.3008944248</v>
      </c>
      <c r="K11" s="301"/>
      <c r="L11" s="356">
        <v>25439.853502000002</v>
      </c>
      <c r="M11" s="356">
        <v>7.1909285899999995E-2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3"/>
      <c r="E12" s="291"/>
      <c r="F12" s="293"/>
      <c r="G12" s="295"/>
      <c r="H12" s="291"/>
      <c r="I12" s="293"/>
      <c r="J12" s="295"/>
      <c r="K12" s="301"/>
      <c r="L12" s="293"/>
      <c r="M12" s="295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354">
        <v>130448.21952647</v>
      </c>
      <c r="E13" s="297"/>
      <c r="F13" s="354">
        <v>57145.998856556602</v>
      </c>
      <c r="G13" s="354">
        <v>0.63090553940000005</v>
      </c>
      <c r="H13" s="297"/>
      <c r="I13" s="354">
        <v>105640.72635891799</v>
      </c>
      <c r="J13" s="354">
        <v>0.62295264689999996</v>
      </c>
      <c r="K13" s="301"/>
      <c r="L13" s="354">
        <v>9747.0187271480008</v>
      </c>
      <c r="M13" s="354">
        <v>0.13029481870000001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354">
        <v>120874.88248751601</v>
      </c>
      <c r="E14" s="297"/>
      <c r="F14" s="354">
        <v>51902.459525771701</v>
      </c>
      <c r="G14" s="354">
        <v>0.81349959569999997</v>
      </c>
      <c r="H14" s="297"/>
      <c r="I14" s="354">
        <v>93330.269570885706</v>
      </c>
      <c r="J14" s="354">
        <v>0.82110512660000001</v>
      </c>
      <c r="K14" s="301"/>
      <c r="L14" s="354">
        <v>5950.8888364575996</v>
      </c>
      <c r="M14" s="354">
        <v>0.12712013450000001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354">
        <v>129177.384084488</v>
      </c>
      <c r="E15" s="297"/>
      <c r="F15" s="354">
        <v>53622.334065974603</v>
      </c>
      <c r="G15" s="354">
        <v>0.73300395730000001</v>
      </c>
      <c r="H15" s="297"/>
      <c r="I15" s="354">
        <v>103585.72721057299</v>
      </c>
      <c r="J15" s="354">
        <v>0.74930094280000004</v>
      </c>
      <c r="K15" s="301"/>
      <c r="L15" s="354">
        <v>7926.4829275212996</v>
      </c>
      <c r="M15" s="354">
        <v>0.1398270076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354">
        <v>113668.722195625</v>
      </c>
      <c r="E16" s="297"/>
      <c r="F16" s="354">
        <v>81009.955525824204</v>
      </c>
      <c r="G16" s="354">
        <v>0.43050698100000001</v>
      </c>
      <c r="H16" s="297"/>
      <c r="I16" s="354">
        <v>112854.959243121</v>
      </c>
      <c r="J16" s="354">
        <v>0.43828285659999999</v>
      </c>
      <c r="K16" s="301"/>
      <c r="L16" s="354">
        <v>21305.8574714018</v>
      </c>
      <c r="M16" s="354">
        <v>0.1210240452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x14ac:dyDescent="0.25">
      <c r="B20" s="290" t="s">
        <v>150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25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62F71378-4665-4206-BEFE-7FDAA3E3B58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621D-9ED2-4BAB-B95E-1B93EA3DF711}">
  <sheetPr>
    <pageSetUpPr fitToPage="1"/>
  </sheetPr>
  <dimension ref="A1:AP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368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368" t="s">
        <v>194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30" t="s">
        <v>134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275"/>
      <c r="Q5" s="190" t="s">
        <v>122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20.25" customHeight="1" x14ac:dyDescent="0.2">
      <c r="A7" s="103"/>
      <c r="B7" s="433" t="s">
        <v>0</v>
      </c>
      <c r="C7" s="433"/>
      <c r="D7" s="436" t="s">
        <v>119</v>
      </c>
      <c r="E7" s="357"/>
      <c r="F7" s="436" t="s">
        <v>124</v>
      </c>
      <c r="G7" s="357"/>
      <c r="H7" s="439" t="s">
        <v>118</v>
      </c>
      <c r="I7" s="439"/>
      <c r="J7" s="439"/>
      <c r="K7" s="439"/>
      <c r="L7" s="439"/>
      <c r="M7" s="439"/>
      <c r="N7" s="439"/>
      <c r="O7" s="439"/>
      <c r="P7" s="276"/>
      <c r="Q7" s="440" t="s">
        <v>121</v>
      </c>
    </row>
    <row r="8" spans="1:18" ht="42.75" customHeight="1" x14ac:dyDescent="0.2">
      <c r="A8" s="103"/>
      <c r="B8" s="434"/>
      <c r="C8" s="434"/>
      <c r="D8" s="437"/>
      <c r="E8" s="358"/>
      <c r="F8" s="437"/>
      <c r="G8" s="358"/>
      <c r="H8" s="439" t="s">
        <v>117</v>
      </c>
      <c r="I8" s="439"/>
      <c r="J8" s="357"/>
      <c r="K8" s="439" t="s">
        <v>116</v>
      </c>
      <c r="L8" s="439"/>
      <c r="M8" s="85"/>
      <c r="N8" s="439" t="s">
        <v>115</v>
      </c>
      <c r="O8" s="439"/>
      <c r="P8" s="89"/>
      <c r="Q8" s="441"/>
    </row>
    <row r="9" spans="1:18" ht="15" customHeight="1" x14ac:dyDescent="0.2">
      <c r="A9" s="104"/>
      <c r="B9" s="435"/>
      <c r="C9" s="435"/>
      <c r="D9" s="438"/>
      <c r="E9" s="359"/>
      <c r="F9" s="438"/>
      <c r="G9" s="359"/>
      <c r="H9" s="253" t="s">
        <v>2</v>
      </c>
      <c r="I9" s="262" t="s">
        <v>3</v>
      </c>
      <c r="J9" s="359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42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356">
        <v>245318.59867594499</v>
      </c>
      <c r="E11" s="299"/>
      <c r="F11" s="356">
        <v>72389.793649875704</v>
      </c>
      <c r="G11" s="292"/>
      <c r="H11" s="356">
        <v>53346.795024299798</v>
      </c>
      <c r="I11" s="356">
        <v>1.096043492</v>
      </c>
      <c r="J11" s="292"/>
      <c r="K11" s="356">
        <v>47324.7610210735</v>
      </c>
      <c r="L11" s="356">
        <v>1.0673041463999999</v>
      </c>
      <c r="M11" s="292"/>
      <c r="N11" s="356">
        <v>20632.907451567498</v>
      </c>
      <c r="O11" s="356">
        <v>0.60874343470000003</v>
      </c>
      <c r="P11" s="292"/>
      <c r="Q11" s="356">
        <v>235170.77350244299</v>
      </c>
      <c r="R11" s="277"/>
    </row>
    <row r="12" spans="1:18" ht="6" customHeight="1" x14ac:dyDescent="0.2">
      <c r="A12" s="107"/>
      <c r="B12" s="82"/>
      <c r="C12" s="82"/>
      <c r="D12" s="293"/>
      <c r="E12" s="299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2.75" customHeight="1" x14ac:dyDescent="0.2">
      <c r="A13" s="107"/>
      <c r="B13" s="75" t="s">
        <v>5</v>
      </c>
      <c r="C13" s="68"/>
      <c r="D13" s="354">
        <v>8967.3004696325006</v>
      </c>
      <c r="E13" s="300"/>
      <c r="F13" s="354">
        <v>3208.3162220138001</v>
      </c>
      <c r="G13" s="294"/>
      <c r="H13" s="354">
        <v>2669.1639858368999</v>
      </c>
      <c r="I13" s="354">
        <v>4.2724176733999997</v>
      </c>
      <c r="J13" s="296"/>
      <c r="K13" s="354">
        <v>2004.8866503196</v>
      </c>
      <c r="L13" s="354">
        <v>4.5930562194000002</v>
      </c>
      <c r="M13" s="296"/>
      <c r="N13" s="354">
        <v>917.37177726280004</v>
      </c>
      <c r="O13" s="354">
        <v>2.3276712278999998</v>
      </c>
      <c r="P13" s="296"/>
      <c r="Q13" s="354">
        <v>8932.0347599792003</v>
      </c>
    </row>
    <row r="14" spans="1:18" ht="12.75" customHeight="1" x14ac:dyDescent="0.2">
      <c r="A14" s="107"/>
      <c r="B14" s="75" t="s">
        <v>6</v>
      </c>
      <c r="C14" s="68"/>
      <c r="D14" s="354">
        <v>30546.712730472598</v>
      </c>
      <c r="E14" s="300"/>
      <c r="F14" s="354">
        <v>10972.6567139417</v>
      </c>
      <c r="G14" s="294"/>
      <c r="H14" s="354">
        <v>8463.4624299811003</v>
      </c>
      <c r="I14" s="354">
        <v>3.7899099723999998</v>
      </c>
      <c r="J14" s="296"/>
      <c r="K14" s="354">
        <v>7299.2206038202003</v>
      </c>
      <c r="L14" s="354">
        <v>3.9427241510000002</v>
      </c>
      <c r="M14" s="296"/>
      <c r="N14" s="354">
        <v>1988.5310874397001</v>
      </c>
      <c r="O14" s="354">
        <v>1.471889531</v>
      </c>
      <c r="P14" s="296"/>
      <c r="Q14" s="354">
        <v>28561.517766058201</v>
      </c>
    </row>
    <row r="15" spans="1:18" ht="12.75" customHeight="1" x14ac:dyDescent="0.2">
      <c r="A15" s="104"/>
      <c r="B15" s="75" t="s">
        <v>7</v>
      </c>
      <c r="C15" s="68"/>
      <c r="D15" s="354">
        <v>8722.5870993348999</v>
      </c>
      <c r="E15" s="300"/>
      <c r="F15" s="354">
        <v>3538.7522670569001</v>
      </c>
      <c r="G15" s="294"/>
      <c r="H15" s="354">
        <v>2492.7752546851998</v>
      </c>
      <c r="I15" s="354">
        <v>4.3704391509000002</v>
      </c>
      <c r="J15" s="296"/>
      <c r="K15" s="354">
        <v>2676.7843294265999</v>
      </c>
      <c r="L15" s="354">
        <v>3.5013442631</v>
      </c>
      <c r="M15" s="296"/>
      <c r="N15" s="354">
        <v>1285.5364521074</v>
      </c>
      <c r="O15" s="354">
        <v>2.5479430330000001</v>
      </c>
      <c r="P15" s="296"/>
      <c r="Q15" s="354">
        <v>7902.7949803617003</v>
      </c>
    </row>
    <row r="16" spans="1:18" ht="12.75" customHeight="1" x14ac:dyDescent="0.2">
      <c r="A16" s="104"/>
      <c r="B16" s="75" t="s">
        <v>8</v>
      </c>
      <c r="C16" s="68"/>
      <c r="D16" s="354">
        <v>9823.9999164673009</v>
      </c>
      <c r="E16" s="300"/>
      <c r="F16" s="354">
        <v>1725.8442417041999</v>
      </c>
      <c r="G16" s="294"/>
      <c r="H16" s="354">
        <v>1071.2085320447</v>
      </c>
      <c r="I16" s="354">
        <v>4.3544971352999999</v>
      </c>
      <c r="J16" s="296"/>
      <c r="K16" s="354">
        <v>1245.0562034804</v>
      </c>
      <c r="L16" s="354">
        <v>4.6290635167999996</v>
      </c>
      <c r="M16" s="296"/>
      <c r="N16" s="354">
        <v>514.83193435810006</v>
      </c>
      <c r="O16" s="354">
        <v>3.0342872979000002</v>
      </c>
      <c r="P16" s="296"/>
      <c r="Q16" s="354">
        <v>9614.6633501734996</v>
      </c>
    </row>
    <row r="17" spans="1:17" ht="12.75" customHeight="1" x14ac:dyDescent="0.2">
      <c r="A17" s="104"/>
      <c r="B17" s="75" t="s">
        <v>9</v>
      </c>
      <c r="C17" s="68"/>
      <c r="D17" s="355">
        <v>20174.373876367401</v>
      </c>
      <c r="E17" s="300"/>
      <c r="F17" s="355">
        <v>7117.4578580300004</v>
      </c>
      <c r="G17" s="294"/>
      <c r="H17" s="355">
        <v>6302.7949402209997</v>
      </c>
      <c r="I17" s="355">
        <v>3.9752299259999999</v>
      </c>
      <c r="J17" s="296"/>
      <c r="K17" s="355">
        <v>3372.5447912916002</v>
      </c>
      <c r="L17" s="355">
        <v>3.8750736867</v>
      </c>
      <c r="M17" s="296"/>
      <c r="N17" s="355">
        <v>2082.4406307005002</v>
      </c>
      <c r="O17" s="355">
        <v>2.5517273654000001</v>
      </c>
      <c r="P17" s="296"/>
      <c r="Q17" s="355">
        <v>20414.032897744699</v>
      </c>
    </row>
    <row r="18" spans="1:17" ht="12.75" customHeight="1" x14ac:dyDescent="0.2">
      <c r="A18" s="108"/>
      <c r="B18" s="75" t="s">
        <v>10</v>
      </c>
      <c r="C18" s="68"/>
      <c r="D18" s="355">
        <v>8619.0153653119996</v>
      </c>
      <c r="E18" s="300"/>
      <c r="F18" s="355">
        <v>2678.5330827788998</v>
      </c>
      <c r="G18" s="294"/>
      <c r="H18" s="355">
        <v>1879.7012170854</v>
      </c>
      <c r="I18" s="355">
        <v>4.2806989902000003</v>
      </c>
      <c r="J18" s="296"/>
      <c r="K18" s="355">
        <v>1745.3636381675001</v>
      </c>
      <c r="L18" s="355">
        <v>3.9745366654000001</v>
      </c>
      <c r="M18" s="296"/>
      <c r="N18" s="355">
        <v>734.35430856300002</v>
      </c>
      <c r="O18" s="355">
        <v>2.5300121297999998</v>
      </c>
      <c r="P18" s="296"/>
      <c r="Q18" s="355">
        <v>7715.2483907674996</v>
      </c>
    </row>
    <row r="19" spans="1:17" ht="12.75" customHeight="1" x14ac:dyDescent="0.2">
      <c r="A19" s="108"/>
      <c r="B19" s="75" t="s">
        <v>11</v>
      </c>
      <c r="C19" s="68"/>
      <c r="D19" s="354">
        <v>63038.559215489498</v>
      </c>
      <c r="E19" s="300"/>
      <c r="F19" s="354">
        <v>11367.9766962178</v>
      </c>
      <c r="G19" s="294"/>
      <c r="H19" s="354">
        <v>6604.1882136600998</v>
      </c>
      <c r="I19" s="354">
        <v>4.8671177899</v>
      </c>
      <c r="J19" s="296"/>
      <c r="K19" s="354">
        <v>7863.1212767871002</v>
      </c>
      <c r="L19" s="354">
        <v>5.6259028985999997</v>
      </c>
      <c r="M19" s="296"/>
      <c r="N19" s="354">
        <v>4597.7791444934001</v>
      </c>
      <c r="O19" s="354">
        <v>4.0907747094999998</v>
      </c>
      <c r="P19" s="296"/>
      <c r="Q19" s="354">
        <v>60432.987274349704</v>
      </c>
    </row>
    <row r="20" spans="1:17" ht="12.75" customHeight="1" x14ac:dyDescent="0.2">
      <c r="B20" s="75" t="s">
        <v>12</v>
      </c>
      <c r="C20" s="68"/>
      <c r="D20" s="354">
        <v>21528.302989013799</v>
      </c>
      <c r="E20" s="300"/>
      <c r="F20" s="354">
        <v>11337.483031686999</v>
      </c>
      <c r="G20" s="294"/>
      <c r="H20" s="354">
        <v>9972.7766591499003</v>
      </c>
      <c r="I20" s="354">
        <v>3.9306004299000001</v>
      </c>
      <c r="J20" s="296"/>
      <c r="K20" s="354">
        <v>6180.0996349850002</v>
      </c>
      <c r="L20" s="354">
        <v>3.7902262591000002</v>
      </c>
      <c r="M20" s="296"/>
      <c r="N20" s="354">
        <v>3005.4461227431998</v>
      </c>
      <c r="O20" s="354">
        <v>2.3222608252999999</v>
      </c>
      <c r="P20" s="296"/>
      <c r="Q20" s="354">
        <v>20854.896474007099</v>
      </c>
    </row>
    <row r="21" spans="1:17" ht="12.75" customHeight="1" x14ac:dyDescent="0.2">
      <c r="B21" s="75" t="s">
        <v>13</v>
      </c>
      <c r="C21" s="68"/>
      <c r="D21" s="354">
        <v>50347.549406123697</v>
      </c>
      <c r="E21" s="300"/>
      <c r="F21" s="354">
        <v>19933.3211302159</v>
      </c>
      <c r="G21" s="294"/>
      <c r="H21" s="354">
        <v>10486.842988486</v>
      </c>
      <c r="I21" s="354">
        <v>4.1413458248000001</v>
      </c>
      <c r="J21" s="296"/>
      <c r="K21" s="354">
        <v>17818.367375514899</v>
      </c>
      <c r="L21" s="354">
        <v>4.1142578786000001</v>
      </c>
      <c r="M21" s="296"/>
      <c r="N21" s="354">
        <v>6400.5566263297997</v>
      </c>
      <c r="O21" s="354">
        <v>2.6621168647000002</v>
      </c>
      <c r="P21" s="296"/>
      <c r="Q21" s="354">
        <v>48845.479247880598</v>
      </c>
    </row>
    <row r="22" spans="1:17" ht="12.75" customHeight="1" x14ac:dyDescent="0.2">
      <c r="B22" s="75" t="s">
        <v>14</v>
      </c>
      <c r="C22" s="68"/>
      <c r="D22" s="354">
        <v>12174.4839866041</v>
      </c>
      <c r="E22" s="300"/>
      <c r="F22" s="354">
        <v>3490.1136660912998</v>
      </c>
      <c r="G22" s="294"/>
      <c r="H22" s="354">
        <v>2709.1471230443999</v>
      </c>
      <c r="I22" s="354">
        <v>5.0510940359000003</v>
      </c>
      <c r="J22" s="296"/>
      <c r="K22" s="354">
        <v>2297.3171977165998</v>
      </c>
      <c r="L22" s="354">
        <v>5.1524491554000003</v>
      </c>
      <c r="M22" s="296"/>
      <c r="N22" s="354">
        <v>825.93599370679999</v>
      </c>
      <c r="O22" s="354">
        <v>2.3610345144</v>
      </c>
      <c r="P22" s="296"/>
      <c r="Q22" s="354">
        <v>12201.088825372801</v>
      </c>
    </row>
    <row r="23" spans="1:17" ht="12.75" customHeight="1" x14ac:dyDescent="0.2">
      <c r="B23" s="75" t="s">
        <v>15</v>
      </c>
      <c r="C23" s="68"/>
      <c r="D23" s="354">
        <v>39342.759310615002</v>
      </c>
      <c r="E23" s="300"/>
      <c r="F23" s="354">
        <v>14569.059043616</v>
      </c>
      <c r="G23" s="294"/>
      <c r="H23" s="354">
        <v>10410.615532706501</v>
      </c>
      <c r="I23" s="354">
        <v>4.1660067021999998</v>
      </c>
      <c r="J23" s="296"/>
      <c r="K23" s="354">
        <v>9109.1397423558992</v>
      </c>
      <c r="L23" s="354">
        <v>4.356452558</v>
      </c>
      <c r="M23" s="296"/>
      <c r="N23" s="354">
        <v>2924.1894744521001</v>
      </c>
      <c r="O23" s="354">
        <v>2.2241137899000001</v>
      </c>
      <c r="P23" s="296"/>
      <c r="Q23" s="354">
        <v>38252.352110691303</v>
      </c>
    </row>
    <row r="24" spans="1:17" ht="12.75" customHeight="1" x14ac:dyDescent="0.2">
      <c r="B24" s="75" t="s">
        <v>16</v>
      </c>
      <c r="C24" s="68"/>
      <c r="D24" s="354">
        <v>28850.313181142301</v>
      </c>
      <c r="E24" s="300"/>
      <c r="F24" s="354">
        <v>5560.7728680941</v>
      </c>
      <c r="G24" s="294"/>
      <c r="H24" s="354">
        <v>3288.636992833</v>
      </c>
      <c r="I24" s="354">
        <v>5.2843946661999999</v>
      </c>
      <c r="J24" s="296"/>
      <c r="K24" s="354">
        <v>5065.3166332942001</v>
      </c>
      <c r="L24" s="354">
        <v>4.5752571387999996</v>
      </c>
      <c r="M24" s="296"/>
      <c r="N24" s="354">
        <v>1421.4331299281</v>
      </c>
      <c r="O24" s="354">
        <v>2.5419019869000001</v>
      </c>
      <c r="P24" s="296"/>
      <c r="Q24" s="354">
        <v>27344.873667673699</v>
      </c>
    </row>
    <row r="25" spans="1:17" ht="12.75" customHeight="1" x14ac:dyDescent="0.2">
      <c r="B25" s="75" t="s">
        <v>17</v>
      </c>
      <c r="C25" s="68"/>
      <c r="D25" s="354">
        <v>24330.5739194446</v>
      </c>
      <c r="E25" s="300"/>
      <c r="F25" s="354">
        <v>6595.5965292592</v>
      </c>
      <c r="G25" s="294"/>
      <c r="H25" s="354">
        <v>5753.9125384496001</v>
      </c>
      <c r="I25" s="354">
        <v>7.0150686631000001</v>
      </c>
      <c r="J25" s="296"/>
      <c r="K25" s="354">
        <v>3366.3232238022001</v>
      </c>
      <c r="L25" s="354">
        <v>6.5099852439000001</v>
      </c>
      <c r="M25" s="296"/>
      <c r="N25" s="354">
        <v>1277.1686691755999</v>
      </c>
      <c r="O25" s="354">
        <v>2.7637064206000002</v>
      </c>
      <c r="P25" s="296"/>
      <c r="Q25" s="354">
        <v>24959.086725371501</v>
      </c>
    </row>
    <row r="26" spans="1:17" ht="12.75" customHeight="1" x14ac:dyDescent="0.2">
      <c r="B26" s="75" t="s">
        <v>18</v>
      </c>
      <c r="C26" s="68"/>
      <c r="D26" s="354">
        <v>55559.275928897499</v>
      </c>
      <c r="E26" s="300"/>
      <c r="F26" s="354">
        <v>22013.5495681332</v>
      </c>
      <c r="G26" s="294"/>
      <c r="H26" s="354">
        <v>13783.6876778731</v>
      </c>
      <c r="I26" s="354">
        <v>3.7790895981000001</v>
      </c>
      <c r="J26" s="296"/>
      <c r="K26" s="354">
        <v>18129.933888930002</v>
      </c>
      <c r="L26" s="354">
        <v>3.6608362237000001</v>
      </c>
      <c r="M26" s="296"/>
      <c r="N26" s="354">
        <v>9375.2286959044995</v>
      </c>
      <c r="O26" s="354">
        <v>2.9112545389000002</v>
      </c>
      <c r="P26" s="296"/>
      <c r="Q26" s="354">
        <v>54965.984748982402</v>
      </c>
    </row>
    <row r="27" spans="1:17" ht="12.75" customHeight="1" x14ac:dyDescent="0.2">
      <c r="B27" s="75" t="s">
        <v>19</v>
      </c>
      <c r="C27" s="68"/>
      <c r="D27" s="354">
        <v>153845.18493733901</v>
      </c>
      <c r="E27" s="300"/>
      <c r="F27" s="354">
        <v>38444.982029458602</v>
      </c>
      <c r="G27" s="294"/>
      <c r="H27" s="354">
        <v>30535.3191582621</v>
      </c>
      <c r="I27" s="354">
        <v>5.1477920944999997</v>
      </c>
      <c r="J27" s="296"/>
      <c r="K27" s="354">
        <v>24044.7959599922</v>
      </c>
      <c r="L27" s="354">
        <v>4.9156058636999997</v>
      </c>
      <c r="M27" s="296"/>
      <c r="N27" s="354">
        <v>11335.7317755313</v>
      </c>
      <c r="O27" s="354">
        <v>2.6952667682000002</v>
      </c>
      <c r="P27" s="296"/>
      <c r="Q27" s="354">
        <v>150810.10793457</v>
      </c>
    </row>
    <row r="28" spans="1:17" ht="12.75" customHeight="1" x14ac:dyDescent="0.2">
      <c r="B28" s="75" t="s">
        <v>20</v>
      </c>
      <c r="C28" s="68"/>
      <c r="D28" s="354">
        <v>48544.014646115298</v>
      </c>
      <c r="E28" s="300"/>
      <c r="F28" s="354">
        <v>14199.8901511636</v>
      </c>
      <c r="G28" s="294"/>
      <c r="H28" s="354">
        <v>10439.763251521401</v>
      </c>
      <c r="I28" s="354">
        <v>5.6891319740000004</v>
      </c>
      <c r="J28" s="296"/>
      <c r="K28" s="354">
        <v>7457.5044400542001</v>
      </c>
      <c r="L28" s="354">
        <v>5.8784304610999998</v>
      </c>
      <c r="M28" s="296"/>
      <c r="N28" s="354">
        <v>2258.1407697730001</v>
      </c>
      <c r="O28" s="354">
        <v>2.2795382706999998</v>
      </c>
      <c r="P28" s="296"/>
      <c r="Q28" s="354">
        <v>45709.474793315101</v>
      </c>
    </row>
    <row r="29" spans="1:17" ht="12.75" customHeight="1" x14ac:dyDescent="0.2">
      <c r="B29" s="75" t="s">
        <v>21</v>
      </c>
      <c r="C29" s="68"/>
      <c r="D29" s="354">
        <v>20366.691328497</v>
      </c>
      <c r="E29" s="300"/>
      <c r="F29" s="354">
        <v>4238.8664422438997</v>
      </c>
      <c r="G29" s="294"/>
      <c r="H29" s="354">
        <v>2578.1196178394998</v>
      </c>
      <c r="I29" s="354">
        <v>5.3419163695999998</v>
      </c>
      <c r="J29" s="296"/>
      <c r="K29" s="354">
        <v>3415.6792739637999</v>
      </c>
      <c r="L29" s="354">
        <v>5.6034277746000001</v>
      </c>
      <c r="M29" s="296"/>
      <c r="N29" s="354">
        <v>1395.2947205313999</v>
      </c>
      <c r="O29" s="354">
        <v>3.6229180760999999</v>
      </c>
      <c r="P29" s="296"/>
      <c r="Q29" s="354">
        <v>19881.3622953669</v>
      </c>
    </row>
    <row r="30" spans="1:17" ht="12.75" customHeight="1" x14ac:dyDescent="0.2">
      <c r="B30" s="75" t="s">
        <v>22</v>
      </c>
      <c r="C30" s="68"/>
      <c r="D30" s="354">
        <v>10075.872713184701</v>
      </c>
      <c r="E30" s="300"/>
      <c r="F30" s="354">
        <v>3349.0868791612002</v>
      </c>
      <c r="G30" s="294"/>
      <c r="H30" s="354">
        <v>2539.249348717</v>
      </c>
      <c r="I30" s="354">
        <v>6.2168209961000001</v>
      </c>
      <c r="J30" s="296"/>
      <c r="K30" s="354">
        <v>2799.8682538446001</v>
      </c>
      <c r="L30" s="354">
        <v>5.8520919268</v>
      </c>
      <c r="M30" s="296"/>
      <c r="N30" s="354">
        <v>978.95504240210005</v>
      </c>
      <c r="O30" s="354">
        <v>2.8171793203000002</v>
      </c>
      <c r="P30" s="296"/>
      <c r="Q30" s="354">
        <v>10010.9326171462</v>
      </c>
    </row>
    <row r="31" spans="1:17" ht="12.75" customHeight="1" x14ac:dyDescent="0.2">
      <c r="B31" s="75" t="s">
        <v>23</v>
      </c>
      <c r="C31" s="68"/>
      <c r="D31" s="354">
        <v>46826.58478284</v>
      </c>
      <c r="E31" s="300"/>
      <c r="F31" s="354">
        <v>22632.012422984299</v>
      </c>
      <c r="G31" s="294"/>
      <c r="H31" s="354">
        <v>18159.232491618401</v>
      </c>
      <c r="I31" s="354">
        <v>4.4399012259999999</v>
      </c>
      <c r="J31" s="296"/>
      <c r="K31" s="354">
        <v>11745.6241157068</v>
      </c>
      <c r="L31" s="354">
        <v>4.4739086547999998</v>
      </c>
      <c r="M31" s="296"/>
      <c r="N31" s="354">
        <v>2894.1387102551998</v>
      </c>
      <c r="O31" s="354">
        <v>1.4688175111999999</v>
      </c>
      <c r="P31" s="296"/>
      <c r="Q31" s="354">
        <v>38507.706722466603</v>
      </c>
    </row>
    <row r="32" spans="1:17" ht="12.75" customHeight="1" x14ac:dyDescent="0.2">
      <c r="B32" s="75" t="s">
        <v>24</v>
      </c>
      <c r="C32" s="68"/>
      <c r="D32" s="354">
        <v>51721.305046021</v>
      </c>
      <c r="E32" s="300"/>
      <c r="F32" s="354">
        <v>9650.4376468520004</v>
      </c>
      <c r="G32" s="294"/>
      <c r="H32" s="354">
        <v>6744.5632737569003</v>
      </c>
      <c r="I32" s="354">
        <v>7.6872244858999998</v>
      </c>
      <c r="J32" s="296"/>
      <c r="K32" s="354">
        <v>6361.5369439282003</v>
      </c>
      <c r="L32" s="354">
        <v>7.6637733424999999</v>
      </c>
      <c r="M32" s="296"/>
      <c r="N32" s="354">
        <v>2142.5390064863</v>
      </c>
      <c r="O32" s="354">
        <v>3.6029863674999998</v>
      </c>
      <c r="P32" s="296"/>
      <c r="Q32" s="354">
        <v>48063.013464349402</v>
      </c>
    </row>
    <row r="33" spans="1:17" ht="12.75" customHeight="1" x14ac:dyDescent="0.2">
      <c r="B33" s="75" t="s">
        <v>25</v>
      </c>
      <c r="C33" s="68"/>
      <c r="D33" s="354">
        <v>60553.044746405503</v>
      </c>
      <c r="E33" s="300"/>
      <c r="F33" s="354">
        <v>19606.698065617002</v>
      </c>
      <c r="G33" s="294"/>
      <c r="H33" s="354">
        <v>13275.993005308501</v>
      </c>
      <c r="I33" s="354">
        <v>4.6967780199</v>
      </c>
      <c r="J33" s="296"/>
      <c r="K33" s="354">
        <v>13470.8602689319</v>
      </c>
      <c r="L33" s="354">
        <v>4.7584423027999998</v>
      </c>
      <c r="M33" s="296"/>
      <c r="N33" s="354">
        <v>5787.1599120466999</v>
      </c>
      <c r="O33" s="354">
        <v>2.6236885567999999</v>
      </c>
      <c r="P33" s="296"/>
      <c r="Q33" s="354">
        <v>54254.873658207398</v>
      </c>
    </row>
    <row r="34" spans="1:17" ht="12.75" customHeight="1" x14ac:dyDescent="0.2">
      <c r="B34" s="75" t="s">
        <v>26</v>
      </c>
      <c r="C34" s="68"/>
      <c r="D34" s="354">
        <v>32602.288410915098</v>
      </c>
      <c r="E34" s="300"/>
      <c r="F34" s="354">
        <v>6480.2918895251996</v>
      </c>
      <c r="G34" s="294"/>
      <c r="H34" s="354">
        <v>4881.8615021186997</v>
      </c>
      <c r="I34" s="354">
        <v>4.9522778562000003</v>
      </c>
      <c r="J34" s="296"/>
      <c r="K34" s="354">
        <v>4023.2294217660001</v>
      </c>
      <c r="L34" s="354">
        <v>4.9542612228999996</v>
      </c>
      <c r="M34" s="296"/>
      <c r="N34" s="354">
        <v>1166.7424135821</v>
      </c>
      <c r="O34" s="354">
        <v>1.8640382244</v>
      </c>
      <c r="P34" s="296"/>
      <c r="Q34" s="354">
        <v>30883.1270518737</v>
      </c>
    </row>
    <row r="35" spans="1:17" ht="12.75" customHeight="1" x14ac:dyDescent="0.2">
      <c r="B35" s="75" t="s">
        <v>27</v>
      </c>
      <c r="C35" s="68"/>
      <c r="D35" s="354">
        <v>21975.205253110002</v>
      </c>
      <c r="E35" s="300"/>
      <c r="F35" s="354">
        <v>15466.0560925308</v>
      </c>
      <c r="G35" s="294"/>
      <c r="H35" s="354">
        <v>9914.4359816986998</v>
      </c>
      <c r="I35" s="354">
        <v>3.7272705813</v>
      </c>
      <c r="J35" s="296"/>
      <c r="K35" s="354">
        <v>7890.5293986903998</v>
      </c>
      <c r="L35" s="354">
        <v>3.4786683992</v>
      </c>
      <c r="M35" s="296"/>
      <c r="N35" s="354">
        <v>3420.8938081556998</v>
      </c>
      <c r="O35" s="354">
        <v>2.0714758772000001</v>
      </c>
      <c r="P35" s="296"/>
      <c r="Q35" s="354">
        <v>13894.836306310401</v>
      </c>
    </row>
    <row r="36" spans="1:17" ht="12.75" customHeight="1" x14ac:dyDescent="0.2">
      <c r="B36" s="75" t="s">
        <v>28</v>
      </c>
      <c r="C36" s="68"/>
      <c r="D36" s="354">
        <v>15666.7398479494</v>
      </c>
      <c r="E36" s="300"/>
      <c r="F36" s="354">
        <v>6622.5767349054004</v>
      </c>
      <c r="G36" s="294"/>
      <c r="H36" s="354">
        <v>6374.9029226964003</v>
      </c>
      <c r="I36" s="354">
        <v>4.6440020653999996</v>
      </c>
      <c r="J36" s="296"/>
      <c r="K36" s="354">
        <v>2850.9797830880998</v>
      </c>
      <c r="L36" s="354">
        <v>4.9430373625000001</v>
      </c>
      <c r="M36" s="296"/>
      <c r="N36" s="354">
        <v>1011.7286342039999</v>
      </c>
      <c r="O36" s="354">
        <v>1.7227698711999999</v>
      </c>
      <c r="P36" s="296"/>
      <c r="Q36" s="354">
        <v>15381.800179645101</v>
      </c>
    </row>
    <row r="37" spans="1:17" ht="12.75" customHeight="1" x14ac:dyDescent="0.2">
      <c r="B37" s="75" t="s">
        <v>29</v>
      </c>
      <c r="C37" s="68"/>
      <c r="D37" s="354">
        <v>19480.778027771601</v>
      </c>
      <c r="E37" s="300"/>
      <c r="F37" s="354">
        <v>8781.5533520740992</v>
      </c>
      <c r="G37" s="294"/>
      <c r="H37" s="354">
        <v>7942.9420243797003</v>
      </c>
      <c r="I37" s="354">
        <v>3.9158525539000002</v>
      </c>
      <c r="J37" s="296"/>
      <c r="K37" s="354">
        <v>3789.6328312064002</v>
      </c>
      <c r="L37" s="354">
        <v>4.2524226669000003</v>
      </c>
      <c r="M37" s="296"/>
      <c r="N37" s="354">
        <v>2626.7114076599</v>
      </c>
      <c r="O37" s="354">
        <v>2.8404803571000001</v>
      </c>
      <c r="P37" s="296"/>
      <c r="Q37" s="354">
        <v>17715.076320072199</v>
      </c>
    </row>
    <row r="38" spans="1:17" ht="12.75" customHeight="1" x14ac:dyDescent="0.2">
      <c r="B38" s="75" t="s">
        <v>30</v>
      </c>
      <c r="C38" s="68"/>
      <c r="D38" s="354">
        <v>25928.550404547899</v>
      </c>
      <c r="E38" s="300"/>
      <c r="F38" s="354">
        <v>11239.7781330458</v>
      </c>
      <c r="G38" s="294"/>
      <c r="H38" s="354">
        <v>9697.5101129767008</v>
      </c>
      <c r="I38" s="354">
        <v>3.8562422154</v>
      </c>
      <c r="J38" s="296"/>
      <c r="K38" s="354">
        <v>5205.0655934796996</v>
      </c>
      <c r="L38" s="354">
        <v>4.2492106105999996</v>
      </c>
      <c r="M38" s="296"/>
      <c r="N38" s="354">
        <v>2520.7607525305002</v>
      </c>
      <c r="O38" s="354">
        <v>2.3524290653</v>
      </c>
      <c r="P38" s="296"/>
      <c r="Q38" s="354">
        <v>23085.031853556498</v>
      </c>
    </row>
    <row r="39" spans="1:17" ht="12.75" customHeight="1" x14ac:dyDescent="0.2">
      <c r="B39" s="75" t="s">
        <v>31</v>
      </c>
      <c r="C39" s="68"/>
      <c r="D39" s="354">
        <v>24998.115892135302</v>
      </c>
      <c r="E39" s="300"/>
      <c r="F39" s="354">
        <v>4902.8806648049003</v>
      </c>
      <c r="G39" s="294"/>
      <c r="H39" s="354">
        <v>3625.0307306022</v>
      </c>
      <c r="I39" s="354">
        <v>6.1455154809000003</v>
      </c>
      <c r="J39" s="296"/>
      <c r="K39" s="354">
        <v>2915.7575544832998</v>
      </c>
      <c r="L39" s="354">
        <v>6.6395683911000001</v>
      </c>
      <c r="M39" s="296"/>
      <c r="N39" s="354">
        <v>496.1327107404</v>
      </c>
      <c r="O39" s="354">
        <v>1.6086886033000001</v>
      </c>
      <c r="P39" s="296"/>
      <c r="Q39" s="354">
        <v>24460.2589294637</v>
      </c>
    </row>
    <row r="40" spans="1:17" ht="12.75" customHeight="1" x14ac:dyDescent="0.2">
      <c r="B40" s="75" t="s">
        <v>32</v>
      </c>
      <c r="C40" s="68"/>
      <c r="D40" s="354">
        <v>22249.9713929684</v>
      </c>
      <c r="E40" s="300"/>
      <c r="F40" s="354">
        <v>9549.0049041593993</v>
      </c>
      <c r="G40" s="294"/>
      <c r="H40" s="354">
        <v>7825.6047316864997</v>
      </c>
      <c r="I40" s="354">
        <v>4.7206582142000002</v>
      </c>
      <c r="J40" s="296"/>
      <c r="K40" s="354">
        <v>5097.3138540271002</v>
      </c>
      <c r="L40" s="354">
        <v>4.6476093597999997</v>
      </c>
      <c r="M40" s="296"/>
      <c r="N40" s="354">
        <v>2452.3338402284999</v>
      </c>
      <c r="O40" s="354">
        <v>2.5863357866999999</v>
      </c>
      <c r="P40" s="296"/>
      <c r="Q40" s="354">
        <v>20972.979772684499</v>
      </c>
    </row>
    <row r="41" spans="1:17" ht="12.75" customHeight="1" x14ac:dyDescent="0.2">
      <c r="B41" s="75" t="s">
        <v>33</v>
      </c>
      <c r="C41" s="68"/>
      <c r="D41" s="354">
        <v>9032.6462727959006</v>
      </c>
      <c r="E41" s="300"/>
      <c r="F41" s="354">
        <v>2127.8568343503998</v>
      </c>
      <c r="G41" s="294"/>
      <c r="H41" s="354">
        <v>1336.2372404400001</v>
      </c>
      <c r="I41" s="354">
        <v>4.6794844546999999</v>
      </c>
      <c r="J41" s="296"/>
      <c r="K41" s="354">
        <v>1677.8118201198999</v>
      </c>
      <c r="L41" s="354">
        <v>4.4856195355999997</v>
      </c>
      <c r="M41" s="296"/>
      <c r="N41" s="354">
        <v>642.02841601820001</v>
      </c>
      <c r="O41" s="354">
        <v>3.0410124534</v>
      </c>
      <c r="P41" s="296"/>
      <c r="Q41" s="354">
        <v>8768.7775844951993</v>
      </c>
    </row>
    <row r="42" spans="1:17" ht="12.75" customHeight="1" x14ac:dyDescent="0.2">
      <c r="B42" s="75" t="s">
        <v>34</v>
      </c>
      <c r="C42" s="68"/>
      <c r="D42" s="354">
        <v>73888.639891829996</v>
      </c>
      <c r="E42" s="300"/>
      <c r="F42" s="354">
        <v>12830.8852075217</v>
      </c>
      <c r="G42" s="294"/>
      <c r="H42" s="354">
        <v>8153.8748863561004</v>
      </c>
      <c r="I42" s="354">
        <v>6.3283850823999996</v>
      </c>
      <c r="J42" s="296"/>
      <c r="K42" s="354">
        <v>9048.3612853734994</v>
      </c>
      <c r="L42" s="354">
        <v>6.0194299734000003</v>
      </c>
      <c r="M42" s="296"/>
      <c r="N42" s="354">
        <v>4347.1541265522001</v>
      </c>
      <c r="O42" s="354">
        <v>4.2855773931999996</v>
      </c>
      <c r="P42" s="296"/>
      <c r="Q42" s="354">
        <v>72260.853086375006</v>
      </c>
    </row>
    <row r="43" spans="1:17" ht="12.75" customHeight="1" x14ac:dyDescent="0.2">
      <c r="B43" s="75" t="s">
        <v>35</v>
      </c>
      <c r="C43" s="68"/>
      <c r="D43" s="354">
        <v>22166.611550397301</v>
      </c>
      <c r="E43" s="300"/>
      <c r="F43" s="354">
        <v>8610.9354610367991</v>
      </c>
      <c r="G43" s="294"/>
      <c r="H43" s="354">
        <v>6212.2776194401004</v>
      </c>
      <c r="I43" s="354">
        <v>4.0159082395999999</v>
      </c>
      <c r="J43" s="296"/>
      <c r="K43" s="354">
        <v>4798.2162968514003</v>
      </c>
      <c r="L43" s="354">
        <v>3.3375979098999999</v>
      </c>
      <c r="M43" s="296"/>
      <c r="N43" s="354">
        <v>2264.4774021180001</v>
      </c>
      <c r="O43" s="354">
        <v>2.3361055864</v>
      </c>
      <c r="P43" s="296"/>
      <c r="Q43" s="354">
        <v>20691.9798009816</v>
      </c>
    </row>
    <row r="44" spans="1:17" ht="12.75" customHeight="1" x14ac:dyDescent="0.2">
      <c r="B44" s="88" t="s">
        <v>36</v>
      </c>
      <c r="C44" s="88"/>
      <c r="D44" s="354">
        <v>16223.618786687</v>
      </c>
      <c r="E44" s="300"/>
      <c r="F44" s="354">
        <v>3472.9657511987002</v>
      </c>
      <c r="G44" s="294"/>
      <c r="H44" s="354">
        <v>2587.5044154545999</v>
      </c>
      <c r="I44" s="354">
        <v>6.3343482580000003</v>
      </c>
      <c r="J44" s="296"/>
      <c r="K44" s="354">
        <v>2086.8268457634999</v>
      </c>
      <c r="L44" s="354">
        <v>6.3615300660000003</v>
      </c>
      <c r="M44" s="296"/>
      <c r="N44" s="354">
        <v>1099.2996927106999</v>
      </c>
      <c r="O44" s="363">
        <v>4.2105621767999999</v>
      </c>
      <c r="P44" s="298"/>
      <c r="Q44" s="363">
        <v>15541.2438338723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43" t="s">
        <v>113</v>
      </c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1.25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ht="12.75" customHeight="1" x14ac:dyDescent="0.2">
      <c r="B52" s="290" t="s">
        <v>150</v>
      </c>
    </row>
  </sheetData>
  <mergeCells count="11">
    <mergeCell ref="Q7:Q9"/>
    <mergeCell ref="H8:I8"/>
    <mergeCell ref="K8:L8"/>
    <mergeCell ref="N8:O8"/>
    <mergeCell ref="B48:Q48"/>
    <mergeCell ref="B5:O5"/>
    <mergeCell ref="C6:M6"/>
    <mergeCell ref="B7:C9"/>
    <mergeCell ref="D7:D9"/>
    <mergeCell ref="F7:F9"/>
    <mergeCell ref="H7:O7"/>
  </mergeCells>
  <hyperlinks>
    <hyperlink ref="Q1" location="Índice!A1" tooltip="Ir a ÍNDICE" display="INDICE" xr:uid="{B58990C8-4B01-4664-A925-400D7A7B8C24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1239-144A-4194-8D29-AB861B9F9CB0}">
  <sheetPr>
    <pageSetUpPr fitToPage="1"/>
  </sheetPr>
  <dimension ref="A1:AO2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368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368" t="s">
        <v>194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30" t="s">
        <v>145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123" t="s">
        <v>123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15" customHeight="1" x14ac:dyDescent="0.2">
      <c r="A7" s="103"/>
      <c r="B7" s="433" t="s">
        <v>84</v>
      </c>
      <c r="C7" s="433"/>
      <c r="D7" s="444" t="s">
        <v>119</v>
      </c>
      <c r="E7" s="360"/>
      <c r="F7" s="444" t="s">
        <v>124</v>
      </c>
      <c r="G7" s="360"/>
      <c r="H7" s="439" t="s">
        <v>118</v>
      </c>
      <c r="I7" s="439"/>
      <c r="J7" s="439"/>
      <c r="K7" s="439"/>
      <c r="L7" s="439"/>
      <c r="M7" s="439"/>
      <c r="N7" s="439"/>
      <c r="O7" s="439"/>
      <c r="P7" s="84"/>
      <c r="Q7" s="440" t="s">
        <v>121</v>
      </c>
    </row>
    <row r="8" spans="1:18" ht="55.5" customHeight="1" x14ac:dyDescent="0.2">
      <c r="A8" s="103"/>
      <c r="B8" s="434"/>
      <c r="C8" s="434"/>
      <c r="D8" s="445"/>
      <c r="E8" s="361"/>
      <c r="F8" s="445"/>
      <c r="G8" s="361"/>
      <c r="H8" s="439" t="s">
        <v>117</v>
      </c>
      <c r="I8" s="439"/>
      <c r="J8" s="360"/>
      <c r="K8" s="439" t="s">
        <v>116</v>
      </c>
      <c r="L8" s="439"/>
      <c r="M8" s="85"/>
      <c r="N8" s="439" t="s">
        <v>115</v>
      </c>
      <c r="O8" s="439"/>
      <c r="Q8" s="441"/>
    </row>
    <row r="9" spans="1:18" ht="15" customHeight="1" x14ac:dyDescent="0.2">
      <c r="A9" s="104"/>
      <c r="B9" s="435"/>
      <c r="C9" s="435"/>
      <c r="D9" s="446"/>
      <c r="E9" s="362"/>
      <c r="F9" s="446"/>
      <c r="G9" s="362"/>
      <c r="H9" s="101" t="s">
        <v>2</v>
      </c>
      <c r="I9" s="101" t="s">
        <v>3</v>
      </c>
      <c r="J9" s="362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42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356">
        <v>245318.59867594499</v>
      </c>
      <c r="E11" s="291"/>
      <c r="F11" s="356">
        <v>72389.793649875704</v>
      </c>
      <c r="G11" s="292"/>
      <c r="H11" s="356">
        <v>53346.795024299798</v>
      </c>
      <c r="I11" s="356">
        <v>1.096043492</v>
      </c>
      <c r="J11" s="292"/>
      <c r="K11" s="356">
        <v>47324.7610210735</v>
      </c>
      <c r="L11" s="356">
        <v>1.0673041463999999</v>
      </c>
      <c r="M11" s="292"/>
      <c r="N11" s="356">
        <v>20632.907451567498</v>
      </c>
      <c r="O11" s="356">
        <v>0.60874343470000003</v>
      </c>
      <c r="P11" s="292"/>
      <c r="Q11" s="356">
        <v>235170.77350244299</v>
      </c>
      <c r="R11" s="277"/>
    </row>
    <row r="12" spans="1:18" ht="6" customHeight="1" x14ac:dyDescent="0.2">
      <c r="A12" s="107"/>
      <c r="B12" s="86"/>
      <c r="C12" s="68"/>
      <c r="D12" s="293"/>
      <c r="E12" s="291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5" x14ac:dyDescent="0.2">
      <c r="A13" s="107"/>
      <c r="B13" s="274" t="s">
        <v>79</v>
      </c>
      <c r="C13" s="68"/>
      <c r="D13" s="354">
        <v>130448.21952647</v>
      </c>
      <c r="E13" s="297"/>
      <c r="F13" s="354">
        <v>22478.3752888708</v>
      </c>
      <c r="G13" s="294"/>
      <c r="H13" s="354">
        <v>14431.5921518945</v>
      </c>
      <c r="I13" s="354">
        <v>3.7610758317999999</v>
      </c>
      <c r="J13" s="296"/>
      <c r="K13" s="354">
        <v>13478.816690461699</v>
      </c>
      <c r="L13" s="354">
        <v>3.5895904841999999</v>
      </c>
      <c r="M13" s="296"/>
      <c r="N13" s="354">
        <v>6909.9201763760002</v>
      </c>
      <c r="O13" s="354">
        <v>2.8823331945000001</v>
      </c>
      <c r="P13" s="296"/>
      <c r="Q13" s="354">
        <v>128602.4610423</v>
      </c>
    </row>
    <row r="14" spans="1:18" ht="15" x14ac:dyDescent="0.2">
      <c r="A14" s="107"/>
      <c r="B14" s="274" t="s">
        <v>80</v>
      </c>
      <c r="C14" s="68"/>
      <c r="D14" s="354">
        <v>120874.88248751601</v>
      </c>
      <c r="E14" s="297"/>
      <c r="F14" s="354">
        <v>22265.576179198</v>
      </c>
      <c r="G14" s="294"/>
      <c r="H14" s="354">
        <v>17361.8207471196</v>
      </c>
      <c r="I14" s="354">
        <v>3.1556544100999999</v>
      </c>
      <c r="J14" s="296"/>
      <c r="K14" s="354">
        <v>12485.959813466699</v>
      </c>
      <c r="L14" s="354">
        <v>3.2149252638000001</v>
      </c>
      <c r="M14" s="296"/>
      <c r="N14" s="354">
        <v>5331.4598866729002</v>
      </c>
      <c r="O14" s="354">
        <v>1.5251445444</v>
      </c>
      <c r="P14" s="296"/>
      <c r="Q14" s="354">
        <v>115424.117765021</v>
      </c>
    </row>
    <row r="15" spans="1:18" ht="15" x14ac:dyDescent="0.2">
      <c r="A15" s="104"/>
      <c r="B15" s="274" t="s">
        <v>81</v>
      </c>
      <c r="C15" s="68"/>
      <c r="D15" s="354">
        <v>129177.384084488</v>
      </c>
      <c r="E15" s="297"/>
      <c r="F15" s="354">
        <v>32489.8052348071</v>
      </c>
      <c r="G15" s="294"/>
      <c r="H15" s="354">
        <v>22918.718860376099</v>
      </c>
      <c r="I15" s="354">
        <v>2.5021628852000002</v>
      </c>
      <c r="J15" s="296"/>
      <c r="K15" s="354">
        <v>22996.446755538898</v>
      </c>
      <c r="L15" s="354">
        <v>2.7178627782999998</v>
      </c>
      <c r="M15" s="296"/>
      <c r="N15" s="354">
        <v>8662.1287220862996</v>
      </c>
      <c r="O15" s="354">
        <v>1.338842971</v>
      </c>
      <c r="P15" s="296"/>
      <c r="Q15" s="354">
        <v>121585.295978444</v>
      </c>
    </row>
    <row r="16" spans="1:18" ht="15" x14ac:dyDescent="0.2">
      <c r="A16" s="104"/>
      <c r="B16" s="44" t="s">
        <v>85</v>
      </c>
      <c r="C16" s="93"/>
      <c r="D16" s="354">
        <v>113668.722195625</v>
      </c>
      <c r="E16" s="297"/>
      <c r="F16" s="354">
        <v>56598.3571309912</v>
      </c>
      <c r="G16" s="294"/>
      <c r="H16" s="354">
        <v>42677.420126689503</v>
      </c>
      <c r="I16" s="363">
        <v>1.4020522644</v>
      </c>
      <c r="J16" s="298"/>
      <c r="K16" s="363">
        <v>37090.603732644202</v>
      </c>
      <c r="L16" s="354">
        <v>1.3108192381999999</v>
      </c>
      <c r="M16" s="296"/>
      <c r="N16" s="354">
        <v>16568.431867254902</v>
      </c>
      <c r="O16" s="354">
        <v>0.76656265769999998</v>
      </c>
      <c r="P16" s="296"/>
      <c r="Q16" s="354">
        <v>107258.60449535699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43" t="s">
        <v>113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ht="12.75" customHeight="1" x14ac:dyDescent="0.2">
      <c r="B24" s="290" t="s">
        <v>150</v>
      </c>
    </row>
  </sheetData>
  <mergeCells count="11">
    <mergeCell ref="B5:P5"/>
    <mergeCell ref="C6:M6"/>
    <mergeCell ref="B7:C9"/>
    <mergeCell ref="D7:D9"/>
    <mergeCell ref="F7:F9"/>
    <mergeCell ref="H7:O7"/>
    <mergeCell ref="Q7:Q9"/>
    <mergeCell ref="H8:I8"/>
    <mergeCell ref="K8:L8"/>
    <mergeCell ref="N8:O8"/>
    <mergeCell ref="B20:Q20"/>
  </mergeCells>
  <hyperlinks>
    <hyperlink ref="Q1" location="Índice!A1" tooltip="Ir a ÍNDICE" display="INDICE" xr:uid="{F5EB0A57-D0C2-46A8-82FB-53DF0993B580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2021-08-19T15:54:39Z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