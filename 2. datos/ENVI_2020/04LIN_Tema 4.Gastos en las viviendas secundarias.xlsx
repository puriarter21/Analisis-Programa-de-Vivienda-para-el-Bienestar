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guillermo.reyes\Downloads\Tabulados_ENVI2020\Tabulados_ENVI2020_20210811\"/>
    </mc:Choice>
  </mc:AlternateContent>
  <xr:revisionPtr revIDLastSave="0" documentId="13_ncr:1_{B4C88E2B-BF6E-4705-908F-AE9F04D0C23F}" xr6:coauthVersionLast="47" xr6:coauthVersionMax="47" xr10:uidLastSave="{00000000-0000-0000-0000-000000000000}"/>
  <bookViews>
    <workbookView xWindow="20370" yWindow="-120" windowWidth="29040" windowHeight="15840" tabRatio="844" xr2:uid="{00000000-000D-0000-FFFF-FFFF00000000}"/>
  </bookViews>
  <sheets>
    <sheet name="Índice" sheetId="77" r:id="rId1"/>
    <sheet name="Cuadro 4.1" sheetId="101" r:id="rId2"/>
    <sheet name="Cuadro 4.2" sheetId="102" r:id="rId3"/>
    <sheet name="Cuadro 4.3" sheetId="103" r:id="rId4"/>
    <sheet name="Cuadro 4.4" sheetId="104" r:id="rId5"/>
    <sheet name="Cuadro 4.5" sheetId="105" r:id="rId6"/>
    <sheet name="Cuadro 4.6" sheetId="106" r:id="rId7"/>
    <sheet name="Cuadro 4.7" sheetId="107" r:id="rId8"/>
    <sheet name="Cuadro 4.8" sheetId="108" r:id="rId9"/>
    <sheet name="Cuadro 4.9" sheetId="109" r:id="rId10"/>
    <sheet name="Cuadro 4.10" sheetId="110" r:id="rId11"/>
    <sheet name="Cuadro 4.11" sheetId="111" r:id="rId12"/>
    <sheet name="Cuadro 4.12" sheetId="112" r:id="rId13"/>
    <sheet name="Cuadro 4.13" sheetId="113" r:id="rId14"/>
    <sheet name="Cuadro 4.14" sheetId="115" r:id="rId15"/>
    <sheet name="Cuadro 4.15" sheetId="117" r:id="rId16"/>
    <sheet name="Cuadro 4.16" sheetId="118" r:id="rId17"/>
    <sheet name="Cuadro 4.17" sheetId="119" r:id="rId18"/>
    <sheet name="Cuadro 4.18" sheetId="120" r:id="rId19"/>
  </sheets>
  <externalReferences>
    <externalReference r:id="rId20"/>
  </externalReferences>
  <definedNames>
    <definedName name="\p">#N/A</definedName>
    <definedName name="\s">#N/A</definedName>
    <definedName name="_xlnm._FilterDatabase" localSheetId="10" hidden="1">'Cuadro 4.10'!$D$9:$F$43</definedName>
    <definedName name="_xlnm._FilterDatabase" localSheetId="11" hidden="1">'Cuadro 4.11'!$D$11:$J$45</definedName>
    <definedName name="_xlnm._FilterDatabase" localSheetId="12" hidden="1">'Cuadro 4.12'!$D$11:$P$45</definedName>
    <definedName name="_xlnm._FilterDatabase" localSheetId="13" hidden="1">'Cuadro 4.13'!#REF!</definedName>
    <definedName name="_xlnm._FilterDatabase" localSheetId="14" hidden="1">'Cuadro 4.14'!#REF!</definedName>
    <definedName name="_xlnm._FilterDatabase" localSheetId="5" hidden="1">'Cuadro 4.5'!#REF!</definedName>
    <definedName name="_xlnm._FilterDatabase" localSheetId="6" hidden="1">'Cuadro 4.6'!$D$11:$P$45</definedName>
    <definedName name="_xlnm._FilterDatabase" localSheetId="7" hidden="1">'Cuadro 4.7'!$D$11:$P$45</definedName>
    <definedName name="_xlnm._FilterDatabase" localSheetId="8" hidden="1">'Cuadro 4.8'!$D$11:$P$45</definedName>
    <definedName name="_xlnm._FilterDatabase" localSheetId="9" hidden="1">'Cuadro 4.9'!$D$11:$J$45</definedName>
    <definedName name="A_impresión_IM" localSheetId="1">#REF!</definedName>
    <definedName name="A_impresión_IM" localSheetId="10">#REF!</definedName>
    <definedName name="A_impresión_IM" localSheetId="11">#REF!</definedName>
    <definedName name="A_impresión_IM" localSheetId="12">#REF!</definedName>
    <definedName name="A_impresión_IM" localSheetId="13">#REF!</definedName>
    <definedName name="A_impresión_IM" localSheetId="14">#REF!</definedName>
    <definedName name="A_impresión_IM" localSheetId="16">#REF!</definedName>
    <definedName name="A_impresión_IM" localSheetId="18">#REF!</definedName>
    <definedName name="A_impresión_IM" localSheetId="2">#REF!</definedName>
    <definedName name="A_impresión_IM" localSheetId="3">#REF!</definedName>
    <definedName name="A_impresión_IM" localSheetId="4">#REF!</definedName>
    <definedName name="A_impresión_IM" localSheetId="5">#REF!</definedName>
    <definedName name="A_impresión_IM" localSheetId="6">#REF!</definedName>
    <definedName name="A_impresión_IM" localSheetId="7">#REF!</definedName>
    <definedName name="A_impresión_IM" localSheetId="8">#REF!</definedName>
    <definedName name="A_impresión_IM" localSheetId="9">#REF!</definedName>
    <definedName name="A_impresión_IM" localSheetId="0">#REF!</definedName>
    <definedName name="A_impresión_IM">#REF!</definedName>
    <definedName name="Cuadro_2.1" localSheetId="10">#REF!</definedName>
    <definedName name="Cuadro_2.1" localSheetId="11">#REF!</definedName>
    <definedName name="Cuadro_2.1" localSheetId="12">#REF!</definedName>
    <definedName name="Cuadro_2.1" localSheetId="13">#REF!</definedName>
    <definedName name="Cuadro_2.1" localSheetId="14">#REF!</definedName>
    <definedName name="Cuadro_2.1" localSheetId="16">#REF!</definedName>
    <definedName name="Cuadro_2.1" localSheetId="18">#REF!</definedName>
    <definedName name="Cuadro_2.1" localSheetId="2">#REF!</definedName>
    <definedName name="Cuadro_2.1" localSheetId="4">#REF!</definedName>
    <definedName name="Cuadro_2.1" localSheetId="5">#REF!</definedName>
    <definedName name="Cuadro_2.1" localSheetId="6">#REF!</definedName>
    <definedName name="Cuadro_2.1" localSheetId="7">#REF!</definedName>
    <definedName name="Cuadro_2.1" localSheetId="8">#REF!</definedName>
    <definedName name="Cuadro_2.1" localSheetId="9">#REF!</definedName>
    <definedName name="Cuadro_2.1" localSheetId="0">#REF!</definedName>
    <definedName name="Cuadro_2.1">#REF!</definedName>
    <definedName name="Cuadro_2.2" localSheetId="10">#REF!</definedName>
    <definedName name="Cuadro_2.2" localSheetId="11">#REF!</definedName>
    <definedName name="Cuadro_2.2" localSheetId="12">#REF!</definedName>
    <definedName name="Cuadro_2.2" localSheetId="13">#REF!</definedName>
    <definedName name="Cuadro_2.2" localSheetId="14">#REF!</definedName>
    <definedName name="Cuadro_2.2" localSheetId="16">#REF!</definedName>
    <definedName name="Cuadro_2.2" localSheetId="18">#REF!</definedName>
    <definedName name="Cuadro_2.2" localSheetId="2">#REF!</definedName>
    <definedName name="Cuadro_2.2" localSheetId="4">#REF!</definedName>
    <definedName name="Cuadro_2.2" localSheetId="5">#REF!</definedName>
    <definedName name="Cuadro_2.2" localSheetId="6">#REF!</definedName>
    <definedName name="Cuadro_2.2" localSheetId="7">#REF!</definedName>
    <definedName name="Cuadro_2.2" localSheetId="8">#REF!</definedName>
    <definedName name="Cuadro_2.2" localSheetId="9">#REF!</definedName>
    <definedName name="Cuadro_2.2" localSheetId="0">#REF!</definedName>
    <definedName name="Cuadro_2.2">#REF!</definedName>
    <definedName name="Cuadro_2.3" localSheetId="10">#REF!</definedName>
    <definedName name="Cuadro_2.3" localSheetId="11">#REF!</definedName>
    <definedName name="Cuadro_2.3" localSheetId="12">#REF!</definedName>
    <definedName name="Cuadro_2.3" localSheetId="13">#REF!</definedName>
    <definedName name="Cuadro_2.3" localSheetId="14">#REF!</definedName>
    <definedName name="Cuadro_2.3" localSheetId="16">#REF!</definedName>
    <definedName name="Cuadro_2.3" localSheetId="18">#REF!</definedName>
    <definedName name="Cuadro_2.3" localSheetId="2">#REF!</definedName>
    <definedName name="Cuadro_2.3" localSheetId="4">#REF!</definedName>
    <definedName name="Cuadro_2.3" localSheetId="5">#REF!</definedName>
    <definedName name="Cuadro_2.3" localSheetId="6">#REF!</definedName>
    <definedName name="Cuadro_2.3" localSheetId="7">#REF!</definedName>
    <definedName name="Cuadro_2.3" localSheetId="8">#REF!</definedName>
    <definedName name="Cuadro_2.3" localSheetId="9">#REF!</definedName>
    <definedName name="Cuadro_2.3" localSheetId="0">#REF!</definedName>
    <definedName name="Cuadro_2.3">#REF!</definedName>
    <definedName name="Ir_a_inicio">'[1]Cuadro 1'!#REF!</definedName>
    <definedName name="paso" localSheetId="1">#REF!</definedName>
    <definedName name="paso" localSheetId="10">#REF!</definedName>
    <definedName name="paso" localSheetId="11">#REF!</definedName>
    <definedName name="paso" localSheetId="12">#REF!</definedName>
    <definedName name="paso" localSheetId="13">#REF!</definedName>
    <definedName name="paso" localSheetId="14">#REF!</definedName>
    <definedName name="paso" localSheetId="16">#REF!</definedName>
    <definedName name="paso" localSheetId="18">#REF!</definedName>
    <definedName name="paso" localSheetId="2">#REF!</definedName>
    <definedName name="paso" localSheetId="3">#REF!</definedName>
    <definedName name="paso" localSheetId="4">#REF!</definedName>
    <definedName name="paso" localSheetId="5">#REF!</definedName>
    <definedName name="paso" localSheetId="6">#REF!</definedName>
    <definedName name="paso" localSheetId="7">#REF!</definedName>
    <definedName name="paso" localSheetId="8">#REF!</definedName>
    <definedName name="paso" localSheetId="9">#REF!</definedName>
    <definedName name="paso" localSheetId="0">#REF!</definedName>
    <definedName name="paso">#REF!</definedName>
    <definedName name="prueba" localSheetId="1">#REF!</definedName>
    <definedName name="prueba" localSheetId="10">#REF!</definedName>
    <definedName name="prueba" localSheetId="11">#REF!</definedName>
    <definedName name="prueba" localSheetId="12">#REF!</definedName>
    <definedName name="prueba" localSheetId="13">#REF!</definedName>
    <definedName name="prueba" localSheetId="14">#REF!</definedName>
    <definedName name="prueba" localSheetId="16">#REF!</definedName>
    <definedName name="prueba" localSheetId="18">#REF!</definedName>
    <definedName name="prueba" localSheetId="2">#REF!</definedName>
    <definedName name="prueba" localSheetId="3">#REF!</definedName>
    <definedName name="prueba" localSheetId="4">#REF!</definedName>
    <definedName name="prueba" localSheetId="5">#REF!</definedName>
    <definedName name="prueba" localSheetId="6">#REF!</definedName>
    <definedName name="prueba" localSheetId="7">#REF!</definedName>
    <definedName name="prueba" localSheetId="8">#REF!</definedName>
    <definedName name="prueba" localSheetId="9">#REF!</definedName>
    <definedName name="prueba" localSheetId="0">#REF!</definedName>
    <definedName name="prueb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77" l="1"/>
</calcChain>
</file>

<file path=xl/sharedStrings.xml><?xml version="1.0" encoding="utf-8"?>
<sst xmlns="http://schemas.openxmlformats.org/spreadsheetml/2006/main" count="911" uniqueCount="203">
  <si>
    <t>Absolutos</t>
  </si>
  <si>
    <t>Relativos</t>
  </si>
  <si>
    <t xml:space="preserve">Estados Unidos Mexicanos 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</si>
  <si>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</si>
  <si>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</si>
  <si>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</si>
  <si>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</si>
  <si>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</si>
  <si>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</si>
  <si>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</si>
  <si>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</si>
  <si>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</si>
  <si>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</si>
  <si>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</si>
  <si>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</si>
  <si>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</si>
  <si>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</si>
  <si>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</si>
  <si>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</si>
  <si>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</si>
  <si>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</si>
  <si>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</si>
  <si>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</si>
  <si>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</si>
  <si>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</si>
  <si>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</si>
  <si>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</si>
  <si>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</si>
  <si>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</si>
  <si>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</si>
  <si>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</si>
  <si>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</si>
  <si>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</si>
  <si>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</si>
  <si>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</si>
  <si>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 xml:space="preserve">Estados Unidos Mexicanos                                    </t>
  </si>
  <si>
    <t>1 a 2 499 habitantes</t>
  </si>
  <si>
    <t xml:space="preserve">De 2 500 a 14 999 habitantes </t>
  </si>
  <si>
    <t xml:space="preserve">De 15 000 a 99 999 habitantes </t>
  </si>
  <si>
    <t>No especificado</t>
  </si>
  <si>
    <t>Forma de adquisición</t>
  </si>
  <si>
    <t>Se compró nueva</t>
  </si>
  <si>
    <t>Se compró usada</t>
  </si>
  <si>
    <t>Se obtuvo de otra manera</t>
  </si>
  <si>
    <t>Subsidios federal, estatal o municipal</t>
  </si>
  <si>
    <t>Tamaño de localidad y tipo de acción en la vivienda</t>
  </si>
  <si>
    <t>Materiales</t>
  </si>
  <si>
    <t>Sueldos y salarios</t>
  </si>
  <si>
    <t>Licencias</t>
  </si>
  <si>
    <t>Construcción</t>
  </si>
  <si>
    <t>Ampliación</t>
  </si>
  <si>
    <t>Renovación, rehabilitación o reforzamiento de la parte estructural</t>
  </si>
  <si>
    <t>Reparación menor o mantenimiento</t>
  </si>
  <si>
    <t>Remodelación</t>
  </si>
  <si>
    <t>100 000 y más habitantes</t>
  </si>
  <si>
    <t>Tamaño de localidad</t>
  </si>
  <si>
    <t>100 000  o más habitantes</t>
  </si>
  <si>
    <r>
      <t>Fuente:</t>
    </r>
    <r>
      <rPr>
        <b/>
        <sz val="8"/>
        <color rgb="FF000000"/>
        <rFont val="Arial"/>
        <family val="2"/>
      </rPr>
      <t xml:space="preserve"> INEGI.</t>
    </r>
    <r>
      <rPr>
        <sz val="8"/>
        <color rgb="FF000000"/>
        <rFont val="Arial"/>
        <family val="2"/>
      </rPr>
      <t xml:space="preserve"> Encuesta Nacional de Vivienda 2020.</t>
    </r>
  </si>
  <si>
    <t>Total de hogares</t>
  </si>
  <si>
    <t>Sí</t>
  </si>
  <si>
    <t>No</t>
  </si>
  <si>
    <t>Está habitada</t>
  </si>
  <si>
    <t>Otra</t>
  </si>
  <si>
    <r>
      <t>Hasta 45 m</t>
    </r>
    <r>
      <rPr>
        <b/>
        <vertAlign val="superscript"/>
        <sz val="8"/>
        <color theme="1"/>
        <rFont val="Arial"/>
        <family val="2"/>
      </rPr>
      <t>2</t>
    </r>
  </si>
  <si>
    <r>
      <t>De 46 a 75 m</t>
    </r>
    <r>
      <rPr>
        <b/>
        <vertAlign val="superscript"/>
        <sz val="8"/>
        <color theme="1"/>
        <rFont val="Arial"/>
        <family val="2"/>
      </rPr>
      <t>2</t>
    </r>
  </si>
  <si>
    <r>
      <t>De 76 a 100 m</t>
    </r>
    <r>
      <rPr>
        <b/>
        <vertAlign val="superscript"/>
        <sz val="8"/>
        <color theme="1"/>
        <rFont val="Arial"/>
        <family val="2"/>
      </rPr>
      <t>2</t>
    </r>
  </si>
  <si>
    <r>
      <t>De 101 a 150 m</t>
    </r>
    <r>
      <rPr>
        <b/>
        <vertAlign val="superscript"/>
        <sz val="8"/>
        <color theme="1"/>
        <rFont val="Arial"/>
        <family val="2"/>
      </rPr>
      <t>2</t>
    </r>
  </si>
  <si>
    <r>
      <t>Más de 150 m</t>
    </r>
    <r>
      <rPr>
        <b/>
        <vertAlign val="superscript"/>
        <sz val="8"/>
        <color theme="1"/>
        <rFont val="Arial"/>
        <family val="2"/>
      </rPr>
      <t>2</t>
    </r>
  </si>
  <si>
    <t>Tipo de vivienda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</si>
  <si>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viviendas que están en proceso de venta o renta, las usan para vacaciones o deshabitadas.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</si>
  <si>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viviendas en proceso de construcción o que son inadecuadas para habitarse.</t>
    </r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</si>
  <si>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Incluye viviendas que se usan con fines distintos a los de habitación (bodega, negocio, etcétera).</t>
    </r>
  </si>
  <si>
    <r>
      <t>Casa independiente</t>
    </r>
    <r>
      <rPr>
        <b/>
        <vertAlign val="superscript"/>
        <sz val="8"/>
        <rFont val="Arial"/>
        <family val="2"/>
      </rPr>
      <t>2</t>
    </r>
  </si>
  <si>
    <t>Uso de la vivienda</t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</si>
  <si>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>La suma puede ser mayor al total de viviendas porque se pudo responder más de una razón para adquirir la vivienda.</t>
    </r>
  </si>
  <si>
    <t>Metros de construcción (m2) de la vivienda</t>
  </si>
  <si>
    <t>Entidad federativa</t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</si>
  <si>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Incluye: "Por las características de la vivienda (tamaño, dimensión o tipo)", "Por las vías de acceso y cercanía a los servicios" y "Seguridad de la zona".</t>
    </r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</si>
  <si>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Incluye:  "Por inversión", "Para aprovechar un crédito" y "Es la que pudo comprar (con crédito, subsidio o recursos propios)".</t>
    </r>
  </si>
  <si>
    <r>
      <rPr>
        <vertAlign val="superscript"/>
        <sz val="8"/>
        <rFont val="Arial"/>
        <family val="2"/>
      </rPr>
      <t>5</t>
    </r>
    <r>
      <rPr>
        <sz val="8"/>
        <rFont val="Arial"/>
        <family val="2"/>
      </rPr>
      <t xml:space="preserve"> Incluye: "Fue herencia (la vivienda o el terreno)" y "Por motivos personales (independizarse, creció en ese lugar, cercanía a la familia, etcétera)".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</si>
  <si>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vivienda en coto o unidad habitacional. 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</si>
  <si>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vivienda en edificio, vivienda en vecindad, vivienda en cuarto de azotea y local no construido para habitación.</t>
    </r>
  </si>
  <si>
    <t>Promedio de cuartos por vivienda</t>
  </si>
  <si>
    <t>Una vivienda secundaria</t>
  </si>
  <si>
    <t>Dos o más viviendas secundarias</t>
  </si>
  <si>
    <t>Total de hogares con viviendas secundarias</t>
  </si>
  <si>
    <r>
      <t>Total de viviendas secundarias con más gastos durante 2020</t>
    </r>
    <r>
      <rPr>
        <b/>
        <vertAlign val="superscript"/>
        <sz val="8"/>
        <color theme="1"/>
        <rFont val="Arial"/>
        <family val="2"/>
      </rPr>
      <t>1</t>
    </r>
  </si>
  <si>
    <t>Total de hogares que realizaron alguna construcción, ampliación, renovación, reparación o remodelación en la vivienda secundaria con más gastos durante 2020</t>
  </si>
  <si>
    <t>Total de hogares que realizaron alguna construcción, ampliación, renovación, reparación o remodelación en la vivienda secundaria con más gastos durante 2019</t>
  </si>
  <si>
    <t>Total de viviendas secundarias por entidad federativa</t>
  </si>
  <si>
    <t>Total de viviendas secundarias</t>
  </si>
  <si>
    <t>Total de viviendas secundarias con gastos en construcción, ampliación, renovación, rehabilitación o reforzamiento durante 2019</t>
  </si>
  <si>
    <t>Total de viviendas secundarias con gastos en construcción, ampliación, renovación, rehabilitación o reforzamiento durante 2020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</si>
  <si>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Cuando hay más de una vivienda secundaria por hogar, corresponde exclusivamente a las viviendas con más gastos de compra, construcción o mantenimiento durante 2020.</t>
    </r>
  </si>
  <si>
    <t>Condición de tenencia de viviendas secundarias propias</t>
  </si>
  <si>
    <t xml:space="preserve"> Tipo de gasto
</t>
  </si>
  <si>
    <t>Gasto de los hogares que reportaron algún gasto en construcción, ampliación, renovación, reparación o remodelación a la vivienda secundaria con más gastos durante 2019</t>
  </si>
  <si>
    <t>Tipo de acción en vivienda</t>
  </si>
  <si>
    <t>Gasto de los hogares que reportaron algún gasto en construcción, ampliación, renovación, reparación o remodelación a la vivienda secundaria con más gastos durante 2020</t>
  </si>
  <si>
    <t>Cuadro 4.1</t>
  </si>
  <si>
    <t>Cuadro 4.2</t>
  </si>
  <si>
    <t>Hogares por entidad federativa, según condición de tenencia de viviendas secundarias propias</t>
  </si>
  <si>
    <t>Cuadro 4.3</t>
  </si>
  <si>
    <t>Hogares con viviendas secundarias por tamaño de localidad, según número de viviendas secundarias propias</t>
  </si>
  <si>
    <t>Hogares con viviendas secundarias por entidad federativa, según número de viviendas secundarias propias</t>
  </si>
  <si>
    <t>Cuadro 4.4</t>
  </si>
  <si>
    <t>Cuadro 4.5</t>
  </si>
  <si>
    <t>Cuadro 4.6</t>
  </si>
  <si>
    <r>
      <t>Total de viviendas secundarias con más gastos durante 2020</t>
    </r>
    <r>
      <rPr>
        <b/>
        <vertAlign val="superscript"/>
        <sz val="8"/>
        <rFont val="Arial"/>
        <family val="2"/>
      </rPr>
      <t>1</t>
    </r>
  </si>
  <si>
    <r>
      <t>Está deshabitada</t>
    </r>
    <r>
      <rPr>
        <b/>
        <vertAlign val="superscript"/>
        <sz val="8"/>
        <rFont val="Arial"/>
        <family val="2"/>
      </rPr>
      <t>2</t>
    </r>
  </si>
  <si>
    <r>
      <t>Está en proceso de construcción</t>
    </r>
    <r>
      <rPr>
        <b/>
        <vertAlign val="superscript"/>
        <sz val="8"/>
        <rFont val="Arial"/>
        <family val="2"/>
      </rPr>
      <t>3</t>
    </r>
  </si>
  <si>
    <r>
      <t>Otra situación</t>
    </r>
    <r>
      <rPr>
        <b/>
        <vertAlign val="superscript"/>
        <sz val="8"/>
        <rFont val="Arial"/>
        <family val="2"/>
      </rPr>
      <t>4</t>
    </r>
  </si>
  <si>
    <t>Cuadro 4.7</t>
  </si>
  <si>
    <t>Cuadro 4.8</t>
  </si>
  <si>
    <t>Cuadro 4.9</t>
  </si>
  <si>
    <t>Cuadro 4.10</t>
  </si>
  <si>
    <t>Cuadro 4.11</t>
  </si>
  <si>
    <t>Cuadro 4.12</t>
  </si>
  <si>
    <t>Cuadro 4.13</t>
  </si>
  <si>
    <t>Cuadro 4.14</t>
  </si>
  <si>
    <t>Cuadro 4.15</t>
  </si>
  <si>
    <t>Cuadro 4.16</t>
  </si>
  <si>
    <t>Cuadro 4.17</t>
  </si>
  <si>
    <t>Cuadro 4.18</t>
  </si>
  <si>
    <r>
      <t>Razones de adquisición</t>
    </r>
    <r>
      <rPr>
        <b/>
        <vertAlign val="superscript"/>
        <sz val="8"/>
        <rFont val="Arial"/>
        <family val="2"/>
      </rPr>
      <t>2</t>
    </r>
  </si>
  <si>
    <r>
      <t>Infraestructura de la vivienda y localidad</t>
    </r>
    <r>
      <rPr>
        <b/>
        <vertAlign val="superscript"/>
        <sz val="8"/>
        <rFont val="Arial"/>
        <family val="2"/>
      </rPr>
      <t>3</t>
    </r>
  </si>
  <si>
    <r>
      <t>Económicas</t>
    </r>
    <r>
      <rPr>
        <b/>
        <vertAlign val="superscript"/>
        <sz val="8"/>
        <rFont val="Arial"/>
        <family val="2"/>
      </rPr>
      <t>4</t>
    </r>
  </si>
  <si>
    <r>
      <t>Personales</t>
    </r>
    <r>
      <rPr>
        <b/>
        <vertAlign val="superscript"/>
        <sz val="8"/>
        <rFont val="Arial"/>
        <family val="2"/>
      </rPr>
      <t>5</t>
    </r>
  </si>
  <si>
    <r>
      <t>Se construyó</t>
    </r>
    <r>
      <rPr>
        <b/>
        <vertAlign val="superscript"/>
        <sz val="8"/>
        <rFont val="Arial"/>
        <family val="2"/>
      </rPr>
      <t>2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</si>
  <si>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las viviendas que las construyó un(a) albañil o trabajador(a) por su cuenta, un(a) ingeniero(a) o arquitecto(a), una empresa constructora, o alguna persona del hogar.</t>
    </r>
  </si>
  <si>
    <r>
      <t>Otro</t>
    </r>
    <r>
      <rPr>
        <b/>
        <vertAlign val="superscript"/>
        <sz val="8"/>
        <rFont val="Arial"/>
        <family val="2"/>
      </rPr>
      <t>3</t>
    </r>
  </si>
  <si>
    <r>
      <t>Total de hogares con viviendas secundarias que tuvieron gastos en construcción, ampliación, renovación, rehabilitación o reforzamiento durante 2019</t>
    </r>
    <r>
      <rPr>
        <b/>
        <vertAlign val="superscript"/>
        <sz val="8"/>
        <rFont val="Arial"/>
        <family val="2"/>
      </rPr>
      <t>1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</si>
  <si>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Excluye a los hogares que reportaron sí haber realizado alguna construcción, ampliación, renovación, reparación o mantenimiento durante 2019, pero que no gastaron o no especificaron monto.</t>
    </r>
  </si>
  <si>
    <r>
      <t>Total de hogares con viviendas secundarias que tuvieron gastos en construcción, ampliación, renovación, rehabilitación o reforzamiento durante 2020</t>
    </r>
    <r>
      <rPr>
        <b/>
        <vertAlign val="superscript"/>
        <sz val="8"/>
        <rFont val="Arial"/>
        <family val="2"/>
      </rPr>
      <t>1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</si>
  <si>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Excluye a los hogares que reportaron sí haber realizado alguna construcción, ampliación, renovación, reparación o mantenimiento durante 2020, pero que no gastaron o no especificaron monto.</t>
    </r>
  </si>
  <si>
    <r>
      <t>Tipo de gasto</t>
    </r>
    <r>
      <rPr>
        <b/>
        <vertAlign val="superscript"/>
        <sz val="8"/>
        <rFont val="Arial"/>
        <family val="2"/>
      </rPr>
      <t>1</t>
    </r>
  </si>
  <si>
    <r>
      <t>Hogares que no reportaron gastos</t>
    </r>
    <r>
      <rPr>
        <b/>
        <vertAlign val="superscript"/>
        <sz val="8"/>
        <rFont val="Arial"/>
        <family val="2"/>
      </rPr>
      <t>2</t>
    </r>
  </si>
  <si>
    <r>
      <t>Reparación menor o mantenimiento</t>
    </r>
    <r>
      <rPr>
        <vertAlign val="superscript"/>
        <sz val="8"/>
        <rFont val="Arial"/>
        <family val="2"/>
      </rPr>
      <t>3</t>
    </r>
  </si>
  <si>
    <r>
      <t>Remodelación</t>
    </r>
    <r>
      <rPr>
        <vertAlign val="superscript"/>
        <sz val="8"/>
        <rFont val="Arial"/>
        <family val="2"/>
      </rPr>
      <t>4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</si>
  <si>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La suma puede ser superior al total de hogares porque se pudo escoger más de una opción.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</si>
  <si>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los hogares que realizaron alguna construcción, ampliación, renovación, reparación o remodelación en la vivienda durante 2019, pero no especificaron el monto gastado.</t>
    </r>
  </si>
  <si>
    <r>
      <rPr>
        <vertAlign val="superscript"/>
        <sz val="8"/>
        <rFont val="Arial"/>
        <family val="2"/>
      </rPr>
      <t xml:space="preserve">3 </t>
    </r>
    <r>
      <rPr>
        <sz val="8"/>
        <rFont val="Arial"/>
        <family val="2"/>
      </rPr>
      <t>Solo reportan gastos de materiales, sueldos y salarios. No se incluyen en gastos por licencias.</t>
    </r>
  </si>
  <si>
    <r>
      <rPr>
        <vertAlign val="superscript"/>
        <sz val="8"/>
        <rFont val="Arial"/>
        <family val="2"/>
      </rPr>
      <t xml:space="preserve">4 </t>
    </r>
    <r>
      <rPr>
        <sz val="8"/>
        <rFont val="Arial"/>
        <family val="2"/>
      </rPr>
      <t>Solo reportan gastos de materiales, sueldos y salarios. No se incluyen en gastos por licencias.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</si>
  <si>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los hogares que realizaron alguna construcción, ampliación, renovación, reparación o remodelación en la vivienda durante 2020, pero no especificaron el monto gastado.</t>
    </r>
  </si>
  <si>
    <r>
      <t xml:space="preserve">Viviendas secundarias con </t>
    </r>
    <r>
      <rPr>
        <b/>
        <i/>
        <sz val="9"/>
        <rFont val="Arial"/>
        <family val="2"/>
      </rPr>
      <t>más gastos</t>
    </r>
    <r>
      <rPr>
        <b/>
        <sz val="9"/>
        <rFont val="Arial"/>
        <family val="2"/>
      </rPr>
      <t xml:space="preserve"> durante 2020 por entidad federativa, según metros de construcción de la vivienda</t>
    </r>
  </si>
  <si>
    <t>Encuesta Nacional de Vivienda (ENVI) 2020</t>
  </si>
  <si>
    <t>TABULADOS BÁSICOS</t>
  </si>
  <si>
    <t>Nivel de confianza del 90%</t>
  </si>
  <si>
    <t>Tema</t>
  </si>
  <si>
    <t>ID Cuadro</t>
  </si>
  <si>
    <t>Título</t>
  </si>
  <si>
    <t>ÍNDICE</t>
  </si>
  <si>
    <r>
      <t xml:space="preserve">Viviendas secundarias con </t>
    </r>
    <r>
      <rPr>
        <b/>
        <i/>
        <sz val="9"/>
        <rFont val="Arial"/>
        <family val="2"/>
      </rPr>
      <t>más gastos</t>
    </r>
    <r>
      <rPr>
        <b/>
        <sz val="9"/>
        <rFont val="Arial"/>
        <family val="2"/>
      </rPr>
      <t xml:space="preserve"> durante 2020 por entidad federativa, según promedio de cuartos de la vivienda</t>
    </r>
  </si>
  <si>
    <r>
      <t xml:space="preserve">Viviendas secundarias con </t>
    </r>
    <r>
      <rPr>
        <b/>
        <i/>
        <sz val="9"/>
        <rFont val="Arial"/>
        <family val="2"/>
      </rPr>
      <t>más gastos</t>
    </r>
    <r>
      <rPr>
        <b/>
        <sz val="9"/>
        <rFont val="Arial"/>
        <family val="2"/>
      </rPr>
      <t xml:space="preserve"> durante 2020 por entidad federativa, según razones para la adquisición de la vivienda</t>
    </r>
  </si>
  <si>
    <r>
      <t xml:space="preserve">Viviendas secundarias con </t>
    </r>
    <r>
      <rPr>
        <b/>
        <i/>
        <sz val="9"/>
        <rFont val="Arial"/>
        <family val="2"/>
      </rPr>
      <t>más gastos</t>
    </r>
    <r>
      <rPr>
        <b/>
        <sz val="9"/>
        <rFont val="Arial"/>
        <family val="2"/>
      </rPr>
      <t xml:space="preserve"> durante 2020 por entidad federativa,  según forma de adquisición</t>
    </r>
  </si>
  <si>
    <r>
      <t xml:space="preserve">Viviendas secundarias con </t>
    </r>
    <r>
      <rPr>
        <b/>
        <i/>
        <sz val="9"/>
        <rFont val="Arial"/>
        <family val="2"/>
      </rPr>
      <t>más gastos</t>
    </r>
    <r>
      <rPr>
        <b/>
        <sz val="9"/>
        <rFont val="Arial"/>
        <family val="2"/>
      </rPr>
      <t xml:space="preserve"> durante 2020 por entidad federativa según tipo de vivienda</t>
    </r>
  </si>
  <si>
    <r>
      <t xml:space="preserve">Viviendas secundarias con </t>
    </r>
    <r>
      <rPr>
        <b/>
        <i/>
        <sz val="9"/>
        <rFont val="Arial"/>
        <family val="2"/>
      </rPr>
      <t>más gastos</t>
    </r>
    <r>
      <rPr>
        <b/>
        <sz val="9"/>
        <rFont val="Arial"/>
        <family val="2"/>
      </rPr>
      <t xml:space="preserve"> durante 2020 por entidad federativa, según uso de la vivienda</t>
    </r>
  </si>
  <si>
    <r>
      <t xml:space="preserve">Hogares que realizaron alguna construcción, ampliación, renovación, reparación o remodelación en la vivienda secundaria con </t>
    </r>
    <r>
      <rPr>
        <b/>
        <i/>
        <sz val="9"/>
        <rFont val="Arial"/>
        <family val="2"/>
      </rPr>
      <t>más gastos</t>
    </r>
    <r>
      <rPr>
        <b/>
        <sz val="9"/>
        <rFont val="Arial"/>
        <family val="2"/>
      </rPr>
      <t xml:space="preserve"> durante 2019 por tamaño de localidad y tipo de acción en la vivienda, según tipo de gasto</t>
    </r>
  </si>
  <si>
    <t>Hogares que reportaron algún gasto en construcción, ampliación, renovación, reparación o remodelación a la vivienda secundaria con más gastos durante 2019, Gasto y Promedio del gasto en acciones a la vivienda por tipo de acción, según tipo de gasto</t>
  </si>
  <si>
    <r>
      <t xml:space="preserve">Hogares que realizaron alguna construcción, ampliación, renovación, reparación o remodelación en la vivienda secundaria con </t>
    </r>
    <r>
      <rPr>
        <b/>
        <i/>
        <sz val="9"/>
        <rFont val="Arial"/>
        <family val="2"/>
      </rPr>
      <t>más gastos</t>
    </r>
    <r>
      <rPr>
        <b/>
        <sz val="9"/>
        <rFont val="Arial"/>
        <family val="2"/>
      </rPr>
      <t xml:space="preserve"> durante 2020 por tamaño de localidad y tipo de acción en la vivienda, según tipo de gasto 2020</t>
    </r>
  </si>
  <si>
    <t>Hogares que reportaron algún gasto en construcción, ampliación, renovación, reparación o remodelación a la vivienda secundaria con más gastos durante 2020, Gasto y Promedio del gasto en acciones a la vivienda por tipo de acción, según tipo de gasto</t>
  </si>
  <si>
    <t>Hogares por tamaño de localidad, según condición de tenencia de viviendas secundarias propias</t>
  </si>
  <si>
    <t>Viviendas secundarias con más gastos durante 2020 por entidad federativa, según uso de la vivienda</t>
  </si>
  <si>
    <t>Viviendas secundarias con más gastos durante 2020 por entidad federativa, según razones para la adquisición de la vivienda</t>
  </si>
  <si>
    <t>Viviendas secundarias con más gastos durante 2020 por entidad federativa,  según forma de adquisición</t>
  </si>
  <si>
    <t>Viviendas secundarias con más gastos durante 2020 por entidad federativa según tipo de vivienda</t>
  </si>
  <si>
    <t>Viviendas secundarias con más gastos durante 2020 por entidad federativa, según promedio de cuartos de la vivienda</t>
  </si>
  <si>
    <t>Viviendas secundarias con más gastos durante 2020 por entidad federativa, según metros de construcción de la vivienda</t>
  </si>
  <si>
    <t>Hogares que realizaron alguna construcción, ampliación, renovación, reparación o remodelación en la vivienda secundaria con más gastos durante 2019 por tamaño de localidad y tipo de acción en la vivienda, según tipo de gasto</t>
  </si>
  <si>
    <t>Hogares que realizaron alguna construcción, ampliación, renovación, reparación o remodelación en la vivienda secundaria con más gastos durante 2020 por tamaño de localidad y tipo de acción en la vivienda, según tipo de gasto 2020</t>
  </si>
  <si>
    <t>Hogares con viviendas secundarias que tuvieron gastos en construcción, ampliación, renovación, rehabilitación o reforzamiento durante 2019 y número de viviendas secundarias por entidad federativa, según gasto realizado y su promedio</t>
  </si>
  <si>
    <t>Hogares con viviendas secundarias que tuvieron gastos en construcción, ampliación, renovación, rehabilitación o reforzamiento durante 2020 y número de viviendas secundarias por entidad federativa, según gasto realizado y su promedio</t>
  </si>
  <si>
    <t>Tema 4. Gastos en las viviendas secundarias</t>
  </si>
  <si>
    <t>Crédito de INFONAVIT</t>
  </si>
  <si>
    <t>Viviendas secundarias con más gastos durante 2020 sin financiamiento</t>
  </si>
  <si>
    <r>
      <t>Fuente de financiamiento</t>
    </r>
    <r>
      <rPr>
        <b/>
        <vertAlign val="superscript"/>
        <sz val="8"/>
        <rFont val="Arial"/>
        <family val="2"/>
      </rPr>
      <t>2</t>
    </r>
  </si>
  <si>
    <r>
      <t>Crédito de una institución financiera privada</t>
    </r>
    <r>
      <rPr>
        <b/>
        <vertAlign val="superscript"/>
        <sz val="8"/>
        <rFont val="Arial"/>
        <family val="2"/>
      </rPr>
      <t>3</t>
    </r>
  </si>
  <si>
    <r>
      <t>Préstamos informales o recursos propios</t>
    </r>
    <r>
      <rPr>
        <b/>
        <vertAlign val="superscript"/>
        <sz val="8"/>
        <rFont val="Arial"/>
        <family val="2"/>
      </rPr>
      <t>4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</si>
  <si>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La suma puede superior al total de viviendas secundarias porque una vivienda pudo tener más de una fuente de financiamiento.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</si>
  <si>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créditos una institución financiera privada (banco, sofol, caja de ahorro) y créditos de alguna organización no lucrativa.</t>
    </r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</si>
  <si>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Incluye préstamos de un familiar, amigo u otra persona, así como sus propios recursos.</t>
    </r>
  </si>
  <si>
    <r>
      <t>Fuente:</t>
    </r>
    <r>
      <rPr>
        <b/>
        <sz val="8"/>
        <rFont val="Arial"/>
        <family val="2"/>
      </rPr>
      <t xml:space="preserve"> INEGI.</t>
    </r>
    <r>
      <rPr>
        <sz val="8"/>
        <rFont val="Arial"/>
        <family val="2"/>
      </rPr>
      <t xml:space="preserve"> Encuesta Nacional de Vivienda 2020.</t>
    </r>
  </si>
  <si>
    <r>
      <t xml:space="preserve">Gasto en las viviendas secundarias durante 2019
</t>
    </r>
    <r>
      <rPr>
        <sz val="8"/>
        <rFont val="Arial"/>
        <family val="2"/>
      </rPr>
      <t>Pesos</t>
    </r>
  </si>
  <si>
    <r>
      <t xml:space="preserve">Promedio de gasto por hogar en las viviendas secundarias durante 2019
</t>
    </r>
    <r>
      <rPr>
        <sz val="8"/>
        <rFont val="Arial"/>
        <family val="2"/>
      </rPr>
      <t>Pesos</t>
    </r>
  </si>
  <si>
    <r>
      <t xml:space="preserve">Gasto en las viviendas secundarias durante 2020
</t>
    </r>
    <r>
      <rPr>
        <sz val="8"/>
        <rFont val="Arial"/>
        <family val="2"/>
      </rPr>
      <t>Pesos</t>
    </r>
  </si>
  <si>
    <r>
      <t xml:space="preserve">Promedio de gasto por hogar en las viviendas secundarias durante 2020
</t>
    </r>
    <r>
      <rPr>
        <sz val="8"/>
        <rFont val="Arial"/>
        <family val="2"/>
      </rPr>
      <t>Pesos</t>
    </r>
  </si>
  <si>
    <r>
      <t>Total de hogares que reportaron algún gasto en construcción, ampliación, renovación, reparación o remodelación en la vivienda secundaria con más gastos durante 2019</t>
    </r>
    <r>
      <rPr>
        <b/>
        <vertAlign val="superscript"/>
        <sz val="8"/>
        <rFont val="Arial"/>
        <family val="2"/>
      </rPr>
      <t>1</t>
    </r>
  </si>
  <si>
    <r>
      <t xml:space="preserve">Total
</t>
    </r>
    <r>
      <rPr>
        <sz val="8"/>
        <rFont val="Arial"/>
        <family val="2"/>
      </rPr>
      <t>(Pesos)</t>
    </r>
  </si>
  <si>
    <r>
      <t xml:space="preserve">Promedio
</t>
    </r>
    <r>
      <rPr>
        <sz val="8"/>
        <rFont val="Arial"/>
        <family val="2"/>
      </rPr>
      <t xml:space="preserve">(Pesos) </t>
    </r>
  </si>
  <si>
    <r>
      <t xml:space="preserve">Promedio
</t>
    </r>
    <r>
      <rPr>
        <sz val="8"/>
        <rFont val="Arial"/>
        <family val="2"/>
      </rPr>
      <t>(Pesos)</t>
    </r>
  </si>
  <si>
    <r>
      <t>Reparación menor o mantenimiento</t>
    </r>
    <r>
      <rPr>
        <vertAlign val="superscript"/>
        <sz val="8"/>
        <rFont val="Arial"/>
        <family val="2"/>
      </rPr>
      <t>2</t>
    </r>
  </si>
  <si>
    <r>
      <t>Remodelación</t>
    </r>
    <r>
      <rPr>
        <vertAlign val="superscript"/>
        <sz val="8"/>
        <rFont val="Arial"/>
        <family val="2"/>
      </rPr>
      <t>3</t>
    </r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</si>
  <si>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>La suma puede ser superior al total de hogares porque un hogar pudo realizar más de una acción en la vivienda secundaria durante 2019.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</si>
  <si>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>Solo reportan gastos de materiales, sueldos y salarios. No se incluyen en gastos por licencias.</t>
    </r>
  </si>
  <si>
    <r>
      <t>Total de hogares que reportaron algún gasto en construcción, ampliación, renovación, reparación o remodelación en la vivienda secundaria con más gastos durante 2020</t>
    </r>
    <r>
      <rPr>
        <b/>
        <vertAlign val="superscript"/>
        <sz val="8"/>
        <rFont val="Arial"/>
        <family val="2"/>
      </rPr>
      <t>1</t>
    </r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</si>
  <si>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>La suma puede ser superior al total de hogares porque un hogar pudo realizar más de una acción en la vivienda secundaria durante 2020.</t>
    </r>
  </si>
  <si>
    <t>Crédito de FOVISSSTE y otras instituciones públicas</t>
  </si>
  <si>
    <r>
      <t xml:space="preserve">Viviendas secundarias con </t>
    </r>
    <r>
      <rPr>
        <b/>
        <i/>
        <sz val="9"/>
        <rFont val="Arial"/>
        <family val="2"/>
      </rPr>
      <t>más gastos</t>
    </r>
    <r>
      <rPr>
        <b/>
        <sz val="9"/>
        <rFont val="Arial"/>
        <family val="2"/>
      </rPr>
      <t xml:space="preserve"> durante 2020 por entidad federativa, según fuente de financiamiento para la adquisición</t>
    </r>
  </si>
  <si>
    <t>Agosto 2021</t>
  </si>
  <si>
    <t>Límite inferior.</t>
  </si>
  <si>
    <t>Viviendas secundarias con más gastos durante 2020 por entidad federativa, según fuente de financiamiento para la adquisición</t>
  </si>
  <si>
    <t>NA</t>
  </si>
  <si>
    <t>INEGI. Encuesta Nacional de Vivienda. ENVI 2020. Tabulados básicos.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</si>
</sst>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0.0"/>
    <numFmt numFmtId="166" formatCode="#\ ###\ ##0"/>
    <numFmt numFmtId="167" formatCode="\ ###\ ###\ ##0"/>
    <numFmt numFmtId="168" formatCode="\ ###\ ###\ ##0.0"/>
    <numFmt numFmtId="169" formatCode="###\ ###\ ###\ ##0.0"/>
  </numFmts>
  <fonts count="7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80"/>
      <name val="Arial"/>
      <family val="2"/>
    </font>
    <font>
      <sz val="9"/>
      <color rgb="FF00008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u/>
      <sz val="11"/>
      <color theme="10"/>
      <name val="Calibri"/>
      <family val="2"/>
    </font>
    <font>
      <b/>
      <sz val="9"/>
      <name val="Arial"/>
      <family val="2"/>
    </font>
    <font>
      <sz val="10"/>
      <color theme="1"/>
      <name val="Arial"/>
      <family val="2"/>
    </font>
    <font>
      <vertAlign val="superscript"/>
      <sz val="8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  <scheme val="minor"/>
    </font>
    <font>
      <b/>
      <sz val="8"/>
      <color indexed="8"/>
      <name val="Arial"/>
      <family val="2"/>
    </font>
    <font>
      <b/>
      <vertAlign val="superscript"/>
      <sz val="8"/>
      <color theme="1"/>
      <name val="Arial"/>
      <family val="2"/>
    </font>
    <font>
      <sz val="11"/>
      <color rgb="FF000000"/>
      <name val="Calibri"/>
      <family val="2"/>
    </font>
    <font>
      <b/>
      <sz val="8"/>
      <color rgb="FF000000"/>
      <name val="Arial"/>
      <family val="2"/>
    </font>
    <font>
      <sz val="11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sz val="8"/>
      <color rgb="FF000000"/>
      <name val="Arial"/>
      <family val="2"/>
    </font>
    <font>
      <b/>
      <vertAlign val="superscript"/>
      <sz val="8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9"/>
      <name val="Arial"/>
      <family val="2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b/>
      <i/>
      <sz val="9"/>
      <name val="Arial"/>
      <family val="2"/>
    </font>
    <font>
      <u/>
      <sz val="9"/>
      <name val="Arial"/>
      <family val="2"/>
    </font>
    <font>
      <b/>
      <sz val="9"/>
      <color theme="1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11"/>
      <color rgb="FF000080"/>
      <name val="Arial"/>
      <family val="2"/>
    </font>
    <font>
      <b/>
      <i/>
      <sz val="12"/>
      <color rgb="FF000080"/>
      <name val="Arial"/>
      <family val="2"/>
    </font>
    <font>
      <b/>
      <sz val="11"/>
      <color theme="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0"/>
      <name val="Arial"/>
      <family val="2"/>
    </font>
    <font>
      <sz val="11"/>
      <color theme="10"/>
      <name val="Arial"/>
      <family val="2"/>
    </font>
    <font>
      <u/>
      <sz val="11"/>
      <color theme="10"/>
      <name val="Arial"/>
      <family val="2"/>
    </font>
    <font>
      <u/>
      <sz val="9"/>
      <color rgb="FF00339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6E6E6D"/>
        <bgColor indexed="64"/>
      </patternFill>
    </fill>
    <fill>
      <patternFill patternType="solid">
        <fgColor rgb="FF337AB7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medium">
        <color rgb="FF337AB7"/>
      </right>
      <top style="medium">
        <color rgb="FF337AB7"/>
      </top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/>
      <right style="thin">
        <color rgb="FF337AB7"/>
      </right>
      <top style="medium">
        <color rgb="FF0070C0"/>
      </top>
      <bottom style="thin">
        <color rgb="FF337AB7"/>
      </bottom>
      <diagonal/>
    </border>
    <border>
      <left style="thin">
        <color rgb="FF337AB7"/>
      </left>
      <right/>
      <top style="medium">
        <color rgb="FF0070C0"/>
      </top>
      <bottom style="thin">
        <color rgb="FF337AB7"/>
      </bottom>
      <diagonal/>
    </border>
    <border>
      <left/>
      <right/>
      <top style="medium">
        <color rgb="FF0070C0"/>
      </top>
      <bottom style="thin">
        <color rgb="FF337AB7"/>
      </bottom>
      <diagonal/>
    </border>
    <border>
      <left/>
      <right style="medium">
        <color rgb="FF0070C0"/>
      </right>
      <top style="medium">
        <color rgb="FF0070C0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/>
      <diagonal/>
    </border>
    <border>
      <left/>
      <right/>
      <top style="thin">
        <color rgb="FF337AB7"/>
      </top>
      <bottom style="thin">
        <color rgb="FF337AB7"/>
      </bottom>
      <diagonal/>
    </border>
    <border>
      <left style="thin">
        <color rgb="FF337AB7"/>
      </left>
      <right/>
      <top style="thin">
        <color rgb="FF337AB7"/>
      </top>
      <bottom style="thin">
        <color rgb="FF337AB7"/>
      </bottom>
      <diagonal/>
    </border>
    <border>
      <left/>
      <right style="medium">
        <color rgb="FF0070C0"/>
      </right>
      <top style="thin">
        <color rgb="FF337AB7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 style="medium">
        <color rgb="FF0070C0"/>
      </bottom>
      <diagonal/>
    </border>
    <border>
      <left/>
      <right/>
      <top style="thin">
        <color rgb="FF337AB7"/>
      </top>
      <bottom style="medium">
        <color rgb="FF0070C0"/>
      </bottom>
      <diagonal/>
    </border>
    <border>
      <left style="thin">
        <color rgb="FF337AB7"/>
      </left>
      <right/>
      <top style="thin">
        <color rgb="FF337AB7"/>
      </top>
      <bottom style="medium">
        <color rgb="FF0070C0"/>
      </bottom>
      <diagonal/>
    </border>
    <border>
      <left/>
      <right style="medium">
        <color rgb="FF0070C0"/>
      </right>
      <top style="thin">
        <color rgb="FF337AB7"/>
      </top>
      <bottom style="medium">
        <color rgb="FF0070C0"/>
      </bottom>
      <diagonal/>
    </border>
  </borders>
  <cellStyleXfs count="115">
    <xf numFmtId="0" fontId="0" fillId="0" borderId="0"/>
    <xf numFmtId="0" fontId="29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37" fillId="0" borderId="0" applyNumberFormat="0" applyFill="0" applyBorder="0" applyAlignment="0" applyProtection="0">
      <alignment vertical="top"/>
      <protection locked="0"/>
    </xf>
    <xf numFmtId="164" fontId="29" fillId="0" borderId="0" applyFont="0" applyFill="0" applyBorder="0" applyAlignment="0" applyProtection="0"/>
    <xf numFmtId="0" fontId="29" fillId="0" borderId="0"/>
    <xf numFmtId="43" fontId="29" fillId="0" borderId="0" applyFont="0" applyFill="0" applyBorder="0" applyAlignment="0" applyProtection="0"/>
    <xf numFmtId="0" fontId="29" fillId="0" borderId="0"/>
    <xf numFmtId="0" fontId="42" fillId="0" borderId="0"/>
    <xf numFmtId="0" fontId="28" fillId="0" borderId="0"/>
    <xf numFmtId="0" fontId="39" fillId="0" borderId="0"/>
    <xf numFmtId="0" fontId="30" fillId="0" borderId="0"/>
    <xf numFmtId="0" fontId="30" fillId="0" borderId="0"/>
    <xf numFmtId="0" fontId="27" fillId="0" borderId="0"/>
    <xf numFmtId="43" fontId="42" fillId="0" borderId="0" applyFont="0" applyFill="0" applyBorder="0" applyAlignment="0" applyProtection="0"/>
    <xf numFmtId="0" fontId="27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164" fontId="26" fillId="0" borderId="0" applyFont="0" applyFill="0" applyBorder="0" applyAlignment="0" applyProtection="0"/>
    <xf numFmtId="0" fontId="26" fillId="0" borderId="0"/>
    <xf numFmtId="0" fontId="26" fillId="0" borderId="0"/>
    <xf numFmtId="164" fontId="26" fillId="0" borderId="0" applyFont="0" applyFill="0" applyBorder="0" applyAlignment="0" applyProtection="0"/>
    <xf numFmtId="0" fontId="39" fillId="0" borderId="0"/>
    <xf numFmtId="0" fontId="25" fillId="0" borderId="0"/>
    <xf numFmtId="0" fontId="30" fillId="0" borderId="0"/>
    <xf numFmtId="0" fontId="56" fillId="0" borderId="0" applyNumberFormat="0" applyFill="0" applyBorder="0" applyAlignment="0" applyProtection="0"/>
    <xf numFmtId="0" fontId="24" fillId="0" borderId="0"/>
    <xf numFmtId="0" fontId="68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164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747">
    <xf numFmtId="0" fontId="0" fillId="0" borderId="0" xfId="0"/>
    <xf numFmtId="0" fontId="0" fillId="2" borderId="0" xfId="0" applyFill="1"/>
    <xf numFmtId="0" fontId="30" fillId="2" borderId="0" xfId="0" applyFont="1" applyFill="1"/>
    <xf numFmtId="0" fontId="39" fillId="2" borderId="0" xfId="13" applyFill="1"/>
    <xf numFmtId="0" fontId="35" fillId="2" borderId="0" xfId="2" applyFont="1" applyFill="1"/>
    <xf numFmtId="0" fontId="35" fillId="2" borderId="0" xfId="2" applyFont="1" applyFill="1" applyAlignment="1">
      <alignment horizontal="left" vertical="center"/>
    </xf>
    <xf numFmtId="0" fontId="35" fillId="2" borderId="3" xfId="2" applyFont="1" applyFill="1" applyBorder="1"/>
    <xf numFmtId="0" fontId="36" fillId="2" borderId="1" xfId="2" applyFont="1" applyFill="1" applyBorder="1" applyAlignment="1">
      <alignment vertical="center"/>
    </xf>
    <xf numFmtId="0" fontId="36" fillId="2" borderId="0" xfId="2" applyFont="1" applyFill="1"/>
    <xf numFmtId="0" fontId="38" fillId="2" borderId="0" xfId="14" applyFont="1" applyFill="1" applyAlignment="1">
      <alignment horizontal="left" vertical="center"/>
    </xf>
    <xf numFmtId="0" fontId="45" fillId="6" borderId="0" xfId="0" applyFont="1" applyFill="1" applyAlignment="1">
      <alignment vertical="center"/>
    </xf>
    <xf numFmtId="0" fontId="35" fillId="2" borderId="1" xfId="2" applyFont="1" applyFill="1" applyBorder="1" applyAlignment="1">
      <alignment horizontal="left" indent="1"/>
    </xf>
    <xf numFmtId="2" fontId="35" fillId="2" borderId="1" xfId="2" applyNumberFormat="1" applyFont="1" applyFill="1" applyBorder="1" applyAlignment="1">
      <alignment horizontal="right" vertical="center"/>
    </xf>
    <xf numFmtId="0" fontId="47" fillId="0" borderId="0" xfId="11" applyFont="1"/>
    <xf numFmtId="0" fontId="49" fillId="0" borderId="0" xfId="11" applyFont="1" applyAlignment="1">
      <alignment vertical="center" readingOrder="1"/>
    </xf>
    <xf numFmtId="0" fontId="47" fillId="4" borderId="5" xfId="11" applyFont="1" applyFill="1" applyBorder="1"/>
    <xf numFmtId="0" fontId="47" fillId="4" borderId="1" xfId="11" applyFont="1" applyFill="1" applyBorder="1"/>
    <xf numFmtId="0" fontId="49" fillId="4" borderId="1" xfId="11" applyFont="1" applyFill="1" applyBorder="1" applyAlignment="1">
      <alignment horizontal="right"/>
    </xf>
    <xf numFmtId="0" fontId="49" fillId="4" borderId="0" xfId="11" applyFont="1" applyFill="1"/>
    <xf numFmtId="0" fontId="47" fillId="4" borderId="0" xfId="11" applyFont="1" applyFill="1"/>
    <xf numFmtId="0" fontId="35" fillId="2" borderId="0" xfId="2" applyFont="1" applyFill="1" applyAlignment="1">
      <alignment horizontal="left" vertical="top" justifyLastLine="1"/>
    </xf>
    <xf numFmtId="0" fontId="39" fillId="2" borderId="0" xfId="27" applyFill="1"/>
    <xf numFmtId="0" fontId="33" fillId="2" borderId="0" xfId="27" applyFont="1" applyFill="1"/>
    <xf numFmtId="0" fontId="35" fillId="5" borderId="0" xfId="2" applyFont="1" applyFill="1" applyAlignment="1">
      <alignment vertical="center"/>
    </xf>
    <xf numFmtId="0" fontId="35" fillId="2" borderId="0" xfId="2" applyFont="1" applyFill="1" applyAlignment="1">
      <alignment horizontal="left" indent="1"/>
    </xf>
    <xf numFmtId="0" fontId="36" fillId="2" borderId="0" xfId="14" applyFont="1" applyFill="1" applyAlignment="1">
      <alignment horizontal="left" vertical="center"/>
    </xf>
    <xf numFmtId="0" fontId="36" fillId="0" borderId="3" xfId="11" applyFont="1" applyBorder="1" applyAlignment="1">
      <alignment horizontal="center" vertical="center" wrapText="1"/>
    </xf>
    <xf numFmtId="0" fontId="35" fillId="0" borderId="0" xfId="11" applyFont="1" applyAlignment="1">
      <alignment vertical="center" readingOrder="1"/>
    </xf>
    <xf numFmtId="0" fontId="52" fillId="4" borderId="5" xfId="11" applyFont="1" applyFill="1" applyBorder="1"/>
    <xf numFmtId="0" fontId="52" fillId="4" borderId="1" xfId="11" applyFont="1" applyFill="1" applyBorder="1"/>
    <xf numFmtId="0" fontId="35" fillId="4" borderId="1" xfId="11" applyFont="1" applyFill="1" applyBorder="1" applyAlignment="1">
      <alignment horizontal="right"/>
    </xf>
    <xf numFmtId="0" fontId="54" fillId="6" borderId="0" xfId="0" applyFont="1" applyFill="1" applyAlignment="1">
      <alignment vertical="center"/>
    </xf>
    <xf numFmtId="0" fontId="36" fillId="6" borderId="2" xfId="0" applyFont="1" applyFill="1" applyBorder="1" applyAlignment="1">
      <alignment vertical="center" wrapText="1"/>
    </xf>
    <xf numFmtId="0" fontId="30" fillId="2" borderId="0" xfId="13" applyFont="1" applyFill="1"/>
    <xf numFmtId="0" fontId="30" fillId="2" borderId="3" xfId="13" applyFont="1" applyFill="1" applyBorder="1"/>
    <xf numFmtId="0" fontId="30" fillId="2" borderId="1" xfId="13" applyFont="1" applyFill="1" applyBorder="1"/>
    <xf numFmtId="0" fontId="36" fillId="2" borderId="4" xfId="11" applyFont="1" applyFill="1" applyBorder="1" applyAlignment="1" applyProtection="1">
      <alignment vertical="center" wrapText="1" readingOrder="1"/>
      <protection locked="0"/>
    </xf>
    <xf numFmtId="0" fontId="35" fillId="2" borderId="0" xfId="13" applyFont="1" applyFill="1"/>
    <xf numFmtId="0" fontId="35" fillId="2" borderId="1" xfId="13" applyFont="1" applyFill="1" applyBorder="1"/>
    <xf numFmtId="0" fontId="30" fillId="2" borderId="0" xfId="27" applyFont="1" applyFill="1"/>
    <xf numFmtId="0" fontId="30" fillId="2" borderId="3" xfId="27" applyFont="1" applyFill="1" applyBorder="1"/>
    <xf numFmtId="0" fontId="30" fillId="2" borderId="2" xfId="27" applyFont="1" applyFill="1" applyBorder="1"/>
    <xf numFmtId="0" fontId="35" fillId="2" borderId="2" xfId="27" applyFont="1" applyFill="1" applyBorder="1" applyAlignment="1">
      <alignment horizontal="center" vertical="center"/>
    </xf>
    <xf numFmtId="0" fontId="36" fillId="2" borderId="0" xfId="11" applyFont="1" applyFill="1" applyAlignment="1" applyProtection="1">
      <alignment vertical="center" wrapText="1" readingOrder="1"/>
      <protection locked="0"/>
    </xf>
    <xf numFmtId="0" fontId="35" fillId="2" borderId="0" xfId="27" applyFont="1" applyFill="1"/>
    <xf numFmtId="0" fontId="35" fillId="2" borderId="1" xfId="27" applyFont="1" applyFill="1" applyBorder="1"/>
    <xf numFmtId="0" fontId="30" fillId="2" borderId="3" xfId="0" applyFont="1" applyFill="1" applyBorder="1"/>
    <xf numFmtId="0" fontId="30" fillId="2" borderId="1" xfId="0" applyFont="1" applyFill="1" applyBorder="1"/>
    <xf numFmtId="0" fontId="58" fillId="2" borderId="0" xfId="27" applyFont="1" applyFill="1"/>
    <xf numFmtId="0" fontId="55" fillId="2" borderId="0" xfId="2" applyFont="1" applyFill="1"/>
    <xf numFmtId="0" fontId="55" fillId="2" borderId="0" xfId="2" applyFont="1" applyFill="1" applyAlignment="1">
      <alignment horizontal="left" vertical="center"/>
    </xf>
    <xf numFmtId="0" fontId="55" fillId="0" borderId="0" xfId="0" applyFont="1"/>
    <xf numFmtId="0" fontId="58" fillId="2" borderId="0" xfId="13" applyFont="1" applyFill="1"/>
    <xf numFmtId="0" fontId="59" fillId="2" borderId="0" xfId="13" applyFont="1" applyFill="1"/>
    <xf numFmtId="0" fontId="55" fillId="2" borderId="0" xfId="0" applyFont="1" applyFill="1"/>
    <xf numFmtId="0" fontId="55" fillId="2" borderId="0" xfId="13" applyFont="1" applyFill="1"/>
    <xf numFmtId="0" fontId="55" fillId="2" borderId="0" xfId="27" applyFont="1" applyFill="1"/>
    <xf numFmtId="0" fontId="61" fillId="2" borderId="0" xfId="6" applyNumberFormat="1" applyFont="1" applyFill="1" applyBorder="1" applyAlignment="1" applyProtection="1">
      <alignment horizontal="right" vertical="center"/>
    </xf>
    <xf numFmtId="0" fontId="63" fillId="0" borderId="0" xfId="11" applyFont="1"/>
    <xf numFmtId="0" fontId="57" fillId="0" borderId="0" xfId="31" applyFont="1"/>
    <xf numFmtId="0" fontId="65" fillId="0" borderId="0" xfId="31" applyFont="1"/>
    <xf numFmtId="0" fontId="67" fillId="0" borderId="0" xfId="31" applyFont="1" applyFill="1" applyAlignment="1">
      <alignment horizontal="center" vertical="center"/>
    </xf>
    <xf numFmtId="0" fontId="67" fillId="0" borderId="0" xfId="31" applyFont="1" applyFill="1" applyAlignment="1">
      <alignment vertical="center"/>
    </xf>
    <xf numFmtId="0" fontId="57" fillId="0" borderId="0" xfId="31" applyFont="1" applyFill="1"/>
    <xf numFmtId="17" fontId="31" fillId="0" borderId="0" xfId="31" quotePrefix="1" applyNumberFormat="1" applyFont="1"/>
    <xf numFmtId="0" fontId="39" fillId="0" borderId="0" xfId="31" applyFont="1"/>
    <xf numFmtId="0" fontId="67" fillId="8" borderId="6" xfId="31" applyFont="1" applyFill="1" applyBorder="1" applyAlignment="1">
      <alignment horizontal="center" vertical="center"/>
    </xf>
    <xf numFmtId="0" fontId="67" fillId="8" borderId="7" xfId="31" applyFont="1" applyFill="1" applyBorder="1" applyAlignment="1">
      <alignment horizontal="center" vertical="center"/>
    </xf>
    <xf numFmtId="0" fontId="71" fillId="0" borderId="10" xfId="30" applyFont="1" applyBorder="1" applyAlignment="1" applyProtection="1">
      <alignment horizontal="center" vertical="center"/>
    </xf>
    <xf numFmtId="0" fontId="71" fillId="0" borderId="15" xfId="30" applyFont="1" applyBorder="1" applyAlignment="1" applyProtection="1">
      <alignment horizontal="center" vertical="center"/>
    </xf>
    <xf numFmtId="0" fontId="71" fillId="0" borderId="19" xfId="30" applyFont="1" applyBorder="1" applyAlignment="1" applyProtection="1">
      <alignment horizontal="center" vertical="center"/>
    </xf>
    <xf numFmtId="0" fontId="55" fillId="2" borderId="0" xfId="0" applyFont="1" applyFill="1" applyAlignment="1">
      <alignment horizontal="right"/>
    </xf>
    <xf numFmtId="0" fontId="72" fillId="2" borderId="0" xfId="32" applyFont="1" applyFill="1" applyAlignment="1" applyProtection="1">
      <alignment horizontal="right"/>
    </xf>
    <xf numFmtId="0" fontId="36" fillId="6" borderId="1" xfId="0" applyFont="1" applyFill="1" applyBorder="1" applyAlignment="1">
      <alignment horizontal="right" vertical="center"/>
    </xf>
    <xf numFmtId="0" fontId="30" fillId="2" borderId="1" xfId="27" applyFont="1" applyFill="1" applyBorder="1" applyAlignment="1">
      <alignment horizontal="right"/>
    </xf>
    <xf numFmtId="0" fontId="35" fillId="2" borderId="1" xfId="27" applyFont="1" applyFill="1" applyBorder="1" applyAlignment="1">
      <alignment horizontal="right" vertical="center"/>
    </xf>
    <xf numFmtId="0" fontId="36" fillId="2" borderId="1" xfId="27" applyFont="1" applyFill="1" applyBorder="1" applyAlignment="1">
      <alignment horizontal="right" vertical="center"/>
    </xf>
    <xf numFmtId="0" fontId="36" fillId="2" borderId="0" xfId="13" applyFont="1" applyFill="1"/>
    <xf numFmtId="0" fontId="34" fillId="2" borderId="0" xfId="27" applyFont="1" applyFill="1"/>
    <xf numFmtId="0" fontId="36" fillId="2" borderId="0" xfId="0" applyFont="1" applyFill="1"/>
    <xf numFmtId="0" fontId="36" fillId="0" borderId="0" xfId="0" applyFont="1"/>
    <xf numFmtId="0" fontId="35" fillId="2" borderId="0" xfId="0" applyFont="1" applyFill="1"/>
    <xf numFmtId="0" fontId="35" fillId="0" borderId="0" xfId="0" applyFont="1"/>
    <xf numFmtId="167" fontId="36" fillId="2" borderId="0" xfId="2" applyNumberFormat="1" applyFont="1" applyFill="1"/>
    <xf numFmtId="167" fontId="34" fillId="2" borderId="0" xfId="27" applyNumberFormat="1" applyFont="1" applyFill="1"/>
    <xf numFmtId="167" fontId="36" fillId="0" borderId="0" xfId="2" applyNumberFormat="1" applyFont="1" applyAlignment="1">
      <alignment horizontal="right" vertical="center"/>
    </xf>
    <xf numFmtId="167" fontId="33" fillId="2" borderId="0" xfId="27" applyNumberFormat="1" applyFont="1" applyFill="1"/>
    <xf numFmtId="167" fontId="36" fillId="2" borderId="0" xfId="2" applyNumberFormat="1" applyFont="1" applyFill="1" applyAlignment="1">
      <alignment horizontal="right" vertical="center"/>
    </xf>
    <xf numFmtId="167" fontId="36" fillId="2" borderId="0" xfId="13" applyNumberFormat="1" applyFont="1" applyFill="1"/>
    <xf numFmtId="167" fontId="35" fillId="2" borderId="0" xfId="2" applyNumberFormat="1" applyFont="1" applyFill="1" applyAlignment="1">
      <alignment horizontal="right" vertical="center"/>
    </xf>
    <xf numFmtId="167" fontId="35" fillId="2" borderId="0" xfId="13" applyNumberFormat="1" applyFont="1" applyFill="1"/>
    <xf numFmtId="167" fontId="36" fillId="2" borderId="4" xfId="11" applyNumberFormat="1" applyFont="1" applyFill="1" applyBorder="1" applyAlignment="1" applyProtection="1">
      <alignment vertical="center" wrapText="1" readingOrder="1"/>
      <protection locked="0"/>
    </xf>
    <xf numFmtId="167" fontId="34" fillId="2" borderId="0" xfId="13" applyNumberFormat="1" applyFont="1" applyFill="1"/>
    <xf numFmtId="167" fontId="33" fillId="2" borderId="0" xfId="13" applyNumberFormat="1" applyFont="1" applyFill="1"/>
    <xf numFmtId="167" fontId="36" fillId="6" borderId="0" xfId="0" applyNumberFormat="1" applyFont="1" applyFill="1"/>
    <xf numFmtId="167" fontId="35" fillId="6" borderId="0" xfId="0" applyNumberFormat="1" applyFont="1" applyFill="1" applyAlignment="1">
      <alignment horizontal="left" indent="1"/>
    </xf>
    <xf numFmtId="167" fontId="46" fillId="6" borderId="0" xfId="0" applyNumberFormat="1" applyFont="1" applyFill="1"/>
    <xf numFmtId="167" fontId="36" fillId="0" borderId="4" xfId="11" applyNumberFormat="1" applyFont="1" applyBorder="1" applyAlignment="1" applyProtection="1">
      <alignment vertical="center" wrapText="1" readingOrder="1"/>
      <protection locked="0"/>
    </xf>
    <xf numFmtId="167" fontId="43" fillId="0" borderId="0" xfId="11" applyNumberFormat="1" applyFont="1" applyAlignment="1">
      <alignment vertical="center" readingOrder="1"/>
    </xf>
    <xf numFmtId="167" fontId="49" fillId="0" borderId="0" xfId="11" applyNumberFormat="1" applyFont="1" applyAlignment="1">
      <alignment vertical="center" readingOrder="1"/>
    </xf>
    <xf numFmtId="167" fontId="36" fillId="0" borderId="0" xfId="17" applyNumberFormat="1" applyFont="1" applyAlignment="1">
      <alignment horizontal="right" vertical="center" readingOrder="1"/>
    </xf>
    <xf numFmtId="167" fontId="36" fillId="0" borderId="0" xfId="17" applyNumberFormat="1" applyFont="1" applyFill="1" applyAlignment="1">
      <alignment horizontal="right" vertical="center" readingOrder="1"/>
    </xf>
    <xf numFmtId="167" fontId="43" fillId="0" borderId="4" xfId="11" applyNumberFormat="1" applyFont="1" applyBorder="1" applyAlignment="1" applyProtection="1">
      <alignment vertical="center" wrapText="1" readingOrder="1"/>
      <protection locked="0"/>
    </xf>
    <xf numFmtId="167" fontId="43" fillId="0" borderId="0" xfId="11" applyNumberFormat="1" applyFont="1"/>
    <xf numFmtId="167" fontId="49" fillId="0" borderId="0" xfId="11" applyNumberFormat="1" applyFont="1"/>
    <xf numFmtId="168" fontId="35" fillId="4" borderId="1" xfId="11" applyNumberFormat="1" applyFont="1" applyFill="1" applyBorder="1" applyAlignment="1">
      <alignment horizontal="right"/>
    </xf>
    <xf numFmtId="168" fontId="36" fillId="0" borderId="0" xfId="17" applyNumberFormat="1" applyFont="1" applyFill="1" applyAlignment="1">
      <alignment horizontal="right" vertical="center" readingOrder="1"/>
    </xf>
    <xf numFmtId="168" fontId="36" fillId="0" borderId="0" xfId="17" applyNumberFormat="1" applyFont="1" applyBorder="1" applyAlignment="1">
      <alignment horizontal="right" vertical="center" readingOrder="1"/>
    </xf>
    <xf numFmtId="168" fontId="36" fillId="0" borderId="0" xfId="2" applyNumberFormat="1" applyFont="1" applyAlignment="1">
      <alignment horizontal="right" vertical="center"/>
    </xf>
    <xf numFmtId="0" fontId="50" fillId="6" borderId="0" xfId="0" applyFont="1" applyFill="1" applyAlignment="1">
      <alignment horizontal="left" vertical="top"/>
    </xf>
    <xf numFmtId="167" fontId="35" fillId="0" borderId="0" xfId="17" applyNumberFormat="1" applyFont="1" applyAlignment="1">
      <alignment horizontal="right" vertical="center" readingOrder="1"/>
    </xf>
    <xf numFmtId="167" fontId="35" fillId="0" borderId="0" xfId="17" applyNumberFormat="1" applyFont="1" applyFill="1" applyAlignment="1">
      <alignment horizontal="right" vertical="center" readingOrder="1"/>
    </xf>
    <xf numFmtId="167" fontId="49" fillId="0" borderId="0" xfId="17" applyNumberFormat="1" applyFont="1" applyAlignment="1">
      <alignment horizontal="right" vertical="center" readingOrder="1"/>
    </xf>
    <xf numFmtId="167" fontId="49" fillId="0" borderId="0" xfId="17" applyNumberFormat="1" applyFont="1" applyFill="1" applyAlignment="1">
      <alignment horizontal="right" vertical="center" readingOrder="1"/>
    </xf>
    <xf numFmtId="167" fontId="36" fillId="0" borderId="0" xfId="11" applyNumberFormat="1" applyFont="1" applyAlignment="1">
      <alignment horizontal="right" vertical="center" readingOrder="1"/>
    </xf>
    <xf numFmtId="167" fontId="35" fillId="0" borderId="0" xfId="11" applyNumberFormat="1" applyFont="1" applyAlignment="1">
      <alignment horizontal="right" vertical="center" readingOrder="1"/>
    </xf>
    <xf numFmtId="168" fontId="35" fillId="0" borderId="0" xfId="11" applyNumberFormat="1" applyFont="1" applyAlignment="1">
      <alignment horizontal="right" vertical="center" readingOrder="1"/>
    </xf>
    <xf numFmtId="0" fontId="35" fillId="2" borderId="0" xfId="2" applyFont="1" applyFill="1" applyAlignment="1">
      <alignment horizontal="right" vertical="center"/>
    </xf>
    <xf numFmtId="0" fontId="30" fillId="2" borderId="0" xfId="13" applyFont="1" applyFill="1" applyAlignment="1">
      <alignment horizontal="right"/>
    </xf>
    <xf numFmtId="167" fontId="36" fillId="2" borderId="0" xfId="13" applyNumberFormat="1" applyFont="1" applyFill="1" applyAlignment="1">
      <alignment horizontal="right"/>
    </xf>
    <xf numFmtId="168" fontId="35" fillId="2" borderId="0" xfId="13" applyNumberFormat="1" applyFont="1" applyFill="1" applyAlignment="1">
      <alignment horizontal="right"/>
    </xf>
    <xf numFmtId="167" fontId="35" fillId="2" borderId="0" xfId="13" applyNumberFormat="1" applyFont="1" applyFill="1" applyAlignment="1">
      <alignment horizontal="right"/>
    </xf>
    <xf numFmtId="0" fontId="30" fillId="2" borderId="1" xfId="13" applyFont="1" applyFill="1" applyBorder="1" applyAlignment="1">
      <alignment horizontal="right"/>
    </xf>
    <xf numFmtId="0" fontId="35" fillId="2" borderId="0" xfId="2" applyFont="1" applyFill="1" applyAlignment="1">
      <alignment horizontal="right"/>
    </xf>
    <xf numFmtId="0" fontId="30" fillId="2" borderId="0" xfId="27" applyFont="1" applyFill="1" applyAlignment="1">
      <alignment horizontal="right"/>
    </xf>
    <xf numFmtId="167" fontId="36" fillId="2" borderId="0" xfId="2" applyNumberFormat="1" applyFont="1" applyFill="1" applyAlignment="1">
      <alignment horizontal="right"/>
    </xf>
    <xf numFmtId="167" fontId="36" fillId="0" borderId="0" xfId="27" applyNumberFormat="1" applyFont="1" applyAlignment="1">
      <alignment horizontal="right"/>
    </xf>
    <xf numFmtId="167" fontId="36" fillId="2" borderId="0" xfId="27" applyNumberFormat="1" applyFont="1" applyFill="1" applyAlignment="1">
      <alignment horizontal="right"/>
    </xf>
    <xf numFmtId="167" fontId="35" fillId="0" borderId="0" xfId="27" applyNumberFormat="1" applyFont="1" applyAlignment="1">
      <alignment horizontal="right"/>
    </xf>
    <xf numFmtId="167" fontId="35" fillId="2" borderId="0" xfId="27" applyNumberFormat="1" applyFont="1" applyFill="1" applyAlignment="1">
      <alignment horizontal="right"/>
    </xf>
    <xf numFmtId="0" fontId="35" fillId="2" borderId="1" xfId="27" applyFont="1" applyFill="1" applyBorder="1" applyAlignment="1">
      <alignment horizontal="right"/>
    </xf>
    <xf numFmtId="0" fontId="30" fillId="2" borderId="0" xfId="0" applyFont="1" applyFill="1" applyAlignment="1">
      <alignment horizontal="right"/>
    </xf>
    <xf numFmtId="0" fontId="35" fillId="2" borderId="1" xfId="13" applyFont="1" applyFill="1" applyBorder="1" applyAlignment="1">
      <alignment horizontal="right"/>
    </xf>
    <xf numFmtId="167" fontId="43" fillId="0" borderId="0" xfId="11" applyNumberFormat="1" applyFont="1" applyAlignment="1">
      <alignment horizontal="right" vertical="center"/>
    </xf>
    <xf numFmtId="167" fontId="49" fillId="0" borderId="0" xfId="11" applyNumberFormat="1" applyFont="1" applyAlignment="1">
      <alignment horizontal="right" vertical="center"/>
    </xf>
    <xf numFmtId="167" fontId="49" fillId="0" borderId="0" xfId="17" applyNumberFormat="1" applyFont="1" applyAlignment="1">
      <alignment horizontal="right" vertical="center"/>
    </xf>
    <xf numFmtId="167" fontId="49" fillId="0" borderId="0" xfId="17" applyNumberFormat="1" applyFont="1" applyFill="1" applyAlignment="1">
      <alignment horizontal="right" vertical="center"/>
    </xf>
    <xf numFmtId="167" fontId="36" fillId="0" borderId="0" xfId="11" applyNumberFormat="1" applyFont="1" applyAlignment="1">
      <alignment horizontal="right" vertical="center"/>
    </xf>
    <xf numFmtId="0" fontId="49" fillId="4" borderId="1" xfId="11" applyFont="1" applyFill="1" applyBorder="1" applyAlignment="1">
      <alignment horizontal="right" vertical="center"/>
    </xf>
    <xf numFmtId="167" fontId="35" fillId="0" borderId="0" xfId="17" applyNumberFormat="1" applyFont="1" applyAlignment="1">
      <alignment horizontal="right" vertical="center"/>
    </xf>
    <xf numFmtId="167" fontId="35" fillId="0" borderId="0" xfId="17" applyNumberFormat="1" applyFont="1" applyFill="1" applyAlignment="1">
      <alignment horizontal="right" vertical="center"/>
    </xf>
    <xf numFmtId="167" fontId="35" fillId="9" borderId="0" xfId="13" applyNumberFormat="1" applyFont="1" applyFill="1" applyAlignment="1">
      <alignment horizontal="right"/>
    </xf>
    <xf numFmtId="168" fontId="35" fillId="9" borderId="0" xfId="13" applyNumberFormat="1" applyFont="1" applyFill="1" applyAlignment="1">
      <alignment horizontal="right"/>
    </xf>
    <xf numFmtId="167" fontId="35" fillId="9" borderId="0" xfId="27" applyNumberFormat="1" applyFont="1" applyFill="1" applyAlignment="1">
      <alignment horizontal="right"/>
    </xf>
    <xf numFmtId="168" fontId="35" fillId="9" borderId="0" xfId="2" applyNumberFormat="1" applyFont="1" applyFill="1" applyAlignment="1">
      <alignment horizontal="right" vertical="center"/>
    </xf>
    <xf numFmtId="166" fontId="35" fillId="2" borderId="0" xfId="2" applyNumberFormat="1" applyFont="1" applyFill="1" applyAlignment="1">
      <alignment horizontal="right"/>
    </xf>
    <xf numFmtId="0" fontId="35" fillId="6" borderId="0" xfId="0" applyFont="1" applyFill="1" applyAlignment="1">
      <alignment horizontal="left" vertical="top"/>
    </xf>
    <xf numFmtId="0" fontId="52" fillId="0" borderId="0" xfId="11" applyFont="1"/>
    <xf numFmtId="169" fontId="36" fillId="0" borderId="0" xfId="11" applyNumberFormat="1" applyFont="1" applyAlignment="1">
      <alignment horizontal="right" vertical="center" readingOrder="1"/>
    </xf>
    <xf numFmtId="169" fontId="35" fillId="0" borderId="0" xfId="17" applyNumberFormat="1" applyFont="1" applyFill="1" applyAlignment="1">
      <alignment horizontal="right" vertical="center"/>
    </xf>
    <xf numFmtId="169" fontId="35" fillId="0" borderId="0" xfId="11" applyNumberFormat="1" applyFont="1" applyAlignment="1">
      <alignment horizontal="right" vertical="center" readingOrder="1"/>
    </xf>
    <xf numFmtId="169" fontId="35" fillId="0" borderId="0" xfId="17" applyNumberFormat="1" applyFont="1" applyBorder="1" applyAlignment="1">
      <alignment horizontal="right" vertical="center"/>
    </xf>
    <xf numFmtId="169" fontId="35" fillId="0" borderId="0" xfId="17" applyNumberFormat="1" applyFont="1" applyAlignment="1">
      <alignment horizontal="right" vertical="center"/>
    </xf>
    <xf numFmtId="0" fontId="36" fillId="0" borderId="3" xfId="11" applyFont="1" applyBorder="1" applyAlignment="1">
      <alignment horizontal="left" vertical="center" wrapText="1"/>
    </xf>
    <xf numFmtId="0" fontId="36" fillId="0" borderId="1" xfId="11" applyFont="1" applyBorder="1" applyAlignment="1">
      <alignment horizontal="left" vertical="center" wrapText="1"/>
    </xf>
    <xf numFmtId="0" fontId="36" fillId="0" borderId="3" xfId="11" applyFont="1" applyBorder="1" applyAlignment="1">
      <alignment horizontal="right" vertical="center" wrapText="1"/>
    </xf>
    <xf numFmtId="0" fontId="36" fillId="0" borderId="1" xfId="11" applyFont="1" applyBorder="1" applyAlignment="1">
      <alignment horizontal="right" vertical="center" wrapText="1"/>
    </xf>
    <xf numFmtId="0" fontId="41" fillId="0" borderId="0" xfId="11" applyFont="1" applyAlignment="1">
      <alignment vertical="top"/>
    </xf>
    <xf numFmtId="0" fontId="41" fillId="0" borderId="0" xfId="11" applyFont="1" applyAlignment="1">
      <alignment vertical="top" wrapText="1"/>
    </xf>
    <xf numFmtId="0" fontId="35" fillId="0" borderId="0" xfId="11" applyFont="1" applyAlignment="1">
      <alignment horizontal="right" vertical="top"/>
    </xf>
    <xf numFmtId="0" fontId="36" fillId="0" borderId="0" xfId="11" applyFont="1" applyAlignment="1">
      <alignment horizontal="left" vertical="center" wrapText="1"/>
    </xf>
    <xf numFmtId="0" fontId="36" fillId="0" borderId="0" xfId="11" applyFont="1" applyAlignment="1">
      <alignment horizontal="right" vertical="center" wrapText="1"/>
    </xf>
    <xf numFmtId="0" fontId="35" fillId="4" borderId="0" xfId="11" applyFont="1" applyFill="1"/>
    <xf numFmtId="0" fontId="35" fillId="4" borderId="0" xfId="11" applyFont="1" applyFill="1" applyAlignment="1">
      <alignment horizontal="right" vertical="center"/>
    </xf>
    <xf numFmtId="167" fontId="36" fillId="0" borderId="0" xfId="11" applyNumberFormat="1" applyFont="1" applyAlignment="1" applyProtection="1">
      <alignment vertical="center" wrapText="1" readingOrder="1"/>
      <protection locked="0"/>
    </xf>
    <xf numFmtId="167" fontId="35" fillId="0" borderId="0" xfId="11" applyNumberFormat="1" applyFont="1" applyAlignment="1" applyProtection="1">
      <alignment vertical="center" wrapText="1" readingOrder="1"/>
      <protection locked="0"/>
    </xf>
    <xf numFmtId="167" fontId="49" fillId="0" borderId="0" xfId="11" applyNumberFormat="1" applyFont="1" applyAlignment="1" applyProtection="1">
      <alignment vertical="center" wrapText="1" readingOrder="1"/>
      <protection locked="0"/>
    </xf>
    <xf numFmtId="0" fontId="49" fillId="4" borderId="0" xfId="11" applyFont="1" applyFill="1" applyAlignment="1">
      <alignment horizontal="right"/>
    </xf>
    <xf numFmtId="169" fontId="36" fillId="0" borderId="0" xfId="11" applyNumberFormat="1" applyFont="1" applyAlignment="1">
      <alignment horizontal="right" vertical="center"/>
    </xf>
    <xf numFmtId="169" fontId="35" fillId="0" borderId="0" xfId="17" applyNumberFormat="1" applyFont="1" applyFill="1" applyAlignment="1">
      <alignment horizontal="right" vertical="center" readingOrder="1"/>
    </xf>
    <xf numFmtId="169" fontId="35" fillId="0" borderId="0" xfId="17" applyNumberFormat="1" applyFont="1" applyBorder="1" applyAlignment="1">
      <alignment horizontal="right" vertical="center" readingOrder="1"/>
    </xf>
    <xf numFmtId="169" fontId="35" fillId="0" borderId="0" xfId="17" applyNumberFormat="1" applyFont="1" applyAlignment="1">
      <alignment horizontal="right" vertical="center" readingOrder="1"/>
    </xf>
    <xf numFmtId="169" fontId="49" fillId="0" borderId="0" xfId="17" applyNumberFormat="1" applyFont="1" applyFill="1" applyAlignment="1">
      <alignment horizontal="right" vertical="center" readingOrder="1"/>
    </xf>
    <xf numFmtId="169" fontId="49" fillId="0" borderId="0" xfId="17" applyNumberFormat="1" applyFont="1" applyBorder="1" applyAlignment="1">
      <alignment horizontal="right" vertical="center" readingOrder="1"/>
    </xf>
    <xf numFmtId="169" fontId="49" fillId="0" borderId="0" xfId="17" applyNumberFormat="1" applyFont="1" applyAlignment="1">
      <alignment horizontal="right" vertical="center" readingOrder="1"/>
    </xf>
    <xf numFmtId="0" fontId="36" fillId="0" borderId="3" xfId="11" applyFont="1" applyBorder="1" applyAlignment="1">
      <alignment horizontal="left" vertical="center" wrapText="1"/>
    </xf>
    <xf numFmtId="0" fontId="36" fillId="0" borderId="1" xfId="11" applyFont="1" applyBorder="1" applyAlignment="1">
      <alignment horizontal="left" vertical="center" wrapText="1"/>
    </xf>
    <xf numFmtId="0" fontId="36" fillId="0" borderId="3" xfId="11" applyFont="1" applyBorder="1" applyAlignment="1">
      <alignment horizontal="right" vertical="center" wrapText="1"/>
    </xf>
    <xf numFmtId="0" fontId="36" fillId="0" borderId="1" xfId="11" applyFont="1" applyBorder="1" applyAlignment="1">
      <alignment horizontal="right" vertical="center" wrapText="1"/>
    </xf>
    <xf numFmtId="0" fontId="36" fillId="0" borderId="0" xfId="11" applyFont="1" applyAlignment="1">
      <alignment horizontal="left" vertical="center" wrapText="1"/>
    </xf>
    <xf numFmtId="0" fontId="36" fillId="0" borderId="0" xfId="11" applyFont="1" applyAlignment="1">
      <alignment horizontal="right" vertical="center" wrapText="1"/>
    </xf>
    <xf numFmtId="0" fontId="32" fillId="0" borderId="0" xfId="54" applyFont="1"/>
    <xf numFmtId="0" fontId="38" fillId="0" borderId="0" xfId="11" applyFont="1" applyAlignment="1">
      <alignment vertical="top" wrapText="1"/>
    </xf>
    <xf numFmtId="0" fontId="35" fillId="4" borderId="0" xfId="11" applyFont="1" applyFill="1" applyAlignment="1">
      <alignment horizontal="right"/>
    </xf>
    <xf numFmtId="167" fontId="35" fillId="2" borderId="0" xfId="11" applyNumberFormat="1" applyFont="1" applyFill="1" applyAlignment="1">
      <alignment horizontal="left" indent="1" readingOrder="1"/>
    </xf>
    <xf numFmtId="167" fontId="35" fillId="2" borderId="0" xfId="0" applyNumberFormat="1" applyFont="1" applyFill="1"/>
    <xf numFmtId="167" fontId="35" fillId="0" borderId="0" xfId="11" applyNumberFormat="1" applyFont="1" applyAlignment="1">
      <alignment horizontal="left" indent="1" readingOrder="1"/>
    </xf>
    <xf numFmtId="0" fontId="43" fillId="0" borderId="3" xfId="11" applyFont="1" applyBorder="1" applyAlignment="1">
      <alignment horizontal="left" vertical="center" wrapText="1"/>
    </xf>
    <xf numFmtId="0" fontId="43" fillId="0" borderId="1" xfId="11" applyFont="1" applyBorder="1" applyAlignment="1">
      <alignment horizontal="left" vertical="center" wrapText="1"/>
    </xf>
    <xf numFmtId="0" fontId="43" fillId="0" borderId="3" xfId="11" applyFont="1" applyBorder="1" applyAlignment="1">
      <alignment horizontal="right" vertical="center" wrapText="1"/>
    </xf>
    <xf numFmtId="0" fontId="43" fillId="0" borderId="1" xfId="11" applyFont="1" applyBorder="1" applyAlignment="1">
      <alignment horizontal="right" vertical="center" wrapText="1"/>
    </xf>
    <xf numFmtId="0" fontId="34" fillId="0" borderId="3" xfId="11" applyFont="1" applyBorder="1" applyAlignment="1">
      <alignment horizontal="right" vertical="center" wrapText="1"/>
    </xf>
    <xf numFmtId="0" fontId="34" fillId="0" borderId="1" xfId="11" applyFont="1" applyBorder="1" applyAlignment="1">
      <alignment horizontal="right" vertical="center" wrapText="1"/>
    </xf>
    <xf numFmtId="0" fontId="32" fillId="0" borderId="0" xfId="55" applyFont="1"/>
    <xf numFmtId="0" fontId="36" fillId="0" borderId="3" xfId="11" applyFont="1" applyBorder="1" applyAlignment="1">
      <alignment horizontal="left" vertical="center" wrapText="1"/>
    </xf>
    <xf numFmtId="0" fontId="36" fillId="0" borderId="1" xfId="11" applyFont="1" applyBorder="1" applyAlignment="1">
      <alignment horizontal="left" vertical="center" wrapText="1"/>
    </xf>
    <xf numFmtId="0" fontId="36" fillId="0" borderId="3" xfId="11" applyFont="1" applyBorder="1" applyAlignment="1">
      <alignment horizontal="right" vertical="center" wrapText="1"/>
    </xf>
    <xf numFmtId="0" fontId="36" fillId="0" borderId="1" xfId="11" applyFont="1" applyBorder="1" applyAlignment="1">
      <alignment horizontal="right" vertical="center" wrapText="1"/>
    </xf>
    <xf numFmtId="0" fontId="38" fillId="0" borderId="0" xfId="11" applyFont="1" applyAlignment="1">
      <alignment horizontal="left" vertical="top" wrapText="1"/>
    </xf>
    <xf numFmtId="0" fontId="32" fillId="0" borderId="0" xfId="56" applyFont="1"/>
    <xf numFmtId="0" fontId="64" fillId="0" borderId="0" xfId="11" applyFont="1" applyAlignment="1">
      <alignment horizontal="left" vertical="top" wrapText="1"/>
    </xf>
    <xf numFmtId="0" fontId="48" fillId="0" borderId="0" xfId="11" applyFont="1" applyAlignment="1">
      <alignment vertical="top"/>
    </xf>
    <xf numFmtId="0" fontId="48" fillId="0" borderId="0" xfId="11" applyFont="1" applyAlignment="1">
      <alignment vertical="top" wrapText="1"/>
    </xf>
    <xf numFmtId="167" fontId="43" fillId="0" borderId="0" xfId="11" applyNumberFormat="1" applyFont="1" applyAlignment="1" applyProtection="1">
      <alignment vertical="center" wrapText="1" readingOrder="1"/>
      <protection locked="0"/>
    </xf>
    <xf numFmtId="169" fontId="49" fillId="0" borderId="0" xfId="17" applyNumberFormat="1" applyFont="1" applyFill="1" applyAlignment="1">
      <alignment horizontal="right" vertical="center"/>
    </xf>
    <xf numFmtId="169" fontId="49" fillId="0" borderId="0" xfId="11" applyNumberFormat="1" applyFont="1" applyAlignment="1">
      <alignment horizontal="right" vertical="center"/>
    </xf>
    <xf numFmtId="169" fontId="43" fillId="0" borderId="0" xfId="11" applyNumberFormat="1" applyFont="1" applyAlignment="1">
      <alignment horizontal="right" vertical="center"/>
    </xf>
    <xf numFmtId="169" fontId="49" fillId="0" borderId="0" xfId="17" applyNumberFormat="1" applyFont="1" applyBorder="1" applyAlignment="1">
      <alignment horizontal="right" vertical="center"/>
    </xf>
    <xf numFmtId="169" fontId="49" fillId="0" borderId="0" xfId="17" applyNumberFormat="1" applyFont="1" applyAlignment="1">
      <alignment horizontal="right" vertical="center"/>
    </xf>
    <xf numFmtId="0" fontId="46" fillId="6" borderId="3" xfId="0" applyFont="1" applyFill="1" applyBorder="1" applyAlignment="1">
      <alignment horizontal="left" vertical="center" wrapText="1"/>
    </xf>
    <xf numFmtId="0" fontId="46" fillId="6" borderId="1" xfId="0" applyFont="1" applyFill="1" applyBorder="1" applyAlignment="1">
      <alignment horizontal="left" vertical="center" wrapText="1"/>
    </xf>
    <xf numFmtId="0" fontId="32" fillId="0" borderId="0" xfId="57" applyFont="1"/>
    <xf numFmtId="0" fontId="32" fillId="0" borderId="0" xfId="58" applyFont="1"/>
    <xf numFmtId="0" fontId="58" fillId="0" borderId="0" xfId="58" applyFont="1"/>
    <xf numFmtId="0" fontId="58" fillId="0" borderId="0" xfId="58" applyFont="1" applyAlignment="1">
      <alignment horizontal="left"/>
    </xf>
    <xf numFmtId="0" fontId="62" fillId="2" borderId="0" xfId="59" applyFont="1" applyFill="1" applyAlignment="1">
      <alignment vertical="top"/>
    </xf>
    <xf numFmtId="0" fontId="16" fillId="0" borderId="1" xfId="58" applyBorder="1"/>
    <xf numFmtId="0" fontId="16" fillId="0" borderId="0" xfId="58" applyAlignment="1">
      <alignment horizontal="left"/>
    </xf>
    <xf numFmtId="0" fontId="16" fillId="0" borderId="0" xfId="58"/>
    <xf numFmtId="0" fontId="46" fillId="6" borderId="0" xfId="0" applyFont="1" applyFill="1" applyAlignment="1">
      <alignment horizontal="left" vertical="center" wrapText="1"/>
    </xf>
    <xf numFmtId="0" fontId="34" fillId="0" borderId="0" xfId="58" applyFont="1" applyAlignment="1">
      <alignment horizontal="left" vertical="center" wrapText="1"/>
    </xf>
    <xf numFmtId="167" fontId="34" fillId="0" borderId="0" xfId="58" applyNumberFormat="1" applyFont="1" applyAlignment="1">
      <alignment horizontal="right" vertical="center"/>
    </xf>
    <xf numFmtId="167" fontId="34" fillId="0" borderId="0" xfId="58" applyNumberFormat="1" applyFont="1"/>
    <xf numFmtId="167" fontId="33" fillId="0" borderId="0" xfId="58" applyNumberFormat="1" applyFont="1" applyAlignment="1">
      <alignment horizontal="right" vertical="center"/>
    </xf>
    <xf numFmtId="167" fontId="35" fillId="0" borderId="0" xfId="58" applyNumberFormat="1" applyFont="1" applyAlignment="1">
      <alignment horizontal="right" vertical="center"/>
    </xf>
    <xf numFmtId="167" fontId="33" fillId="0" borderId="0" xfId="58" applyNumberFormat="1" applyFont="1"/>
    <xf numFmtId="0" fontId="16" fillId="0" borderId="1" xfId="58" applyBorder="1" applyAlignment="1">
      <alignment horizontal="left"/>
    </xf>
    <xf numFmtId="166" fontId="35" fillId="0" borderId="1" xfId="58" applyNumberFormat="1" applyFont="1" applyBorder="1"/>
    <xf numFmtId="0" fontId="35" fillId="6" borderId="0" xfId="0" applyFont="1" applyFill="1" applyAlignment="1">
      <alignment horizontal="left" indent="1"/>
    </xf>
    <xf numFmtId="166" fontId="35" fillId="0" borderId="0" xfId="58" applyNumberFormat="1" applyFont="1"/>
    <xf numFmtId="169" fontId="35" fillId="0" borderId="0" xfId="58" applyNumberFormat="1" applyFont="1" applyAlignment="1">
      <alignment horizontal="right" vertical="center"/>
    </xf>
    <xf numFmtId="169" fontId="34" fillId="0" borderId="0" xfId="58" applyNumberFormat="1" applyFont="1" applyAlignment="1">
      <alignment horizontal="right" vertical="center"/>
    </xf>
    <xf numFmtId="0" fontId="32" fillId="0" borderId="0" xfId="61" applyFont="1"/>
    <xf numFmtId="0" fontId="58" fillId="0" borderId="0" xfId="61" applyFont="1"/>
    <xf numFmtId="0" fontId="58" fillId="0" borderId="0" xfId="61" applyFont="1" applyAlignment="1">
      <alignment horizontal="center"/>
    </xf>
    <xf numFmtId="0" fontId="58" fillId="0" borderId="0" xfId="61" applyFont="1" applyAlignment="1">
      <alignment horizontal="left"/>
    </xf>
    <xf numFmtId="0" fontId="55" fillId="2" borderId="0" xfId="61" applyFont="1" applyFill="1"/>
    <xf numFmtId="0" fontId="53" fillId="0" borderId="1" xfId="61" applyFont="1" applyBorder="1"/>
    <xf numFmtId="0" fontId="53" fillId="0" borderId="0" xfId="61" applyFont="1" applyAlignment="1">
      <alignment horizontal="left"/>
    </xf>
    <xf numFmtId="0" fontId="53" fillId="0" borderId="0" xfId="61" applyFont="1" applyAlignment="1">
      <alignment horizontal="center"/>
    </xf>
    <xf numFmtId="0" fontId="53" fillId="0" borderId="0" xfId="61" applyFont="1"/>
    <xf numFmtId="0" fontId="15" fillId="0" borderId="0" xfId="61"/>
    <xf numFmtId="0" fontId="36" fillId="2" borderId="3" xfId="61" applyFont="1" applyFill="1" applyBorder="1" applyAlignment="1">
      <alignment horizontal="center" vertical="center" wrapText="1"/>
    </xf>
    <xf numFmtId="0" fontId="36" fillId="2" borderId="0" xfId="61" applyFont="1" applyFill="1" applyAlignment="1">
      <alignment horizontal="center" vertical="center" wrapText="1"/>
    </xf>
    <xf numFmtId="0" fontId="35" fillId="2" borderId="0" xfId="13" applyFont="1" applyFill="1" applyAlignment="1">
      <alignment vertical="center"/>
    </xf>
    <xf numFmtId="0" fontId="36" fillId="2" borderId="0" xfId="13" applyFont="1" applyFill="1" applyAlignment="1">
      <alignment vertical="center"/>
    </xf>
    <xf numFmtId="0" fontId="36" fillId="2" borderId="1" xfId="61" applyFont="1" applyFill="1" applyBorder="1" applyAlignment="1">
      <alignment horizontal="center" vertical="center" wrapText="1"/>
    </xf>
    <xf numFmtId="0" fontId="36" fillId="2" borderId="1" xfId="61" applyFont="1" applyFill="1" applyBorder="1" applyAlignment="1">
      <alignment horizontal="right" vertical="center" wrapText="1"/>
    </xf>
    <xf numFmtId="0" fontId="36" fillId="0" borderId="0" xfId="61" applyFont="1" applyAlignment="1">
      <alignment horizontal="left" vertical="center" wrapText="1"/>
    </xf>
    <xf numFmtId="0" fontId="36" fillId="0" borderId="0" xfId="61" applyFont="1" applyAlignment="1">
      <alignment horizontal="right" vertical="center" wrapText="1"/>
    </xf>
    <xf numFmtId="0" fontId="53" fillId="0" borderId="0" xfId="61" applyFont="1" applyAlignment="1">
      <alignment horizontal="right" vertical="center"/>
    </xf>
    <xf numFmtId="167" fontId="36" fillId="0" borderId="0" xfId="61" applyNumberFormat="1" applyFont="1"/>
    <xf numFmtId="167" fontId="36" fillId="2" borderId="0" xfId="62" applyNumberFormat="1" applyFont="1" applyFill="1" applyAlignment="1">
      <alignment horizontal="right" vertical="center"/>
    </xf>
    <xf numFmtId="167" fontId="34" fillId="0" borderId="0" xfId="61" applyNumberFormat="1" applyFont="1"/>
    <xf numFmtId="167" fontId="36" fillId="0" borderId="0" xfId="0" applyNumberFormat="1" applyFont="1"/>
    <xf numFmtId="167" fontId="35" fillId="0" borderId="0" xfId="61" applyNumberFormat="1" applyFont="1"/>
    <xf numFmtId="167" fontId="35" fillId="2" borderId="0" xfId="62" applyNumberFormat="1" applyFont="1" applyFill="1" applyAlignment="1">
      <alignment horizontal="right" vertical="center"/>
    </xf>
    <xf numFmtId="168" fontId="35" fillId="2" borderId="0" xfId="62" applyNumberFormat="1" applyFont="1" applyFill="1" applyAlignment="1">
      <alignment horizontal="right" vertical="center"/>
    </xf>
    <xf numFmtId="167" fontId="33" fillId="0" borderId="0" xfId="61" applyNumberFormat="1" applyFont="1"/>
    <xf numFmtId="167" fontId="35" fillId="0" borderId="0" xfId="61" applyNumberFormat="1" applyFont="1" applyAlignment="1">
      <alignment horizontal="left"/>
    </xf>
    <xf numFmtId="167" fontId="35" fillId="3" borderId="0" xfId="61" applyNumberFormat="1" applyFont="1" applyFill="1" applyAlignment="1">
      <alignment horizontal="right" vertical="center"/>
    </xf>
    <xf numFmtId="167" fontId="35" fillId="2" borderId="0" xfId="63" applyNumberFormat="1" applyFont="1" applyFill="1" applyAlignment="1">
      <alignment horizontal="right" vertical="center"/>
    </xf>
    <xf numFmtId="0" fontId="53" fillId="0" borderId="5" xfId="61" applyFont="1" applyBorder="1"/>
    <xf numFmtId="0" fontId="53" fillId="0" borderId="1" xfId="61" applyFont="1" applyBorder="1" applyAlignment="1">
      <alignment horizontal="left"/>
    </xf>
    <xf numFmtId="166" fontId="35" fillId="2" borderId="1" xfId="2" applyNumberFormat="1" applyFont="1" applyFill="1" applyBorder="1" applyAlignment="1">
      <alignment horizontal="right" vertical="center"/>
    </xf>
    <xf numFmtId="166" fontId="35" fillId="2" borderId="1" xfId="62" applyNumberFormat="1" applyFont="1" applyFill="1" applyBorder="1" applyAlignment="1">
      <alignment horizontal="right" vertical="center"/>
    </xf>
    <xf numFmtId="165" fontId="35" fillId="2" borderId="1" xfId="62" applyNumberFormat="1" applyFont="1" applyFill="1" applyBorder="1" applyAlignment="1">
      <alignment horizontal="right" vertical="center"/>
    </xf>
    <xf numFmtId="165" fontId="35" fillId="3" borderId="1" xfId="61" applyNumberFormat="1" applyFont="1" applyFill="1" applyBorder="1" applyAlignment="1">
      <alignment horizontal="right" vertical="center"/>
    </xf>
    <xf numFmtId="165" fontId="35" fillId="2" borderId="1" xfId="63" applyNumberFormat="1" applyFont="1" applyFill="1" applyBorder="1" applyAlignment="1">
      <alignment horizontal="right" vertical="center"/>
    </xf>
    <xf numFmtId="166" fontId="35" fillId="2" borderId="0" xfId="62" applyNumberFormat="1" applyFont="1" applyFill="1"/>
    <xf numFmtId="165" fontId="35" fillId="2" borderId="0" xfId="62" applyNumberFormat="1" applyFont="1" applyFill="1"/>
    <xf numFmtId="165" fontId="35" fillId="3" borderId="0" xfId="61" applyNumberFormat="1" applyFont="1" applyFill="1"/>
    <xf numFmtId="165" fontId="35" fillId="2" borderId="0" xfId="63" applyNumberFormat="1" applyFont="1" applyFill="1"/>
    <xf numFmtId="0" fontId="35" fillId="6" borderId="0" xfId="0" applyFont="1" applyFill="1" applyAlignment="1">
      <alignment horizontal="left"/>
    </xf>
    <xf numFmtId="0" fontId="15" fillId="0" borderId="0" xfId="61" applyAlignment="1">
      <alignment horizontal="left"/>
    </xf>
    <xf numFmtId="0" fontId="15" fillId="0" borderId="0" xfId="61" applyAlignment="1">
      <alignment horizontal="center"/>
    </xf>
    <xf numFmtId="165" fontId="15" fillId="0" borderId="0" xfId="61" applyNumberFormat="1" applyAlignment="1">
      <alignment horizontal="center"/>
    </xf>
    <xf numFmtId="165" fontId="15" fillId="0" borderId="0" xfId="61" applyNumberFormat="1"/>
    <xf numFmtId="169" fontId="35" fillId="2" borderId="0" xfId="62" applyNumberFormat="1" applyFont="1" applyFill="1" applyAlignment="1">
      <alignment horizontal="right" vertical="center"/>
    </xf>
    <xf numFmtId="169" fontId="35" fillId="2" borderId="0" xfId="2" applyNumberFormat="1" applyFont="1" applyFill="1" applyAlignment="1">
      <alignment horizontal="right" vertical="center"/>
    </xf>
    <xf numFmtId="169" fontId="35" fillId="6" borderId="0" xfId="0" applyNumberFormat="1" applyFont="1" applyFill="1" applyAlignment="1">
      <alignment horizontal="right" vertical="center"/>
    </xf>
    <xf numFmtId="169" fontId="36" fillId="2" borderId="0" xfId="62" applyNumberFormat="1" applyFont="1" applyFill="1" applyAlignment="1">
      <alignment horizontal="right" vertical="center"/>
    </xf>
    <xf numFmtId="0" fontId="32" fillId="0" borderId="0" xfId="64" applyFont="1"/>
    <xf numFmtId="0" fontId="58" fillId="0" borderId="0" xfId="64" applyFont="1"/>
    <xf numFmtId="0" fontId="58" fillId="0" borderId="0" xfId="64" applyFont="1" applyAlignment="1">
      <alignment horizontal="center"/>
    </xf>
    <xf numFmtId="0" fontId="58" fillId="0" borderId="0" xfId="64" applyFont="1" applyAlignment="1">
      <alignment horizontal="left"/>
    </xf>
    <xf numFmtId="0" fontId="55" fillId="2" borderId="0" xfId="64" applyFont="1" applyFill="1"/>
    <xf numFmtId="164" fontId="55" fillId="2" borderId="0" xfId="66" applyFont="1" applyFill="1" applyBorder="1" applyAlignment="1">
      <alignment horizontal="right" vertical="top"/>
    </xf>
    <xf numFmtId="0" fontId="55" fillId="0" borderId="0" xfId="65" applyFont="1" applyAlignment="1">
      <alignment vertical="center"/>
    </xf>
    <xf numFmtId="0" fontId="53" fillId="0" borderId="1" xfId="64" applyFont="1" applyBorder="1"/>
    <xf numFmtId="0" fontId="53" fillId="0" borderId="0" xfId="64" applyFont="1" applyAlignment="1">
      <alignment horizontal="left"/>
    </xf>
    <xf numFmtId="0" fontId="53" fillId="0" borderId="0" xfId="64" applyFont="1" applyAlignment="1">
      <alignment horizontal="center"/>
    </xf>
    <xf numFmtId="0" fontId="53" fillId="0" borderId="0" xfId="64" applyFont="1"/>
    <xf numFmtId="0" fontId="14" fillId="0" borderId="0" xfId="64"/>
    <xf numFmtId="0" fontId="36" fillId="2" borderId="3" xfId="64" applyFont="1" applyFill="1" applyBorder="1" applyAlignment="1">
      <alignment horizontal="center" vertical="center" wrapText="1"/>
    </xf>
    <xf numFmtId="0" fontId="36" fillId="2" borderId="0" xfId="64" applyFont="1" applyFill="1" applyAlignment="1">
      <alignment horizontal="center" vertical="center" wrapText="1"/>
    </xf>
    <xf numFmtId="0" fontId="36" fillId="2" borderId="0" xfId="68" applyFont="1" applyFill="1" applyAlignment="1">
      <alignment horizontal="center" vertical="center" wrapText="1"/>
    </xf>
    <xf numFmtId="0" fontId="53" fillId="2" borderId="0" xfId="68" applyFont="1" applyFill="1" applyAlignment="1">
      <alignment vertical="center"/>
    </xf>
    <xf numFmtId="0" fontId="36" fillId="2" borderId="1" xfId="64" applyFont="1" applyFill="1" applyBorder="1" applyAlignment="1">
      <alignment horizontal="center" vertical="center" wrapText="1"/>
    </xf>
    <xf numFmtId="0" fontId="36" fillId="2" borderId="1" xfId="68" applyFont="1" applyFill="1" applyBorder="1" applyAlignment="1">
      <alignment horizontal="right" vertical="center"/>
    </xf>
    <xf numFmtId="0" fontId="53" fillId="2" borderId="1" xfId="68" applyFont="1" applyFill="1" applyBorder="1" applyAlignment="1">
      <alignment vertical="center"/>
    </xf>
    <xf numFmtId="0" fontId="36" fillId="0" borderId="0" xfId="64" applyFont="1" applyAlignment="1">
      <alignment horizontal="left" vertical="center" wrapText="1"/>
    </xf>
    <xf numFmtId="0" fontId="36" fillId="0" borderId="0" xfId="64" applyFont="1" applyAlignment="1">
      <alignment horizontal="right" vertical="center"/>
    </xf>
    <xf numFmtId="0" fontId="53" fillId="0" borderId="0" xfId="64" applyFont="1" applyAlignment="1">
      <alignment horizontal="right" vertical="center"/>
    </xf>
    <xf numFmtId="0" fontId="14" fillId="0" borderId="0" xfId="64" applyAlignment="1">
      <alignment horizontal="right"/>
    </xf>
    <xf numFmtId="167" fontId="36" fillId="0" borderId="0" xfId="64" applyNumberFormat="1" applyFont="1"/>
    <xf numFmtId="167" fontId="34" fillId="0" borderId="0" xfId="64" applyNumberFormat="1" applyFont="1" applyAlignment="1">
      <alignment horizontal="right"/>
    </xf>
    <xf numFmtId="167" fontId="34" fillId="0" borderId="0" xfId="64" applyNumberFormat="1" applyFont="1"/>
    <xf numFmtId="167" fontId="35" fillId="0" borderId="0" xfId="64" applyNumberFormat="1" applyFont="1"/>
    <xf numFmtId="168" fontId="35" fillId="2" borderId="0" xfId="2" applyNumberFormat="1" applyFont="1" applyFill="1" applyAlignment="1">
      <alignment horizontal="right" vertical="center"/>
    </xf>
    <xf numFmtId="167" fontId="33" fillId="0" borderId="0" xfId="64" applyNumberFormat="1" applyFont="1" applyAlignment="1">
      <alignment horizontal="right"/>
    </xf>
    <xf numFmtId="167" fontId="33" fillId="0" borderId="0" xfId="64" applyNumberFormat="1" applyFont="1"/>
    <xf numFmtId="167" fontId="35" fillId="0" borderId="0" xfId="64" applyNumberFormat="1" applyFont="1" applyAlignment="1">
      <alignment horizontal="left"/>
    </xf>
    <xf numFmtId="167" fontId="35" fillId="2" borderId="0" xfId="65" applyNumberFormat="1" applyFont="1" applyFill="1" applyAlignment="1">
      <alignment horizontal="right" vertical="center"/>
    </xf>
    <xf numFmtId="167" fontId="35" fillId="3" borderId="0" xfId="64" applyNumberFormat="1" applyFont="1" applyFill="1" applyAlignment="1">
      <alignment horizontal="right" vertical="center"/>
    </xf>
    <xf numFmtId="167" fontId="35" fillId="2" borderId="0" xfId="67" applyNumberFormat="1" applyFont="1" applyFill="1" applyAlignment="1">
      <alignment horizontal="right" vertical="center"/>
    </xf>
    <xf numFmtId="167" fontId="35" fillId="0" borderId="0" xfId="64" applyNumberFormat="1" applyFont="1" applyAlignment="1">
      <alignment horizontal="right" vertical="center"/>
    </xf>
    <xf numFmtId="0" fontId="53" fillId="0" borderId="5" xfId="64" applyFont="1" applyBorder="1"/>
    <xf numFmtId="0" fontId="53" fillId="0" borderId="1" xfId="64" applyFont="1" applyBorder="1" applyAlignment="1">
      <alignment horizontal="left"/>
    </xf>
    <xf numFmtId="166" fontId="35" fillId="2" borderId="1" xfId="65" applyNumberFormat="1" applyFont="1" applyFill="1" applyBorder="1" applyAlignment="1">
      <alignment horizontal="right" vertical="center"/>
    </xf>
    <xf numFmtId="165" fontId="35" fillId="2" borderId="1" xfId="65" applyNumberFormat="1" applyFont="1" applyFill="1" applyBorder="1" applyAlignment="1">
      <alignment horizontal="right" vertical="center"/>
    </xf>
    <xf numFmtId="165" fontId="35" fillId="3" borderId="1" xfId="64" applyNumberFormat="1" applyFont="1" applyFill="1" applyBorder="1" applyAlignment="1">
      <alignment horizontal="right" vertical="center"/>
    </xf>
    <xf numFmtId="165" fontId="35" fillId="2" borderId="1" xfId="67" applyNumberFormat="1" applyFont="1" applyFill="1" applyBorder="1" applyAlignment="1">
      <alignment horizontal="right" vertical="center"/>
    </xf>
    <xf numFmtId="166" fontId="35" fillId="2" borderId="0" xfId="65" applyNumberFormat="1" applyFont="1" applyFill="1"/>
    <xf numFmtId="165" fontId="35" fillId="2" borderId="0" xfId="65" applyNumberFormat="1" applyFont="1" applyFill="1"/>
    <xf numFmtId="165" fontId="35" fillId="3" borderId="0" xfId="64" applyNumberFormat="1" applyFont="1" applyFill="1"/>
    <xf numFmtId="165" fontId="35" fillId="2" borderId="0" xfId="67" applyNumberFormat="1" applyFont="1" applyFill="1"/>
    <xf numFmtId="166" fontId="35" fillId="0" borderId="0" xfId="64" applyNumberFormat="1" applyFont="1"/>
    <xf numFmtId="0" fontId="35" fillId="2" borderId="0" xfId="64" applyFont="1" applyFill="1" applyAlignment="1">
      <alignment horizontal="left" vertical="top"/>
    </xf>
    <xf numFmtId="0" fontId="14" fillId="0" borderId="0" xfId="64" applyAlignment="1">
      <alignment horizontal="left"/>
    </xf>
    <xf numFmtId="0" fontId="14" fillId="0" borderId="0" xfId="64" applyAlignment="1">
      <alignment horizontal="center"/>
    </xf>
    <xf numFmtId="165" fontId="14" fillId="0" borderId="0" xfId="64" applyNumberFormat="1" applyAlignment="1">
      <alignment horizontal="center"/>
    </xf>
    <xf numFmtId="165" fontId="14" fillId="0" borderId="0" xfId="64" applyNumberFormat="1"/>
    <xf numFmtId="169" fontId="35" fillId="2" borderId="0" xfId="65" applyNumberFormat="1" applyFont="1" applyFill="1" applyAlignment="1">
      <alignment horizontal="right" vertical="center"/>
    </xf>
    <xf numFmtId="169" fontId="36" fillId="2" borderId="0" xfId="2" applyNumberFormat="1" applyFont="1" applyFill="1" applyAlignment="1">
      <alignment horizontal="right" vertical="center"/>
    </xf>
    <xf numFmtId="169" fontId="35" fillId="0" borderId="0" xfId="64" applyNumberFormat="1" applyFont="1" applyAlignment="1">
      <alignment horizontal="right" vertical="center"/>
    </xf>
    <xf numFmtId="0" fontId="32" fillId="0" borderId="0" xfId="70" applyFont="1"/>
    <xf numFmtId="0" fontId="58" fillId="0" borderId="0" xfId="70" applyFont="1"/>
    <xf numFmtId="0" fontId="58" fillId="0" borderId="0" xfId="70" applyFont="1" applyAlignment="1">
      <alignment horizontal="center"/>
    </xf>
    <xf numFmtId="0" fontId="58" fillId="0" borderId="0" xfId="70" applyFont="1" applyAlignment="1">
      <alignment horizontal="left"/>
    </xf>
    <xf numFmtId="0" fontId="55" fillId="2" borderId="0" xfId="70" applyFont="1" applyFill="1"/>
    <xf numFmtId="0" fontId="53" fillId="0" borderId="1" xfId="70" applyFont="1" applyBorder="1"/>
    <xf numFmtId="0" fontId="53" fillId="0" borderId="0" xfId="70" applyFont="1" applyAlignment="1">
      <alignment horizontal="left"/>
    </xf>
    <xf numFmtId="0" fontId="53" fillId="0" borderId="0" xfId="70" applyFont="1" applyAlignment="1">
      <alignment horizontal="center"/>
    </xf>
    <xf numFmtId="0" fontId="53" fillId="0" borderId="0" xfId="70" applyFont="1"/>
    <xf numFmtId="0" fontId="13" fillId="0" borderId="0" xfId="70"/>
    <xf numFmtId="0" fontId="36" fillId="2" borderId="3" xfId="70" applyFont="1" applyFill="1" applyBorder="1" applyAlignment="1">
      <alignment horizontal="center" vertical="center" wrapText="1"/>
    </xf>
    <xf numFmtId="0" fontId="36" fillId="2" borderId="0" xfId="70" applyFont="1" applyFill="1" applyAlignment="1">
      <alignment horizontal="center" vertical="center" wrapText="1"/>
    </xf>
    <xf numFmtId="0" fontId="36" fillId="2" borderId="0" xfId="72" applyFont="1" applyFill="1" applyAlignment="1">
      <alignment horizontal="right" vertical="center" wrapText="1"/>
    </xf>
    <xf numFmtId="0" fontId="36" fillId="2" borderId="0" xfId="72" applyFont="1" applyFill="1" applyAlignment="1">
      <alignment horizontal="center" vertical="center" wrapText="1"/>
    </xf>
    <xf numFmtId="0" fontId="36" fillId="2" borderId="1" xfId="70" applyFont="1" applyFill="1" applyBorder="1" applyAlignment="1">
      <alignment horizontal="center" vertical="center" wrapText="1"/>
    </xf>
    <xf numFmtId="0" fontId="36" fillId="2" borderId="1" xfId="73" applyFont="1" applyFill="1" applyBorder="1" applyAlignment="1">
      <alignment horizontal="right" vertical="center"/>
    </xf>
    <xf numFmtId="0" fontId="53" fillId="2" borderId="1" xfId="73" applyFont="1" applyFill="1" applyBorder="1" applyAlignment="1">
      <alignment vertical="center"/>
    </xf>
    <xf numFmtId="0" fontId="34" fillId="0" borderId="0" xfId="70" applyFont="1" applyAlignment="1">
      <alignment horizontal="left" vertical="center" wrapText="1"/>
    </xf>
    <xf numFmtId="0" fontId="34" fillId="0" borderId="0" xfId="70" applyFont="1" applyAlignment="1">
      <alignment horizontal="right" vertical="center" wrapText="1"/>
    </xf>
    <xf numFmtId="0" fontId="36" fillId="0" borderId="0" xfId="70" applyFont="1" applyAlignment="1">
      <alignment horizontal="right" vertical="center" wrapText="1"/>
    </xf>
    <xf numFmtId="0" fontId="13" fillId="0" borderId="0" xfId="70" applyAlignment="1">
      <alignment horizontal="right" vertical="center"/>
    </xf>
    <xf numFmtId="167" fontId="34" fillId="0" borderId="0" xfId="70" applyNumberFormat="1" applyFont="1"/>
    <xf numFmtId="167" fontId="33" fillId="0" borderId="0" xfId="70" applyNumberFormat="1" applyFont="1"/>
    <xf numFmtId="167" fontId="33" fillId="0" borderId="0" xfId="70" applyNumberFormat="1" applyFont="1" applyAlignment="1">
      <alignment horizontal="left"/>
    </xf>
    <xf numFmtId="167" fontId="35" fillId="2" borderId="0" xfId="71" applyNumberFormat="1" applyFont="1" applyFill="1" applyAlignment="1">
      <alignment horizontal="right" vertical="center"/>
    </xf>
    <xf numFmtId="167" fontId="35" fillId="3" borderId="0" xfId="70" applyNumberFormat="1" applyFont="1" applyFill="1" applyAlignment="1">
      <alignment horizontal="right" vertical="center"/>
    </xf>
    <xf numFmtId="167" fontId="35" fillId="2" borderId="0" xfId="72" applyNumberFormat="1" applyFont="1" applyFill="1" applyAlignment="1">
      <alignment horizontal="right" vertical="center"/>
    </xf>
    <xf numFmtId="0" fontId="13" fillId="0" borderId="5" xfId="70" applyBorder="1"/>
    <xf numFmtId="0" fontId="13" fillId="0" borderId="1" xfId="70" applyBorder="1" applyAlignment="1">
      <alignment horizontal="left"/>
    </xf>
    <xf numFmtId="166" fontId="35" fillId="2" borderId="1" xfId="71" applyNumberFormat="1" applyFont="1" applyFill="1" applyBorder="1" applyAlignment="1">
      <alignment horizontal="right" vertical="center"/>
    </xf>
    <xf numFmtId="165" fontId="35" fillId="2" borderId="1" xfId="71" applyNumberFormat="1" applyFont="1" applyFill="1" applyBorder="1" applyAlignment="1">
      <alignment horizontal="right" vertical="center"/>
    </xf>
    <xf numFmtId="165" fontId="35" fillId="3" borderId="1" xfId="70" applyNumberFormat="1" applyFont="1" applyFill="1" applyBorder="1" applyAlignment="1">
      <alignment horizontal="right" vertical="center"/>
    </xf>
    <xf numFmtId="165" fontId="35" fillId="2" borderId="1" xfId="72" applyNumberFormat="1" applyFont="1" applyFill="1" applyBorder="1" applyAlignment="1">
      <alignment horizontal="right" vertical="center"/>
    </xf>
    <xf numFmtId="0" fontId="13" fillId="0" borderId="0" xfId="70" applyAlignment="1">
      <alignment horizontal="left"/>
    </xf>
    <xf numFmtId="166" fontId="35" fillId="2" borderId="0" xfId="71" applyNumberFormat="1" applyFont="1" applyFill="1"/>
    <xf numFmtId="165" fontId="35" fillId="2" borderId="0" xfId="71" applyNumberFormat="1" applyFont="1" applyFill="1"/>
    <xf numFmtId="165" fontId="35" fillId="3" borderId="0" xfId="70" applyNumberFormat="1" applyFont="1" applyFill="1"/>
    <xf numFmtId="165" fontId="35" fillId="2" borderId="0" xfId="72" applyNumberFormat="1" applyFont="1" applyFill="1"/>
    <xf numFmtId="0" fontId="35" fillId="2" borderId="0" xfId="71" applyFont="1" applyFill="1" applyAlignment="1">
      <alignment horizontal="left" vertical="top" justifyLastLine="1"/>
    </xf>
    <xf numFmtId="0" fontId="13" fillId="0" borderId="0" xfId="70" applyAlignment="1">
      <alignment horizontal="center"/>
    </xf>
    <xf numFmtId="165" fontId="13" fillId="0" borderId="0" xfId="70" applyNumberFormat="1" applyAlignment="1">
      <alignment horizontal="center"/>
    </xf>
    <xf numFmtId="165" fontId="13" fillId="0" borderId="0" xfId="70" applyNumberFormat="1"/>
    <xf numFmtId="169" fontId="35" fillId="2" borderId="0" xfId="71" applyNumberFormat="1" applyFont="1" applyFill="1" applyAlignment="1">
      <alignment horizontal="right" vertical="center"/>
    </xf>
    <xf numFmtId="0" fontId="32" fillId="0" borderId="0" xfId="74" applyFont="1"/>
    <xf numFmtId="0" fontId="58" fillId="0" borderId="0" xfId="74" applyFont="1"/>
    <xf numFmtId="0" fontId="58" fillId="0" borderId="0" xfId="74" applyFont="1" applyAlignment="1">
      <alignment horizontal="center"/>
    </xf>
    <xf numFmtId="0" fontId="58" fillId="0" borderId="0" xfId="74" applyFont="1" applyAlignment="1">
      <alignment horizontal="left"/>
    </xf>
    <xf numFmtId="0" fontId="53" fillId="0" borderId="1" xfId="74" applyFont="1" applyBorder="1"/>
    <xf numFmtId="0" fontId="53" fillId="0" borderId="0" xfId="74" applyFont="1" applyAlignment="1">
      <alignment horizontal="left"/>
    </xf>
    <xf numFmtId="0" fontId="53" fillId="0" borderId="0" xfId="74" applyFont="1" applyAlignment="1">
      <alignment horizontal="center"/>
    </xf>
    <xf numFmtId="0" fontId="12" fillId="0" borderId="0" xfId="74"/>
    <xf numFmtId="0" fontId="36" fillId="2" borderId="3" xfId="74" applyFont="1" applyFill="1" applyBorder="1" applyAlignment="1">
      <alignment horizontal="center" vertical="center" wrapText="1"/>
    </xf>
    <xf numFmtId="0" fontId="36" fillId="2" borderId="0" xfId="74" applyFont="1" applyFill="1" applyAlignment="1">
      <alignment horizontal="center" vertical="center" wrapText="1"/>
    </xf>
    <xf numFmtId="0" fontId="36" fillId="2" borderId="0" xfId="76" applyFont="1" applyFill="1" applyAlignment="1">
      <alignment horizontal="right" vertical="center" wrapText="1"/>
    </xf>
    <xf numFmtId="0" fontId="36" fillId="2" borderId="1" xfId="74" applyFont="1" applyFill="1" applyBorder="1" applyAlignment="1">
      <alignment horizontal="center" vertical="center" wrapText="1"/>
    </xf>
    <xf numFmtId="0" fontId="36" fillId="2" borderId="1" xfId="77" applyFont="1" applyFill="1" applyBorder="1" applyAlignment="1">
      <alignment horizontal="right" vertical="center"/>
    </xf>
    <xf numFmtId="0" fontId="36" fillId="0" borderId="0" xfId="74" applyFont="1" applyAlignment="1">
      <alignment horizontal="right" vertical="center" wrapText="1"/>
    </xf>
    <xf numFmtId="167" fontId="36" fillId="0" borderId="0" xfId="74" applyNumberFormat="1" applyFont="1" applyAlignment="1">
      <alignment horizontal="right" vertical="center"/>
    </xf>
    <xf numFmtId="167" fontId="34" fillId="0" borderId="0" xfId="74" applyNumberFormat="1" applyFont="1"/>
    <xf numFmtId="167" fontId="35" fillId="0" borderId="0" xfId="74" applyNumberFormat="1" applyFont="1" applyAlignment="1">
      <alignment horizontal="right" vertical="center"/>
    </xf>
    <xf numFmtId="167" fontId="33" fillId="0" borderId="0" xfId="74" applyNumberFormat="1" applyFont="1"/>
    <xf numFmtId="167" fontId="35" fillId="2" borderId="0" xfId="75" applyNumberFormat="1" applyFont="1" applyFill="1" applyAlignment="1">
      <alignment horizontal="right" vertical="center"/>
    </xf>
    <xf numFmtId="0" fontId="53" fillId="0" borderId="5" xfId="74" applyFont="1" applyBorder="1"/>
    <xf numFmtId="0" fontId="53" fillId="0" borderId="1" xfId="74" applyFont="1" applyBorder="1" applyAlignment="1">
      <alignment horizontal="right" vertical="center"/>
    </xf>
    <xf numFmtId="166" fontId="35" fillId="2" borderId="1" xfId="75" applyNumberFormat="1" applyFont="1" applyFill="1" applyBorder="1" applyAlignment="1">
      <alignment horizontal="right" vertical="center"/>
    </xf>
    <xf numFmtId="165" fontId="35" fillId="2" borderId="1" xfId="75" applyNumberFormat="1" applyFont="1" applyFill="1" applyBorder="1" applyAlignment="1">
      <alignment horizontal="right" vertical="center"/>
    </xf>
    <xf numFmtId="166" fontId="35" fillId="2" borderId="0" xfId="75" applyNumberFormat="1" applyFont="1" applyFill="1"/>
    <xf numFmtId="165" fontId="35" fillId="2" borderId="0" xfId="75" applyNumberFormat="1" applyFont="1" applyFill="1"/>
    <xf numFmtId="0" fontId="35" fillId="2" borderId="0" xfId="79" applyFont="1" applyFill="1" applyAlignment="1">
      <alignment horizontal="left" vertical="top"/>
    </xf>
    <xf numFmtId="0" fontId="12" fillId="0" borderId="0" xfId="74" applyAlignment="1">
      <alignment horizontal="left"/>
    </xf>
    <xf numFmtId="0" fontId="12" fillId="0" borderId="0" xfId="74" applyAlignment="1">
      <alignment horizontal="center"/>
    </xf>
    <xf numFmtId="165" fontId="12" fillId="0" borderId="0" xfId="74" applyNumberFormat="1" applyAlignment="1">
      <alignment horizontal="center"/>
    </xf>
    <xf numFmtId="169" fontId="35" fillId="2" borderId="0" xfId="75" applyNumberFormat="1" applyFont="1" applyFill="1" applyAlignment="1">
      <alignment horizontal="right" vertical="center"/>
    </xf>
    <xf numFmtId="0" fontId="32" fillId="0" borderId="0" xfId="80" applyFont="1"/>
    <xf numFmtId="0" fontId="58" fillId="0" borderId="0" xfId="80" applyFont="1"/>
    <xf numFmtId="0" fontId="58" fillId="0" borderId="0" xfId="80" applyFont="1" applyAlignment="1">
      <alignment horizontal="center"/>
    </xf>
    <xf numFmtId="0" fontId="58" fillId="0" borderId="0" xfId="80" applyFont="1" applyAlignment="1">
      <alignment horizontal="left"/>
    </xf>
    <xf numFmtId="0" fontId="55" fillId="0" borderId="0" xfId="80" applyFont="1"/>
    <xf numFmtId="0" fontId="53" fillId="0" borderId="0" xfId="80" applyFont="1"/>
    <xf numFmtId="0" fontId="53" fillId="0" borderId="0" xfId="80" applyFont="1" applyAlignment="1">
      <alignment horizontal="left"/>
    </xf>
    <xf numFmtId="0" fontId="53" fillId="0" borderId="0" xfId="80" applyFont="1" applyAlignment="1">
      <alignment horizontal="center"/>
    </xf>
    <xf numFmtId="0" fontId="11" fillId="0" borderId="0" xfId="80"/>
    <xf numFmtId="0" fontId="36" fillId="2" borderId="2" xfId="82" applyFont="1" applyFill="1" applyBorder="1" applyAlignment="1">
      <alignment horizontal="right" vertical="center" wrapText="1"/>
    </xf>
    <xf numFmtId="0" fontId="36" fillId="2" borderId="2" xfId="80" applyFont="1" applyFill="1" applyBorder="1" applyAlignment="1">
      <alignment horizontal="center" vertical="center" wrapText="1"/>
    </xf>
    <xf numFmtId="0" fontId="36" fillId="2" borderId="2" xfId="83" applyFont="1" applyFill="1" applyBorder="1" applyAlignment="1">
      <alignment horizontal="right" vertical="center" wrapText="1"/>
    </xf>
    <xf numFmtId="0" fontId="36" fillId="0" borderId="0" xfId="80" applyFont="1" applyAlignment="1">
      <alignment horizontal="left" vertical="center" wrapText="1"/>
    </xf>
    <xf numFmtId="0" fontId="36" fillId="0" borderId="0" xfId="80" applyFont="1" applyAlignment="1">
      <alignment horizontal="right" vertical="center" wrapText="1"/>
    </xf>
    <xf numFmtId="167" fontId="36" fillId="0" borderId="0" xfId="80" applyNumberFormat="1" applyFont="1"/>
    <xf numFmtId="167" fontId="34" fillId="0" borderId="0" xfId="80" applyNumberFormat="1" applyFont="1"/>
    <xf numFmtId="167" fontId="35" fillId="0" borderId="0" xfId="80" applyNumberFormat="1" applyFont="1"/>
    <xf numFmtId="167" fontId="33" fillId="0" borderId="0" xfId="80" applyNumberFormat="1" applyFont="1"/>
    <xf numFmtId="167" fontId="35" fillId="0" borderId="0" xfId="80" applyNumberFormat="1" applyFont="1" applyAlignment="1">
      <alignment horizontal="left"/>
    </xf>
    <xf numFmtId="167" fontId="35" fillId="2" borderId="0" xfId="81" applyNumberFormat="1" applyFont="1" applyFill="1" applyAlignment="1">
      <alignment horizontal="right" vertical="center"/>
    </xf>
    <xf numFmtId="0" fontId="53" fillId="0" borderId="5" xfId="80" applyFont="1" applyBorder="1"/>
    <xf numFmtId="0" fontId="53" fillId="0" borderId="1" xfId="80" applyFont="1" applyBorder="1" applyAlignment="1">
      <alignment horizontal="left"/>
    </xf>
    <xf numFmtId="166" fontId="35" fillId="2" borderId="1" xfId="81" applyNumberFormat="1" applyFont="1" applyFill="1" applyBorder="1" applyAlignment="1">
      <alignment horizontal="right" vertical="center"/>
    </xf>
    <xf numFmtId="165" fontId="35" fillId="2" borderId="1" xfId="81" applyNumberFormat="1" applyFont="1" applyFill="1" applyBorder="1" applyAlignment="1">
      <alignment horizontal="right" vertical="center"/>
    </xf>
    <xf numFmtId="166" fontId="35" fillId="2" borderId="0" xfId="81" applyNumberFormat="1" applyFont="1" applyFill="1"/>
    <xf numFmtId="165" fontId="35" fillId="2" borderId="0" xfId="81" applyNumberFormat="1" applyFont="1" applyFill="1"/>
    <xf numFmtId="0" fontId="11" fillId="0" borderId="0" xfId="80" applyAlignment="1">
      <alignment horizontal="left"/>
    </xf>
    <xf numFmtId="0" fontId="11" fillId="0" borderId="0" xfId="80" applyAlignment="1">
      <alignment horizontal="center"/>
    </xf>
    <xf numFmtId="165" fontId="11" fillId="0" borderId="0" xfId="80" applyNumberFormat="1" applyAlignment="1">
      <alignment horizontal="center"/>
    </xf>
    <xf numFmtId="169" fontId="35" fillId="2" borderId="0" xfId="81" applyNumberFormat="1" applyFont="1" applyFill="1" applyAlignment="1">
      <alignment horizontal="right" vertical="center"/>
    </xf>
    <xf numFmtId="0" fontId="32" fillId="0" borderId="0" xfId="85" applyFont="1"/>
    <xf numFmtId="0" fontId="58" fillId="0" borderId="0" xfId="85" applyFont="1"/>
    <xf numFmtId="0" fontId="58" fillId="0" borderId="0" xfId="85" applyFont="1" applyAlignment="1">
      <alignment horizontal="center"/>
    </xf>
    <xf numFmtId="0" fontId="58" fillId="0" borderId="0" xfId="85" applyFont="1" applyAlignment="1">
      <alignment horizontal="left"/>
    </xf>
    <xf numFmtId="0" fontId="10" fillId="0" borderId="1" xfId="85" applyBorder="1"/>
    <xf numFmtId="0" fontId="10" fillId="0" borderId="0" xfId="85" applyAlignment="1">
      <alignment horizontal="left"/>
    </xf>
    <xf numFmtId="0" fontId="10" fillId="0" borderId="0" xfId="85" applyAlignment="1">
      <alignment horizontal="center"/>
    </xf>
    <xf numFmtId="0" fontId="10" fillId="0" borderId="0" xfId="85"/>
    <xf numFmtId="0" fontId="34" fillId="2" borderId="3" xfId="85" applyFont="1" applyFill="1" applyBorder="1" applyAlignment="1">
      <alignment horizontal="center" vertical="center" wrapText="1"/>
    </xf>
    <xf numFmtId="0" fontId="34" fillId="2" borderId="0" xfId="85" applyFont="1" applyFill="1" applyAlignment="1">
      <alignment horizontal="center" vertical="center" wrapText="1"/>
    </xf>
    <xf numFmtId="0" fontId="34" fillId="2" borderId="3" xfId="89" applyFont="1" applyFill="1" applyBorder="1" applyAlignment="1">
      <alignment horizontal="right" vertical="center" wrapText="1"/>
    </xf>
    <xf numFmtId="0" fontId="34" fillId="2" borderId="3" xfId="89" applyFont="1" applyFill="1" applyBorder="1" applyAlignment="1">
      <alignment horizontal="center" vertical="center" wrapText="1"/>
    </xf>
    <xf numFmtId="0" fontId="10" fillId="0" borderId="3" xfId="89" applyBorder="1" applyAlignment="1">
      <alignment vertical="center"/>
    </xf>
    <xf numFmtId="0" fontId="10" fillId="2" borderId="3" xfId="89" applyFill="1" applyBorder="1" applyAlignment="1">
      <alignment vertical="center"/>
    </xf>
    <xf numFmtId="0" fontId="34" fillId="2" borderId="1" xfId="85" applyFont="1" applyFill="1" applyBorder="1" applyAlignment="1">
      <alignment horizontal="center" vertical="center" wrapText="1"/>
    </xf>
    <xf numFmtId="0" fontId="34" fillId="2" borderId="1" xfId="88" applyFont="1" applyFill="1" applyBorder="1" applyAlignment="1">
      <alignment horizontal="right" vertical="center"/>
    </xf>
    <xf numFmtId="0" fontId="10" fillId="0" borderId="1" xfId="85" applyBorder="1" applyAlignment="1">
      <alignment horizontal="right"/>
    </xf>
    <xf numFmtId="0" fontId="34" fillId="0" borderId="0" xfId="85" applyFont="1" applyAlignment="1">
      <alignment horizontal="left" vertical="center" wrapText="1"/>
    </xf>
    <xf numFmtId="0" fontId="34" fillId="0" borderId="0" xfId="85" applyFont="1" applyAlignment="1">
      <alignment horizontal="right" vertical="center" wrapText="1"/>
    </xf>
    <xf numFmtId="0" fontId="36" fillId="0" borderId="0" xfId="85" applyFont="1" applyAlignment="1">
      <alignment horizontal="right" vertical="center" wrapText="1"/>
    </xf>
    <xf numFmtId="0" fontId="10" fillId="0" borderId="0" xfId="85" applyAlignment="1">
      <alignment horizontal="right"/>
    </xf>
    <xf numFmtId="167" fontId="34" fillId="0" borderId="0" xfId="85" applyNumberFormat="1" applyFont="1"/>
    <xf numFmtId="167" fontId="34" fillId="0" borderId="0" xfId="85" applyNumberFormat="1" applyFont="1" applyAlignment="1">
      <alignment horizontal="right"/>
    </xf>
    <xf numFmtId="167" fontId="33" fillId="0" borderId="0" xfId="85" applyNumberFormat="1" applyFont="1"/>
    <xf numFmtId="167" fontId="33" fillId="0" borderId="0" xfId="85" applyNumberFormat="1" applyFont="1" applyAlignment="1">
      <alignment horizontal="right"/>
    </xf>
    <xf numFmtId="168" fontId="33" fillId="0" borderId="0" xfId="85" applyNumberFormat="1" applyFont="1" applyAlignment="1">
      <alignment horizontal="right"/>
    </xf>
    <xf numFmtId="167" fontId="33" fillId="0" borderId="0" xfId="85" applyNumberFormat="1" applyFont="1" applyAlignment="1">
      <alignment horizontal="left"/>
    </xf>
    <xf numFmtId="167" fontId="35" fillId="2" borderId="0" xfId="86" applyNumberFormat="1" applyFont="1" applyFill="1" applyAlignment="1">
      <alignment horizontal="right"/>
    </xf>
    <xf numFmtId="0" fontId="10" fillId="0" borderId="5" xfId="85" applyBorder="1"/>
    <xf numFmtId="0" fontId="10" fillId="0" borderId="1" xfId="85" applyBorder="1" applyAlignment="1">
      <alignment horizontal="left"/>
    </xf>
    <xf numFmtId="166" fontId="35" fillId="2" borderId="1" xfId="2" applyNumberFormat="1" applyFont="1" applyFill="1" applyBorder="1" applyAlignment="1">
      <alignment horizontal="right"/>
    </xf>
    <xf numFmtId="166" fontId="35" fillId="2" borderId="1" xfId="86" applyNumberFormat="1" applyFont="1" applyFill="1" applyBorder="1" applyAlignment="1">
      <alignment horizontal="right"/>
    </xf>
    <xf numFmtId="165" fontId="35" fillId="2" borderId="1" xfId="86" applyNumberFormat="1" applyFont="1" applyFill="1" applyBorder="1" applyAlignment="1">
      <alignment horizontal="right"/>
    </xf>
    <xf numFmtId="166" fontId="35" fillId="2" borderId="0" xfId="86" applyNumberFormat="1" applyFont="1" applyFill="1"/>
    <xf numFmtId="165" fontId="35" fillId="2" borderId="0" xfId="86" applyNumberFormat="1" applyFont="1" applyFill="1"/>
    <xf numFmtId="165" fontId="10" fillId="0" borderId="0" xfId="85" applyNumberFormat="1" applyAlignment="1">
      <alignment horizontal="center"/>
    </xf>
    <xf numFmtId="169" fontId="33" fillId="0" borderId="0" xfId="85" applyNumberFormat="1" applyFont="1" applyAlignment="1">
      <alignment horizontal="right"/>
    </xf>
    <xf numFmtId="169" fontId="35" fillId="2" borderId="0" xfId="2" applyNumberFormat="1" applyFont="1" applyFill="1" applyAlignment="1">
      <alignment horizontal="right"/>
    </xf>
    <xf numFmtId="169" fontId="34" fillId="0" borderId="0" xfId="85" applyNumberFormat="1" applyFont="1" applyAlignment="1">
      <alignment horizontal="right"/>
    </xf>
    <xf numFmtId="169" fontId="35" fillId="2" borderId="0" xfId="86" applyNumberFormat="1" applyFont="1" applyFill="1" applyAlignment="1">
      <alignment horizontal="right"/>
    </xf>
    <xf numFmtId="0" fontId="36" fillId="6" borderId="3" xfId="0" applyFont="1" applyFill="1" applyBorder="1" applyAlignment="1">
      <alignment horizontal="left" vertical="center" wrapText="1"/>
    </xf>
    <xf numFmtId="0" fontId="36" fillId="6" borderId="0" xfId="0" applyFont="1" applyFill="1" applyAlignment="1">
      <alignment horizontal="left" vertical="center" wrapText="1"/>
    </xf>
    <xf numFmtId="0" fontId="36" fillId="6" borderId="1" xfId="0" applyFont="1" applyFill="1" applyBorder="1" applyAlignment="1">
      <alignment horizontal="left" vertical="center" wrapText="1"/>
    </xf>
    <xf numFmtId="0" fontId="32" fillId="0" borderId="0" xfId="90" applyFont="1"/>
    <xf numFmtId="0" fontId="58" fillId="0" borderId="0" xfId="90" applyFont="1"/>
    <xf numFmtId="0" fontId="58" fillId="0" borderId="0" xfId="90" applyFont="1" applyAlignment="1">
      <alignment horizontal="center"/>
    </xf>
    <xf numFmtId="0" fontId="55" fillId="0" borderId="0" xfId="90" applyFont="1"/>
    <xf numFmtId="0" fontId="55" fillId="0" borderId="0" xfId="90" applyFont="1" applyAlignment="1">
      <alignment horizontal="left"/>
    </xf>
    <xf numFmtId="0" fontId="55" fillId="0" borderId="0" xfId="90" applyFont="1" applyAlignment="1">
      <alignment horizontal="center"/>
    </xf>
    <xf numFmtId="0" fontId="55" fillId="2" borderId="0" xfId="90" applyFont="1" applyFill="1"/>
    <xf numFmtId="164" fontId="55" fillId="2" borderId="0" xfId="92" applyFont="1" applyFill="1" applyBorder="1" applyAlignment="1">
      <alignment horizontal="right" vertical="top"/>
    </xf>
    <xf numFmtId="0" fontId="55" fillId="0" borderId="0" xfId="91" applyFont="1" applyAlignment="1">
      <alignment vertical="center"/>
    </xf>
    <xf numFmtId="0" fontId="53" fillId="0" borderId="1" xfId="90" applyFont="1" applyBorder="1"/>
    <xf numFmtId="0" fontId="53" fillId="0" borderId="0" xfId="90" applyFont="1" applyAlignment="1">
      <alignment horizontal="left"/>
    </xf>
    <xf numFmtId="0" fontId="53" fillId="0" borderId="0" xfId="90" applyFont="1" applyAlignment="1">
      <alignment horizontal="center"/>
    </xf>
    <xf numFmtId="0" fontId="53" fillId="0" borderId="0" xfId="90" applyFont="1"/>
    <xf numFmtId="0" fontId="36" fillId="2" borderId="3" xfId="90" applyFont="1" applyFill="1" applyBorder="1" applyAlignment="1">
      <alignment horizontal="center" vertical="center" wrapText="1"/>
    </xf>
    <xf numFmtId="0" fontId="36" fillId="2" borderId="3" xfId="94" applyFont="1" applyFill="1" applyBorder="1" applyAlignment="1">
      <alignment horizontal="center" vertical="center" wrapText="1"/>
    </xf>
    <xf numFmtId="0" fontId="36" fillId="2" borderId="0" xfId="90" applyFont="1" applyFill="1" applyAlignment="1">
      <alignment horizontal="center" vertical="center" wrapText="1"/>
    </xf>
    <xf numFmtId="0" fontId="36" fillId="2" borderId="0" xfId="95" applyFont="1" applyFill="1" applyAlignment="1">
      <alignment horizontal="center" vertical="center"/>
    </xf>
    <xf numFmtId="0" fontId="36" fillId="2" borderId="1" xfId="90" applyFont="1" applyFill="1" applyBorder="1" applyAlignment="1">
      <alignment horizontal="center" vertical="center" wrapText="1"/>
    </xf>
    <xf numFmtId="0" fontId="36" fillId="2" borderId="1" xfId="94" applyFont="1" applyFill="1" applyBorder="1" applyAlignment="1">
      <alignment horizontal="right" vertical="center"/>
    </xf>
    <xf numFmtId="0" fontId="53" fillId="2" borderId="1" xfId="94" applyFont="1" applyFill="1" applyBorder="1" applyAlignment="1">
      <alignment horizontal="right" vertical="center"/>
    </xf>
    <xf numFmtId="0" fontId="53" fillId="0" borderId="1" xfId="90" applyFont="1" applyBorder="1" applyAlignment="1">
      <alignment horizontal="right"/>
    </xf>
    <xf numFmtId="0" fontId="36" fillId="0" borderId="0" xfId="90" applyFont="1" applyAlignment="1">
      <alignment horizontal="left" vertical="center" wrapText="1"/>
    </xf>
    <xf numFmtId="0" fontId="36" fillId="0" borderId="0" xfId="90" applyFont="1" applyAlignment="1">
      <alignment horizontal="right" vertical="center" wrapText="1"/>
    </xf>
    <xf numFmtId="0" fontId="53" fillId="0" borderId="0" xfId="90" applyFont="1" applyAlignment="1">
      <alignment horizontal="right" vertical="center"/>
    </xf>
    <xf numFmtId="167" fontId="36" fillId="0" borderId="0" xfId="90" applyNumberFormat="1" applyFont="1"/>
    <xf numFmtId="168" fontId="36" fillId="2" borderId="0" xfId="2" applyNumberFormat="1" applyFont="1" applyFill="1" applyAlignment="1">
      <alignment horizontal="right" vertical="center"/>
    </xf>
    <xf numFmtId="167" fontId="35" fillId="0" borderId="0" xfId="90" applyNumberFormat="1" applyFont="1"/>
    <xf numFmtId="167" fontId="35" fillId="0" borderId="0" xfId="90" applyNumberFormat="1" applyFont="1" applyAlignment="1">
      <alignment horizontal="left"/>
    </xf>
    <xf numFmtId="167" fontId="35" fillId="2" borderId="0" xfId="91" applyNumberFormat="1" applyFont="1" applyFill="1" applyAlignment="1">
      <alignment horizontal="right" vertical="center"/>
    </xf>
    <xf numFmtId="167" fontId="35" fillId="3" borderId="0" xfId="90" applyNumberFormat="1" applyFont="1" applyFill="1" applyAlignment="1">
      <alignment horizontal="right" vertical="center"/>
    </xf>
    <xf numFmtId="167" fontId="35" fillId="2" borderId="0" xfId="93" applyNumberFormat="1" applyFont="1" applyFill="1" applyAlignment="1">
      <alignment horizontal="right" vertical="center"/>
    </xf>
    <xf numFmtId="167" fontId="35" fillId="0" borderId="0" xfId="90" applyNumberFormat="1" applyFont="1" applyAlignment="1">
      <alignment horizontal="right" vertical="center"/>
    </xf>
    <xf numFmtId="0" fontId="53" fillId="0" borderId="5" xfId="90" applyFont="1" applyBorder="1"/>
    <xf numFmtId="0" fontId="53" fillId="0" borderId="1" xfId="90" applyFont="1" applyBorder="1" applyAlignment="1">
      <alignment horizontal="left"/>
    </xf>
    <xf numFmtId="166" fontId="35" fillId="2" borderId="1" xfId="91" applyNumberFormat="1" applyFont="1" applyFill="1" applyBorder="1" applyAlignment="1">
      <alignment horizontal="right" vertical="center"/>
    </xf>
    <xf numFmtId="165" fontId="35" fillId="2" borderId="1" xfId="91" applyNumberFormat="1" applyFont="1" applyFill="1" applyBorder="1" applyAlignment="1">
      <alignment horizontal="right" vertical="center"/>
    </xf>
    <xf numFmtId="165" fontId="35" fillId="3" borderId="1" xfId="90" applyNumberFormat="1" applyFont="1" applyFill="1" applyBorder="1" applyAlignment="1">
      <alignment horizontal="right" vertical="center"/>
    </xf>
    <xf numFmtId="165" fontId="35" fillId="2" borderId="1" xfId="93" applyNumberFormat="1" applyFont="1" applyFill="1" applyBorder="1" applyAlignment="1">
      <alignment horizontal="right" vertical="center"/>
    </xf>
    <xf numFmtId="0" fontId="9" fillId="0" borderId="0" xfId="90"/>
    <xf numFmtId="166" fontId="35" fillId="2" borderId="0" xfId="91" applyNumberFormat="1" applyFont="1" applyFill="1"/>
    <xf numFmtId="165" fontId="35" fillId="2" borderId="0" xfId="91" applyNumberFormat="1" applyFont="1" applyFill="1"/>
    <xf numFmtId="165" fontId="35" fillId="3" borderId="0" xfId="90" applyNumberFormat="1" applyFont="1" applyFill="1"/>
    <xf numFmtId="165" fontId="35" fillId="2" borderId="0" xfId="93" applyNumberFormat="1" applyFont="1" applyFill="1"/>
    <xf numFmtId="166" fontId="35" fillId="0" borderId="0" xfId="90" applyNumberFormat="1" applyFont="1"/>
    <xf numFmtId="0" fontId="53" fillId="0" borderId="0" xfId="96" applyFont="1" applyAlignment="1">
      <alignment horizontal="left"/>
    </xf>
    <xf numFmtId="166" fontId="35" fillId="2" borderId="0" xfId="97" applyNumberFormat="1" applyFont="1" applyFill="1"/>
    <xf numFmtId="165" fontId="35" fillId="2" borderId="0" xfId="97" applyNumberFormat="1" applyFont="1" applyFill="1"/>
    <xf numFmtId="165" fontId="35" fillId="3" borderId="0" xfId="96" applyNumberFormat="1" applyFont="1" applyFill="1"/>
    <xf numFmtId="165" fontId="35" fillId="2" borderId="0" xfId="98" applyNumberFormat="1" applyFont="1" applyFill="1"/>
    <xf numFmtId="166" fontId="35" fillId="0" borderId="0" xfId="96" applyNumberFormat="1" applyFont="1"/>
    <xf numFmtId="0" fontId="53" fillId="0" borderId="0" xfId="96" applyFont="1"/>
    <xf numFmtId="0" fontId="9" fillId="0" borderId="0" xfId="96"/>
    <xf numFmtId="0" fontId="9" fillId="0" borderId="0" xfId="90" applyAlignment="1">
      <alignment horizontal="left"/>
    </xf>
    <xf numFmtId="0" fontId="9" fillId="0" borderId="0" xfId="90" applyAlignment="1">
      <alignment horizontal="center"/>
    </xf>
    <xf numFmtId="165" fontId="9" fillId="0" borderId="0" xfId="90" applyNumberFormat="1" applyAlignment="1">
      <alignment horizontal="center"/>
    </xf>
    <xf numFmtId="165" fontId="9" fillId="0" borderId="0" xfId="90" applyNumberFormat="1"/>
    <xf numFmtId="169" fontId="35" fillId="2" borderId="0" xfId="91" applyNumberFormat="1" applyFont="1" applyFill="1" applyAlignment="1">
      <alignment horizontal="right" vertical="center"/>
    </xf>
    <xf numFmtId="169" fontId="35" fillId="0" borderId="0" xfId="90" applyNumberFormat="1" applyFont="1" applyAlignment="1">
      <alignment horizontal="right" vertical="center"/>
    </xf>
    <xf numFmtId="0" fontId="32" fillId="0" borderId="0" xfId="99" applyFont="1"/>
    <xf numFmtId="0" fontId="58" fillId="0" borderId="0" xfId="99" applyFont="1"/>
    <xf numFmtId="0" fontId="58" fillId="0" borderId="0" xfId="99" applyFont="1" applyAlignment="1">
      <alignment horizontal="left"/>
    </xf>
    <xf numFmtId="0" fontId="55" fillId="0" borderId="0" xfId="99" applyFont="1"/>
    <xf numFmtId="0" fontId="53" fillId="0" borderId="1" xfId="99" applyFont="1" applyBorder="1"/>
    <xf numFmtId="0" fontId="53" fillId="0" borderId="0" xfId="99" applyFont="1" applyAlignment="1">
      <alignment horizontal="left"/>
    </xf>
    <xf numFmtId="0" fontId="53" fillId="0" borderId="0" xfId="99" applyFont="1"/>
    <xf numFmtId="0" fontId="8" fillId="0" borderId="0" xfId="99"/>
    <xf numFmtId="0" fontId="36" fillId="0" borderId="3" xfId="101" applyFont="1" applyBorder="1" applyAlignment="1">
      <alignment horizontal="right" vertical="center" wrapText="1"/>
    </xf>
    <xf numFmtId="0" fontId="53" fillId="0" borderId="3" xfId="99" applyFont="1" applyBorder="1"/>
    <xf numFmtId="0" fontId="36" fillId="0" borderId="0" xfId="101" applyFont="1" applyAlignment="1">
      <alignment horizontal="right" vertical="center" wrapText="1"/>
    </xf>
    <xf numFmtId="0" fontId="36" fillId="0" borderId="1" xfId="101" applyFont="1" applyBorder="1" applyAlignment="1">
      <alignment horizontal="right" vertical="center" wrapText="1"/>
    </xf>
    <xf numFmtId="0" fontId="36" fillId="0" borderId="0" xfId="99" applyFont="1" applyAlignment="1">
      <alignment horizontal="left" vertical="center" wrapText="1"/>
    </xf>
    <xf numFmtId="0" fontId="36" fillId="0" borderId="0" xfId="99" applyFont="1" applyAlignment="1">
      <alignment horizontal="right" vertical="center" wrapText="1"/>
    </xf>
    <xf numFmtId="0" fontId="53" fillId="0" borderId="0" xfId="99" applyFont="1" applyAlignment="1">
      <alignment horizontal="right"/>
    </xf>
    <xf numFmtId="167" fontId="36" fillId="0" borderId="0" xfId="99" applyNumberFormat="1" applyFont="1"/>
    <xf numFmtId="167" fontId="36" fillId="0" borderId="0" xfId="99" applyNumberFormat="1" applyFont="1" applyAlignment="1">
      <alignment horizontal="right"/>
    </xf>
    <xf numFmtId="167" fontId="34" fillId="0" borderId="0" xfId="99" applyNumberFormat="1" applyFont="1"/>
    <xf numFmtId="167" fontId="35" fillId="0" borderId="0" xfId="99" applyNumberFormat="1" applyFont="1"/>
    <xf numFmtId="167" fontId="35" fillId="0" borderId="0" xfId="99" applyNumberFormat="1" applyFont="1" applyAlignment="1">
      <alignment horizontal="right"/>
    </xf>
    <xf numFmtId="167" fontId="33" fillId="0" borderId="0" xfId="99" applyNumberFormat="1" applyFont="1"/>
    <xf numFmtId="167" fontId="35" fillId="0" borderId="0" xfId="99" applyNumberFormat="1" applyFont="1" applyAlignment="1">
      <alignment horizontal="left"/>
    </xf>
    <xf numFmtId="0" fontId="53" fillId="0" borderId="5" xfId="99" applyFont="1" applyBorder="1"/>
    <xf numFmtId="0" fontId="53" fillId="0" borderId="1" xfId="99" applyFont="1" applyBorder="1" applyAlignment="1">
      <alignment horizontal="left"/>
    </xf>
    <xf numFmtId="0" fontId="53" fillId="0" borderId="1" xfId="99" applyFont="1" applyBorder="1" applyAlignment="1">
      <alignment horizontal="right"/>
    </xf>
    <xf numFmtId="166" fontId="35" fillId="0" borderId="1" xfId="99" applyNumberFormat="1" applyFont="1" applyBorder="1" applyAlignment="1">
      <alignment horizontal="right"/>
    </xf>
    <xf numFmtId="166" fontId="35" fillId="0" borderId="0" xfId="99" applyNumberFormat="1" applyFont="1"/>
    <xf numFmtId="0" fontId="8" fillId="0" borderId="0" xfId="99" applyAlignment="1">
      <alignment horizontal="left"/>
    </xf>
    <xf numFmtId="169" fontId="35" fillId="0" borderId="0" xfId="99" applyNumberFormat="1" applyFont="1" applyAlignment="1">
      <alignment horizontal="right"/>
    </xf>
    <xf numFmtId="169" fontId="36" fillId="0" borderId="0" xfId="99" applyNumberFormat="1" applyFont="1" applyAlignment="1">
      <alignment horizontal="right"/>
    </xf>
    <xf numFmtId="0" fontId="36" fillId="6" borderId="3" xfId="0" applyFont="1" applyFill="1" applyBorder="1" applyAlignment="1">
      <alignment horizontal="left" vertical="center" wrapText="1"/>
    </xf>
    <xf numFmtId="0" fontId="36" fillId="6" borderId="0" xfId="0" applyFont="1" applyFill="1" applyAlignment="1">
      <alignment horizontal="left" vertical="center" wrapText="1"/>
    </xf>
    <xf numFmtId="0" fontId="36" fillId="6" borderId="1" xfId="0" applyFont="1" applyFill="1" applyBorder="1" applyAlignment="1">
      <alignment horizontal="left" vertical="center" wrapText="1"/>
    </xf>
    <xf numFmtId="167" fontId="35" fillId="2" borderId="0" xfId="102" applyNumberFormat="1" applyFont="1" applyFill="1" applyAlignment="1">
      <alignment horizontal="right"/>
    </xf>
    <xf numFmtId="169" fontId="35" fillId="2" borderId="0" xfId="102" applyNumberFormat="1" applyFont="1" applyFill="1" applyAlignment="1">
      <alignment horizontal="right"/>
    </xf>
    <xf numFmtId="169" fontId="36" fillId="2" borderId="0" xfId="102" applyNumberFormat="1" applyFont="1" applyFill="1" applyAlignment="1">
      <alignment horizontal="right"/>
    </xf>
    <xf numFmtId="0" fontId="32" fillId="0" borderId="0" xfId="105" applyFont="1"/>
    <xf numFmtId="0" fontId="58" fillId="0" borderId="0" xfId="105" applyFont="1"/>
    <xf numFmtId="0" fontId="58" fillId="0" borderId="0" xfId="105" applyFont="1" applyAlignment="1">
      <alignment horizontal="left"/>
    </xf>
    <xf numFmtId="0" fontId="53" fillId="0" borderId="1" xfId="105" applyFont="1" applyBorder="1"/>
    <xf numFmtId="0" fontId="53" fillId="0" borderId="0" xfId="105" applyFont="1" applyAlignment="1">
      <alignment horizontal="left"/>
    </xf>
    <xf numFmtId="0" fontId="53" fillId="0" borderId="0" xfId="105" applyFont="1"/>
    <xf numFmtId="0" fontId="6" fillId="0" borderId="0" xfId="105"/>
    <xf numFmtId="0" fontId="36" fillId="0" borderId="3" xfId="107" applyFont="1" applyBorder="1" applyAlignment="1">
      <alignment horizontal="right" vertical="center" wrapText="1"/>
    </xf>
    <xf numFmtId="0" fontId="53" fillId="0" borderId="3" xfId="105" applyFont="1" applyBorder="1"/>
    <xf numFmtId="0" fontId="36" fillId="0" borderId="0" xfId="107" applyFont="1" applyAlignment="1">
      <alignment horizontal="right" vertical="center" wrapText="1"/>
    </xf>
    <xf numFmtId="0" fontId="36" fillId="0" borderId="1" xfId="107" applyFont="1" applyBorder="1" applyAlignment="1">
      <alignment horizontal="right" vertical="center" wrapText="1"/>
    </xf>
    <xf numFmtId="0" fontId="36" fillId="0" borderId="0" xfId="105" applyFont="1" applyAlignment="1">
      <alignment horizontal="left" vertical="center" wrapText="1"/>
    </xf>
    <xf numFmtId="0" fontId="36" fillId="0" borderId="0" xfId="105" applyFont="1" applyAlignment="1">
      <alignment horizontal="right" vertical="center" wrapText="1"/>
    </xf>
    <xf numFmtId="0" fontId="53" fillId="0" borderId="0" xfId="105" applyFont="1" applyAlignment="1">
      <alignment horizontal="right"/>
    </xf>
    <xf numFmtId="167" fontId="36" fillId="0" borderId="0" xfId="105" applyNumberFormat="1" applyFont="1"/>
    <xf numFmtId="167" fontId="36" fillId="0" borderId="0" xfId="105" applyNumberFormat="1" applyFont="1" applyAlignment="1">
      <alignment horizontal="right"/>
    </xf>
    <xf numFmtId="167" fontId="34" fillId="0" borderId="0" xfId="105" applyNumberFormat="1" applyFont="1"/>
    <xf numFmtId="167" fontId="35" fillId="0" borderId="0" xfId="105" applyNumberFormat="1" applyFont="1"/>
    <xf numFmtId="167" fontId="35" fillId="0" borderId="0" xfId="105" applyNumberFormat="1" applyFont="1" applyAlignment="1">
      <alignment horizontal="right"/>
    </xf>
    <xf numFmtId="167" fontId="33" fillId="0" borderId="0" xfId="105" applyNumberFormat="1" applyFont="1"/>
    <xf numFmtId="167" fontId="35" fillId="0" borderId="0" xfId="105" applyNumberFormat="1" applyFont="1" applyAlignment="1">
      <alignment horizontal="left"/>
    </xf>
    <xf numFmtId="0" fontId="53" fillId="0" borderId="5" xfId="105" applyFont="1" applyBorder="1"/>
    <xf numFmtId="0" fontId="53" fillId="0" borderId="1" xfId="105" applyFont="1" applyBorder="1" applyAlignment="1">
      <alignment horizontal="left"/>
    </xf>
    <xf numFmtId="0" fontId="53" fillId="0" borderId="1" xfId="105" applyFont="1" applyBorder="1" applyAlignment="1">
      <alignment horizontal="right"/>
    </xf>
    <xf numFmtId="166" fontId="35" fillId="0" borderId="1" xfId="105" applyNumberFormat="1" applyFont="1" applyBorder="1" applyAlignment="1">
      <alignment horizontal="right"/>
    </xf>
    <xf numFmtId="166" fontId="35" fillId="0" borderId="0" xfId="105" applyNumberFormat="1" applyFont="1"/>
    <xf numFmtId="0" fontId="6" fillId="0" borderId="0" xfId="105" applyAlignment="1">
      <alignment horizontal="left"/>
    </xf>
    <xf numFmtId="169" fontId="35" fillId="0" borderId="0" xfId="105" applyNumberFormat="1" applyFont="1" applyAlignment="1">
      <alignment horizontal="right"/>
    </xf>
    <xf numFmtId="169" fontId="36" fillId="0" borderId="0" xfId="105" applyNumberFormat="1" applyFont="1" applyAlignment="1">
      <alignment horizontal="right"/>
    </xf>
    <xf numFmtId="167" fontId="35" fillId="2" borderId="0" xfId="108" applyNumberFormat="1" applyFont="1" applyFill="1" applyAlignment="1">
      <alignment horizontal="right"/>
    </xf>
    <xf numFmtId="169" fontId="35" fillId="2" borderId="0" xfId="108" applyNumberFormat="1" applyFont="1" applyFill="1" applyAlignment="1">
      <alignment horizontal="right"/>
    </xf>
    <xf numFmtId="169" fontId="36" fillId="2" borderId="0" xfId="108" applyNumberFormat="1" applyFont="1" applyFill="1" applyAlignment="1">
      <alignment horizontal="right"/>
    </xf>
    <xf numFmtId="0" fontId="36" fillId="2" borderId="1" xfId="2" applyFont="1" applyFill="1" applyBorder="1" applyAlignment="1">
      <alignment horizontal="right" vertical="center" wrapText="1"/>
    </xf>
    <xf numFmtId="0" fontId="36" fillId="2" borderId="2" xfId="27" applyFont="1" applyFill="1" applyBorder="1" applyAlignment="1">
      <alignment horizontal="center" vertical="center"/>
    </xf>
    <xf numFmtId="0" fontId="36" fillId="2" borderId="0" xfId="2" applyFont="1" applyFill="1" applyAlignment="1">
      <alignment horizontal="right" vertical="center" wrapText="1"/>
    </xf>
    <xf numFmtId="0" fontId="32" fillId="0" borderId="0" xfId="111" applyFont="1"/>
    <xf numFmtId="0" fontId="35" fillId="2" borderId="0" xfId="13" applyFont="1" applyFill="1" applyAlignment="1">
      <alignment horizontal="left" vertical="center"/>
    </xf>
    <xf numFmtId="0" fontId="36" fillId="2" borderId="0" xfId="2" applyFont="1" applyFill="1" applyAlignment="1">
      <alignment vertical="center"/>
    </xf>
    <xf numFmtId="0" fontId="36" fillId="0" borderId="1" xfId="2" applyFont="1" applyBorder="1" applyAlignment="1">
      <alignment horizontal="right" vertical="center" wrapText="1"/>
    </xf>
    <xf numFmtId="167" fontId="36" fillId="2" borderId="0" xfId="11" applyNumberFormat="1" applyFont="1" applyFill="1" applyAlignment="1" applyProtection="1">
      <alignment vertical="center" wrapText="1" readingOrder="1"/>
      <protection locked="0"/>
    </xf>
    <xf numFmtId="167" fontId="35" fillId="2" borderId="0" xfId="2" applyNumberFormat="1" applyFont="1" applyFill="1" applyAlignment="1">
      <alignment horizontal="left" indent="1"/>
    </xf>
    <xf numFmtId="167" fontId="36" fillId="2" borderId="0" xfId="11" applyNumberFormat="1" applyFont="1" applyFill="1" applyAlignment="1">
      <alignment horizontal="left" readingOrder="1"/>
    </xf>
    <xf numFmtId="167" fontId="36" fillId="0" borderId="0" xfId="11" applyNumberFormat="1" applyFont="1" applyAlignment="1">
      <alignment horizontal="left" readingOrder="1"/>
    </xf>
    <xf numFmtId="169" fontId="35" fillId="2" borderId="0" xfId="13" applyNumberFormat="1" applyFont="1" applyFill="1" applyAlignment="1">
      <alignment horizontal="right"/>
    </xf>
    <xf numFmtId="169" fontId="36" fillId="2" borderId="0" xfId="13" applyNumberFormat="1" applyFont="1" applyFill="1" applyAlignment="1">
      <alignment horizontal="right"/>
    </xf>
    <xf numFmtId="0" fontId="32" fillId="2" borderId="0" xfId="112" applyFont="1" applyFill="1"/>
    <xf numFmtId="0" fontId="30" fillId="2" borderId="0" xfId="2" applyFill="1"/>
    <xf numFmtId="0" fontId="30" fillId="2" borderId="0" xfId="2" applyFill="1" applyAlignment="1">
      <alignment horizontal="left" vertical="center"/>
    </xf>
    <xf numFmtId="169" fontId="36" fillId="0" borderId="0" xfId="2" applyNumberFormat="1" applyFont="1" applyAlignment="1">
      <alignment horizontal="right" wrapText="1"/>
    </xf>
    <xf numFmtId="169" fontId="35" fillId="2" borderId="0" xfId="27" applyNumberFormat="1" applyFont="1" applyFill="1" applyAlignment="1">
      <alignment horizontal="right"/>
    </xf>
    <xf numFmtId="169" fontId="35" fillId="0" borderId="0" xfId="14" applyNumberFormat="1" applyFont="1" applyAlignment="1">
      <alignment horizontal="right" vertical="center"/>
    </xf>
    <xf numFmtId="169" fontId="35" fillId="0" borderId="0" xfId="2" applyNumberFormat="1" applyFont="1" applyAlignment="1">
      <alignment horizontal="right" vertical="center"/>
    </xf>
    <xf numFmtId="169" fontId="35" fillId="0" borderId="0" xfId="27" applyNumberFormat="1" applyFont="1" applyAlignment="1">
      <alignment horizontal="right"/>
    </xf>
    <xf numFmtId="169" fontId="36" fillId="2" borderId="0" xfId="27" applyNumberFormat="1" applyFont="1" applyFill="1" applyAlignment="1">
      <alignment horizontal="right"/>
    </xf>
    <xf numFmtId="169" fontId="36" fillId="0" borderId="0" xfId="27" applyNumberFormat="1" applyFont="1" applyAlignment="1">
      <alignment horizontal="right"/>
    </xf>
    <xf numFmtId="169" fontId="36" fillId="2" borderId="0" xfId="2" applyNumberFormat="1" applyFont="1" applyFill="1" applyAlignment="1">
      <alignment horizontal="right"/>
    </xf>
    <xf numFmtId="0" fontId="36" fillId="2" borderId="0" xfId="2" applyFont="1" applyFill="1" applyAlignment="1">
      <alignment horizontal="right" vertical="center" wrapText="1"/>
    </xf>
    <xf numFmtId="0" fontId="36" fillId="2" borderId="1" xfId="2" applyFont="1" applyFill="1" applyBorder="1" applyAlignment="1">
      <alignment horizontal="right" vertical="center" wrapText="1"/>
    </xf>
    <xf numFmtId="0" fontId="36" fillId="2" borderId="2" xfId="27" applyFont="1" applyFill="1" applyBorder="1" applyAlignment="1">
      <alignment horizontal="center" vertical="center"/>
    </xf>
    <xf numFmtId="0" fontId="32" fillId="0" borderId="0" xfId="113" applyFont="1"/>
    <xf numFmtId="0" fontId="36" fillId="2" borderId="0" xfId="11" applyFont="1" applyFill="1" applyAlignment="1">
      <alignment horizontal="left" readingOrder="1"/>
    </xf>
    <xf numFmtId="0" fontId="36" fillId="0" borderId="0" xfId="11" applyFont="1" applyAlignment="1">
      <alignment horizontal="left" readingOrder="1"/>
    </xf>
    <xf numFmtId="0" fontId="32" fillId="2" borderId="0" xfId="114" applyFont="1" applyFill="1"/>
    <xf numFmtId="169" fontId="36" fillId="0" borderId="0" xfId="2" applyNumberFormat="1" applyFont="1" applyAlignment="1">
      <alignment horizontal="right" vertical="center"/>
    </xf>
    <xf numFmtId="0" fontId="31" fillId="0" borderId="0" xfId="0" applyFont="1" applyAlignment="1">
      <alignment vertical="center"/>
    </xf>
    <xf numFmtId="0" fontId="67" fillId="8" borderId="7" xfId="31" applyFont="1" applyFill="1" applyBorder="1" applyAlignment="1">
      <alignment horizontal="center" vertical="center"/>
    </xf>
    <xf numFmtId="0" fontId="67" fillId="8" borderId="8" xfId="31" applyFont="1" applyFill="1" applyBorder="1" applyAlignment="1">
      <alignment horizontal="center" vertical="center"/>
    </xf>
    <xf numFmtId="0" fontId="52" fillId="0" borderId="16" xfId="31" applyFont="1" applyBorder="1" applyAlignment="1">
      <alignment horizontal="left" vertical="center" wrapText="1" indent="1"/>
    </xf>
    <xf numFmtId="0" fontId="52" fillId="0" borderId="15" xfId="31" applyFont="1" applyBorder="1" applyAlignment="1">
      <alignment horizontal="left" vertical="center" wrapText="1" indent="1"/>
    </xf>
    <xf numFmtId="0" fontId="52" fillId="0" borderId="17" xfId="31" applyFont="1" applyBorder="1" applyAlignment="1">
      <alignment horizontal="left" vertical="center" wrapText="1" indent="1"/>
    </xf>
    <xf numFmtId="0" fontId="65" fillId="0" borderId="0" xfId="31" applyFont="1" applyAlignment="1">
      <alignment horizontal="center" vertical="center"/>
    </xf>
    <xf numFmtId="0" fontId="66" fillId="0" borderId="0" xfId="31" applyFont="1" applyAlignment="1">
      <alignment horizontal="center" vertical="center"/>
    </xf>
    <xf numFmtId="0" fontId="67" fillId="7" borderId="0" xfId="31" applyFont="1" applyFill="1" applyAlignment="1">
      <alignment horizontal="center" vertical="center"/>
    </xf>
    <xf numFmtId="0" fontId="31" fillId="0" borderId="0" xfId="11" applyFont="1" applyAlignment="1">
      <alignment horizontal="center" vertical="center"/>
    </xf>
    <xf numFmtId="0" fontId="31" fillId="0" borderId="0" xfId="31" applyFont="1" applyAlignment="1">
      <alignment horizontal="right"/>
    </xf>
    <xf numFmtId="0" fontId="52" fillId="0" borderId="20" xfId="31" applyFont="1" applyBorder="1" applyAlignment="1">
      <alignment horizontal="left" vertical="center" wrapText="1" indent="1"/>
    </xf>
    <xf numFmtId="0" fontId="52" fillId="0" borderId="19" xfId="31" applyFont="1" applyBorder="1" applyAlignment="1">
      <alignment horizontal="left" vertical="center" wrapText="1" indent="1"/>
    </xf>
    <xf numFmtId="0" fontId="52" fillId="0" borderId="21" xfId="31" applyFont="1" applyBorder="1" applyAlignment="1">
      <alignment horizontal="left" vertical="center" wrapText="1" indent="1"/>
    </xf>
    <xf numFmtId="0" fontId="69" fillId="0" borderId="9" xfId="32" applyFont="1" applyFill="1" applyBorder="1" applyAlignment="1">
      <alignment horizontal="center" vertical="center" wrapText="1"/>
    </xf>
    <xf numFmtId="0" fontId="70" fillId="0" borderId="14" xfId="32" applyFont="1" applyFill="1" applyBorder="1" applyAlignment="1">
      <alignment horizontal="center" vertical="center" wrapText="1"/>
    </xf>
    <xf numFmtId="0" fontId="70" fillId="0" borderId="18" xfId="32" applyFont="1" applyFill="1" applyBorder="1" applyAlignment="1">
      <alignment horizontal="center" vertical="center" wrapText="1"/>
    </xf>
    <xf numFmtId="0" fontId="52" fillId="0" borderId="11" xfId="31" applyFont="1" applyBorder="1" applyAlignment="1">
      <alignment horizontal="left" vertical="center" wrapText="1" indent="1"/>
    </xf>
    <xf numFmtId="0" fontId="52" fillId="0" borderId="12" xfId="31" applyFont="1" applyBorder="1" applyAlignment="1">
      <alignment horizontal="left" vertical="center" wrapText="1" indent="1"/>
    </xf>
    <xf numFmtId="0" fontId="52" fillId="0" borderId="13" xfId="31" applyFont="1" applyBorder="1" applyAlignment="1">
      <alignment horizontal="left" vertical="center" wrapText="1" indent="1"/>
    </xf>
    <xf numFmtId="0" fontId="38" fillId="0" borderId="0" xfId="11" applyFont="1" applyAlignment="1">
      <alignment horizontal="left" vertical="center" wrapText="1"/>
    </xf>
    <xf numFmtId="0" fontId="36" fillId="0" borderId="3" xfId="11" applyFont="1" applyBorder="1" applyAlignment="1">
      <alignment horizontal="left" vertical="center" wrapText="1"/>
    </xf>
    <xf numFmtId="0" fontId="36" fillId="0" borderId="0" xfId="11" applyFont="1" applyAlignment="1">
      <alignment horizontal="left" vertical="center" wrapText="1"/>
    </xf>
    <xf numFmtId="0" fontId="36" fillId="0" borderId="1" xfId="11" applyFont="1" applyBorder="1" applyAlignment="1">
      <alignment horizontal="left" vertical="center" wrapText="1"/>
    </xf>
    <xf numFmtId="0" fontId="36" fillId="0" borderId="3" xfId="11" applyFont="1" applyBorder="1" applyAlignment="1">
      <alignment horizontal="right" vertical="center" wrapText="1"/>
    </xf>
    <xf numFmtId="0" fontId="36" fillId="0" borderId="0" xfId="11" applyFont="1" applyAlignment="1">
      <alignment horizontal="right" vertical="center" wrapText="1"/>
    </xf>
    <xf numFmtId="0" fontId="36" fillId="0" borderId="1" xfId="11" applyFont="1" applyBorder="1" applyAlignment="1">
      <alignment horizontal="right" vertical="center" wrapText="1"/>
    </xf>
    <xf numFmtId="0" fontId="36" fillId="0" borderId="2" xfId="11" applyFont="1" applyBorder="1" applyAlignment="1">
      <alignment horizontal="center" vertical="center" wrapText="1"/>
    </xf>
    <xf numFmtId="0" fontId="38" fillId="0" borderId="0" xfId="11" applyFont="1" applyAlignment="1">
      <alignment horizontal="left" vertical="top" wrapText="1"/>
    </xf>
    <xf numFmtId="0" fontId="43" fillId="0" borderId="3" xfId="11" applyFont="1" applyBorder="1" applyAlignment="1">
      <alignment horizontal="left" vertical="center" wrapText="1"/>
    </xf>
    <xf numFmtId="0" fontId="43" fillId="0" borderId="1" xfId="11" applyFont="1" applyBorder="1" applyAlignment="1">
      <alignment horizontal="left" vertical="center" wrapText="1"/>
    </xf>
    <xf numFmtId="0" fontId="43" fillId="0" borderId="3" xfId="11" applyFont="1" applyBorder="1" applyAlignment="1">
      <alignment horizontal="right" vertical="center" wrapText="1"/>
    </xf>
    <xf numFmtId="0" fontId="43" fillId="0" borderId="1" xfId="11" applyFont="1" applyBorder="1" applyAlignment="1">
      <alignment horizontal="right" vertical="center" wrapText="1"/>
    </xf>
    <xf numFmtId="0" fontId="34" fillId="0" borderId="3" xfId="11" applyFont="1" applyBorder="1" applyAlignment="1">
      <alignment horizontal="right" vertical="center" wrapText="1"/>
    </xf>
    <xf numFmtId="0" fontId="34" fillId="0" borderId="1" xfId="11" applyFont="1" applyBorder="1" applyAlignment="1">
      <alignment horizontal="right" vertical="center" wrapText="1"/>
    </xf>
    <xf numFmtId="0" fontId="46" fillId="6" borderId="3" xfId="0" applyFont="1" applyFill="1" applyBorder="1" applyAlignment="1">
      <alignment horizontal="left" vertical="center" wrapText="1"/>
    </xf>
    <xf numFmtId="0" fontId="46" fillId="6" borderId="0" xfId="0" applyFont="1" applyFill="1" applyAlignment="1">
      <alignment horizontal="left" vertical="center" wrapText="1"/>
    </xf>
    <xf numFmtId="0" fontId="46" fillId="6" borderId="1" xfId="0" applyFont="1" applyFill="1" applyBorder="1" applyAlignment="1">
      <alignment horizontal="left" vertical="center" wrapText="1"/>
    </xf>
    <xf numFmtId="0" fontId="34" fillId="2" borderId="3" xfId="60" applyFont="1" applyFill="1" applyBorder="1" applyAlignment="1">
      <alignment horizontal="right" vertical="center" wrapText="1"/>
    </xf>
    <xf numFmtId="0" fontId="34" fillId="2" borderId="0" xfId="60" applyFont="1" applyFill="1" applyAlignment="1">
      <alignment horizontal="right" vertical="center" wrapText="1"/>
    </xf>
    <xf numFmtId="0" fontId="34" fillId="2" borderId="1" xfId="60" applyFont="1" applyFill="1" applyBorder="1" applyAlignment="1">
      <alignment horizontal="right" vertical="center" wrapText="1"/>
    </xf>
    <xf numFmtId="0" fontId="38" fillId="2" borderId="0" xfId="62" applyFont="1" applyFill="1" applyAlignment="1">
      <alignment horizontal="left" vertical="top" wrapText="1"/>
    </xf>
    <xf numFmtId="0" fontId="36" fillId="6" borderId="3" xfId="0" applyFont="1" applyFill="1" applyBorder="1" applyAlignment="1">
      <alignment horizontal="left" vertical="center" wrapText="1"/>
    </xf>
    <xf numFmtId="0" fontId="36" fillId="6" borderId="0" xfId="0" applyFont="1" applyFill="1" applyAlignment="1">
      <alignment horizontal="left" vertical="center" wrapText="1"/>
    </xf>
    <xf numFmtId="0" fontId="36" fillId="6" borderId="1" xfId="0" applyFont="1" applyFill="1" applyBorder="1" applyAlignment="1">
      <alignment horizontal="left" vertical="center" wrapText="1"/>
    </xf>
    <xf numFmtId="0" fontId="36" fillId="2" borderId="3" xfId="63" applyFont="1" applyFill="1" applyBorder="1" applyAlignment="1">
      <alignment horizontal="right" vertical="center" wrapText="1"/>
    </xf>
    <xf numFmtId="0" fontId="36" fillId="2" borderId="0" xfId="63" applyFont="1" applyFill="1" applyAlignment="1">
      <alignment horizontal="right" vertical="center" wrapText="1"/>
    </xf>
    <xf numFmtId="0" fontId="36" fillId="2" borderId="1" xfId="63" applyFont="1" applyFill="1" applyBorder="1" applyAlignment="1">
      <alignment horizontal="right" vertical="center" wrapText="1"/>
    </xf>
    <xf numFmtId="0" fontId="36" fillId="0" borderId="2" xfId="61" applyFont="1" applyBorder="1" applyAlignment="1">
      <alignment horizontal="center" vertical="center" wrapText="1"/>
    </xf>
    <xf numFmtId="0" fontId="36" fillId="2" borderId="1" xfId="13" applyFont="1" applyFill="1" applyBorder="1" applyAlignment="1">
      <alignment horizontal="center" vertical="center"/>
    </xf>
    <xf numFmtId="0" fontId="36" fillId="2" borderId="1" xfId="13" applyFont="1" applyFill="1" applyBorder="1" applyAlignment="1">
      <alignment horizontal="center" vertical="center" wrapText="1"/>
    </xf>
    <xf numFmtId="0" fontId="38" fillId="2" borderId="0" xfId="65" applyFont="1" applyFill="1" applyAlignment="1">
      <alignment horizontal="left" vertical="top" wrapText="1"/>
    </xf>
    <xf numFmtId="0" fontId="36" fillId="2" borderId="3" xfId="67" applyFont="1" applyFill="1" applyBorder="1" applyAlignment="1">
      <alignment horizontal="right" vertical="center" wrapText="1"/>
    </xf>
    <xf numFmtId="0" fontId="36" fillId="2" borderId="0" xfId="67" applyFont="1" applyFill="1" applyAlignment="1">
      <alignment horizontal="right" vertical="center" wrapText="1"/>
    </xf>
    <xf numFmtId="0" fontId="36" fillId="2" borderId="1" xfId="67" applyFont="1" applyFill="1" applyBorder="1" applyAlignment="1">
      <alignment horizontal="right" vertical="center" wrapText="1"/>
    </xf>
    <xf numFmtId="0" fontId="36" fillId="2" borderId="2" xfId="68" applyFont="1" applyFill="1" applyBorder="1" applyAlignment="1">
      <alignment horizontal="center" vertical="center" wrapText="1"/>
    </xf>
    <xf numFmtId="0" fontId="36" fillId="2" borderId="5" xfId="69" applyFont="1" applyFill="1" applyBorder="1" applyAlignment="1">
      <alignment horizontal="center" vertical="center" wrapText="1"/>
    </xf>
    <xf numFmtId="0" fontId="38" fillId="2" borderId="0" xfId="71" applyFont="1" applyFill="1" applyAlignment="1">
      <alignment horizontal="left" vertical="top" wrapText="1"/>
    </xf>
    <xf numFmtId="0" fontId="36" fillId="2" borderId="3" xfId="72" applyFont="1" applyFill="1" applyBorder="1" applyAlignment="1">
      <alignment horizontal="right" vertical="center" wrapText="1"/>
    </xf>
    <xf numFmtId="0" fontId="36" fillId="2" borderId="0" xfId="72" applyFont="1" applyFill="1" applyAlignment="1">
      <alignment horizontal="right" vertical="center" wrapText="1"/>
    </xf>
    <xf numFmtId="0" fontId="36" fillId="2" borderId="1" xfId="72" applyFont="1" applyFill="1" applyBorder="1" applyAlignment="1">
      <alignment horizontal="right" vertical="center" wrapText="1"/>
    </xf>
    <xf numFmtId="0" fontId="36" fillId="2" borderId="2" xfId="73" applyFont="1" applyFill="1" applyBorder="1" applyAlignment="1">
      <alignment horizontal="center" vertical="center" wrapText="1"/>
    </xf>
    <xf numFmtId="0" fontId="36" fillId="2" borderId="2" xfId="72" applyFont="1" applyFill="1" applyBorder="1" applyAlignment="1">
      <alignment horizontal="center" vertical="center" wrapText="1"/>
    </xf>
    <xf numFmtId="0" fontId="35" fillId="6" borderId="0" xfId="0" applyFont="1" applyFill="1" applyAlignment="1">
      <alignment horizontal="left" vertical="center" wrapText="1"/>
    </xf>
    <xf numFmtId="0" fontId="38" fillId="2" borderId="0" xfId="75" applyFont="1" applyFill="1" applyAlignment="1">
      <alignment horizontal="left" vertical="top" wrapText="1"/>
    </xf>
    <xf numFmtId="0" fontId="36" fillId="2" borderId="3" xfId="76" applyFont="1" applyFill="1" applyBorder="1" applyAlignment="1">
      <alignment horizontal="right" vertical="center" wrapText="1"/>
    </xf>
    <xf numFmtId="0" fontId="36" fillId="2" borderId="0" xfId="76" applyFont="1" applyFill="1" applyAlignment="1">
      <alignment horizontal="right" vertical="center" wrapText="1"/>
    </xf>
    <xf numFmtId="0" fontId="36" fillId="2" borderId="1" xfId="76" applyFont="1" applyFill="1" applyBorder="1" applyAlignment="1">
      <alignment horizontal="right" vertical="center" wrapText="1"/>
    </xf>
    <xf numFmtId="0" fontId="36" fillId="2" borderId="2" xfId="77" applyFont="1" applyFill="1" applyBorder="1" applyAlignment="1">
      <alignment horizontal="center" vertical="center" wrapText="1"/>
    </xf>
    <xf numFmtId="0" fontId="36" fillId="2" borderId="2" xfId="78" applyFont="1" applyFill="1" applyBorder="1" applyAlignment="1">
      <alignment horizontal="center" vertical="center"/>
    </xf>
    <xf numFmtId="0" fontId="36" fillId="2" borderId="2" xfId="79" applyFont="1" applyFill="1" applyBorder="1" applyAlignment="1">
      <alignment horizontal="center" vertical="center" wrapText="1"/>
    </xf>
    <xf numFmtId="0" fontId="38" fillId="2" borderId="0" xfId="81" applyFont="1" applyFill="1" applyAlignment="1">
      <alignment horizontal="left" vertical="top" wrapText="1"/>
    </xf>
    <xf numFmtId="0" fontId="38" fillId="2" borderId="0" xfId="86" applyFont="1" applyFill="1" applyAlignment="1">
      <alignment horizontal="left" vertical="top" wrapText="1"/>
    </xf>
    <xf numFmtId="0" fontId="34" fillId="2" borderId="3" xfId="87" applyFont="1" applyFill="1" applyBorder="1" applyAlignment="1">
      <alignment horizontal="right" vertical="center" wrapText="1"/>
    </xf>
    <xf numFmtId="0" fontId="34" fillId="2" borderId="0" xfId="87" applyFont="1" applyFill="1" applyAlignment="1">
      <alignment horizontal="right" vertical="center" wrapText="1"/>
    </xf>
    <xf numFmtId="0" fontId="34" fillId="2" borderId="1" xfId="87" applyFont="1" applyFill="1" applyBorder="1" applyAlignment="1">
      <alignment horizontal="right" vertical="center" wrapText="1"/>
    </xf>
    <xf numFmtId="0" fontId="34" fillId="2" borderId="2" xfId="88" applyFont="1" applyFill="1" applyBorder="1" applyAlignment="1">
      <alignment horizontal="center" vertical="center" wrapText="1"/>
    </xf>
    <xf numFmtId="0" fontId="34" fillId="2" borderId="2" xfId="89" applyFont="1" applyFill="1" applyBorder="1" applyAlignment="1">
      <alignment horizontal="center" vertical="center" wrapText="1"/>
    </xf>
    <xf numFmtId="0" fontId="38" fillId="2" borderId="0" xfId="91" applyFont="1" applyFill="1" applyAlignment="1">
      <alignment horizontal="left" vertical="top" wrapText="1"/>
    </xf>
    <xf numFmtId="0" fontId="36" fillId="2" borderId="3" xfId="93" applyFont="1" applyFill="1" applyBorder="1" applyAlignment="1">
      <alignment horizontal="right" vertical="center" wrapText="1"/>
    </xf>
    <xf numFmtId="0" fontId="36" fillId="2" borderId="0" xfId="93" applyFont="1" applyFill="1" applyAlignment="1">
      <alignment horizontal="right" vertical="center" wrapText="1"/>
    </xf>
    <xf numFmtId="0" fontId="36" fillId="2" borderId="1" xfId="93" applyFont="1" applyFill="1" applyBorder="1" applyAlignment="1">
      <alignment horizontal="right" vertical="center" wrapText="1"/>
    </xf>
    <xf numFmtId="0" fontId="36" fillId="2" borderId="2" xfId="94" applyFont="1" applyFill="1" applyBorder="1" applyAlignment="1">
      <alignment horizontal="center" vertical="center" wrapText="1"/>
    </xf>
    <xf numFmtId="0" fontId="36" fillId="2" borderId="3" xfId="95" applyFont="1" applyFill="1" applyBorder="1" applyAlignment="1">
      <alignment horizontal="center" vertical="center" wrapText="1"/>
    </xf>
    <xf numFmtId="0" fontId="36" fillId="2" borderId="1" xfId="95" applyFont="1" applyFill="1" applyBorder="1" applyAlignment="1">
      <alignment horizontal="center" vertical="center" wrapText="1"/>
    </xf>
    <xf numFmtId="0" fontId="36" fillId="2" borderId="2" xfId="95" applyFont="1" applyFill="1" applyBorder="1" applyAlignment="1">
      <alignment horizontal="center" vertical="center" wrapText="1"/>
    </xf>
    <xf numFmtId="0" fontId="36" fillId="2" borderId="3" xfId="101" applyFont="1" applyFill="1" applyBorder="1" applyAlignment="1">
      <alignment horizontal="right" vertical="center" wrapText="1"/>
    </xf>
    <xf numFmtId="0" fontId="36" fillId="2" borderId="0" xfId="101" applyFont="1" applyFill="1" applyAlignment="1">
      <alignment horizontal="right" vertical="center" wrapText="1"/>
    </xf>
    <xf numFmtId="0" fontId="36" fillId="2" borderId="1" xfId="101" applyFont="1" applyFill="1" applyBorder="1" applyAlignment="1">
      <alignment horizontal="right" vertical="center" wrapText="1"/>
    </xf>
    <xf numFmtId="0" fontId="38" fillId="2" borderId="0" xfId="100" applyFont="1" applyFill="1" applyAlignment="1">
      <alignment horizontal="left" vertical="top" wrapText="1"/>
    </xf>
    <xf numFmtId="0" fontId="36" fillId="2" borderId="3" xfId="107" applyFont="1" applyFill="1" applyBorder="1" applyAlignment="1">
      <alignment horizontal="right" vertical="center" wrapText="1"/>
    </xf>
    <xf numFmtId="0" fontId="36" fillId="2" borderId="0" xfId="107" applyFont="1" applyFill="1" applyAlignment="1">
      <alignment horizontal="right" vertical="center" wrapText="1"/>
    </xf>
    <xf numFmtId="0" fontId="36" fillId="2" borderId="1" xfId="107" applyFont="1" applyFill="1" applyBorder="1" applyAlignment="1">
      <alignment horizontal="right" vertical="center" wrapText="1"/>
    </xf>
    <xf numFmtId="0" fontId="38" fillId="2" borderId="0" xfId="106" applyFont="1" applyFill="1" applyAlignment="1">
      <alignment horizontal="left" vertical="top" wrapText="1"/>
    </xf>
    <xf numFmtId="0" fontId="38" fillId="2" borderId="0" xfId="14" applyFont="1" applyFill="1" applyAlignment="1">
      <alignment horizontal="left" vertical="center" wrapText="1"/>
    </xf>
    <xf numFmtId="0" fontId="36" fillId="2" borderId="3" xfId="2" applyFont="1" applyFill="1" applyBorder="1" applyAlignment="1">
      <alignment horizontal="left" vertical="center" wrapText="1"/>
    </xf>
    <xf numFmtId="0" fontId="36" fillId="2" borderId="0" xfId="2" applyFont="1" applyFill="1" applyAlignment="1">
      <alignment horizontal="left" vertical="center" wrapText="1"/>
    </xf>
    <xf numFmtId="0" fontId="36" fillId="2" borderId="1" xfId="2" applyFont="1" applyFill="1" applyBorder="1" applyAlignment="1">
      <alignment horizontal="left" vertical="center" wrapText="1"/>
    </xf>
    <xf numFmtId="0" fontId="36" fillId="2" borderId="3" xfId="2" applyFont="1" applyFill="1" applyBorder="1" applyAlignment="1">
      <alignment horizontal="right" vertical="center" wrapText="1"/>
    </xf>
    <xf numFmtId="0" fontId="36" fillId="2" borderId="0" xfId="2" applyFont="1" applyFill="1" applyAlignment="1">
      <alignment horizontal="right" vertical="center" wrapText="1"/>
    </xf>
    <xf numFmtId="0" fontId="36" fillId="2" borderId="1" xfId="2" applyFont="1" applyFill="1" applyBorder="1" applyAlignment="1">
      <alignment horizontal="right" vertical="center" wrapText="1"/>
    </xf>
    <xf numFmtId="0" fontId="36" fillId="2" borderId="2" xfId="13" applyFont="1" applyFill="1" applyBorder="1" applyAlignment="1">
      <alignment horizontal="center" vertical="center"/>
    </xf>
    <xf numFmtId="0" fontId="38" fillId="0" borderId="0" xfId="14" applyFont="1" applyAlignment="1">
      <alignment horizontal="left" vertical="center" wrapText="1"/>
    </xf>
    <xf numFmtId="0" fontId="36" fillId="2" borderId="3" xfId="2" applyFont="1" applyFill="1" applyBorder="1" applyAlignment="1">
      <alignment horizontal="center" vertical="center" wrapText="1"/>
    </xf>
    <xf numFmtId="0" fontId="36" fillId="2" borderId="1" xfId="2" applyFont="1" applyFill="1" applyBorder="1" applyAlignment="1">
      <alignment horizontal="center" vertical="center" wrapText="1"/>
    </xf>
    <xf numFmtId="0" fontId="36" fillId="2" borderId="2" xfId="27" applyFont="1" applyFill="1" applyBorder="1" applyAlignment="1">
      <alignment horizontal="center" vertical="center" wrapText="1"/>
    </xf>
    <xf numFmtId="0" fontId="36" fillId="2" borderId="2" xfId="27" applyFont="1" applyFill="1" applyBorder="1" applyAlignment="1">
      <alignment horizontal="center" vertical="center"/>
    </xf>
  </cellXfs>
  <cellStyles count="115">
    <cellStyle name="Hipervínculo" xfId="30" builtinId="8"/>
    <cellStyle name="Hipervínculo 2" xfId="32" xr:uid="{BFCA8CD2-347E-4F7F-8004-319B664CADF1}"/>
    <cellStyle name="Hipervínculo 2 2" xfId="6" xr:uid="{00000000-0005-0000-0000-000000000000}"/>
    <cellStyle name="Millares 2" xfId="9" xr:uid="{00000000-0005-0000-0000-000001000000}"/>
    <cellStyle name="Millares 2 2" xfId="7" xr:uid="{00000000-0005-0000-0000-000002000000}"/>
    <cellStyle name="Millares 2 2 2" xfId="26" xr:uid="{156327F1-260E-4485-AD88-DF6ED2B2E58F}"/>
    <cellStyle name="Millares 2 2 3" xfId="66" xr:uid="{5C28F127-898B-4D21-82B2-934D21DEE0B7}"/>
    <cellStyle name="Millares 2 2 4" xfId="92" xr:uid="{9E264BE0-3BA7-41B9-85EE-3779254FD5A3}"/>
    <cellStyle name="Millares 3" xfId="23" xr:uid="{A26019EB-8C96-4E83-B30C-C1ECF248D920}"/>
    <cellStyle name="Millares 4" xfId="17" xr:uid="{D204205D-E9FD-42A6-B900-BD05AC771B65}"/>
    <cellStyle name="Normal" xfId="0" builtinId="0"/>
    <cellStyle name="Normal 10" xfId="3" xr:uid="{00000000-0005-0000-0000-000004000000}"/>
    <cellStyle name="Normal 10 2" xfId="15" xr:uid="{00000000-0005-0000-0000-000005000000}"/>
    <cellStyle name="Normal 10 2 2" xfId="29" xr:uid="{DB74D8B2-B73B-4B84-B4F4-5502A907A597}"/>
    <cellStyle name="Normal 10 3" xfId="19" xr:uid="{B1BAE04A-0714-4801-A9D6-196F03290DCF}"/>
    <cellStyle name="Normal 10 3 3 13" xfId="48" xr:uid="{A0E7FF2A-CA23-4102-BD35-88446877E5EF}"/>
    <cellStyle name="Normal 10 4" xfId="24" xr:uid="{C7E13E38-155F-41AE-8FAC-0131AF8C7E5C}"/>
    <cellStyle name="Normal 11" xfId="14" xr:uid="{00000000-0005-0000-0000-000006000000}"/>
    <cellStyle name="Normal 2" xfId="13" xr:uid="{00000000-0005-0000-0000-000007000000}"/>
    <cellStyle name="Normal 2 2" xfId="4" xr:uid="{00000000-0005-0000-0000-000008000000}"/>
    <cellStyle name="Normal 2 2 10" xfId="81" xr:uid="{385ED9CF-D0C0-45EE-A5B0-ABC0922618BF}"/>
    <cellStyle name="Normal 2 2 11" xfId="86" xr:uid="{45EFE844-427E-4A9B-9DDA-D77F8376A81D}"/>
    <cellStyle name="Normal 2 2 12" xfId="91" xr:uid="{8BFB390B-1BC6-4F80-A313-71AB3646618A}"/>
    <cellStyle name="Normal 2 2 13" xfId="100" xr:uid="{1426DBD1-2D8B-4D67-9226-0DC07DC7FAF1}"/>
    <cellStyle name="Normal 2 2 14" xfId="103" xr:uid="{2DAB4791-95DF-4215-805C-40671C08E491}"/>
    <cellStyle name="Normal 2 2 15" xfId="106" xr:uid="{7406FA02-3783-4184-A3F0-DEF72B055D60}"/>
    <cellStyle name="Normal 2 2 16" xfId="109" xr:uid="{BB2CD5B5-B20B-4B7B-BCFA-4455AC9CD707}"/>
    <cellStyle name="Normal 2 2 2" xfId="2" xr:uid="{00000000-0005-0000-0000-000009000000}"/>
    <cellStyle name="Normal 2 2 3" xfId="18" xr:uid="{0A18AC2A-06A0-47CC-9D13-5EF1C6CA39C0}"/>
    <cellStyle name="Normal 2 2 3 2" xfId="69" xr:uid="{4B771034-3F45-4745-9DB0-AEFF3D4F76F1}"/>
    <cellStyle name="Normal 2 2 4" xfId="22" xr:uid="{86F74144-233B-40E5-B199-CA808D676A4D}"/>
    <cellStyle name="Normal 2 2 4 2" xfId="78" xr:uid="{272ACB71-4171-4714-A965-7088E0E38B8C}"/>
    <cellStyle name="Normal 2 2 4 3" xfId="83" xr:uid="{74E6EFA1-6970-461F-9B28-D0170EF1ADF4}"/>
    <cellStyle name="Normal 2 2 4 4" xfId="95" xr:uid="{39C05DBD-981B-41C0-8D2D-EDB7F34D102D}"/>
    <cellStyle name="Normal 2 2 5" xfId="59" xr:uid="{7A05F0A3-CD0C-48C9-97AD-9C11736E80BA}"/>
    <cellStyle name="Normal 2 2 6" xfId="62" xr:uid="{2C7FEFA4-97C8-4C39-B0F0-CF10AC1EF0E1}"/>
    <cellStyle name="Normal 2 2 7" xfId="65" xr:uid="{6C29D323-1643-49F1-90CA-4404BD8AB6FF}"/>
    <cellStyle name="Normal 2 2 7 2" xfId="51" xr:uid="{EA611531-AB51-4511-B302-7CE1723F5593}"/>
    <cellStyle name="Normal 2 2 7 2 2" xfId="97" xr:uid="{6B263659-AC4F-40E0-B8E5-CD385057696F}"/>
    <cellStyle name="Normal 2 2 8" xfId="71" xr:uid="{C269A266-4E25-4E7D-A06F-545A9DC2B884}"/>
    <cellStyle name="Normal 2 2 9" xfId="75" xr:uid="{C612C411-CAE3-437D-B42B-06F971844867}"/>
    <cellStyle name="Normal 2 3 2" xfId="33" xr:uid="{B7F6B4DF-B3F7-4931-A567-F302FD1F74BE}"/>
    <cellStyle name="Normal 2 3 2 2" xfId="41" xr:uid="{D8A4F4FB-EB2C-407A-905D-15A70C474674}"/>
    <cellStyle name="Normal 2 3 3 2" xfId="44" xr:uid="{4519C61C-7CD3-441A-9760-7AFC1B33D276}"/>
    <cellStyle name="Normal 2 4 2" xfId="34" xr:uid="{AA71D35C-AED6-48B4-8EBB-33C18C94E5D4}"/>
    <cellStyle name="Normal 2 4 2 2" xfId="38" xr:uid="{C0753D1C-86DA-437E-9DC8-BDB566D38A3C}"/>
    <cellStyle name="Normal 2 4 3 2" xfId="42" xr:uid="{906BB099-983E-4B98-A154-1B0732DE067E}"/>
    <cellStyle name="Normal 2 5" xfId="27" xr:uid="{1A168B70-BB9F-4B20-AA8E-1D80F7ED08AB}"/>
    <cellStyle name="Normal 3" xfId="1" xr:uid="{00000000-0005-0000-0000-00000A000000}"/>
    <cellStyle name="Normal 3 10" xfId="85" xr:uid="{23EBFF7D-31D1-47B4-8DE0-F7EC1E255DE7}"/>
    <cellStyle name="Normal 3 11" xfId="90" xr:uid="{C759261A-DD4D-4309-B67B-29C3ACDD4E69}"/>
    <cellStyle name="Normal 3 12" xfId="99" xr:uid="{FB90A052-D972-47B0-8E70-ED09D4CDE9D0}"/>
    <cellStyle name="Normal 3 13" xfId="102" xr:uid="{B955A4E8-4948-4081-BBDA-E90D26896678}"/>
    <cellStyle name="Normal 3 14" xfId="105" xr:uid="{8AC81C5B-B6D7-4792-A31E-FD1D7AA88389}"/>
    <cellStyle name="Normal 3 15" xfId="108" xr:uid="{CA5C8741-8668-40A6-ABCB-E01DF7CD5117}"/>
    <cellStyle name="Normal 3 2" xfId="12" xr:uid="{00000000-0005-0000-0000-00000B000000}"/>
    <cellStyle name="Normal 3 2 2" xfId="16" xr:uid="{A9BA29C9-3047-486A-9B12-293C846C455A}"/>
    <cellStyle name="Normal 3 2 2 10" xfId="68" xr:uid="{CAD2FB33-CB02-4794-B9ED-3B3C7759B404}"/>
    <cellStyle name="Normal 3 2 2 11" xfId="73" xr:uid="{1145D02E-C05E-4520-9519-08F8A141083C}"/>
    <cellStyle name="Normal 3 2 2 12" xfId="77" xr:uid="{16CA1159-3043-4A15-968D-E6DD414121D4}"/>
    <cellStyle name="Normal 3 2 2 13" xfId="88" xr:uid="{0E1C9A3D-5AD4-4280-AEFC-1A438CD55C8D}"/>
    <cellStyle name="Normal 3 2 2 14" xfId="94" xr:uid="{7E9696C3-3C72-4725-AD49-1116C821B222}"/>
    <cellStyle name="Normal 3 2 2 2" xfId="36" xr:uid="{75B2CC98-E890-4DD2-B0BD-D0392CACBD2B}"/>
    <cellStyle name="Normal 3 2 2 2 2" xfId="37" xr:uid="{D726D3F1-A1DD-402E-9A79-206704F8059B}"/>
    <cellStyle name="Normal 3 2 2 2 2 2" xfId="40" xr:uid="{EA62BD89-E0CF-4F3E-BA75-F06A2FC6E41D}"/>
    <cellStyle name="Normal 3 2 2 3" xfId="46" xr:uid="{F49D4989-CA43-40F9-BCE4-0EA989C8F11C}"/>
    <cellStyle name="Normal 3 2 2 4" xfId="43" xr:uid="{ACB268B8-1177-4655-81A5-F0212973CC17}"/>
    <cellStyle name="Normal 3 2 2 5" xfId="53" xr:uid="{0DA7C50F-7C4D-46F4-AD01-FF0115347B72}"/>
    <cellStyle name="Normal 3 2 2 6" xfId="54" xr:uid="{7D006457-8823-4C62-BD69-C238F9FBEEAA}"/>
    <cellStyle name="Normal 3 2 2 7" xfId="55" xr:uid="{FE151CF8-CC53-4CFE-9637-F9724219457E}"/>
    <cellStyle name="Normal 3 2 2 8" xfId="56" xr:uid="{46D7DAF2-2D90-47E7-B9EB-3615C546D321}"/>
    <cellStyle name="Normal 3 2 2 9" xfId="57" xr:uid="{CD157639-FB96-4F7D-8845-663B50091215}"/>
    <cellStyle name="Normal 3 2 3" xfId="25" xr:uid="{D4F64793-EFF9-407D-9C55-A3DAC5084745}"/>
    <cellStyle name="Normal 3 2 3 2" xfId="47" xr:uid="{5AE95DEB-DABB-4882-AA31-6B99ACF139B2}"/>
    <cellStyle name="Normal 3 2 3 3" xfId="79" xr:uid="{091278DF-B76F-4A81-B372-059A3ABDB322}"/>
    <cellStyle name="Normal 3 2 3 4" xfId="84" xr:uid="{21BBA283-E3B8-4964-8DBC-8621A9100E43}"/>
    <cellStyle name="Normal 3 2 4" xfId="49" xr:uid="{57A5B9BB-9834-4449-BEB9-0BA3D65D6E7D}"/>
    <cellStyle name="Normal 3 2 5" xfId="28" xr:uid="{4752A4CD-BEF0-4593-9DB5-6AE5559F64B7}"/>
    <cellStyle name="Normal 3 2 5 2" xfId="112" xr:uid="{6E16BE2F-1EFC-41B9-96DE-5D2606F2823F}"/>
    <cellStyle name="Normal 3 2 5 3" xfId="114" xr:uid="{26075375-4AF6-4713-82BB-8A6DB0080B16}"/>
    <cellStyle name="Normal 3 2 6" xfId="111" xr:uid="{BF50A021-FFC1-4EAF-A982-CA48E1F93A8E}"/>
    <cellStyle name="Normal 3 2 7" xfId="113" xr:uid="{9BF661A1-DE26-4230-B338-0BC533056B37}"/>
    <cellStyle name="Normal 3 3" xfId="20" xr:uid="{DFC31904-65FA-4DF6-93D7-E59D319F701C}"/>
    <cellStyle name="Normal 3 3 2" xfId="35" xr:uid="{7EEED5E9-EAF6-4ADC-8347-52A9360F724A}"/>
    <cellStyle name="Normal 3 3 2 2" xfId="39" xr:uid="{652AEFC9-7FFD-4596-B1F5-E6769306B2C4}"/>
    <cellStyle name="Normal 3 3 3" xfId="45" xr:uid="{61D6EF50-6413-4D78-8838-19746DB08167}"/>
    <cellStyle name="Normal 3 4" xfId="58" xr:uid="{FF93FE4B-1941-4A02-AA13-DDF6CCB18381}"/>
    <cellStyle name="Normal 3 5" xfId="61" xr:uid="{6ED0FE8D-B527-4FBE-8F42-AFCF04BCC4A6}"/>
    <cellStyle name="Normal 3 6" xfId="64" xr:uid="{0670B84B-602F-4C99-885D-AC035FB54D5D}"/>
    <cellStyle name="Normal 3 6 2" xfId="50" xr:uid="{2AC23972-7A09-42D6-B0BB-0C21196E18F0}"/>
    <cellStyle name="Normal 3 6 2 2" xfId="96" xr:uid="{4578300A-7C85-4D09-8ABC-0CC3AEBAD895}"/>
    <cellStyle name="Normal 3 7" xfId="70" xr:uid="{71D0862D-AC4A-4790-BC1D-5A97F7500008}"/>
    <cellStyle name="Normal 3 8" xfId="74" xr:uid="{F49F1191-4826-4057-8CA2-68BFADDD4AF8}"/>
    <cellStyle name="Normal 3 9" xfId="80" xr:uid="{93268D4B-3006-497D-ADAB-4AEA99F817D1}"/>
    <cellStyle name="Normal 4" xfId="5" xr:uid="{00000000-0005-0000-0000-00000C000000}"/>
    <cellStyle name="Normal 4 10" xfId="93" xr:uid="{D840DE33-9F69-49D4-9176-19C1012653FE}"/>
    <cellStyle name="Normal 4 11" xfId="101" xr:uid="{B8698CD7-6912-4AB3-B8E2-5ADDA91D7ED5}"/>
    <cellStyle name="Normal 4 12" xfId="104" xr:uid="{C2F05262-8C90-433F-85A9-0E0D1371EBC7}"/>
    <cellStyle name="Normal 4 13" xfId="107" xr:uid="{A56A6C0D-E7FD-463B-A44D-5688CC954650}"/>
    <cellStyle name="Normal 4 14" xfId="110" xr:uid="{A74F4EBB-3A97-400B-95F0-96A8AD868C46}"/>
    <cellStyle name="Normal 4 2" xfId="21" xr:uid="{2B28C96F-BCA3-4DB9-8DE0-90497FFD5FA1}"/>
    <cellStyle name="Normal 4 2 2" xfId="89" xr:uid="{7670A34A-FABA-4E01-856D-6697E57BF9E7}"/>
    <cellStyle name="Normal 4 3" xfId="60" xr:uid="{7E81CDBB-5FE5-4C72-856B-040F5F7AAF1A}"/>
    <cellStyle name="Normal 4 4" xfId="63" xr:uid="{EC4B182F-01FA-4CC3-AA93-28A9EADAA356}"/>
    <cellStyle name="Normal 4 5" xfId="67" xr:uid="{5AE14513-DA41-4C7D-9521-F5D3A5DFA6B4}"/>
    <cellStyle name="Normal 4 5 2" xfId="52" xr:uid="{C31FEA28-BDA3-4DE7-A009-4997EDD5082C}"/>
    <cellStyle name="Normal 4 5 2 2" xfId="98" xr:uid="{6F6FB3D0-D73D-4CD2-AB0D-43D031643663}"/>
    <cellStyle name="Normal 4 6" xfId="72" xr:uid="{1CE36D47-20A4-4A1A-984B-1AEDD3E82D62}"/>
    <cellStyle name="Normal 4 7" xfId="76" xr:uid="{8A2AD476-1F84-4C3C-A015-C1BFB5E76A95}"/>
    <cellStyle name="Normal 4 8" xfId="82" xr:uid="{899B5768-3DD1-403B-B459-5FDF4B136ECA}"/>
    <cellStyle name="Normal 4 9" xfId="87" xr:uid="{1BD6AD22-58AD-4D8A-8485-0D3389A52B1B}"/>
    <cellStyle name="Normal 5 2" xfId="10" xr:uid="{00000000-0005-0000-0000-00000D000000}"/>
    <cellStyle name="Normal 6" xfId="11" xr:uid="{00000000-0005-0000-0000-00000E000000}"/>
    <cellStyle name="Normal 7 2" xfId="31" xr:uid="{38E174D6-6539-4C3E-B04C-99B0FBB21523}"/>
    <cellStyle name="Normal 9" xfId="8" xr:uid="{00000000-0005-0000-0000-00000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2" name="Imagen 1">
          <a:extLst>
            <a:ext uri="{FF2B5EF4-FFF2-40B4-BE49-F238E27FC236}">
              <a16:creationId xmlns:a16="http://schemas.microsoft.com/office/drawing/2014/main" id="{4C879953-910A-4929-BB1B-677DF1553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28601"/>
          <a:ext cx="1901758" cy="381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3" name="Imagen 2">
          <a:extLst>
            <a:ext uri="{FF2B5EF4-FFF2-40B4-BE49-F238E27FC236}">
              <a16:creationId xmlns:a16="http://schemas.microsoft.com/office/drawing/2014/main" id="{9F44298D-A9DA-472A-AF74-FD484B423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28601"/>
          <a:ext cx="1901758" cy="381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4" name="Imagen 3">
          <a:extLst>
            <a:ext uri="{FF2B5EF4-FFF2-40B4-BE49-F238E27FC236}">
              <a16:creationId xmlns:a16="http://schemas.microsoft.com/office/drawing/2014/main" id="{BFE8D630-3D6E-4BDF-AFDB-F7C8BC226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28601"/>
          <a:ext cx="1901758" cy="381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5" name="Imagen 4">
          <a:extLst>
            <a:ext uri="{FF2B5EF4-FFF2-40B4-BE49-F238E27FC236}">
              <a16:creationId xmlns:a16="http://schemas.microsoft.com/office/drawing/2014/main" id="{26E63465-42EC-41B7-B03F-420063B21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28601"/>
          <a:ext cx="1901758" cy="3810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1_INEGI\2021_ENVI_2020\00%20LosCuadrosOrigen\Tabulados_MOPRADEF_Noviembre_2020_v1%200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Índice"/>
      <sheetName val="Cuadro 1"/>
      <sheetName val="Cuadro 2"/>
      <sheetName val="Cuadro 3"/>
      <sheetName val="Cuadro 4"/>
      <sheetName val="Cuadro 5"/>
      <sheetName val="Cuadro 6"/>
      <sheetName val="Cuadro 7"/>
      <sheetName val="Cuadro 8"/>
      <sheetName val="Cuadro 9"/>
      <sheetName val="Cuadro 10"/>
      <sheetName val="Cuadro 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14D7C-0D36-4D54-A1E6-DDA53EE235D8}">
  <dimension ref="A1:O37"/>
  <sheetViews>
    <sheetView showGridLines="0" tabSelected="1" zoomScaleNormal="100" workbookViewId="0"/>
  </sheetViews>
  <sheetFormatPr baseColWidth="10" defaultColWidth="11.42578125" defaultRowHeight="14.25" x14ac:dyDescent="0.2"/>
  <cols>
    <col min="1" max="1" width="1.7109375" style="59" customWidth="1"/>
    <col min="2" max="2" width="20.28515625" style="59" customWidth="1"/>
    <col min="3" max="3" width="17.42578125" style="59" customWidth="1"/>
    <col min="4" max="14" width="11.42578125" style="59"/>
    <col min="15" max="15" width="1.7109375" style="59" customWidth="1"/>
    <col min="16" max="16384" width="11.42578125" style="59"/>
  </cols>
  <sheetData>
    <row r="1" spans="1:15" x14ac:dyDescent="0.2">
      <c r="B1" s="60"/>
      <c r="C1" s="60"/>
    </row>
    <row r="2" spans="1:15" ht="19.5" customHeight="1" x14ac:dyDescent="0.2">
      <c r="B2" s="646" t="s">
        <v>145</v>
      </c>
      <c r="C2" s="646"/>
      <c r="D2" s="646"/>
      <c r="E2" s="646"/>
      <c r="F2" s="646"/>
      <c r="G2" s="646"/>
      <c r="H2" s="646"/>
      <c r="I2" s="646"/>
      <c r="J2" s="646"/>
      <c r="K2" s="646"/>
      <c r="L2" s="646"/>
      <c r="M2" s="646"/>
      <c r="N2" s="646"/>
    </row>
    <row r="3" spans="1:15" ht="19.5" customHeight="1" x14ac:dyDescent="0.2">
      <c r="B3" s="647" t="s">
        <v>146</v>
      </c>
      <c r="C3" s="647"/>
      <c r="D3" s="647"/>
      <c r="E3" s="647"/>
      <c r="F3" s="647"/>
      <c r="G3" s="647"/>
      <c r="H3" s="647"/>
      <c r="I3" s="647"/>
      <c r="J3" s="647"/>
      <c r="K3" s="647"/>
      <c r="L3" s="647"/>
      <c r="M3" s="647"/>
      <c r="N3" s="647"/>
    </row>
    <row r="4" spans="1:15" ht="16.5" customHeight="1" x14ac:dyDescent="0.2">
      <c r="A4" s="648" t="s">
        <v>199</v>
      </c>
      <c r="B4" s="648"/>
      <c r="C4" s="648"/>
      <c r="D4" s="648"/>
      <c r="E4" s="648"/>
      <c r="F4" s="648"/>
      <c r="G4" s="648"/>
      <c r="H4" s="648"/>
      <c r="I4" s="648"/>
      <c r="J4" s="648"/>
      <c r="K4" s="648"/>
      <c r="L4" s="648"/>
      <c r="M4" s="648"/>
      <c r="N4" s="648"/>
      <c r="O4" s="648"/>
    </row>
    <row r="5" spans="1:15" s="63" customFormat="1" ht="6.95" customHeight="1" x14ac:dyDescent="0.2">
      <c r="A5" s="61"/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1"/>
    </row>
    <row r="6" spans="1:15" s="63" customFormat="1" ht="16.5" customHeight="1" x14ac:dyDescent="0.2">
      <c r="A6" s="61"/>
      <c r="B6" s="649" t="s">
        <v>147</v>
      </c>
      <c r="C6" s="649"/>
      <c r="D6" s="649"/>
      <c r="E6" s="649"/>
      <c r="F6" s="649"/>
      <c r="G6" s="649"/>
      <c r="H6" s="649"/>
      <c r="I6" s="649"/>
      <c r="J6" s="649"/>
      <c r="K6" s="649"/>
      <c r="L6" s="649"/>
      <c r="M6" s="649"/>
      <c r="N6" s="649"/>
      <c r="O6" s="61"/>
    </row>
    <row r="7" spans="1:15" ht="19.5" customHeight="1" x14ac:dyDescent="0.2">
      <c r="B7" s="64" t="s">
        <v>198</v>
      </c>
      <c r="C7" s="64"/>
      <c r="D7" s="65"/>
      <c r="E7" s="65"/>
      <c r="F7" s="65"/>
      <c r="G7" s="65"/>
      <c r="H7" s="65"/>
      <c r="I7" s="65"/>
      <c r="J7" s="65"/>
      <c r="K7" s="65"/>
      <c r="L7" s="65"/>
      <c r="M7" s="650" t="str">
        <f>CONCATENATE("Total de tabulados: ", COUNTIF(D10:D35,"&lt;&gt;"))</f>
        <v>Total de tabulados: 18</v>
      </c>
      <c r="N7" s="650"/>
    </row>
    <row r="8" spans="1:15" ht="6.95" customHeight="1" thickBot="1" x14ac:dyDescent="0.25"/>
    <row r="9" spans="1:15" ht="18.75" customHeight="1" thickBot="1" x14ac:dyDescent="0.25">
      <c r="B9" s="66" t="s">
        <v>148</v>
      </c>
      <c r="C9" s="67" t="s">
        <v>149</v>
      </c>
      <c r="D9" s="641" t="s">
        <v>150</v>
      </c>
      <c r="E9" s="641"/>
      <c r="F9" s="641"/>
      <c r="G9" s="641"/>
      <c r="H9" s="641"/>
      <c r="I9" s="641"/>
      <c r="J9" s="641"/>
      <c r="K9" s="641"/>
      <c r="L9" s="641"/>
      <c r="M9" s="641"/>
      <c r="N9" s="642"/>
    </row>
    <row r="10" spans="1:15" ht="39.950000000000003" customHeight="1" x14ac:dyDescent="0.2">
      <c r="B10" s="654" t="s">
        <v>172</v>
      </c>
      <c r="C10" s="68" t="s">
        <v>99</v>
      </c>
      <c r="D10" s="657" t="s">
        <v>161</v>
      </c>
      <c r="E10" s="658"/>
      <c r="F10" s="658"/>
      <c r="G10" s="658"/>
      <c r="H10" s="658"/>
      <c r="I10" s="658"/>
      <c r="J10" s="658"/>
      <c r="K10" s="658"/>
      <c r="L10" s="658"/>
      <c r="M10" s="658"/>
      <c r="N10" s="659"/>
    </row>
    <row r="11" spans="1:15" ht="39.950000000000003" customHeight="1" x14ac:dyDescent="0.2">
      <c r="B11" s="655"/>
      <c r="C11" s="69" t="s">
        <v>100</v>
      </c>
      <c r="D11" s="643" t="s">
        <v>101</v>
      </c>
      <c r="E11" s="644"/>
      <c r="F11" s="644"/>
      <c r="G11" s="644"/>
      <c r="H11" s="644"/>
      <c r="I11" s="644"/>
      <c r="J11" s="644"/>
      <c r="K11" s="644"/>
      <c r="L11" s="644"/>
      <c r="M11" s="644"/>
      <c r="N11" s="645"/>
    </row>
    <row r="12" spans="1:15" ht="39.950000000000003" customHeight="1" x14ac:dyDescent="0.2">
      <c r="B12" s="655"/>
      <c r="C12" s="69" t="s">
        <v>102</v>
      </c>
      <c r="D12" s="643" t="s">
        <v>103</v>
      </c>
      <c r="E12" s="644"/>
      <c r="F12" s="644"/>
      <c r="G12" s="644"/>
      <c r="H12" s="644"/>
      <c r="I12" s="644"/>
      <c r="J12" s="644"/>
      <c r="K12" s="644"/>
      <c r="L12" s="644"/>
      <c r="M12" s="644"/>
      <c r="N12" s="645"/>
    </row>
    <row r="13" spans="1:15" ht="39.950000000000003" customHeight="1" x14ac:dyDescent="0.2">
      <c r="B13" s="655"/>
      <c r="C13" s="69" t="s">
        <v>105</v>
      </c>
      <c r="D13" s="643" t="s">
        <v>104</v>
      </c>
      <c r="E13" s="644"/>
      <c r="F13" s="644"/>
      <c r="G13" s="644"/>
      <c r="H13" s="644"/>
      <c r="I13" s="644"/>
      <c r="J13" s="644"/>
      <c r="K13" s="644"/>
      <c r="L13" s="644"/>
      <c r="M13" s="644"/>
      <c r="N13" s="645"/>
    </row>
    <row r="14" spans="1:15" ht="39.950000000000003" customHeight="1" x14ac:dyDescent="0.2">
      <c r="B14" s="655"/>
      <c r="C14" s="69" t="s">
        <v>106</v>
      </c>
      <c r="D14" s="643" t="s">
        <v>89</v>
      </c>
      <c r="E14" s="644"/>
      <c r="F14" s="644"/>
      <c r="G14" s="644"/>
      <c r="H14" s="644"/>
      <c r="I14" s="644"/>
      <c r="J14" s="644"/>
      <c r="K14" s="644"/>
      <c r="L14" s="644"/>
      <c r="M14" s="644"/>
      <c r="N14" s="645"/>
    </row>
    <row r="15" spans="1:15" ht="39.950000000000003" customHeight="1" x14ac:dyDescent="0.2">
      <c r="B15" s="655"/>
      <c r="C15" s="69" t="s">
        <v>107</v>
      </c>
      <c r="D15" s="643" t="s">
        <v>162</v>
      </c>
      <c r="E15" s="644"/>
      <c r="F15" s="644"/>
      <c r="G15" s="644"/>
      <c r="H15" s="644"/>
      <c r="I15" s="644"/>
      <c r="J15" s="644"/>
      <c r="K15" s="644"/>
      <c r="L15" s="644"/>
      <c r="M15" s="644"/>
      <c r="N15" s="645"/>
    </row>
    <row r="16" spans="1:15" ht="39.950000000000003" customHeight="1" x14ac:dyDescent="0.2">
      <c r="B16" s="655"/>
      <c r="C16" s="69" t="s">
        <v>112</v>
      </c>
      <c r="D16" s="643" t="s">
        <v>163</v>
      </c>
      <c r="E16" s="644"/>
      <c r="F16" s="644"/>
      <c r="G16" s="644"/>
      <c r="H16" s="644"/>
      <c r="I16" s="644"/>
      <c r="J16" s="644"/>
      <c r="K16" s="644"/>
      <c r="L16" s="644"/>
      <c r="M16" s="644"/>
      <c r="N16" s="645"/>
    </row>
    <row r="17" spans="2:14" ht="39.950000000000003" customHeight="1" x14ac:dyDescent="0.2">
      <c r="B17" s="655"/>
      <c r="C17" s="69" t="s">
        <v>113</v>
      </c>
      <c r="D17" s="643" t="s">
        <v>164</v>
      </c>
      <c r="E17" s="644"/>
      <c r="F17" s="644"/>
      <c r="G17" s="644"/>
      <c r="H17" s="644"/>
      <c r="I17" s="644"/>
      <c r="J17" s="644"/>
      <c r="K17" s="644"/>
      <c r="L17" s="644"/>
      <c r="M17" s="644"/>
      <c r="N17" s="645"/>
    </row>
    <row r="18" spans="2:14" ht="39.950000000000003" customHeight="1" x14ac:dyDescent="0.2">
      <c r="B18" s="655"/>
      <c r="C18" s="69" t="s">
        <v>114</v>
      </c>
      <c r="D18" s="643" t="s">
        <v>165</v>
      </c>
      <c r="E18" s="644"/>
      <c r="F18" s="644"/>
      <c r="G18" s="644"/>
      <c r="H18" s="644"/>
      <c r="I18" s="644"/>
      <c r="J18" s="644"/>
      <c r="K18" s="644"/>
      <c r="L18" s="644"/>
      <c r="M18" s="644"/>
      <c r="N18" s="645"/>
    </row>
    <row r="19" spans="2:14" ht="39.950000000000003" customHeight="1" x14ac:dyDescent="0.2">
      <c r="B19" s="655"/>
      <c r="C19" s="69" t="s">
        <v>115</v>
      </c>
      <c r="D19" s="643" t="s">
        <v>166</v>
      </c>
      <c r="E19" s="644"/>
      <c r="F19" s="644"/>
      <c r="G19" s="644"/>
      <c r="H19" s="644"/>
      <c r="I19" s="644"/>
      <c r="J19" s="644"/>
      <c r="K19" s="644"/>
      <c r="L19" s="644"/>
      <c r="M19" s="644"/>
      <c r="N19" s="645"/>
    </row>
    <row r="20" spans="2:14" ht="39.950000000000003" customHeight="1" x14ac:dyDescent="0.2">
      <c r="B20" s="655"/>
      <c r="C20" s="69" t="s">
        <v>116</v>
      </c>
      <c r="D20" s="643" t="s">
        <v>167</v>
      </c>
      <c r="E20" s="644"/>
      <c r="F20" s="644"/>
      <c r="G20" s="644"/>
      <c r="H20" s="644"/>
      <c r="I20" s="644"/>
      <c r="J20" s="644"/>
      <c r="K20" s="644"/>
      <c r="L20" s="644"/>
      <c r="M20" s="644"/>
      <c r="N20" s="645"/>
    </row>
    <row r="21" spans="2:14" ht="39.950000000000003" customHeight="1" x14ac:dyDescent="0.2">
      <c r="B21" s="655"/>
      <c r="C21" s="69" t="s">
        <v>117</v>
      </c>
      <c r="D21" s="643" t="s">
        <v>200</v>
      </c>
      <c r="E21" s="644"/>
      <c r="F21" s="644"/>
      <c r="G21" s="644"/>
      <c r="H21" s="644"/>
      <c r="I21" s="644"/>
      <c r="J21" s="644"/>
      <c r="K21" s="644"/>
      <c r="L21" s="644"/>
      <c r="M21" s="644"/>
      <c r="N21" s="645"/>
    </row>
    <row r="22" spans="2:14" ht="39.950000000000003" customHeight="1" x14ac:dyDescent="0.2">
      <c r="B22" s="655"/>
      <c r="C22" s="69" t="s">
        <v>118</v>
      </c>
      <c r="D22" s="643" t="s">
        <v>170</v>
      </c>
      <c r="E22" s="644"/>
      <c r="F22" s="644"/>
      <c r="G22" s="644"/>
      <c r="H22" s="644"/>
      <c r="I22" s="644"/>
      <c r="J22" s="644"/>
      <c r="K22" s="644"/>
      <c r="L22" s="644"/>
      <c r="M22" s="644"/>
      <c r="N22" s="645"/>
    </row>
    <row r="23" spans="2:14" ht="39.950000000000003" customHeight="1" x14ac:dyDescent="0.2">
      <c r="B23" s="655"/>
      <c r="C23" s="69" t="s">
        <v>119</v>
      </c>
      <c r="D23" s="643" t="s">
        <v>171</v>
      </c>
      <c r="E23" s="644"/>
      <c r="F23" s="644"/>
      <c r="G23" s="644"/>
      <c r="H23" s="644"/>
      <c r="I23" s="644"/>
      <c r="J23" s="644"/>
      <c r="K23" s="644"/>
      <c r="L23" s="644"/>
      <c r="M23" s="644"/>
      <c r="N23" s="645"/>
    </row>
    <row r="24" spans="2:14" ht="39.950000000000003" customHeight="1" x14ac:dyDescent="0.2">
      <c r="B24" s="655"/>
      <c r="C24" s="69" t="s">
        <v>120</v>
      </c>
      <c r="D24" s="643" t="s">
        <v>168</v>
      </c>
      <c r="E24" s="644"/>
      <c r="F24" s="644"/>
      <c r="G24" s="644"/>
      <c r="H24" s="644"/>
      <c r="I24" s="644"/>
      <c r="J24" s="644"/>
      <c r="K24" s="644"/>
      <c r="L24" s="644"/>
      <c r="M24" s="644"/>
      <c r="N24" s="645"/>
    </row>
    <row r="25" spans="2:14" ht="39.950000000000003" customHeight="1" x14ac:dyDescent="0.2">
      <c r="B25" s="655"/>
      <c r="C25" s="69" t="s">
        <v>121</v>
      </c>
      <c r="D25" s="643" t="s">
        <v>158</v>
      </c>
      <c r="E25" s="644"/>
      <c r="F25" s="644"/>
      <c r="G25" s="644"/>
      <c r="H25" s="644"/>
      <c r="I25" s="644"/>
      <c r="J25" s="644"/>
      <c r="K25" s="644"/>
      <c r="L25" s="644"/>
      <c r="M25" s="644"/>
      <c r="N25" s="645"/>
    </row>
    <row r="26" spans="2:14" ht="39.950000000000003" customHeight="1" x14ac:dyDescent="0.2">
      <c r="B26" s="655"/>
      <c r="C26" s="69" t="s">
        <v>122</v>
      </c>
      <c r="D26" s="643" t="s">
        <v>169</v>
      </c>
      <c r="E26" s="644"/>
      <c r="F26" s="644"/>
      <c r="G26" s="644"/>
      <c r="H26" s="644"/>
      <c r="I26" s="644"/>
      <c r="J26" s="644"/>
      <c r="K26" s="644"/>
      <c r="L26" s="644"/>
      <c r="M26" s="644"/>
      <c r="N26" s="645"/>
    </row>
    <row r="27" spans="2:14" ht="39.950000000000003" customHeight="1" thickBot="1" x14ac:dyDescent="0.25">
      <c r="B27" s="656"/>
      <c r="C27" s="70" t="s">
        <v>123</v>
      </c>
      <c r="D27" s="651" t="s">
        <v>160</v>
      </c>
      <c r="E27" s="652"/>
      <c r="F27" s="652"/>
      <c r="G27" s="652"/>
      <c r="H27" s="652"/>
      <c r="I27" s="652"/>
      <c r="J27" s="652"/>
      <c r="K27" s="652"/>
      <c r="L27" s="652"/>
      <c r="M27" s="652"/>
      <c r="N27" s="653"/>
    </row>
    <row r="28" spans="2:14" ht="39.950000000000003" customHeight="1" x14ac:dyDescent="0.2"/>
    <row r="37" ht="14.25" customHeight="1" x14ac:dyDescent="0.2"/>
  </sheetData>
  <mergeCells count="25">
    <mergeCell ref="D27:N27"/>
    <mergeCell ref="B10:B27"/>
    <mergeCell ref="D10:N10"/>
    <mergeCell ref="D11:N11"/>
    <mergeCell ref="D12:N12"/>
    <mergeCell ref="D13:N13"/>
    <mergeCell ref="D14:N14"/>
    <mergeCell ref="D15:N15"/>
    <mergeCell ref="D16:N16"/>
    <mergeCell ref="D17:N17"/>
    <mergeCell ref="D18:N18"/>
    <mergeCell ref="D24:N24"/>
    <mergeCell ref="D25:N25"/>
    <mergeCell ref="D26:N26"/>
    <mergeCell ref="B2:N2"/>
    <mergeCell ref="B3:N3"/>
    <mergeCell ref="A4:O4"/>
    <mergeCell ref="B6:N6"/>
    <mergeCell ref="M7:N7"/>
    <mergeCell ref="D9:N9"/>
    <mergeCell ref="D20:N20"/>
    <mergeCell ref="D21:N21"/>
    <mergeCell ref="D22:N22"/>
    <mergeCell ref="D23:N23"/>
    <mergeCell ref="D19:N19"/>
  </mergeCells>
  <hyperlinks>
    <hyperlink ref="C10" location="'Cuadro 4.1'!A1" tooltip="Ir a Cuadro 4.1" display="Cuadro 4.1" xr:uid="{0660BDC2-11A9-46A7-BCDD-A1B066DD6271}"/>
    <hyperlink ref="C11" location="'Cuadro 4.2'!A1" tooltip="Ir aCuadro 4.2" display="Cuadro 4.2" xr:uid="{C870324A-6A22-4AB0-A0F7-932424015743}"/>
    <hyperlink ref="C27" location="'Cuadro 4.18'!A1" tooltip="Ir a Cuadro 4.18" display="Cuadro 4.18" xr:uid="{7E82D795-B685-4085-844C-FD6866E4873D}"/>
    <hyperlink ref="C12" location="'Cuadro 4.3'!A1" tooltip="Ir a Cuadro 4.3" display="Cuadro 4.3" xr:uid="{9DCB6C33-6A2C-4ACC-9D38-0F4A7CCDBCF0}"/>
    <hyperlink ref="C13" location="'Cuadro 4.4'!A1" tooltip="Ir a Cuadro 4.4" display="Cuadro 4.4" xr:uid="{E3681ECA-6989-4628-8FEB-FFDF88D2C43E}"/>
    <hyperlink ref="C14" location="'Cuadro 4.5'!A1" tooltip="Ir a Cuadro 4.5" display="Cuadro 4.5" xr:uid="{58A06B1B-3329-41E6-A045-AD8C491885A8}"/>
    <hyperlink ref="C17" location="'Cuadro 4.8'!A1" tooltip="Ir a Cuadro 4.8" display="Cuadro 4.8" xr:uid="{459A78ED-9A1A-4AB4-A8D3-11F8DBC2AD52}"/>
    <hyperlink ref="C15" location="'Cuadro 4.6'!A1" tooltip="Ir a Cuadro 4.6" display="Cuadro 4.6" xr:uid="{6EA49552-D112-4243-A071-04636BA9B428}"/>
    <hyperlink ref="C18" location="'Cuadro 4.9'!A1" tooltip="Ir a Cuadro 4.9" display="Cuadro 4.9" xr:uid="{C1687548-5C4A-4B87-9D8B-1C601ED722A4}"/>
    <hyperlink ref="C16" location="'Cuadro 4.7'!A1" tooltip="ir a Cuadro 4.7" display="Cuadro 4.7" xr:uid="{EFA195A0-3B6F-4324-8F67-C64B1ED77B55}"/>
    <hyperlink ref="C19" location="'Cuadro 4.10'!A1" tooltip="Ir a Cuadro 4.10" display="Cuadro 4.10" xr:uid="{9C7A914D-EAE7-4AB6-BCDC-D7C9F5095344}"/>
    <hyperlink ref="C20" location="'Cuadro 4.11'!A1" tooltip="Ir a Cuadro 4.11" display="Cuadro 4.11" xr:uid="{CAA4FC25-E612-458A-B443-D1942C58E674}"/>
    <hyperlink ref="C23" location="'Cuadro 4.14'!A1" tooltip="Ir a Cuadro 4.14" display="Cuadro 4.14" xr:uid="{A99C4423-AB8A-44AD-B80F-30F8D4CEA414}"/>
    <hyperlink ref="C21" location="'Cuadro 4.12'!A1" tooltip="Ir a Cuadro 4.12" display="Cuadro 4.12" xr:uid="{A3D880E5-A42D-4F7A-8C9D-62D3E30795B3}"/>
    <hyperlink ref="C24" location="'Cuadro 4.15'!A1" tooltip="Ir a Cuadro 4.15" display="Cuadro 4.15" xr:uid="{3AAA1576-5DD2-43AA-A0AC-A3386B692B5F}"/>
    <hyperlink ref="C22" location="'Cuadro 4.13'!A1" tooltip="Ir a Cuadro 4.13" display="Cuadro 4.13" xr:uid="{E17C6688-BDC4-4225-9CAC-CC67C5A0DC44}"/>
    <hyperlink ref="C25" location="'Cuadro 4.16'!A1" tooltip="Ir a Cuadro 4.16" display="Cuadro 4.16" xr:uid="{1E25A5EE-4DD2-4EAB-9F21-2E20CD4D4FA0}"/>
    <hyperlink ref="C26" location="'Cuadro 4.17'!A1" tooltip="Ir a Cuadro 4.17" display="Cuadro 4.17" xr:uid="{780C7631-08E4-4034-8192-7031631D53D9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FA9F1-36CB-40FD-BE6A-19145614C043}">
  <dimension ref="B1:S19"/>
  <sheetViews>
    <sheetView showGridLines="0" zoomScaleNormal="100" workbookViewId="0"/>
  </sheetViews>
  <sheetFormatPr baseColWidth="10" defaultColWidth="9.140625" defaultRowHeight="14.25" x14ac:dyDescent="0.2"/>
  <cols>
    <col min="1" max="1" width="1.7109375" style="13" customWidth="1"/>
    <col min="2" max="2" width="32.5703125" style="13" customWidth="1"/>
    <col min="3" max="3" width="1.7109375" style="13" customWidth="1"/>
    <col min="4" max="4" width="17.7109375" style="13" customWidth="1"/>
    <col min="5" max="5" width="1.7109375" style="13" customWidth="1"/>
    <col min="6" max="7" width="11.7109375" style="13" customWidth="1"/>
    <col min="8" max="8" width="0.85546875" style="13" customWidth="1"/>
    <col min="9" max="10" width="11.7109375" style="13" customWidth="1"/>
    <col min="11" max="16384" width="9.140625" style="13"/>
  </cols>
  <sheetData>
    <row r="1" spans="2:19" s="58" customFormat="1" ht="12" customHeight="1" x14ac:dyDescent="0.2">
      <c r="B1" s="640" t="s">
        <v>202</v>
      </c>
      <c r="C1" s="181"/>
      <c r="J1" s="72" t="s">
        <v>151</v>
      </c>
    </row>
    <row r="2" spans="2:19" s="58" customFormat="1" ht="6.95" customHeight="1" x14ac:dyDescent="0.2">
      <c r="B2" s="640"/>
      <c r="C2" s="181"/>
    </row>
    <row r="3" spans="2:19" s="58" customFormat="1" ht="12.75" x14ac:dyDescent="0.2">
      <c r="B3" s="640" t="s">
        <v>199</v>
      </c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</row>
    <row r="4" spans="2:19" s="58" customFormat="1" ht="6.95" customHeight="1" x14ac:dyDescent="0.2"/>
    <row r="5" spans="2:19" s="58" customFormat="1" ht="25.5" customHeight="1" x14ac:dyDescent="0.2">
      <c r="B5" s="660" t="s">
        <v>161</v>
      </c>
      <c r="C5" s="660"/>
      <c r="D5" s="660"/>
      <c r="E5" s="660"/>
      <c r="F5" s="660"/>
      <c r="G5" s="660"/>
      <c r="H5" s="660"/>
      <c r="I5" s="182"/>
      <c r="J5" s="71" t="s">
        <v>99</v>
      </c>
    </row>
    <row r="6" spans="2:19" ht="6" customHeight="1" x14ac:dyDescent="0.2">
      <c r="B6" s="157"/>
      <c r="C6" s="157"/>
      <c r="D6" s="158"/>
      <c r="E6" s="158"/>
      <c r="F6" s="158"/>
      <c r="G6" s="158"/>
      <c r="H6" s="158"/>
      <c r="I6" s="158"/>
      <c r="J6" s="159"/>
    </row>
    <row r="7" spans="2:19" ht="21" customHeight="1" x14ac:dyDescent="0.2">
      <c r="B7" s="661" t="s">
        <v>55</v>
      </c>
      <c r="C7" s="153"/>
      <c r="D7" s="664" t="s">
        <v>58</v>
      </c>
      <c r="E7" s="155"/>
      <c r="F7" s="667" t="s">
        <v>94</v>
      </c>
      <c r="G7" s="667"/>
      <c r="H7" s="667"/>
      <c r="I7" s="667"/>
      <c r="J7" s="667"/>
    </row>
    <row r="8" spans="2:19" ht="16.5" customHeight="1" x14ac:dyDescent="0.2">
      <c r="B8" s="662"/>
      <c r="C8" s="160"/>
      <c r="D8" s="665"/>
      <c r="E8" s="161"/>
      <c r="F8" s="667" t="s">
        <v>59</v>
      </c>
      <c r="G8" s="667"/>
      <c r="H8" s="26"/>
      <c r="I8" s="667" t="s">
        <v>60</v>
      </c>
      <c r="J8" s="667"/>
    </row>
    <row r="9" spans="2:19" ht="15" customHeight="1" x14ac:dyDescent="0.2">
      <c r="B9" s="663"/>
      <c r="C9" s="154"/>
      <c r="D9" s="666"/>
      <c r="E9" s="156"/>
      <c r="F9" s="73" t="s">
        <v>0</v>
      </c>
      <c r="G9" s="73" t="s">
        <v>1</v>
      </c>
      <c r="H9" s="73"/>
      <c r="I9" s="73" t="s">
        <v>0</v>
      </c>
      <c r="J9" s="73" t="s">
        <v>1</v>
      </c>
    </row>
    <row r="10" spans="2:19" s="19" customFormat="1" ht="6" customHeight="1" x14ac:dyDescent="0.2">
      <c r="B10" s="162"/>
      <c r="C10" s="162"/>
      <c r="D10" s="183"/>
      <c r="E10" s="183"/>
      <c r="F10" s="183"/>
      <c r="G10" s="183"/>
      <c r="H10" s="183"/>
      <c r="I10" s="183"/>
      <c r="J10" s="183"/>
    </row>
    <row r="11" spans="2:19" s="98" customFormat="1" ht="11.25" x14ac:dyDescent="0.2">
      <c r="B11" s="97" t="s">
        <v>35</v>
      </c>
      <c r="C11" s="164"/>
      <c r="D11" s="148">
        <v>35798824.741941698</v>
      </c>
      <c r="E11" s="114"/>
      <c r="F11" s="148">
        <v>2670752.5745198098</v>
      </c>
      <c r="G11" s="148">
        <v>7.3850603800999997</v>
      </c>
      <c r="H11" s="114"/>
      <c r="I11" s="148">
        <v>33050409.541806299</v>
      </c>
      <c r="J11" s="148">
        <v>92.1197781069</v>
      </c>
    </row>
    <row r="12" spans="2:19" s="99" customFormat="1" ht="6" customHeight="1" x14ac:dyDescent="0.2">
      <c r="B12" s="164"/>
      <c r="C12" s="164"/>
      <c r="D12" s="115"/>
      <c r="E12" s="115"/>
      <c r="F12" s="115"/>
      <c r="G12" s="116"/>
      <c r="H12" s="115"/>
      <c r="I12" s="115"/>
      <c r="J12" s="116"/>
    </row>
    <row r="13" spans="2:19" s="99" customFormat="1" ht="15" customHeight="1" x14ac:dyDescent="0.2">
      <c r="B13" s="184" t="s">
        <v>36</v>
      </c>
      <c r="C13" s="184"/>
      <c r="D13" s="150">
        <v>7310222.5829146197</v>
      </c>
      <c r="E13" s="115"/>
      <c r="F13" s="150">
        <v>313825.64948694099</v>
      </c>
      <c r="G13" s="150">
        <v>4.2031439275000002</v>
      </c>
      <c r="H13" s="115"/>
      <c r="I13" s="150">
        <v>6975222.3314901404</v>
      </c>
      <c r="J13" s="150">
        <v>95.010683036299994</v>
      </c>
      <c r="K13" s="185"/>
      <c r="L13" s="185"/>
    </row>
    <row r="14" spans="2:19" s="104" customFormat="1" ht="15" customHeight="1" x14ac:dyDescent="0.2">
      <c r="B14" s="184" t="s">
        <v>37</v>
      </c>
      <c r="C14" s="184"/>
      <c r="D14" s="152">
        <v>4617281.6915707802</v>
      </c>
      <c r="E14" s="139"/>
      <c r="F14" s="149">
        <v>256616.26347112001</v>
      </c>
      <c r="G14" s="149">
        <v>5.3438071124000004</v>
      </c>
      <c r="H14" s="140"/>
      <c r="I14" s="149">
        <v>4337445.0068963701</v>
      </c>
      <c r="J14" s="151">
        <v>93.469533929899995</v>
      </c>
    </row>
    <row r="15" spans="2:19" s="104" customFormat="1" ht="15" customHeight="1" x14ac:dyDescent="0.2">
      <c r="B15" s="186" t="s">
        <v>38</v>
      </c>
      <c r="C15" s="186"/>
      <c r="D15" s="152">
        <v>5622312.6852879804</v>
      </c>
      <c r="E15" s="139"/>
      <c r="F15" s="149">
        <v>430603.99053755403</v>
      </c>
      <c r="G15" s="149">
        <v>7.4304017313999999</v>
      </c>
      <c r="H15" s="140"/>
      <c r="I15" s="149">
        <v>5163420.1803749399</v>
      </c>
      <c r="J15" s="151">
        <v>91.284980197400003</v>
      </c>
    </row>
    <row r="16" spans="2:19" s="104" customFormat="1" ht="15" customHeight="1" x14ac:dyDescent="0.2">
      <c r="B16" s="186" t="s">
        <v>56</v>
      </c>
      <c r="C16" s="186"/>
      <c r="D16" s="152">
        <v>17831336.737923101</v>
      </c>
      <c r="E16" s="139"/>
      <c r="F16" s="149">
        <v>1588653.40195268</v>
      </c>
      <c r="G16" s="149">
        <v>8.8234356326000007</v>
      </c>
      <c r="H16" s="140"/>
      <c r="I16" s="149">
        <v>16172598.270471901</v>
      </c>
      <c r="J16" s="151">
        <v>90.399075669499993</v>
      </c>
    </row>
    <row r="17" spans="2:10" s="19" customFormat="1" ht="6" customHeight="1" x14ac:dyDescent="0.2">
      <c r="B17" s="28"/>
      <c r="C17" s="29"/>
      <c r="D17" s="30"/>
      <c r="E17" s="30"/>
      <c r="F17" s="30"/>
      <c r="G17" s="30"/>
      <c r="H17" s="30"/>
      <c r="I17" s="30"/>
      <c r="J17" s="105"/>
    </row>
    <row r="18" spans="2:10" s="19" customFormat="1" ht="6" customHeight="1" x14ac:dyDescent="0.2">
      <c r="B18" s="162"/>
      <c r="C18" s="162"/>
      <c r="D18" s="183"/>
      <c r="E18" s="183"/>
      <c r="F18" s="183"/>
      <c r="G18" s="183"/>
      <c r="H18" s="183"/>
      <c r="I18" s="183"/>
      <c r="J18" s="183"/>
    </row>
    <row r="19" spans="2:10" x14ac:dyDescent="0.2">
      <c r="B19" s="109" t="s">
        <v>57</v>
      </c>
    </row>
  </sheetData>
  <mergeCells count="6">
    <mergeCell ref="B5:H5"/>
    <mergeCell ref="B7:B9"/>
    <mergeCell ref="D7:D9"/>
    <mergeCell ref="F7:J7"/>
    <mergeCell ref="F8:G8"/>
    <mergeCell ref="I8:J8"/>
  </mergeCells>
  <hyperlinks>
    <hyperlink ref="J1" location="Índice!A1" tooltip="Ir a ÍNDICE" display="INDICE" xr:uid="{C0D21FB0-4637-49BD-B32E-AF73718ECAE8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79D86-D8DC-4AC0-8187-00A2463BC39A}">
  <dimension ref="B1:S47"/>
  <sheetViews>
    <sheetView showGridLines="0" zoomScaleNormal="100" workbookViewId="0"/>
  </sheetViews>
  <sheetFormatPr baseColWidth="10" defaultColWidth="9.140625" defaultRowHeight="14.25" x14ac:dyDescent="0.2"/>
  <cols>
    <col min="1" max="1" width="1.7109375" style="13" customWidth="1"/>
    <col min="2" max="2" width="32.5703125" style="13" customWidth="1"/>
    <col min="3" max="3" width="1.7109375" style="13" customWidth="1"/>
    <col min="4" max="4" width="17.7109375" style="13" customWidth="1"/>
    <col min="5" max="5" width="1.7109375" style="13" customWidth="1"/>
    <col min="6" max="7" width="11.7109375" style="13" customWidth="1"/>
    <col min="8" max="8" width="0.85546875" style="13" customWidth="1"/>
    <col min="9" max="10" width="11.7109375" style="13" customWidth="1"/>
    <col min="11" max="16384" width="9.140625" style="13"/>
  </cols>
  <sheetData>
    <row r="1" spans="2:19" s="58" customFormat="1" ht="12" customHeight="1" x14ac:dyDescent="0.2">
      <c r="B1" s="640" t="s">
        <v>202</v>
      </c>
      <c r="C1" s="193"/>
      <c r="J1" s="72" t="s">
        <v>151</v>
      </c>
    </row>
    <row r="2" spans="2:19" s="58" customFormat="1" ht="6.95" customHeight="1" x14ac:dyDescent="0.2">
      <c r="B2" s="640"/>
      <c r="C2" s="193"/>
    </row>
    <row r="3" spans="2:19" s="58" customFormat="1" ht="12.75" x14ac:dyDescent="0.2">
      <c r="B3" s="640" t="s">
        <v>199</v>
      </c>
      <c r="C3" s="193"/>
      <c r="D3" s="193"/>
      <c r="E3" s="193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</row>
    <row r="4" spans="2:19" s="58" customFormat="1" ht="6.95" customHeight="1" x14ac:dyDescent="0.2"/>
    <row r="5" spans="2:19" s="58" customFormat="1" ht="25.5" customHeight="1" x14ac:dyDescent="0.2">
      <c r="B5" s="668" t="s">
        <v>101</v>
      </c>
      <c r="C5" s="668"/>
      <c r="D5" s="668"/>
      <c r="E5" s="668"/>
      <c r="F5" s="668"/>
      <c r="G5" s="668"/>
      <c r="H5" s="668"/>
      <c r="I5" s="668"/>
      <c r="J5" s="71" t="s">
        <v>100</v>
      </c>
    </row>
    <row r="6" spans="2:19" ht="6" customHeight="1" x14ac:dyDescent="0.2">
      <c r="B6" s="157"/>
      <c r="C6" s="157"/>
      <c r="D6" s="158"/>
      <c r="E6" s="158"/>
      <c r="F6" s="158"/>
      <c r="G6" s="158"/>
      <c r="H6" s="158"/>
      <c r="I6" s="158"/>
      <c r="J6" s="159"/>
    </row>
    <row r="7" spans="2:19" ht="21" customHeight="1" x14ac:dyDescent="0.2">
      <c r="B7" s="661" t="s">
        <v>76</v>
      </c>
      <c r="C7" s="175"/>
      <c r="D7" s="664" t="s">
        <v>58</v>
      </c>
      <c r="E7" s="177"/>
      <c r="F7" s="667" t="s">
        <v>94</v>
      </c>
      <c r="G7" s="667"/>
      <c r="H7" s="667"/>
      <c r="I7" s="667"/>
      <c r="J7" s="667"/>
    </row>
    <row r="8" spans="2:19" ht="16.5" customHeight="1" x14ac:dyDescent="0.2">
      <c r="B8" s="662"/>
      <c r="C8" s="179"/>
      <c r="D8" s="665"/>
      <c r="E8" s="180"/>
      <c r="F8" s="667" t="s">
        <v>59</v>
      </c>
      <c r="G8" s="667"/>
      <c r="H8" s="26"/>
      <c r="I8" s="667" t="s">
        <v>60</v>
      </c>
      <c r="J8" s="667"/>
    </row>
    <row r="9" spans="2:19" ht="15" customHeight="1" x14ac:dyDescent="0.2">
      <c r="B9" s="663"/>
      <c r="C9" s="176"/>
      <c r="D9" s="666"/>
      <c r="E9" s="178"/>
      <c r="F9" s="73" t="s">
        <v>0</v>
      </c>
      <c r="G9" s="73" t="s">
        <v>1</v>
      </c>
      <c r="H9" s="73"/>
      <c r="I9" s="73" t="s">
        <v>0</v>
      </c>
      <c r="J9" s="73" t="s">
        <v>1</v>
      </c>
    </row>
    <row r="10" spans="2:19" s="19" customFormat="1" ht="6" customHeight="1" x14ac:dyDescent="0.2">
      <c r="B10" s="162"/>
      <c r="C10" s="162"/>
      <c r="D10" s="163"/>
      <c r="E10" s="163"/>
      <c r="F10" s="163"/>
      <c r="G10" s="163"/>
      <c r="H10" s="163"/>
      <c r="I10" s="163"/>
      <c r="J10" s="163"/>
      <c r="K10" s="18"/>
    </row>
    <row r="11" spans="2:19" s="98" customFormat="1" ht="11.25" x14ac:dyDescent="0.2">
      <c r="B11" s="97" t="s">
        <v>35</v>
      </c>
      <c r="C11" s="164"/>
      <c r="D11" s="168">
        <v>35798824.741941698</v>
      </c>
      <c r="E11" s="137"/>
      <c r="F11" s="168">
        <v>2670752.5745198098</v>
      </c>
      <c r="G11" s="168">
        <v>7.3850603800999997</v>
      </c>
      <c r="H11" s="137"/>
      <c r="I11" s="168">
        <v>33050409.541806299</v>
      </c>
      <c r="J11" s="168">
        <v>92.1197781069</v>
      </c>
      <c r="K11" s="103"/>
      <c r="L11" s="103"/>
      <c r="M11" s="103"/>
    </row>
    <row r="12" spans="2:19" s="99" customFormat="1" ht="6" customHeight="1" x14ac:dyDescent="0.2">
      <c r="B12" s="164"/>
      <c r="C12" s="164"/>
      <c r="D12" s="100"/>
      <c r="E12" s="100"/>
      <c r="F12" s="101"/>
      <c r="G12" s="106"/>
      <c r="H12" s="101"/>
      <c r="I12" s="101"/>
      <c r="J12" s="107"/>
    </row>
    <row r="13" spans="2:19" s="99" customFormat="1" ht="12.75" customHeight="1" x14ac:dyDescent="0.2">
      <c r="B13" s="95" t="s">
        <v>3</v>
      </c>
      <c r="C13" s="165"/>
      <c r="D13" s="171">
        <v>382369.95852108201</v>
      </c>
      <c r="E13" s="110"/>
      <c r="F13" s="169">
        <v>41567.678095332099</v>
      </c>
      <c r="G13" s="169">
        <v>10.505385048400001</v>
      </c>
      <c r="H13" s="111"/>
      <c r="I13" s="169">
        <v>335659.84136493498</v>
      </c>
      <c r="J13" s="170">
        <v>86.745926064499997</v>
      </c>
    </row>
    <row r="14" spans="2:19" s="99" customFormat="1" ht="12.75" customHeight="1" x14ac:dyDescent="0.2">
      <c r="B14" s="95" t="s">
        <v>4</v>
      </c>
      <c r="C14" s="165"/>
      <c r="D14" s="171">
        <v>1106083.79248848</v>
      </c>
      <c r="E14" s="110"/>
      <c r="F14" s="169">
        <v>98267.239815831505</v>
      </c>
      <c r="G14" s="169">
        <v>8.5967574936000002</v>
      </c>
      <c r="H14" s="111"/>
      <c r="I14" s="169">
        <v>995998.83013485197</v>
      </c>
      <c r="J14" s="170">
        <v>88.917683575799998</v>
      </c>
    </row>
    <row r="15" spans="2:19" s="99" customFormat="1" ht="12.75" customHeight="1" x14ac:dyDescent="0.2">
      <c r="B15" s="95" t="s">
        <v>5</v>
      </c>
      <c r="C15" s="165"/>
      <c r="D15" s="171">
        <v>232053.70656845701</v>
      </c>
      <c r="E15" s="110"/>
      <c r="F15" s="169">
        <v>18868.800725220601</v>
      </c>
      <c r="G15" s="169">
        <v>7.7443579329999999</v>
      </c>
      <c r="H15" s="111"/>
      <c r="I15" s="169">
        <v>210805.55034005499</v>
      </c>
      <c r="J15" s="170">
        <v>89.778215052799993</v>
      </c>
    </row>
    <row r="16" spans="2:19" s="99" customFormat="1" ht="12.75" customHeight="1" x14ac:dyDescent="0.2">
      <c r="B16" s="95" t="s">
        <v>6</v>
      </c>
      <c r="C16" s="165"/>
      <c r="D16" s="171">
        <v>245908.58353673099</v>
      </c>
      <c r="E16" s="110"/>
      <c r="F16" s="169">
        <v>17561.976657584601</v>
      </c>
      <c r="G16" s="169">
        <v>6.7632937663000003</v>
      </c>
      <c r="H16" s="111"/>
      <c r="I16" s="169">
        <v>225969.87126906399</v>
      </c>
      <c r="J16" s="170">
        <v>90.947011941100001</v>
      </c>
    </row>
    <row r="17" spans="2:10" s="99" customFormat="1" ht="12.75" customHeight="1" x14ac:dyDescent="0.2">
      <c r="B17" s="95" t="s">
        <v>7</v>
      </c>
      <c r="C17" s="165"/>
      <c r="D17" s="171">
        <v>879715.02804204402</v>
      </c>
      <c r="E17" s="110"/>
      <c r="F17" s="169">
        <v>63192.7581613527</v>
      </c>
      <c r="G17" s="169">
        <v>6.9368145509000003</v>
      </c>
      <c r="H17" s="111"/>
      <c r="I17" s="169">
        <v>804426.14823806996</v>
      </c>
      <c r="J17" s="170">
        <v>90.4531116231</v>
      </c>
    </row>
    <row r="18" spans="2:10" s="99" customFormat="1" ht="12.75" customHeight="1" x14ac:dyDescent="0.2">
      <c r="B18" s="95" t="s">
        <v>8</v>
      </c>
      <c r="C18" s="166"/>
      <c r="D18" s="174">
        <v>220106.171652132</v>
      </c>
      <c r="E18" s="112"/>
      <c r="F18" s="172">
        <v>22391.5563655802</v>
      </c>
      <c r="G18" s="172">
        <v>9.7878824432999991</v>
      </c>
      <c r="H18" s="113"/>
      <c r="I18" s="172">
        <v>195390.171393486</v>
      </c>
      <c r="J18" s="173">
        <v>87.342178304499996</v>
      </c>
    </row>
    <row r="19" spans="2:10" s="99" customFormat="1" ht="12.75" customHeight="1" x14ac:dyDescent="0.2">
      <c r="B19" s="95" t="s">
        <v>9</v>
      </c>
      <c r="C19" s="166"/>
      <c r="D19" s="174">
        <v>1353025.2561932199</v>
      </c>
      <c r="E19" s="112"/>
      <c r="F19" s="172">
        <v>56914.146322506902</v>
      </c>
      <c r="G19" s="172">
        <v>3.9164313009999998</v>
      </c>
      <c r="H19" s="113"/>
      <c r="I19" s="172">
        <v>1283501.7210113399</v>
      </c>
      <c r="J19" s="173">
        <v>94.065215716899999</v>
      </c>
    </row>
    <row r="20" spans="2:10" s="99" customFormat="1" ht="12.75" customHeight="1" x14ac:dyDescent="0.2">
      <c r="B20" s="95" t="s">
        <v>10</v>
      </c>
      <c r="C20" s="166"/>
      <c r="D20" s="174">
        <v>1111924.8654428599</v>
      </c>
      <c r="E20" s="112"/>
      <c r="F20" s="172">
        <v>78748.3668684601</v>
      </c>
      <c r="G20" s="172">
        <v>6.8826289247999997</v>
      </c>
      <c r="H20" s="113"/>
      <c r="I20" s="172">
        <v>1020778.39265869</v>
      </c>
      <c r="J20" s="173">
        <v>90.9555350901</v>
      </c>
    </row>
    <row r="21" spans="2:10" s="99" customFormat="1" ht="12.75" customHeight="1" x14ac:dyDescent="0.2">
      <c r="B21" s="95" t="s">
        <v>11</v>
      </c>
      <c r="C21" s="166"/>
      <c r="D21" s="174">
        <v>2720201.3857328701</v>
      </c>
      <c r="E21" s="112"/>
      <c r="F21" s="172">
        <v>159689.68517702399</v>
      </c>
      <c r="G21" s="172">
        <v>5.7052707035000001</v>
      </c>
      <c r="H21" s="113"/>
      <c r="I21" s="172">
        <v>2527722.08001662</v>
      </c>
      <c r="J21" s="173">
        <v>92.004036089899998</v>
      </c>
    </row>
    <row r="22" spans="2:10" s="99" customFormat="1" ht="12.75" customHeight="1" x14ac:dyDescent="0.2">
      <c r="B22" s="95" t="s">
        <v>12</v>
      </c>
      <c r="C22" s="166"/>
      <c r="D22" s="174">
        <v>486677.36953174998</v>
      </c>
      <c r="E22" s="112"/>
      <c r="F22" s="172">
        <v>40984.014527951404</v>
      </c>
      <c r="G22" s="172">
        <v>8.0960852987000003</v>
      </c>
      <c r="H22" s="113"/>
      <c r="I22" s="172">
        <v>439161.60109909001</v>
      </c>
      <c r="J22" s="173">
        <v>89.303519668299998</v>
      </c>
    </row>
    <row r="23" spans="2:10" s="99" customFormat="1" ht="12.75" customHeight="1" x14ac:dyDescent="0.2">
      <c r="B23" s="95" t="s">
        <v>13</v>
      </c>
      <c r="C23" s="166"/>
      <c r="D23" s="174">
        <v>1591929.8333491699</v>
      </c>
      <c r="E23" s="112"/>
      <c r="F23" s="172">
        <v>90494.140017735001</v>
      </c>
      <c r="G23" s="172">
        <v>5.4543700385999996</v>
      </c>
      <c r="H23" s="113"/>
      <c r="I23" s="172">
        <v>1486003.02779937</v>
      </c>
      <c r="J23" s="173">
        <v>92.5662480923</v>
      </c>
    </row>
    <row r="24" spans="2:10" s="99" customFormat="1" ht="12.75" customHeight="1" x14ac:dyDescent="0.2">
      <c r="B24" s="95" t="s">
        <v>14</v>
      </c>
      <c r="C24" s="166"/>
      <c r="D24" s="174">
        <v>921411.88332847599</v>
      </c>
      <c r="E24" s="112"/>
      <c r="F24" s="172">
        <v>42183.211543738398</v>
      </c>
      <c r="G24" s="172">
        <v>4.3301602637999999</v>
      </c>
      <c r="H24" s="113"/>
      <c r="I24" s="172">
        <v>870696.00131961703</v>
      </c>
      <c r="J24" s="173">
        <v>93.900933260299993</v>
      </c>
    </row>
    <row r="25" spans="2:10" s="99" customFormat="1" ht="12.75" customHeight="1" x14ac:dyDescent="0.2">
      <c r="B25" s="95" t="s">
        <v>15</v>
      </c>
      <c r="C25" s="166"/>
      <c r="D25" s="174">
        <v>838173.62633344706</v>
      </c>
      <c r="E25" s="112"/>
      <c r="F25" s="172">
        <v>37681.377490462699</v>
      </c>
      <c r="G25" s="172">
        <v>4.2831484394999997</v>
      </c>
      <c r="H25" s="113"/>
      <c r="I25" s="172">
        <v>791777.08577418095</v>
      </c>
      <c r="J25" s="173">
        <v>93.707141490400005</v>
      </c>
    </row>
    <row r="26" spans="2:10" s="99" customFormat="1" ht="12.75" customHeight="1" x14ac:dyDescent="0.2">
      <c r="B26" s="95" t="s">
        <v>16</v>
      </c>
      <c r="C26" s="166"/>
      <c r="D26" s="174">
        <v>2285893.6428788402</v>
      </c>
      <c r="E26" s="112"/>
      <c r="F26" s="172">
        <v>261015.47005918701</v>
      </c>
      <c r="G26" s="172">
        <v>11.009667543500001</v>
      </c>
      <c r="H26" s="113"/>
      <c r="I26" s="172">
        <v>1995657.52731971</v>
      </c>
      <c r="J26" s="173">
        <v>86.280386461199996</v>
      </c>
    </row>
    <row r="27" spans="2:10" s="99" customFormat="1" ht="12.75" customHeight="1" x14ac:dyDescent="0.2">
      <c r="B27" s="95" t="s">
        <v>17</v>
      </c>
      <c r="C27" s="166"/>
      <c r="D27" s="174">
        <v>4547709.4509218102</v>
      </c>
      <c r="E27" s="112"/>
      <c r="F27" s="172">
        <v>176098.43194947901</v>
      </c>
      <c r="G27" s="172">
        <v>3.7203025955000002</v>
      </c>
      <c r="H27" s="113"/>
      <c r="I27" s="172">
        <v>4338112.1178928297</v>
      </c>
      <c r="J27" s="173">
        <v>94.5081185202</v>
      </c>
    </row>
    <row r="28" spans="2:10" s="99" customFormat="1" ht="12.75" customHeight="1" x14ac:dyDescent="0.2">
      <c r="B28" s="95" t="s">
        <v>18</v>
      </c>
      <c r="C28" s="166"/>
      <c r="D28" s="174">
        <v>1259987.7407158799</v>
      </c>
      <c r="E28" s="112"/>
      <c r="F28" s="172">
        <v>78690.306766700305</v>
      </c>
      <c r="G28" s="172">
        <v>5.9624530986000002</v>
      </c>
      <c r="H28" s="113"/>
      <c r="I28" s="172">
        <v>1168251.24215209</v>
      </c>
      <c r="J28" s="173">
        <v>91.568105686999999</v>
      </c>
    </row>
    <row r="29" spans="2:10" s="99" customFormat="1" ht="12.75" customHeight="1" x14ac:dyDescent="0.2">
      <c r="B29" s="95" t="s">
        <v>19</v>
      </c>
      <c r="C29" s="166"/>
      <c r="D29" s="174">
        <v>560173.66123646696</v>
      </c>
      <c r="E29" s="112"/>
      <c r="F29" s="172">
        <v>21365.3620276207</v>
      </c>
      <c r="G29" s="172">
        <v>3.5842546399000002</v>
      </c>
      <c r="H29" s="113"/>
      <c r="I29" s="172">
        <v>533861.72684308398</v>
      </c>
      <c r="J29" s="173">
        <v>94.686027315199993</v>
      </c>
    </row>
    <row r="30" spans="2:10" s="99" customFormat="1" ht="12.75" customHeight="1" x14ac:dyDescent="0.2">
      <c r="B30" s="95" t="s">
        <v>20</v>
      </c>
      <c r="C30" s="166"/>
      <c r="D30" s="174">
        <v>347904.10328992899</v>
      </c>
      <c r="E30" s="112"/>
      <c r="F30" s="172">
        <v>34110.536768103499</v>
      </c>
      <c r="G30" s="172">
        <v>9.4736922317999994</v>
      </c>
      <c r="H30" s="113"/>
      <c r="I30" s="172">
        <v>309012.77909629501</v>
      </c>
      <c r="J30" s="173">
        <v>87.440379367199995</v>
      </c>
    </row>
    <row r="31" spans="2:10" s="99" customFormat="1" ht="12.75" customHeight="1" x14ac:dyDescent="0.2">
      <c r="B31" s="95" t="s">
        <v>21</v>
      </c>
      <c r="C31" s="166"/>
      <c r="D31" s="174">
        <v>1624578.51222699</v>
      </c>
      <c r="E31" s="112"/>
      <c r="F31" s="172">
        <v>187142.35293310299</v>
      </c>
      <c r="G31" s="172">
        <v>11.0457456854</v>
      </c>
      <c r="H31" s="113"/>
      <c r="I31" s="172">
        <v>1415810.2926201699</v>
      </c>
      <c r="J31" s="173">
        <v>86.135087769400002</v>
      </c>
    </row>
    <row r="32" spans="2:10" s="99" customFormat="1" ht="12.75" customHeight="1" x14ac:dyDescent="0.2">
      <c r="B32" s="95" t="s">
        <v>22</v>
      </c>
      <c r="C32" s="166"/>
      <c r="D32" s="174">
        <v>1070329.5800033601</v>
      </c>
      <c r="E32" s="112"/>
      <c r="F32" s="172">
        <v>60290.2982211528</v>
      </c>
      <c r="G32" s="172">
        <v>5.3586303557999999</v>
      </c>
      <c r="H32" s="113"/>
      <c r="I32" s="172">
        <v>1001299.85828294</v>
      </c>
      <c r="J32" s="173">
        <v>92.378575688500007</v>
      </c>
    </row>
    <row r="33" spans="2:11" s="99" customFormat="1" ht="12.75" customHeight="1" x14ac:dyDescent="0.2">
      <c r="B33" s="95" t="s">
        <v>23</v>
      </c>
      <c r="C33" s="166"/>
      <c r="D33" s="174">
        <v>1676561.4925005699</v>
      </c>
      <c r="E33" s="112"/>
      <c r="F33" s="172">
        <v>61759.965699304797</v>
      </c>
      <c r="G33" s="172">
        <v>3.5308471075000001</v>
      </c>
      <c r="H33" s="113"/>
      <c r="I33" s="172">
        <v>1604805.3699410299</v>
      </c>
      <c r="J33" s="173">
        <v>94.955295721200002</v>
      </c>
    </row>
    <row r="34" spans="2:11" s="99" customFormat="1" ht="12.75" customHeight="1" x14ac:dyDescent="0.2">
      <c r="B34" s="95" t="s">
        <v>24</v>
      </c>
      <c r="C34" s="166"/>
      <c r="D34" s="174">
        <v>625528.25385304994</v>
      </c>
      <c r="E34" s="112"/>
      <c r="F34" s="172">
        <v>59459.265857092003</v>
      </c>
      <c r="G34" s="172">
        <v>8.8119187939000003</v>
      </c>
      <c r="H34" s="113"/>
      <c r="I34" s="172">
        <v>555492.66717574501</v>
      </c>
      <c r="J34" s="173">
        <v>87.491972597300006</v>
      </c>
    </row>
    <row r="35" spans="2:11" s="99" customFormat="1" ht="12.75" customHeight="1" x14ac:dyDescent="0.2">
      <c r="B35" s="95" t="s">
        <v>25</v>
      </c>
      <c r="C35" s="166"/>
      <c r="D35" s="174">
        <v>527598.77748668205</v>
      </c>
      <c r="E35" s="112"/>
      <c r="F35" s="172">
        <v>47843.8119184772</v>
      </c>
      <c r="G35" s="172">
        <v>8.4908874040000004</v>
      </c>
      <c r="H35" s="113"/>
      <c r="I35" s="172">
        <v>473261.80529376399</v>
      </c>
      <c r="J35" s="173">
        <v>88.835223312400004</v>
      </c>
    </row>
    <row r="36" spans="2:11" s="99" customFormat="1" ht="12.75" customHeight="1" x14ac:dyDescent="0.2">
      <c r="B36" s="95" t="s">
        <v>26</v>
      </c>
      <c r="C36" s="166"/>
      <c r="D36" s="174">
        <v>764235.120819801</v>
      </c>
      <c r="E36" s="112"/>
      <c r="F36" s="172">
        <v>45797.0519443718</v>
      </c>
      <c r="G36" s="172">
        <v>5.8194647720999999</v>
      </c>
      <c r="H36" s="113"/>
      <c r="I36" s="172">
        <v>711236.75144846702</v>
      </c>
      <c r="J36" s="173">
        <v>92.234867342100003</v>
      </c>
    </row>
    <row r="37" spans="2:11" s="99" customFormat="1" ht="12.75" customHeight="1" x14ac:dyDescent="0.2">
      <c r="B37" s="95" t="s">
        <v>27</v>
      </c>
      <c r="C37" s="166"/>
      <c r="D37" s="174">
        <v>838857.50812798296</v>
      </c>
      <c r="E37" s="112"/>
      <c r="F37" s="172">
        <v>55944.257269142203</v>
      </c>
      <c r="G37" s="172">
        <v>6.4349670195000002</v>
      </c>
      <c r="H37" s="113"/>
      <c r="I37" s="172">
        <v>773589.04532125301</v>
      </c>
      <c r="J37" s="173">
        <v>91.408101752299999</v>
      </c>
    </row>
    <row r="38" spans="2:11" s="99" customFormat="1" ht="12.75" customHeight="1" x14ac:dyDescent="0.2">
      <c r="B38" s="95" t="s">
        <v>28</v>
      </c>
      <c r="C38" s="166"/>
      <c r="D38" s="174">
        <v>840072.01919721602</v>
      </c>
      <c r="E38" s="112"/>
      <c r="F38" s="172">
        <v>106318.02136393099</v>
      </c>
      <c r="G38" s="172">
        <v>12.039440239099999</v>
      </c>
      <c r="H38" s="113"/>
      <c r="I38" s="172">
        <v>720887.43327243498</v>
      </c>
      <c r="J38" s="173">
        <v>84.871889381599999</v>
      </c>
    </row>
    <row r="39" spans="2:11" s="99" customFormat="1" ht="12.75" customHeight="1" x14ac:dyDescent="0.2">
      <c r="B39" s="95" t="s">
        <v>29</v>
      </c>
      <c r="C39" s="166"/>
      <c r="D39" s="174">
        <v>653153.03028666298</v>
      </c>
      <c r="E39" s="112"/>
      <c r="F39" s="172">
        <v>44494.359615112597</v>
      </c>
      <c r="G39" s="172">
        <v>6.5043682266999996</v>
      </c>
      <c r="H39" s="113"/>
      <c r="I39" s="172">
        <v>601797.83230437303</v>
      </c>
      <c r="J39" s="173">
        <v>90.971580751700003</v>
      </c>
    </row>
    <row r="40" spans="2:11" s="99" customFormat="1" ht="12.75" customHeight="1" x14ac:dyDescent="0.2">
      <c r="B40" s="95" t="s">
        <v>30</v>
      </c>
      <c r="C40" s="166"/>
      <c r="D40" s="174">
        <v>1021285.06711339</v>
      </c>
      <c r="E40" s="112"/>
      <c r="F40" s="172">
        <v>92221.837678801297</v>
      </c>
      <c r="G40" s="172">
        <v>8.7417326847000005</v>
      </c>
      <c r="H40" s="113"/>
      <c r="I40" s="172">
        <v>914022.96496535896</v>
      </c>
      <c r="J40" s="173">
        <v>88.482966972599996</v>
      </c>
    </row>
    <row r="41" spans="2:11" s="99" customFormat="1" ht="12.75" customHeight="1" x14ac:dyDescent="0.2">
      <c r="B41" s="95" t="s">
        <v>31</v>
      </c>
      <c r="C41" s="166"/>
      <c r="D41" s="174">
        <v>332442.06673979003</v>
      </c>
      <c r="E41" s="112"/>
      <c r="F41" s="172">
        <v>8605.0034336192002</v>
      </c>
      <c r="G41" s="172">
        <v>2.4720845726</v>
      </c>
      <c r="H41" s="113"/>
      <c r="I41" s="172">
        <v>321357.13228635001</v>
      </c>
      <c r="J41" s="173">
        <v>96.083547728599996</v>
      </c>
    </row>
    <row r="42" spans="2:11" s="99" customFormat="1" ht="12.75" customHeight="1" x14ac:dyDescent="0.2">
      <c r="B42" s="95" t="s">
        <v>32</v>
      </c>
      <c r="C42" s="166"/>
      <c r="D42" s="174">
        <v>2278818.3027244699</v>
      </c>
      <c r="E42" s="112"/>
      <c r="F42" s="172">
        <v>113370.413191828</v>
      </c>
      <c r="G42" s="172">
        <v>4.7247948934000004</v>
      </c>
      <c r="H42" s="113"/>
      <c r="I42" s="172">
        <v>2142501.7539992402</v>
      </c>
      <c r="J42" s="173">
        <v>93.244482659799999</v>
      </c>
    </row>
    <row r="43" spans="2:11" s="99" customFormat="1" ht="12.75" customHeight="1" x14ac:dyDescent="0.2">
      <c r="B43" s="95" t="s">
        <v>33</v>
      </c>
      <c r="C43" s="166"/>
      <c r="D43" s="174">
        <v>645725.52225283603</v>
      </c>
      <c r="E43" s="112"/>
      <c r="F43" s="172">
        <v>75910.919401387393</v>
      </c>
      <c r="G43" s="172">
        <v>11.305149091700001</v>
      </c>
      <c r="H43" s="113"/>
      <c r="I43" s="172">
        <v>562648.53831157496</v>
      </c>
      <c r="J43" s="173">
        <v>85.842752293499998</v>
      </c>
    </row>
    <row r="44" spans="2:11" s="99" customFormat="1" ht="12.75" customHeight="1" x14ac:dyDescent="0.2">
      <c r="B44" s="95" t="s">
        <v>34</v>
      </c>
      <c r="C44" s="166"/>
      <c r="D44" s="174">
        <v>435924.62865446502</v>
      </c>
      <c r="E44" s="112"/>
      <c r="F44" s="172">
        <v>36216.841369620801</v>
      </c>
      <c r="G44" s="172">
        <v>7.9466118844000002</v>
      </c>
      <c r="H44" s="113"/>
      <c r="I44" s="172">
        <v>394048.34940812399</v>
      </c>
      <c r="J44" s="173">
        <v>89.036721128699995</v>
      </c>
    </row>
    <row r="45" spans="2:11" s="19" customFormat="1" ht="6" customHeight="1" x14ac:dyDescent="0.2">
      <c r="B45" s="15"/>
      <c r="C45" s="16"/>
      <c r="D45" s="138"/>
      <c r="E45" s="138"/>
      <c r="F45" s="138"/>
      <c r="G45" s="138"/>
      <c r="H45" s="138"/>
      <c r="I45" s="138"/>
      <c r="J45" s="138"/>
      <c r="K45" s="18"/>
    </row>
    <row r="46" spans="2:11" s="19" customFormat="1" ht="6" customHeight="1" x14ac:dyDescent="0.2">
      <c r="B46" s="18"/>
      <c r="C46" s="18"/>
      <c r="D46" s="167"/>
      <c r="E46" s="167"/>
      <c r="F46" s="167"/>
      <c r="G46" s="167"/>
      <c r="H46" s="167"/>
      <c r="I46" s="167"/>
      <c r="J46" s="167"/>
      <c r="K46" s="18"/>
    </row>
    <row r="47" spans="2:11" x14ac:dyDescent="0.2">
      <c r="B47" s="109" t="s">
        <v>57</v>
      </c>
    </row>
  </sheetData>
  <mergeCells count="6">
    <mergeCell ref="B5:I5"/>
    <mergeCell ref="B7:B9"/>
    <mergeCell ref="D7:D9"/>
    <mergeCell ref="F7:J7"/>
    <mergeCell ref="F8:G8"/>
    <mergeCell ref="I8:J8"/>
  </mergeCells>
  <hyperlinks>
    <hyperlink ref="J1" location="Índice!A1" tooltip="Ir a ÍNDICE" display="INDICE" xr:uid="{26A94CFE-F890-49D0-977E-B0E00DF227C1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D3012-EB8C-4498-AEEF-88942C7614C0}">
  <dimension ref="B1:S18"/>
  <sheetViews>
    <sheetView showGridLines="0" zoomScaleNormal="100" workbookViewId="0"/>
  </sheetViews>
  <sheetFormatPr baseColWidth="10" defaultColWidth="9.140625" defaultRowHeight="14.25" x14ac:dyDescent="0.2"/>
  <cols>
    <col min="1" max="1" width="1.7109375" style="13" customWidth="1"/>
    <col min="2" max="2" width="32.5703125" style="13" customWidth="1"/>
    <col min="3" max="3" width="1.7109375" style="13" customWidth="1"/>
    <col min="4" max="4" width="17.7109375" style="13" customWidth="1"/>
    <col min="5" max="5" width="1.7109375" style="13" customWidth="1"/>
    <col min="6" max="6" width="17.7109375" style="13" customWidth="1"/>
    <col min="7" max="7" width="1.7109375" style="13" customWidth="1"/>
    <col min="8" max="8" width="17.7109375" style="13" customWidth="1"/>
    <col min="9" max="16384" width="9.140625" style="13"/>
  </cols>
  <sheetData>
    <row r="1" spans="2:19" s="58" customFormat="1" ht="12" customHeight="1" x14ac:dyDescent="0.2">
      <c r="B1" s="640" t="s">
        <v>202</v>
      </c>
      <c r="C1" s="199"/>
      <c r="H1" s="72" t="s">
        <v>151</v>
      </c>
    </row>
    <row r="2" spans="2:19" s="58" customFormat="1" ht="6.95" customHeight="1" x14ac:dyDescent="0.2">
      <c r="B2" s="640"/>
      <c r="C2" s="199"/>
    </row>
    <row r="3" spans="2:19" s="58" customFormat="1" ht="12.75" x14ac:dyDescent="0.2">
      <c r="B3" s="640" t="s">
        <v>199</v>
      </c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</row>
    <row r="4" spans="2:19" s="58" customFormat="1" ht="6.95" customHeight="1" x14ac:dyDescent="0.2"/>
    <row r="5" spans="2:19" s="58" customFormat="1" ht="25.5" customHeight="1" x14ac:dyDescent="0.2">
      <c r="B5" s="668" t="s">
        <v>103</v>
      </c>
      <c r="C5" s="668"/>
      <c r="D5" s="668"/>
      <c r="E5" s="668"/>
      <c r="F5" s="668"/>
      <c r="G5" s="200"/>
      <c r="H5" s="71" t="s">
        <v>102</v>
      </c>
    </row>
    <row r="6" spans="2:19" ht="6" customHeight="1" x14ac:dyDescent="0.2">
      <c r="B6" s="201"/>
      <c r="C6" s="201"/>
      <c r="D6" s="202"/>
      <c r="E6" s="202"/>
      <c r="F6" s="202"/>
      <c r="G6" s="202"/>
      <c r="H6" s="159"/>
    </row>
    <row r="7" spans="2:19" ht="16.5" customHeight="1" x14ac:dyDescent="0.2">
      <c r="B7" s="669" t="s">
        <v>55</v>
      </c>
      <c r="C7" s="187"/>
      <c r="D7" s="671" t="s">
        <v>85</v>
      </c>
      <c r="E7" s="189"/>
      <c r="F7" s="673" t="s">
        <v>83</v>
      </c>
      <c r="G7" s="191"/>
      <c r="H7" s="664" t="s">
        <v>84</v>
      </c>
    </row>
    <row r="8" spans="2:19" ht="23.25" customHeight="1" x14ac:dyDescent="0.2">
      <c r="B8" s="670"/>
      <c r="C8" s="188"/>
      <c r="D8" s="672"/>
      <c r="E8" s="190"/>
      <c r="F8" s="674"/>
      <c r="G8" s="192"/>
      <c r="H8" s="666"/>
    </row>
    <row r="9" spans="2:19" s="19" customFormat="1" ht="6" customHeight="1" x14ac:dyDescent="0.2">
      <c r="B9" s="18"/>
      <c r="C9" s="18"/>
      <c r="D9" s="167"/>
      <c r="E9" s="167"/>
      <c r="F9" s="167"/>
      <c r="G9" s="167"/>
      <c r="H9" s="167"/>
      <c r="I9" s="18"/>
    </row>
    <row r="10" spans="2:19" s="98" customFormat="1" ht="11.25" x14ac:dyDescent="0.2">
      <c r="B10" s="102" t="s">
        <v>35</v>
      </c>
      <c r="C10" s="103"/>
      <c r="D10" s="206">
        <v>2670752.5745198098</v>
      </c>
      <c r="E10" s="133"/>
      <c r="F10" s="206">
        <v>2277616.76418444</v>
      </c>
      <c r="G10" s="133"/>
      <c r="H10" s="206">
        <v>363023.79496359703</v>
      </c>
      <c r="I10" s="103"/>
      <c r="J10" s="103"/>
      <c r="K10" s="103"/>
    </row>
    <row r="11" spans="2:19" s="99" customFormat="1" ht="6" customHeight="1" x14ac:dyDescent="0.2">
      <c r="B11" s="203"/>
      <c r="C11" s="104"/>
      <c r="D11" s="134"/>
      <c r="E11" s="134"/>
      <c r="F11" s="134"/>
      <c r="G11" s="134"/>
      <c r="H11" s="134"/>
      <c r="I11" s="104"/>
      <c r="J11" s="104"/>
      <c r="K11" s="104"/>
    </row>
    <row r="12" spans="2:19" s="99" customFormat="1" ht="15" customHeight="1" x14ac:dyDescent="0.2">
      <c r="B12" s="184" t="s">
        <v>36</v>
      </c>
      <c r="C12" s="104"/>
      <c r="D12" s="205">
        <v>313825.64948694099</v>
      </c>
      <c r="E12" s="134"/>
      <c r="F12" s="205">
        <v>277784.27132077899</v>
      </c>
      <c r="G12" s="134"/>
      <c r="H12" s="205">
        <v>28056.808042393201</v>
      </c>
      <c r="I12" s="104"/>
      <c r="J12" s="104"/>
      <c r="K12" s="104"/>
    </row>
    <row r="13" spans="2:19" s="104" customFormat="1" ht="15" customHeight="1" x14ac:dyDescent="0.2">
      <c r="B13" s="184" t="s">
        <v>37</v>
      </c>
      <c r="C13" s="184"/>
      <c r="D13" s="208">
        <v>256616.26347112001</v>
      </c>
      <c r="E13" s="135"/>
      <c r="F13" s="204">
        <v>209526.65211177699</v>
      </c>
      <c r="G13" s="136"/>
      <c r="H13" s="207">
        <v>37082.6949830101</v>
      </c>
    </row>
    <row r="14" spans="2:19" s="104" customFormat="1" ht="15" customHeight="1" x14ac:dyDescent="0.2">
      <c r="B14" s="186" t="s">
        <v>38</v>
      </c>
      <c r="C14" s="186"/>
      <c r="D14" s="208">
        <v>430603.99053755403</v>
      </c>
      <c r="E14" s="135"/>
      <c r="F14" s="204">
        <v>367228.17539344699</v>
      </c>
      <c r="G14" s="136"/>
      <c r="H14" s="207">
        <v>49328.466030510099</v>
      </c>
    </row>
    <row r="15" spans="2:19" s="104" customFormat="1" ht="15" customHeight="1" x14ac:dyDescent="0.2">
      <c r="B15" s="186" t="s">
        <v>56</v>
      </c>
      <c r="C15" s="186"/>
      <c r="D15" s="208">
        <v>1588653.40195268</v>
      </c>
      <c r="E15" s="135"/>
      <c r="F15" s="204">
        <v>1345595.75818486</v>
      </c>
      <c r="G15" s="136"/>
      <c r="H15" s="207">
        <v>219838.47875962799</v>
      </c>
    </row>
    <row r="16" spans="2:19" s="19" customFormat="1" ht="6" customHeight="1" x14ac:dyDescent="0.2">
      <c r="B16" s="15"/>
      <c r="C16" s="16"/>
      <c r="D16" s="17"/>
      <c r="E16" s="17"/>
      <c r="F16" s="17"/>
      <c r="G16" s="17"/>
      <c r="H16" s="17"/>
      <c r="I16" s="18"/>
    </row>
    <row r="17" spans="2:9" s="19" customFormat="1" ht="6" customHeight="1" x14ac:dyDescent="0.2">
      <c r="B17" s="18"/>
      <c r="C17" s="18"/>
      <c r="D17" s="167"/>
      <c r="E17" s="167"/>
      <c r="F17" s="167"/>
      <c r="G17" s="167"/>
      <c r="H17" s="167"/>
      <c r="I17" s="18"/>
    </row>
    <row r="18" spans="2:9" x14ac:dyDescent="0.2">
      <c r="B18" s="109" t="s">
        <v>57</v>
      </c>
    </row>
  </sheetData>
  <mergeCells count="5">
    <mergeCell ref="B5:F5"/>
    <mergeCell ref="B7:B8"/>
    <mergeCell ref="D7:D8"/>
    <mergeCell ref="F7:F8"/>
    <mergeCell ref="H7:H8"/>
  </mergeCells>
  <hyperlinks>
    <hyperlink ref="H1" location="Índice!A1" tooltip="Ir a ÍNDICE" display="INDICE" xr:uid="{A6A0BA2A-6AB2-48BF-A4E0-A3194C85AC0D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D8EB2-6623-4F21-9BF2-9F0AAB2B8D84}">
  <dimension ref="B1:S46"/>
  <sheetViews>
    <sheetView showGridLines="0" zoomScaleNormal="100" workbookViewId="0"/>
  </sheetViews>
  <sheetFormatPr baseColWidth="10" defaultColWidth="9.140625" defaultRowHeight="14.25" x14ac:dyDescent="0.2"/>
  <cols>
    <col min="1" max="1" width="1.7109375" style="13" customWidth="1"/>
    <col min="2" max="2" width="32.5703125" style="13" customWidth="1"/>
    <col min="3" max="3" width="1.7109375" style="13" customWidth="1"/>
    <col min="4" max="4" width="17.7109375" style="13" customWidth="1"/>
    <col min="5" max="5" width="1.7109375" style="13" customWidth="1"/>
    <col min="6" max="6" width="16.28515625" style="13" customWidth="1"/>
    <col min="7" max="7" width="1.7109375" style="13" customWidth="1"/>
    <col min="8" max="8" width="17.7109375" style="13" customWidth="1"/>
    <col min="9" max="16384" width="9.140625" style="13"/>
  </cols>
  <sheetData>
    <row r="1" spans="2:19" s="58" customFormat="1" ht="12" customHeight="1" x14ac:dyDescent="0.2">
      <c r="B1" s="640" t="s">
        <v>202</v>
      </c>
      <c r="C1" s="211"/>
      <c r="H1" s="72" t="s">
        <v>151</v>
      </c>
    </row>
    <row r="2" spans="2:19" s="58" customFormat="1" ht="6.95" customHeight="1" x14ac:dyDescent="0.2">
      <c r="B2" s="640"/>
      <c r="C2" s="211"/>
    </row>
    <row r="3" spans="2:19" s="58" customFormat="1" ht="12.75" x14ac:dyDescent="0.2">
      <c r="B3" s="640" t="s">
        <v>199</v>
      </c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211"/>
      <c r="S3" s="211"/>
    </row>
    <row r="4" spans="2:19" s="58" customFormat="1" ht="6.95" customHeight="1" x14ac:dyDescent="0.2"/>
    <row r="5" spans="2:19" s="58" customFormat="1" ht="25.5" customHeight="1" x14ac:dyDescent="0.2">
      <c r="B5" s="668" t="s">
        <v>104</v>
      </c>
      <c r="C5" s="668"/>
      <c r="D5" s="668"/>
      <c r="E5" s="668"/>
      <c r="F5" s="668"/>
      <c r="G5" s="198"/>
      <c r="H5" s="71" t="s">
        <v>105</v>
      </c>
    </row>
    <row r="6" spans="2:19" ht="6" customHeight="1" x14ac:dyDescent="0.2">
      <c r="B6" s="157"/>
      <c r="C6" s="157"/>
      <c r="D6" s="158"/>
      <c r="E6" s="158"/>
      <c r="F6" s="158"/>
      <c r="G6" s="158"/>
      <c r="H6" s="159"/>
    </row>
    <row r="7" spans="2:19" ht="16.5" customHeight="1" x14ac:dyDescent="0.2">
      <c r="B7" s="661" t="s">
        <v>76</v>
      </c>
      <c r="C7" s="194"/>
      <c r="D7" s="664" t="s">
        <v>85</v>
      </c>
      <c r="E7" s="196"/>
      <c r="F7" s="664" t="s">
        <v>83</v>
      </c>
      <c r="G7" s="196"/>
      <c r="H7" s="664" t="s">
        <v>84</v>
      </c>
    </row>
    <row r="8" spans="2:19" ht="23.25" customHeight="1" x14ac:dyDescent="0.2">
      <c r="B8" s="663"/>
      <c r="C8" s="195"/>
      <c r="D8" s="666"/>
      <c r="E8" s="197"/>
      <c r="F8" s="666"/>
      <c r="G8" s="197"/>
      <c r="H8" s="666"/>
    </row>
    <row r="9" spans="2:19" s="19" customFormat="1" ht="6" customHeight="1" x14ac:dyDescent="0.2">
      <c r="B9" s="162"/>
      <c r="C9" s="162"/>
      <c r="D9" s="27"/>
      <c r="E9" s="27"/>
      <c r="F9" s="27"/>
      <c r="G9" s="27"/>
      <c r="H9" s="27"/>
      <c r="I9" s="14"/>
      <c r="J9" s="14"/>
      <c r="K9" s="14"/>
      <c r="L9" s="14"/>
    </row>
    <row r="10" spans="2:19" s="98" customFormat="1" ht="11.25" x14ac:dyDescent="0.2">
      <c r="B10" s="97" t="s">
        <v>35</v>
      </c>
      <c r="C10" s="164"/>
      <c r="D10" s="148">
        <v>2670752.5745198098</v>
      </c>
      <c r="E10" s="114"/>
      <c r="F10" s="148">
        <v>2277616.76418444</v>
      </c>
      <c r="G10" s="114"/>
      <c r="H10" s="148">
        <v>363023.79496359703</v>
      </c>
    </row>
    <row r="11" spans="2:19" s="99" customFormat="1" ht="6" customHeight="1" x14ac:dyDescent="0.2">
      <c r="B11" s="164"/>
      <c r="C11" s="164"/>
      <c r="D11" s="115"/>
      <c r="E11" s="115"/>
      <c r="F11" s="115"/>
      <c r="G11" s="115"/>
      <c r="H11" s="115"/>
    </row>
    <row r="12" spans="2:19" s="99" customFormat="1" ht="12.75" customHeight="1" x14ac:dyDescent="0.2">
      <c r="B12" s="95" t="s">
        <v>3</v>
      </c>
      <c r="C12" s="165"/>
      <c r="D12" s="150">
        <v>41567.678095332099</v>
      </c>
      <c r="E12" s="115"/>
      <c r="F12" s="150">
        <v>29024.915818905902</v>
      </c>
      <c r="G12" s="115"/>
      <c r="H12" s="150">
        <v>9984.4088127868999</v>
      </c>
    </row>
    <row r="13" spans="2:19" s="99" customFormat="1" ht="12.75" customHeight="1" x14ac:dyDescent="0.2">
      <c r="B13" s="95" t="s">
        <v>4</v>
      </c>
      <c r="C13" s="165"/>
      <c r="D13" s="150">
        <v>98267.239815831505</v>
      </c>
      <c r="E13" s="115"/>
      <c r="F13" s="150">
        <v>83944.388297953599</v>
      </c>
      <c r="G13" s="115"/>
      <c r="H13" s="150">
        <v>9362.5211604289998</v>
      </c>
    </row>
    <row r="14" spans="2:19" s="99" customFormat="1" ht="12.75" customHeight="1" x14ac:dyDescent="0.2">
      <c r="B14" s="95" t="s">
        <v>5</v>
      </c>
      <c r="C14" s="165"/>
      <c r="D14" s="150">
        <v>18868.800725220601</v>
      </c>
      <c r="E14" s="115"/>
      <c r="F14" s="150">
        <v>14962.6117119172</v>
      </c>
      <c r="G14" s="115"/>
      <c r="H14" s="150">
        <v>2777.0175284516999</v>
      </c>
    </row>
    <row r="15" spans="2:19" s="99" customFormat="1" ht="12.75" customHeight="1" x14ac:dyDescent="0.2">
      <c r="B15" s="95" t="s">
        <v>6</v>
      </c>
      <c r="C15" s="165"/>
      <c r="D15" s="171">
        <v>17561.976657584601</v>
      </c>
      <c r="E15" s="110"/>
      <c r="F15" s="169">
        <v>11918.197046986101</v>
      </c>
      <c r="G15" s="111"/>
      <c r="H15" s="170">
        <v>4242.1509036879997</v>
      </c>
    </row>
    <row r="16" spans="2:19" s="99" customFormat="1" ht="12.75" customHeight="1" x14ac:dyDescent="0.2">
      <c r="B16" s="95" t="s">
        <v>7</v>
      </c>
      <c r="C16" s="165"/>
      <c r="D16" s="171">
        <v>63192.7581613527</v>
      </c>
      <c r="E16" s="110"/>
      <c r="F16" s="169">
        <v>46272.089212571998</v>
      </c>
      <c r="G16" s="111"/>
      <c r="H16" s="170">
        <v>13284.3509529195</v>
      </c>
    </row>
    <row r="17" spans="2:8" s="99" customFormat="1" ht="12.75" customHeight="1" x14ac:dyDescent="0.2">
      <c r="B17" s="95" t="s">
        <v>8</v>
      </c>
      <c r="C17" s="165"/>
      <c r="D17" s="171">
        <v>22391.5563655802</v>
      </c>
      <c r="E17" s="110"/>
      <c r="F17" s="169">
        <v>19082.6123305894</v>
      </c>
      <c r="G17" s="111"/>
      <c r="H17" s="170">
        <v>2462.3395915654</v>
      </c>
    </row>
    <row r="18" spans="2:8" s="99" customFormat="1" ht="12.75" customHeight="1" x14ac:dyDescent="0.2">
      <c r="B18" s="95" t="s">
        <v>9</v>
      </c>
      <c r="C18" s="165"/>
      <c r="D18" s="171">
        <v>56914.146322506902</v>
      </c>
      <c r="E18" s="110"/>
      <c r="F18" s="169">
        <v>52170.039596629198</v>
      </c>
      <c r="G18" s="111"/>
      <c r="H18" s="170">
        <v>1770.0235841576</v>
      </c>
    </row>
    <row r="19" spans="2:8" s="99" customFormat="1" ht="12.75" customHeight="1" x14ac:dyDescent="0.2">
      <c r="B19" s="95" t="s">
        <v>10</v>
      </c>
      <c r="C19" s="165"/>
      <c r="D19" s="171">
        <v>78748.3668684601</v>
      </c>
      <c r="E19" s="110"/>
      <c r="F19" s="169">
        <v>68565.787453094905</v>
      </c>
      <c r="G19" s="111"/>
      <c r="H19" s="170">
        <v>5754.1819217933999</v>
      </c>
    </row>
    <row r="20" spans="2:8" s="99" customFormat="1" ht="12.75" customHeight="1" x14ac:dyDescent="0.2">
      <c r="B20" s="95" t="s">
        <v>11</v>
      </c>
      <c r="C20" s="165"/>
      <c r="D20" s="171">
        <v>159689.68517702399</v>
      </c>
      <c r="E20" s="110"/>
      <c r="F20" s="169">
        <v>141522.722102353</v>
      </c>
      <c r="G20" s="111"/>
      <c r="H20" s="170">
        <v>8610.7363334771999</v>
      </c>
    </row>
    <row r="21" spans="2:8" s="99" customFormat="1" ht="12.75" customHeight="1" x14ac:dyDescent="0.2">
      <c r="B21" s="95" t="s">
        <v>12</v>
      </c>
      <c r="C21" s="165"/>
      <c r="D21" s="171">
        <v>40984.014527951404</v>
      </c>
      <c r="E21" s="110"/>
      <c r="F21" s="169">
        <v>35479.884737619999</v>
      </c>
      <c r="G21" s="111"/>
      <c r="H21" s="170">
        <v>3648.1297171030001</v>
      </c>
    </row>
    <row r="22" spans="2:8" s="99" customFormat="1" ht="12.75" customHeight="1" x14ac:dyDescent="0.2">
      <c r="B22" s="95" t="s">
        <v>13</v>
      </c>
      <c r="C22" s="165"/>
      <c r="D22" s="171">
        <v>90494.140017735001</v>
      </c>
      <c r="E22" s="110"/>
      <c r="F22" s="169">
        <v>72782.5707496135</v>
      </c>
      <c r="G22" s="111"/>
      <c r="H22" s="170">
        <v>12455.4107157334</v>
      </c>
    </row>
    <row r="23" spans="2:8" s="99" customFormat="1" ht="12.75" customHeight="1" x14ac:dyDescent="0.2">
      <c r="B23" s="95" t="s">
        <v>14</v>
      </c>
      <c r="C23" s="165"/>
      <c r="D23" s="171">
        <v>42183.211543738398</v>
      </c>
      <c r="E23" s="110"/>
      <c r="F23" s="169">
        <v>36733.844540040802</v>
      </c>
      <c r="G23" s="111"/>
      <c r="H23" s="170">
        <v>2826.640261085</v>
      </c>
    </row>
    <row r="24" spans="2:8" s="99" customFormat="1" ht="12.75" customHeight="1" x14ac:dyDescent="0.2">
      <c r="B24" s="95" t="s">
        <v>15</v>
      </c>
      <c r="C24" s="165"/>
      <c r="D24" s="171">
        <v>37681.377490462699</v>
      </c>
      <c r="E24" s="110"/>
      <c r="F24" s="169">
        <v>29925.472927019</v>
      </c>
      <c r="G24" s="111"/>
      <c r="H24" s="170">
        <v>4841.1279962821</v>
      </c>
    </row>
    <row r="25" spans="2:8" s="99" customFormat="1" ht="12.75" customHeight="1" x14ac:dyDescent="0.2">
      <c r="B25" s="95" t="s">
        <v>16</v>
      </c>
      <c r="C25" s="165"/>
      <c r="D25" s="171">
        <v>261015.47005918701</v>
      </c>
      <c r="E25" s="110"/>
      <c r="F25" s="169">
        <v>219283.57182119499</v>
      </c>
      <c r="G25" s="111"/>
      <c r="H25" s="170">
        <v>29921.8248807485</v>
      </c>
    </row>
    <row r="26" spans="2:8" s="99" customFormat="1" ht="12.75" customHeight="1" x14ac:dyDescent="0.2">
      <c r="B26" s="95" t="s">
        <v>17</v>
      </c>
      <c r="C26" s="165"/>
      <c r="D26" s="171">
        <v>176098.43194947901</v>
      </c>
      <c r="E26" s="110"/>
      <c r="F26" s="169">
        <v>148929.70320494301</v>
      </c>
      <c r="G26" s="111"/>
      <c r="H26" s="170">
        <v>11090.240495206201</v>
      </c>
    </row>
    <row r="27" spans="2:8" s="99" customFormat="1" ht="12.75" customHeight="1" x14ac:dyDescent="0.2">
      <c r="B27" s="95" t="s">
        <v>18</v>
      </c>
      <c r="C27" s="165"/>
      <c r="D27" s="171">
        <v>78690.306766700305</v>
      </c>
      <c r="E27" s="110"/>
      <c r="F27" s="169">
        <v>59736.752365091503</v>
      </c>
      <c r="G27" s="111"/>
      <c r="H27" s="170">
        <v>12693.905004250601</v>
      </c>
    </row>
    <row r="28" spans="2:8" s="99" customFormat="1" ht="12.75" customHeight="1" x14ac:dyDescent="0.2">
      <c r="B28" s="95" t="s">
        <v>19</v>
      </c>
      <c r="C28" s="165"/>
      <c r="D28" s="171">
        <v>21365.3620276207</v>
      </c>
      <c r="E28" s="110"/>
      <c r="F28" s="169">
        <v>14112.6478061121</v>
      </c>
      <c r="G28" s="111"/>
      <c r="H28" s="170">
        <v>5090.2362196373997</v>
      </c>
    </row>
    <row r="29" spans="2:8" s="99" customFormat="1" ht="12.75" customHeight="1" x14ac:dyDescent="0.2">
      <c r="B29" s="95" t="s">
        <v>20</v>
      </c>
      <c r="C29" s="165"/>
      <c r="D29" s="171">
        <v>34110.536768103499</v>
      </c>
      <c r="E29" s="110"/>
      <c r="F29" s="169">
        <v>29067.759753577699</v>
      </c>
      <c r="G29" s="111"/>
      <c r="H29" s="170">
        <v>3937.527004133</v>
      </c>
    </row>
    <row r="30" spans="2:8" s="99" customFormat="1" ht="12.75" customHeight="1" x14ac:dyDescent="0.2">
      <c r="B30" s="95" t="s">
        <v>21</v>
      </c>
      <c r="C30" s="165"/>
      <c r="D30" s="171">
        <v>187142.35293310299</v>
      </c>
      <c r="E30" s="110"/>
      <c r="F30" s="169">
        <v>156423.435156967</v>
      </c>
      <c r="G30" s="111"/>
      <c r="H30" s="170">
        <v>21913.7322246236</v>
      </c>
    </row>
    <row r="31" spans="2:8" s="99" customFormat="1" ht="12.75" customHeight="1" x14ac:dyDescent="0.2">
      <c r="B31" s="95" t="s">
        <v>22</v>
      </c>
      <c r="C31" s="165"/>
      <c r="D31" s="171">
        <v>60290.2982211528</v>
      </c>
      <c r="E31" s="110"/>
      <c r="F31" s="169">
        <v>53456.956411712803</v>
      </c>
      <c r="G31" s="111"/>
      <c r="H31" s="170">
        <v>3678.7168554353002</v>
      </c>
    </row>
    <row r="32" spans="2:8" s="99" customFormat="1" ht="12.75" customHeight="1" x14ac:dyDescent="0.2">
      <c r="B32" s="95" t="s">
        <v>23</v>
      </c>
      <c r="C32" s="165"/>
      <c r="D32" s="171">
        <v>61759.965699304797</v>
      </c>
      <c r="E32" s="110"/>
      <c r="F32" s="169">
        <v>53324.024930251398</v>
      </c>
      <c r="G32" s="111"/>
      <c r="H32" s="170">
        <v>4650.0851064593999</v>
      </c>
    </row>
    <row r="33" spans="2:9" s="99" customFormat="1" ht="12.75" customHeight="1" x14ac:dyDescent="0.2">
      <c r="B33" s="95" t="s">
        <v>24</v>
      </c>
      <c r="C33" s="165"/>
      <c r="D33" s="171">
        <v>59459.265857092003</v>
      </c>
      <c r="E33" s="110"/>
      <c r="F33" s="169">
        <v>46977.683918678798</v>
      </c>
      <c r="G33" s="111"/>
      <c r="H33" s="170">
        <v>8618.5229143250999</v>
      </c>
    </row>
    <row r="34" spans="2:9" s="99" customFormat="1" ht="12.75" customHeight="1" x14ac:dyDescent="0.2">
      <c r="B34" s="95" t="s">
        <v>25</v>
      </c>
      <c r="C34" s="165"/>
      <c r="D34" s="171">
        <v>47843.8119184772</v>
      </c>
      <c r="E34" s="110"/>
      <c r="F34" s="169">
        <v>41508.703068848401</v>
      </c>
      <c r="G34" s="111"/>
      <c r="H34" s="170">
        <v>4008.541848326</v>
      </c>
    </row>
    <row r="35" spans="2:9" s="99" customFormat="1" ht="12.75" customHeight="1" x14ac:dyDescent="0.2">
      <c r="B35" s="95" t="s">
        <v>26</v>
      </c>
      <c r="C35" s="165"/>
      <c r="D35" s="171">
        <v>45797.0519443718</v>
      </c>
      <c r="E35" s="110"/>
      <c r="F35" s="169">
        <v>33522.159983628597</v>
      </c>
      <c r="G35" s="111"/>
      <c r="H35" s="170">
        <v>8913.7286264172999</v>
      </c>
    </row>
    <row r="36" spans="2:9" s="99" customFormat="1" ht="12.75" customHeight="1" x14ac:dyDescent="0.2">
      <c r="B36" s="95" t="s">
        <v>27</v>
      </c>
      <c r="C36" s="165"/>
      <c r="D36" s="171">
        <v>55944.257269142203</v>
      </c>
      <c r="E36" s="110"/>
      <c r="F36" s="169">
        <v>49387.988001236998</v>
      </c>
      <c r="G36" s="111"/>
      <c r="H36" s="170">
        <v>3828.2839425407001</v>
      </c>
    </row>
    <row r="37" spans="2:9" s="99" customFormat="1" ht="12.75" customHeight="1" x14ac:dyDescent="0.2">
      <c r="B37" s="95" t="s">
        <v>28</v>
      </c>
      <c r="C37" s="165"/>
      <c r="D37" s="171">
        <v>106318.02136393099</v>
      </c>
      <c r="E37" s="110"/>
      <c r="F37" s="169">
        <v>89200.360564480201</v>
      </c>
      <c r="G37" s="111"/>
      <c r="H37" s="170">
        <v>11945.9121437631</v>
      </c>
    </row>
    <row r="38" spans="2:9" s="99" customFormat="1" ht="12.75" customHeight="1" x14ac:dyDescent="0.2">
      <c r="B38" s="95" t="s">
        <v>29</v>
      </c>
      <c r="C38" s="165"/>
      <c r="D38" s="171">
        <v>44494.359615112597</v>
      </c>
      <c r="E38" s="110"/>
      <c r="F38" s="169">
        <v>39534.817861698997</v>
      </c>
      <c r="G38" s="111"/>
      <c r="H38" s="170">
        <v>2705.1521552836998</v>
      </c>
    </row>
    <row r="39" spans="2:9" s="99" customFormat="1" ht="12.75" customHeight="1" x14ac:dyDescent="0.2">
      <c r="B39" s="95" t="s">
        <v>30</v>
      </c>
      <c r="C39" s="165"/>
      <c r="D39" s="171">
        <v>92221.837678801297</v>
      </c>
      <c r="E39" s="110"/>
      <c r="F39" s="169">
        <v>82553.860836140593</v>
      </c>
      <c r="G39" s="111"/>
      <c r="H39" s="170">
        <v>5670.6195043294001</v>
      </c>
    </row>
    <row r="40" spans="2:9" s="99" customFormat="1" ht="12.75" customHeight="1" x14ac:dyDescent="0.2">
      <c r="B40" s="95" t="s">
        <v>31</v>
      </c>
      <c r="C40" s="165"/>
      <c r="D40" s="171">
        <v>8605.0034336192002</v>
      </c>
      <c r="E40" s="110"/>
      <c r="F40" s="169">
        <v>7425.1595918876001</v>
      </c>
      <c r="G40" s="111"/>
      <c r="H40" s="170">
        <v>413.43887916749998</v>
      </c>
    </row>
    <row r="41" spans="2:9" s="99" customFormat="1" ht="12.75" customHeight="1" x14ac:dyDescent="0.2">
      <c r="B41" s="95" t="s">
        <v>32</v>
      </c>
      <c r="C41" s="165"/>
      <c r="D41" s="171">
        <v>113370.413191828</v>
      </c>
      <c r="E41" s="110"/>
      <c r="F41" s="169">
        <v>100326.410165411</v>
      </c>
      <c r="G41" s="111"/>
      <c r="H41" s="170">
        <v>6495.2934363089998</v>
      </c>
    </row>
    <row r="42" spans="2:9" s="99" customFormat="1" ht="12.75" customHeight="1" x14ac:dyDescent="0.2">
      <c r="B42" s="95" t="s">
        <v>33</v>
      </c>
      <c r="C42" s="165"/>
      <c r="D42" s="171">
        <v>75910.919401387393</v>
      </c>
      <c r="E42" s="110"/>
      <c r="F42" s="169">
        <v>66525.528388154198</v>
      </c>
      <c r="G42" s="111"/>
      <c r="H42" s="170">
        <v>6298.9340134025997</v>
      </c>
    </row>
    <row r="43" spans="2:9" s="99" customFormat="1" ht="12.75" customHeight="1" x14ac:dyDescent="0.2">
      <c r="B43" s="95" t="s">
        <v>34</v>
      </c>
      <c r="C43" s="165"/>
      <c r="D43" s="171">
        <v>36216.841369620801</v>
      </c>
      <c r="E43" s="110"/>
      <c r="F43" s="169">
        <v>29422.911541457299</v>
      </c>
      <c r="G43" s="111"/>
      <c r="H43" s="170">
        <v>4737.3678901597996</v>
      </c>
    </row>
    <row r="44" spans="2:9" s="19" customFormat="1" ht="6" customHeight="1" x14ac:dyDescent="0.2">
      <c r="B44" s="28"/>
      <c r="C44" s="29"/>
      <c r="D44" s="30"/>
      <c r="E44" s="30"/>
      <c r="F44" s="30"/>
      <c r="G44" s="30"/>
      <c r="H44" s="30"/>
      <c r="I44" s="18"/>
    </row>
    <row r="45" spans="2:9" s="19" customFormat="1" ht="6" customHeight="1" x14ac:dyDescent="0.2">
      <c r="B45" s="162"/>
      <c r="C45" s="162"/>
      <c r="D45" s="183"/>
      <c r="E45" s="183"/>
      <c r="F45" s="183"/>
      <c r="G45" s="183"/>
      <c r="H45" s="183"/>
      <c r="I45" s="18"/>
    </row>
    <row r="46" spans="2:9" x14ac:dyDescent="0.2">
      <c r="B46" s="109" t="s">
        <v>57</v>
      </c>
    </row>
  </sheetData>
  <mergeCells count="5">
    <mergeCell ref="B5:F5"/>
    <mergeCell ref="B7:B8"/>
    <mergeCell ref="D7:D8"/>
    <mergeCell ref="F7:F8"/>
    <mergeCell ref="H7:H8"/>
  </mergeCells>
  <hyperlinks>
    <hyperlink ref="H1" location="Índice!A1" tooltip="Ir a ÍNDICE" display="INDICE" xr:uid="{78FC756C-29EF-4906-89DB-885F816A4A05}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001FA-5072-404D-804B-10C86A922A90}">
  <dimension ref="B1:S47"/>
  <sheetViews>
    <sheetView showGridLines="0" zoomScaleNormal="100" workbookViewId="0"/>
  </sheetViews>
  <sheetFormatPr baseColWidth="10" defaultColWidth="11.42578125" defaultRowHeight="15" x14ac:dyDescent="0.25"/>
  <cols>
    <col min="1" max="1" width="1.7109375" style="218" customWidth="1"/>
    <col min="2" max="2" width="31.85546875" style="218" customWidth="1"/>
    <col min="3" max="3" width="35.85546875" style="217" customWidth="1"/>
    <col min="4" max="4" width="14.5703125" style="218" customWidth="1"/>
    <col min="5" max="16384" width="11.42578125" style="218"/>
  </cols>
  <sheetData>
    <row r="1" spans="2:19" s="213" customFormat="1" ht="12" customHeight="1" x14ac:dyDescent="0.2">
      <c r="B1" s="640" t="s">
        <v>202</v>
      </c>
      <c r="D1" s="72" t="s">
        <v>151</v>
      </c>
    </row>
    <row r="2" spans="2:19" s="213" customFormat="1" ht="6.95" customHeight="1" x14ac:dyDescent="0.2">
      <c r="B2" s="640"/>
    </row>
    <row r="3" spans="2:19" s="213" customFormat="1" ht="15" customHeight="1" x14ac:dyDescent="0.2">
      <c r="B3" s="640" t="s">
        <v>199</v>
      </c>
      <c r="C3" s="212"/>
      <c r="D3" s="212"/>
      <c r="E3" s="212"/>
      <c r="F3" s="212"/>
      <c r="G3" s="212"/>
      <c r="H3" s="212"/>
      <c r="I3" s="212"/>
      <c r="J3" s="212"/>
      <c r="K3" s="212"/>
      <c r="L3" s="212"/>
      <c r="M3" s="212"/>
      <c r="N3" s="212"/>
      <c r="O3" s="212"/>
      <c r="P3" s="212"/>
      <c r="Q3" s="212"/>
      <c r="R3" s="212"/>
      <c r="S3" s="212"/>
    </row>
    <row r="4" spans="2:19" s="213" customFormat="1" ht="6.95" customHeight="1" x14ac:dyDescent="0.2">
      <c r="C4" s="214"/>
    </row>
    <row r="5" spans="2:19" s="213" customFormat="1" ht="25.5" customHeight="1" x14ac:dyDescent="0.2">
      <c r="B5" s="215" t="s">
        <v>89</v>
      </c>
      <c r="C5" s="215"/>
      <c r="D5" s="71" t="s">
        <v>106</v>
      </c>
    </row>
    <row r="6" spans="2:19" ht="6" customHeight="1" x14ac:dyDescent="0.25">
      <c r="B6" s="216"/>
    </row>
    <row r="7" spans="2:19" ht="6.95" customHeight="1" x14ac:dyDescent="0.25">
      <c r="B7" s="675" t="s">
        <v>76</v>
      </c>
      <c r="C7" s="209"/>
      <c r="D7" s="678" t="s">
        <v>90</v>
      </c>
    </row>
    <row r="8" spans="2:19" ht="24.75" customHeight="1" x14ac:dyDescent="0.25">
      <c r="B8" s="676"/>
      <c r="C8" s="219"/>
      <c r="D8" s="679"/>
    </row>
    <row r="9" spans="2:19" ht="6.95" customHeight="1" x14ac:dyDescent="0.25">
      <c r="B9" s="677"/>
      <c r="C9" s="210"/>
      <c r="D9" s="680"/>
    </row>
    <row r="10" spans="2:19" ht="6" customHeight="1" x14ac:dyDescent="0.25">
      <c r="B10" s="10"/>
      <c r="C10" s="220"/>
    </row>
    <row r="11" spans="2:19" s="222" customFormat="1" ht="11.25" x14ac:dyDescent="0.2">
      <c r="B11" s="96" t="s">
        <v>2</v>
      </c>
      <c r="C11" s="221"/>
      <c r="D11" s="231">
        <v>3142013.3058453002</v>
      </c>
    </row>
    <row r="12" spans="2:19" s="225" customFormat="1" ht="6" customHeight="1" x14ac:dyDescent="0.2">
      <c r="B12" s="96"/>
      <c r="C12" s="223"/>
      <c r="D12" s="224"/>
    </row>
    <row r="13" spans="2:19" s="225" customFormat="1" ht="12.75" customHeight="1" x14ac:dyDescent="0.2">
      <c r="B13" s="95" t="s">
        <v>3</v>
      </c>
      <c r="C13" s="223"/>
      <c r="D13" s="230">
        <v>56121.616481217497</v>
      </c>
    </row>
    <row r="14" spans="2:19" s="225" customFormat="1" ht="12.75" customHeight="1" x14ac:dyDescent="0.2">
      <c r="B14" s="95" t="s">
        <v>4</v>
      </c>
      <c r="C14" s="223"/>
      <c r="D14" s="230">
        <v>116274.02377509</v>
      </c>
    </row>
    <row r="15" spans="2:19" s="225" customFormat="1" ht="12.75" customHeight="1" x14ac:dyDescent="0.2">
      <c r="B15" s="95" t="s">
        <v>5</v>
      </c>
      <c r="C15" s="223"/>
      <c r="D15" s="230">
        <v>22946.674945893199</v>
      </c>
    </row>
    <row r="16" spans="2:19" s="225" customFormat="1" ht="12.75" customHeight="1" x14ac:dyDescent="0.2">
      <c r="B16" s="95" t="s">
        <v>6</v>
      </c>
      <c r="C16" s="223"/>
      <c r="D16" s="230">
        <v>24101.457219661199</v>
      </c>
    </row>
    <row r="17" spans="2:4" s="225" customFormat="1" ht="12.75" customHeight="1" x14ac:dyDescent="0.2">
      <c r="B17" s="95" t="s">
        <v>7</v>
      </c>
      <c r="C17" s="223"/>
      <c r="D17" s="230">
        <v>82069.185768921699</v>
      </c>
    </row>
    <row r="18" spans="2:4" s="225" customFormat="1" ht="12.75" customHeight="1" x14ac:dyDescent="0.2">
      <c r="B18" s="95" t="s">
        <v>8</v>
      </c>
      <c r="C18" s="223"/>
      <c r="D18" s="230">
        <v>25973.3503461701</v>
      </c>
    </row>
    <row r="19" spans="2:4" s="225" customFormat="1" ht="12.75" customHeight="1" x14ac:dyDescent="0.2">
      <c r="B19" s="95" t="s">
        <v>9</v>
      </c>
      <c r="C19" s="223"/>
      <c r="D19" s="230">
        <v>61293.476520524702</v>
      </c>
    </row>
    <row r="20" spans="2:4" s="225" customFormat="1" ht="12.75" customHeight="1" x14ac:dyDescent="0.2">
      <c r="B20" s="95" t="s">
        <v>10</v>
      </c>
      <c r="C20" s="223"/>
      <c r="D20" s="230">
        <v>87728.763477945904</v>
      </c>
    </row>
    <row r="21" spans="2:4" s="225" customFormat="1" ht="12.75" customHeight="1" x14ac:dyDescent="0.2">
      <c r="B21" s="95" t="s">
        <v>11</v>
      </c>
      <c r="C21" s="223"/>
      <c r="D21" s="230">
        <v>175607.15248629701</v>
      </c>
    </row>
    <row r="22" spans="2:4" s="225" customFormat="1" ht="12.75" customHeight="1" x14ac:dyDescent="0.2">
      <c r="B22" s="95" t="s">
        <v>12</v>
      </c>
      <c r="C22" s="223"/>
      <c r="D22" s="230">
        <v>46088.065237464099</v>
      </c>
    </row>
    <row r="23" spans="2:4" s="225" customFormat="1" ht="12.75" customHeight="1" x14ac:dyDescent="0.2">
      <c r="B23" s="95" t="s">
        <v>13</v>
      </c>
      <c r="C23" s="223"/>
      <c r="D23" s="230">
        <v>111191.986105813</v>
      </c>
    </row>
    <row r="24" spans="2:4" s="225" customFormat="1" ht="12.75" customHeight="1" x14ac:dyDescent="0.2">
      <c r="B24" s="95" t="s">
        <v>14</v>
      </c>
      <c r="C24" s="223"/>
      <c r="D24" s="230">
        <v>47121.954088716302</v>
      </c>
    </row>
    <row r="25" spans="2:4" s="225" customFormat="1" ht="12.75" customHeight="1" x14ac:dyDescent="0.2">
      <c r="B25" s="95" t="s">
        <v>15</v>
      </c>
      <c r="C25" s="223"/>
      <c r="D25" s="230">
        <v>46665.326677181503</v>
      </c>
    </row>
    <row r="26" spans="2:4" s="225" customFormat="1" ht="12.75" customHeight="1" x14ac:dyDescent="0.2">
      <c r="B26" s="95" t="s">
        <v>16</v>
      </c>
      <c r="C26" s="223"/>
      <c r="D26" s="230">
        <v>304003.36024205497</v>
      </c>
    </row>
    <row r="27" spans="2:4" s="225" customFormat="1" ht="12.75" customHeight="1" x14ac:dyDescent="0.2">
      <c r="B27" s="95" t="s">
        <v>17</v>
      </c>
      <c r="C27" s="223"/>
      <c r="D27" s="230">
        <v>201945.13235120499</v>
      </c>
    </row>
    <row r="28" spans="2:4" s="225" customFormat="1" ht="12.75" customHeight="1" x14ac:dyDescent="0.2">
      <c r="B28" s="95" t="s">
        <v>18</v>
      </c>
      <c r="C28" s="223"/>
      <c r="D28" s="230">
        <v>97855.403314503506</v>
      </c>
    </row>
    <row r="29" spans="2:4" s="225" customFormat="1" ht="12.75" customHeight="1" x14ac:dyDescent="0.2">
      <c r="B29" s="95" t="s">
        <v>19</v>
      </c>
      <c r="C29" s="223"/>
      <c r="D29" s="230">
        <v>28378.925080344699</v>
      </c>
    </row>
    <row r="30" spans="2:4" s="225" customFormat="1" ht="12.75" customHeight="1" x14ac:dyDescent="0.2">
      <c r="B30" s="95" t="s">
        <v>20</v>
      </c>
      <c r="C30" s="223"/>
      <c r="D30" s="230">
        <v>41657.741806210601</v>
      </c>
    </row>
    <row r="31" spans="2:4" s="225" customFormat="1" ht="12.75" customHeight="1" x14ac:dyDescent="0.2">
      <c r="B31" s="95" t="s">
        <v>21</v>
      </c>
      <c r="C31" s="223"/>
      <c r="D31" s="230">
        <v>217432.548339492</v>
      </c>
    </row>
    <row r="32" spans="2:4" s="225" customFormat="1" ht="12.75" customHeight="1" x14ac:dyDescent="0.2">
      <c r="B32" s="95" t="s">
        <v>22</v>
      </c>
      <c r="C32" s="223"/>
      <c r="D32" s="230">
        <v>66291.530826377202</v>
      </c>
    </row>
    <row r="33" spans="2:4" s="225" customFormat="1" ht="12.75" customHeight="1" x14ac:dyDescent="0.2">
      <c r="B33" s="95" t="s">
        <v>23</v>
      </c>
      <c r="C33" s="223"/>
      <c r="D33" s="230">
        <v>69534.7098380237</v>
      </c>
    </row>
    <row r="34" spans="2:4" s="225" customFormat="1" ht="12.75" customHeight="1" x14ac:dyDescent="0.2">
      <c r="B34" s="95" t="s">
        <v>24</v>
      </c>
      <c r="C34" s="223"/>
      <c r="D34" s="230">
        <v>72189.773845392599</v>
      </c>
    </row>
    <row r="35" spans="2:4" s="225" customFormat="1" ht="12.75" customHeight="1" x14ac:dyDescent="0.2">
      <c r="B35" s="95" t="s">
        <v>25</v>
      </c>
      <c r="C35" s="223"/>
      <c r="D35" s="230">
        <v>54089.3765130057</v>
      </c>
    </row>
    <row r="36" spans="2:4" s="225" customFormat="1" ht="12.75" customHeight="1" x14ac:dyDescent="0.2">
      <c r="B36" s="95" t="s">
        <v>26</v>
      </c>
      <c r="C36" s="223"/>
      <c r="D36" s="230">
        <v>58825.6234361549</v>
      </c>
    </row>
    <row r="37" spans="2:4" s="225" customFormat="1" ht="12.75" customHeight="1" x14ac:dyDescent="0.2">
      <c r="B37" s="95" t="s">
        <v>27</v>
      </c>
      <c r="C37" s="223"/>
      <c r="D37" s="230">
        <v>62032.690452165698</v>
      </c>
    </row>
    <row r="38" spans="2:4" s="225" customFormat="1" ht="12.75" customHeight="1" x14ac:dyDescent="0.2">
      <c r="B38" s="95" t="s">
        <v>28</v>
      </c>
      <c r="C38" s="223"/>
      <c r="D38" s="230">
        <v>122594.13255931099</v>
      </c>
    </row>
    <row r="39" spans="2:4" s="225" customFormat="1" ht="12.75" customHeight="1" x14ac:dyDescent="0.2">
      <c r="B39" s="95" t="s">
        <v>29</v>
      </c>
      <c r="C39" s="223"/>
      <c r="D39" s="230">
        <v>50166.027618117601</v>
      </c>
    </row>
    <row r="40" spans="2:4" s="225" customFormat="1" ht="12.75" customHeight="1" x14ac:dyDescent="0.2">
      <c r="B40" s="95" t="s">
        <v>30</v>
      </c>
      <c r="C40" s="223"/>
      <c r="D40" s="230">
        <v>100840.38211014601</v>
      </c>
    </row>
    <row r="41" spans="2:4" s="225" customFormat="1" ht="12.75" customHeight="1" x14ac:dyDescent="0.2">
      <c r="B41" s="95" t="s">
        <v>31</v>
      </c>
      <c r="C41" s="223"/>
      <c r="D41" s="230">
        <v>9529.6256336235001</v>
      </c>
    </row>
    <row r="42" spans="2:4" s="225" customFormat="1" ht="12.75" customHeight="1" x14ac:dyDescent="0.2">
      <c r="B42" s="95" t="s">
        <v>32</v>
      </c>
      <c r="C42" s="223"/>
      <c r="D42" s="230">
        <v>126224.494248189</v>
      </c>
    </row>
    <row r="43" spans="2:4" s="225" customFormat="1" ht="12.75" customHeight="1" x14ac:dyDescent="0.2">
      <c r="B43" s="95" t="s">
        <v>33</v>
      </c>
      <c r="C43" s="223"/>
      <c r="D43" s="230">
        <v>87244.123228193901</v>
      </c>
    </row>
    <row r="44" spans="2:4" s="225" customFormat="1" ht="12.75" customHeight="1" x14ac:dyDescent="0.2">
      <c r="B44" s="95" t="s">
        <v>34</v>
      </c>
      <c r="C44" s="223"/>
      <c r="D44" s="230">
        <v>42902.141392381098</v>
      </c>
    </row>
    <row r="45" spans="2:4" ht="6" customHeight="1" x14ac:dyDescent="0.25">
      <c r="B45" s="216"/>
      <c r="C45" s="226"/>
      <c r="D45" s="227"/>
    </row>
    <row r="46" spans="2:4" ht="6" customHeight="1" x14ac:dyDescent="0.25">
      <c r="B46" s="228"/>
      <c r="D46" s="229"/>
    </row>
    <row r="47" spans="2:4" s="13" customFormat="1" ht="14.25" x14ac:dyDescent="0.2">
      <c r="B47" s="109" t="s">
        <v>57</v>
      </c>
    </row>
  </sheetData>
  <mergeCells count="2">
    <mergeCell ref="B7:B9"/>
    <mergeCell ref="D7:D9"/>
  </mergeCells>
  <hyperlinks>
    <hyperlink ref="D1" location="Índice!A1" tooltip="Ir a ÍNDICE" display="INDICE" xr:uid="{78CB0EC2-B1A9-4D90-99AF-7A7A72F89103}"/>
  </hyperlinks>
  <pageMargins left="0.70866141732283472" right="0.70866141732283472" top="0.74803149606299213" bottom="0.74803149606299213" header="0.31496062992125984" footer="0.31496062992125984"/>
  <pageSetup orientation="portrait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2C12A-8A63-4051-BADA-7CE053D23E9F}">
  <dimension ref="B1:S51"/>
  <sheetViews>
    <sheetView showGridLines="0" zoomScaleNormal="100" workbookViewId="0"/>
  </sheetViews>
  <sheetFormatPr baseColWidth="10" defaultColWidth="11.42578125" defaultRowHeight="15" x14ac:dyDescent="0.25"/>
  <cols>
    <col min="1" max="1" width="1.7109375" style="241" customWidth="1"/>
    <col min="2" max="2" width="24.28515625" style="241" customWidth="1"/>
    <col min="3" max="3" width="0.85546875" style="274" customWidth="1"/>
    <col min="4" max="4" width="18.7109375" style="275" customWidth="1"/>
    <col min="5" max="5" width="1.7109375" style="275" customWidth="1"/>
    <col min="6" max="6" width="12.7109375" style="275" customWidth="1"/>
    <col min="7" max="7" width="12.7109375" style="276" customWidth="1"/>
    <col min="8" max="8" width="1.7109375" style="275" customWidth="1"/>
    <col min="9" max="9" width="12.7109375" style="275" customWidth="1"/>
    <col min="10" max="10" width="12.7109375" style="276" customWidth="1"/>
    <col min="11" max="11" width="1.7109375" style="275" customWidth="1"/>
    <col min="12" max="12" width="12.7109375" style="275" customWidth="1"/>
    <col min="13" max="13" width="12.7109375" style="276" customWidth="1"/>
    <col min="14" max="14" width="1.7109375" style="275" customWidth="1"/>
    <col min="15" max="15" width="12.7109375" style="241" customWidth="1"/>
    <col min="16" max="16" width="12.7109375" style="277" customWidth="1"/>
    <col min="17" max="16384" width="11.42578125" style="241"/>
  </cols>
  <sheetData>
    <row r="1" spans="2:19" s="233" customFormat="1" ht="12" customHeight="1" x14ac:dyDescent="0.2">
      <c r="B1" s="640" t="s">
        <v>202</v>
      </c>
      <c r="D1" s="234"/>
      <c r="E1" s="234"/>
      <c r="F1" s="234"/>
      <c r="G1" s="234"/>
      <c r="H1" s="234"/>
      <c r="I1" s="234"/>
      <c r="K1" s="234"/>
      <c r="L1" s="234"/>
      <c r="M1" s="234"/>
      <c r="N1" s="234"/>
      <c r="P1" s="72" t="s">
        <v>151</v>
      </c>
    </row>
    <row r="2" spans="2:19" s="233" customFormat="1" ht="6.95" customHeight="1" x14ac:dyDescent="0.2">
      <c r="B2" s="640"/>
      <c r="D2" s="234"/>
      <c r="E2" s="234"/>
      <c r="F2" s="234"/>
      <c r="G2" s="234"/>
      <c r="H2" s="234"/>
      <c r="I2" s="234"/>
      <c r="J2" s="234"/>
      <c r="K2" s="234"/>
      <c r="L2" s="234"/>
      <c r="M2" s="234"/>
      <c r="N2" s="234"/>
    </row>
    <row r="3" spans="2:19" s="233" customFormat="1" ht="15" customHeight="1" x14ac:dyDescent="0.2">
      <c r="B3" s="640" t="s">
        <v>199</v>
      </c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</row>
    <row r="4" spans="2:19" s="233" customFormat="1" ht="6.95" customHeight="1" x14ac:dyDescent="0.2">
      <c r="C4" s="235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</row>
    <row r="5" spans="2:19" s="233" customFormat="1" ht="25.5" customHeight="1" x14ac:dyDescent="0.2">
      <c r="B5" s="681" t="s">
        <v>156</v>
      </c>
      <c r="C5" s="681"/>
      <c r="D5" s="681"/>
      <c r="E5" s="681"/>
      <c r="F5" s="681"/>
      <c r="G5" s="681"/>
      <c r="H5" s="681"/>
      <c r="I5" s="681"/>
      <c r="J5" s="681"/>
      <c r="K5" s="681"/>
      <c r="L5" s="681"/>
      <c r="M5" s="681"/>
      <c r="N5" s="681"/>
      <c r="O5" s="236"/>
      <c r="P5" s="71" t="s">
        <v>107</v>
      </c>
    </row>
    <row r="6" spans="2:19" ht="6" customHeight="1" x14ac:dyDescent="0.25">
      <c r="B6" s="237"/>
      <c r="C6" s="238"/>
      <c r="D6" s="239"/>
      <c r="E6" s="239"/>
      <c r="F6" s="239"/>
      <c r="G6" s="239"/>
      <c r="H6" s="239"/>
      <c r="I6" s="239"/>
      <c r="J6" s="239"/>
      <c r="K6" s="239"/>
      <c r="L6" s="239"/>
      <c r="M6" s="239"/>
      <c r="N6" s="239"/>
      <c r="O6" s="240"/>
      <c r="P6" s="240"/>
    </row>
    <row r="7" spans="2:19" ht="15" customHeight="1" x14ac:dyDescent="0.25">
      <c r="B7" s="682" t="s">
        <v>76</v>
      </c>
      <c r="C7" s="682"/>
      <c r="D7" s="685" t="s">
        <v>108</v>
      </c>
      <c r="E7" s="242"/>
      <c r="F7" s="688" t="s">
        <v>73</v>
      </c>
      <c r="G7" s="688"/>
      <c r="H7" s="688"/>
      <c r="I7" s="688"/>
      <c r="J7" s="688"/>
      <c r="K7" s="688"/>
      <c r="L7" s="688"/>
      <c r="M7" s="688"/>
      <c r="N7" s="688"/>
      <c r="O7" s="688"/>
      <c r="P7" s="688"/>
    </row>
    <row r="8" spans="2:19" ht="24.75" customHeight="1" x14ac:dyDescent="0.25">
      <c r="B8" s="683"/>
      <c r="C8" s="683"/>
      <c r="D8" s="686"/>
      <c r="E8" s="243"/>
      <c r="F8" s="689" t="s">
        <v>61</v>
      </c>
      <c r="G8" s="689"/>
      <c r="H8" s="244"/>
      <c r="I8" s="689" t="s">
        <v>109</v>
      </c>
      <c r="J8" s="689"/>
      <c r="K8" s="245"/>
      <c r="L8" s="690" t="s">
        <v>110</v>
      </c>
      <c r="M8" s="690"/>
      <c r="N8" s="245"/>
      <c r="O8" s="689" t="s">
        <v>111</v>
      </c>
      <c r="P8" s="689"/>
    </row>
    <row r="9" spans="2:19" x14ac:dyDescent="0.25">
      <c r="B9" s="684"/>
      <c r="C9" s="684"/>
      <c r="D9" s="687"/>
      <c r="E9" s="246"/>
      <c r="F9" s="73" t="s">
        <v>0</v>
      </c>
      <c r="G9" s="73" t="s">
        <v>1</v>
      </c>
      <c r="H9" s="247"/>
      <c r="I9" s="73" t="s">
        <v>0</v>
      </c>
      <c r="J9" s="73" t="s">
        <v>1</v>
      </c>
      <c r="K9" s="247"/>
      <c r="L9" s="73" t="s">
        <v>0</v>
      </c>
      <c r="M9" s="73" t="s">
        <v>1</v>
      </c>
      <c r="N9" s="247"/>
      <c r="O9" s="73" t="s">
        <v>0</v>
      </c>
      <c r="P9" s="73" t="s">
        <v>1</v>
      </c>
    </row>
    <row r="10" spans="2:19" ht="6" customHeight="1" x14ac:dyDescent="0.25">
      <c r="B10" s="31"/>
      <c r="C10" s="248"/>
      <c r="D10" s="249"/>
      <c r="E10" s="249"/>
      <c r="F10" s="249"/>
      <c r="G10" s="249"/>
      <c r="H10" s="249"/>
      <c r="I10" s="249"/>
      <c r="J10" s="249"/>
      <c r="K10" s="249"/>
      <c r="L10" s="249"/>
      <c r="M10" s="249"/>
      <c r="N10" s="250"/>
      <c r="O10" s="250"/>
      <c r="P10" s="250"/>
    </row>
    <row r="11" spans="2:19" s="253" customFormat="1" ht="11.25" x14ac:dyDescent="0.2">
      <c r="B11" s="94" t="s">
        <v>2</v>
      </c>
      <c r="C11" s="251"/>
      <c r="D11" s="281">
        <v>2705604.3977930201</v>
      </c>
      <c r="E11" s="252"/>
      <c r="F11" s="281">
        <v>1398733.42130338</v>
      </c>
      <c r="G11" s="281">
        <v>50.944918583800003</v>
      </c>
      <c r="H11" s="252"/>
      <c r="I11" s="281">
        <v>1021260.32910944</v>
      </c>
      <c r="J11" s="281">
        <v>37.128460650400001</v>
      </c>
      <c r="K11" s="252"/>
      <c r="L11" s="281">
        <v>122504.644436288</v>
      </c>
      <c r="M11" s="281">
        <v>4.4396112462000001</v>
      </c>
      <c r="N11" s="252"/>
      <c r="O11" s="281">
        <v>76643.286599555606</v>
      </c>
      <c r="P11" s="281">
        <v>2.7791087432000001</v>
      </c>
    </row>
    <row r="12" spans="2:19" s="258" customFormat="1" ht="6" customHeight="1" x14ac:dyDescent="0.2">
      <c r="B12" s="254"/>
      <c r="C12" s="255"/>
      <c r="D12" s="256"/>
      <c r="E12" s="256"/>
      <c r="F12" s="256"/>
      <c r="G12" s="257"/>
      <c r="H12" s="256"/>
      <c r="I12" s="256"/>
      <c r="J12" s="257"/>
      <c r="K12" s="256"/>
      <c r="L12" s="256"/>
      <c r="M12" s="257"/>
      <c r="N12" s="256"/>
      <c r="O12" s="256"/>
      <c r="P12" s="257"/>
    </row>
    <row r="13" spans="2:19" s="258" customFormat="1" ht="12.75" customHeight="1" x14ac:dyDescent="0.2">
      <c r="B13" s="95" t="s">
        <v>3</v>
      </c>
      <c r="C13" s="259"/>
      <c r="D13" s="278">
        <v>43831.615796227001</v>
      </c>
      <c r="E13" s="256"/>
      <c r="F13" s="278">
        <v>25299.6076928236</v>
      </c>
      <c r="G13" s="278">
        <v>55.200637152299997</v>
      </c>
      <c r="H13" s="256"/>
      <c r="I13" s="278">
        <v>14079.5320747651</v>
      </c>
      <c r="J13" s="278">
        <v>30.383319383</v>
      </c>
      <c r="K13" s="256"/>
      <c r="L13" s="278">
        <v>168.80002444920001</v>
      </c>
      <c r="M13" s="278">
        <v>0.35141901739999998</v>
      </c>
      <c r="N13" s="256"/>
      <c r="O13" s="278">
        <v>258.4847714709</v>
      </c>
      <c r="P13" s="278">
        <v>0.53863234199999999</v>
      </c>
    </row>
    <row r="14" spans="2:19" s="258" customFormat="1" ht="12.75" customHeight="1" x14ac:dyDescent="0.2">
      <c r="B14" s="95" t="s">
        <v>4</v>
      </c>
      <c r="C14" s="259"/>
      <c r="D14" s="278">
        <v>103590.605849019</v>
      </c>
      <c r="E14" s="256"/>
      <c r="F14" s="278">
        <v>64467.831544088796</v>
      </c>
      <c r="G14" s="278">
        <v>59.0899540156</v>
      </c>
      <c r="H14" s="256"/>
      <c r="I14" s="278">
        <v>23829.834075270301</v>
      </c>
      <c r="J14" s="278">
        <v>21.1003841335</v>
      </c>
      <c r="K14" s="256"/>
      <c r="L14" s="278">
        <v>2833.6624569033002</v>
      </c>
      <c r="M14" s="278">
        <v>2.6429660405000002</v>
      </c>
      <c r="N14" s="256"/>
      <c r="O14" s="278">
        <v>0</v>
      </c>
      <c r="P14" s="278">
        <v>0</v>
      </c>
    </row>
    <row r="15" spans="2:19" s="258" customFormat="1" ht="12.75" customHeight="1" x14ac:dyDescent="0.2">
      <c r="B15" s="95" t="s">
        <v>5</v>
      </c>
      <c r="C15" s="259"/>
      <c r="D15" s="279">
        <v>19753.2576826599</v>
      </c>
      <c r="E15" s="256"/>
      <c r="F15" s="279">
        <v>10654.78123669</v>
      </c>
      <c r="G15" s="278">
        <v>50.863775484999998</v>
      </c>
      <c r="H15" s="256"/>
      <c r="I15" s="279">
        <v>6677.2044797153003</v>
      </c>
      <c r="J15" s="278">
        <v>31.160213995700001</v>
      </c>
      <c r="K15" s="260"/>
      <c r="L15" s="279">
        <v>0</v>
      </c>
      <c r="M15" s="278">
        <v>0</v>
      </c>
      <c r="N15" s="261"/>
      <c r="O15" s="279">
        <v>325.64832123849999</v>
      </c>
      <c r="P15" s="278">
        <v>1.4344826639999999</v>
      </c>
    </row>
    <row r="16" spans="2:19" s="258" customFormat="1" ht="12.75" customHeight="1" x14ac:dyDescent="0.2">
      <c r="B16" s="95" t="s">
        <v>6</v>
      </c>
      <c r="C16" s="259"/>
      <c r="D16" s="279">
        <v>18766.971717702501</v>
      </c>
      <c r="E16" s="256"/>
      <c r="F16" s="279">
        <v>8501.7369094576006</v>
      </c>
      <c r="G16" s="278">
        <v>42.091547470499997</v>
      </c>
      <c r="H16" s="256"/>
      <c r="I16" s="279">
        <v>6952.5773282565997</v>
      </c>
      <c r="J16" s="278">
        <v>34.625461429799998</v>
      </c>
      <c r="K16" s="260"/>
      <c r="L16" s="279">
        <v>229.56287104590001</v>
      </c>
      <c r="M16" s="278">
        <v>1.2225903996</v>
      </c>
      <c r="N16" s="261"/>
      <c r="O16" s="279">
        <v>386.51239629200001</v>
      </c>
      <c r="P16" s="278">
        <v>1.8452533696</v>
      </c>
    </row>
    <row r="17" spans="2:16" s="258" customFormat="1" ht="12.75" customHeight="1" x14ac:dyDescent="0.2">
      <c r="B17" s="95" t="s">
        <v>7</v>
      </c>
      <c r="C17" s="259"/>
      <c r="D17" s="279">
        <v>67875.599453346105</v>
      </c>
      <c r="E17" s="256"/>
      <c r="F17" s="279">
        <v>49936.352823422101</v>
      </c>
      <c r="G17" s="278">
        <v>70.581217966500006</v>
      </c>
      <c r="H17" s="256"/>
      <c r="I17" s="279">
        <v>9717.9465971094996</v>
      </c>
      <c r="J17" s="278">
        <v>12.7994908555</v>
      </c>
      <c r="K17" s="260"/>
      <c r="L17" s="279">
        <v>270.81597908840001</v>
      </c>
      <c r="M17" s="278">
        <v>0.3787558613</v>
      </c>
      <c r="N17" s="261"/>
      <c r="O17" s="279">
        <v>68.769624093399997</v>
      </c>
      <c r="P17" s="278">
        <v>0.1365813069</v>
      </c>
    </row>
    <row r="18" spans="2:16" s="258" customFormat="1" ht="12.75" customHeight="1" x14ac:dyDescent="0.2">
      <c r="B18" s="95" t="s">
        <v>8</v>
      </c>
      <c r="C18" s="259"/>
      <c r="D18" s="279">
        <v>23430.075541800699</v>
      </c>
      <c r="E18" s="256"/>
      <c r="F18" s="279">
        <v>13163.848023832999</v>
      </c>
      <c r="G18" s="278">
        <v>52.754390039</v>
      </c>
      <c r="H18" s="256"/>
      <c r="I18" s="279">
        <v>7734.8051765848004</v>
      </c>
      <c r="J18" s="278">
        <v>30.719947799300002</v>
      </c>
      <c r="K18" s="260"/>
      <c r="L18" s="279">
        <v>263.84433547089998</v>
      </c>
      <c r="M18" s="278">
        <v>1.0001002136999999</v>
      </c>
      <c r="N18" s="261"/>
      <c r="O18" s="279">
        <v>0</v>
      </c>
      <c r="P18" s="278">
        <v>0</v>
      </c>
    </row>
    <row r="19" spans="2:16" s="258" customFormat="1" ht="12.75" customHeight="1" x14ac:dyDescent="0.2">
      <c r="B19" s="95" t="s">
        <v>9</v>
      </c>
      <c r="C19" s="259"/>
      <c r="D19" s="279">
        <v>60220.730363601797</v>
      </c>
      <c r="E19" s="256"/>
      <c r="F19" s="279">
        <v>20564.7040001108</v>
      </c>
      <c r="G19" s="278">
        <v>29.672498778400001</v>
      </c>
      <c r="H19" s="256"/>
      <c r="I19" s="279">
        <v>25591.0723659375</v>
      </c>
      <c r="J19" s="278">
        <v>40.244722580400001</v>
      </c>
      <c r="K19" s="260"/>
      <c r="L19" s="279">
        <v>715.91445673630005</v>
      </c>
      <c r="M19" s="278">
        <v>1.0825200994999999</v>
      </c>
      <c r="N19" s="261"/>
      <c r="O19" s="279">
        <v>1384.3814532694</v>
      </c>
      <c r="P19" s="278">
        <v>1.7010077534000001</v>
      </c>
    </row>
    <row r="20" spans="2:16" s="258" customFormat="1" ht="12.75" customHeight="1" x14ac:dyDescent="0.2">
      <c r="B20" s="95" t="s">
        <v>10</v>
      </c>
      <c r="C20" s="259"/>
      <c r="D20" s="279">
        <v>85295.8780996024</v>
      </c>
      <c r="E20" s="256"/>
      <c r="F20" s="279">
        <v>43215.897246867498</v>
      </c>
      <c r="G20" s="278">
        <v>48.007739214799997</v>
      </c>
      <c r="H20" s="256"/>
      <c r="I20" s="279">
        <v>25333.6631437504</v>
      </c>
      <c r="J20" s="278">
        <v>27.995776192899999</v>
      </c>
      <c r="K20" s="260"/>
      <c r="L20" s="279">
        <v>1000.2946801108</v>
      </c>
      <c r="M20" s="278">
        <v>1.1690007165</v>
      </c>
      <c r="N20" s="261"/>
      <c r="O20" s="279">
        <v>803.22604333699996</v>
      </c>
      <c r="P20" s="278">
        <v>0.88035225589999999</v>
      </c>
    </row>
    <row r="21" spans="2:16" s="258" customFormat="1" ht="12.75" customHeight="1" x14ac:dyDescent="0.2">
      <c r="B21" s="95" t="s">
        <v>11</v>
      </c>
      <c r="C21" s="259"/>
      <c r="D21" s="279">
        <v>176880.66773494199</v>
      </c>
      <c r="E21" s="256"/>
      <c r="F21" s="279">
        <v>81659.822122108104</v>
      </c>
      <c r="G21" s="278">
        <v>44.100010272799999</v>
      </c>
      <c r="H21" s="256"/>
      <c r="I21" s="279">
        <v>68267.354952997295</v>
      </c>
      <c r="J21" s="278">
        <v>35.739897062899999</v>
      </c>
      <c r="K21" s="260"/>
      <c r="L21" s="279">
        <v>232.5876126702</v>
      </c>
      <c r="M21" s="278">
        <v>9.4927272800000004E-2</v>
      </c>
      <c r="N21" s="261"/>
      <c r="O21" s="279">
        <v>0</v>
      </c>
      <c r="P21" s="278">
        <v>0</v>
      </c>
    </row>
    <row r="22" spans="2:16" s="258" customFormat="1" ht="12.75" customHeight="1" x14ac:dyDescent="0.2">
      <c r="B22" s="95" t="s">
        <v>12</v>
      </c>
      <c r="C22" s="259"/>
      <c r="D22" s="279">
        <v>43246.016770551701</v>
      </c>
      <c r="E22" s="256"/>
      <c r="F22" s="279">
        <v>21525.541993214301</v>
      </c>
      <c r="G22" s="278">
        <v>46.959853997099998</v>
      </c>
      <c r="H22" s="256"/>
      <c r="I22" s="279">
        <v>13401.308418746999</v>
      </c>
      <c r="J22" s="278">
        <v>28.829662346900001</v>
      </c>
      <c r="K22" s="260"/>
      <c r="L22" s="279">
        <v>1385.3262333841001</v>
      </c>
      <c r="M22" s="278">
        <v>2.9384192550999999</v>
      </c>
      <c r="N22" s="261"/>
      <c r="O22" s="279">
        <v>596.47000876180005</v>
      </c>
      <c r="P22" s="278">
        <v>1.2659859605999999</v>
      </c>
    </row>
    <row r="23" spans="2:16" s="258" customFormat="1" ht="12.75" customHeight="1" x14ac:dyDescent="0.2">
      <c r="B23" s="95" t="s">
        <v>13</v>
      </c>
      <c r="C23" s="259"/>
      <c r="D23" s="279">
        <v>97206.407527995601</v>
      </c>
      <c r="E23" s="256"/>
      <c r="F23" s="279">
        <v>49862.360669004702</v>
      </c>
      <c r="G23" s="278">
        <v>48.919501860099999</v>
      </c>
      <c r="H23" s="256"/>
      <c r="I23" s="279">
        <v>32555.366160609301</v>
      </c>
      <c r="J23" s="278">
        <v>30.533435458</v>
      </c>
      <c r="K23" s="260"/>
      <c r="L23" s="279">
        <v>0</v>
      </c>
      <c r="M23" s="278">
        <v>0</v>
      </c>
      <c r="N23" s="261"/>
      <c r="O23" s="279">
        <v>1255.6446508158999</v>
      </c>
      <c r="P23" s="278">
        <v>1.1769309208000001</v>
      </c>
    </row>
    <row r="24" spans="2:16" s="258" customFormat="1" ht="12.75" customHeight="1" x14ac:dyDescent="0.2">
      <c r="B24" s="95" t="s">
        <v>14</v>
      </c>
      <c r="C24" s="259"/>
      <c r="D24" s="279">
        <v>45295.861840896898</v>
      </c>
      <c r="E24" s="256"/>
      <c r="F24" s="279">
        <v>11622.6374593541</v>
      </c>
      <c r="G24" s="278">
        <v>24.075337230500001</v>
      </c>
      <c r="H24" s="256"/>
      <c r="I24" s="279">
        <v>19781.215160321201</v>
      </c>
      <c r="J24" s="278">
        <v>38.776892337699998</v>
      </c>
      <c r="K24" s="260"/>
      <c r="L24" s="279">
        <v>3130.6082108398</v>
      </c>
      <c r="M24" s="278">
        <v>6.5298434746999998</v>
      </c>
      <c r="N24" s="261"/>
      <c r="O24" s="279">
        <v>2057.0872957278998</v>
      </c>
      <c r="P24" s="278">
        <v>4.4057352237999998</v>
      </c>
    </row>
    <row r="25" spans="2:16" s="258" customFormat="1" ht="12.75" customHeight="1" x14ac:dyDescent="0.2">
      <c r="B25" s="95" t="s">
        <v>15</v>
      </c>
      <c r="C25" s="259"/>
      <c r="D25" s="279">
        <v>41046.552745830697</v>
      </c>
      <c r="E25" s="256"/>
      <c r="F25" s="279">
        <v>16296.0152400077</v>
      </c>
      <c r="G25" s="278">
        <v>36.0615497848</v>
      </c>
      <c r="H25" s="256"/>
      <c r="I25" s="279">
        <v>13848.642921586699</v>
      </c>
      <c r="J25" s="278">
        <v>31.779760628799998</v>
      </c>
      <c r="K25" s="260"/>
      <c r="L25" s="279">
        <v>2056.369032177</v>
      </c>
      <c r="M25" s="278">
        <v>4.3383537130000001</v>
      </c>
      <c r="N25" s="261"/>
      <c r="O25" s="279">
        <v>129.30533806150001</v>
      </c>
      <c r="P25" s="278">
        <v>0.25655780299999997</v>
      </c>
    </row>
    <row r="26" spans="2:16" s="258" customFormat="1" ht="12.75" customHeight="1" x14ac:dyDescent="0.2">
      <c r="B26" s="95" t="s">
        <v>16</v>
      </c>
      <c r="C26" s="259"/>
      <c r="D26" s="279">
        <v>272268.24088733998</v>
      </c>
      <c r="E26" s="256"/>
      <c r="F26" s="279">
        <v>148314.925624772</v>
      </c>
      <c r="G26" s="278">
        <v>51.961592969999998</v>
      </c>
      <c r="H26" s="256"/>
      <c r="I26" s="279">
        <v>67457.881913342004</v>
      </c>
      <c r="J26" s="278">
        <v>22.899836619199998</v>
      </c>
      <c r="K26" s="260"/>
      <c r="L26" s="279">
        <v>19146.770875482602</v>
      </c>
      <c r="M26" s="278">
        <v>6.5997685046000001</v>
      </c>
      <c r="N26" s="261"/>
      <c r="O26" s="279">
        <v>1780.9830254468</v>
      </c>
      <c r="P26" s="278">
        <v>0.67074268510000001</v>
      </c>
    </row>
    <row r="27" spans="2:16" s="258" customFormat="1" ht="12.75" customHeight="1" x14ac:dyDescent="0.2">
      <c r="B27" s="95" t="s">
        <v>17</v>
      </c>
      <c r="C27" s="259"/>
      <c r="D27" s="279">
        <v>196544.11703371801</v>
      </c>
      <c r="E27" s="256"/>
      <c r="F27" s="279">
        <v>54186.113010234803</v>
      </c>
      <c r="G27" s="278">
        <v>24.976347292900002</v>
      </c>
      <c r="H27" s="256"/>
      <c r="I27" s="279">
        <v>98378.755729226599</v>
      </c>
      <c r="J27" s="278">
        <v>46.934223239700003</v>
      </c>
      <c r="K27" s="260"/>
      <c r="L27" s="279">
        <v>3784.4553325181</v>
      </c>
      <c r="M27" s="278">
        <v>1.6731083432</v>
      </c>
      <c r="N27" s="261"/>
      <c r="O27" s="279">
        <v>0</v>
      </c>
      <c r="P27" s="278">
        <v>0</v>
      </c>
    </row>
    <row r="28" spans="2:16" s="258" customFormat="1" ht="12.75" customHeight="1" x14ac:dyDescent="0.2">
      <c r="B28" s="95" t="s">
        <v>18</v>
      </c>
      <c r="C28" s="259"/>
      <c r="D28" s="279">
        <v>82344.333547885995</v>
      </c>
      <c r="E28" s="256"/>
      <c r="F28" s="279">
        <v>37626.994309769601</v>
      </c>
      <c r="G28" s="278">
        <v>44.608776088900001</v>
      </c>
      <c r="H28" s="256"/>
      <c r="I28" s="279">
        <v>30220.0092226427</v>
      </c>
      <c r="J28" s="278">
        <v>30.346160496</v>
      </c>
      <c r="K28" s="260"/>
      <c r="L28" s="279">
        <v>439.2485307426</v>
      </c>
      <c r="M28" s="278">
        <v>0.49836856080000003</v>
      </c>
      <c r="N28" s="261"/>
      <c r="O28" s="279">
        <v>888.88056613150002</v>
      </c>
      <c r="P28" s="278">
        <v>0.90624234739999998</v>
      </c>
    </row>
    <row r="29" spans="2:16" s="258" customFormat="1" ht="12.75" customHeight="1" x14ac:dyDescent="0.2">
      <c r="B29" s="95" t="s">
        <v>19</v>
      </c>
      <c r="C29" s="259"/>
      <c r="D29" s="279">
        <v>23649.370561565102</v>
      </c>
      <c r="E29" s="256"/>
      <c r="F29" s="279">
        <v>6908.9342147220004</v>
      </c>
      <c r="G29" s="278">
        <v>27.1361581542</v>
      </c>
      <c r="H29" s="256"/>
      <c r="I29" s="279">
        <v>10526.5703461295</v>
      </c>
      <c r="J29" s="278">
        <v>41.220312223900002</v>
      </c>
      <c r="K29" s="260"/>
      <c r="L29" s="279">
        <v>778.5171279233</v>
      </c>
      <c r="M29" s="278">
        <v>2.9782821971</v>
      </c>
      <c r="N29" s="261"/>
      <c r="O29" s="279">
        <v>6.6721679377000003</v>
      </c>
      <c r="P29" s="278">
        <v>0</v>
      </c>
    </row>
    <row r="30" spans="2:16" s="258" customFormat="1" ht="12.75" customHeight="1" x14ac:dyDescent="0.2">
      <c r="B30" s="95" t="s">
        <v>20</v>
      </c>
      <c r="C30" s="259"/>
      <c r="D30" s="279">
        <v>35437.585236328297</v>
      </c>
      <c r="E30" s="256"/>
      <c r="F30" s="279">
        <v>18540.929914357301</v>
      </c>
      <c r="G30" s="278">
        <v>50.076899608399998</v>
      </c>
      <c r="H30" s="256"/>
      <c r="I30" s="279">
        <v>11952.360862150501</v>
      </c>
      <c r="J30" s="278">
        <v>30.840716250300002</v>
      </c>
      <c r="K30" s="260"/>
      <c r="L30" s="279">
        <v>695.07681053110002</v>
      </c>
      <c r="M30" s="278">
        <v>1.6813448674</v>
      </c>
      <c r="N30" s="261"/>
      <c r="O30" s="279">
        <v>653.57909713150002</v>
      </c>
      <c r="P30" s="278">
        <v>1.6083803001000001</v>
      </c>
    </row>
    <row r="31" spans="2:16" s="258" customFormat="1" ht="12.75" customHeight="1" x14ac:dyDescent="0.2">
      <c r="B31" s="95" t="s">
        <v>21</v>
      </c>
      <c r="C31" s="259"/>
      <c r="D31" s="279">
        <v>195630.12466723699</v>
      </c>
      <c r="E31" s="256"/>
      <c r="F31" s="279">
        <v>96645.818722335403</v>
      </c>
      <c r="G31" s="278">
        <v>46.768584695199998</v>
      </c>
      <c r="H31" s="256"/>
      <c r="I31" s="279">
        <v>76421.361091961502</v>
      </c>
      <c r="J31" s="278">
        <v>37.173723734399999</v>
      </c>
      <c r="K31" s="260"/>
      <c r="L31" s="279">
        <v>1158.8489851422</v>
      </c>
      <c r="M31" s="278">
        <v>0.53366234560000003</v>
      </c>
      <c r="N31" s="261"/>
      <c r="O31" s="279">
        <v>553.28609530599999</v>
      </c>
      <c r="P31" s="278">
        <v>0.23925045919999999</v>
      </c>
    </row>
    <row r="32" spans="2:16" s="258" customFormat="1" ht="12.75" customHeight="1" x14ac:dyDescent="0.2">
      <c r="B32" s="95" t="s">
        <v>22</v>
      </c>
      <c r="C32" s="259"/>
      <c r="D32" s="279">
        <v>64653.356858022104</v>
      </c>
      <c r="E32" s="256"/>
      <c r="F32" s="279">
        <v>17271.700951139399</v>
      </c>
      <c r="G32" s="278">
        <v>24.9004661042</v>
      </c>
      <c r="H32" s="256"/>
      <c r="I32" s="279">
        <v>29563.885689099599</v>
      </c>
      <c r="J32" s="278">
        <v>40.396270557999998</v>
      </c>
      <c r="K32" s="260"/>
      <c r="L32" s="279">
        <v>2680.2806940278001</v>
      </c>
      <c r="M32" s="278">
        <v>3.7512214369999999</v>
      </c>
      <c r="N32" s="261"/>
      <c r="O32" s="279">
        <v>3956.7808412467002</v>
      </c>
      <c r="P32" s="278">
        <v>5.615514857</v>
      </c>
    </row>
    <row r="33" spans="2:16" s="258" customFormat="1" ht="12.75" customHeight="1" x14ac:dyDescent="0.2">
      <c r="B33" s="95" t="s">
        <v>23</v>
      </c>
      <c r="C33" s="259"/>
      <c r="D33" s="279">
        <v>68630.982230065201</v>
      </c>
      <c r="E33" s="256"/>
      <c r="F33" s="279">
        <v>27961.412718055199</v>
      </c>
      <c r="G33" s="278">
        <v>37.867422219600002</v>
      </c>
      <c r="H33" s="256"/>
      <c r="I33" s="279">
        <v>27918.620288189901</v>
      </c>
      <c r="J33" s="278">
        <v>37.707886543100003</v>
      </c>
      <c r="K33" s="260"/>
      <c r="L33" s="279">
        <v>0</v>
      </c>
      <c r="M33" s="278">
        <v>0</v>
      </c>
      <c r="N33" s="261"/>
      <c r="O33" s="279">
        <v>450.43626298509997</v>
      </c>
      <c r="P33" s="278">
        <v>0.59175475389999999</v>
      </c>
    </row>
    <row r="34" spans="2:16" s="258" customFormat="1" ht="12.75" customHeight="1" x14ac:dyDescent="0.2">
      <c r="B34" s="95" t="s">
        <v>24</v>
      </c>
      <c r="C34" s="259"/>
      <c r="D34" s="279">
        <v>61536.420879668403</v>
      </c>
      <c r="E34" s="256"/>
      <c r="F34" s="279">
        <v>31134.2405041149</v>
      </c>
      <c r="G34" s="278">
        <v>47.0345194326</v>
      </c>
      <c r="H34" s="256"/>
      <c r="I34" s="279">
        <v>19904.810602318001</v>
      </c>
      <c r="J34" s="278">
        <v>29.511533121900001</v>
      </c>
      <c r="K34" s="260"/>
      <c r="L34" s="279">
        <v>1039.8877456273999</v>
      </c>
      <c r="M34" s="278">
        <v>1.3953350100999999</v>
      </c>
      <c r="N34" s="261"/>
      <c r="O34" s="279">
        <v>1743.6547910946999</v>
      </c>
      <c r="P34" s="278">
        <v>2.4410414177000002</v>
      </c>
    </row>
    <row r="35" spans="2:16" s="258" customFormat="1" ht="12.75" customHeight="1" x14ac:dyDescent="0.2">
      <c r="B35" s="95" t="s">
        <v>25</v>
      </c>
      <c r="C35" s="259"/>
      <c r="D35" s="279">
        <v>50570.569877203001</v>
      </c>
      <c r="E35" s="256"/>
      <c r="F35" s="279">
        <v>30733.9391889943</v>
      </c>
      <c r="G35" s="278">
        <v>58.924119031499998</v>
      </c>
      <c r="H35" s="256"/>
      <c r="I35" s="279">
        <v>13322.3706010119</v>
      </c>
      <c r="J35" s="278">
        <v>23.8732683657</v>
      </c>
      <c r="K35" s="260"/>
      <c r="L35" s="279">
        <v>574.70198024659999</v>
      </c>
      <c r="M35" s="278">
        <v>1.0292434984000001</v>
      </c>
      <c r="N35" s="261"/>
      <c r="O35" s="279">
        <v>191.8910176894</v>
      </c>
      <c r="P35" s="278">
        <v>0.33748913250000001</v>
      </c>
    </row>
    <row r="36" spans="2:16" s="258" customFormat="1" ht="12.75" customHeight="1" x14ac:dyDescent="0.2">
      <c r="B36" s="95" t="s">
        <v>26</v>
      </c>
      <c r="C36" s="259"/>
      <c r="D36" s="279">
        <v>49490.5210206392</v>
      </c>
      <c r="E36" s="256"/>
      <c r="F36" s="279">
        <v>26086.755854424999</v>
      </c>
      <c r="G36" s="278">
        <v>48.920676063400002</v>
      </c>
      <c r="H36" s="256"/>
      <c r="I36" s="279">
        <v>13411.5243850439</v>
      </c>
      <c r="J36" s="278">
        <v>25.5281203527</v>
      </c>
      <c r="K36" s="260"/>
      <c r="L36" s="279">
        <v>342.79982119260001</v>
      </c>
      <c r="M36" s="278">
        <v>0.78494029190000003</v>
      </c>
      <c r="N36" s="261"/>
      <c r="O36" s="279">
        <v>1080.5063259215999</v>
      </c>
      <c r="P36" s="278">
        <v>2.0159140250999998</v>
      </c>
    </row>
    <row r="37" spans="2:16" s="258" customFormat="1" ht="12.75" customHeight="1" x14ac:dyDescent="0.2">
      <c r="B37" s="95" t="s">
        <v>27</v>
      </c>
      <c r="C37" s="259"/>
      <c r="D37" s="279">
        <v>59985.944400418797</v>
      </c>
      <c r="E37" s="256"/>
      <c r="F37" s="279">
        <v>27025.479494859301</v>
      </c>
      <c r="G37" s="278">
        <v>41.648132402800002</v>
      </c>
      <c r="H37" s="256"/>
      <c r="I37" s="279">
        <v>22773.2143149443</v>
      </c>
      <c r="J37" s="278">
        <v>35.823057162700003</v>
      </c>
      <c r="K37" s="260"/>
      <c r="L37" s="279">
        <v>0</v>
      </c>
      <c r="M37" s="278">
        <v>0</v>
      </c>
      <c r="N37" s="261"/>
      <c r="O37" s="279">
        <v>899.73163489540002</v>
      </c>
      <c r="P37" s="278">
        <v>1.4751792876000001</v>
      </c>
    </row>
    <row r="38" spans="2:16" s="258" customFormat="1" ht="12.75" customHeight="1" x14ac:dyDescent="0.2">
      <c r="B38" s="95" t="s">
        <v>28</v>
      </c>
      <c r="C38" s="259"/>
      <c r="D38" s="279">
        <v>109569.155323285</v>
      </c>
      <c r="E38" s="256"/>
      <c r="F38" s="279">
        <v>68689.583402134798</v>
      </c>
      <c r="G38" s="278">
        <v>60.228178637299997</v>
      </c>
      <c r="H38" s="256"/>
      <c r="I38" s="279">
        <v>28156.676496814802</v>
      </c>
      <c r="J38" s="278">
        <v>23.756631297199998</v>
      </c>
      <c r="K38" s="260"/>
      <c r="L38" s="279">
        <v>1298.1340305261001</v>
      </c>
      <c r="M38" s="278">
        <v>1.0412594035</v>
      </c>
      <c r="N38" s="261"/>
      <c r="O38" s="279">
        <v>1639.5025482599001</v>
      </c>
      <c r="P38" s="278">
        <v>1.4691591877000001</v>
      </c>
    </row>
    <row r="39" spans="2:16" s="258" customFormat="1" ht="12.75" customHeight="1" x14ac:dyDescent="0.2">
      <c r="B39" s="95" t="s">
        <v>29</v>
      </c>
      <c r="C39" s="259"/>
      <c r="D39" s="279">
        <v>46983.705623928501</v>
      </c>
      <c r="E39" s="256"/>
      <c r="F39" s="279">
        <v>19598.795613079201</v>
      </c>
      <c r="G39" s="278">
        <v>37.739605578899997</v>
      </c>
      <c r="H39" s="256"/>
      <c r="I39" s="279">
        <v>16483.1362043341</v>
      </c>
      <c r="J39" s="278">
        <v>31.680418903100001</v>
      </c>
      <c r="K39" s="260"/>
      <c r="L39" s="279">
        <v>2568.2226651987999</v>
      </c>
      <c r="M39" s="278">
        <v>5.1132142531999998</v>
      </c>
      <c r="N39" s="261"/>
      <c r="O39" s="279">
        <v>70.247073158299997</v>
      </c>
      <c r="P39" s="278">
        <v>0.26135834299999999</v>
      </c>
    </row>
    <row r="40" spans="2:16" s="258" customFormat="1" ht="12.75" customHeight="1" x14ac:dyDescent="0.2">
      <c r="B40" s="95" t="s">
        <v>30</v>
      </c>
      <c r="C40" s="259"/>
      <c r="D40" s="279">
        <v>98813.782740603099</v>
      </c>
      <c r="E40" s="256"/>
      <c r="F40" s="279">
        <v>43833.506530162304</v>
      </c>
      <c r="G40" s="278">
        <v>40.688199147500001</v>
      </c>
      <c r="H40" s="256"/>
      <c r="I40" s="279">
        <v>38446.306907267499</v>
      </c>
      <c r="J40" s="278">
        <v>37.790805315</v>
      </c>
      <c r="K40" s="260"/>
      <c r="L40" s="279">
        <v>794.72112221999998</v>
      </c>
      <c r="M40" s="278">
        <v>0.74164435640000004</v>
      </c>
      <c r="N40" s="261"/>
      <c r="O40" s="279">
        <v>1961.7190212851001</v>
      </c>
      <c r="P40" s="278">
        <v>1.8213856859999999</v>
      </c>
    </row>
    <row r="41" spans="2:16" s="258" customFormat="1" ht="12.75" customHeight="1" x14ac:dyDescent="0.2">
      <c r="B41" s="95" t="s">
        <v>31</v>
      </c>
      <c r="C41" s="259"/>
      <c r="D41" s="279">
        <v>9990.2962325512999</v>
      </c>
      <c r="E41" s="256"/>
      <c r="F41" s="279">
        <v>2631.4225281938002</v>
      </c>
      <c r="G41" s="278">
        <v>25.598266754699999</v>
      </c>
      <c r="H41" s="256"/>
      <c r="I41" s="279">
        <v>4049.7859691486001</v>
      </c>
      <c r="J41" s="278">
        <v>35.949525719</v>
      </c>
      <c r="K41" s="260"/>
      <c r="L41" s="279">
        <v>335.2480424391</v>
      </c>
      <c r="M41" s="278">
        <v>2.9165299904999999</v>
      </c>
      <c r="N41" s="261"/>
      <c r="O41" s="279">
        <v>86.038083723900002</v>
      </c>
      <c r="P41" s="278">
        <v>0.86443829019999996</v>
      </c>
    </row>
    <row r="42" spans="2:16" s="258" customFormat="1" ht="12.75" customHeight="1" x14ac:dyDescent="0.2">
      <c r="B42" s="95" t="s">
        <v>32</v>
      </c>
      <c r="C42" s="259"/>
      <c r="D42" s="280">
        <v>120393.775231073</v>
      </c>
      <c r="E42" s="256"/>
      <c r="F42" s="279">
        <v>61081.213853512701</v>
      </c>
      <c r="G42" s="278">
        <v>46.667301917099998</v>
      </c>
      <c r="H42" s="256"/>
      <c r="I42" s="279">
        <v>34044.801846595299</v>
      </c>
      <c r="J42" s="278">
        <v>25.297954392699999</v>
      </c>
      <c r="K42" s="260"/>
      <c r="L42" s="279">
        <v>3067.4969299610998</v>
      </c>
      <c r="M42" s="278">
        <v>2.3882826750000001</v>
      </c>
      <c r="N42" s="261"/>
      <c r="O42" s="279">
        <v>0</v>
      </c>
      <c r="P42" s="278">
        <v>0</v>
      </c>
    </row>
    <row r="43" spans="2:16" s="258" customFormat="1" ht="12.75" customHeight="1" x14ac:dyDescent="0.2">
      <c r="B43" s="95" t="s">
        <v>33</v>
      </c>
      <c r="C43" s="259"/>
      <c r="D43" s="279">
        <v>79131.568151900501</v>
      </c>
      <c r="E43" s="256"/>
      <c r="F43" s="279">
        <v>41691.036991435998</v>
      </c>
      <c r="G43" s="278">
        <v>49.054136296199999</v>
      </c>
      <c r="H43" s="256"/>
      <c r="I43" s="279">
        <v>21670.031357301301</v>
      </c>
      <c r="J43" s="278">
        <v>25.735399788500001</v>
      </c>
      <c r="K43" s="260"/>
      <c r="L43" s="279">
        <v>2421.8315604700001</v>
      </c>
      <c r="M43" s="278">
        <v>2.7536036395000001</v>
      </c>
      <c r="N43" s="261"/>
      <c r="O43" s="279">
        <v>3572.3001388153002</v>
      </c>
      <c r="P43" s="278">
        <v>4.3520791750000001</v>
      </c>
    </row>
    <row r="44" spans="2:16" s="258" customFormat="1" ht="12.75" customHeight="1" x14ac:dyDescent="0.2">
      <c r="B44" s="95" t="s">
        <v>34</v>
      </c>
      <c r="C44" s="259"/>
      <c r="D44" s="279">
        <v>38002.810686510398</v>
      </c>
      <c r="E44" s="256"/>
      <c r="F44" s="279">
        <v>17497.316636701002</v>
      </c>
      <c r="G44" s="278">
        <v>42.718567821100002</v>
      </c>
      <c r="H44" s="256"/>
      <c r="I44" s="279">
        <v>13521.9082586696</v>
      </c>
      <c r="J44" s="278">
        <v>33.412542790899998</v>
      </c>
      <c r="K44" s="260"/>
      <c r="L44" s="279">
        <v>1881.5199962621</v>
      </c>
      <c r="M44" s="278">
        <v>4.3072851675999999</v>
      </c>
      <c r="N44" s="261"/>
      <c r="O44" s="279">
        <v>382.45950090870002</v>
      </c>
      <c r="P44" s="278">
        <v>0.86730423970000003</v>
      </c>
    </row>
    <row r="45" spans="2:16" ht="6" customHeight="1" x14ac:dyDescent="0.25">
      <c r="B45" s="262"/>
      <c r="C45" s="263"/>
      <c r="D45" s="264"/>
      <c r="E45" s="265"/>
      <c r="F45" s="264"/>
      <c r="G45" s="266"/>
      <c r="H45" s="266"/>
      <c r="I45" s="264"/>
      <c r="J45" s="266"/>
      <c r="K45" s="267"/>
      <c r="L45" s="264"/>
      <c r="M45" s="266"/>
      <c r="N45" s="268"/>
      <c r="O45" s="264"/>
      <c r="P45" s="266"/>
    </row>
    <row r="46" spans="2:16" ht="6" customHeight="1" x14ac:dyDescent="0.25">
      <c r="B46" s="228"/>
      <c r="C46" s="238"/>
      <c r="D46" s="145"/>
      <c r="E46" s="269"/>
      <c r="F46" s="145"/>
      <c r="G46" s="270"/>
      <c r="H46" s="270"/>
      <c r="I46" s="145"/>
      <c r="J46" s="270"/>
      <c r="K46" s="271"/>
      <c r="L46" s="145"/>
      <c r="M46" s="270"/>
      <c r="N46" s="272"/>
      <c r="O46" s="145"/>
      <c r="P46" s="270"/>
    </row>
    <row r="47" spans="2:16" ht="12.75" customHeight="1" x14ac:dyDescent="0.25">
      <c r="B47" s="273" t="s">
        <v>93</v>
      </c>
      <c r="C47" s="238"/>
      <c r="D47" s="145"/>
      <c r="E47" s="269"/>
      <c r="F47" s="145"/>
      <c r="G47" s="270"/>
      <c r="H47" s="270"/>
      <c r="I47" s="145"/>
      <c r="J47" s="270"/>
      <c r="K47" s="271"/>
      <c r="L47" s="145"/>
      <c r="M47" s="270"/>
      <c r="N47" s="272"/>
      <c r="O47" s="145"/>
      <c r="P47" s="270"/>
    </row>
    <row r="48" spans="2:16" ht="12" customHeight="1" x14ac:dyDescent="0.25">
      <c r="B48" s="4" t="s">
        <v>69</v>
      </c>
      <c r="C48" s="238"/>
      <c r="D48" s="145"/>
      <c r="E48" s="269"/>
      <c r="F48" s="145"/>
      <c r="G48" s="270"/>
      <c r="H48" s="270"/>
      <c r="I48" s="145"/>
      <c r="J48" s="270"/>
      <c r="K48" s="271"/>
      <c r="L48" s="145"/>
      <c r="M48" s="270"/>
      <c r="N48" s="272"/>
      <c r="O48" s="145"/>
      <c r="P48" s="270"/>
    </row>
    <row r="49" spans="2:16" ht="12" customHeight="1" x14ac:dyDescent="0.25">
      <c r="B49" s="4" t="s">
        <v>70</v>
      </c>
      <c r="C49" s="238"/>
      <c r="D49" s="145"/>
      <c r="E49" s="269"/>
      <c r="F49" s="145"/>
      <c r="G49" s="270"/>
      <c r="H49" s="270"/>
      <c r="I49" s="145"/>
      <c r="J49" s="270"/>
      <c r="K49" s="271"/>
      <c r="L49" s="145"/>
      <c r="M49" s="270"/>
      <c r="N49" s="272"/>
      <c r="O49" s="145"/>
      <c r="P49" s="270"/>
    </row>
    <row r="50" spans="2:16" ht="12" customHeight="1" x14ac:dyDescent="0.25">
      <c r="B50" s="4" t="s">
        <v>71</v>
      </c>
      <c r="C50" s="238"/>
      <c r="D50" s="145"/>
      <c r="E50" s="269"/>
      <c r="F50" s="145"/>
      <c r="G50" s="270"/>
      <c r="H50" s="270"/>
      <c r="I50" s="145"/>
      <c r="J50" s="270"/>
      <c r="K50" s="271"/>
      <c r="L50" s="145"/>
      <c r="M50" s="270"/>
      <c r="N50" s="272"/>
      <c r="O50" s="145"/>
      <c r="P50" s="270"/>
    </row>
    <row r="51" spans="2:16" s="13" customFormat="1" ht="14.25" x14ac:dyDescent="0.2">
      <c r="B51" s="109" t="s">
        <v>57</v>
      </c>
    </row>
  </sheetData>
  <mergeCells count="8">
    <mergeCell ref="B5:N5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084CF249-8CB0-42EF-ADA1-65E550ACB0F9}"/>
  </hyperlinks>
  <pageMargins left="0.70866141732283472" right="0.70866141732283472" top="0.74803149606299213" bottom="0.74803149606299213" header="0.31496062992125984" footer="0.31496062992125984"/>
  <pageSetup orientation="portrait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73ADC-8209-4984-8DDA-3A61B79DB73F}">
  <dimension ref="B1:T52"/>
  <sheetViews>
    <sheetView showGridLines="0" zoomScaleNormal="100" workbookViewId="0"/>
  </sheetViews>
  <sheetFormatPr baseColWidth="10" defaultColWidth="11.42578125" defaultRowHeight="15" x14ac:dyDescent="0.25"/>
  <cols>
    <col min="1" max="1" width="1.7109375" style="293" customWidth="1"/>
    <col min="2" max="2" width="24.28515625" style="293" customWidth="1"/>
    <col min="3" max="3" width="0.85546875" style="329" customWidth="1"/>
    <col min="4" max="4" width="18.7109375" style="330" customWidth="1"/>
    <col min="5" max="5" width="1.7109375" style="330" customWidth="1"/>
    <col min="6" max="6" width="12.7109375" style="330" customWidth="1"/>
    <col min="7" max="7" width="12.7109375" style="331" customWidth="1"/>
    <col min="8" max="8" width="1.7109375" style="330" customWidth="1"/>
    <col min="9" max="9" width="12.7109375" style="330" customWidth="1"/>
    <col min="10" max="10" width="12.7109375" style="331" customWidth="1"/>
    <col min="11" max="11" width="1.7109375" style="330" customWidth="1"/>
    <col min="12" max="12" width="12.7109375" style="330" customWidth="1"/>
    <col min="13" max="13" width="12.7109375" style="331" customWidth="1"/>
    <col min="14" max="14" width="1.7109375" style="330" customWidth="1"/>
    <col min="15" max="15" width="12.7109375" style="293" customWidth="1"/>
    <col min="16" max="16" width="12.7109375" style="332" customWidth="1"/>
    <col min="17" max="17" width="1.7109375" style="293" customWidth="1"/>
    <col min="18" max="16384" width="11.42578125" style="293"/>
  </cols>
  <sheetData>
    <row r="1" spans="2:20" s="283" customFormat="1" ht="12" customHeight="1" x14ac:dyDescent="0.2">
      <c r="B1" s="640" t="s">
        <v>202</v>
      </c>
      <c r="D1" s="284"/>
      <c r="E1" s="284"/>
      <c r="F1" s="284"/>
      <c r="G1" s="284"/>
      <c r="H1" s="284"/>
      <c r="I1" s="284"/>
      <c r="K1" s="284"/>
      <c r="L1" s="284"/>
      <c r="M1" s="284"/>
      <c r="N1" s="284"/>
      <c r="S1" s="72" t="s">
        <v>151</v>
      </c>
    </row>
    <row r="2" spans="2:20" s="283" customFormat="1" ht="6.95" customHeight="1" x14ac:dyDescent="0.2">
      <c r="B2" s="640"/>
      <c r="D2" s="284"/>
      <c r="E2" s="284"/>
      <c r="F2" s="284"/>
      <c r="G2" s="284"/>
      <c r="H2" s="284"/>
      <c r="I2" s="284"/>
      <c r="J2" s="284"/>
      <c r="K2" s="284"/>
      <c r="L2" s="284"/>
      <c r="M2" s="284"/>
      <c r="N2" s="284"/>
    </row>
    <row r="3" spans="2:20" s="283" customFormat="1" ht="15" customHeight="1" x14ac:dyDescent="0.2">
      <c r="B3" s="640" t="s">
        <v>199</v>
      </c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S3" s="282"/>
    </row>
    <row r="4" spans="2:20" s="283" customFormat="1" ht="6.95" customHeight="1" x14ac:dyDescent="0.2">
      <c r="C4" s="285"/>
      <c r="D4" s="284"/>
      <c r="E4" s="284"/>
      <c r="F4" s="284"/>
      <c r="G4" s="284"/>
      <c r="H4" s="284"/>
      <c r="I4" s="284"/>
      <c r="J4" s="284"/>
      <c r="K4" s="284"/>
      <c r="L4" s="284"/>
      <c r="M4" s="284"/>
      <c r="N4" s="284"/>
    </row>
    <row r="5" spans="2:20" s="283" customFormat="1" ht="25.5" customHeight="1" x14ac:dyDescent="0.2">
      <c r="B5" s="691" t="s">
        <v>153</v>
      </c>
      <c r="C5" s="691"/>
      <c r="D5" s="691"/>
      <c r="E5" s="691"/>
      <c r="F5" s="691"/>
      <c r="G5" s="691"/>
      <c r="H5" s="691"/>
      <c r="I5" s="691"/>
      <c r="J5" s="691"/>
      <c r="K5" s="691"/>
      <c r="L5" s="691"/>
      <c r="M5" s="691"/>
      <c r="N5" s="691"/>
      <c r="O5" s="286"/>
      <c r="P5" s="287"/>
      <c r="Q5" s="288"/>
      <c r="R5" s="57"/>
      <c r="S5" s="71" t="s">
        <v>112</v>
      </c>
    </row>
    <row r="6" spans="2:20" ht="6" customHeight="1" x14ac:dyDescent="0.25">
      <c r="B6" s="289"/>
      <c r="C6" s="290"/>
      <c r="D6" s="291"/>
      <c r="E6" s="291"/>
      <c r="F6" s="291"/>
      <c r="G6" s="291"/>
      <c r="H6" s="291"/>
      <c r="I6" s="291"/>
      <c r="J6" s="291"/>
      <c r="K6" s="291"/>
      <c r="L6" s="291"/>
      <c r="M6" s="291"/>
      <c r="N6" s="291"/>
      <c r="O6" s="292"/>
      <c r="P6" s="292"/>
      <c r="Q6" s="292"/>
      <c r="R6" s="292"/>
      <c r="S6" s="292"/>
    </row>
    <row r="7" spans="2:20" ht="15" customHeight="1" x14ac:dyDescent="0.25">
      <c r="B7" s="682" t="s">
        <v>76</v>
      </c>
      <c r="C7" s="682"/>
      <c r="D7" s="692" t="s">
        <v>108</v>
      </c>
      <c r="E7" s="294"/>
      <c r="F7" s="695" t="s">
        <v>124</v>
      </c>
      <c r="G7" s="695"/>
      <c r="H7" s="695"/>
      <c r="I7" s="695"/>
      <c r="J7" s="695"/>
      <c r="K7" s="695"/>
      <c r="L7" s="695"/>
      <c r="M7" s="695"/>
      <c r="N7" s="695"/>
      <c r="O7" s="695"/>
      <c r="P7" s="695"/>
      <c r="Q7" s="695"/>
      <c r="R7" s="695"/>
      <c r="S7" s="695"/>
    </row>
    <row r="8" spans="2:20" ht="24.75" customHeight="1" x14ac:dyDescent="0.25">
      <c r="B8" s="683"/>
      <c r="C8" s="683"/>
      <c r="D8" s="693"/>
      <c r="E8" s="295"/>
      <c r="F8" s="696" t="s">
        <v>125</v>
      </c>
      <c r="G8" s="696"/>
      <c r="H8" s="296"/>
      <c r="I8" s="695" t="s">
        <v>126</v>
      </c>
      <c r="J8" s="695"/>
      <c r="K8" s="297"/>
      <c r="L8" s="695" t="s">
        <v>127</v>
      </c>
      <c r="M8" s="695"/>
      <c r="N8" s="297"/>
      <c r="O8" s="695" t="s">
        <v>62</v>
      </c>
      <c r="P8" s="695"/>
      <c r="Q8" s="297"/>
      <c r="R8" s="695" t="s">
        <v>39</v>
      </c>
      <c r="S8" s="695"/>
    </row>
    <row r="9" spans="2:20" x14ac:dyDescent="0.25">
      <c r="B9" s="684"/>
      <c r="C9" s="684"/>
      <c r="D9" s="694"/>
      <c r="E9" s="298"/>
      <c r="F9" s="299" t="s">
        <v>0</v>
      </c>
      <c r="G9" s="299" t="s">
        <v>1</v>
      </c>
      <c r="H9" s="299"/>
      <c r="I9" s="299" t="s">
        <v>0</v>
      </c>
      <c r="J9" s="299" t="s">
        <v>1</v>
      </c>
      <c r="K9" s="300"/>
      <c r="L9" s="299" t="s">
        <v>0</v>
      </c>
      <c r="M9" s="299" t="s">
        <v>1</v>
      </c>
      <c r="N9" s="300"/>
      <c r="O9" s="299" t="s">
        <v>0</v>
      </c>
      <c r="P9" s="299" t="s">
        <v>1</v>
      </c>
      <c r="Q9" s="300"/>
      <c r="R9" s="299" t="s">
        <v>0</v>
      </c>
      <c r="S9" s="299" t="s">
        <v>1</v>
      </c>
    </row>
    <row r="10" spans="2:20" ht="6" customHeight="1" x14ac:dyDescent="0.25">
      <c r="B10" s="31"/>
      <c r="C10" s="301"/>
      <c r="D10" s="302"/>
      <c r="E10" s="302"/>
      <c r="F10" s="302"/>
      <c r="G10" s="302"/>
      <c r="H10" s="302"/>
      <c r="I10" s="302"/>
      <c r="J10" s="302"/>
      <c r="K10" s="302"/>
      <c r="L10" s="302"/>
      <c r="M10" s="302"/>
      <c r="N10" s="303"/>
      <c r="O10" s="303"/>
      <c r="P10" s="303"/>
      <c r="Q10" s="303"/>
      <c r="R10" s="303"/>
      <c r="S10" s="303"/>
      <c r="T10" s="304"/>
    </row>
    <row r="11" spans="2:20" s="307" customFormat="1" ht="11.25" x14ac:dyDescent="0.2">
      <c r="B11" s="94" t="s">
        <v>2</v>
      </c>
      <c r="C11" s="305"/>
      <c r="D11" s="334">
        <v>2705604.3977930201</v>
      </c>
      <c r="E11" s="87"/>
      <c r="F11" s="334">
        <v>574895.89056925301</v>
      </c>
      <c r="G11" s="334">
        <v>20.9344581615</v>
      </c>
      <c r="H11" s="87"/>
      <c r="I11" s="334">
        <v>1831985.5723399699</v>
      </c>
      <c r="J11" s="334">
        <v>66.849777141999994</v>
      </c>
      <c r="K11" s="87"/>
      <c r="L11" s="334">
        <v>1638064.08105502</v>
      </c>
      <c r="M11" s="334">
        <v>59.669005755400001</v>
      </c>
      <c r="N11" s="87"/>
      <c r="O11" s="334">
        <v>21664.727106837399</v>
      </c>
      <c r="P11" s="334">
        <v>0.78398396459999997</v>
      </c>
      <c r="Q11" s="87"/>
      <c r="R11" s="334">
        <v>246.14483704029999</v>
      </c>
      <c r="S11" s="334">
        <v>8.9644231000000005E-3</v>
      </c>
      <c r="T11" s="306"/>
    </row>
    <row r="12" spans="2:20" s="311" customFormat="1" ht="6" customHeight="1" x14ac:dyDescent="0.2">
      <c r="B12" s="254"/>
      <c r="C12" s="308"/>
      <c r="D12" s="89"/>
      <c r="E12" s="89"/>
      <c r="F12" s="89"/>
      <c r="G12" s="309"/>
      <c r="H12" s="89"/>
      <c r="I12" s="89"/>
      <c r="J12" s="309"/>
      <c r="K12" s="89"/>
      <c r="L12" s="89"/>
      <c r="M12" s="309"/>
      <c r="N12" s="89"/>
      <c r="O12" s="89"/>
      <c r="P12" s="309"/>
      <c r="Q12" s="89"/>
      <c r="R12" s="89"/>
      <c r="S12" s="309"/>
      <c r="T12" s="310"/>
    </row>
    <row r="13" spans="2:20" s="311" customFormat="1" ht="12.75" customHeight="1" x14ac:dyDescent="0.2">
      <c r="B13" s="95" t="s">
        <v>3</v>
      </c>
      <c r="C13" s="312"/>
      <c r="D13" s="279">
        <v>43831.615796227001</v>
      </c>
      <c r="E13" s="89"/>
      <c r="F13" s="279">
        <v>5819.0208835875001</v>
      </c>
      <c r="G13" s="279">
        <v>12.3775692812</v>
      </c>
      <c r="H13" s="89"/>
      <c r="I13" s="279">
        <v>29403.992586083201</v>
      </c>
      <c r="J13" s="279">
        <v>62.742558816600003</v>
      </c>
      <c r="K13" s="89"/>
      <c r="L13" s="279">
        <v>21009.846059275402</v>
      </c>
      <c r="M13" s="279">
        <v>46.262413232599997</v>
      </c>
      <c r="N13" s="89"/>
      <c r="O13" s="279">
        <v>0</v>
      </c>
      <c r="P13" s="279">
        <v>0</v>
      </c>
      <c r="Q13" s="89"/>
      <c r="R13" s="279">
        <v>0</v>
      </c>
      <c r="S13" s="279">
        <v>0</v>
      </c>
      <c r="T13" s="310"/>
    </row>
    <row r="14" spans="2:20" s="311" customFormat="1" ht="12.75" customHeight="1" x14ac:dyDescent="0.2">
      <c r="B14" s="95" t="s">
        <v>4</v>
      </c>
      <c r="C14" s="312"/>
      <c r="D14" s="279">
        <v>103590.605849019</v>
      </c>
      <c r="E14" s="89"/>
      <c r="F14" s="279">
        <v>27900.6192742397</v>
      </c>
      <c r="G14" s="279">
        <v>24.984583433299999</v>
      </c>
      <c r="H14" s="89"/>
      <c r="I14" s="279">
        <v>69868.852030093505</v>
      </c>
      <c r="J14" s="279">
        <v>64.055833377300004</v>
      </c>
      <c r="K14" s="89"/>
      <c r="L14" s="279">
        <v>57262.413159108102</v>
      </c>
      <c r="M14" s="279">
        <v>51.963301853899999</v>
      </c>
      <c r="N14" s="89"/>
      <c r="O14" s="279">
        <v>0</v>
      </c>
      <c r="P14" s="279">
        <v>0</v>
      </c>
      <c r="Q14" s="89"/>
      <c r="R14" s="279">
        <v>0</v>
      </c>
      <c r="S14" s="279">
        <v>0</v>
      </c>
      <c r="T14" s="310"/>
    </row>
    <row r="15" spans="2:20" s="311" customFormat="1" ht="12.75" customHeight="1" x14ac:dyDescent="0.2">
      <c r="B15" s="95" t="s">
        <v>5</v>
      </c>
      <c r="C15" s="312"/>
      <c r="D15" s="279">
        <v>19753.2576826599</v>
      </c>
      <c r="E15" s="89"/>
      <c r="F15" s="279">
        <v>5645.1108760171001</v>
      </c>
      <c r="G15" s="279">
        <v>27.282014103200002</v>
      </c>
      <c r="H15" s="89"/>
      <c r="I15" s="279">
        <v>15509.9734266532</v>
      </c>
      <c r="J15" s="279">
        <v>75.341392548200005</v>
      </c>
      <c r="K15" s="89"/>
      <c r="L15" s="279">
        <v>9981.2742641273999</v>
      </c>
      <c r="M15" s="279">
        <v>45.6040910547</v>
      </c>
      <c r="N15" s="89"/>
      <c r="O15" s="279">
        <v>0</v>
      </c>
      <c r="P15" s="279">
        <v>0</v>
      </c>
      <c r="Q15" s="89"/>
      <c r="R15" s="279">
        <v>0</v>
      </c>
      <c r="S15" s="279">
        <v>0</v>
      </c>
      <c r="T15" s="310"/>
    </row>
    <row r="16" spans="2:20" s="311" customFormat="1" ht="12.75" customHeight="1" x14ac:dyDescent="0.2">
      <c r="B16" s="95" t="s">
        <v>6</v>
      </c>
      <c r="C16" s="312"/>
      <c r="D16" s="279">
        <v>18766.971717702501</v>
      </c>
      <c r="E16" s="89"/>
      <c r="F16" s="279">
        <v>4539.1543520170999</v>
      </c>
      <c r="G16" s="279">
        <v>21.492864399999998</v>
      </c>
      <c r="H16" s="89"/>
      <c r="I16" s="279">
        <v>9294.5981064264997</v>
      </c>
      <c r="J16" s="279">
        <v>47.597889731499997</v>
      </c>
      <c r="K16" s="89"/>
      <c r="L16" s="279">
        <v>14242.0275720318</v>
      </c>
      <c r="M16" s="279">
        <v>73.823434387600003</v>
      </c>
      <c r="N16" s="89"/>
      <c r="O16" s="279">
        <v>30.720873903000001</v>
      </c>
      <c r="P16" s="279">
        <v>0.11195601970000001</v>
      </c>
      <c r="Q16" s="89"/>
      <c r="R16" s="279">
        <v>0</v>
      </c>
      <c r="S16" s="279">
        <v>0</v>
      </c>
      <c r="T16" s="310"/>
    </row>
    <row r="17" spans="2:20" s="311" customFormat="1" ht="12.75" customHeight="1" x14ac:dyDescent="0.2">
      <c r="B17" s="95" t="s">
        <v>7</v>
      </c>
      <c r="C17" s="312"/>
      <c r="D17" s="279">
        <v>67875.599453346105</v>
      </c>
      <c r="E17" s="89"/>
      <c r="F17" s="279">
        <v>12552.2597813543</v>
      </c>
      <c r="G17" s="279">
        <v>17.077425775399998</v>
      </c>
      <c r="H17" s="89"/>
      <c r="I17" s="279">
        <v>43352.022591124201</v>
      </c>
      <c r="J17" s="279">
        <v>60.547458404499999</v>
      </c>
      <c r="K17" s="89"/>
      <c r="L17" s="279">
        <v>40451.6907825284</v>
      </c>
      <c r="M17" s="279">
        <v>55.131255853500001</v>
      </c>
      <c r="N17" s="89"/>
      <c r="O17" s="279">
        <v>0</v>
      </c>
      <c r="P17" s="279">
        <v>0</v>
      </c>
      <c r="Q17" s="89"/>
      <c r="R17" s="279">
        <v>0</v>
      </c>
      <c r="S17" s="279">
        <v>0</v>
      </c>
      <c r="T17" s="310"/>
    </row>
    <row r="18" spans="2:20" s="311" customFormat="1" ht="12.75" customHeight="1" x14ac:dyDescent="0.2">
      <c r="B18" s="95" t="s">
        <v>8</v>
      </c>
      <c r="C18" s="312"/>
      <c r="D18" s="279">
        <v>23430.075541800699</v>
      </c>
      <c r="E18" s="89"/>
      <c r="F18" s="279">
        <v>1559.5178321414</v>
      </c>
      <c r="G18" s="279">
        <v>6.2268200898000003</v>
      </c>
      <c r="H18" s="89"/>
      <c r="I18" s="279">
        <v>15495.602497768199</v>
      </c>
      <c r="J18" s="279">
        <v>63.507439509699999</v>
      </c>
      <c r="K18" s="89"/>
      <c r="L18" s="279">
        <v>12147.369714209601</v>
      </c>
      <c r="M18" s="279">
        <v>47.090794845200001</v>
      </c>
      <c r="N18" s="89"/>
      <c r="O18" s="279">
        <v>0</v>
      </c>
      <c r="P18" s="279">
        <v>1.3480059799999999E-2</v>
      </c>
      <c r="Q18" s="89"/>
      <c r="R18" s="279">
        <v>0</v>
      </c>
      <c r="S18" s="279">
        <v>0</v>
      </c>
      <c r="T18" s="310"/>
    </row>
    <row r="19" spans="2:20" s="311" customFormat="1" ht="12.75" customHeight="1" x14ac:dyDescent="0.2">
      <c r="B19" s="95" t="s">
        <v>9</v>
      </c>
      <c r="C19" s="312"/>
      <c r="D19" s="279">
        <v>60220.730363601797</v>
      </c>
      <c r="E19" s="313"/>
      <c r="F19" s="279">
        <v>13267.090096891799</v>
      </c>
      <c r="G19" s="333">
        <v>19.896002553500001</v>
      </c>
      <c r="H19" s="313"/>
      <c r="I19" s="279">
        <v>33298.332503318401</v>
      </c>
      <c r="J19" s="333">
        <v>50.921756672800001</v>
      </c>
      <c r="K19" s="314"/>
      <c r="L19" s="279">
        <v>38402.416451344798</v>
      </c>
      <c r="M19" s="333">
        <v>59.100077233</v>
      </c>
      <c r="N19" s="315"/>
      <c r="O19" s="279">
        <v>57.096933503199999</v>
      </c>
      <c r="P19" s="333">
        <v>9.9992550000000003E-3</v>
      </c>
      <c r="Q19" s="316"/>
      <c r="R19" s="335">
        <v>0</v>
      </c>
      <c r="S19" s="335">
        <v>0</v>
      </c>
      <c r="T19" s="310"/>
    </row>
    <row r="20" spans="2:20" s="311" customFormat="1" ht="12.75" customHeight="1" x14ac:dyDescent="0.2">
      <c r="B20" s="95" t="s">
        <v>10</v>
      </c>
      <c r="C20" s="312"/>
      <c r="D20" s="279">
        <v>85295.8780996024</v>
      </c>
      <c r="E20" s="313"/>
      <c r="F20" s="279">
        <v>15495.471671643299</v>
      </c>
      <c r="G20" s="333">
        <v>17.207407873000001</v>
      </c>
      <c r="H20" s="313"/>
      <c r="I20" s="279">
        <v>57571.280733113803</v>
      </c>
      <c r="J20" s="333">
        <v>63.778124872900001</v>
      </c>
      <c r="K20" s="314"/>
      <c r="L20" s="279">
        <v>44666.237560141599</v>
      </c>
      <c r="M20" s="333">
        <v>49.818075480300003</v>
      </c>
      <c r="N20" s="315"/>
      <c r="O20" s="279">
        <v>0</v>
      </c>
      <c r="P20" s="333">
        <v>0</v>
      </c>
      <c r="Q20" s="316"/>
      <c r="R20" s="335">
        <v>0</v>
      </c>
      <c r="S20" s="335">
        <v>0</v>
      </c>
      <c r="T20" s="310"/>
    </row>
    <row r="21" spans="2:20" s="311" customFormat="1" ht="12.75" customHeight="1" x14ac:dyDescent="0.2">
      <c r="B21" s="95" t="s">
        <v>11</v>
      </c>
      <c r="C21" s="312"/>
      <c r="D21" s="279">
        <v>176880.66773494199</v>
      </c>
      <c r="E21" s="313"/>
      <c r="F21" s="279">
        <v>21436.252175592301</v>
      </c>
      <c r="G21" s="333">
        <v>11.405178360200001</v>
      </c>
      <c r="H21" s="313"/>
      <c r="I21" s="279">
        <v>117646.190441517</v>
      </c>
      <c r="J21" s="333">
        <v>62.934411673100001</v>
      </c>
      <c r="K21" s="314"/>
      <c r="L21" s="279">
        <v>76011.177954024999</v>
      </c>
      <c r="M21" s="333">
        <v>40.0398420163</v>
      </c>
      <c r="N21" s="315"/>
      <c r="O21" s="279">
        <v>0</v>
      </c>
      <c r="P21" s="333">
        <v>0</v>
      </c>
      <c r="Q21" s="316"/>
      <c r="R21" s="335">
        <v>0</v>
      </c>
      <c r="S21" s="335">
        <v>0</v>
      </c>
      <c r="T21" s="310"/>
    </row>
    <row r="22" spans="2:20" s="311" customFormat="1" ht="12.75" customHeight="1" x14ac:dyDescent="0.2">
      <c r="B22" s="95" t="s">
        <v>12</v>
      </c>
      <c r="C22" s="312"/>
      <c r="D22" s="279">
        <v>43246.016770551701</v>
      </c>
      <c r="E22" s="313"/>
      <c r="F22" s="279">
        <v>11565.547858440699</v>
      </c>
      <c r="G22" s="333">
        <v>25.7022800156</v>
      </c>
      <c r="H22" s="313"/>
      <c r="I22" s="279">
        <v>30091.4452614902</v>
      </c>
      <c r="J22" s="333">
        <v>66.996890375500001</v>
      </c>
      <c r="K22" s="314"/>
      <c r="L22" s="279">
        <v>25406.387388359901</v>
      </c>
      <c r="M22" s="333">
        <v>54.8828155713</v>
      </c>
      <c r="N22" s="315"/>
      <c r="O22" s="279">
        <v>35.621573528299997</v>
      </c>
      <c r="P22" s="333">
        <v>6.4906426099999998E-2</v>
      </c>
      <c r="Q22" s="316"/>
      <c r="R22" s="335">
        <v>0</v>
      </c>
      <c r="S22" s="335">
        <v>0</v>
      </c>
      <c r="T22" s="310"/>
    </row>
    <row r="23" spans="2:20" s="311" customFormat="1" ht="12.75" customHeight="1" x14ac:dyDescent="0.2">
      <c r="B23" s="95" t="s">
        <v>13</v>
      </c>
      <c r="C23" s="312"/>
      <c r="D23" s="279">
        <v>97206.407527995601</v>
      </c>
      <c r="E23" s="313"/>
      <c r="F23" s="279">
        <v>15639.916555177</v>
      </c>
      <c r="G23" s="333">
        <v>14.4422842028</v>
      </c>
      <c r="H23" s="313"/>
      <c r="I23" s="279">
        <v>64343.2578328206</v>
      </c>
      <c r="J23" s="333">
        <v>62.7257773814</v>
      </c>
      <c r="K23" s="314"/>
      <c r="L23" s="279">
        <v>49698.0564546272</v>
      </c>
      <c r="M23" s="333">
        <v>47.655908873199998</v>
      </c>
      <c r="N23" s="315"/>
      <c r="O23" s="279">
        <v>105.51498776219999</v>
      </c>
      <c r="P23" s="333">
        <v>0.1193082917</v>
      </c>
      <c r="Q23" s="316"/>
      <c r="R23" s="335">
        <v>0</v>
      </c>
      <c r="S23" s="335">
        <v>0</v>
      </c>
      <c r="T23" s="310"/>
    </row>
    <row r="24" spans="2:20" s="311" customFormat="1" ht="12.75" customHeight="1" x14ac:dyDescent="0.2">
      <c r="B24" s="95" t="s">
        <v>14</v>
      </c>
      <c r="C24" s="312"/>
      <c r="D24" s="279">
        <v>45295.861840896898</v>
      </c>
      <c r="E24" s="313"/>
      <c r="F24" s="279">
        <v>9885.3079821009997</v>
      </c>
      <c r="G24" s="333">
        <v>19.228398810600002</v>
      </c>
      <c r="H24" s="313"/>
      <c r="I24" s="279">
        <v>18432.7110744536</v>
      </c>
      <c r="J24" s="333">
        <v>36.217252215400002</v>
      </c>
      <c r="K24" s="314"/>
      <c r="L24" s="279">
        <v>30442.026716541201</v>
      </c>
      <c r="M24" s="333">
        <v>63.667868486400003</v>
      </c>
      <c r="N24" s="315"/>
      <c r="O24" s="279">
        <v>123.9376135558</v>
      </c>
      <c r="P24" s="333">
        <v>0.38692613729999997</v>
      </c>
      <c r="Q24" s="316"/>
      <c r="R24" s="335">
        <v>0</v>
      </c>
      <c r="S24" s="335">
        <v>0</v>
      </c>
      <c r="T24" s="310"/>
    </row>
    <row r="25" spans="2:20" s="311" customFormat="1" ht="12.75" customHeight="1" x14ac:dyDescent="0.2">
      <c r="B25" s="95" t="s">
        <v>15</v>
      </c>
      <c r="C25" s="312"/>
      <c r="D25" s="279">
        <v>41046.552745830697</v>
      </c>
      <c r="E25" s="313"/>
      <c r="F25" s="279">
        <v>9613.9119572016007</v>
      </c>
      <c r="G25" s="333">
        <v>21.542818911600001</v>
      </c>
      <c r="H25" s="313"/>
      <c r="I25" s="279">
        <v>21448.979411266799</v>
      </c>
      <c r="J25" s="333">
        <v>47.302372772399998</v>
      </c>
      <c r="K25" s="314"/>
      <c r="L25" s="279">
        <v>25520.7983025713</v>
      </c>
      <c r="M25" s="333">
        <v>58.606671887399997</v>
      </c>
      <c r="N25" s="315"/>
      <c r="O25" s="279">
        <v>0</v>
      </c>
      <c r="P25" s="333">
        <v>0</v>
      </c>
      <c r="Q25" s="316"/>
      <c r="R25" s="335">
        <v>0</v>
      </c>
      <c r="S25" s="335">
        <v>0</v>
      </c>
      <c r="T25" s="310"/>
    </row>
    <row r="26" spans="2:20" s="311" customFormat="1" ht="12.75" customHeight="1" x14ac:dyDescent="0.2">
      <c r="B26" s="95" t="s">
        <v>16</v>
      </c>
      <c r="C26" s="312"/>
      <c r="D26" s="279">
        <v>272268.24088733998</v>
      </c>
      <c r="E26" s="313"/>
      <c r="F26" s="279">
        <v>37946.543358312701</v>
      </c>
      <c r="G26" s="333">
        <v>13.2915339259</v>
      </c>
      <c r="H26" s="313"/>
      <c r="I26" s="279">
        <v>226421.12595552401</v>
      </c>
      <c r="J26" s="333">
        <v>80.537877824999995</v>
      </c>
      <c r="K26" s="314"/>
      <c r="L26" s="279">
        <v>152647.22627331599</v>
      </c>
      <c r="M26" s="333">
        <v>52.6334389393</v>
      </c>
      <c r="N26" s="315"/>
      <c r="O26" s="279">
        <v>203.34818892729999</v>
      </c>
      <c r="P26" s="333">
        <v>7.0579367200000007E-2</v>
      </c>
      <c r="Q26" s="316"/>
      <c r="R26" s="335">
        <v>0</v>
      </c>
      <c r="S26" s="335">
        <v>0</v>
      </c>
      <c r="T26" s="310"/>
    </row>
    <row r="27" spans="2:20" s="311" customFormat="1" ht="12.75" customHeight="1" x14ac:dyDescent="0.2">
      <c r="B27" s="95" t="s">
        <v>17</v>
      </c>
      <c r="C27" s="312"/>
      <c r="D27" s="279">
        <v>196544.11703371801</v>
      </c>
      <c r="E27" s="313"/>
      <c r="F27" s="279">
        <v>21687.720948915699</v>
      </c>
      <c r="G27" s="333">
        <v>11.193789970099999</v>
      </c>
      <c r="H27" s="313"/>
      <c r="I27" s="279">
        <v>126252.741858458</v>
      </c>
      <c r="J27" s="333">
        <v>59.595586899700002</v>
      </c>
      <c r="K27" s="314"/>
      <c r="L27" s="279">
        <v>131853.53759754801</v>
      </c>
      <c r="M27" s="333">
        <v>60.877474488300003</v>
      </c>
      <c r="N27" s="315"/>
      <c r="O27" s="279">
        <v>0</v>
      </c>
      <c r="P27" s="333">
        <v>0</v>
      </c>
      <c r="Q27" s="316"/>
      <c r="R27" s="335">
        <v>0</v>
      </c>
      <c r="S27" s="335">
        <v>0</v>
      </c>
      <c r="T27" s="310"/>
    </row>
    <row r="28" spans="2:20" s="311" customFormat="1" ht="12.75" customHeight="1" x14ac:dyDescent="0.2">
      <c r="B28" s="95" t="s">
        <v>18</v>
      </c>
      <c r="C28" s="312"/>
      <c r="D28" s="279">
        <v>82344.333547885995</v>
      </c>
      <c r="E28" s="313"/>
      <c r="F28" s="279">
        <v>16652.060419052901</v>
      </c>
      <c r="G28" s="333">
        <v>17.190087417600001</v>
      </c>
      <c r="H28" s="313"/>
      <c r="I28" s="279">
        <v>53783.255658348397</v>
      </c>
      <c r="J28" s="333">
        <v>61.942917424999997</v>
      </c>
      <c r="K28" s="314"/>
      <c r="L28" s="279">
        <v>45661.474528786697</v>
      </c>
      <c r="M28" s="333">
        <v>54.046413683300003</v>
      </c>
      <c r="N28" s="315"/>
      <c r="O28" s="279">
        <v>0</v>
      </c>
      <c r="P28" s="333">
        <v>0</v>
      </c>
      <c r="Q28" s="316"/>
      <c r="R28" s="335">
        <v>0</v>
      </c>
      <c r="S28" s="335">
        <v>0</v>
      </c>
      <c r="T28" s="310"/>
    </row>
    <row r="29" spans="2:20" s="311" customFormat="1" ht="12.75" customHeight="1" x14ac:dyDescent="0.2">
      <c r="B29" s="95" t="s">
        <v>19</v>
      </c>
      <c r="C29" s="312"/>
      <c r="D29" s="279">
        <v>23649.370561565102</v>
      </c>
      <c r="E29" s="313"/>
      <c r="F29" s="279">
        <v>2178.8512624784998</v>
      </c>
      <c r="G29" s="333">
        <v>8.5098789288999992</v>
      </c>
      <c r="H29" s="313"/>
      <c r="I29" s="279">
        <v>12842.2156547946</v>
      </c>
      <c r="J29" s="333">
        <v>51.011666578700002</v>
      </c>
      <c r="K29" s="314"/>
      <c r="L29" s="279">
        <v>13052.151206714399</v>
      </c>
      <c r="M29" s="333">
        <v>51.702375578400002</v>
      </c>
      <c r="N29" s="315"/>
      <c r="O29" s="279">
        <v>0</v>
      </c>
      <c r="P29" s="333">
        <v>0</v>
      </c>
      <c r="Q29" s="316"/>
      <c r="R29" s="335">
        <v>0</v>
      </c>
      <c r="S29" s="335">
        <v>0</v>
      </c>
      <c r="T29" s="310"/>
    </row>
    <row r="30" spans="2:20" s="311" customFormat="1" ht="12.75" customHeight="1" x14ac:dyDescent="0.2">
      <c r="B30" s="95" t="s">
        <v>20</v>
      </c>
      <c r="C30" s="312"/>
      <c r="D30" s="279">
        <v>35437.585236328297</v>
      </c>
      <c r="E30" s="313"/>
      <c r="F30" s="279">
        <v>3968.4930892412999</v>
      </c>
      <c r="G30" s="333">
        <v>9.5478152424000005</v>
      </c>
      <c r="H30" s="313"/>
      <c r="I30" s="279">
        <v>19599.7829212549</v>
      </c>
      <c r="J30" s="333">
        <v>52.297410991</v>
      </c>
      <c r="K30" s="314"/>
      <c r="L30" s="279">
        <v>21413.119671292399</v>
      </c>
      <c r="M30" s="333">
        <v>57.485228678399999</v>
      </c>
      <c r="N30" s="315"/>
      <c r="O30" s="279">
        <v>717.82305875170005</v>
      </c>
      <c r="P30" s="333">
        <v>1.7701492833000001</v>
      </c>
      <c r="Q30" s="316"/>
      <c r="R30" s="335">
        <v>0</v>
      </c>
      <c r="S30" s="335">
        <v>0</v>
      </c>
      <c r="T30" s="310"/>
    </row>
    <row r="31" spans="2:20" s="311" customFormat="1" ht="12.75" customHeight="1" x14ac:dyDescent="0.2">
      <c r="B31" s="95" t="s">
        <v>21</v>
      </c>
      <c r="C31" s="312"/>
      <c r="D31" s="279">
        <v>195630.12466723699</v>
      </c>
      <c r="E31" s="313"/>
      <c r="F31" s="279">
        <v>29916.559149706001</v>
      </c>
      <c r="G31" s="333">
        <v>14.2939627197</v>
      </c>
      <c r="H31" s="313"/>
      <c r="I31" s="279">
        <v>134194.39535866</v>
      </c>
      <c r="J31" s="333">
        <v>65.080249407300002</v>
      </c>
      <c r="K31" s="314"/>
      <c r="L31" s="279">
        <v>110107.43464932501</v>
      </c>
      <c r="M31" s="333">
        <v>54.044011553799997</v>
      </c>
      <c r="N31" s="315"/>
      <c r="O31" s="279">
        <v>0</v>
      </c>
      <c r="P31" s="333">
        <v>0</v>
      </c>
      <c r="Q31" s="316"/>
      <c r="R31" s="335">
        <v>0</v>
      </c>
      <c r="S31" s="335">
        <v>0</v>
      </c>
      <c r="T31" s="310"/>
    </row>
    <row r="32" spans="2:20" s="311" customFormat="1" ht="12.75" customHeight="1" x14ac:dyDescent="0.2">
      <c r="B32" s="95" t="s">
        <v>22</v>
      </c>
      <c r="C32" s="312"/>
      <c r="D32" s="279">
        <v>64653.356858022104</v>
      </c>
      <c r="E32" s="313"/>
      <c r="F32" s="279">
        <v>7031.2558524323003</v>
      </c>
      <c r="G32" s="333">
        <v>9.2537896641999993</v>
      </c>
      <c r="H32" s="313"/>
      <c r="I32" s="279">
        <v>23247.853778495599</v>
      </c>
      <c r="J32" s="333">
        <v>33.212014013999998</v>
      </c>
      <c r="K32" s="314"/>
      <c r="L32" s="279">
        <v>49110.679149247</v>
      </c>
      <c r="M32" s="333">
        <v>71.302242114999999</v>
      </c>
      <c r="N32" s="315"/>
      <c r="O32" s="279">
        <v>0</v>
      </c>
      <c r="P32" s="333">
        <v>0</v>
      </c>
      <c r="Q32" s="316"/>
      <c r="R32" s="335">
        <v>0</v>
      </c>
      <c r="S32" s="335">
        <v>0</v>
      </c>
      <c r="T32" s="310"/>
    </row>
    <row r="33" spans="2:20" s="311" customFormat="1" ht="12.75" customHeight="1" x14ac:dyDescent="0.2">
      <c r="B33" s="95" t="s">
        <v>23</v>
      </c>
      <c r="C33" s="312"/>
      <c r="D33" s="279">
        <v>68630.982230065201</v>
      </c>
      <c r="E33" s="313"/>
      <c r="F33" s="279">
        <v>8275.3655839062994</v>
      </c>
      <c r="G33" s="333">
        <v>11.1242301447</v>
      </c>
      <c r="H33" s="313"/>
      <c r="I33" s="279">
        <v>36260.561372918397</v>
      </c>
      <c r="J33" s="333">
        <v>49.298098559800003</v>
      </c>
      <c r="K33" s="314"/>
      <c r="L33" s="279">
        <v>40961.953199473799</v>
      </c>
      <c r="M33" s="333">
        <v>55.877714268799998</v>
      </c>
      <c r="N33" s="315"/>
      <c r="O33" s="279">
        <v>0</v>
      </c>
      <c r="P33" s="333">
        <v>0</v>
      </c>
      <c r="Q33" s="316"/>
      <c r="R33" s="335">
        <v>0</v>
      </c>
      <c r="S33" s="335">
        <v>0</v>
      </c>
      <c r="T33" s="310"/>
    </row>
    <row r="34" spans="2:20" s="311" customFormat="1" ht="12.75" customHeight="1" x14ac:dyDescent="0.2">
      <c r="B34" s="95" t="s">
        <v>24</v>
      </c>
      <c r="C34" s="312"/>
      <c r="D34" s="279">
        <v>61536.420879668403</v>
      </c>
      <c r="E34" s="313"/>
      <c r="F34" s="279">
        <v>9709.3607235490999</v>
      </c>
      <c r="G34" s="333">
        <v>15.7172234448</v>
      </c>
      <c r="H34" s="313"/>
      <c r="I34" s="279">
        <v>40850.318743013799</v>
      </c>
      <c r="J34" s="333">
        <v>55.264511139100001</v>
      </c>
      <c r="K34" s="314"/>
      <c r="L34" s="279">
        <v>29469.3619200717</v>
      </c>
      <c r="M34" s="333">
        <v>44.341565471999999</v>
      </c>
      <c r="N34" s="315"/>
      <c r="O34" s="279">
        <v>182.78881694969999</v>
      </c>
      <c r="P34" s="333">
        <v>0.22362037909999999</v>
      </c>
      <c r="Q34" s="316"/>
      <c r="R34" s="335">
        <v>0</v>
      </c>
      <c r="S34" s="335">
        <v>0</v>
      </c>
      <c r="T34" s="310"/>
    </row>
    <row r="35" spans="2:20" s="311" customFormat="1" ht="12.75" customHeight="1" x14ac:dyDescent="0.2">
      <c r="B35" s="95" t="s">
        <v>25</v>
      </c>
      <c r="C35" s="312"/>
      <c r="D35" s="279">
        <v>50570.569877203001</v>
      </c>
      <c r="E35" s="313"/>
      <c r="F35" s="279">
        <v>6252.7640222801001</v>
      </c>
      <c r="G35" s="333">
        <v>11.414514481099999</v>
      </c>
      <c r="H35" s="313"/>
      <c r="I35" s="279">
        <v>35408.324507414101</v>
      </c>
      <c r="J35" s="333">
        <v>63.960791169499998</v>
      </c>
      <c r="K35" s="314"/>
      <c r="L35" s="279">
        <v>23966.251984771799</v>
      </c>
      <c r="M35" s="333">
        <v>45.847769430100001</v>
      </c>
      <c r="N35" s="315"/>
      <c r="O35" s="279">
        <v>334.07788330480003</v>
      </c>
      <c r="P35" s="333">
        <v>0.61668401630000003</v>
      </c>
      <c r="Q35" s="316"/>
      <c r="R35" s="335">
        <v>0</v>
      </c>
      <c r="S35" s="335">
        <v>0</v>
      </c>
      <c r="T35" s="310"/>
    </row>
    <row r="36" spans="2:20" s="311" customFormat="1" ht="12.75" customHeight="1" x14ac:dyDescent="0.2">
      <c r="B36" s="95" t="s">
        <v>26</v>
      </c>
      <c r="C36" s="312"/>
      <c r="D36" s="279">
        <v>49490.5210206392</v>
      </c>
      <c r="E36" s="313"/>
      <c r="F36" s="279">
        <v>12822.170392399699</v>
      </c>
      <c r="G36" s="333">
        <v>24.706841172099999</v>
      </c>
      <c r="H36" s="313"/>
      <c r="I36" s="279">
        <v>35104.883307451797</v>
      </c>
      <c r="J36" s="333">
        <v>67.028622882099995</v>
      </c>
      <c r="K36" s="314"/>
      <c r="L36" s="279">
        <v>30404.896417190499</v>
      </c>
      <c r="M36" s="333">
        <v>57.269522612000003</v>
      </c>
      <c r="N36" s="315"/>
      <c r="O36" s="279">
        <v>62.165836712199997</v>
      </c>
      <c r="P36" s="333">
        <v>0.10197146059999999</v>
      </c>
      <c r="Q36" s="316"/>
      <c r="R36" s="335">
        <v>0</v>
      </c>
      <c r="S36" s="335">
        <v>0</v>
      </c>
      <c r="T36" s="310"/>
    </row>
    <row r="37" spans="2:20" s="311" customFormat="1" ht="12.75" customHeight="1" x14ac:dyDescent="0.2">
      <c r="B37" s="95" t="s">
        <v>27</v>
      </c>
      <c r="C37" s="312"/>
      <c r="D37" s="279">
        <v>59985.944400418797</v>
      </c>
      <c r="E37" s="313"/>
      <c r="F37" s="279">
        <v>5478.6739218774001</v>
      </c>
      <c r="G37" s="333">
        <v>8.4384646456999999</v>
      </c>
      <c r="H37" s="313"/>
      <c r="I37" s="279">
        <v>42263.5453282706</v>
      </c>
      <c r="J37" s="333">
        <v>67.154815435700002</v>
      </c>
      <c r="K37" s="314"/>
      <c r="L37" s="279">
        <v>35720.6142811682</v>
      </c>
      <c r="M37" s="333">
        <v>56.3389060477</v>
      </c>
      <c r="N37" s="315"/>
      <c r="O37" s="279">
        <v>0</v>
      </c>
      <c r="P37" s="333">
        <v>0</v>
      </c>
      <c r="Q37" s="316"/>
      <c r="R37" s="335">
        <v>0</v>
      </c>
      <c r="S37" s="335">
        <v>0</v>
      </c>
      <c r="T37" s="310"/>
    </row>
    <row r="38" spans="2:20" s="311" customFormat="1" ht="12.75" customHeight="1" x14ac:dyDescent="0.2">
      <c r="B38" s="95" t="s">
        <v>28</v>
      </c>
      <c r="C38" s="312"/>
      <c r="D38" s="279">
        <v>109569.155323285</v>
      </c>
      <c r="E38" s="313"/>
      <c r="F38" s="279">
        <v>18052.436883643801</v>
      </c>
      <c r="G38" s="333">
        <v>15.337461273900001</v>
      </c>
      <c r="H38" s="313"/>
      <c r="I38" s="279">
        <v>74747.583421714604</v>
      </c>
      <c r="J38" s="333">
        <v>63.993064041700002</v>
      </c>
      <c r="K38" s="314"/>
      <c r="L38" s="279">
        <v>64503.792190796499</v>
      </c>
      <c r="M38" s="333">
        <v>56.211716119800002</v>
      </c>
      <c r="N38" s="315"/>
      <c r="O38" s="279">
        <v>0</v>
      </c>
      <c r="P38" s="333">
        <v>0</v>
      </c>
      <c r="Q38" s="316"/>
      <c r="R38" s="335">
        <v>0</v>
      </c>
      <c r="S38" s="335">
        <v>0</v>
      </c>
      <c r="T38" s="310"/>
    </row>
    <row r="39" spans="2:20" s="311" customFormat="1" ht="12.75" customHeight="1" x14ac:dyDescent="0.2">
      <c r="B39" s="95" t="s">
        <v>29</v>
      </c>
      <c r="C39" s="312"/>
      <c r="D39" s="279">
        <v>46983.705623928501</v>
      </c>
      <c r="E39" s="313"/>
      <c r="F39" s="279">
        <v>14494.9322156373</v>
      </c>
      <c r="G39" s="333">
        <v>28.2526207051</v>
      </c>
      <c r="H39" s="313"/>
      <c r="I39" s="279">
        <v>20231.053893529301</v>
      </c>
      <c r="J39" s="333">
        <v>39.863781706600001</v>
      </c>
      <c r="K39" s="314"/>
      <c r="L39" s="279">
        <v>31195.453742197798</v>
      </c>
      <c r="M39" s="333">
        <v>63.329755227299998</v>
      </c>
      <c r="N39" s="315"/>
      <c r="O39" s="279">
        <v>0</v>
      </c>
      <c r="P39" s="333">
        <v>0</v>
      </c>
      <c r="Q39" s="316"/>
      <c r="R39" s="335">
        <v>0</v>
      </c>
      <c r="S39" s="335">
        <v>0</v>
      </c>
      <c r="T39" s="310"/>
    </row>
    <row r="40" spans="2:20" s="311" customFormat="1" ht="12.75" customHeight="1" x14ac:dyDescent="0.2">
      <c r="B40" s="95" t="s">
        <v>30</v>
      </c>
      <c r="C40" s="312"/>
      <c r="D40" s="279">
        <v>98813.782740603099</v>
      </c>
      <c r="E40" s="313"/>
      <c r="F40" s="279">
        <v>17673.508333618</v>
      </c>
      <c r="G40" s="333">
        <v>16.620326470399998</v>
      </c>
      <c r="H40" s="313"/>
      <c r="I40" s="279">
        <v>73825.004693428506</v>
      </c>
      <c r="J40" s="333">
        <v>72.588975680100006</v>
      </c>
      <c r="K40" s="314"/>
      <c r="L40" s="279">
        <v>49856.376592473804</v>
      </c>
      <c r="M40" s="333">
        <v>47.610212123099998</v>
      </c>
      <c r="N40" s="315"/>
      <c r="O40" s="279">
        <v>0</v>
      </c>
      <c r="P40" s="333">
        <v>0</v>
      </c>
      <c r="Q40" s="316"/>
      <c r="R40" s="335">
        <v>0</v>
      </c>
      <c r="S40" s="335">
        <v>0</v>
      </c>
      <c r="T40" s="310"/>
    </row>
    <row r="41" spans="2:20" s="311" customFormat="1" ht="12.75" customHeight="1" x14ac:dyDescent="0.2">
      <c r="B41" s="95" t="s">
        <v>31</v>
      </c>
      <c r="C41" s="312"/>
      <c r="D41" s="279">
        <v>9990.2962325512999</v>
      </c>
      <c r="E41" s="313"/>
      <c r="F41" s="279">
        <v>2413.6775479195999</v>
      </c>
      <c r="G41" s="333">
        <v>22.359714214499999</v>
      </c>
      <c r="H41" s="313"/>
      <c r="I41" s="279">
        <v>3977.0489176046999</v>
      </c>
      <c r="J41" s="333">
        <v>37.679170212700001</v>
      </c>
      <c r="K41" s="314"/>
      <c r="L41" s="279">
        <v>7153.0519693480001</v>
      </c>
      <c r="M41" s="333">
        <v>66.171957289199995</v>
      </c>
      <c r="N41" s="315"/>
      <c r="O41" s="279">
        <v>0</v>
      </c>
      <c r="P41" s="333">
        <v>0</v>
      </c>
      <c r="Q41" s="316"/>
      <c r="R41" s="335">
        <v>0</v>
      </c>
      <c r="S41" s="335">
        <v>0</v>
      </c>
      <c r="T41" s="310"/>
    </row>
    <row r="42" spans="2:20" s="311" customFormat="1" ht="12.75" customHeight="1" x14ac:dyDescent="0.2">
      <c r="B42" s="95" t="s">
        <v>32</v>
      </c>
      <c r="C42" s="312"/>
      <c r="D42" s="279">
        <v>120393.775231073</v>
      </c>
      <c r="E42" s="313"/>
      <c r="F42" s="279">
        <v>33447.662521611703</v>
      </c>
      <c r="G42" s="333">
        <v>25.337319837500001</v>
      </c>
      <c r="H42" s="313"/>
      <c r="I42" s="279">
        <v>76676.590833783295</v>
      </c>
      <c r="J42" s="333">
        <v>60.013104463499999</v>
      </c>
      <c r="K42" s="314"/>
      <c r="L42" s="279">
        <v>72172.504596073995</v>
      </c>
      <c r="M42" s="333">
        <v>54.466481613900001</v>
      </c>
      <c r="N42" s="315"/>
      <c r="O42" s="279">
        <v>0</v>
      </c>
      <c r="P42" s="333">
        <v>0</v>
      </c>
      <c r="Q42" s="316"/>
      <c r="R42" s="335">
        <v>0</v>
      </c>
      <c r="S42" s="335">
        <v>0</v>
      </c>
      <c r="T42" s="310"/>
    </row>
    <row r="43" spans="2:20" s="311" customFormat="1" ht="12.75" customHeight="1" x14ac:dyDescent="0.2">
      <c r="B43" s="95" t="s">
        <v>33</v>
      </c>
      <c r="C43" s="312"/>
      <c r="D43" s="279">
        <v>79131.568151900501</v>
      </c>
      <c r="E43" s="313"/>
      <c r="F43" s="279">
        <v>20170.5538337894</v>
      </c>
      <c r="G43" s="333">
        <v>22.865462594499999</v>
      </c>
      <c r="H43" s="313"/>
      <c r="I43" s="279">
        <v>42106.584217989199</v>
      </c>
      <c r="J43" s="333">
        <v>50.160482354000003</v>
      </c>
      <c r="K43" s="314"/>
      <c r="L43" s="279">
        <v>55650.966426924802</v>
      </c>
      <c r="M43" s="333">
        <v>67.495426317600007</v>
      </c>
      <c r="N43" s="315"/>
      <c r="O43" s="279">
        <v>0</v>
      </c>
      <c r="P43" s="333">
        <v>0</v>
      </c>
      <c r="Q43" s="316"/>
      <c r="R43" s="335">
        <v>0</v>
      </c>
      <c r="S43" s="335">
        <v>0</v>
      </c>
      <c r="T43" s="310"/>
    </row>
    <row r="44" spans="2:20" s="311" customFormat="1" ht="12.75" customHeight="1" x14ac:dyDescent="0.2">
      <c r="B44" s="95" t="s">
        <v>34</v>
      </c>
      <c r="C44" s="312"/>
      <c r="D44" s="279">
        <v>38002.810686510398</v>
      </c>
      <c r="E44" s="313"/>
      <c r="F44" s="279">
        <v>7530.3305291759998</v>
      </c>
      <c r="G44" s="333">
        <v>17.725707057299999</v>
      </c>
      <c r="H44" s="313"/>
      <c r="I44" s="279">
        <v>21467.990017117601</v>
      </c>
      <c r="J44" s="333">
        <v>53.902882692699997</v>
      </c>
      <c r="K44" s="314"/>
      <c r="L44" s="279">
        <v>23679.539292544199</v>
      </c>
      <c r="M44" s="333">
        <v>58.464253429400003</v>
      </c>
      <c r="N44" s="315"/>
      <c r="O44" s="279">
        <v>0</v>
      </c>
      <c r="P44" s="333">
        <v>0</v>
      </c>
      <c r="Q44" s="316"/>
      <c r="R44" s="335">
        <v>0</v>
      </c>
      <c r="S44" s="335">
        <v>0</v>
      </c>
      <c r="T44" s="310"/>
    </row>
    <row r="45" spans="2:20" ht="6" customHeight="1" x14ac:dyDescent="0.25">
      <c r="B45" s="317"/>
      <c r="C45" s="318"/>
      <c r="D45" s="264"/>
      <c r="E45" s="319"/>
      <c r="F45" s="264"/>
      <c r="G45" s="320"/>
      <c r="H45" s="320"/>
      <c r="I45" s="264"/>
      <c r="J45" s="320"/>
      <c r="K45" s="321"/>
      <c r="L45" s="264"/>
      <c r="M45" s="320"/>
      <c r="N45" s="322"/>
      <c r="O45" s="264"/>
      <c r="P45" s="320"/>
      <c r="Q45" s="264"/>
      <c r="R45" s="264"/>
      <c r="S45" s="264"/>
      <c r="T45" s="304"/>
    </row>
    <row r="46" spans="2:20" ht="6" customHeight="1" x14ac:dyDescent="0.25">
      <c r="B46" s="228"/>
      <c r="C46" s="290"/>
      <c r="D46" s="145"/>
      <c r="E46" s="323"/>
      <c r="F46" s="145"/>
      <c r="G46" s="324"/>
      <c r="H46" s="324"/>
      <c r="I46" s="145"/>
      <c r="J46" s="324"/>
      <c r="K46" s="325"/>
      <c r="L46" s="145"/>
      <c r="M46" s="324"/>
      <c r="N46" s="326"/>
      <c r="O46" s="145"/>
      <c r="P46" s="324"/>
      <c r="Q46" s="327"/>
      <c r="R46" s="292"/>
      <c r="S46" s="292"/>
    </row>
    <row r="47" spans="2:20" ht="12.75" customHeight="1" x14ac:dyDescent="0.25">
      <c r="B47" s="273" t="s">
        <v>93</v>
      </c>
      <c r="C47" s="290"/>
      <c r="D47" s="145"/>
      <c r="E47" s="323"/>
      <c r="F47" s="145"/>
      <c r="G47" s="324"/>
      <c r="H47" s="324"/>
      <c r="I47" s="145"/>
      <c r="J47" s="324"/>
      <c r="K47" s="325"/>
      <c r="L47" s="145"/>
      <c r="M47" s="324"/>
      <c r="N47" s="326"/>
      <c r="O47" s="145"/>
      <c r="P47" s="324"/>
      <c r="Q47" s="327"/>
      <c r="R47" s="292"/>
      <c r="S47" s="292"/>
    </row>
    <row r="48" spans="2:20" ht="12.75" customHeight="1" x14ac:dyDescent="0.25">
      <c r="B48" s="328" t="s">
        <v>74</v>
      </c>
      <c r="C48" s="290"/>
      <c r="D48" s="145"/>
      <c r="E48" s="323"/>
      <c r="F48" s="145"/>
      <c r="G48" s="324"/>
      <c r="H48" s="324"/>
      <c r="I48" s="145"/>
      <c r="J48" s="324"/>
      <c r="K48" s="325"/>
      <c r="L48" s="145"/>
      <c r="M48" s="324"/>
      <c r="N48" s="326"/>
      <c r="O48" s="145"/>
      <c r="P48" s="324"/>
      <c r="Q48" s="327"/>
      <c r="R48" s="292"/>
      <c r="S48" s="292"/>
    </row>
    <row r="49" spans="2:19" ht="12" customHeight="1" x14ac:dyDescent="0.25">
      <c r="B49" s="4" t="s">
        <v>77</v>
      </c>
      <c r="C49" s="290"/>
      <c r="D49" s="145"/>
      <c r="E49" s="323"/>
      <c r="F49" s="145"/>
      <c r="G49" s="324"/>
      <c r="H49" s="324"/>
      <c r="I49" s="145"/>
      <c r="J49" s="324"/>
      <c r="K49" s="325"/>
      <c r="L49" s="145"/>
      <c r="M49" s="324"/>
      <c r="N49" s="326"/>
      <c r="O49" s="145"/>
      <c r="P49" s="324"/>
      <c r="Q49" s="327"/>
      <c r="R49" s="292"/>
      <c r="S49" s="292"/>
    </row>
    <row r="50" spans="2:19" ht="12" customHeight="1" x14ac:dyDescent="0.25">
      <c r="B50" s="4" t="s">
        <v>78</v>
      </c>
      <c r="C50" s="290"/>
      <c r="D50" s="145"/>
      <c r="E50" s="323"/>
      <c r="F50" s="145"/>
      <c r="G50" s="324"/>
      <c r="H50" s="324"/>
      <c r="I50" s="145"/>
      <c r="J50" s="324"/>
      <c r="K50" s="325"/>
      <c r="L50" s="145"/>
      <c r="M50" s="324"/>
      <c r="N50" s="326"/>
      <c r="O50" s="145"/>
      <c r="P50" s="324"/>
      <c r="Q50" s="327"/>
      <c r="R50" s="292"/>
      <c r="S50" s="292"/>
    </row>
    <row r="51" spans="2:19" ht="12" customHeight="1" x14ac:dyDescent="0.25">
      <c r="B51" s="4" t="s">
        <v>79</v>
      </c>
      <c r="C51" s="290"/>
      <c r="D51" s="145"/>
      <c r="E51" s="323"/>
      <c r="F51" s="145"/>
      <c r="G51" s="324"/>
      <c r="H51" s="324"/>
      <c r="I51" s="145"/>
      <c r="J51" s="324"/>
      <c r="K51" s="325"/>
      <c r="L51" s="145"/>
      <c r="M51" s="324"/>
      <c r="N51" s="326"/>
      <c r="O51" s="145"/>
      <c r="P51" s="324"/>
      <c r="Q51" s="327"/>
      <c r="R51" s="292"/>
      <c r="S51" s="292"/>
    </row>
    <row r="52" spans="2:19" s="13" customFormat="1" ht="14.25" x14ac:dyDescent="0.2">
      <c r="B52" s="109" t="s">
        <v>57</v>
      </c>
    </row>
  </sheetData>
  <mergeCells count="9">
    <mergeCell ref="B5:N5"/>
    <mergeCell ref="B7:C9"/>
    <mergeCell ref="D7:D9"/>
    <mergeCell ref="F7:S7"/>
    <mergeCell ref="F8:G8"/>
    <mergeCell ref="I8:J8"/>
    <mergeCell ref="L8:M8"/>
    <mergeCell ref="O8:P8"/>
    <mergeCell ref="R8:S8"/>
  </mergeCells>
  <hyperlinks>
    <hyperlink ref="S1" location="Índice!A1" tooltip="Ir a ÍNDICE" display="INDICE" xr:uid="{FC085C0D-1C68-45E6-B132-A2477E1AAC7F}"/>
  </hyperlinks>
  <pageMargins left="0.70866141732283472" right="0.70866141732283472" top="0.74803149606299213" bottom="0.74803149606299213" header="0.31496062992125984" footer="0.31496062992125984"/>
  <pageSetup orientation="portrait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AD3C8-104B-4E83-821E-BC99A7563D3B}">
  <dimension ref="B1:S49"/>
  <sheetViews>
    <sheetView showGridLines="0" zoomScaleNormal="100" workbookViewId="0"/>
  </sheetViews>
  <sheetFormatPr baseColWidth="10" defaultColWidth="11.42578125" defaultRowHeight="15" x14ac:dyDescent="0.25"/>
  <cols>
    <col min="1" max="1" width="1.7109375" style="345" customWidth="1"/>
    <col min="2" max="2" width="24.28515625" style="345" customWidth="1"/>
    <col min="3" max="3" width="0.85546875" style="369" customWidth="1"/>
    <col min="4" max="4" width="18.7109375" style="375" customWidth="1"/>
    <col min="5" max="5" width="1.7109375" style="375" customWidth="1"/>
    <col min="6" max="6" width="12.7109375" style="375" customWidth="1"/>
    <col min="7" max="7" width="12.7109375" style="376" customWidth="1"/>
    <col min="8" max="8" width="1.7109375" style="375" customWidth="1"/>
    <col min="9" max="9" width="12.7109375" style="375" customWidth="1"/>
    <col min="10" max="10" width="12.7109375" style="376" customWidth="1"/>
    <col min="11" max="11" width="1.7109375" style="375" customWidth="1"/>
    <col min="12" max="12" width="12.7109375" style="375" customWidth="1"/>
    <col min="13" max="13" width="12.7109375" style="376" customWidth="1"/>
    <col min="14" max="14" width="1.7109375" style="375" customWidth="1"/>
    <col min="15" max="15" width="12.7109375" style="345" customWidth="1"/>
    <col min="16" max="16" width="12.7109375" style="377" customWidth="1"/>
    <col min="17" max="16384" width="11.42578125" style="345"/>
  </cols>
  <sheetData>
    <row r="1" spans="2:19" s="337" customFormat="1" ht="12" customHeight="1" x14ac:dyDescent="0.2">
      <c r="B1" s="640" t="s">
        <v>202</v>
      </c>
      <c r="D1" s="338"/>
      <c r="E1" s="338"/>
      <c r="F1" s="338"/>
      <c r="G1" s="338"/>
      <c r="H1" s="338"/>
      <c r="I1" s="338"/>
      <c r="K1" s="338"/>
      <c r="L1" s="338"/>
      <c r="M1" s="338"/>
      <c r="N1" s="338"/>
      <c r="P1" s="72" t="s">
        <v>151</v>
      </c>
    </row>
    <row r="2" spans="2:19" s="337" customFormat="1" ht="6.95" customHeight="1" x14ac:dyDescent="0.2">
      <c r="B2" s="640"/>
      <c r="D2" s="338"/>
      <c r="E2" s="338"/>
      <c r="F2" s="338"/>
      <c r="G2" s="338"/>
      <c r="H2" s="338"/>
      <c r="I2" s="338"/>
      <c r="J2" s="338"/>
      <c r="K2" s="338"/>
      <c r="L2" s="338"/>
      <c r="M2" s="338"/>
      <c r="N2" s="338"/>
    </row>
    <row r="3" spans="2:19" s="337" customFormat="1" ht="15" customHeight="1" x14ac:dyDescent="0.2">
      <c r="B3" s="640" t="s">
        <v>199</v>
      </c>
      <c r="C3" s="336"/>
      <c r="D3" s="336"/>
      <c r="E3" s="336"/>
      <c r="F3" s="336"/>
      <c r="G3" s="336"/>
      <c r="H3" s="336"/>
      <c r="I3" s="336"/>
      <c r="J3" s="336"/>
      <c r="K3" s="336"/>
      <c r="L3" s="336"/>
      <c r="M3" s="336"/>
      <c r="N3" s="336"/>
      <c r="O3" s="336"/>
      <c r="P3" s="336"/>
      <c r="Q3" s="336"/>
      <c r="R3" s="336"/>
      <c r="S3" s="336"/>
    </row>
    <row r="4" spans="2:19" s="337" customFormat="1" ht="6.95" customHeight="1" x14ac:dyDescent="0.2">
      <c r="C4" s="339"/>
      <c r="D4" s="338"/>
      <c r="E4" s="338"/>
      <c r="F4" s="338"/>
      <c r="G4" s="338"/>
      <c r="H4" s="338"/>
      <c r="I4" s="338"/>
      <c r="J4" s="338"/>
      <c r="K4" s="338"/>
      <c r="L4" s="338"/>
      <c r="M4" s="338"/>
      <c r="N4" s="338"/>
    </row>
    <row r="5" spans="2:19" s="337" customFormat="1" ht="25.5" customHeight="1" x14ac:dyDescent="0.2">
      <c r="B5" s="697" t="s">
        <v>154</v>
      </c>
      <c r="C5" s="697"/>
      <c r="D5" s="697"/>
      <c r="E5" s="697"/>
      <c r="F5" s="697"/>
      <c r="G5" s="697"/>
      <c r="H5" s="697"/>
      <c r="I5" s="697"/>
      <c r="J5" s="697"/>
      <c r="K5" s="697"/>
      <c r="L5" s="697"/>
      <c r="M5" s="697"/>
      <c r="N5" s="697"/>
      <c r="O5" s="340"/>
      <c r="P5" s="71" t="s">
        <v>113</v>
      </c>
    </row>
    <row r="6" spans="2:19" ht="6" customHeight="1" x14ac:dyDescent="0.25">
      <c r="B6" s="341"/>
      <c r="C6" s="342"/>
      <c r="D6" s="343"/>
      <c r="E6" s="343"/>
      <c r="F6" s="343"/>
      <c r="G6" s="343"/>
      <c r="H6" s="343"/>
      <c r="I6" s="343"/>
      <c r="J6" s="343"/>
      <c r="K6" s="343"/>
      <c r="L6" s="343"/>
      <c r="M6" s="343"/>
      <c r="N6" s="343"/>
      <c r="O6" s="344"/>
      <c r="P6" s="344"/>
    </row>
    <row r="7" spans="2:19" ht="15" customHeight="1" x14ac:dyDescent="0.25">
      <c r="B7" s="682" t="s">
        <v>76</v>
      </c>
      <c r="C7" s="682"/>
      <c r="D7" s="698" t="s">
        <v>108</v>
      </c>
      <c r="E7" s="346"/>
      <c r="F7" s="701" t="s">
        <v>40</v>
      </c>
      <c r="G7" s="701"/>
      <c r="H7" s="701"/>
      <c r="I7" s="701"/>
      <c r="J7" s="701"/>
      <c r="K7" s="701"/>
      <c r="L7" s="701"/>
      <c r="M7" s="701"/>
      <c r="N7" s="701"/>
      <c r="O7" s="701"/>
      <c r="P7" s="701"/>
    </row>
    <row r="8" spans="2:19" ht="24.75" customHeight="1" x14ac:dyDescent="0.25">
      <c r="B8" s="683"/>
      <c r="C8" s="683"/>
      <c r="D8" s="699"/>
      <c r="E8" s="347"/>
      <c r="F8" s="702" t="s">
        <v>41</v>
      </c>
      <c r="G8" s="702"/>
      <c r="H8" s="348"/>
      <c r="I8" s="702" t="s">
        <v>42</v>
      </c>
      <c r="J8" s="702"/>
      <c r="K8" s="348"/>
      <c r="L8" s="702" t="s">
        <v>128</v>
      </c>
      <c r="M8" s="702"/>
      <c r="N8" s="349"/>
      <c r="O8" s="702" t="s">
        <v>43</v>
      </c>
      <c r="P8" s="702"/>
    </row>
    <row r="9" spans="2:19" x14ac:dyDescent="0.25">
      <c r="B9" s="684"/>
      <c r="C9" s="684"/>
      <c r="D9" s="700"/>
      <c r="E9" s="350"/>
      <c r="F9" s="351" t="s">
        <v>0</v>
      </c>
      <c r="G9" s="351" t="s">
        <v>1</v>
      </c>
      <c r="H9" s="351"/>
      <c r="I9" s="351" t="s">
        <v>0</v>
      </c>
      <c r="J9" s="351" t="s">
        <v>1</v>
      </c>
      <c r="K9" s="352"/>
      <c r="L9" s="351" t="s">
        <v>0</v>
      </c>
      <c r="M9" s="351" t="s">
        <v>1</v>
      </c>
      <c r="N9" s="352"/>
      <c r="O9" s="351" t="s">
        <v>0</v>
      </c>
      <c r="P9" s="351" t="s">
        <v>1</v>
      </c>
    </row>
    <row r="10" spans="2:19" ht="6" customHeight="1" x14ac:dyDescent="0.25">
      <c r="B10" s="10"/>
      <c r="C10" s="353"/>
      <c r="D10" s="354"/>
      <c r="E10" s="354"/>
      <c r="F10" s="355"/>
      <c r="G10" s="355"/>
      <c r="H10" s="355"/>
      <c r="I10" s="355"/>
      <c r="J10" s="355"/>
      <c r="K10" s="355"/>
      <c r="L10" s="355"/>
      <c r="M10" s="355"/>
      <c r="N10" s="356"/>
      <c r="O10" s="356"/>
      <c r="P10" s="356"/>
    </row>
    <row r="11" spans="2:19" s="357" customFormat="1" ht="11.25" x14ac:dyDescent="0.2">
      <c r="B11" s="96" t="s">
        <v>2</v>
      </c>
      <c r="D11" s="334">
        <v>2705604.3977930201</v>
      </c>
      <c r="E11" s="87"/>
      <c r="F11" s="334">
        <v>1154212.3940256999</v>
      </c>
      <c r="G11" s="334">
        <v>41.943863921499997</v>
      </c>
      <c r="H11" s="87"/>
      <c r="I11" s="334">
        <v>454988.396346714</v>
      </c>
      <c r="J11" s="334">
        <v>16.534918561600001</v>
      </c>
      <c r="K11" s="87"/>
      <c r="L11" s="334">
        <v>714063.546441874</v>
      </c>
      <c r="M11" s="334">
        <v>25.9703399367</v>
      </c>
      <c r="N11" s="87"/>
      <c r="O11" s="334">
        <v>281360.930633804</v>
      </c>
      <c r="P11" s="334">
        <v>10.204265042499999</v>
      </c>
    </row>
    <row r="12" spans="2:19" s="358" customFormat="1" ht="6" customHeight="1" x14ac:dyDescent="0.2">
      <c r="B12" s="96"/>
      <c r="D12" s="89"/>
      <c r="E12" s="89"/>
      <c r="F12" s="89"/>
      <c r="G12" s="309"/>
      <c r="H12" s="89"/>
      <c r="I12" s="89"/>
      <c r="J12" s="309"/>
      <c r="K12" s="89"/>
      <c r="L12" s="89"/>
      <c r="M12" s="309"/>
      <c r="N12" s="89"/>
      <c r="O12" s="89"/>
      <c r="P12" s="309"/>
    </row>
    <row r="13" spans="2:19" s="358" customFormat="1" ht="12.75" customHeight="1" x14ac:dyDescent="0.2">
      <c r="B13" s="95" t="s">
        <v>3</v>
      </c>
      <c r="C13" s="359"/>
      <c r="D13" s="279">
        <v>43831.615796227001</v>
      </c>
      <c r="E13" s="89"/>
      <c r="F13" s="279">
        <v>23727.230261059201</v>
      </c>
      <c r="G13" s="279">
        <v>51.802732649900001</v>
      </c>
      <c r="H13" s="89"/>
      <c r="I13" s="279">
        <v>6167.1693464992004</v>
      </c>
      <c r="J13" s="279">
        <v>12.9755128821</v>
      </c>
      <c r="K13" s="89"/>
      <c r="L13" s="279">
        <v>4822.9671994506998</v>
      </c>
      <c r="M13" s="279">
        <v>10.2631026059</v>
      </c>
      <c r="N13" s="89"/>
      <c r="O13" s="279">
        <v>2752.6973391747001</v>
      </c>
      <c r="P13" s="279">
        <v>6.0046996078000001</v>
      </c>
    </row>
    <row r="14" spans="2:19" s="358" customFormat="1" ht="12.75" customHeight="1" x14ac:dyDescent="0.2">
      <c r="B14" s="95" t="s">
        <v>4</v>
      </c>
      <c r="C14" s="359"/>
      <c r="D14" s="279">
        <v>103590.605849019</v>
      </c>
      <c r="E14" s="89"/>
      <c r="F14" s="279">
        <v>43452.7299062233</v>
      </c>
      <c r="G14" s="279">
        <v>39.406516532099999</v>
      </c>
      <c r="H14" s="89"/>
      <c r="I14" s="279">
        <v>13072.998481664001</v>
      </c>
      <c r="J14" s="279">
        <v>11.7962620789</v>
      </c>
      <c r="K14" s="89"/>
      <c r="L14" s="279">
        <v>19090.3371539736</v>
      </c>
      <c r="M14" s="279">
        <v>16.932293891</v>
      </c>
      <c r="N14" s="89"/>
      <c r="O14" s="279">
        <v>9859.9907246313996</v>
      </c>
      <c r="P14" s="279">
        <v>8.8301867575999999</v>
      </c>
    </row>
    <row r="15" spans="2:19" s="358" customFormat="1" ht="12.75" customHeight="1" x14ac:dyDescent="0.2">
      <c r="B15" s="95" t="s">
        <v>5</v>
      </c>
      <c r="C15" s="359"/>
      <c r="D15" s="279">
        <v>19753.2576826599</v>
      </c>
      <c r="E15" s="89"/>
      <c r="F15" s="279">
        <v>7314.2391217664999</v>
      </c>
      <c r="G15" s="279">
        <v>34.538398469900002</v>
      </c>
      <c r="H15" s="89"/>
      <c r="I15" s="279">
        <v>3701.1134306140998</v>
      </c>
      <c r="J15" s="279">
        <v>17.553043349500001</v>
      </c>
      <c r="K15" s="89"/>
      <c r="L15" s="279">
        <v>3721.1171549675</v>
      </c>
      <c r="M15" s="279">
        <v>16.772819367899999</v>
      </c>
      <c r="N15" s="89"/>
      <c r="O15" s="279">
        <v>1321.2764041307</v>
      </c>
      <c r="P15" s="279">
        <v>6.0687773455</v>
      </c>
    </row>
    <row r="16" spans="2:19" s="358" customFormat="1" ht="12.75" customHeight="1" x14ac:dyDescent="0.2">
      <c r="B16" s="95" t="s">
        <v>6</v>
      </c>
      <c r="C16" s="359"/>
      <c r="D16" s="279">
        <v>18766.971717702501</v>
      </c>
      <c r="E16" s="360"/>
      <c r="F16" s="279">
        <v>3796.1860099211999</v>
      </c>
      <c r="G16" s="378">
        <v>18.289147887599999</v>
      </c>
      <c r="H16" s="360"/>
      <c r="I16" s="279">
        <v>2441.6486835613</v>
      </c>
      <c r="J16" s="378">
        <v>11.7988660199</v>
      </c>
      <c r="K16" s="361"/>
      <c r="L16" s="279">
        <v>6070.2651209981004</v>
      </c>
      <c r="M16" s="378">
        <v>31.036304952199998</v>
      </c>
      <c r="N16" s="362"/>
      <c r="O16" s="279">
        <v>2753.4698605601002</v>
      </c>
      <c r="P16" s="378">
        <v>13.3938681128</v>
      </c>
    </row>
    <row r="17" spans="2:16" s="358" customFormat="1" ht="12.75" customHeight="1" x14ac:dyDescent="0.2">
      <c r="B17" s="95" t="s">
        <v>7</v>
      </c>
      <c r="C17" s="359"/>
      <c r="D17" s="279">
        <v>67875.599453346105</v>
      </c>
      <c r="E17" s="360"/>
      <c r="F17" s="279">
        <v>24994.1220832092</v>
      </c>
      <c r="G17" s="378">
        <v>33.298793069600002</v>
      </c>
      <c r="H17" s="360"/>
      <c r="I17" s="279">
        <v>15052.0606928462</v>
      </c>
      <c r="J17" s="378">
        <v>21.038002081799998</v>
      </c>
      <c r="K17" s="361"/>
      <c r="L17" s="279">
        <v>8838.4063501770997</v>
      </c>
      <c r="M17" s="378">
        <v>12.242644798700001</v>
      </c>
      <c r="N17" s="362"/>
      <c r="O17" s="279">
        <v>5644.2011454076001</v>
      </c>
      <c r="P17" s="378">
        <v>7.5079009314</v>
      </c>
    </row>
    <row r="18" spans="2:16" s="358" customFormat="1" ht="12.75" customHeight="1" x14ac:dyDescent="0.2">
      <c r="B18" s="95" t="s">
        <v>8</v>
      </c>
      <c r="C18" s="359"/>
      <c r="D18" s="279">
        <v>23430.075541800699</v>
      </c>
      <c r="E18" s="360"/>
      <c r="F18" s="279">
        <v>12115.1707799946</v>
      </c>
      <c r="G18" s="378">
        <v>49.490894621400003</v>
      </c>
      <c r="H18" s="360"/>
      <c r="I18" s="279">
        <v>3203.0712031816001</v>
      </c>
      <c r="J18" s="378">
        <v>12.448801701800001</v>
      </c>
      <c r="K18" s="361"/>
      <c r="L18" s="279">
        <v>3365.3223411231002</v>
      </c>
      <c r="M18" s="378">
        <v>12.855519511400001</v>
      </c>
      <c r="N18" s="362"/>
      <c r="O18" s="279">
        <v>1059.1868867057001</v>
      </c>
      <c r="P18" s="378">
        <v>3.9761314022000001</v>
      </c>
    </row>
    <row r="19" spans="2:16" s="358" customFormat="1" ht="12.75" customHeight="1" x14ac:dyDescent="0.2">
      <c r="B19" s="95" t="s">
        <v>9</v>
      </c>
      <c r="C19" s="359"/>
      <c r="D19" s="279">
        <v>60220.730363601797</v>
      </c>
      <c r="E19" s="360"/>
      <c r="F19" s="279">
        <v>8407.8329735436</v>
      </c>
      <c r="G19" s="378">
        <v>12.4823067125</v>
      </c>
      <c r="H19" s="360"/>
      <c r="I19" s="279">
        <v>3854.7957229545</v>
      </c>
      <c r="J19" s="378">
        <v>5.4916829332999999</v>
      </c>
      <c r="K19" s="361"/>
      <c r="L19" s="279">
        <v>25775.758054285499</v>
      </c>
      <c r="M19" s="378">
        <v>38.695458250000001</v>
      </c>
      <c r="N19" s="362"/>
      <c r="O19" s="279">
        <v>7960.6660094186</v>
      </c>
      <c r="P19" s="378">
        <v>11.829648978</v>
      </c>
    </row>
    <row r="20" spans="2:16" s="358" customFormat="1" ht="12.75" customHeight="1" x14ac:dyDescent="0.2">
      <c r="B20" s="95" t="s">
        <v>10</v>
      </c>
      <c r="C20" s="359"/>
      <c r="D20" s="279">
        <v>85295.8780996024</v>
      </c>
      <c r="E20" s="360"/>
      <c r="F20" s="279">
        <v>34853.654482956801</v>
      </c>
      <c r="G20" s="378">
        <v>38.586203039099999</v>
      </c>
      <c r="H20" s="360"/>
      <c r="I20" s="279">
        <v>16323.1849770972</v>
      </c>
      <c r="J20" s="378">
        <v>18.070828414200001</v>
      </c>
      <c r="K20" s="361"/>
      <c r="L20" s="279">
        <v>11322.7668308052</v>
      </c>
      <c r="M20" s="378">
        <v>12.5071353714</v>
      </c>
      <c r="N20" s="362"/>
      <c r="O20" s="279">
        <v>4978.8131617463996</v>
      </c>
      <c r="P20" s="378">
        <v>5.5503605263000004</v>
      </c>
    </row>
    <row r="21" spans="2:16" s="358" customFormat="1" ht="12.75" customHeight="1" x14ac:dyDescent="0.2">
      <c r="B21" s="95" t="s">
        <v>11</v>
      </c>
      <c r="C21" s="359"/>
      <c r="D21" s="279">
        <v>176880.66773494199</v>
      </c>
      <c r="E21" s="360"/>
      <c r="F21" s="279">
        <v>88266.799846617898</v>
      </c>
      <c r="G21" s="378">
        <v>46.806100886899998</v>
      </c>
      <c r="H21" s="360"/>
      <c r="I21" s="279">
        <v>32335.664449615</v>
      </c>
      <c r="J21" s="378">
        <v>17.086850854000001</v>
      </c>
      <c r="K21" s="361"/>
      <c r="L21" s="279">
        <v>18981.437144150499</v>
      </c>
      <c r="M21" s="378">
        <v>10.047462979300001</v>
      </c>
      <c r="N21" s="362"/>
      <c r="O21" s="279">
        <v>2287.1501374319</v>
      </c>
      <c r="P21" s="378">
        <v>1.2178957830999999</v>
      </c>
    </row>
    <row r="22" spans="2:16" s="358" customFormat="1" ht="12.75" customHeight="1" x14ac:dyDescent="0.2">
      <c r="B22" s="95" t="s">
        <v>12</v>
      </c>
      <c r="C22" s="359"/>
      <c r="D22" s="279">
        <v>43246.016770551701</v>
      </c>
      <c r="E22" s="360"/>
      <c r="F22" s="279">
        <v>15736.087868561601</v>
      </c>
      <c r="G22" s="378">
        <v>34.180658770999997</v>
      </c>
      <c r="H22" s="360"/>
      <c r="I22" s="279">
        <v>5708.8270384042999</v>
      </c>
      <c r="J22" s="378">
        <v>11.936606509400001</v>
      </c>
      <c r="K22" s="361"/>
      <c r="L22" s="279">
        <v>11447.0364005425</v>
      </c>
      <c r="M22" s="378">
        <v>25.123612962599999</v>
      </c>
      <c r="N22" s="362"/>
      <c r="O22" s="279">
        <v>2738.9106389671001</v>
      </c>
      <c r="P22" s="378">
        <v>5.6732435942999997</v>
      </c>
    </row>
    <row r="23" spans="2:16" s="358" customFormat="1" ht="12.75" customHeight="1" x14ac:dyDescent="0.2">
      <c r="B23" s="95" t="s">
        <v>13</v>
      </c>
      <c r="C23" s="359"/>
      <c r="D23" s="279">
        <v>97206.407527995601</v>
      </c>
      <c r="E23" s="360"/>
      <c r="F23" s="279">
        <v>39523.024827216701</v>
      </c>
      <c r="G23" s="378">
        <v>37.897407209199997</v>
      </c>
      <c r="H23" s="360"/>
      <c r="I23" s="279">
        <v>14743.696940015499</v>
      </c>
      <c r="J23" s="378">
        <v>14.316817819900001</v>
      </c>
      <c r="K23" s="361"/>
      <c r="L23" s="279">
        <v>22150.680516983</v>
      </c>
      <c r="M23" s="378">
        <v>20.862072549600001</v>
      </c>
      <c r="N23" s="362"/>
      <c r="O23" s="279">
        <v>4131.3877378889001</v>
      </c>
      <c r="P23" s="378">
        <v>3.9342135053999998</v>
      </c>
    </row>
    <row r="24" spans="2:16" s="358" customFormat="1" ht="12.75" customHeight="1" x14ac:dyDescent="0.2">
      <c r="B24" s="95" t="s">
        <v>14</v>
      </c>
      <c r="C24" s="359"/>
      <c r="D24" s="279">
        <v>45295.861840896898</v>
      </c>
      <c r="E24" s="360"/>
      <c r="F24" s="279">
        <v>4477.4263219022996</v>
      </c>
      <c r="G24" s="378">
        <v>8.6739835063000008</v>
      </c>
      <c r="H24" s="360"/>
      <c r="I24" s="279">
        <v>2773.2097882607</v>
      </c>
      <c r="J24" s="378">
        <v>5.5115405306999996</v>
      </c>
      <c r="K24" s="361"/>
      <c r="L24" s="279">
        <v>23650.469660676299</v>
      </c>
      <c r="M24" s="378">
        <v>49.298972721799998</v>
      </c>
      <c r="N24" s="362"/>
      <c r="O24" s="279">
        <v>4965.6284761026</v>
      </c>
      <c r="P24" s="378">
        <v>10.3011092144</v>
      </c>
    </row>
    <row r="25" spans="2:16" s="358" customFormat="1" ht="12.75" customHeight="1" x14ac:dyDescent="0.2">
      <c r="B25" s="95" t="s">
        <v>15</v>
      </c>
      <c r="C25" s="359"/>
      <c r="D25" s="279">
        <v>41046.552745830697</v>
      </c>
      <c r="E25" s="360"/>
      <c r="F25" s="279">
        <v>14205.5039003111</v>
      </c>
      <c r="G25" s="378">
        <v>31.6926532636</v>
      </c>
      <c r="H25" s="360"/>
      <c r="I25" s="279">
        <v>1884.732195863</v>
      </c>
      <c r="J25" s="378">
        <v>4.273579078</v>
      </c>
      <c r="K25" s="361"/>
      <c r="L25" s="279">
        <v>14182.586594283501</v>
      </c>
      <c r="M25" s="378">
        <v>31.674835227599999</v>
      </c>
      <c r="N25" s="362"/>
      <c r="O25" s="279">
        <v>1718.4479212501999</v>
      </c>
      <c r="P25" s="378">
        <v>3.7210151082</v>
      </c>
    </row>
    <row r="26" spans="2:16" s="358" customFormat="1" ht="12.75" customHeight="1" x14ac:dyDescent="0.2">
      <c r="B26" s="95" t="s">
        <v>16</v>
      </c>
      <c r="C26" s="359"/>
      <c r="D26" s="279">
        <v>272268.24088733998</v>
      </c>
      <c r="E26" s="360"/>
      <c r="F26" s="279">
        <v>139873.433005717</v>
      </c>
      <c r="G26" s="378">
        <v>48.199195506000002</v>
      </c>
      <c r="H26" s="360"/>
      <c r="I26" s="279">
        <v>31240.670791128199</v>
      </c>
      <c r="J26" s="378">
        <v>11.049447130600001</v>
      </c>
      <c r="K26" s="361"/>
      <c r="L26" s="279">
        <v>48343.197122007601</v>
      </c>
      <c r="M26" s="378">
        <v>16.726258264799998</v>
      </c>
      <c r="N26" s="362"/>
      <c r="O26" s="279">
        <v>14213.6398912036</v>
      </c>
      <c r="P26" s="378">
        <v>4.7798345357000001</v>
      </c>
    </row>
    <row r="27" spans="2:16" s="358" customFormat="1" ht="12.75" customHeight="1" x14ac:dyDescent="0.2">
      <c r="B27" s="95" t="s">
        <v>17</v>
      </c>
      <c r="C27" s="359"/>
      <c r="D27" s="279">
        <v>196544.11703371801</v>
      </c>
      <c r="E27" s="360"/>
      <c r="F27" s="279">
        <v>51581.703857779299</v>
      </c>
      <c r="G27" s="378">
        <v>23.703278305000001</v>
      </c>
      <c r="H27" s="360"/>
      <c r="I27" s="279">
        <v>23655.065826344799</v>
      </c>
      <c r="J27" s="378">
        <v>10.909174415700001</v>
      </c>
      <c r="K27" s="361"/>
      <c r="L27" s="279">
        <v>62224.926510363803</v>
      </c>
      <c r="M27" s="378">
        <v>29.598441825599998</v>
      </c>
      <c r="N27" s="362"/>
      <c r="O27" s="279">
        <v>4771.6422746826001</v>
      </c>
      <c r="P27" s="378">
        <v>2.1823170826</v>
      </c>
    </row>
    <row r="28" spans="2:16" s="358" customFormat="1" ht="12.75" customHeight="1" x14ac:dyDescent="0.2">
      <c r="B28" s="95" t="s">
        <v>18</v>
      </c>
      <c r="C28" s="359"/>
      <c r="D28" s="279">
        <v>82344.333547885995</v>
      </c>
      <c r="E28" s="360"/>
      <c r="F28" s="279">
        <v>33552.996551112701</v>
      </c>
      <c r="G28" s="378">
        <v>36.545490040499999</v>
      </c>
      <c r="H28" s="360"/>
      <c r="I28" s="279">
        <v>9642.0098602724993</v>
      </c>
      <c r="J28" s="378">
        <v>10.7448975374</v>
      </c>
      <c r="K28" s="361"/>
      <c r="L28" s="279">
        <v>20378.233721088302</v>
      </c>
      <c r="M28" s="378">
        <v>22.813591995900001</v>
      </c>
      <c r="N28" s="362"/>
      <c r="O28" s="279">
        <v>6621.3404021239003</v>
      </c>
      <c r="P28" s="378">
        <v>7.0366771553999996</v>
      </c>
    </row>
    <row r="29" spans="2:16" s="358" customFormat="1" ht="12.75" customHeight="1" x14ac:dyDescent="0.2">
      <c r="B29" s="95" t="s">
        <v>19</v>
      </c>
      <c r="C29" s="359"/>
      <c r="D29" s="279">
        <v>23649.370561565102</v>
      </c>
      <c r="E29" s="360"/>
      <c r="F29" s="279">
        <v>5393.4649734482</v>
      </c>
      <c r="G29" s="378">
        <v>21.006551490300001</v>
      </c>
      <c r="H29" s="360"/>
      <c r="I29" s="279">
        <v>797.60214376550005</v>
      </c>
      <c r="J29" s="378">
        <v>2.9360484840000001</v>
      </c>
      <c r="K29" s="361"/>
      <c r="L29" s="279">
        <v>10524.227604731001</v>
      </c>
      <c r="M29" s="378">
        <v>41.607628126000002</v>
      </c>
      <c r="N29" s="362"/>
      <c r="O29" s="279">
        <v>1349.5662506542001</v>
      </c>
      <c r="P29" s="378">
        <v>5.2092760327000001</v>
      </c>
    </row>
    <row r="30" spans="2:16" s="358" customFormat="1" ht="12.75" customHeight="1" x14ac:dyDescent="0.2">
      <c r="B30" s="95" t="s">
        <v>20</v>
      </c>
      <c r="C30" s="359"/>
      <c r="D30" s="279">
        <v>35437.585236328297</v>
      </c>
      <c r="E30" s="360"/>
      <c r="F30" s="279">
        <v>9882.1542360047006</v>
      </c>
      <c r="G30" s="378">
        <v>26.950756962900002</v>
      </c>
      <c r="H30" s="360"/>
      <c r="I30" s="279">
        <v>6421.5698472244003</v>
      </c>
      <c r="J30" s="378">
        <v>16.882797800900001</v>
      </c>
      <c r="K30" s="361"/>
      <c r="L30" s="279">
        <v>9521.4994957993003</v>
      </c>
      <c r="M30" s="378">
        <v>23.5276906084</v>
      </c>
      <c r="N30" s="362"/>
      <c r="O30" s="279">
        <v>4229.2999533078</v>
      </c>
      <c r="P30" s="378">
        <v>10.5407985297</v>
      </c>
    </row>
    <row r="31" spans="2:16" s="358" customFormat="1" ht="12.75" customHeight="1" x14ac:dyDescent="0.2">
      <c r="B31" s="95" t="s">
        <v>21</v>
      </c>
      <c r="C31" s="359"/>
      <c r="D31" s="279">
        <v>195630.12466723699</v>
      </c>
      <c r="E31" s="360"/>
      <c r="F31" s="279">
        <v>125221.155319859</v>
      </c>
      <c r="G31" s="378">
        <v>60.1028166583</v>
      </c>
      <c r="H31" s="360"/>
      <c r="I31" s="279">
        <v>16200.578382703299</v>
      </c>
      <c r="J31" s="378">
        <v>7.8621134161999997</v>
      </c>
      <c r="K31" s="361"/>
      <c r="L31" s="279">
        <v>20917.7174910432</v>
      </c>
      <c r="M31" s="378">
        <v>10.142161533199999</v>
      </c>
      <c r="N31" s="362"/>
      <c r="O31" s="279">
        <v>9513.5312877056003</v>
      </c>
      <c r="P31" s="378">
        <v>4.5624953288999999</v>
      </c>
    </row>
    <row r="32" spans="2:16" s="358" customFormat="1" ht="12.75" customHeight="1" x14ac:dyDescent="0.2">
      <c r="B32" s="95" t="s">
        <v>22</v>
      </c>
      <c r="C32" s="359"/>
      <c r="D32" s="279">
        <v>64653.356858022104</v>
      </c>
      <c r="E32" s="360"/>
      <c r="F32" s="279">
        <v>5330.3158449255998</v>
      </c>
      <c r="G32" s="378">
        <v>7.1349527804999999</v>
      </c>
      <c r="H32" s="360"/>
      <c r="I32" s="279">
        <v>4193.6171107970004</v>
      </c>
      <c r="J32" s="378">
        <v>6.0261692355000003</v>
      </c>
      <c r="K32" s="361"/>
      <c r="L32" s="279">
        <v>38769.173095315004</v>
      </c>
      <c r="M32" s="378">
        <v>55.224029818699996</v>
      </c>
      <c r="N32" s="362"/>
      <c r="O32" s="279">
        <v>6235.5507124442001</v>
      </c>
      <c r="P32" s="378">
        <v>8.8387746166000003</v>
      </c>
    </row>
    <row r="33" spans="2:16" s="358" customFormat="1" ht="12.75" customHeight="1" x14ac:dyDescent="0.2">
      <c r="B33" s="95" t="s">
        <v>23</v>
      </c>
      <c r="C33" s="359"/>
      <c r="D33" s="279">
        <v>68630.982230065201</v>
      </c>
      <c r="E33" s="360"/>
      <c r="F33" s="279">
        <v>19222.820854860202</v>
      </c>
      <c r="G33" s="378">
        <v>25.4331255586</v>
      </c>
      <c r="H33" s="360"/>
      <c r="I33" s="279">
        <v>4771.4531088123003</v>
      </c>
      <c r="J33" s="378">
        <v>6.4960764761999998</v>
      </c>
      <c r="K33" s="361"/>
      <c r="L33" s="279">
        <v>17767.319462038999</v>
      </c>
      <c r="M33" s="378">
        <v>23.7647053548</v>
      </c>
      <c r="N33" s="362"/>
      <c r="O33" s="279">
        <v>9756.4576458517004</v>
      </c>
      <c r="P33" s="378">
        <v>13.317985265400001</v>
      </c>
    </row>
    <row r="34" spans="2:16" s="358" customFormat="1" ht="12.75" customHeight="1" x14ac:dyDescent="0.2">
      <c r="B34" s="95" t="s">
        <v>24</v>
      </c>
      <c r="C34" s="359"/>
      <c r="D34" s="279">
        <v>61536.420879668403</v>
      </c>
      <c r="E34" s="360"/>
      <c r="F34" s="279">
        <v>30315.374064423999</v>
      </c>
      <c r="G34" s="378">
        <v>47.173960405999999</v>
      </c>
      <c r="H34" s="360"/>
      <c r="I34" s="279">
        <v>6865.3792761871</v>
      </c>
      <c r="J34" s="378">
        <v>9.1830599047000003</v>
      </c>
      <c r="K34" s="361"/>
      <c r="L34" s="279">
        <v>13017.453916459801</v>
      </c>
      <c r="M34" s="378">
        <v>17.578631090399998</v>
      </c>
      <c r="N34" s="362"/>
      <c r="O34" s="279">
        <v>2652.7628926119</v>
      </c>
      <c r="P34" s="378">
        <v>4.4107871333000004</v>
      </c>
    </row>
    <row r="35" spans="2:16" s="358" customFormat="1" ht="12.75" customHeight="1" x14ac:dyDescent="0.2">
      <c r="B35" s="95" t="s">
        <v>25</v>
      </c>
      <c r="C35" s="359"/>
      <c r="D35" s="279">
        <v>50570.569877203001</v>
      </c>
      <c r="E35" s="360"/>
      <c r="F35" s="279">
        <v>27319.565985497498</v>
      </c>
      <c r="G35" s="378">
        <v>49.248905180500003</v>
      </c>
      <c r="H35" s="360"/>
      <c r="I35" s="279">
        <v>3471.1904027128999</v>
      </c>
      <c r="J35" s="378">
        <v>6.2870945291</v>
      </c>
      <c r="K35" s="361"/>
      <c r="L35" s="279">
        <v>9685.3141468274007</v>
      </c>
      <c r="M35" s="378">
        <v>18.840153666900001</v>
      </c>
      <c r="N35" s="362"/>
      <c r="O35" s="279">
        <v>1977.6852382623999</v>
      </c>
      <c r="P35" s="378">
        <v>3.5002506810999998</v>
      </c>
    </row>
    <row r="36" spans="2:16" s="358" customFormat="1" ht="12.75" customHeight="1" x14ac:dyDescent="0.2">
      <c r="B36" s="95" t="s">
        <v>26</v>
      </c>
      <c r="C36" s="359"/>
      <c r="D36" s="279">
        <v>49490.5210206392</v>
      </c>
      <c r="E36" s="360"/>
      <c r="F36" s="279">
        <v>20224.468742791501</v>
      </c>
      <c r="G36" s="378">
        <v>38.121691437899997</v>
      </c>
      <c r="H36" s="360"/>
      <c r="I36" s="279">
        <v>7368.2971168446002</v>
      </c>
      <c r="J36" s="378">
        <v>13.489159598200001</v>
      </c>
      <c r="K36" s="361"/>
      <c r="L36" s="279">
        <v>10658.9748294245</v>
      </c>
      <c r="M36" s="378">
        <v>20.664236278000001</v>
      </c>
      <c r="N36" s="362"/>
      <c r="O36" s="279">
        <v>1828.5980937117999</v>
      </c>
      <c r="P36" s="378">
        <v>3.5620850719999999</v>
      </c>
    </row>
    <row r="37" spans="2:16" s="358" customFormat="1" ht="12.75" customHeight="1" x14ac:dyDescent="0.2">
      <c r="B37" s="95" t="s">
        <v>27</v>
      </c>
      <c r="C37" s="359"/>
      <c r="D37" s="279">
        <v>59985.944400418797</v>
      </c>
      <c r="E37" s="360"/>
      <c r="F37" s="279">
        <v>32973.311107532703</v>
      </c>
      <c r="G37" s="378">
        <v>52.6701467237</v>
      </c>
      <c r="H37" s="360"/>
      <c r="I37" s="279">
        <v>7436.2299687736004</v>
      </c>
      <c r="J37" s="378">
        <v>11.678370618700001</v>
      </c>
      <c r="K37" s="361"/>
      <c r="L37" s="279">
        <v>6868.5257093497003</v>
      </c>
      <c r="M37" s="378">
        <v>10.199234258500001</v>
      </c>
      <c r="N37" s="362"/>
      <c r="O37" s="279">
        <v>2548.6492851761</v>
      </c>
      <c r="P37" s="378">
        <v>3.9512244965000001</v>
      </c>
    </row>
    <row r="38" spans="2:16" s="358" customFormat="1" ht="12.75" customHeight="1" x14ac:dyDescent="0.2">
      <c r="B38" s="95" t="s">
        <v>28</v>
      </c>
      <c r="C38" s="359"/>
      <c r="D38" s="279">
        <v>109569.155323285</v>
      </c>
      <c r="E38" s="360"/>
      <c r="F38" s="279">
        <v>42921.548224265804</v>
      </c>
      <c r="G38" s="378">
        <v>36.825371085800001</v>
      </c>
      <c r="H38" s="360"/>
      <c r="I38" s="279">
        <v>28236.094186971499</v>
      </c>
      <c r="J38" s="378">
        <v>23.847847617799999</v>
      </c>
      <c r="K38" s="361"/>
      <c r="L38" s="279">
        <v>15501.643245290699</v>
      </c>
      <c r="M38" s="378">
        <v>13.3106697459</v>
      </c>
      <c r="N38" s="362"/>
      <c r="O38" s="279">
        <v>9881.1268127914009</v>
      </c>
      <c r="P38" s="378">
        <v>8.5124742235999999</v>
      </c>
    </row>
    <row r="39" spans="2:16" s="358" customFormat="1" ht="12.75" customHeight="1" x14ac:dyDescent="0.2">
      <c r="B39" s="95" t="s">
        <v>29</v>
      </c>
      <c r="C39" s="359"/>
      <c r="D39" s="279">
        <v>46983.705623928501</v>
      </c>
      <c r="E39" s="360"/>
      <c r="F39" s="279">
        <v>11488.506714859101</v>
      </c>
      <c r="G39" s="378">
        <v>22.044567236900001</v>
      </c>
      <c r="H39" s="360"/>
      <c r="I39" s="279">
        <v>7832.4536012294002</v>
      </c>
      <c r="J39" s="378">
        <v>15.071842992900001</v>
      </c>
      <c r="K39" s="361"/>
      <c r="L39" s="279">
        <v>12292.594319830499</v>
      </c>
      <c r="M39" s="378">
        <v>24.3263729546</v>
      </c>
      <c r="N39" s="362"/>
      <c r="O39" s="279">
        <v>7214.5571241701</v>
      </c>
      <c r="P39" s="378">
        <v>13.715911162899999</v>
      </c>
    </row>
    <row r="40" spans="2:16" s="358" customFormat="1" ht="12.75" customHeight="1" x14ac:dyDescent="0.2">
      <c r="B40" s="95" t="s">
        <v>30</v>
      </c>
      <c r="C40" s="359"/>
      <c r="D40" s="279">
        <v>98813.782740603099</v>
      </c>
      <c r="E40" s="360"/>
      <c r="F40" s="279">
        <v>36961.861880446697</v>
      </c>
      <c r="G40" s="378">
        <v>35.254744325799997</v>
      </c>
      <c r="H40" s="360"/>
      <c r="I40" s="279">
        <v>15236.777447496101</v>
      </c>
      <c r="J40" s="378">
        <v>14.399615922000001</v>
      </c>
      <c r="K40" s="361"/>
      <c r="L40" s="279">
        <v>24341.925413463199</v>
      </c>
      <c r="M40" s="378">
        <v>23.2410403865</v>
      </c>
      <c r="N40" s="362"/>
      <c r="O40" s="279">
        <v>5424.7494624012998</v>
      </c>
      <c r="P40" s="378">
        <v>5.0605984316999999</v>
      </c>
    </row>
    <row r="41" spans="2:16" s="358" customFormat="1" ht="12.75" customHeight="1" x14ac:dyDescent="0.2">
      <c r="B41" s="95" t="s">
        <v>31</v>
      </c>
      <c r="C41" s="359"/>
      <c r="D41" s="279">
        <v>9990.2962325512999</v>
      </c>
      <c r="E41" s="360"/>
      <c r="F41" s="279">
        <v>1491.7555365526</v>
      </c>
      <c r="G41" s="378">
        <v>14.165273387699999</v>
      </c>
      <c r="H41" s="360"/>
      <c r="I41" s="279">
        <v>221.8422019994</v>
      </c>
      <c r="J41" s="378">
        <v>1.9759659581</v>
      </c>
      <c r="K41" s="361"/>
      <c r="L41" s="279">
        <v>3458.3154564168999</v>
      </c>
      <c r="M41" s="378">
        <v>32.293064349799998</v>
      </c>
      <c r="N41" s="362"/>
      <c r="O41" s="279">
        <v>1755.3433907369999</v>
      </c>
      <c r="P41" s="378">
        <v>15.420752801300001</v>
      </c>
    </row>
    <row r="42" spans="2:16" s="358" customFormat="1" ht="12.75" customHeight="1" x14ac:dyDescent="0.2">
      <c r="B42" s="95" t="s">
        <v>32</v>
      </c>
      <c r="C42" s="359"/>
      <c r="D42" s="279">
        <v>120393.775231073</v>
      </c>
      <c r="E42" s="360"/>
      <c r="F42" s="279">
        <v>32807.12211222</v>
      </c>
      <c r="G42" s="378">
        <v>25.081684659499999</v>
      </c>
      <c r="H42" s="360"/>
      <c r="I42" s="279">
        <v>15490.484187075999</v>
      </c>
      <c r="J42" s="378">
        <v>12.061090526999999</v>
      </c>
      <c r="K42" s="361"/>
      <c r="L42" s="279">
        <v>28570.3591287745</v>
      </c>
      <c r="M42" s="378">
        <v>20.7247000347</v>
      </c>
      <c r="N42" s="362"/>
      <c r="O42" s="279">
        <v>18551.535005011501</v>
      </c>
      <c r="P42" s="378">
        <v>14.0070528596</v>
      </c>
    </row>
    <row r="43" spans="2:16" s="358" customFormat="1" ht="12.75" customHeight="1" x14ac:dyDescent="0.2">
      <c r="B43" s="95" t="s">
        <v>33</v>
      </c>
      <c r="C43" s="359"/>
      <c r="D43" s="279">
        <v>79131.568151900501</v>
      </c>
      <c r="E43" s="360"/>
      <c r="F43" s="279">
        <v>21978.484098809</v>
      </c>
      <c r="G43" s="378">
        <v>25.804046168199999</v>
      </c>
      <c r="H43" s="360"/>
      <c r="I43" s="279">
        <v>12286.3812874386</v>
      </c>
      <c r="J43" s="378">
        <v>14.409915725999999</v>
      </c>
      <c r="K43" s="361"/>
      <c r="L43" s="279">
        <v>19949.7625689663</v>
      </c>
      <c r="M43" s="378">
        <v>23.779110477300001</v>
      </c>
      <c r="N43" s="362"/>
      <c r="O43" s="279">
        <v>13553.1746675413</v>
      </c>
      <c r="P43" s="378">
        <v>15.8613089154</v>
      </c>
    </row>
    <row r="44" spans="2:16" s="358" customFormat="1" ht="12.75" customHeight="1" x14ac:dyDescent="0.2">
      <c r="B44" s="95" t="s">
        <v>34</v>
      </c>
      <c r="C44" s="359"/>
      <c r="D44" s="279">
        <v>38002.810686510398</v>
      </c>
      <c r="E44" s="360"/>
      <c r="F44" s="279">
        <v>11429.049467893699</v>
      </c>
      <c r="G44" s="378">
        <v>28.913992224499999</v>
      </c>
      <c r="H44" s="360"/>
      <c r="I44" s="279">
        <v>4942.0929543781003</v>
      </c>
      <c r="J44" s="378">
        <v>10.9966462732</v>
      </c>
      <c r="K44" s="361"/>
      <c r="L44" s="279">
        <v>11627.3945137889</v>
      </c>
      <c r="M44" s="378">
        <v>27.334619802300001</v>
      </c>
      <c r="N44" s="362"/>
      <c r="O44" s="279">
        <v>4740.9367285209</v>
      </c>
      <c r="P44" s="378">
        <v>11.4628909528</v>
      </c>
    </row>
    <row r="45" spans="2:16" ht="6" customHeight="1" x14ac:dyDescent="0.25">
      <c r="B45" s="363"/>
      <c r="C45" s="364"/>
      <c r="D45" s="264"/>
      <c r="E45" s="365"/>
      <c r="F45" s="264"/>
      <c r="G45" s="366"/>
      <c r="H45" s="366"/>
      <c r="I45" s="264"/>
      <c r="J45" s="366"/>
      <c r="K45" s="367"/>
      <c r="L45" s="264"/>
      <c r="M45" s="366"/>
      <c r="N45" s="368"/>
      <c r="O45" s="264"/>
      <c r="P45" s="366"/>
    </row>
    <row r="46" spans="2:16" ht="6" customHeight="1" x14ac:dyDescent="0.25">
      <c r="B46" s="228"/>
      <c r="D46" s="145"/>
      <c r="E46" s="370"/>
      <c r="F46" s="145"/>
      <c r="G46" s="371"/>
      <c r="H46" s="371"/>
      <c r="I46" s="145"/>
      <c r="J46" s="371"/>
      <c r="K46" s="372"/>
      <c r="L46" s="145"/>
      <c r="M46" s="371"/>
      <c r="N46" s="373"/>
      <c r="O46" s="145"/>
      <c r="P46" s="371"/>
    </row>
    <row r="47" spans="2:16" ht="12.75" customHeight="1" x14ac:dyDescent="0.25">
      <c r="B47" s="273" t="s">
        <v>93</v>
      </c>
      <c r="C47" s="342"/>
      <c r="D47" s="145"/>
      <c r="E47" s="370"/>
      <c r="F47" s="145"/>
      <c r="G47" s="371"/>
      <c r="H47" s="371"/>
      <c r="I47" s="145"/>
      <c r="J47" s="371"/>
      <c r="K47" s="372"/>
      <c r="L47" s="145"/>
      <c r="M47" s="371"/>
      <c r="N47" s="373"/>
      <c r="O47" s="145"/>
      <c r="P47" s="371"/>
    </row>
    <row r="48" spans="2:16" ht="12" customHeight="1" x14ac:dyDescent="0.25">
      <c r="B48" s="374" t="s">
        <v>129</v>
      </c>
      <c r="C48" s="342"/>
      <c r="D48" s="145"/>
      <c r="E48" s="370"/>
      <c r="F48" s="145"/>
      <c r="G48" s="371"/>
      <c r="H48" s="371"/>
      <c r="I48" s="145"/>
      <c r="J48" s="371"/>
      <c r="K48" s="372"/>
      <c r="L48" s="145"/>
      <c r="M48" s="371"/>
      <c r="N48" s="373"/>
      <c r="O48" s="145"/>
      <c r="P48" s="371"/>
    </row>
    <row r="49" spans="2:2" s="13" customFormat="1" ht="14.25" x14ac:dyDescent="0.2">
      <c r="B49" s="109" t="s">
        <v>57</v>
      </c>
    </row>
  </sheetData>
  <mergeCells count="8">
    <mergeCell ref="B5:N5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772C256D-9D91-4933-8E62-29336840673B}"/>
  </hyperlinks>
  <pageMargins left="0.70866141732283472" right="0.70866141732283472" top="0.74803149606299213" bottom="0.74803149606299213" header="0.31496062992125984" footer="0.31496062992125984"/>
  <pageSetup orientation="portrait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435DA-3675-42C0-AFFC-DA54665B68A4}">
  <dimension ref="B1:S50"/>
  <sheetViews>
    <sheetView showGridLines="0" zoomScaleNormal="100" workbookViewId="0"/>
  </sheetViews>
  <sheetFormatPr baseColWidth="10" defaultColWidth="11.42578125" defaultRowHeight="15" x14ac:dyDescent="0.25"/>
  <cols>
    <col min="1" max="1" width="1.7109375" style="386" customWidth="1"/>
    <col min="2" max="2" width="24.28515625" style="386" customWidth="1"/>
    <col min="3" max="3" width="0.85546875" style="405" customWidth="1"/>
    <col min="4" max="4" width="18.7109375" style="406" customWidth="1"/>
    <col min="5" max="5" width="1.7109375" style="406" customWidth="1"/>
    <col min="6" max="6" width="12.7109375" style="406" customWidth="1"/>
    <col min="7" max="7" width="12.7109375" style="407" customWidth="1"/>
    <col min="8" max="8" width="1.7109375" style="406" customWidth="1"/>
    <col min="9" max="9" width="12.7109375" style="406" customWidth="1"/>
    <col min="10" max="10" width="12.5703125" style="407" customWidth="1"/>
    <col min="11" max="16384" width="11.42578125" style="386"/>
  </cols>
  <sheetData>
    <row r="1" spans="2:19" s="380" customFormat="1" ht="12" customHeight="1" x14ac:dyDescent="0.2">
      <c r="B1" s="640" t="s">
        <v>202</v>
      </c>
      <c r="D1" s="381"/>
      <c r="E1" s="381"/>
      <c r="F1" s="381"/>
      <c r="G1" s="381"/>
      <c r="H1" s="381"/>
      <c r="I1" s="381"/>
      <c r="J1" s="72" t="s">
        <v>151</v>
      </c>
    </row>
    <row r="2" spans="2:19" s="380" customFormat="1" ht="6.95" customHeight="1" x14ac:dyDescent="0.2">
      <c r="B2" s="640"/>
      <c r="D2" s="381"/>
      <c r="E2" s="381"/>
      <c r="F2" s="381"/>
      <c r="G2" s="381"/>
      <c r="H2" s="381"/>
      <c r="I2" s="381"/>
      <c r="J2" s="381"/>
    </row>
    <row r="3" spans="2:19" s="380" customFormat="1" ht="15" customHeight="1" x14ac:dyDescent="0.2">
      <c r="B3" s="640" t="s">
        <v>199</v>
      </c>
      <c r="C3" s="379"/>
      <c r="D3" s="379"/>
      <c r="E3" s="379"/>
      <c r="F3" s="379"/>
      <c r="G3" s="379"/>
      <c r="H3" s="379"/>
      <c r="I3" s="379"/>
      <c r="J3" s="379"/>
      <c r="K3" s="379"/>
      <c r="L3" s="379"/>
      <c r="M3" s="379"/>
      <c r="N3" s="379"/>
      <c r="O3" s="379"/>
      <c r="P3" s="379"/>
      <c r="Q3" s="379"/>
      <c r="R3" s="379"/>
      <c r="S3" s="379"/>
    </row>
    <row r="4" spans="2:19" s="380" customFormat="1" ht="6.95" customHeight="1" x14ac:dyDescent="0.2">
      <c r="C4" s="382"/>
      <c r="D4" s="381"/>
      <c r="E4" s="381"/>
      <c r="F4" s="381"/>
      <c r="G4" s="381"/>
      <c r="H4" s="381"/>
      <c r="I4" s="381"/>
      <c r="J4" s="381"/>
    </row>
    <row r="5" spans="2:19" s="380" customFormat="1" ht="25.5" customHeight="1" x14ac:dyDescent="0.2">
      <c r="B5" s="704" t="s">
        <v>155</v>
      </c>
      <c r="C5" s="704"/>
      <c r="D5" s="704"/>
      <c r="E5" s="704"/>
      <c r="F5" s="704"/>
      <c r="G5" s="704"/>
      <c r="H5" s="704"/>
      <c r="I5" s="704"/>
      <c r="J5" s="71" t="s">
        <v>114</v>
      </c>
    </row>
    <row r="6" spans="2:19" ht="6" customHeight="1" x14ac:dyDescent="0.25">
      <c r="B6" s="383"/>
      <c r="C6" s="384"/>
      <c r="D6" s="385"/>
      <c r="E6" s="385"/>
      <c r="F6" s="385"/>
      <c r="G6" s="385"/>
      <c r="H6" s="385"/>
      <c r="I6" s="385"/>
      <c r="J6" s="385"/>
    </row>
    <row r="7" spans="2:19" ht="15" customHeight="1" x14ac:dyDescent="0.25">
      <c r="B7" s="682" t="s">
        <v>76</v>
      </c>
      <c r="C7" s="682"/>
      <c r="D7" s="705" t="s">
        <v>108</v>
      </c>
      <c r="E7" s="387"/>
      <c r="F7" s="708" t="s">
        <v>68</v>
      </c>
      <c r="G7" s="708"/>
      <c r="H7" s="708"/>
      <c r="I7" s="708"/>
      <c r="J7" s="708"/>
    </row>
    <row r="8" spans="2:19" ht="24.75" customHeight="1" x14ac:dyDescent="0.25">
      <c r="B8" s="683"/>
      <c r="C8" s="683"/>
      <c r="D8" s="706"/>
      <c r="E8" s="388"/>
      <c r="F8" s="709" t="s">
        <v>72</v>
      </c>
      <c r="G8" s="709"/>
      <c r="H8" s="389"/>
      <c r="I8" s="710" t="s">
        <v>130</v>
      </c>
      <c r="J8" s="710"/>
    </row>
    <row r="9" spans="2:19" x14ac:dyDescent="0.25">
      <c r="B9" s="684"/>
      <c r="C9" s="684"/>
      <c r="D9" s="707"/>
      <c r="E9" s="390"/>
      <c r="F9" s="391" t="s">
        <v>0</v>
      </c>
      <c r="G9" s="391" t="s">
        <v>1</v>
      </c>
      <c r="H9" s="391"/>
      <c r="I9" s="391" t="s">
        <v>0</v>
      </c>
      <c r="J9" s="391" t="s">
        <v>1</v>
      </c>
    </row>
    <row r="10" spans="2:19" ht="6" customHeight="1" x14ac:dyDescent="0.25">
      <c r="B10" s="31"/>
      <c r="C10" s="392"/>
      <c r="D10" s="392"/>
      <c r="E10" s="392"/>
      <c r="F10" s="392"/>
      <c r="G10" s="392"/>
      <c r="H10" s="392"/>
      <c r="I10" s="392"/>
      <c r="J10" s="392"/>
    </row>
    <row r="11" spans="2:19" s="394" customFormat="1" ht="11.25" x14ac:dyDescent="0.2">
      <c r="B11" s="94" t="s">
        <v>2</v>
      </c>
      <c r="C11" s="393"/>
      <c r="D11" s="334">
        <v>2705604.3977930201</v>
      </c>
      <c r="E11" s="87"/>
      <c r="F11" s="334">
        <v>2418319.8104879502</v>
      </c>
      <c r="G11" s="334">
        <v>88.432713956900002</v>
      </c>
      <c r="H11" s="87"/>
      <c r="I11" s="334">
        <v>249946.48160053999</v>
      </c>
      <c r="J11" s="334">
        <v>9.0793201878000005</v>
      </c>
    </row>
    <row r="12" spans="2:19" s="396" customFormat="1" ht="6" customHeight="1" x14ac:dyDescent="0.2">
      <c r="B12" s="94"/>
      <c r="C12" s="395"/>
      <c r="D12" s="89"/>
      <c r="E12" s="89"/>
      <c r="F12" s="89"/>
      <c r="G12" s="309"/>
      <c r="H12" s="89"/>
      <c r="I12" s="89"/>
      <c r="J12" s="309"/>
    </row>
    <row r="13" spans="2:19" s="396" customFormat="1" ht="12.75" customHeight="1" x14ac:dyDescent="0.2">
      <c r="B13" s="95" t="s">
        <v>3</v>
      </c>
      <c r="C13" s="395"/>
      <c r="D13" s="279">
        <v>43831.615796227001</v>
      </c>
      <c r="E13" s="89"/>
      <c r="F13" s="279">
        <v>39696.5613889827</v>
      </c>
      <c r="G13" s="279">
        <v>88.196269495999999</v>
      </c>
      <c r="H13" s="89"/>
      <c r="I13" s="279">
        <v>2351.5397306421</v>
      </c>
      <c r="J13" s="279">
        <v>5.0033122859999999</v>
      </c>
    </row>
    <row r="14" spans="2:19" s="396" customFormat="1" ht="12.75" customHeight="1" x14ac:dyDescent="0.2">
      <c r="B14" s="95" t="s">
        <v>4</v>
      </c>
      <c r="C14" s="395"/>
      <c r="D14" s="279">
        <v>103590.605849019</v>
      </c>
      <c r="E14" s="397"/>
      <c r="F14" s="279">
        <v>96296.772676039094</v>
      </c>
      <c r="G14" s="408">
        <v>90.254992339200001</v>
      </c>
      <c r="H14" s="397"/>
      <c r="I14" s="279">
        <v>3292.8303865107</v>
      </c>
      <c r="J14" s="408">
        <v>2.9460123132999998</v>
      </c>
    </row>
    <row r="15" spans="2:19" s="396" customFormat="1" ht="12.75" customHeight="1" x14ac:dyDescent="0.2">
      <c r="B15" s="95" t="s">
        <v>5</v>
      </c>
      <c r="C15" s="395"/>
      <c r="D15" s="279">
        <v>19753.2576826599</v>
      </c>
      <c r="E15" s="397"/>
      <c r="F15" s="279">
        <v>17819.561786299</v>
      </c>
      <c r="G15" s="408">
        <v>86.342796640499998</v>
      </c>
      <c r="H15" s="397"/>
      <c r="I15" s="279">
        <v>1145.2892148676999</v>
      </c>
      <c r="J15" s="408">
        <v>5.4492390911999999</v>
      </c>
    </row>
    <row r="16" spans="2:19" s="396" customFormat="1" ht="12.75" customHeight="1" x14ac:dyDescent="0.2">
      <c r="B16" s="95" t="s">
        <v>6</v>
      </c>
      <c r="C16" s="395"/>
      <c r="D16" s="279">
        <v>18766.971717702501</v>
      </c>
      <c r="E16" s="397"/>
      <c r="F16" s="279">
        <v>17705.929354688498</v>
      </c>
      <c r="G16" s="408">
        <v>91.843936370899996</v>
      </c>
      <c r="H16" s="397"/>
      <c r="I16" s="279">
        <v>401.88425281579998</v>
      </c>
      <c r="J16" s="408">
        <v>1.9701527694000001</v>
      </c>
    </row>
    <row r="17" spans="2:10" s="396" customFormat="1" ht="12.75" customHeight="1" x14ac:dyDescent="0.2">
      <c r="B17" s="95" t="s">
        <v>7</v>
      </c>
      <c r="C17" s="395"/>
      <c r="D17" s="279">
        <v>67875.599453346105</v>
      </c>
      <c r="E17" s="397"/>
      <c r="F17" s="279">
        <v>67875.599453346105</v>
      </c>
      <c r="G17" s="408">
        <v>100</v>
      </c>
      <c r="H17" s="397"/>
      <c r="I17" s="279">
        <v>0</v>
      </c>
      <c r="J17" s="408">
        <v>0</v>
      </c>
    </row>
    <row r="18" spans="2:10" s="396" customFormat="1" ht="12.75" customHeight="1" x14ac:dyDescent="0.2">
      <c r="B18" s="95" t="s">
        <v>8</v>
      </c>
      <c r="C18" s="395"/>
      <c r="D18" s="279">
        <v>23430.075541800699</v>
      </c>
      <c r="E18" s="397"/>
      <c r="F18" s="279">
        <v>22743.8004501941</v>
      </c>
      <c r="G18" s="408">
        <v>95.769236313500002</v>
      </c>
      <c r="H18" s="397"/>
      <c r="I18" s="279">
        <v>183.61773840469999</v>
      </c>
      <c r="J18" s="408">
        <v>0.67567173120000001</v>
      </c>
    </row>
    <row r="19" spans="2:10" s="396" customFormat="1" ht="12.75" customHeight="1" x14ac:dyDescent="0.2">
      <c r="B19" s="95" t="s">
        <v>9</v>
      </c>
      <c r="C19" s="395"/>
      <c r="D19" s="279">
        <v>60220.730363601797</v>
      </c>
      <c r="E19" s="397"/>
      <c r="F19" s="279">
        <v>56576.567120651198</v>
      </c>
      <c r="G19" s="408">
        <v>90.479266826</v>
      </c>
      <c r="H19" s="397"/>
      <c r="I19" s="279">
        <v>895.21641440149995</v>
      </c>
      <c r="J19" s="408">
        <v>1.3423041390999999</v>
      </c>
    </row>
    <row r="20" spans="2:10" s="396" customFormat="1" ht="12.75" customHeight="1" x14ac:dyDescent="0.2">
      <c r="B20" s="95" t="s">
        <v>10</v>
      </c>
      <c r="C20" s="395"/>
      <c r="D20" s="279">
        <v>85295.8780996024</v>
      </c>
      <c r="E20" s="397"/>
      <c r="F20" s="279">
        <v>82807.237930456104</v>
      </c>
      <c r="G20" s="408">
        <v>95.509727824999999</v>
      </c>
      <c r="H20" s="397"/>
      <c r="I20" s="279">
        <v>176.78557584879999</v>
      </c>
      <c r="J20" s="408">
        <v>0.18394413879999999</v>
      </c>
    </row>
    <row r="21" spans="2:10" s="396" customFormat="1" ht="12.75" customHeight="1" x14ac:dyDescent="0.2">
      <c r="B21" s="95" t="s">
        <v>11</v>
      </c>
      <c r="C21" s="395"/>
      <c r="D21" s="279">
        <v>176880.66773494199</v>
      </c>
      <c r="E21" s="397"/>
      <c r="F21" s="279">
        <v>123006.835525906</v>
      </c>
      <c r="G21" s="408">
        <v>64.7477929139</v>
      </c>
      <c r="H21" s="397"/>
      <c r="I21" s="279">
        <v>35969.201216335801</v>
      </c>
      <c r="J21" s="408">
        <v>19.4611653997</v>
      </c>
    </row>
    <row r="22" spans="2:10" s="396" customFormat="1" ht="12.75" customHeight="1" x14ac:dyDescent="0.2">
      <c r="B22" s="95" t="s">
        <v>12</v>
      </c>
      <c r="C22" s="395"/>
      <c r="D22" s="279">
        <v>43246.016770551701</v>
      </c>
      <c r="E22" s="397"/>
      <c r="F22" s="279">
        <v>41566.184065323898</v>
      </c>
      <c r="G22" s="408">
        <v>93.034006994400002</v>
      </c>
      <c r="H22" s="397"/>
      <c r="I22" s="279">
        <v>337.64590445869999</v>
      </c>
      <c r="J22" s="408">
        <v>0.78991415850000002</v>
      </c>
    </row>
    <row r="23" spans="2:10" s="396" customFormat="1" ht="12.75" customHeight="1" x14ac:dyDescent="0.2">
      <c r="B23" s="95" t="s">
        <v>13</v>
      </c>
      <c r="C23" s="395"/>
      <c r="D23" s="279">
        <v>97206.407527995601</v>
      </c>
      <c r="E23" s="397"/>
      <c r="F23" s="279">
        <v>86992.818403654193</v>
      </c>
      <c r="G23" s="408">
        <v>84.139668752600002</v>
      </c>
      <c r="H23" s="397"/>
      <c r="I23" s="279">
        <v>3898.5656030914001</v>
      </c>
      <c r="J23" s="408">
        <v>3.9395064589</v>
      </c>
    </row>
    <row r="24" spans="2:10" s="396" customFormat="1" ht="12.75" customHeight="1" x14ac:dyDescent="0.2">
      <c r="B24" s="95" t="s">
        <v>14</v>
      </c>
      <c r="C24" s="395"/>
      <c r="D24" s="279">
        <v>45295.861840896898</v>
      </c>
      <c r="E24" s="397"/>
      <c r="F24" s="279">
        <v>38725.900991667302</v>
      </c>
      <c r="G24" s="408">
        <v>82.023711860099993</v>
      </c>
      <c r="H24" s="397"/>
      <c r="I24" s="279">
        <v>3111.7235523188001</v>
      </c>
      <c r="J24" s="408">
        <v>6.1756256173999997</v>
      </c>
    </row>
    <row r="25" spans="2:10" s="396" customFormat="1" ht="12.75" customHeight="1" x14ac:dyDescent="0.2">
      <c r="B25" s="95" t="s">
        <v>15</v>
      </c>
      <c r="C25" s="395"/>
      <c r="D25" s="279">
        <v>41046.552745830697</v>
      </c>
      <c r="E25" s="397"/>
      <c r="F25" s="279">
        <v>39363.843673968702</v>
      </c>
      <c r="G25" s="408">
        <v>93.268108944299996</v>
      </c>
      <c r="H25" s="397"/>
      <c r="I25" s="279">
        <v>297.1414824922</v>
      </c>
      <c r="J25" s="408">
        <v>0.67726826490000003</v>
      </c>
    </row>
    <row r="26" spans="2:10" s="396" customFormat="1" ht="12.75" customHeight="1" x14ac:dyDescent="0.2">
      <c r="B26" s="95" t="s">
        <v>16</v>
      </c>
      <c r="C26" s="395"/>
      <c r="D26" s="279">
        <v>272268.24088733998</v>
      </c>
      <c r="E26" s="397"/>
      <c r="F26" s="279">
        <v>226383.74791788301</v>
      </c>
      <c r="G26" s="408">
        <v>80.033223610899995</v>
      </c>
      <c r="H26" s="397"/>
      <c r="I26" s="279">
        <v>31914.3880139024</v>
      </c>
      <c r="J26" s="408">
        <v>11.0203713609</v>
      </c>
    </row>
    <row r="27" spans="2:10" s="396" customFormat="1" ht="12.75" customHeight="1" x14ac:dyDescent="0.2">
      <c r="B27" s="95" t="s">
        <v>17</v>
      </c>
      <c r="C27" s="395"/>
      <c r="D27" s="279">
        <v>196544.11703371801</v>
      </c>
      <c r="E27" s="397"/>
      <c r="F27" s="279">
        <v>144756.68819738101</v>
      </c>
      <c r="G27" s="408">
        <v>69.396160962300002</v>
      </c>
      <c r="H27" s="397"/>
      <c r="I27" s="279">
        <v>27208.980904600201</v>
      </c>
      <c r="J27" s="408">
        <v>12.455302619199999</v>
      </c>
    </row>
    <row r="28" spans="2:10" s="396" customFormat="1" ht="12.75" customHeight="1" x14ac:dyDescent="0.2">
      <c r="B28" s="95" t="s">
        <v>18</v>
      </c>
      <c r="C28" s="395"/>
      <c r="D28" s="279">
        <v>82344.333547885995</v>
      </c>
      <c r="E28" s="397"/>
      <c r="F28" s="279">
        <v>74827.062602562903</v>
      </c>
      <c r="G28" s="408">
        <v>86.405919364400006</v>
      </c>
      <c r="H28" s="397"/>
      <c r="I28" s="279">
        <v>3135.2199687637999</v>
      </c>
      <c r="J28" s="408">
        <v>3.5096278281000002</v>
      </c>
    </row>
    <row r="29" spans="2:10" s="396" customFormat="1" ht="12.75" customHeight="1" x14ac:dyDescent="0.2">
      <c r="B29" s="95" t="s">
        <v>19</v>
      </c>
      <c r="C29" s="395"/>
      <c r="D29" s="279">
        <v>23649.370561565102</v>
      </c>
      <c r="E29" s="397"/>
      <c r="F29" s="279">
        <v>20977.577737014199</v>
      </c>
      <c r="G29" s="408">
        <v>85.983266216700002</v>
      </c>
      <c r="H29" s="397"/>
      <c r="I29" s="279">
        <v>812.90862735190001</v>
      </c>
      <c r="J29" s="408">
        <v>2.9438353530999999</v>
      </c>
    </row>
    <row r="30" spans="2:10" s="396" customFormat="1" ht="12.75" customHeight="1" x14ac:dyDescent="0.2">
      <c r="B30" s="95" t="s">
        <v>20</v>
      </c>
      <c r="C30" s="395"/>
      <c r="D30" s="279">
        <v>35437.585236328297</v>
      </c>
      <c r="E30" s="397"/>
      <c r="F30" s="279">
        <v>32015.816086314899</v>
      </c>
      <c r="G30" s="408">
        <v>87.876533556499993</v>
      </c>
      <c r="H30" s="397"/>
      <c r="I30" s="279">
        <v>1745.5820335874</v>
      </c>
      <c r="J30" s="408">
        <v>4.3047317301000003</v>
      </c>
    </row>
    <row r="31" spans="2:10" s="396" customFormat="1" ht="12.75" customHeight="1" x14ac:dyDescent="0.2">
      <c r="B31" s="95" t="s">
        <v>21</v>
      </c>
      <c r="C31" s="395"/>
      <c r="D31" s="279">
        <v>195630.12466723699</v>
      </c>
      <c r="E31" s="397"/>
      <c r="F31" s="279">
        <v>181645.490005731</v>
      </c>
      <c r="G31" s="408">
        <v>88.966772299499993</v>
      </c>
      <c r="H31" s="397"/>
      <c r="I31" s="279">
        <v>5464.9050132539996</v>
      </c>
      <c r="J31" s="408">
        <v>2.7295033443999999</v>
      </c>
    </row>
    <row r="32" spans="2:10" s="396" customFormat="1" ht="12.75" customHeight="1" x14ac:dyDescent="0.2">
      <c r="B32" s="95" t="s">
        <v>22</v>
      </c>
      <c r="C32" s="395"/>
      <c r="D32" s="279">
        <v>64653.356858022104</v>
      </c>
      <c r="E32" s="397"/>
      <c r="F32" s="279">
        <v>62246.791625757898</v>
      </c>
      <c r="G32" s="408">
        <v>94.449004466299996</v>
      </c>
      <c r="H32" s="397"/>
      <c r="I32" s="279">
        <v>485.88533004679999</v>
      </c>
      <c r="J32" s="408">
        <v>0.62606603729999999</v>
      </c>
    </row>
    <row r="33" spans="2:10" s="396" customFormat="1" ht="12.75" customHeight="1" x14ac:dyDescent="0.2">
      <c r="B33" s="95" t="s">
        <v>23</v>
      </c>
      <c r="C33" s="395"/>
      <c r="D33" s="279">
        <v>68630.982230065201</v>
      </c>
      <c r="E33" s="397"/>
      <c r="F33" s="279">
        <v>55513.949186938597</v>
      </c>
      <c r="G33" s="408">
        <v>75.406075052800006</v>
      </c>
      <c r="H33" s="397"/>
      <c r="I33" s="279">
        <v>7155.7800841460003</v>
      </c>
      <c r="J33" s="408">
        <v>9.9044875013000002</v>
      </c>
    </row>
    <row r="34" spans="2:10" s="396" customFormat="1" ht="12.75" customHeight="1" x14ac:dyDescent="0.2">
      <c r="B34" s="95" t="s">
        <v>24</v>
      </c>
      <c r="C34" s="395"/>
      <c r="D34" s="279">
        <v>61536.420879668403</v>
      </c>
      <c r="E34" s="397"/>
      <c r="F34" s="279">
        <v>56300.161368216402</v>
      </c>
      <c r="G34" s="408">
        <v>84.443549026300005</v>
      </c>
      <c r="H34" s="397"/>
      <c r="I34" s="279">
        <v>3476.2176603930002</v>
      </c>
      <c r="J34" s="408">
        <v>5.8184369804999996</v>
      </c>
    </row>
    <row r="35" spans="2:10" s="396" customFormat="1" ht="12.75" customHeight="1" x14ac:dyDescent="0.2">
      <c r="B35" s="95" t="s">
        <v>25</v>
      </c>
      <c r="C35" s="395"/>
      <c r="D35" s="279">
        <v>50570.569877203001</v>
      </c>
      <c r="E35" s="397"/>
      <c r="F35" s="279">
        <v>40813.220455812203</v>
      </c>
      <c r="G35" s="408">
        <v>78.849140645999995</v>
      </c>
      <c r="H35" s="397"/>
      <c r="I35" s="279">
        <v>6613.9008511093998</v>
      </c>
      <c r="J35" s="408">
        <v>11.669986611000001</v>
      </c>
    </row>
    <row r="36" spans="2:10" s="396" customFormat="1" ht="12.75" customHeight="1" x14ac:dyDescent="0.2">
      <c r="B36" s="95" t="s">
        <v>26</v>
      </c>
      <c r="C36" s="395"/>
      <c r="D36" s="279">
        <v>49490.5210206392</v>
      </c>
      <c r="E36" s="397"/>
      <c r="F36" s="279">
        <v>47939.063109740797</v>
      </c>
      <c r="G36" s="408">
        <v>95.339096397399999</v>
      </c>
      <c r="H36" s="397"/>
      <c r="I36" s="279">
        <v>86.840740748299993</v>
      </c>
      <c r="J36" s="408">
        <v>0.13814328949999999</v>
      </c>
    </row>
    <row r="37" spans="2:10" s="396" customFormat="1" ht="12.75" customHeight="1" x14ac:dyDescent="0.2">
      <c r="B37" s="95" t="s">
        <v>27</v>
      </c>
      <c r="C37" s="395"/>
      <c r="D37" s="279">
        <v>59985.944400418797</v>
      </c>
      <c r="E37" s="397"/>
      <c r="F37" s="279">
        <v>56515.3933423544</v>
      </c>
      <c r="G37" s="408">
        <v>92.432765270000004</v>
      </c>
      <c r="H37" s="397"/>
      <c r="I37" s="279">
        <v>1195.0559444145999</v>
      </c>
      <c r="J37" s="408">
        <v>1.7772455463000001</v>
      </c>
    </row>
    <row r="38" spans="2:10" s="396" customFormat="1" ht="12.75" customHeight="1" x14ac:dyDescent="0.2">
      <c r="B38" s="95" t="s">
        <v>28</v>
      </c>
      <c r="C38" s="395"/>
      <c r="D38" s="279">
        <v>109569.155323285</v>
      </c>
      <c r="E38" s="397"/>
      <c r="F38" s="279">
        <v>109569.155323285</v>
      </c>
      <c r="G38" s="408">
        <v>100</v>
      </c>
      <c r="H38" s="397"/>
      <c r="I38" s="279">
        <v>0</v>
      </c>
      <c r="J38" s="408">
        <v>0</v>
      </c>
    </row>
    <row r="39" spans="2:10" s="396" customFormat="1" ht="12.75" customHeight="1" x14ac:dyDescent="0.2">
      <c r="B39" s="95" t="s">
        <v>29</v>
      </c>
      <c r="C39" s="395"/>
      <c r="D39" s="279">
        <v>46983.705623928501</v>
      </c>
      <c r="E39" s="397"/>
      <c r="F39" s="279">
        <v>44576.992931970999</v>
      </c>
      <c r="G39" s="408">
        <v>93.024909669899998</v>
      </c>
      <c r="H39" s="397"/>
      <c r="I39" s="279">
        <v>688.37309726700005</v>
      </c>
      <c r="J39" s="408">
        <v>1.2144929646</v>
      </c>
    </row>
    <row r="40" spans="2:10" s="396" customFormat="1" ht="12.75" customHeight="1" x14ac:dyDescent="0.2">
      <c r="B40" s="95" t="s">
        <v>30</v>
      </c>
      <c r="C40" s="395"/>
      <c r="D40" s="279">
        <v>98813.782740603099</v>
      </c>
      <c r="E40" s="397"/>
      <c r="F40" s="279">
        <v>89065.3926673674</v>
      </c>
      <c r="G40" s="408">
        <v>87.653843550000005</v>
      </c>
      <c r="H40" s="397"/>
      <c r="I40" s="279">
        <v>5152.7833568371998</v>
      </c>
      <c r="J40" s="408">
        <v>4.8157875875</v>
      </c>
    </row>
    <row r="41" spans="2:10" s="396" customFormat="1" ht="12.75" customHeight="1" x14ac:dyDescent="0.2">
      <c r="B41" s="95" t="s">
        <v>31</v>
      </c>
      <c r="C41" s="395"/>
      <c r="D41" s="279">
        <v>9990.2962325512999</v>
      </c>
      <c r="E41" s="397"/>
      <c r="F41" s="279">
        <v>9729.9401207677001</v>
      </c>
      <c r="G41" s="408">
        <v>92.987620055400001</v>
      </c>
      <c r="H41" s="397"/>
      <c r="I41" s="279">
        <v>0</v>
      </c>
      <c r="J41" s="408">
        <v>0</v>
      </c>
    </row>
    <row r="42" spans="2:10" s="396" customFormat="1" ht="12.75" customHeight="1" x14ac:dyDescent="0.2">
      <c r="B42" s="95" t="s">
        <v>32</v>
      </c>
      <c r="C42" s="395"/>
      <c r="D42" s="279">
        <v>120393.775231073</v>
      </c>
      <c r="E42" s="397"/>
      <c r="F42" s="279">
        <v>103617.298878109</v>
      </c>
      <c r="G42" s="408">
        <v>82.663575137400002</v>
      </c>
      <c r="H42" s="397"/>
      <c r="I42" s="279">
        <v>8275.7980731035004</v>
      </c>
      <c r="J42" s="408">
        <v>6.0072544318999999</v>
      </c>
    </row>
    <row r="43" spans="2:10" s="396" customFormat="1" ht="12.75" customHeight="1" x14ac:dyDescent="0.2">
      <c r="B43" s="95" t="s">
        <v>33</v>
      </c>
      <c r="C43" s="395"/>
      <c r="D43" s="279">
        <v>79131.568151900501</v>
      </c>
      <c r="E43" s="397"/>
      <c r="F43" s="279">
        <v>75236.580026822194</v>
      </c>
      <c r="G43" s="408">
        <v>91.386557437099995</v>
      </c>
      <c r="H43" s="397"/>
      <c r="I43" s="279">
        <v>378.9487655753</v>
      </c>
      <c r="J43" s="408">
        <v>0.51883062390000001</v>
      </c>
    </row>
    <row r="44" spans="2:10" s="396" customFormat="1" ht="12.75" customHeight="1" x14ac:dyDescent="0.2">
      <c r="B44" s="95" t="s">
        <v>34</v>
      </c>
      <c r="C44" s="395"/>
      <c r="D44" s="279">
        <v>38002.810686510398</v>
      </c>
      <c r="E44" s="397"/>
      <c r="F44" s="279">
        <v>36807.977538249797</v>
      </c>
      <c r="G44" s="408">
        <v>95.220240699599998</v>
      </c>
      <c r="H44" s="397"/>
      <c r="I44" s="279">
        <v>288.7930837852</v>
      </c>
      <c r="J44" s="408">
        <v>0.6545513557</v>
      </c>
    </row>
    <row r="45" spans="2:10" ht="6" customHeight="1" x14ac:dyDescent="0.25">
      <c r="B45" s="398"/>
      <c r="C45" s="399"/>
      <c r="D45" s="264"/>
      <c r="E45" s="400"/>
      <c r="F45" s="264"/>
      <c r="G45" s="401"/>
      <c r="H45" s="401"/>
      <c r="I45" s="264"/>
      <c r="J45" s="401"/>
    </row>
    <row r="46" spans="2:10" ht="6" customHeight="1" x14ac:dyDescent="0.25">
      <c r="B46" s="228"/>
      <c r="C46" s="384"/>
      <c r="D46" s="145"/>
      <c r="E46" s="402"/>
      <c r="F46" s="145"/>
      <c r="G46" s="403"/>
      <c r="H46" s="403"/>
      <c r="I46" s="145"/>
      <c r="J46" s="403"/>
    </row>
    <row r="47" spans="2:10" ht="25.5" customHeight="1" x14ac:dyDescent="0.25">
      <c r="B47" s="703" t="s">
        <v>93</v>
      </c>
      <c r="C47" s="703"/>
      <c r="D47" s="703"/>
      <c r="E47" s="703"/>
      <c r="F47" s="703"/>
      <c r="G47" s="703"/>
      <c r="H47" s="703"/>
      <c r="I47" s="703"/>
      <c r="J47" s="703"/>
    </row>
    <row r="48" spans="2:10" ht="12.75" customHeight="1" x14ac:dyDescent="0.25">
      <c r="B48" s="404" t="s">
        <v>80</v>
      </c>
      <c r="C48" s="384"/>
      <c r="D48" s="145"/>
      <c r="E48" s="402"/>
      <c r="F48" s="145"/>
      <c r="G48" s="403"/>
      <c r="H48" s="403"/>
      <c r="I48" s="145"/>
      <c r="J48" s="403"/>
    </row>
    <row r="49" spans="2:10" ht="12" customHeight="1" x14ac:dyDescent="0.25">
      <c r="B49" s="404" t="s">
        <v>81</v>
      </c>
      <c r="C49" s="384"/>
      <c r="D49" s="145"/>
      <c r="E49" s="402"/>
      <c r="F49" s="145"/>
      <c r="G49" s="403"/>
      <c r="H49" s="403"/>
      <c r="I49" s="145"/>
      <c r="J49" s="403"/>
    </row>
    <row r="50" spans="2:10" s="13" customFormat="1" ht="14.25" x14ac:dyDescent="0.2">
      <c r="B50" s="109" t="s">
        <v>57</v>
      </c>
    </row>
  </sheetData>
  <mergeCells count="7">
    <mergeCell ref="B47:J47"/>
    <mergeCell ref="B5:I5"/>
    <mergeCell ref="B7:C9"/>
    <mergeCell ref="D7:D9"/>
    <mergeCell ref="F7:J7"/>
    <mergeCell ref="F8:G8"/>
    <mergeCell ref="I8:J8"/>
  </mergeCells>
  <hyperlinks>
    <hyperlink ref="J1" location="Índice!A1" tooltip="Ir a ÍNDICE" display="INDICE" xr:uid="{B7C1AB53-D072-41E3-B480-A01342CD3289}"/>
  </hyperlinks>
  <pageMargins left="0.70866141732283472" right="0.70866141732283472" top="0.74803149606299213" bottom="0.74803149606299213" header="0.31496062992125984" footer="0.31496062992125984"/>
  <pageSetup orientation="portrait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DDA16-DEC9-4C8A-9443-7CC359796A78}">
  <dimension ref="B1:R46"/>
  <sheetViews>
    <sheetView showGridLines="0" zoomScaleNormal="100" workbookViewId="0"/>
  </sheetViews>
  <sheetFormatPr baseColWidth="10" defaultColWidth="11.42578125" defaultRowHeight="15" x14ac:dyDescent="0.25"/>
  <cols>
    <col min="1" max="1" width="1.7109375" style="417" customWidth="1"/>
    <col min="2" max="2" width="24.28515625" style="417" customWidth="1"/>
    <col min="3" max="3" width="0.85546875" style="435" customWidth="1"/>
    <col min="4" max="4" width="27" style="436" customWidth="1"/>
    <col min="5" max="5" width="1.7109375" style="436" customWidth="1"/>
    <col min="6" max="6" width="28.85546875" style="437" customWidth="1"/>
    <col min="7" max="16384" width="11.42578125" style="417"/>
  </cols>
  <sheetData>
    <row r="1" spans="2:18" s="410" customFormat="1" ht="12" customHeight="1" x14ac:dyDescent="0.2">
      <c r="B1" s="640" t="s">
        <v>202</v>
      </c>
      <c r="D1" s="411"/>
      <c r="E1" s="411"/>
      <c r="F1" s="72" t="s">
        <v>151</v>
      </c>
    </row>
    <row r="2" spans="2:18" s="410" customFormat="1" ht="6.95" customHeight="1" x14ac:dyDescent="0.2">
      <c r="B2" s="640"/>
      <c r="D2" s="411"/>
      <c r="E2" s="411"/>
      <c r="F2" s="411"/>
    </row>
    <row r="3" spans="2:18" s="410" customFormat="1" ht="15" customHeight="1" x14ac:dyDescent="0.2">
      <c r="B3" s="640" t="s">
        <v>199</v>
      </c>
      <c r="C3" s="409"/>
      <c r="D3" s="409"/>
      <c r="E3" s="409"/>
      <c r="F3" s="409"/>
      <c r="G3" s="409"/>
      <c r="H3" s="409"/>
      <c r="I3" s="409"/>
      <c r="J3" s="409"/>
      <c r="K3" s="409"/>
      <c r="L3" s="409"/>
      <c r="M3" s="409"/>
      <c r="N3" s="409"/>
      <c r="O3" s="409"/>
      <c r="P3" s="409"/>
      <c r="Q3" s="409"/>
      <c r="R3" s="409"/>
    </row>
    <row r="4" spans="2:18" s="410" customFormat="1" ht="6.95" customHeight="1" x14ac:dyDescent="0.2">
      <c r="C4" s="412"/>
      <c r="D4" s="411"/>
      <c r="E4" s="411"/>
      <c r="F4" s="411"/>
    </row>
    <row r="5" spans="2:18" s="410" customFormat="1" ht="25.5" customHeight="1" x14ac:dyDescent="0.2">
      <c r="B5" s="711" t="s">
        <v>152</v>
      </c>
      <c r="C5" s="711"/>
      <c r="D5" s="711"/>
      <c r="E5" s="711"/>
      <c r="F5" s="71" t="s">
        <v>115</v>
      </c>
      <c r="G5" s="413"/>
      <c r="H5" s="413"/>
      <c r="I5" s="413"/>
      <c r="J5" s="413"/>
      <c r="K5" s="413"/>
    </row>
    <row r="6" spans="2:18" ht="6" customHeight="1" x14ac:dyDescent="0.25">
      <c r="B6" s="414"/>
      <c r="C6" s="415"/>
      <c r="D6" s="416"/>
      <c r="E6" s="416"/>
      <c r="F6" s="416"/>
      <c r="G6" s="414"/>
      <c r="H6" s="414"/>
      <c r="I6" s="414"/>
      <c r="J6" s="414"/>
      <c r="K6" s="414"/>
    </row>
    <row r="7" spans="2:18" ht="60.75" customHeight="1" x14ac:dyDescent="0.25">
      <c r="B7" s="32" t="s">
        <v>76</v>
      </c>
      <c r="C7" s="32"/>
      <c r="D7" s="418" t="s">
        <v>108</v>
      </c>
      <c r="E7" s="419"/>
      <c r="F7" s="420" t="s">
        <v>82</v>
      </c>
      <c r="G7" s="414"/>
      <c r="H7" s="414"/>
      <c r="I7" s="414"/>
      <c r="J7" s="414"/>
      <c r="K7" s="414"/>
    </row>
    <row r="8" spans="2:18" ht="6" customHeight="1" x14ac:dyDescent="0.25">
      <c r="B8" s="31"/>
      <c r="C8" s="421"/>
      <c r="D8" s="422"/>
      <c r="E8" s="422"/>
      <c r="F8" s="422"/>
      <c r="G8" s="414"/>
      <c r="H8" s="414"/>
      <c r="I8" s="414"/>
      <c r="J8" s="414"/>
      <c r="K8" s="414"/>
    </row>
    <row r="9" spans="2:18" s="424" customFormat="1" ht="11.25" x14ac:dyDescent="0.2">
      <c r="B9" s="94" t="s">
        <v>2</v>
      </c>
      <c r="C9" s="423"/>
      <c r="D9" s="334">
        <v>2705604.3977930201</v>
      </c>
      <c r="E9" s="87"/>
      <c r="F9" s="334">
        <v>3.4364718831999999</v>
      </c>
      <c r="G9" s="423"/>
      <c r="H9" s="423"/>
      <c r="I9" s="423"/>
      <c r="J9" s="423"/>
      <c r="K9" s="423"/>
    </row>
    <row r="10" spans="2:18" s="426" customFormat="1" ht="6" customHeight="1" x14ac:dyDescent="0.2">
      <c r="B10" s="94"/>
      <c r="C10" s="425"/>
      <c r="D10" s="89"/>
      <c r="E10" s="89"/>
      <c r="F10" s="89"/>
      <c r="G10" s="425"/>
      <c r="H10" s="425"/>
      <c r="I10" s="425"/>
      <c r="J10" s="425"/>
      <c r="K10" s="425"/>
    </row>
    <row r="11" spans="2:18" s="426" customFormat="1" ht="12.75" customHeight="1" x14ac:dyDescent="0.2">
      <c r="B11" s="95" t="s">
        <v>3</v>
      </c>
      <c r="C11" s="427"/>
      <c r="D11" s="279">
        <v>43831.615796227001</v>
      </c>
      <c r="E11" s="89"/>
      <c r="F11" s="279">
        <v>3.5239818134999998</v>
      </c>
      <c r="G11" s="425"/>
      <c r="H11" s="425"/>
      <c r="I11" s="425"/>
      <c r="J11" s="425"/>
      <c r="K11" s="425"/>
    </row>
    <row r="12" spans="2:18" s="426" customFormat="1" ht="12.75" customHeight="1" x14ac:dyDescent="0.2">
      <c r="B12" s="95" t="s">
        <v>4</v>
      </c>
      <c r="C12" s="427"/>
      <c r="D12" s="279">
        <v>103590.605849019</v>
      </c>
      <c r="E12" s="89"/>
      <c r="F12" s="279">
        <v>3.1619184604999999</v>
      </c>
      <c r="G12" s="425"/>
      <c r="H12" s="425"/>
      <c r="I12" s="425"/>
      <c r="J12" s="425"/>
      <c r="K12" s="425"/>
    </row>
    <row r="13" spans="2:18" s="426" customFormat="1" ht="12.75" customHeight="1" x14ac:dyDescent="0.2">
      <c r="B13" s="95" t="s">
        <v>5</v>
      </c>
      <c r="C13" s="427"/>
      <c r="D13" s="279">
        <v>19753.2576826599</v>
      </c>
      <c r="E13" s="89"/>
      <c r="F13" s="279">
        <v>3.3259465560999999</v>
      </c>
      <c r="G13" s="425"/>
      <c r="H13" s="425"/>
      <c r="I13" s="425"/>
      <c r="J13" s="425"/>
      <c r="K13" s="425"/>
    </row>
    <row r="14" spans="2:18" s="426" customFormat="1" ht="12.75" customHeight="1" x14ac:dyDescent="0.2">
      <c r="B14" s="95" t="s">
        <v>6</v>
      </c>
      <c r="C14" s="427"/>
      <c r="D14" s="279">
        <v>18766.971717702501</v>
      </c>
      <c r="E14" s="428"/>
      <c r="F14" s="438">
        <v>2.9520912896999998</v>
      </c>
      <c r="G14" s="425"/>
      <c r="H14" s="425"/>
      <c r="I14" s="425"/>
      <c r="J14" s="425"/>
      <c r="K14" s="425"/>
    </row>
    <row r="15" spans="2:18" s="426" customFormat="1" ht="12.75" customHeight="1" x14ac:dyDescent="0.2">
      <c r="B15" s="95" t="s">
        <v>7</v>
      </c>
      <c r="C15" s="427"/>
      <c r="D15" s="279">
        <v>67875.599453346105</v>
      </c>
      <c r="E15" s="428"/>
      <c r="F15" s="438">
        <v>3.5009124869999999</v>
      </c>
      <c r="G15" s="425"/>
      <c r="H15" s="425"/>
      <c r="I15" s="425"/>
      <c r="J15" s="425"/>
      <c r="K15" s="425"/>
    </row>
    <row r="16" spans="2:18" s="426" customFormat="1" ht="12.75" customHeight="1" x14ac:dyDescent="0.2">
      <c r="B16" s="95" t="s">
        <v>8</v>
      </c>
      <c r="C16" s="427"/>
      <c r="D16" s="279">
        <v>23430.075541800699</v>
      </c>
      <c r="E16" s="428"/>
      <c r="F16" s="438">
        <v>2.6557490639000001</v>
      </c>
      <c r="G16" s="425"/>
      <c r="H16" s="425"/>
      <c r="I16" s="425"/>
      <c r="J16" s="425"/>
      <c r="K16" s="425"/>
    </row>
    <row r="17" spans="2:11" s="426" customFormat="1" ht="12.75" customHeight="1" x14ac:dyDescent="0.2">
      <c r="B17" s="95" t="s">
        <v>9</v>
      </c>
      <c r="C17" s="427"/>
      <c r="D17" s="279">
        <v>60220.730363601797</v>
      </c>
      <c r="E17" s="428"/>
      <c r="F17" s="438">
        <v>2.1227216614</v>
      </c>
      <c r="G17" s="425"/>
      <c r="H17" s="425"/>
      <c r="I17" s="425"/>
      <c r="J17" s="425"/>
      <c r="K17" s="425"/>
    </row>
    <row r="18" spans="2:11" s="426" customFormat="1" ht="12.75" customHeight="1" x14ac:dyDescent="0.2">
      <c r="B18" s="95" t="s">
        <v>10</v>
      </c>
      <c r="C18" s="427"/>
      <c r="D18" s="279">
        <v>85295.8780996024</v>
      </c>
      <c r="E18" s="428"/>
      <c r="F18" s="438">
        <v>3.5070755355999998</v>
      </c>
      <c r="G18" s="425"/>
      <c r="H18" s="425"/>
      <c r="I18" s="425"/>
      <c r="J18" s="425"/>
      <c r="K18" s="425"/>
    </row>
    <row r="19" spans="2:11" s="426" customFormat="1" ht="12.75" customHeight="1" x14ac:dyDescent="0.2">
      <c r="B19" s="95" t="s">
        <v>11</v>
      </c>
      <c r="C19" s="427"/>
      <c r="D19" s="279">
        <v>176880.66773494199</v>
      </c>
      <c r="E19" s="428"/>
      <c r="F19" s="438">
        <v>3.9388114573999999</v>
      </c>
      <c r="G19" s="425"/>
      <c r="H19" s="425"/>
      <c r="I19" s="425"/>
      <c r="J19" s="425"/>
      <c r="K19" s="425"/>
    </row>
    <row r="20" spans="2:11" s="426" customFormat="1" ht="12.75" customHeight="1" x14ac:dyDescent="0.2">
      <c r="B20" s="95" t="s">
        <v>12</v>
      </c>
      <c r="C20" s="427"/>
      <c r="D20" s="279">
        <v>43246.016770551701</v>
      </c>
      <c r="E20" s="428"/>
      <c r="F20" s="438">
        <v>3.4756751212000001</v>
      </c>
      <c r="G20" s="425"/>
      <c r="H20" s="425"/>
      <c r="I20" s="425"/>
      <c r="J20" s="425"/>
      <c r="K20" s="425"/>
    </row>
    <row r="21" spans="2:11" s="426" customFormat="1" ht="12.75" customHeight="1" x14ac:dyDescent="0.2">
      <c r="B21" s="95" t="s">
        <v>13</v>
      </c>
      <c r="C21" s="427"/>
      <c r="D21" s="279">
        <v>97206.407527995601</v>
      </c>
      <c r="E21" s="428"/>
      <c r="F21" s="438">
        <v>2.9661940582000001</v>
      </c>
      <c r="G21" s="425"/>
      <c r="H21" s="425"/>
      <c r="I21" s="425"/>
      <c r="J21" s="425"/>
      <c r="K21" s="425"/>
    </row>
    <row r="22" spans="2:11" s="426" customFormat="1" ht="12.75" customHeight="1" x14ac:dyDescent="0.2">
      <c r="B22" s="95" t="s">
        <v>14</v>
      </c>
      <c r="C22" s="427"/>
      <c r="D22" s="279">
        <v>45295.861840896898</v>
      </c>
      <c r="E22" s="428"/>
      <c r="F22" s="438">
        <v>2.3522854635999999</v>
      </c>
      <c r="G22" s="425"/>
      <c r="H22" s="425"/>
      <c r="I22" s="425"/>
      <c r="J22" s="425"/>
      <c r="K22" s="425"/>
    </row>
    <row r="23" spans="2:11" s="426" customFormat="1" ht="12.75" customHeight="1" x14ac:dyDescent="0.2">
      <c r="B23" s="95" t="s">
        <v>15</v>
      </c>
      <c r="C23" s="427"/>
      <c r="D23" s="279">
        <v>41046.552745830697</v>
      </c>
      <c r="E23" s="428"/>
      <c r="F23" s="438">
        <v>3.4442215622000001</v>
      </c>
      <c r="G23" s="425"/>
      <c r="H23" s="425"/>
      <c r="I23" s="425"/>
      <c r="J23" s="425"/>
      <c r="K23" s="425"/>
    </row>
    <row r="24" spans="2:11" s="426" customFormat="1" ht="12.75" customHeight="1" x14ac:dyDescent="0.2">
      <c r="B24" s="95" t="s">
        <v>16</v>
      </c>
      <c r="C24" s="427"/>
      <c r="D24" s="279">
        <v>272268.24088733998</v>
      </c>
      <c r="E24" s="428"/>
      <c r="F24" s="438">
        <v>3.1775174825999999</v>
      </c>
      <c r="G24" s="425"/>
      <c r="H24" s="425"/>
      <c r="I24" s="425"/>
      <c r="J24" s="425"/>
      <c r="K24" s="425"/>
    </row>
    <row r="25" spans="2:11" s="426" customFormat="1" ht="12.75" customHeight="1" x14ac:dyDescent="0.2">
      <c r="B25" s="95" t="s">
        <v>17</v>
      </c>
      <c r="C25" s="427"/>
      <c r="D25" s="279">
        <v>196544.11703371801</v>
      </c>
      <c r="E25" s="428"/>
      <c r="F25" s="438">
        <v>3.6934991250999998</v>
      </c>
      <c r="G25" s="425"/>
      <c r="H25" s="425"/>
      <c r="I25" s="425"/>
      <c r="J25" s="425"/>
      <c r="K25" s="425"/>
    </row>
    <row r="26" spans="2:11" s="426" customFormat="1" ht="12.75" customHeight="1" x14ac:dyDescent="0.2">
      <c r="B26" s="95" t="s">
        <v>18</v>
      </c>
      <c r="C26" s="427"/>
      <c r="D26" s="279">
        <v>82344.333547885995</v>
      </c>
      <c r="E26" s="428"/>
      <c r="F26" s="438">
        <v>3.0988194835999998</v>
      </c>
      <c r="G26" s="425"/>
      <c r="H26" s="425"/>
      <c r="I26" s="425"/>
      <c r="J26" s="425"/>
      <c r="K26" s="425"/>
    </row>
    <row r="27" spans="2:11" s="426" customFormat="1" ht="12.75" customHeight="1" x14ac:dyDescent="0.2">
      <c r="B27" s="95" t="s">
        <v>19</v>
      </c>
      <c r="C27" s="427"/>
      <c r="D27" s="279">
        <v>23649.370561565102</v>
      </c>
      <c r="E27" s="428"/>
      <c r="F27" s="438">
        <v>3.3404222808999999</v>
      </c>
      <c r="G27" s="425"/>
      <c r="H27" s="425"/>
      <c r="I27" s="425"/>
      <c r="J27" s="425"/>
      <c r="K27" s="425"/>
    </row>
    <row r="28" spans="2:11" s="426" customFormat="1" ht="12.75" customHeight="1" x14ac:dyDescent="0.2">
      <c r="B28" s="95" t="s">
        <v>20</v>
      </c>
      <c r="C28" s="427"/>
      <c r="D28" s="279">
        <v>35437.585236328297</v>
      </c>
      <c r="E28" s="428"/>
      <c r="F28" s="438">
        <v>3.2052134504000001</v>
      </c>
      <c r="G28" s="425"/>
      <c r="H28" s="425"/>
      <c r="I28" s="425"/>
      <c r="J28" s="425"/>
      <c r="K28" s="425"/>
    </row>
    <row r="29" spans="2:11" s="426" customFormat="1" ht="12.75" customHeight="1" x14ac:dyDescent="0.2">
      <c r="B29" s="95" t="s">
        <v>21</v>
      </c>
      <c r="C29" s="427"/>
      <c r="D29" s="279">
        <v>195630.12466723699</v>
      </c>
      <c r="E29" s="428"/>
      <c r="F29" s="438">
        <v>3.3507947328999999</v>
      </c>
      <c r="G29" s="425"/>
      <c r="H29" s="425"/>
      <c r="I29" s="425"/>
      <c r="J29" s="425"/>
      <c r="K29" s="425"/>
    </row>
    <row r="30" spans="2:11" s="426" customFormat="1" ht="12.75" customHeight="1" x14ac:dyDescent="0.2">
      <c r="B30" s="95" t="s">
        <v>22</v>
      </c>
      <c r="C30" s="427"/>
      <c r="D30" s="279">
        <v>64653.356858022104</v>
      </c>
      <c r="E30" s="428"/>
      <c r="F30" s="438">
        <v>2.8407711820000001</v>
      </c>
      <c r="G30" s="425"/>
      <c r="H30" s="425"/>
      <c r="I30" s="425"/>
      <c r="J30" s="425"/>
      <c r="K30" s="425"/>
    </row>
    <row r="31" spans="2:11" s="426" customFormat="1" ht="12.75" customHeight="1" x14ac:dyDescent="0.2">
      <c r="B31" s="95" t="s">
        <v>23</v>
      </c>
      <c r="C31" s="427"/>
      <c r="D31" s="279">
        <v>68630.982230065201</v>
      </c>
      <c r="E31" s="428"/>
      <c r="F31" s="438">
        <v>3.2857260329</v>
      </c>
      <c r="G31" s="425"/>
      <c r="H31" s="425"/>
      <c r="I31" s="425"/>
      <c r="J31" s="425"/>
      <c r="K31" s="425"/>
    </row>
    <row r="32" spans="2:11" s="426" customFormat="1" ht="12.75" customHeight="1" x14ac:dyDescent="0.2">
      <c r="B32" s="95" t="s">
        <v>24</v>
      </c>
      <c r="C32" s="427"/>
      <c r="D32" s="279">
        <v>61536.420879668403</v>
      </c>
      <c r="E32" s="428"/>
      <c r="F32" s="438">
        <v>3.4364713382000001</v>
      </c>
      <c r="G32" s="425"/>
      <c r="H32" s="425"/>
      <c r="I32" s="425"/>
      <c r="J32" s="425"/>
      <c r="K32" s="425"/>
    </row>
    <row r="33" spans="2:11" s="426" customFormat="1" ht="12.75" customHeight="1" x14ac:dyDescent="0.2">
      <c r="B33" s="95" t="s">
        <v>25</v>
      </c>
      <c r="C33" s="427"/>
      <c r="D33" s="279">
        <v>50570.569877203001</v>
      </c>
      <c r="E33" s="428"/>
      <c r="F33" s="438">
        <v>2.5705465128</v>
      </c>
      <c r="G33" s="425"/>
      <c r="H33" s="425"/>
      <c r="I33" s="425"/>
      <c r="J33" s="425"/>
      <c r="K33" s="425"/>
    </row>
    <row r="34" spans="2:11" s="426" customFormat="1" ht="12.75" customHeight="1" x14ac:dyDescent="0.2">
      <c r="B34" s="95" t="s">
        <v>26</v>
      </c>
      <c r="C34" s="427"/>
      <c r="D34" s="279">
        <v>49490.5210206392</v>
      </c>
      <c r="E34" s="428"/>
      <c r="F34" s="438">
        <v>3.3112754672000002</v>
      </c>
      <c r="G34" s="425"/>
      <c r="H34" s="425"/>
      <c r="I34" s="425"/>
      <c r="J34" s="425"/>
      <c r="K34" s="425"/>
    </row>
    <row r="35" spans="2:11" s="426" customFormat="1" ht="12.75" customHeight="1" x14ac:dyDescent="0.2">
      <c r="B35" s="95" t="s">
        <v>27</v>
      </c>
      <c r="C35" s="427"/>
      <c r="D35" s="279">
        <v>59985.944400418797</v>
      </c>
      <c r="E35" s="428"/>
      <c r="F35" s="438">
        <v>3.1760409135000001</v>
      </c>
      <c r="G35" s="425"/>
      <c r="H35" s="425"/>
      <c r="I35" s="425"/>
      <c r="J35" s="425"/>
      <c r="K35" s="425"/>
    </row>
    <row r="36" spans="2:11" s="426" customFormat="1" ht="12.75" customHeight="1" x14ac:dyDescent="0.2">
      <c r="B36" s="95" t="s">
        <v>28</v>
      </c>
      <c r="C36" s="427"/>
      <c r="D36" s="279">
        <v>109569.155323285</v>
      </c>
      <c r="E36" s="428"/>
      <c r="F36" s="438">
        <v>3.2376630497000001</v>
      </c>
      <c r="G36" s="425"/>
      <c r="H36" s="425"/>
      <c r="I36" s="425"/>
      <c r="J36" s="425"/>
      <c r="K36" s="425"/>
    </row>
    <row r="37" spans="2:11" s="426" customFormat="1" ht="12.75" customHeight="1" x14ac:dyDescent="0.2">
      <c r="B37" s="95" t="s">
        <v>29</v>
      </c>
      <c r="C37" s="427"/>
      <c r="D37" s="279">
        <v>46983.705623928501</v>
      </c>
      <c r="E37" s="428"/>
      <c r="F37" s="438">
        <v>3.0791060061</v>
      </c>
      <c r="G37" s="425"/>
      <c r="H37" s="425"/>
      <c r="I37" s="425"/>
      <c r="J37" s="425"/>
      <c r="K37" s="425"/>
    </row>
    <row r="38" spans="2:11" s="426" customFormat="1" ht="12.75" customHeight="1" x14ac:dyDescent="0.2">
      <c r="B38" s="95" t="s">
        <v>30</v>
      </c>
      <c r="C38" s="427"/>
      <c r="D38" s="279">
        <v>98813.782740603099</v>
      </c>
      <c r="E38" s="428"/>
      <c r="F38" s="438">
        <v>3.3845176839</v>
      </c>
      <c r="G38" s="425"/>
      <c r="H38" s="425"/>
      <c r="I38" s="425"/>
      <c r="J38" s="425"/>
      <c r="K38" s="425"/>
    </row>
    <row r="39" spans="2:11" s="426" customFormat="1" ht="12.75" customHeight="1" x14ac:dyDescent="0.2">
      <c r="B39" s="95" t="s">
        <v>31</v>
      </c>
      <c r="C39" s="427"/>
      <c r="D39" s="279">
        <v>9990.2962325512999</v>
      </c>
      <c r="E39" s="428"/>
      <c r="F39" s="438">
        <v>3.9069161373000001</v>
      </c>
      <c r="G39" s="425"/>
      <c r="H39" s="425"/>
      <c r="I39" s="425"/>
      <c r="J39" s="425"/>
      <c r="K39" s="425"/>
    </row>
    <row r="40" spans="2:11" s="426" customFormat="1" ht="12.75" customHeight="1" x14ac:dyDescent="0.2">
      <c r="B40" s="95" t="s">
        <v>32</v>
      </c>
      <c r="C40" s="427"/>
      <c r="D40" s="279">
        <v>120393.775231073</v>
      </c>
      <c r="E40" s="428"/>
      <c r="F40" s="438">
        <v>3.0197935665000002</v>
      </c>
      <c r="G40" s="425"/>
      <c r="H40" s="425"/>
      <c r="I40" s="425"/>
      <c r="J40" s="425"/>
      <c r="K40" s="425"/>
    </row>
    <row r="41" spans="2:11" s="426" customFormat="1" ht="12.75" customHeight="1" x14ac:dyDescent="0.2">
      <c r="B41" s="95" t="s">
        <v>33</v>
      </c>
      <c r="C41" s="427"/>
      <c r="D41" s="279">
        <v>79131.568151900501</v>
      </c>
      <c r="E41" s="428"/>
      <c r="F41" s="438">
        <v>2.8856276985</v>
      </c>
      <c r="G41" s="425"/>
      <c r="H41" s="425"/>
      <c r="I41" s="425"/>
      <c r="J41" s="425"/>
      <c r="K41" s="425"/>
    </row>
    <row r="42" spans="2:11" s="426" customFormat="1" ht="12.75" customHeight="1" x14ac:dyDescent="0.2">
      <c r="B42" s="95" t="s">
        <v>34</v>
      </c>
      <c r="C42" s="427"/>
      <c r="D42" s="279">
        <v>38002.810686510398</v>
      </c>
      <c r="E42" s="428"/>
      <c r="F42" s="438">
        <v>3.6027900576</v>
      </c>
      <c r="G42" s="425"/>
      <c r="H42" s="425"/>
      <c r="I42" s="425"/>
      <c r="J42" s="425"/>
      <c r="K42" s="425"/>
    </row>
    <row r="43" spans="2:11" ht="6" customHeight="1" x14ac:dyDescent="0.25">
      <c r="B43" s="429"/>
      <c r="C43" s="430"/>
      <c r="D43" s="264"/>
      <c r="E43" s="431"/>
      <c r="F43" s="432"/>
      <c r="G43" s="414"/>
      <c r="H43" s="414"/>
      <c r="I43" s="414"/>
      <c r="J43" s="414"/>
      <c r="K43" s="414"/>
    </row>
    <row r="44" spans="2:11" ht="6" customHeight="1" x14ac:dyDescent="0.25">
      <c r="B44" s="228"/>
      <c r="C44" s="415"/>
      <c r="D44" s="145"/>
      <c r="E44" s="433"/>
      <c r="F44" s="434"/>
      <c r="G44" s="414"/>
      <c r="H44" s="414"/>
      <c r="I44" s="414"/>
      <c r="J44" s="414"/>
      <c r="K44" s="414"/>
    </row>
    <row r="45" spans="2:11" ht="25.5" customHeight="1" x14ac:dyDescent="0.25">
      <c r="B45" s="703" t="s">
        <v>93</v>
      </c>
      <c r="C45" s="703"/>
      <c r="D45" s="703"/>
      <c r="E45" s="703"/>
      <c r="F45" s="703"/>
      <c r="G45" s="414"/>
      <c r="H45" s="414"/>
      <c r="I45" s="414"/>
      <c r="J45" s="414"/>
      <c r="K45" s="414"/>
    </row>
    <row r="46" spans="2:11" s="13" customFormat="1" ht="14.25" x14ac:dyDescent="0.2">
      <c r="B46" s="109" t="s">
        <v>57</v>
      </c>
    </row>
  </sheetData>
  <mergeCells count="2">
    <mergeCell ref="B5:E5"/>
    <mergeCell ref="B45:F45"/>
  </mergeCells>
  <hyperlinks>
    <hyperlink ref="F1" location="Índice!A1" tooltip="Ir a ÍNDICE" display="INDICE" xr:uid="{B8D74589-4B24-4E43-909F-F48461DA0280}"/>
  </hyperlinks>
  <pageMargins left="0.70866141732283472" right="0.70866141732283472" top="0.74803149606299213" bottom="0.74803149606299213" header="0.31496062992125984" footer="0.31496062992125984"/>
  <pageSetup orientation="portrait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1E4AA-5A51-4B0C-A2AE-ACABA1365FFA}">
  <dimension ref="B1:AA48"/>
  <sheetViews>
    <sheetView showGridLines="0" zoomScaleNormal="100" workbookViewId="0"/>
  </sheetViews>
  <sheetFormatPr baseColWidth="10" defaultColWidth="11.42578125" defaultRowHeight="15" x14ac:dyDescent="0.25"/>
  <cols>
    <col min="1" max="1" width="1.7109375" style="446" customWidth="1"/>
    <col min="2" max="2" width="24.28515625" style="446" customWidth="1"/>
    <col min="3" max="3" width="0.85546875" style="444" customWidth="1"/>
    <col min="4" max="4" width="18.7109375" style="445" customWidth="1"/>
    <col min="5" max="5" width="1.7109375" style="445" customWidth="1"/>
    <col min="6" max="6" width="15" style="445" customWidth="1"/>
    <col min="7" max="7" width="12.7109375" style="474" customWidth="1"/>
    <col min="8" max="8" width="1.7109375" style="445" customWidth="1"/>
    <col min="9" max="9" width="16.28515625" style="445" customWidth="1"/>
    <col min="10" max="10" width="12.7109375" style="474" customWidth="1"/>
    <col min="11" max="11" width="1.7109375" style="446" customWidth="1"/>
    <col min="12" max="12" width="16.85546875" style="446" customWidth="1"/>
    <col min="13" max="13" width="11.42578125" style="446"/>
    <col min="14" max="14" width="1.7109375" style="446" customWidth="1"/>
    <col min="15" max="15" width="17.140625" style="446" customWidth="1"/>
    <col min="16" max="16" width="11.42578125" style="446"/>
    <col min="17" max="17" width="1.7109375" style="446" customWidth="1"/>
    <col min="18" max="18" width="18" style="446" customWidth="1"/>
    <col min="19" max="19" width="11.42578125" style="446"/>
    <col min="20" max="20" width="1.7109375" style="446" customWidth="1"/>
    <col min="21" max="21" width="17" style="446" customWidth="1"/>
    <col min="22" max="16384" width="11.42578125" style="446"/>
  </cols>
  <sheetData>
    <row r="1" spans="2:27" s="440" customFormat="1" ht="12" customHeight="1" x14ac:dyDescent="0.2">
      <c r="B1" s="640" t="s">
        <v>202</v>
      </c>
      <c r="D1" s="441"/>
      <c r="E1" s="441"/>
      <c r="F1" s="441"/>
      <c r="G1" s="441"/>
      <c r="H1" s="441"/>
      <c r="I1" s="441"/>
      <c r="V1" s="72" t="s">
        <v>151</v>
      </c>
    </row>
    <row r="2" spans="2:27" s="440" customFormat="1" ht="6.95" customHeight="1" x14ac:dyDescent="0.2">
      <c r="B2" s="640"/>
      <c r="D2" s="441"/>
      <c r="E2" s="441"/>
      <c r="F2" s="441"/>
      <c r="G2" s="441"/>
      <c r="H2" s="441"/>
      <c r="I2" s="441"/>
      <c r="J2" s="441"/>
    </row>
    <row r="3" spans="2:27" s="440" customFormat="1" ht="15" customHeight="1" x14ac:dyDescent="0.2">
      <c r="B3" s="640" t="s">
        <v>199</v>
      </c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</row>
    <row r="4" spans="2:27" s="440" customFormat="1" ht="6.95" customHeight="1" x14ac:dyDescent="0.2">
      <c r="C4" s="442"/>
      <c r="D4" s="441"/>
      <c r="E4" s="441"/>
      <c r="F4" s="441"/>
      <c r="G4" s="441"/>
      <c r="H4" s="441"/>
      <c r="I4" s="441"/>
      <c r="J4" s="441"/>
    </row>
    <row r="5" spans="2:27" s="440" customFormat="1" ht="25.5" customHeight="1" x14ac:dyDescent="0.2">
      <c r="B5" s="712" t="s">
        <v>144</v>
      </c>
      <c r="C5" s="712"/>
      <c r="D5" s="712"/>
      <c r="E5" s="712"/>
      <c r="F5" s="712"/>
      <c r="G5" s="712"/>
      <c r="H5" s="712"/>
      <c r="I5" s="712"/>
      <c r="J5" s="712"/>
      <c r="V5" s="71" t="s">
        <v>116</v>
      </c>
    </row>
    <row r="6" spans="2:27" ht="6" customHeight="1" x14ac:dyDescent="0.25">
      <c r="B6" s="443"/>
      <c r="G6" s="445"/>
      <c r="J6" s="445"/>
    </row>
    <row r="7" spans="2:27" ht="15" customHeight="1" x14ac:dyDescent="0.25">
      <c r="B7" s="675" t="s">
        <v>76</v>
      </c>
      <c r="C7" s="675"/>
      <c r="D7" s="713" t="s">
        <v>86</v>
      </c>
      <c r="E7" s="447"/>
      <c r="F7" s="716" t="s">
        <v>75</v>
      </c>
      <c r="G7" s="716"/>
      <c r="H7" s="716"/>
      <c r="I7" s="716"/>
      <c r="J7" s="716"/>
      <c r="K7" s="716"/>
      <c r="L7" s="716"/>
      <c r="M7" s="716"/>
      <c r="N7" s="716"/>
      <c r="O7" s="716"/>
      <c r="P7" s="716"/>
      <c r="Q7" s="716"/>
      <c r="R7" s="716"/>
      <c r="S7" s="716"/>
      <c r="T7" s="716"/>
      <c r="U7" s="716"/>
      <c r="V7" s="716"/>
    </row>
    <row r="8" spans="2:27" ht="24.75" customHeight="1" x14ac:dyDescent="0.25">
      <c r="B8" s="676"/>
      <c r="C8" s="676"/>
      <c r="D8" s="714"/>
      <c r="E8" s="448"/>
      <c r="F8" s="717" t="s">
        <v>63</v>
      </c>
      <c r="G8" s="717"/>
      <c r="H8" s="449"/>
      <c r="I8" s="717" t="s">
        <v>64</v>
      </c>
      <c r="J8" s="717"/>
      <c r="K8" s="450"/>
      <c r="L8" s="717" t="s">
        <v>65</v>
      </c>
      <c r="M8" s="717"/>
      <c r="N8" s="450"/>
      <c r="O8" s="717" t="s">
        <v>66</v>
      </c>
      <c r="P8" s="717"/>
      <c r="Q8" s="451"/>
      <c r="R8" s="717" t="s">
        <v>67</v>
      </c>
      <c r="S8" s="717"/>
      <c r="T8" s="452"/>
      <c r="U8" s="717" t="s">
        <v>39</v>
      </c>
      <c r="V8" s="717"/>
    </row>
    <row r="9" spans="2:27" x14ac:dyDescent="0.25">
      <c r="B9" s="677"/>
      <c r="C9" s="677"/>
      <c r="D9" s="715"/>
      <c r="E9" s="453"/>
      <c r="F9" s="454" t="s">
        <v>0</v>
      </c>
      <c r="G9" s="454" t="s">
        <v>1</v>
      </c>
      <c r="H9" s="454"/>
      <c r="I9" s="454" t="s">
        <v>0</v>
      </c>
      <c r="J9" s="454" t="s">
        <v>1</v>
      </c>
      <c r="K9" s="455"/>
      <c r="L9" s="454" t="s">
        <v>0</v>
      </c>
      <c r="M9" s="454" t="s">
        <v>1</v>
      </c>
      <c r="N9" s="455"/>
      <c r="O9" s="454" t="s">
        <v>0</v>
      </c>
      <c r="P9" s="454" t="s">
        <v>1</v>
      </c>
      <c r="Q9" s="455"/>
      <c r="R9" s="454" t="s">
        <v>0</v>
      </c>
      <c r="S9" s="454" t="s">
        <v>1</v>
      </c>
      <c r="T9" s="455"/>
      <c r="U9" s="454" t="s">
        <v>0</v>
      </c>
      <c r="V9" s="454" t="s">
        <v>1</v>
      </c>
    </row>
    <row r="10" spans="2:27" ht="6" customHeight="1" x14ac:dyDescent="0.25">
      <c r="B10" s="10"/>
      <c r="C10" s="456"/>
      <c r="D10" s="457"/>
      <c r="E10" s="457"/>
      <c r="F10" s="458"/>
      <c r="G10" s="458"/>
      <c r="H10" s="458"/>
      <c r="I10" s="458"/>
      <c r="J10" s="458"/>
      <c r="K10" s="459"/>
      <c r="L10" s="459"/>
      <c r="M10" s="459"/>
      <c r="N10" s="459"/>
      <c r="O10" s="459"/>
      <c r="P10" s="459"/>
      <c r="Q10" s="459"/>
      <c r="R10" s="459"/>
      <c r="S10" s="459"/>
      <c r="T10" s="459"/>
      <c r="U10" s="459"/>
      <c r="V10" s="459"/>
      <c r="W10" s="459"/>
      <c r="X10" s="459"/>
      <c r="Y10" s="459"/>
      <c r="Z10" s="459"/>
      <c r="AA10" s="459"/>
    </row>
    <row r="11" spans="2:27" s="460" customFormat="1" ht="11.25" x14ac:dyDescent="0.2">
      <c r="B11" s="96" t="s">
        <v>2</v>
      </c>
      <c r="D11" s="477">
        <v>2705604.3977930201</v>
      </c>
      <c r="E11" s="461"/>
      <c r="F11" s="477">
        <v>409318.55751104897</v>
      </c>
      <c r="G11" s="477">
        <v>14.8532956565</v>
      </c>
      <c r="H11" s="461"/>
      <c r="I11" s="477">
        <v>670293.39829023799</v>
      </c>
      <c r="J11" s="477">
        <v>24.410338684500001</v>
      </c>
      <c r="K11" s="461"/>
      <c r="L11" s="477">
        <v>548540.95064978604</v>
      </c>
      <c r="M11" s="477">
        <v>19.905376959000002</v>
      </c>
      <c r="N11" s="461"/>
      <c r="O11" s="477">
        <v>457446.84166337101</v>
      </c>
      <c r="P11" s="477">
        <v>16.6099735403</v>
      </c>
      <c r="Q11" s="461"/>
      <c r="R11" s="477">
        <v>377383.20715171401</v>
      </c>
      <c r="S11" s="477">
        <v>13.6692556952</v>
      </c>
      <c r="T11" s="461"/>
      <c r="U11" s="477">
        <v>96436.110262848902</v>
      </c>
      <c r="V11" s="477">
        <v>3.4894407209999998</v>
      </c>
      <c r="W11" s="461"/>
      <c r="X11" s="461"/>
      <c r="Y11" s="461"/>
      <c r="Z11" s="461"/>
      <c r="AA11" s="461"/>
    </row>
    <row r="12" spans="2:27" s="462" customFormat="1" ht="6" customHeight="1" x14ac:dyDescent="0.2">
      <c r="B12" s="96"/>
      <c r="D12" s="463"/>
      <c r="E12" s="463"/>
      <c r="F12" s="463"/>
      <c r="G12" s="464"/>
      <c r="H12" s="463"/>
      <c r="I12" s="463"/>
      <c r="J12" s="464"/>
      <c r="K12" s="463"/>
      <c r="L12" s="463"/>
      <c r="M12" s="464"/>
      <c r="N12" s="463"/>
      <c r="O12" s="463"/>
      <c r="P12" s="464"/>
      <c r="Q12" s="463"/>
      <c r="R12" s="463"/>
      <c r="S12" s="464"/>
      <c r="T12" s="463"/>
      <c r="U12" s="463"/>
      <c r="V12" s="464"/>
      <c r="W12" s="463"/>
      <c r="X12" s="463"/>
      <c r="Y12" s="463"/>
      <c r="Z12" s="463"/>
      <c r="AA12" s="463"/>
    </row>
    <row r="13" spans="2:27" s="462" customFormat="1" ht="12.75" customHeight="1" x14ac:dyDescent="0.2">
      <c r="B13" s="95" t="s">
        <v>3</v>
      </c>
      <c r="C13" s="465"/>
      <c r="D13" s="475">
        <v>43831.615796227001</v>
      </c>
      <c r="E13" s="463"/>
      <c r="F13" s="475">
        <v>1476.3711542792</v>
      </c>
      <c r="G13" s="475">
        <v>3.2456418746</v>
      </c>
      <c r="H13" s="463"/>
      <c r="I13" s="475">
        <v>7388.5850399340998</v>
      </c>
      <c r="J13" s="475">
        <v>15.5450978781</v>
      </c>
      <c r="K13" s="463"/>
      <c r="L13" s="475">
        <v>13052.8648087859</v>
      </c>
      <c r="M13" s="475">
        <v>27.327917541400002</v>
      </c>
      <c r="N13" s="463"/>
      <c r="O13" s="475">
        <v>6640.1055066801</v>
      </c>
      <c r="P13" s="475">
        <v>14.483975324199999</v>
      </c>
      <c r="Q13" s="463"/>
      <c r="R13" s="475">
        <v>4210.8934880811003</v>
      </c>
      <c r="S13" s="475">
        <v>9.3536746602999994</v>
      </c>
      <c r="T13" s="463"/>
      <c r="U13" s="475">
        <v>2295.1512849291998</v>
      </c>
      <c r="V13" s="475">
        <v>4.9063976608999997</v>
      </c>
      <c r="W13" s="463"/>
      <c r="X13" s="463"/>
      <c r="Y13" s="463"/>
      <c r="Z13" s="463"/>
      <c r="AA13" s="463"/>
    </row>
    <row r="14" spans="2:27" s="462" customFormat="1" ht="12.75" customHeight="1" x14ac:dyDescent="0.2">
      <c r="B14" s="95" t="s">
        <v>4</v>
      </c>
      <c r="C14" s="465"/>
      <c r="D14" s="475">
        <v>103590.605849019</v>
      </c>
      <c r="E14" s="463"/>
      <c r="F14" s="475">
        <v>9725.7480431100994</v>
      </c>
      <c r="G14" s="475">
        <v>8.5946379708999991</v>
      </c>
      <c r="H14" s="463"/>
      <c r="I14" s="475">
        <v>13870.568872894</v>
      </c>
      <c r="J14" s="475">
        <v>12.3426331591</v>
      </c>
      <c r="K14" s="463"/>
      <c r="L14" s="475">
        <v>14612.197370146199</v>
      </c>
      <c r="M14" s="475">
        <v>13.325356455</v>
      </c>
      <c r="N14" s="463"/>
      <c r="O14" s="475">
        <v>12897.5051306759</v>
      </c>
      <c r="P14" s="475">
        <v>11.349369614</v>
      </c>
      <c r="Q14" s="463"/>
      <c r="R14" s="475">
        <v>27451.6524520108</v>
      </c>
      <c r="S14" s="475">
        <v>24.9952445419</v>
      </c>
      <c r="T14" s="463"/>
      <c r="U14" s="475">
        <v>465.9796142317</v>
      </c>
      <c r="V14" s="475">
        <v>0.38327069580000001</v>
      </c>
      <c r="W14" s="463"/>
      <c r="X14" s="463"/>
      <c r="Y14" s="463"/>
      <c r="Z14" s="463"/>
      <c r="AA14" s="463"/>
    </row>
    <row r="15" spans="2:27" s="462" customFormat="1" ht="12.75" customHeight="1" x14ac:dyDescent="0.2">
      <c r="B15" s="95" t="s">
        <v>5</v>
      </c>
      <c r="C15" s="465"/>
      <c r="D15" s="475">
        <v>19753.2576826599</v>
      </c>
      <c r="E15" s="463"/>
      <c r="F15" s="475">
        <v>2179.5990804695002</v>
      </c>
      <c r="G15" s="475">
        <v>10.1667387257</v>
      </c>
      <c r="H15" s="463"/>
      <c r="I15" s="475">
        <v>5213.9833785737001</v>
      </c>
      <c r="J15" s="475">
        <v>24.171273753099999</v>
      </c>
      <c r="K15" s="463"/>
      <c r="L15" s="475">
        <v>2276.0226239955</v>
      </c>
      <c r="M15" s="475">
        <v>10.4320572099</v>
      </c>
      <c r="N15" s="463"/>
      <c r="O15" s="475">
        <v>2150.6992772414001</v>
      </c>
      <c r="P15" s="475">
        <v>10.3271966097</v>
      </c>
      <c r="Q15" s="463"/>
      <c r="R15" s="475">
        <v>1812.8140140662999</v>
      </c>
      <c r="S15" s="475">
        <v>8.0307442655999992</v>
      </c>
      <c r="T15" s="463"/>
      <c r="U15" s="475">
        <v>843.70341280349999</v>
      </c>
      <c r="V15" s="475">
        <v>3.9185342963999998</v>
      </c>
      <c r="W15" s="463"/>
      <c r="X15" s="463"/>
      <c r="Y15" s="463"/>
      <c r="Z15" s="463"/>
      <c r="AA15" s="463"/>
    </row>
    <row r="16" spans="2:27" s="462" customFormat="1" ht="12.75" customHeight="1" x14ac:dyDescent="0.2">
      <c r="B16" s="95" t="s">
        <v>6</v>
      </c>
      <c r="C16" s="465"/>
      <c r="D16" s="475">
        <v>18766.971717702501</v>
      </c>
      <c r="E16" s="463"/>
      <c r="F16" s="475">
        <v>4518.8808161965999</v>
      </c>
      <c r="G16" s="475">
        <v>22.419726583399999</v>
      </c>
      <c r="H16" s="463"/>
      <c r="I16" s="475">
        <v>2631.2830679649001</v>
      </c>
      <c r="J16" s="475">
        <v>13.183232802499999</v>
      </c>
      <c r="K16" s="463"/>
      <c r="L16" s="475">
        <v>2134.8901904200002</v>
      </c>
      <c r="M16" s="475">
        <v>10.752882615600001</v>
      </c>
      <c r="N16" s="463"/>
      <c r="O16" s="475">
        <v>658.19943414060003</v>
      </c>
      <c r="P16" s="475">
        <v>3.1954373447000002</v>
      </c>
      <c r="Q16" s="463"/>
      <c r="R16" s="475">
        <v>3196.1560282669998</v>
      </c>
      <c r="S16" s="475">
        <v>15.3519870518</v>
      </c>
      <c r="T16" s="463"/>
      <c r="U16" s="475">
        <v>1087.4718467339001</v>
      </c>
      <c r="V16" s="475">
        <v>5.2852592523000004</v>
      </c>
      <c r="W16" s="463"/>
      <c r="X16" s="463"/>
      <c r="Y16" s="463"/>
      <c r="Z16" s="463"/>
      <c r="AA16" s="463"/>
    </row>
    <row r="17" spans="2:27" s="462" customFormat="1" ht="12.75" customHeight="1" x14ac:dyDescent="0.2">
      <c r="B17" s="95" t="s">
        <v>7</v>
      </c>
      <c r="C17" s="465"/>
      <c r="D17" s="476">
        <v>67875.599453346105</v>
      </c>
      <c r="E17" s="466"/>
      <c r="F17" s="476">
        <v>2776.3095730112</v>
      </c>
      <c r="G17" s="478">
        <v>3.7906673935000001</v>
      </c>
      <c r="H17" s="466"/>
      <c r="I17" s="476">
        <v>8071.6373831999999</v>
      </c>
      <c r="J17" s="478">
        <v>10.9443523772</v>
      </c>
      <c r="K17" s="463"/>
      <c r="L17" s="475">
        <v>8549.7647130977002</v>
      </c>
      <c r="M17" s="478">
        <v>11.4172093005</v>
      </c>
      <c r="N17" s="463"/>
      <c r="O17" s="475">
        <v>13944.677244929801</v>
      </c>
      <c r="P17" s="478">
        <v>19.617562921899999</v>
      </c>
      <c r="Q17" s="463"/>
      <c r="R17" s="475">
        <v>12294.743136070399</v>
      </c>
      <c r="S17" s="478">
        <v>16.5229056507</v>
      </c>
      <c r="T17" s="463"/>
      <c r="U17" s="475">
        <v>4106.8131748214</v>
      </c>
      <c r="V17" s="478">
        <v>5.3742421184999998</v>
      </c>
      <c r="W17" s="463"/>
      <c r="X17" s="463"/>
      <c r="Y17" s="463"/>
      <c r="Z17" s="463"/>
      <c r="AA17" s="463"/>
    </row>
    <row r="18" spans="2:27" s="462" customFormat="1" ht="12.75" customHeight="1" x14ac:dyDescent="0.2">
      <c r="B18" s="95" t="s">
        <v>8</v>
      </c>
      <c r="C18" s="465"/>
      <c r="D18" s="476">
        <v>23430.075541800699</v>
      </c>
      <c r="E18" s="466"/>
      <c r="F18" s="476">
        <v>978.04265499430005</v>
      </c>
      <c r="G18" s="478">
        <v>3.7231400032000002</v>
      </c>
      <c r="H18" s="466"/>
      <c r="I18" s="476">
        <v>2852.216858923</v>
      </c>
      <c r="J18" s="478">
        <v>11.6895998452</v>
      </c>
      <c r="K18" s="463"/>
      <c r="L18" s="475">
        <v>4857.8805943485004</v>
      </c>
      <c r="M18" s="478">
        <v>19.4358629695</v>
      </c>
      <c r="N18" s="463"/>
      <c r="O18" s="475">
        <v>5372.8127513531999</v>
      </c>
      <c r="P18" s="478">
        <v>20.0217867048</v>
      </c>
      <c r="Q18" s="463"/>
      <c r="R18" s="475">
        <v>3306.4579489949001</v>
      </c>
      <c r="S18" s="478">
        <v>12.966442328999999</v>
      </c>
      <c r="T18" s="463"/>
      <c r="U18" s="475">
        <v>775.92897698009995</v>
      </c>
      <c r="V18" s="478">
        <v>3.0509010008000002</v>
      </c>
      <c r="W18" s="463"/>
      <c r="X18" s="463"/>
      <c r="Y18" s="463"/>
      <c r="Z18" s="463"/>
      <c r="AA18" s="463"/>
    </row>
    <row r="19" spans="2:27" s="462" customFormat="1" ht="12.75" customHeight="1" x14ac:dyDescent="0.2">
      <c r="B19" s="95" t="s">
        <v>9</v>
      </c>
      <c r="C19" s="465"/>
      <c r="D19" s="476">
        <v>60220.730363601797</v>
      </c>
      <c r="E19" s="466"/>
      <c r="F19" s="476">
        <v>22278.438932337602</v>
      </c>
      <c r="G19" s="478">
        <v>35.122038796600002</v>
      </c>
      <c r="H19" s="466"/>
      <c r="I19" s="476">
        <v>16424.209966001599</v>
      </c>
      <c r="J19" s="478">
        <v>23.954358410699999</v>
      </c>
      <c r="K19" s="463"/>
      <c r="L19" s="475">
        <v>2349.4997476108001</v>
      </c>
      <c r="M19" s="478">
        <v>3.2133985448</v>
      </c>
      <c r="N19" s="463"/>
      <c r="O19" s="475">
        <v>3317.9043145351998</v>
      </c>
      <c r="P19" s="478">
        <v>4.7213467023</v>
      </c>
      <c r="Q19" s="463"/>
      <c r="R19" s="475">
        <v>374.3281075708</v>
      </c>
      <c r="S19" s="478">
        <v>0.45801374960000002</v>
      </c>
      <c r="T19" s="463"/>
      <c r="U19" s="475">
        <v>0</v>
      </c>
      <c r="V19" s="478">
        <v>0</v>
      </c>
      <c r="W19" s="463"/>
      <c r="X19" s="463"/>
      <c r="Y19" s="463"/>
      <c r="Z19" s="463"/>
      <c r="AA19" s="463"/>
    </row>
    <row r="20" spans="2:27" s="462" customFormat="1" ht="12.75" customHeight="1" x14ac:dyDescent="0.2">
      <c r="B20" s="95" t="s">
        <v>10</v>
      </c>
      <c r="C20" s="465"/>
      <c r="D20" s="476">
        <v>85295.8780996024</v>
      </c>
      <c r="E20" s="466"/>
      <c r="F20" s="476">
        <v>8827.3855937512999</v>
      </c>
      <c r="G20" s="478">
        <v>9.9674602153999992</v>
      </c>
      <c r="H20" s="466"/>
      <c r="I20" s="476">
        <v>5506.5832116150996</v>
      </c>
      <c r="J20" s="478">
        <v>6.0616979343999997</v>
      </c>
      <c r="K20" s="463"/>
      <c r="L20" s="475">
        <v>10625.4161101221</v>
      </c>
      <c r="M20" s="478">
        <v>11.960015417299999</v>
      </c>
      <c r="N20" s="463"/>
      <c r="O20" s="475">
        <v>25213.792325058199</v>
      </c>
      <c r="P20" s="478">
        <v>27.459623987400001</v>
      </c>
      <c r="Q20" s="463"/>
      <c r="R20" s="475">
        <v>9534.3966750208001</v>
      </c>
      <c r="S20" s="478">
        <v>10.4903314743</v>
      </c>
      <c r="T20" s="463"/>
      <c r="U20" s="475">
        <v>2939.8943893972</v>
      </c>
      <c r="V20" s="478">
        <v>3.2080371926</v>
      </c>
      <c r="W20" s="463"/>
      <c r="X20" s="463"/>
      <c r="Y20" s="463"/>
      <c r="Z20" s="463"/>
      <c r="AA20" s="463"/>
    </row>
    <row r="21" spans="2:27" s="462" customFormat="1" ht="12.75" customHeight="1" x14ac:dyDescent="0.2">
      <c r="B21" s="95" t="s">
        <v>11</v>
      </c>
      <c r="C21" s="465"/>
      <c r="D21" s="476">
        <v>176880.66773494199</v>
      </c>
      <c r="E21" s="466"/>
      <c r="F21" s="476">
        <v>12156.8746715825</v>
      </c>
      <c r="G21" s="478">
        <v>6.3675922911000002</v>
      </c>
      <c r="H21" s="466"/>
      <c r="I21" s="476">
        <v>49404.983877481303</v>
      </c>
      <c r="J21" s="478">
        <v>26.8605907257</v>
      </c>
      <c r="K21" s="463"/>
      <c r="L21" s="475">
        <v>26168.578356064299</v>
      </c>
      <c r="M21" s="478">
        <v>13.740359997700001</v>
      </c>
      <c r="N21" s="463"/>
      <c r="O21" s="475">
        <v>11824.9876733765</v>
      </c>
      <c r="P21" s="478">
        <v>6.1474485218000003</v>
      </c>
      <c r="Q21" s="463"/>
      <c r="R21" s="475">
        <v>20690.586633382802</v>
      </c>
      <c r="S21" s="478">
        <v>10.622064397400001</v>
      </c>
      <c r="T21" s="463"/>
      <c r="U21" s="475">
        <v>3828.8381242255</v>
      </c>
      <c r="V21" s="478">
        <v>2.0206077501999999</v>
      </c>
      <c r="W21" s="463"/>
      <c r="X21" s="463"/>
      <c r="Y21" s="463"/>
      <c r="Z21" s="463"/>
      <c r="AA21" s="463"/>
    </row>
    <row r="22" spans="2:27" s="462" customFormat="1" ht="12.75" customHeight="1" x14ac:dyDescent="0.2">
      <c r="B22" s="95" t="s">
        <v>12</v>
      </c>
      <c r="C22" s="465"/>
      <c r="D22" s="476">
        <v>43246.016770551701</v>
      </c>
      <c r="E22" s="466"/>
      <c r="F22" s="476">
        <v>4711.7679513717003</v>
      </c>
      <c r="G22" s="478">
        <v>10.1206056709</v>
      </c>
      <c r="H22" s="466"/>
      <c r="I22" s="476">
        <v>7606.2379767479997</v>
      </c>
      <c r="J22" s="478">
        <v>16.3127565279</v>
      </c>
      <c r="K22" s="463"/>
      <c r="L22" s="475">
        <v>8224.0051854377998</v>
      </c>
      <c r="M22" s="478">
        <v>17.693783262</v>
      </c>
      <c r="N22" s="463"/>
      <c r="O22" s="475">
        <v>3137.7296037943001</v>
      </c>
      <c r="P22" s="478">
        <v>6.8258701062</v>
      </c>
      <c r="Q22" s="463"/>
      <c r="R22" s="475">
        <v>7747.3472506762</v>
      </c>
      <c r="S22" s="478">
        <v>16.5244772892</v>
      </c>
      <c r="T22" s="463"/>
      <c r="U22" s="475">
        <v>1330.2732668222</v>
      </c>
      <c r="V22" s="478">
        <v>2.7462161746999998</v>
      </c>
      <c r="W22" s="463"/>
      <c r="X22" s="463"/>
      <c r="Y22" s="463"/>
      <c r="Z22" s="463"/>
      <c r="AA22" s="463"/>
    </row>
    <row r="23" spans="2:27" s="462" customFormat="1" ht="12.75" customHeight="1" x14ac:dyDescent="0.2">
      <c r="B23" s="95" t="s">
        <v>13</v>
      </c>
      <c r="C23" s="465"/>
      <c r="D23" s="476">
        <v>97206.407527995601</v>
      </c>
      <c r="E23" s="466"/>
      <c r="F23" s="476">
        <v>9150.3480430935997</v>
      </c>
      <c r="G23" s="478">
        <v>8.4035458899000002</v>
      </c>
      <c r="H23" s="466"/>
      <c r="I23" s="476">
        <v>19576.763247833798</v>
      </c>
      <c r="J23" s="478">
        <v>18.590920695800001</v>
      </c>
      <c r="K23" s="463"/>
      <c r="L23" s="475">
        <v>13783.051133172999</v>
      </c>
      <c r="M23" s="478">
        <v>13.011373384600001</v>
      </c>
      <c r="N23" s="463"/>
      <c r="O23" s="475">
        <v>17688.5176030576</v>
      </c>
      <c r="P23" s="478">
        <v>17.2466023888</v>
      </c>
      <c r="Q23" s="463"/>
      <c r="R23" s="475">
        <v>11072.7624165576</v>
      </c>
      <c r="S23" s="478">
        <v>10.577361291900001</v>
      </c>
      <c r="T23" s="463"/>
      <c r="U23" s="475">
        <v>0</v>
      </c>
      <c r="V23" s="478">
        <v>0</v>
      </c>
      <c r="W23" s="463"/>
      <c r="X23" s="463"/>
      <c r="Y23" s="463"/>
      <c r="Z23" s="463"/>
      <c r="AA23" s="463"/>
    </row>
    <row r="24" spans="2:27" s="462" customFormat="1" ht="12.75" customHeight="1" x14ac:dyDescent="0.2">
      <c r="B24" s="95" t="s">
        <v>14</v>
      </c>
      <c r="C24" s="465"/>
      <c r="D24" s="476">
        <v>45295.861840896898</v>
      </c>
      <c r="E24" s="466"/>
      <c r="F24" s="476">
        <v>8591.6121643380993</v>
      </c>
      <c r="G24" s="478">
        <v>17.938949421499998</v>
      </c>
      <c r="H24" s="466"/>
      <c r="I24" s="476">
        <v>10453.456121533</v>
      </c>
      <c r="J24" s="478">
        <v>21.213020767700002</v>
      </c>
      <c r="K24" s="463"/>
      <c r="L24" s="475">
        <v>6327.241932551</v>
      </c>
      <c r="M24" s="478">
        <v>12.4252026115</v>
      </c>
      <c r="N24" s="463"/>
      <c r="O24" s="475">
        <v>3942.8427905119001</v>
      </c>
      <c r="P24" s="478">
        <v>8.0725233294999992</v>
      </c>
      <c r="Q24" s="463"/>
      <c r="R24" s="475">
        <v>752.45734552969998</v>
      </c>
      <c r="S24" s="478">
        <v>1.4297075036</v>
      </c>
      <c r="T24" s="463"/>
      <c r="U24" s="475">
        <v>782.51152694029997</v>
      </c>
      <c r="V24" s="478">
        <v>1.5791353037</v>
      </c>
      <c r="W24" s="463"/>
      <c r="X24" s="463"/>
      <c r="Y24" s="463"/>
      <c r="Z24" s="463"/>
      <c r="AA24" s="463"/>
    </row>
    <row r="25" spans="2:27" s="462" customFormat="1" ht="12.75" customHeight="1" x14ac:dyDescent="0.2">
      <c r="B25" s="95" t="s">
        <v>15</v>
      </c>
      <c r="C25" s="465"/>
      <c r="D25" s="476">
        <v>41046.552745830697</v>
      </c>
      <c r="E25" s="466"/>
      <c r="F25" s="476">
        <v>4316.7024532034002</v>
      </c>
      <c r="G25" s="478">
        <v>9.1980816776999994</v>
      </c>
      <c r="H25" s="466"/>
      <c r="I25" s="476">
        <v>8050.4282735019997</v>
      </c>
      <c r="J25" s="478">
        <v>18.3667185674</v>
      </c>
      <c r="K25" s="463"/>
      <c r="L25" s="475">
        <v>7659.2119122482</v>
      </c>
      <c r="M25" s="478">
        <v>16.9471844545</v>
      </c>
      <c r="N25" s="463"/>
      <c r="O25" s="475">
        <v>3639.1325679961001</v>
      </c>
      <c r="P25" s="478">
        <v>7.9115859501000001</v>
      </c>
      <c r="Q25" s="463"/>
      <c r="R25" s="475">
        <v>3454.5443589093002</v>
      </c>
      <c r="S25" s="478">
        <v>7.7327576260999997</v>
      </c>
      <c r="T25" s="463"/>
      <c r="U25" s="475">
        <v>668.41017433059994</v>
      </c>
      <c r="V25" s="478">
        <v>1.5009388062</v>
      </c>
      <c r="W25" s="463"/>
      <c r="X25" s="463"/>
      <c r="Y25" s="463"/>
      <c r="Z25" s="463"/>
      <c r="AA25" s="463"/>
    </row>
    <row r="26" spans="2:27" s="462" customFormat="1" ht="12.75" customHeight="1" x14ac:dyDescent="0.2">
      <c r="B26" s="95" t="s">
        <v>16</v>
      </c>
      <c r="C26" s="465"/>
      <c r="D26" s="476">
        <v>272268.24088733998</v>
      </c>
      <c r="E26" s="466"/>
      <c r="F26" s="476">
        <v>21157.8170364834</v>
      </c>
      <c r="G26" s="478">
        <v>7.3239537828000003</v>
      </c>
      <c r="H26" s="466"/>
      <c r="I26" s="476">
        <v>82399.503556663403</v>
      </c>
      <c r="J26" s="478">
        <v>28.591211493900001</v>
      </c>
      <c r="K26" s="463"/>
      <c r="L26" s="475">
        <v>60876.4244760773</v>
      </c>
      <c r="M26" s="478">
        <v>21.236628377799999</v>
      </c>
      <c r="N26" s="463"/>
      <c r="O26" s="475">
        <v>32359.1225093742</v>
      </c>
      <c r="P26" s="478">
        <v>10.9617814234</v>
      </c>
      <c r="Q26" s="463"/>
      <c r="R26" s="475">
        <v>19427.7676965789</v>
      </c>
      <c r="S26" s="478">
        <v>6.6377091654000004</v>
      </c>
      <c r="T26" s="463"/>
      <c r="U26" s="475">
        <v>2594.7491839772001</v>
      </c>
      <c r="V26" s="478">
        <v>0.86270987310000002</v>
      </c>
      <c r="W26" s="463"/>
      <c r="X26" s="463"/>
      <c r="Y26" s="463"/>
      <c r="Z26" s="463"/>
      <c r="AA26" s="463"/>
    </row>
    <row r="27" spans="2:27" s="462" customFormat="1" ht="12.75" customHeight="1" x14ac:dyDescent="0.2">
      <c r="B27" s="95" t="s">
        <v>17</v>
      </c>
      <c r="C27" s="465"/>
      <c r="D27" s="476">
        <v>196544.11703371801</v>
      </c>
      <c r="E27" s="466"/>
      <c r="F27" s="476">
        <v>16876.383242514999</v>
      </c>
      <c r="G27" s="478">
        <v>7.5760226721999997</v>
      </c>
      <c r="H27" s="466"/>
      <c r="I27" s="476">
        <v>35196.826715702096</v>
      </c>
      <c r="J27" s="478">
        <v>17.062802817000001</v>
      </c>
      <c r="K27" s="463"/>
      <c r="L27" s="475">
        <v>36699.657749415397</v>
      </c>
      <c r="M27" s="478">
        <v>16.8931052485</v>
      </c>
      <c r="N27" s="463"/>
      <c r="O27" s="475">
        <v>19584.113064396399</v>
      </c>
      <c r="P27" s="478">
        <v>9.1523653173999993</v>
      </c>
      <c r="Q27" s="463"/>
      <c r="R27" s="475">
        <v>12697.9759190691</v>
      </c>
      <c r="S27" s="478">
        <v>5.719641631</v>
      </c>
      <c r="T27" s="463"/>
      <c r="U27" s="475">
        <v>1740.8406655568999</v>
      </c>
      <c r="V27" s="478">
        <v>0.75186700640000004</v>
      </c>
      <c r="W27" s="463"/>
      <c r="X27" s="463"/>
      <c r="Y27" s="463"/>
      <c r="Z27" s="463"/>
      <c r="AA27" s="463"/>
    </row>
    <row r="28" spans="2:27" s="462" customFormat="1" ht="12.75" customHeight="1" x14ac:dyDescent="0.2">
      <c r="B28" s="95" t="s">
        <v>18</v>
      </c>
      <c r="C28" s="465"/>
      <c r="D28" s="476">
        <v>82344.333547885995</v>
      </c>
      <c r="E28" s="466"/>
      <c r="F28" s="476">
        <v>5928.0966722610001</v>
      </c>
      <c r="G28" s="478">
        <v>6.0175190942999999</v>
      </c>
      <c r="H28" s="466"/>
      <c r="I28" s="476">
        <v>16998.480033791799</v>
      </c>
      <c r="J28" s="478">
        <v>17.9461903716</v>
      </c>
      <c r="K28" s="463"/>
      <c r="L28" s="475">
        <v>12665.337137156001</v>
      </c>
      <c r="M28" s="478">
        <v>14.5969655276</v>
      </c>
      <c r="N28" s="463"/>
      <c r="O28" s="475">
        <v>14240.4605931771</v>
      </c>
      <c r="P28" s="478">
        <v>17.0485666503</v>
      </c>
      <c r="Q28" s="463"/>
      <c r="R28" s="475">
        <v>11247.259576291401</v>
      </c>
      <c r="S28" s="478">
        <v>10.8788058824</v>
      </c>
      <c r="T28" s="463"/>
      <c r="U28" s="475">
        <v>0</v>
      </c>
      <c r="V28" s="478">
        <v>0</v>
      </c>
      <c r="W28" s="463"/>
      <c r="X28" s="463"/>
      <c r="Y28" s="463"/>
      <c r="Z28" s="463"/>
      <c r="AA28" s="463"/>
    </row>
    <row r="29" spans="2:27" s="462" customFormat="1" ht="12.75" customHeight="1" x14ac:dyDescent="0.2">
      <c r="B29" s="95" t="s">
        <v>19</v>
      </c>
      <c r="C29" s="465"/>
      <c r="D29" s="476">
        <v>23649.370561565102</v>
      </c>
      <c r="E29" s="466"/>
      <c r="F29" s="476">
        <v>3002.8214731322</v>
      </c>
      <c r="G29" s="478">
        <v>11.0974048696</v>
      </c>
      <c r="H29" s="466"/>
      <c r="I29" s="476">
        <v>6694.3051524148996</v>
      </c>
      <c r="J29" s="478">
        <v>25.977833832200002</v>
      </c>
      <c r="K29" s="463"/>
      <c r="L29" s="475">
        <v>2979.6250623362998</v>
      </c>
      <c r="M29" s="478">
        <v>11.998314370899999</v>
      </c>
      <c r="N29" s="463"/>
      <c r="O29" s="475">
        <v>1935.6301486657001</v>
      </c>
      <c r="P29" s="478">
        <v>7.7799475070000002</v>
      </c>
      <c r="Q29" s="463"/>
      <c r="R29" s="475">
        <v>1461.2810152668001</v>
      </c>
      <c r="S29" s="478">
        <v>5.5391107641000001</v>
      </c>
      <c r="T29" s="463"/>
      <c r="U29" s="475">
        <v>0</v>
      </c>
      <c r="V29" s="478">
        <v>0</v>
      </c>
      <c r="W29" s="463"/>
      <c r="X29" s="463"/>
      <c r="Y29" s="463"/>
      <c r="Z29" s="463"/>
      <c r="AA29" s="463"/>
    </row>
    <row r="30" spans="2:27" s="462" customFormat="1" ht="12.75" customHeight="1" x14ac:dyDescent="0.2">
      <c r="B30" s="95" t="s">
        <v>20</v>
      </c>
      <c r="C30" s="465"/>
      <c r="D30" s="476">
        <v>35437.585236328297</v>
      </c>
      <c r="E30" s="466"/>
      <c r="F30" s="476">
        <v>3760.2412960860001</v>
      </c>
      <c r="G30" s="478">
        <v>9.4552950510000002</v>
      </c>
      <c r="H30" s="466"/>
      <c r="I30" s="476">
        <v>9286.0408653421</v>
      </c>
      <c r="J30" s="478">
        <v>24.4103310263</v>
      </c>
      <c r="K30" s="463"/>
      <c r="L30" s="475">
        <v>7612.0964868400997</v>
      </c>
      <c r="M30" s="478">
        <v>19.691040513200001</v>
      </c>
      <c r="N30" s="463"/>
      <c r="O30" s="475">
        <v>5438.4341326126996</v>
      </c>
      <c r="P30" s="478">
        <v>14.510740592699999</v>
      </c>
      <c r="Q30" s="463"/>
      <c r="R30" s="475">
        <v>3193.0071857369999</v>
      </c>
      <c r="S30" s="478">
        <v>7.8624418653000001</v>
      </c>
      <c r="T30" s="463"/>
      <c r="U30" s="475">
        <v>0</v>
      </c>
      <c r="V30" s="478">
        <v>0</v>
      </c>
      <c r="W30" s="463"/>
      <c r="X30" s="463"/>
      <c r="Y30" s="463"/>
      <c r="Z30" s="463"/>
      <c r="AA30" s="463"/>
    </row>
    <row r="31" spans="2:27" s="462" customFormat="1" ht="12.75" customHeight="1" x14ac:dyDescent="0.2">
      <c r="B31" s="95" t="s">
        <v>21</v>
      </c>
      <c r="C31" s="465"/>
      <c r="D31" s="476">
        <v>195630.12466723699</v>
      </c>
      <c r="E31" s="466"/>
      <c r="F31" s="476">
        <v>12670.1126855242</v>
      </c>
      <c r="G31" s="478">
        <v>5.9556783398000004</v>
      </c>
      <c r="H31" s="466"/>
      <c r="I31" s="476">
        <v>27182.234958094599</v>
      </c>
      <c r="J31" s="478">
        <v>13.2331327309</v>
      </c>
      <c r="K31" s="463"/>
      <c r="L31" s="475">
        <v>52925.222977411802</v>
      </c>
      <c r="M31" s="478">
        <v>24.802191047400001</v>
      </c>
      <c r="N31" s="463"/>
      <c r="O31" s="475">
        <v>42026.776941889701</v>
      </c>
      <c r="P31" s="478">
        <v>20.401134430399999</v>
      </c>
      <c r="Q31" s="463"/>
      <c r="R31" s="475">
        <v>14393.8694658799</v>
      </c>
      <c r="S31" s="478">
        <v>6.9524276115000001</v>
      </c>
      <c r="T31" s="463"/>
      <c r="U31" s="475">
        <v>4841.5294170650004</v>
      </c>
      <c r="V31" s="478">
        <v>2.3081420154000001</v>
      </c>
      <c r="W31" s="463"/>
      <c r="X31" s="463"/>
      <c r="Y31" s="463"/>
      <c r="Z31" s="463"/>
      <c r="AA31" s="463"/>
    </row>
    <row r="32" spans="2:27" s="462" customFormat="1" ht="12.75" customHeight="1" x14ac:dyDescent="0.2">
      <c r="B32" s="95" t="s">
        <v>22</v>
      </c>
      <c r="C32" s="465"/>
      <c r="D32" s="476">
        <v>64653.356858022104</v>
      </c>
      <c r="E32" s="466"/>
      <c r="F32" s="476">
        <v>19140.952386950299</v>
      </c>
      <c r="G32" s="478">
        <v>26.4932510812</v>
      </c>
      <c r="H32" s="466"/>
      <c r="I32" s="476">
        <v>13085.260929866599</v>
      </c>
      <c r="J32" s="478">
        <v>18.445097242599999</v>
      </c>
      <c r="K32" s="463"/>
      <c r="L32" s="475">
        <v>7042.6231027760005</v>
      </c>
      <c r="M32" s="478">
        <v>9.1159841084999993</v>
      </c>
      <c r="N32" s="463"/>
      <c r="O32" s="475">
        <v>6098.0044301094003</v>
      </c>
      <c r="P32" s="478">
        <v>9.2204483622000009</v>
      </c>
      <c r="Q32" s="463"/>
      <c r="R32" s="475">
        <v>3204.4091977957</v>
      </c>
      <c r="S32" s="478">
        <v>4.5219258892000003</v>
      </c>
      <c r="T32" s="463"/>
      <c r="U32" s="475">
        <v>199.86345869799999</v>
      </c>
      <c r="V32" s="478">
        <v>0.2026792838</v>
      </c>
      <c r="W32" s="463"/>
      <c r="X32" s="463"/>
      <c r="Y32" s="463"/>
      <c r="Z32" s="463"/>
      <c r="AA32" s="463"/>
    </row>
    <row r="33" spans="2:27" s="462" customFormat="1" ht="12.75" customHeight="1" x14ac:dyDescent="0.2">
      <c r="B33" s="95" t="s">
        <v>23</v>
      </c>
      <c r="C33" s="465"/>
      <c r="D33" s="476">
        <v>68630.982230065201</v>
      </c>
      <c r="E33" s="466"/>
      <c r="F33" s="476">
        <v>17943.984584932499</v>
      </c>
      <c r="G33" s="478">
        <v>24.0772067093</v>
      </c>
      <c r="H33" s="466"/>
      <c r="I33" s="476">
        <v>9257.1051234840997</v>
      </c>
      <c r="J33" s="478">
        <v>12.331080865400001</v>
      </c>
      <c r="K33" s="463"/>
      <c r="L33" s="475">
        <v>8941.7757644034009</v>
      </c>
      <c r="M33" s="478">
        <v>11.869565141100001</v>
      </c>
      <c r="N33" s="463"/>
      <c r="O33" s="475">
        <v>4795.4428388613997</v>
      </c>
      <c r="P33" s="478">
        <v>6.3513790297000003</v>
      </c>
      <c r="Q33" s="463"/>
      <c r="R33" s="475">
        <v>3266.2215401653002</v>
      </c>
      <c r="S33" s="478">
        <v>4.4704869177999997</v>
      </c>
      <c r="T33" s="463"/>
      <c r="U33" s="475">
        <v>0</v>
      </c>
      <c r="V33" s="478">
        <v>0</v>
      </c>
      <c r="W33" s="463"/>
      <c r="X33" s="463"/>
      <c r="Y33" s="463"/>
      <c r="Z33" s="463"/>
      <c r="AA33" s="463"/>
    </row>
    <row r="34" spans="2:27" s="462" customFormat="1" ht="12.75" customHeight="1" x14ac:dyDescent="0.2">
      <c r="B34" s="95" t="s">
        <v>24</v>
      </c>
      <c r="C34" s="465"/>
      <c r="D34" s="476">
        <v>61536.420879668403</v>
      </c>
      <c r="E34" s="466"/>
      <c r="F34" s="476">
        <v>5542.8135103847999</v>
      </c>
      <c r="G34" s="478">
        <v>8.6459775863000008</v>
      </c>
      <c r="H34" s="466"/>
      <c r="I34" s="476">
        <v>12326.115826011201</v>
      </c>
      <c r="J34" s="478">
        <v>19.709836235099999</v>
      </c>
      <c r="K34" s="463"/>
      <c r="L34" s="475">
        <v>15169.974331559601</v>
      </c>
      <c r="M34" s="478">
        <v>21.375468619500001</v>
      </c>
      <c r="N34" s="463"/>
      <c r="O34" s="475">
        <v>8154.2900827857002</v>
      </c>
      <c r="P34" s="478">
        <v>10.773339850199999</v>
      </c>
      <c r="Q34" s="463"/>
      <c r="R34" s="475">
        <v>6456.9574523741003</v>
      </c>
      <c r="S34" s="478">
        <v>8.6081989462999999</v>
      </c>
      <c r="T34" s="463"/>
      <c r="U34" s="475">
        <v>20.8159313598</v>
      </c>
      <c r="V34" s="478">
        <v>2.2845476999999999E-2</v>
      </c>
      <c r="W34" s="463"/>
      <c r="X34" s="463"/>
      <c r="Y34" s="463"/>
      <c r="Z34" s="463"/>
      <c r="AA34" s="463"/>
    </row>
    <row r="35" spans="2:27" s="462" customFormat="1" ht="12.75" customHeight="1" x14ac:dyDescent="0.2">
      <c r="B35" s="95" t="s">
        <v>25</v>
      </c>
      <c r="C35" s="465"/>
      <c r="D35" s="476">
        <v>50570.569877203001</v>
      </c>
      <c r="E35" s="466"/>
      <c r="F35" s="476">
        <v>10542.887618184301</v>
      </c>
      <c r="G35" s="478">
        <v>18.962574277400002</v>
      </c>
      <c r="H35" s="466"/>
      <c r="I35" s="476">
        <v>9910.3538521401006</v>
      </c>
      <c r="J35" s="478">
        <v>18.788397679999999</v>
      </c>
      <c r="K35" s="463"/>
      <c r="L35" s="475">
        <v>6016.8988583890005</v>
      </c>
      <c r="M35" s="478">
        <v>11.1587711769</v>
      </c>
      <c r="N35" s="463"/>
      <c r="O35" s="475">
        <v>4379.4197459851002</v>
      </c>
      <c r="P35" s="478">
        <v>7.9401907945000003</v>
      </c>
      <c r="Q35" s="463"/>
      <c r="R35" s="475">
        <v>4626.8783936866002</v>
      </c>
      <c r="S35" s="478">
        <v>8.4011671052000008</v>
      </c>
      <c r="T35" s="463"/>
      <c r="U35" s="475">
        <v>1971.9797295556</v>
      </c>
      <c r="V35" s="478">
        <v>3.5349891247</v>
      </c>
      <c r="W35" s="463"/>
      <c r="X35" s="463"/>
      <c r="Y35" s="463"/>
      <c r="Z35" s="463"/>
      <c r="AA35" s="463"/>
    </row>
    <row r="36" spans="2:27" s="462" customFormat="1" ht="12.75" customHeight="1" x14ac:dyDescent="0.2">
      <c r="B36" s="95" t="s">
        <v>26</v>
      </c>
      <c r="C36" s="465"/>
      <c r="D36" s="476">
        <v>49490.5210206392</v>
      </c>
      <c r="E36" s="466"/>
      <c r="F36" s="476">
        <v>4607.6111795524002</v>
      </c>
      <c r="G36" s="478">
        <v>8.7753477375000006</v>
      </c>
      <c r="H36" s="466"/>
      <c r="I36" s="476">
        <v>8055.7063024846002</v>
      </c>
      <c r="J36" s="478">
        <v>15.1998752732</v>
      </c>
      <c r="K36" s="463"/>
      <c r="L36" s="475">
        <v>12598.6906016619</v>
      </c>
      <c r="M36" s="478">
        <v>23.636527432200001</v>
      </c>
      <c r="N36" s="463"/>
      <c r="O36" s="475">
        <v>5155.5076445939003</v>
      </c>
      <c r="P36" s="478">
        <v>9.6555735864999992</v>
      </c>
      <c r="Q36" s="463"/>
      <c r="R36" s="475">
        <v>5420.5991878946998</v>
      </c>
      <c r="S36" s="478">
        <v>10.346382736500001</v>
      </c>
      <c r="T36" s="463"/>
      <c r="U36" s="475">
        <v>0</v>
      </c>
      <c r="V36" s="478">
        <v>0</v>
      </c>
      <c r="W36" s="463"/>
      <c r="X36" s="463"/>
      <c r="Y36" s="463"/>
      <c r="Z36" s="463"/>
      <c r="AA36" s="463"/>
    </row>
    <row r="37" spans="2:27" s="462" customFormat="1" ht="12.75" customHeight="1" x14ac:dyDescent="0.2">
      <c r="B37" s="95" t="s">
        <v>27</v>
      </c>
      <c r="C37" s="465"/>
      <c r="D37" s="476">
        <v>59985.944400418797</v>
      </c>
      <c r="E37" s="466"/>
      <c r="F37" s="476">
        <v>6110.7206174536996</v>
      </c>
      <c r="G37" s="478">
        <v>9.3080005357999998</v>
      </c>
      <c r="H37" s="466"/>
      <c r="I37" s="476">
        <v>12092.725126777599</v>
      </c>
      <c r="J37" s="478">
        <v>18.829372747400001</v>
      </c>
      <c r="K37" s="463"/>
      <c r="L37" s="475">
        <v>6254.9783546115004</v>
      </c>
      <c r="M37" s="478">
        <v>9.8558889435000001</v>
      </c>
      <c r="N37" s="463"/>
      <c r="O37" s="475">
        <v>10988.833115858701</v>
      </c>
      <c r="P37" s="478">
        <v>17.251331518099999</v>
      </c>
      <c r="Q37" s="463"/>
      <c r="R37" s="475">
        <v>7024.8553540363</v>
      </c>
      <c r="S37" s="478">
        <v>10.6924252961</v>
      </c>
      <c r="T37" s="463"/>
      <c r="U37" s="475">
        <v>723.66921498850002</v>
      </c>
      <c r="V37" s="478">
        <v>1.142420148</v>
      </c>
      <c r="W37" s="463"/>
      <c r="X37" s="463"/>
      <c r="Y37" s="463"/>
      <c r="Z37" s="463"/>
      <c r="AA37" s="463"/>
    </row>
    <row r="38" spans="2:27" s="462" customFormat="1" ht="12.75" customHeight="1" x14ac:dyDescent="0.2">
      <c r="B38" s="95" t="s">
        <v>28</v>
      </c>
      <c r="C38" s="465"/>
      <c r="D38" s="476">
        <v>109569.155323285</v>
      </c>
      <c r="E38" s="466"/>
      <c r="F38" s="476">
        <v>10241.0558556786</v>
      </c>
      <c r="G38" s="478">
        <v>8.8634689010999992</v>
      </c>
      <c r="H38" s="466"/>
      <c r="I38" s="476">
        <v>23536.582194954099</v>
      </c>
      <c r="J38" s="478">
        <v>19.669861038699999</v>
      </c>
      <c r="K38" s="463"/>
      <c r="L38" s="475">
        <v>21691.858638437701</v>
      </c>
      <c r="M38" s="478">
        <v>18.454898310299999</v>
      </c>
      <c r="N38" s="463"/>
      <c r="O38" s="475">
        <v>15985.3910686094</v>
      </c>
      <c r="P38" s="478">
        <v>13.493064411900001</v>
      </c>
      <c r="Q38" s="463"/>
      <c r="R38" s="475">
        <v>15363.157376360299</v>
      </c>
      <c r="S38" s="478">
        <v>13.137322599899999</v>
      </c>
      <c r="T38" s="463"/>
      <c r="U38" s="475">
        <v>1416.4641062702001</v>
      </c>
      <c r="V38" s="478">
        <v>1.2358796897</v>
      </c>
      <c r="W38" s="463"/>
      <c r="X38" s="463"/>
      <c r="Y38" s="463"/>
      <c r="Z38" s="463"/>
      <c r="AA38" s="463"/>
    </row>
    <row r="39" spans="2:27" s="462" customFormat="1" ht="12.75" customHeight="1" x14ac:dyDescent="0.2">
      <c r="B39" s="95" t="s">
        <v>29</v>
      </c>
      <c r="C39" s="465"/>
      <c r="D39" s="476">
        <v>46983.705623928501</v>
      </c>
      <c r="E39" s="466"/>
      <c r="F39" s="476">
        <v>9591.6430560754998</v>
      </c>
      <c r="G39" s="478">
        <v>18.5581873183</v>
      </c>
      <c r="H39" s="466"/>
      <c r="I39" s="476">
        <v>8721.0540860011006</v>
      </c>
      <c r="J39" s="478">
        <v>16.372896524800002</v>
      </c>
      <c r="K39" s="463"/>
      <c r="L39" s="475">
        <v>5341.9586113899004</v>
      </c>
      <c r="M39" s="478">
        <v>9.9074520633999992</v>
      </c>
      <c r="N39" s="463"/>
      <c r="O39" s="475">
        <v>7750.1095784119998</v>
      </c>
      <c r="P39" s="478">
        <v>15.4232822973</v>
      </c>
      <c r="Q39" s="463"/>
      <c r="R39" s="475">
        <v>3709.6249930223998</v>
      </c>
      <c r="S39" s="478">
        <v>7.2495915562000004</v>
      </c>
      <c r="T39" s="463"/>
      <c r="U39" s="475">
        <v>0</v>
      </c>
      <c r="V39" s="478">
        <v>0</v>
      </c>
      <c r="W39" s="463"/>
      <c r="X39" s="463"/>
      <c r="Y39" s="463"/>
      <c r="Z39" s="463"/>
      <c r="AA39" s="463"/>
    </row>
    <row r="40" spans="2:27" s="462" customFormat="1" ht="12.75" customHeight="1" x14ac:dyDescent="0.2">
      <c r="B40" s="95" t="s">
        <v>30</v>
      </c>
      <c r="C40" s="465"/>
      <c r="D40" s="476">
        <v>98813.782740603099</v>
      </c>
      <c r="E40" s="466"/>
      <c r="F40" s="476">
        <v>13975.4516572829</v>
      </c>
      <c r="G40" s="478">
        <v>13.110188663700001</v>
      </c>
      <c r="H40" s="466"/>
      <c r="I40" s="476">
        <v>21166.126386143002</v>
      </c>
      <c r="J40" s="478">
        <v>20.485305164900002</v>
      </c>
      <c r="K40" s="463"/>
      <c r="L40" s="475">
        <v>16113.2653127836</v>
      </c>
      <c r="M40" s="478">
        <v>15.0181077006</v>
      </c>
      <c r="N40" s="463"/>
      <c r="O40" s="475">
        <v>11622.6830913102</v>
      </c>
      <c r="P40" s="478">
        <v>10.879984306600001</v>
      </c>
      <c r="Q40" s="463"/>
      <c r="R40" s="475">
        <v>10962.5270911629</v>
      </c>
      <c r="S40" s="478">
        <v>10.341672152399999</v>
      </c>
      <c r="T40" s="463"/>
      <c r="U40" s="475">
        <v>1942.8681090692</v>
      </c>
      <c r="V40" s="478">
        <v>1.9092176073</v>
      </c>
      <c r="W40" s="463"/>
      <c r="X40" s="463"/>
      <c r="Y40" s="463"/>
      <c r="Z40" s="463"/>
      <c r="AA40" s="463"/>
    </row>
    <row r="41" spans="2:27" s="462" customFormat="1" ht="12.75" customHeight="1" x14ac:dyDescent="0.2">
      <c r="B41" s="95" t="s">
        <v>31</v>
      </c>
      <c r="C41" s="465"/>
      <c r="D41" s="476">
        <v>9990.2962325512999</v>
      </c>
      <c r="E41" s="466"/>
      <c r="F41" s="476">
        <v>881.26716586140003</v>
      </c>
      <c r="G41" s="478">
        <v>8.2017358692000002</v>
      </c>
      <c r="H41" s="466"/>
      <c r="I41" s="476">
        <v>1740.8967715705001</v>
      </c>
      <c r="J41" s="478">
        <v>15.936413653300001</v>
      </c>
      <c r="K41" s="463"/>
      <c r="L41" s="475">
        <v>1335.865947405</v>
      </c>
      <c r="M41" s="478">
        <v>11.95631537</v>
      </c>
      <c r="N41" s="463"/>
      <c r="O41" s="475">
        <v>913.07997245570004</v>
      </c>
      <c r="P41" s="478">
        <v>8.5281674158000005</v>
      </c>
      <c r="Q41" s="463"/>
      <c r="R41" s="475">
        <v>1443.2718545492</v>
      </c>
      <c r="S41" s="478">
        <v>13.4414306635</v>
      </c>
      <c r="T41" s="463"/>
      <c r="U41" s="475">
        <v>0</v>
      </c>
      <c r="V41" s="478">
        <v>0</v>
      </c>
      <c r="W41" s="463"/>
      <c r="X41" s="463"/>
      <c r="Y41" s="463"/>
      <c r="Z41" s="463"/>
      <c r="AA41" s="463"/>
    </row>
    <row r="42" spans="2:27" s="462" customFormat="1" ht="12.75" customHeight="1" x14ac:dyDescent="0.2">
      <c r="B42" s="95" t="s">
        <v>32</v>
      </c>
      <c r="C42" s="465"/>
      <c r="D42" s="476">
        <v>120393.775231073</v>
      </c>
      <c r="E42" s="466"/>
      <c r="F42" s="476">
        <v>20292.6120672582</v>
      </c>
      <c r="G42" s="478">
        <v>15.7714344979</v>
      </c>
      <c r="H42" s="466"/>
      <c r="I42" s="476">
        <v>37497.898056479702</v>
      </c>
      <c r="J42" s="478">
        <v>28.2573844886</v>
      </c>
      <c r="K42" s="463"/>
      <c r="L42" s="475">
        <v>6281.5359146867004</v>
      </c>
      <c r="M42" s="478">
        <v>4.4756661999</v>
      </c>
      <c r="N42" s="463"/>
      <c r="O42" s="475">
        <v>13638.320430945299</v>
      </c>
      <c r="P42" s="478">
        <v>10.1641758774</v>
      </c>
      <c r="Q42" s="463"/>
      <c r="R42" s="475">
        <v>10146.330168991601</v>
      </c>
      <c r="S42" s="478">
        <v>7.6755076763999996</v>
      </c>
      <c r="T42" s="463"/>
      <c r="U42" s="475">
        <v>0</v>
      </c>
      <c r="V42" s="478">
        <v>0</v>
      </c>
      <c r="W42" s="463"/>
      <c r="X42" s="463"/>
      <c r="Y42" s="463"/>
      <c r="Z42" s="463"/>
      <c r="AA42" s="463"/>
    </row>
    <row r="43" spans="2:27" s="462" customFormat="1" ht="12.75" customHeight="1" x14ac:dyDescent="0.2">
      <c r="B43" s="95" t="s">
        <v>33</v>
      </c>
      <c r="C43" s="465"/>
      <c r="D43" s="476">
        <v>79131.568151900501</v>
      </c>
      <c r="E43" s="466"/>
      <c r="F43" s="476">
        <v>14975.876264840599</v>
      </c>
      <c r="G43" s="478">
        <v>17.286898218899999</v>
      </c>
      <c r="H43" s="466"/>
      <c r="I43" s="476">
        <v>16527.647237972102</v>
      </c>
      <c r="J43" s="478">
        <v>19.991552134700001</v>
      </c>
      <c r="K43" s="463"/>
      <c r="L43" s="475">
        <v>5494.7725635020997</v>
      </c>
      <c r="M43" s="478">
        <v>6.4722274782999998</v>
      </c>
      <c r="N43" s="463"/>
      <c r="O43" s="475">
        <v>8171.3364453594004</v>
      </c>
      <c r="P43" s="478">
        <v>9.3274040134000007</v>
      </c>
      <c r="Q43" s="463"/>
      <c r="R43" s="475">
        <v>15004.6360786075</v>
      </c>
      <c r="S43" s="478">
        <v>17.380318189</v>
      </c>
      <c r="T43" s="463"/>
      <c r="U43" s="475">
        <v>2942.5577383426998</v>
      </c>
      <c r="V43" s="478">
        <v>3.530925995</v>
      </c>
      <c r="W43" s="463"/>
      <c r="X43" s="463"/>
      <c r="Y43" s="463"/>
      <c r="Z43" s="463"/>
      <c r="AA43" s="463"/>
    </row>
    <row r="44" spans="2:27" s="462" customFormat="1" ht="12.75" customHeight="1" x14ac:dyDescent="0.2">
      <c r="B44" s="95" t="s">
        <v>34</v>
      </c>
      <c r="C44" s="465"/>
      <c r="D44" s="476">
        <v>38002.810686510398</v>
      </c>
      <c r="E44" s="466"/>
      <c r="F44" s="476">
        <v>2920.9657151284</v>
      </c>
      <c r="G44" s="478">
        <v>6.6402440774000002</v>
      </c>
      <c r="H44" s="466"/>
      <c r="I44" s="476">
        <v>5731.2313010533999</v>
      </c>
      <c r="J44" s="478">
        <v>13.101018850399999</v>
      </c>
      <c r="K44" s="463"/>
      <c r="L44" s="475">
        <v>7577.3370037228997</v>
      </c>
      <c r="M44" s="478">
        <v>19.109894645899999</v>
      </c>
      <c r="N44" s="463"/>
      <c r="O44" s="475">
        <v>6595.1732817641996</v>
      </c>
      <c r="P44" s="478">
        <v>15.454986615299999</v>
      </c>
      <c r="Q44" s="463"/>
      <c r="R44" s="475">
        <v>5409.1309779840003</v>
      </c>
      <c r="S44" s="478">
        <v>13.0271648285</v>
      </c>
      <c r="T44" s="463"/>
      <c r="U44" s="475">
        <v>471.51689255370002</v>
      </c>
      <c r="V44" s="478">
        <v>1.0626136364000001</v>
      </c>
      <c r="W44" s="463"/>
      <c r="X44" s="463"/>
      <c r="Y44" s="463"/>
      <c r="Z44" s="463"/>
      <c r="AA44" s="463"/>
    </row>
    <row r="45" spans="2:27" ht="6" customHeight="1" x14ac:dyDescent="0.25">
      <c r="B45" s="467"/>
      <c r="C45" s="468"/>
      <c r="D45" s="469"/>
      <c r="E45" s="470"/>
      <c r="F45" s="469"/>
      <c r="G45" s="471"/>
      <c r="H45" s="471"/>
      <c r="I45" s="469"/>
      <c r="J45" s="469"/>
      <c r="K45" s="469"/>
      <c r="L45" s="469"/>
      <c r="M45" s="469"/>
      <c r="N45" s="469"/>
      <c r="O45" s="469"/>
      <c r="P45" s="469"/>
      <c r="Q45" s="469"/>
      <c r="R45" s="469"/>
      <c r="S45" s="469"/>
      <c r="T45" s="469"/>
      <c r="U45" s="469"/>
      <c r="V45" s="469"/>
      <c r="W45" s="459"/>
      <c r="X45" s="459"/>
      <c r="Y45" s="459"/>
      <c r="Z45" s="459"/>
      <c r="AA45" s="459"/>
    </row>
    <row r="46" spans="2:27" ht="6" customHeight="1" x14ac:dyDescent="0.25">
      <c r="B46" s="228"/>
      <c r="D46" s="145"/>
      <c r="E46" s="472"/>
      <c r="F46" s="145"/>
      <c r="G46" s="473"/>
      <c r="H46" s="473"/>
      <c r="I46" s="145"/>
      <c r="J46" s="473"/>
    </row>
    <row r="47" spans="2:27" ht="25.5" customHeight="1" x14ac:dyDescent="0.25">
      <c r="B47" s="703" t="s">
        <v>93</v>
      </c>
      <c r="C47" s="703"/>
      <c r="D47" s="703"/>
      <c r="E47" s="703"/>
      <c r="F47" s="703"/>
      <c r="G47" s="703"/>
      <c r="H47" s="703"/>
      <c r="I47" s="703"/>
      <c r="J47" s="703"/>
    </row>
    <row r="48" spans="2:27" s="13" customFormat="1" ht="14.25" x14ac:dyDescent="0.2">
      <c r="B48" s="109" t="s">
        <v>57</v>
      </c>
    </row>
  </sheetData>
  <mergeCells count="11">
    <mergeCell ref="B47:J47"/>
    <mergeCell ref="B5:J5"/>
    <mergeCell ref="B7:C9"/>
    <mergeCell ref="D7:D9"/>
    <mergeCell ref="F7:V7"/>
    <mergeCell ref="F8:G8"/>
    <mergeCell ref="I8:J8"/>
    <mergeCell ref="L8:M8"/>
    <mergeCell ref="O8:P8"/>
    <mergeCell ref="R8:S8"/>
    <mergeCell ref="U8:V8"/>
  </mergeCells>
  <hyperlinks>
    <hyperlink ref="V1" location="Índice!A1" tooltip="Ir a ÍNDICE" display="INDICE" xr:uid="{F22858AF-AE69-41EB-B989-73AF24394ABA}"/>
  </hyperlinks>
  <pageMargins left="0.70866141732283472" right="0.70866141732283472" top="0.74803149606299213" bottom="0.74803149606299213" header="0.31496062992125984" footer="0.31496062992125984"/>
  <pageSetup orientation="portrait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1CEA6-C678-4985-8410-1A5CA22CED03}">
  <dimension ref="B1:V51"/>
  <sheetViews>
    <sheetView showGridLines="0" zoomScaleNormal="100" workbookViewId="0"/>
  </sheetViews>
  <sheetFormatPr baseColWidth="10" defaultColWidth="11.42578125" defaultRowHeight="15" x14ac:dyDescent="0.25"/>
  <cols>
    <col min="1" max="1" width="1.7109375" style="520" customWidth="1"/>
    <col min="2" max="2" width="24.28515625" style="520" customWidth="1"/>
    <col min="3" max="3" width="0.85546875" style="534" customWidth="1"/>
    <col min="4" max="4" width="18.7109375" style="535" customWidth="1"/>
    <col min="5" max="5" width="1.7109375" style="535" customWidth="1"/>
    <col min="6" max="6" width="12.7109375" style="535" customWidth="1"/>
    <col min="7" max="7" width="12.7109375" style="536" customWidth="1"/>
    <col min="8" max="8" width="1.7109375" style="535" customWidth="1"/>
    <col min="9" max="9" width="12.7109375" style="535" customWidth="1"/>
    <col min="10" max="10" width="12.7109375" style="536" customWidth="1"/>
    <col min="11" max="11" width="1.7109375" style="535" customWidth="1"/>
    <col min="12" max="12" width="12.7109375" style="535" customWidth="1"/>
    <col min="13" max="13" width="12.7109375" style="536" customWidth="1"/>
    <col min="14" max="14" width="1.7109375" style="535" customWidth="1"/>
    <col min="15" max="15" width="14" style="520" customWidth="1"/>
    <col min="16" max="16" width="12.7109375" style="537" customWidth="1"/>
    <col min="17" max="17" width="1.7109375" style="520" customWidth="1"/>
    <col min="18" max="18" width="13.85546875" style="520" customWidth="1"/>
    <col min="19" max="19" width="11.42578125" style="520"/>
    <col min="20" max="20" width="1.7109375" style="520" customWidth="1"/>
    <col min="21" max="21" width="17" style="520" customWidth="1"/>
    <col min="22" max="16384" width="11.42578125" style="520"/>
  </cols>
  <sheetData>
    <row r="1" spans="2:22" s="483" customFormat="1" ht="12" customHeight="1" x14ac:dyDescent="0.2">
      <c r="B1" s="640" t="s">
        <v>202</v>
      </c>
      <c r="D1" s="484"/>
      <c r="E1" s="484"/>
      <c r="F1" s="484"/>
      <c r="G1" s="484"/>
      <c r="H1" s="484"/>
      <c r="I1" s="484"/>
      <c r="K1" s="484"/>
      <c r="L1" s="484"/>
      <c r="M1" s="484"/>
      <c r="N1" s="484"/>
      <c r="V1" s="72" t="s">
        <v>151</v>
      </c>
    </row>
    <row r="2" spans="2:22" s="483" customFormat="1" ht="6.95" customHeight="1" x14ac:dyDescent="0.2">
      <c r="B2" s="640"/>
      <c r="D2" s="484"/>
      <c r="E2" s="484"/>
      <c r="F2" s="484"/>
      <c r="G2" s="484"/>
      <c r="H2" s="484"/>
      <c r="I2" s="484"/>
      <c r="J2" s="484"/>
      <c r="K2" s="484"/>
      <c r="L2" s="484"/>
      <c r="M2" s="484"/>
      <c r="N2" s="484"/>
    </row>
    <row r="3" spans="2:22" s="483" customFormat="1" ht="15" customHeight="1" x14ac:dyDescent="0.2">
      <c r="B3" s="640" t="s">
        <v>199</v>
      </c>
      <c r="C3" s="482"/>
      <c r="D3" s="482"/>
      <c r="E3" s="482"/>
      <c r="F3" s="482"/>
      <c r="G3" s="482"/>
      <c r="H3" s="482"/>
      <c r="I3" s="482"/>
      <c r="J3" s="482"/>
      <c r="K3" s="482"/>
      <c r="L3" s="482"/>
      <c r="M3" s="482"/>
      <c r="N3" s="482"/>
      <c r="O3" s="482"/>
      <c r="P3" s="482"/>
      <c r="Q3" s="482"/>
      <c r="R3" s="482"/>
      <c r="S3" s="482"/>
    </row>
    <row r="4" spans="2:22" s="485" customFormat="1" ht="6.95" customHeight="1" x14ac:dyDescent="0.2">
      <c r="C4" s="486"/>
      <c r="D4" s="487"/>
      <c r="E4" s="487"/>
      <c r="F4" s="487"/>
      <c r="G4" s="487"/>
      <c r="H4" s="487"/>
      <c r="I4" s="487"/>
      <c r="J4" s="487"/>
      <c r="K4" s="487"/>
      <c r="L4" s="487"/>
      <c r="M4" s="487"/>
      <c r="N4" s="487"/>
    </row>
    <row r="5" spans="2:22" s="485" customFormat="1" ht="18" customHeight="1" x14ac:dyDescent="0.2">
      <c r="B5" s="718" t="s">
        <v>197</v>
      </c>
      <c r="C5" s="718"/>
      <c r="D5" s="718"/>
      <c r="E5" s="718"/>
      <c r="F5" s="718"/>
      <c r="G5" s="718"/>
      <c r="H5" s="718"/>
      <c r="I5" s="718"/>
      <c r="J5" s="718"/>
      <c r="K5" s="718"/>
      <c r="L5" s="718"/>
      <c r="M5" s="718"/>
      <c r="N5" s="718"/>
      <c r="O5" s="488"/>
      <c r="P5" s="489"/>
      <c r="Q5" s="490"/>
      <c r="R5" s="57"/>
      <c r="V5" s="71" t="s">
        <v>117</v>
      </c>
    </row>
    <row r="6" spans="2:22" s="494" customFormat="1" ht="6" customHeight="1" x14ac:dyDescent="0.25">
      <c r="B6" s="491"/>
      <c r="C6" s="492"/>
      <c r="D6" s="493"/>
      <c r="E6" s="493"/>
      <c r="F6" s="493"/>
      <c r="G6" s="493"/>
      <c r="H6" s="493"/>
      <c r="I6" s="493"/>
      <c r="J6" s="493"/>
      <c r="K6" s="493"/>
      <c r="L6" s="493"/>
      <c r="M6" s="493"/>
      <c r="N6" s="493"/>
    </row>
    <row r="7" spans="2:22" s="494" customFormat="1" ht="15" customHeight="1" x14ac:dyDescent="0.25">
      <c r="B7" s="682" t="s">
        <v>76</v>
      </c>
      <c r="C7" s="682"/>
      <c r="D7" s="719" t="s">
        <v>108</v>
      </c>
      <c r="E7" s="495"/>
      <c r="F7" s="722" t="s">
        <v>175</v>
      </c>
      <c r="G7" s="722"/>
      <c r="H7" s="722"/>
      <c r="I7" s="722"/>
      <c r="J7" s="722"/>
      <c r="K7" s="722"/>
      <c r="L7" s="722"/>
      <c r="M7" s="722"/>
      <c r="N7" s="722"/>
      <c r="O7" s="722"/>
      <c r="P7" s="722"/>
      <c r="Q7" s="722"/>
      <c r="R7" s="722"/>
      <c r="S7" s="722"/>
      <c r="T7" s="496"/>
      <c r="U7" s="723" t="s">
        <v>174</v>
      </c>
      <c r="V7" s="723"/>
    </row>
    <row r="8" spans="2:22" s="494" customFormat="1" ht="24.75" customHeight="1" x14ac:dyDescent="0.25">
      <c r="B8" s="683"/>
      <c r="C8" s="683"/>
      <c r="D8" s="720"/>
      <c r="E8" s="497"/>
      <c r="F8" s="724" t="s">
        <v>173</v>
      </c>
      <c r="G8" s="724"/>
      <c r="H8" s="498"/>
      <c r="I8" s="724" t="s">
        <v>196</v>
      </c>
      <c r="J8" s="724"/>
      <c r="K8" s="498"/>
      <c r="L8" s="725" t="s">
        <v>176</v>
      </c>
      <c r="M8" s="725"/>
      <c r="N8" s="498"/>
      <c r="O8" s="725" t="s">
        <v>177</v>
      </c>
      <c r="P8" s="725"/>
      <c r="Q8" s="498"/>
      <c r="R8" s="724" t="s">
        <v>44</v>
      </c>
      <c r="S8" s="724"/>
      <c r="T8" s="498"/>
      <c r="U8" s="724"/>
      <c r="V8" s="724"/>
    </row>
    <row r="9" spans="2:22" s="494" customFormat="1" x14ac:dyDescent="0.25">
      <c r="B9" s="684"/>
      <c r="C9" s="684"/>
      <c r="D9" s="721"/>
      <c r="E9" s="499"/>
      <c r="F9" s="500" t="s">
        <v>0</v>
      </c>
      <c r="G9" s="500" t="s">
        <v>1</v>
      </c>
      <c r="H9" s="500"/>
      <c r="I9" s="500" t="s">
        <v>0</v>
      </c>
      <c r="J9" s="500" t="s">
        <v>1</v>
      </c>
      <c r="K9" s="501"/>
      <c r="L9" s="500" t="s">
        <v>0</v>
      </c>
      <c r="M9" s="500" t="s">
        <v>1</v>
      </c>
      <c r="N9" s="501"/>
      <c r="O9" s="500" t="s">
        <v>0</v>
      </c>
      <c r="P9" s="500" t="s">
        <v>1</v>
      </c>
      <c r="Q9" s="501"/>
      <c r="R9" s="500" t="s">
        <v>0</v>
      </c>
      <c r="S9" s="500" t="s">
        <v>1</v>
      </c>
      <c r="T9" s="502"/>
      <c r="U9" s="500" t="s">
        <v>0</v>
      </c>
      <c r="V9" s="500" t="s">
        <v>1</v>
      </c>
    </row>
    <row r="10" spans="2:22" s="494" customFormat="1" ht="6" customHeight="1" x14ac:dyDescent="0.25">
      <c r="B10" s="31"/>
      <c r="C10" s="503"/>
      <c r="D10" s="504"/>
      <c r="E10" s="504"/>
      <c r="F10" s="504"/>
      <c r="G10" s="504"/>
      <c r="H10" s="504"/>
      <c r="I10" s="504"/>
      <c r="J10" s="504"/>
      <c r="K10" s="504"/>
      <c r="L10" s="504"/>
      <c r="M10" s="504"/>
      <c r="N10" s="505"/>
      <c r="O10" s="505"/>
      <c r="P10" s="505"/>
      <c r="Q10" s="505"/>
      <c r="R10" s="505"/>
      <c r="S10" s="505"/>
      <c r="T10" s="505"/>
      <c r="U10" s="505"/>
      <c r="V10" s="505"/>
    </row>
    <row r="11" spans="2:22" s="506" customFormat="1" ht="11.25" x14ac:dyDescent="0.2">
      <c r="B11" s="94" t="s">
        <v>2</v>
      </c>
      <c r="D11" s="334">
        <v>2705604.3977930201</v>
      </c>
      <c r="E11" s="87"/>
      <c r="F11" s="334">
        <v>994129.02192664403</v>
      </c>
      <c r="G11" s="334">
        <v>36.166353800800003</v>
      </c>
      <c r="H11" s="87"/>
      <c r="I11" s="334">
        <v>219559.753012634</v>
      </c>
      <c r="J11" s="334">
        <v>7.9524881967000001</v>
      </c>
      <c r="K11" s="87"/>
      <c r="L11" s="334">
        <v>155978.85039867699</v>
      </c>
      <c r="M11" s="334">
        <v>5.6583526423999997</v>
      </c>
      <c r="N11" s="87"/>
      <c r="O11" s="334">
        <v>1112311.04228584</v>
      </c>
      <c r="P11" s="334">
        <v>40.482057237100001</v>
      </c>
      <c r="Q11" s="87"/>
      <c r="R11" s="334">
        <v>83935.128578710399</v>
      </c>
      <c r="S11" s="334">
        <v>3.0393828296000001</v>
      </c>
      <c r="U11" s="334">
        <v>61532.040138482502</v>
      </c>
      <c r="V11" s="334">
        <v>2.2309497009000001</v>
      </c>
    </row>
    <row r="12" spans="2:22" s="508" customFormat="1" ht="6" customHeight="1" x14ac:dyDescent="0.2">
      <c r="B12" s="94"/>
      <c r="D12" s="87"/>
      <c r="E12" s="87"/>
      <c r="F12" s="87"/>
      <c r="G12" s="507"/>
      <c r="H12" s="87"/>
      <c r="I12" s="87"/>
      <c r="J12" s="507"/>
      <c r="K12" s="87"/>
      <c r="L12" s="87"/>
      <c r="M12" s="507"/>
      <c r="N12" s="87"/>
      <c r="O12" s="87"/>
      <c r="P12" s="507"/>
      <c r="Q12" s="87"/>
      <c r="R12" s="87"/>
      <c r="S12" s="507"/>
      <c r="U12" s="87"/>
      <c r="V12" s="507"/>
    </row>
    <row r="13" spans="2:22" s="508" customFormat="1" ht="12.75" customHeight="1" x14ac:dyDescent="0.2">
      <c r="B13" s="95" t="s">
        <v>3</v>
      </c>
      <c r="C13" s="509"/>
      <c r="D13" s="279">
        <v>43831.615796227001</v>
      </c>
      <c r="E13" s="510"/>
      <c r="F13" s="279">
        <v>17747.080798396499</v>
      </c>
      <c r="G13" s="538">
        <v>38.502903521999997</v>
      </c>
      <c r="H13" s="510"/>
      <c r="I13" s="279">
        <v>2761.4864172073999</v>
      </c>
      <c r="J13" s="538">
        <v>5.7929383612000001</v>
      </c>
      <c r="K13" s="511"/>
      <c r="L13" s="279">
        <v>2029.2189863251999</v>
      </c>
      <c r="M13" s="538">
        <v>4.2721336442000002</v>
      </c>
      <c r="N13" s="512"/>
      <c r="O13" s="279">
        <v>14020.7059112363</v>
      </c>
      <c r="P13" s="538">
        <v>29.520648656900001</v>
      </c>
      <c r="Q13" s="513"/>
      <c r="R13" s="539">
        <v>639.16257893329998</v>
      </c>
      <c r="S13" s="538">
        <v>1.3526326922</v>
      </c>
      <c r="U13" s="539">
        <v>251.8261471495</v>
      </c>
      <c r="V13" s="538">
        <v>0.62166218949999996</v>
      </c>
    </row>
    <row r="14" spans="2:22" s="508" customFormat="1" ht="12.75" customHeight="1" x14ac:dyDescent="0.2">
      <c r="B14" s="95" t="s">
        <v>4</v>
      </c>
      <c r="C14" s="509"/>
      <c r="D14" s="279">
        <v>103590.605849019</v>
      </c>
      <c r="E14" s="510"/>
      <c r="F14" s="279">
        <v>38514.957549250998</v>
      </c>
      <c r="G14" s="538">
        <v>35.8754966176</v>
      </c>
      <c r="H14" s="510"/>
      <c r="I14" s="279">
        <v>2040.7134000863</v>
      </c>
      <c r="J14" s="538">
        <v>1.7600657196</v>
      </c>
      <c r="K14" s="511"/>
      <c r="L14" s="279">
        <v>4524.4250767382</v>
      </c>
      <c r="M14" s="538">
        <v>4.0352312653000002</v>
      </c>
      <c r="N14" s="512"/>
      <c r="O14" s="279">
        <v>33443.896893600497</v>
      </c>
      <c r="P14" s="538">
        <v>29.099291500100001</v>
      </c>
      <c r="Q14" s="513"/>
      <c r="R14" s="539">
        <v>414.9222404715</v>
      </c>
      <c r="S14" s="538">
        <v>0.36259435350000002</v>
      </c>
      <c r="U14" s="539">
        <v>348.23075067389999</v>
      </c>
      <c r="V14" s="538">
        <v>0.30743772320000001</v>
      </c>
    </row>
    <row r="15" spans="2:22" s="508" customFormat="1" ht="12.75" customHeight="1" x14ac:dyDescent="0.2">
      <c r="B15" s="95" t="s">
        <v>5</v>
      </c>
      <c r="C15" s="509"/>
      <c r="D15" s="279">
        <v>19753.2576826599</v>
      </c>
      <c r="E15" s="510"/>
      <c r="F15" s="279">
        <v>4695.9801722865004</v>
      </c>
      <c r="G15" s="538">
        <v>22.229767625299999</v>
      </c>
      <c r="H15" s="510"/>
      <c r="I15" s="279">
        <v>2677.4948346840001</v>
      </c>
      <c r="J15" s="538">
        <v>12.0163577193</v>
      </c>
      <c r="K15" s="511"/>
      <c r="L15" s="279">
        <v>1058.3246074671999</v>
      </c>
      <c r="M15" s="538">
        <v>4.7939684604000004</v>
      </c>
      <c r="N15" s="512"/>
      <c r="O15" s="279">
        <v>6359.0930196564996</v>
      </c>
      <c r="P15" s="538">
        <v>29.849952288099999</v>
      </c>
      <c r="Q15" s="513"/>
      <c r="R15" s="539">
        <v>0</v>
      </c>
      <c r="S15" s="538">
        <v>0</v>
      </c>
      <c r="U15" s="539">
        <v>0</v>
      </c>
      <c r="V15" s="538">
        <v>0</v>
      </c>
    </row>
    <row r="16" spans="2:22" s="508" customFormat="1" ht="12.75" customHeight="1" x14ac:dyDescent="0.2">
      <c r="B16" s="95" t="s">
        <v>6</v>
      </c>
      <c r="C16" s="509"/>
      <c r="D16" s="279">
        <v>18766.971717702501</v>
      </c>
      <c r="E16" s="510"/>
      <c r="F16" s="279">
        <v>2829.1652520398002</v>
      </c>
      <c r="G16" s="538">
        <v>13.5287835275</v>
      </c>
      <c r="H16" s="510"/>
      <c r="I16" s="279">
        <v>872.60001384999998</v>
      </c>
      <c r="J16" s="538">
        <v>4.4074973514</v>
      </c>
      <c r="K16" s="511"/>
      <c r="L16" s="279">
        <v>614.24693261599998</v>
      </c>
      <c r="M16" s="538">
        <v>3.3064830387000002</v>
      </c>
      <c r="N16" s="512"/>
      <c r="O16" s="279">
        <v>7797.5543651759999</v>
      </c>
      <c r="P16" s="538">
        <v>39.268970196200002</v>
      </c>
      <c r="Q16" s="513"/>
      <c r="R16" s="539">
        <v>110.6989436212</v>
      </c>
      <c r="S16" s="538">
        <v>0.54607550380000003</v>
      </c>
      <c r="U16" s="539">
        <v>679.4777394875</v>
      </c>
      <c r="V16" s="538">
        <v>3.2420057095999999</v>
      </c>
    </row>
    <row r="17" spans="2:22" s="508" customFormat="1" ht="12.75" customHeight="1" x14ac:dyDescent="0.2">
      <c r="B17" s="95" t="s">
        <v>7</v>
      </c>
      <c r="C17" s="509"/>
      <c r="D17" s="279">
        <v>67875.599453346105</v>
      </c>
      <c r="E17" s="510"/>
      <c r="F17" s="279">
        <v>31366.868294795</v>
      </c>
      <c r="G17" s="538">
        <v>43.368267048699998</v>
      </c>
      <c r="H17" s="510"/>
      <c r="I17" s="279">
        <v>2810.7993437355999</v>
      </c>
      <c r="J17" s="538">
        <v>3.6796911318999999</v>
      </c>
      <c r="K17" s="511"/>
      <c r="L17" s="279">
        <v>875.14521789260004</v>
      </c>
      <c r="M17" s="538">
        <v>1.1449909090999999</v>
      </c>
      <c r="N17" s="512"/>
      <c r="O17" s="279">
        <v>13855.5385040437</v>
      </c>
      <c r="P17" s="538">
        <v>19.310773992000001</v>
      </c>
      <c r="Q17" s="513"/>
      <c r="R17" s="539">
        <v>733.38908751099996</v>
      </c>
      <c r="S17" s="538">
        <v>0.95330610640000002</v>
      </c>
      <c r="U17" s="539">
        <v>0</v>
      </c>
      <c r="V17" s="538">
        <v>0</v>
      </c>
    </row>
    <row r="18" spans="2:22" s="508" customFormat="1" ht="12.75" customHeight="1" x14ac:dyDescent="0.2">
      <c r="B18" s="95" t="s">
        <v>8</v>
      </c>
      <c r="C18" s="509"/>
      <c r="D18" s="279">
        <v>23430.075541800699</v>
      </c>
      <c r="E18" s="510"/>
      <c r="F18" s="279">
        <v>9974.7024676011006</v>
      </c>
      <c r="G18" s="538">
        <v>41.131591088900002</v>
      </c>
      <c r="H18" s="510"/>
      <c r="I18" s="279">
        <v>1587.5788402543999</v>
      </c>
      <c r="J18" s="538">
        <v>6.2684844565000004</v>
      </c>
      <c r="K18" s="511"/>
      <c r="L18" s="279">
        <v>1140.9969571127999</v>
      </c>
      <c r="M18" s="538">
        <v>4.4008860521999997</v>
      </c>
      <c r="N18" s="512"/>
      <c r="O18" s="279">
        <v>6160.0530613821002</v>
      </c>
      <c r="P18" s="538">
        <v>23.184254880800001</v>
      </c>
      <c r="Q18" s="513"/>
      <c r="R18" s="539">
        <v>528.82226697889996</v>
      </c>
      <c r="S18" s="538">
        <v>2.0615639478999999</v>
      </c>
      <c r="U18" s="539">
        <v>417.07880745490002</v>
      </c>
      <c r="V18" s="538">
        <v>1.5938469373999999</v>
      </c>
    </row>
    <row r="19" spans="2:22" s="508" customFormat="1" ht="12.75" customHeight="1" x14ac:dyDescent="0.2">
      <c r="B19" s="95" t="s">
        <v>9</v>
      </c>
      <c r="C19" s="509"/>
      <c r="D19" s="279">
        <v>60220.730363601797</v>
      </c>
      <c r="E19" s="510"/>
      <c r="F19" s="279">
        <v>4132.8536094412002</v>
      </c>
      <c r="G19" s="538">
        <v>6.6280993957999996</v>
      </c>
      <c r="H19" s="510"/>
      <c r="I19" s="279">
        <v>1885.7057111230999</v>
      </c>
      <c r="J19" s="538">
        <v>2.6714092708999999</v>
      </c>
      <c r="K19" s="511"/>
      <c r="L19" s="279">
        <v>0</v>
      </c>
      <c r="M19" s="538">
        <v>0</v>
      </c>
      <c r="N19" s="512"/>
      <c r="O19" s="279">
        <v>32576.901834357901</v>
      </c>
      <c r="P19" s="538">
        <v>47.907174809899999</v>
      </c>
      <c r="Q19" s="513"/>
      <c r="R19" s="539">
        <v>868.42677503770005</v>
      </c>
      <c r="S19" s="538">
        <v>1.1892322415000001</v>
      </c>
      <c r="U19" s="539">
        <v>0</v>
      </c>
      <c r="V19" s="538">
        <v>0</v>
      </c>
    </row>
    <row r="20" spans="2:22" s="508" customFormat="1" ht="12.75" customHeight="1" x14ac:dyDescent="0.2">
      <c r="B20" s="95" t="s">
        <v>10</v>
      </c>
      <c r="C20" s="509"/>
      <c r="D20" s="279">
        <v>85295.8780996024</v>
      </c>
      <c r="E20" s="510"/>
      <c r="F20" s="279">
        <v>32445.924107820301</v>
      </c>
      <c r="G20" s="538">
        <v>36.029464302400001</v>
      </c>
      <c r="H20" s="510"/>
      <c r="I20" s="279">
        <v>1911.7337422501</v>
      </c>
      <c r="J20" s="538">
        <v>2.1281798626000001</v>
      </c>
      <c r="K20" s="511"/>
      <c r="L20" s="279">
        <v>4370.2861634350002</v>
      </c>
      <c r="M20" s="538">
        <v>4.7809524240999997</v>
      </c>
      <c r="N20" s="512"/>
      <c r="O20" s="279">
        <v>26620.084033700699</v>
      </c>
      <c r="P20" s="538">
        <v>29.3108042914</v>
      </c>
      <c r="Q20" s="513"/>
      <c r="R20" s="539">
        <v>392.6811897298</v>
      </c>
      <c r="S20" s="538">
        <v>0.44367944399999998</v>
      </c>
      <c r="U20" s="539">
        <v>0</v>
      </c>
      <c r="V20" s="538">
        <v>0</v>
      </c>
    </row>
    <row r="21" spans="2:22" s="508" customFormat="1" ht="12.75" customHeight="1" x14ac:dyDescent="0.2">
      <c r="B21" s="95" t="s">
        <v>11</v>
      </c>
      <c r="C21" s="509"/>
      <c r="D21" s="279">
        <v>176880.66773494199</v>
      </c>
      <c r="E21" s="510"/>
      <c r="F21" s="279">
        <v>45563.031534354399</v>
      </c>
      <c r="G21" s="538">
        <v>24.069257772699999</v>
      </c>
      <c r="H21" s="510"/>
      <c r="I21" s="279">
        <v>44573.7796949447</v>
      </c>
      <c r="J21" s="538">
        <v>23.5635614555</v>
      </c>
      <c r="K21" s="511"/>
      <c r="L21" s="279">
        <v>12573.5677639809</v>
      </c>
      <c r="M21" s="538">
        <v>6.6533805244000002</v>
      </c>
      <c r="N21" s="512"/>
      <c r="O21" s="279">
        <v>73795.271740395794</v>
      </c>
      <c r="P21" s="538">
        <v>38.809452486700003</v>
      </c>
      <c r="Q21" s="513"/>
      <c r="R21" s="539">
        <v>1074.0417207317</v>
      </c>
      <c r="S21" s="538">
        <v>0.50617975039999996</v>
      </c>
      <c r="U21" s="539">
        <v>0</v>
      </c>
      <c r="V21" s="538">
        <v>0</v>
      </c>
    </row>
    <row r="22" spans="2:22" s="508" customFormat="1" ht="12.75" customHeight="1" x14ac:dyDescent="0.2">
      <c r="B22" s="95" t="s">
        <v>12</v>
      </c>
      <c r="C22" s="509"/>
      <c r="D22" s="279">
        <v>43246.016770551701</v>
      </c>
      <c r="E22" s="510"/>
      <c r="F22" s="279">
        <v>12010.206458721401</v>
      </c>
      <c r="G22" s="538">
        <v>25.4666123736</v>
      </c>
      <c r="H22" s="510"/>
      <c r="I22" s="279">
        <v>4403.4632911097997</v>
      </c>
      <c r="J22" s="538">
        <v>9.4626641828999993</v>
      </c>
      <c r="K22" s="511"/>
      <c r="L22" s="279">
        <v>1216.7976365269999</v>
      </c>
      <c r="M22" s="538">
        <v>2.6218346763999998</v>
      </c>
      <c r="N22" s="512"/>
      <c r="O22" s="279">
        <v>16068.7952324249</v>
      </c>
      <c r="P22" s="538">
        <v>35.465861799700001</v>
      </c>
      <c r="Q22" s="513"/>
      <c r="R22" s="539">
        <v>1254.4838653787001</v>
      </c>
      <c r="S22" s="538">
        <v>2.5699948855999999</v>
      </c>
      <c r="U22" s="539">
        <v>197.30208983809999</v>
      </c>
      <c r="V22" s="538">
        <v>0.39554936340000002</v>
      </c>
    </row>
    <row r="23" spans="2:22" s="508" customFormat="1" ht="12.75" customHeight="1" x14ac:dyDescent="0.2">
      <c r="B23" s="95" t="s">
        <v>13</v>
      </c>
      <c r="C23" s="509"/>
      <c r="D23" s="279">
        <v>97206.407527995601</v>
      </c>
      <c r="E23" s="510"/>
      <c r="F23" s="279">
        <v>31718.135252525401</v>
      </c>
      <c r="G23" s="538">
        <v>30.526456818500002</v>
      </c>
      <c r="H23" s="510"/>
      <c r="I23" s="279">
        <v>3058.3126013290998</v>
      </c>
      <c r="J23" s="538">
        <v>2.9370967842</v>
      </c>
      <c r="K23" s="511"/>
      <c r="L23" s="279">
        <v>3666.8138126447002</v>
      </c>
      <c r="M23" s="538">
        <v>3.3451828792999998</v>
      </c>
      <c r="N23" s="512"/>
      <c r="O23" s="279">
        <v>34615.530885863198</v>
      </c>
      <c r="P23" s="538">
        <v>33.046760124800002</v>
      </c>
      <c r="Q23" s="513"/>
      <c r="R23" s="539">
        <v>619.59577658779995</v>
      </c>
      <c r="S23" s="538">
        <v>0.53384355009999995</v>
      </c>
      <c r="U23" s="539">
        <v>1028.762126571</v>
      </c>
      <c r="V23" s="538">
        <v>0.99422136940000005</v>
      </c>
    </row>
    <row r="24" spans="2:22" s="508" customFormat="1" ht="12.75" customHeight="1" x14ac:dyDescent="0.2">
      <c r="B24" s="95" t="s">
        <v>14</v>
      </c>
      <c r="C24" s="509"/>
      <c r="D24" s="279">
        <v>45295.861840896898</v>
      </c>
      <c r="E24" s="510"/>
      <c r="F24" s="279">
        <v>1786.4509758827</v>
      </c>
      <c r="G24" s="538">
        <v>3.7637507610999998</v>
      </c>
      <c r="H24" s="510"/>
      <c r="I24" s="279">
        <v>2127.1704891613999</v>
      </c>
      <c r="J24" s="538">
        <v>3.9118135142999999</v>
      </c>
      <c r="K24" s="511"/>
      <c r="L24" s="279">
        <v>1053.1279337215001</v>
      </c>
      <c r="M24" s="538">
        <v>1.9795309951</v>
      </c>
      <c r="N24" s="512"/>
      <c r="O24" s="279">
        <v>28944.6290219201</v>
      </c>
      <c r="P24" s="538">
        <v>60.345275514800001</v>
      </c>
      <c r="Q24" s="513"/>
      <c r="R24" s="539">
        <v>0</v>
      </c>
      <c r="S24" s="538">
        <v>0</v>
      </c>
      <c r="U24" s="539">
        <v>0</v>
      </c>
      <c r="V24" s="538">
        <v>0</v>
      </c>
    </row>
    <row r="25" spans="2:22" s="508" customFormat="1" ht="12.75" customHeight="1" x14ac:dyDescent="0.2">
      <c r="B25" s="95" t="s">
        <v>15</v>
      </c>
      <c r="C25" s="509"/>
      <c r="D25" s="279">
        <v>41046.552745830697</v>
      </c>
      <c r="E25" s="510"/>
      <c r="F25" s="279">
        <v>6458.4960173878999</v>
      </c>
      <c r="G25" s="538">
        <v>13.9219940694</v>
      </c>
      <c r="H25" s="510"/>
      <c r="I25" s="279">
        <v>3094.5686947229001</v>
      </c>
      <c r="J25" s="538">
        <v>6.8783445647999999</v>
      </c>
      <c r="K25" s="511"/>
      <c r="L25" s="279">
        <v>242.8071928194</v>
      </c>
      <c r="M25" s="538">
        <v>1.0916649993</v>
      </c>
      <c r="N25" s="512"/>
      <c r="O25" s="279">
        <v>19595.343616985501</v>
      </c>
      <c r="P25" s="538">
        <v>43.723279020100001</v>
      </c>
      <c r="Q25" s="513"/>
      <c r="R25" s="539">
        <v>0</v>
      </c>
      <c r="S25" s="538">
        <v>0</v>
      </c>
      <c r="U25" s="539">
        <v>61.430502549099998</v>
      </c>
      <c r="V25" s="538">
        <v>9.4607376600000001E-2</v>
      </c>
    </row>
    <row r="26" spans="2:22" s="508" customFormat="1" ht="12.75" customHeight="1" x14ac:dyDescent="0.2">
      <c r="B26" s="95" t="s">
        <v>16</v>
      </c>
      <c r="C26" s="509"/>
      <c r="D26" s="279">
        <v>272268.24088733998</v>
      </c>
      <c r="E26" s="510"/>
      <c r="F26" s="279">
        <v>141780.84245671099</v>
      </c>
      <c r="G26" s="538">
        <v>49.921192196100002</v>
      </c>
      <c r="H26" s="510"/>
      <c r="I26" s="279">
        <v>3240.3894950381</v>
      </c>
      <c r="J26" s="538">
        <v>1.0479129191000001</v>
      </c>
      <c r="K26" s="511"/>
      <c r="L26" s="279">
        <v>8926.4178522629009</v>
      </c>
      <c r="M26" s="538">
        <v>2.9995394397999999</v>
      </c>
      <c r="N26" s="512"/>
      <c r="O26" s="279">
        <v>98567.927127661605</v>
      </c>
      <c r="P26" s="538">
        <v>34.729212780099999</v>
      </c>
      <c r="Q26" s="513"/>
      <c r="R26" s="539">
        <v>13716.169747976901</v>
      </c>
      <c r="S26" s="538">
        <v>4.7656314516</v>
      </c>
      <c r="U26" s="539">
        <v>0</v>
      </c>
      <c r="V26" s="538">
        <v>0</v>
      </c>
    </row>
    <row r="27" spans="2:22" s="508" customFormat="1" ht="12.75" customHeight="1" x14ac:dyDescent="0.2">
      <c r="B27" s="95" t="s">
        <v>17</v>
      </c>
      <c r="C27" s="509"/>
      <c r="D27" s="279">
        <v>196544.11703371801</v>
      </c>
      <c r="E27" s="510"/>
      <c r="F27" s="279">
        <v>55252.361495473197</v>
      </c>
      <c r="G27" s="538">
        <v>25.292096179400001</v>
      </c>
      <c r="H27" s="510"/>
      <c r="I27" s="279">
        <v>2032.0062567305999</v>
      </c>
      <c r="J27" s="538">
        <v>1.0020838589000001</v>
      </c>
      <c r="K27" s="511"/>
      <c r="L27" s="279">
        <v>0</v>
      </c>
      <c r="M27" s="538">
        <v>0</v>
      </c>
      <c r="N27" s="512"/>
      <c r="O27" s="279">
        <v>77488.749753211596</v>
      </c>
      <c r="P27" s="538">
        <v>36.372518848200002</v>
      </c>
      <c r="Q27" s="513"/>
      <c r="R27" s="539">
        <v>0</v>
      </c>
      <c r="S27" s="538">
        <v>0</v>
      </c>
      <c r="U27" s="539">
        <v>4053.8466027825002</v>
      </c>
      <c r="V27" s="538">
        <v>1.9203143921000001</v>
      </c>
    </row>
    <row r="28" spans="2:22" s="508" customFormat="1" ht="12.75" customHeight="1" x14ac:dyDescent="0.2">
      <c r="B28" s="95" t="s">
        <v>18</v>
      </c>
      <c r="C28" s="509"/>
      <c r="D28" s="279">
        <v>82344.333547885995</v>
      </c>
      <c r="E28" s="510"/>
      <c r="F28" s="279">
        <v>25453.686947677299</v>
      </c>
      <c r="G28" s="538">
        <v>29.463750233100001</v>
      </c>
      <c r="H28" s="510"/>
      <c r="I28" s="279">
        <v>3846.5243310986002</v>
      </c>
      <c r="J28" s="538">
        <v>4.0853981695000003</v>
      </c>
      <c r="K28" s="511"/>
      <c r="L28" s="279">
        <v>3080.7526901463998</v>
      </c>
      <c r="M28" s="538">
        <v>3.0512207769000002</v>
      </c>
      <c r="N28" s="512"/>
      <c r="O28" s="279">
        <v>38832.120829569802</v>
      </c>
      <c r="P28" s="538">
        <v>42.188928284299998</v>
      </c>
      <c r="Q28" s="513"/>
      <c r="R28" s="539">
        <v>1812.3322432124</v>
      </c>
      <c r="S28" s="538">
        <v>1.8622433286</v>
      </c>
      <c r="U28" s="539">
        <v>79.660002107899999</v>
      </c>
      <c r="V28" s="538">
        <v>1.9647341700000001E-2</v>
      </c>
    </row>
    <row r="29" spans="2:22" s="508" customFormat="1" ht="12.75" customHeight="1" x14ac:dyDescent="0.2">
      <c r="B29" s="95" t="s">
        <v>19</v>
      </c>
      <c r="C29" s="509"/>
      <c r="D29" s="279">
        <v>23649.370561565102</v>
      </c>
      <c r="E29" s="510"/>
      <c r="F29" s="279">
        <v>4066.3579561274</v>
      </c>
      <c r="G29" s="538">
        <v>15.4158310171</v>
      </c>
      <c r="H29" s="510"/>
      <c r="I29" s="279">
        <v>1571.6203724032</v>
      </c>
      <c r="J29" s="538">
        <v>5.9773139753000004</v>
      </c>
      <c r="K29" s="511"/>
      <c r="L29" s="279">
        <v>0</v>
      </c>
      <c r="M29" s="538">
        <v>0</v>
      </c>
      <c r="N29" s="512"/>
      <c r="O29" s="279">
        <v>12221.4061699137</v>
      </c>
      <c r="P29" s="538">
        <v>47.604045151800001</v>
      </c>
      <c r="Q29" s="513"/>
      <c r="R29" s="539">
        <v>0</v>
      </c>
      <c r="S29" s="538">
        <v>0</v>
      </c>
      <c r="U29" s="539">
        <v>208.5021837214</v>
      </c>
      <c r="V29" s="538">
        <v>0.89281228950000002</v>
      </c>
    </row>
    <row r="30" spans="2:22" s="508" customFormat="1" ht="12.75" customHeight="1" x14ac:dyDescent="0.2">
      <c r="B30" s="95" t="s">
        <v>20</v>
      </c>
      <c r="C30" s="509"/>
      <c r="D30" s="279">
        <v>35437.585236328297</v>
      </c>
      <c r="E30" s="510"/>
      <c r="F30" s="279">
        <v>7176.3908097742997</v>
      </c>
      <c r="G30" s="538">
        <v>19.648313946399998</v>
      </c>
      <c r="H30" s="510"/>
      <c r="I30" s="279">
        <v>3671.9498166035</v>
      </c>
      <c r="J30" s="538">
        <v>9.9762502295999997</v>
      </c>
      <c r="K30" s="511"/>
      <c r="L30" s="279">
        <v>589.48047983870003</v>
      </c>
      <c r="M30" s="538">
        <v>1.4511897778</v>
      </c>
      <c r="N30" s="512"/>
      <c r="O30" s="279">
        <v>15435.8649136356</v>
      </c>
      <c r="P30" s="538">
        <v>39.276557910100003</v>
      </c>
      <c r="Q30" s="513"/>
      <c r="R30" s="539">
        <v>518.612592952</v>
      </c>
      <c r="S30" s="538">
        <v>1.2827879339999999</v>
      </c>
      <c r="U30" s="539">
        <v>293.27934752919998</v>
      </c>
      <c r="V30" s="538">
        <v>0.75675782049999996</v>
      </c>
    </row>
    <row r="31" spans="2:22" s="508" customFormat="1" ht="12.75" customHeight="1" x14ac:dyDescent="0.2">
      <c r="B31" s="95" t="s">
        <v>21</v>
      </c>
      <c r="C31" s="509"/>
      <c r="D31" s="279">
        <v>195630.12466723699</v>
      </c>
      <c r="E31" s="510"/>
      <c r="F31" s="279">
        <v>110271.754534851</v>
      </c>
      <c r="G31" s="538">
        <v>52.840299829800003</v>
      </c>
      <c r="H31" s="510"/>
      <c r="I31" s="279">
        <v>6237.3482460686</v>
      </c>
      <c r="J31" s="538">
        <v>2.9119861599000001</v>
      </c>
      <c r="K31" s="511"/>
      <c r="L31" s="279">
        <v>4342.7114502634004</v>
      </c>
      <c r="M31" s="538">
        <v>2.0872301237999999</v>
      </c>
      <c r="N31" s="512"/>
      <c r="O31" s="279">
        <v>38075.419453144998</v>
      </c>
      <c r="P31" s="538">
        <v>18.500353132699999</v>
      </c>
      <c r="Q31" s="513"/>
      <c r="R31" s="539">
        <v>133.151584644</v>
      </c>
      <c r="S31" s="538">
        <v>6.0616319600000003E-2</v>
      </c>
      <c r="U31" s="539">
        <v>2895.8239768990002</v>
      </c>
      <c r="V31" s="538">
        <v>1.4376823178</v>
      </c>
    </row>
    <row r="32" spans="2:22" s="508" customFormat="1" ht="12.75" customHeight="1" x14ac:dyDescent="0.2">
      <c r="B32" s="95" t="s">
        <v>22</v>
      </c>
      <c r="C32" s="509"/>
      <c r="D32" s="279">
        <v>64653.356858022104</v>
      </c>
      <c r="E32" s="510"/>
      <c r="F32" s="279">
        <v>4737.9707058036001</v>
      </c>
      <c r="G32" s="538">
        <v>6.3482953943</v>
      </c>
      <c r="H32" s="510"/>
      <c r="I32" s="279">
        <v>1519.7252183872999</v>
      </c>
      <c r="J32" s="538">
        <v>1.9950448375000001</v>
      </c>
      <c r="K32" s="511"/>
      <c r="L32" s="279">
        <v>3608.0717429458</v>
      </c>
      <c r="M32" s="538">
        <v>5.0218830504999996</v>
      </c>
      <c r="N32" s="512"/>
      <c r="O32" s="279">
        <v>46398.698943628697</v>
      </c>
      <c r="P32" s="538">
        <v>67.855047076700004</v>
      </c>
      <c r="Q32" s="513"/>
      <c r="R32" s="539">
        <v>0</v>
      </c>
      <c r="S32" s="538">
        <v>0</v>
      </c>
      <c r="U32" s="539">
        <v>0</v>
      </c>
      <c r="V32" s="538">
        <v>0</v>
      </c>
    </row>
    <row r="33" spans="2:22" s="508" customFormat="1" ht="12.75" customHeight="1" x14ac:dyDescent="0.2">
      <c r="B33" s="95" t="s">
        <v>23</v>
      </c>
      <c r="C33" s="509"/>
      <c r="D33" s="279">
        <v>68630.982230065201</v>
      </c>
      <c r="E33" s="510"/>
      <c r="F33" s="279">
        <v>16323.615424231901</v>
      </c>
      <c r="G33" s="538">
        <v>21.7099108894</v>
      </c>
      <c r="H33" s="510"/>
      <c r="I33" s="279">
        <v>774.86872959890002</v>
      </c>
      <c r="J33" s="538">
        <v>1.0659333874000001</v>
      </c>
      <c r="K33" s="511"/>
      <c r="L33" s="279">
        <v>0</v>
      </c>
      <c r="M33" s="538">
        <v>0</v>
      </c>
      <c r="N33" s="512"/>
      <c r="O33" s="279">
        <v>27139.232443187801</v>
      </c>
      <c r="P33" s="538">
        <v>36.8540569926</v>
      </c>
      <c r="Q33" s="513"/>
      <c r="R33" s="539">
        <v>2166.1246327170002</v>
      </c>
      <c r="S33" s="538">
        <v>2.9532083645</v>
      </c>
      <c r="U33" s="539">
        <v>0</v>
      </c>
      <c r="V33" s="538">
        <v>0</v>
      </c>
    </row>
    <row r="34" spans="2:22" s="508" customFormat="1" ht="12.75" customHeight="1" x14ac:dyDescent="0.2">
      <c r="B34" s="95" t="s">
        <v>24</v>
      </c>
      <c r="C34" s="509"/>
      <c r="D34" s="279">
        <v>61536.420879668403</v>
      </c>
      <c r="E34" s="510"/>
      <c r="F34" s="279">
        <v>20839.6860833393</v>
      </c>
      <c r="G34" s="538">
        <v>31.0630452258</v>
      </c>
      <c r="H34" s="510"/>
      <c r="I34" s="279">
        <v>3030.6441531414998</v>
      </c>
      <c r="J34" s="538">
        <v>4.0497733707999997</v>
      </c>
      <c r="K34" s="511"/>
      <c r="L34" s="279">
        <v>4297.5564443944004</v>
      </c>
      <c r="M34" s="538">
        <v>6.1672426970999998</v>
      </c>
      <c r="N34" s="512"/>
      <c r="O34" s="279">
        <v>24567.706222205201</v>
      </c>
      <c r="P34" s="538">
        <v>35.347568493600001</v>
      </c>
      <c r="Q34" s="513"/>
      <c r="R34" s="539">
        <v>0</v>
      </c>
      <c r="S34" s="538">
        <v>0</v>
      </c>
      <c r="U34" s="539">
        <v>828.4018995532</v>
      </c>
      <c r="V34" s="538">
        <v>1.0810002168999999</v>
      </c>
    </row>
    <row r="35" spans="2:22" s="508" customFormat="1" ht="12.75" customHeight="1" x14ac:dyDescent="0.2">
      <c r="B35" s="95" t="s">
        <v>25</v>
      </c>
      <c r="C35" s="509"/>
      <c r="D35" s="279">
        <v>50570.569877203001</v>
      </c>
      <c r="E35" s="510"/>
      <c r="F35" s="279">
        <v>22012.928532745798</v>
      </c>
      <c r="G35" s="538">
        <v>39.7164495966</v>
      </c>
      <c r="H35" s="510"/>
      <c r="I35" s="279">
        <v>2231.7366491698999</v>
      </c>
      <c r="J35" s="538">
        <v>4.0863801467999998</v>
      </c>
      <c r="K35" s="511"/>
      <c r="L35" s="279">
        <v>410.72633359949998</v>
      </c>
      <c r="M35" s="538">
        <v>0.78325667379999997</v>
      </c>
      <c r="N35" s="512"/>
      <c r="O35" s="279">
        <v>16819.316751460399</v>
      </c>
      <c r="P35" s="538">
        <v>32.389420704999999</v>
      </c>
      <c r="Q35" s="513"/>
      <c r="R35" s="539">
        <v>593.55506072840001</v>
      </c>
      <c r="S35" s="538">
        <v>1.0851925643</v>
      </c>
      <c r="U35" s="539">
        <v>362.12513931749999</v>
      </c>
      <c r="V35" s="538">
        <v>0.62976306189999998</v>
      </c>
    </row>
    <row r="36" spans="2:22" s="508" customFormat="1" ht="12.75" customHeight="1" x14ac:dyDescent="0.2">
      <c r="B36" s="95" t="s">
        <v>26</v>
      </c>
      <c r="C36" s="509"/>
      <c r="D36" s="279">
        <v>49490.5210206392</v>
      </c>
      <c r="E36" s="510"/>
      <c r="F36" s="279">
        <v>16652.836149641102</v>
      </c>
      <c r="G36" s="538">
        <v>31.092308002799999</v>
      </c>
      <c r="H36" s="510"/>
      <c r="I36" s="279">
        <v>1182.1112565818</v>
      </c>
      <c r="J36" s="538">
        <v>2.3376449735999998</v>
      </c>
      <c r="K36" s="511"/>
      <c r="L36" s="279">
        <v>1618.9940383979999</v>
      </c>
      <c r="M36" s="538">
        <v>2.9449491664999998</v>
      </c>
      <c r="N36" s="512"/>
      <c r="O36" s="279">
        <v>17631.027422000599</v>
      </c>
      <c r="P36" s="538">
        <v>33.390391135800002</v>
      </c>
      <c r="Q36" s="513"/>
      <c r="R36" s="539">
        <v>98.554326861000007</v>
      </c>
      <c r="S36" s="538">
        <v>0.16432619700000001</v>
      </c>
      <c r="U36" s="539">
        <v>608.05672002380004</v>
      </c>
      <c r="V36" s="538">
        <v>1.2034326611999999</v>
      </c>
    </row>
    <row r="37" spans="2:22" s="508" customFormat="1" ht="12.75" customHeight="1" x14ac:dyDescent="0.2">
      <c r="B37" s="95" t="s">
        <v>27</v>
      </c>
      <c r="C37" s="509"/>
      <c r="D37" s="279">
        <v>59985.944400418797</v>
      </c>
      <c r="E37" s="510"/>
      <c r="F37" s="279">
        <v>20573.717031407301</v>
      </c>
      <c r="G37" s="538">
        <v>32.282491379100001</v>
      </c>
      <c r="H37" s="510"/>
      <c r="I37" s="279">
        <v>6551.9126991498997</v>
      </c>
      <c r="J37" s="538">
        <v>10.415285528</v>
      </c>
      <c r="K37" s="511"/>
      <c r="L37" s="279">
        <v>4033.8017468830999</v>
      </c>
      <c r="M37" s="538">
        <v>6.2970614880999998</v>
      </c>
      <c r="N37" s="512"/>
      <c r="O37" s="279">
        <v>18031.9762616472</v>
      </c>
      <c r="P37" s="538">
        <v>28.603400539599999</v>
      </c>
      <c r="Q37" s="513"/>
      <c r="R37" s="539">
        <v>1645.2910418404001</v>
      </c>
      <c r="S37" s="538">
        <v>2.5233432161999998</v>
      </c>
      <c r="U37" s="539">
        <v>1091.5009224592</v>
      </c>
      <c r="V37" s="538">
        <v>1.6009954055</v>
      </c>
    </row>
    <row r="38" spans="2:22" s="508" customFormat="1" ht="12.75" customHeight="1" x14ac:dyDescent="0.2">
      <c r="B38" s="95" t="s">
        <v>28</v>
      </c>
      <c r="C38" s="509"/>
      <c r="D38" s="279">
        <v>109569.155323285</v>
      </c>
      <c r="E38" s="510"/>
      <c r="F38" s="279">
        <v>45617.277058968801</v>
      </c>
      <c r="G38" s="538">
        <v>38.991088929299998</v>
      </c>
      <c r="H38" s="510"/>
      <c r="I38" s="279">
        <v>6539.8052801627</v>
      </c>
      <c r="J38" s="538">
        <v>5.5810373813999998</v>
      </c>
      <c r="K38" s="511"/>
      <c r="L38" s="279">
        <v>4271.9989896275001</v>
      </c>
      <c r="M38" s="538">
        <v>3.5547814816000001</v>
      </c>
      <c r="N38" s="512"/>
      <c r="O38" s="279">
        <v>33264.490943479999</v>
      </c>
      <c r="P38" s="538">
        <v>28.2673182256</v>
      </c>
      <c r="Q38" s="513"/>
      <c r="R38" s="539">
        <v>1070.2917055385001</v>
      </c>
      <c r="S38" s="538">
        <v>0.9006792106</v>
      </c>
      <c r="U38" s="539">
        <v>1620.5582756113999</v>
      </c>
      <c r="V38" s="538">
        <v>1.4202611251999999</v>
      </c>
    </row>
    <row r="39" spans="2:22" s="508" customFormat="1" ht="12.75" customHeight="1" x14ac:dyDescent="0.2">
      <c r="B39" s="95" t="s">
        <v>29</v>
      </c>
      <c r="C39" s="509"/>
      <c r="D39" s="279">
        <v>46983.705623928501</v>
      </c>
      <c r="E39" s="510"/>
      <c r="F39" s="279">
        <v>6229.8369656625</v>
      </c>
      <c r="G39" s="538">
        <v>11.6859583771</v>
      </c>
      <c r="H39" s="510"/>
      <c r="I39" s="279">
        <v>4404.1799831630997</v>
      </c>
      <c r="J39" s="538">
        <v>8.2715663401999997</v>
      </c>
      <c r="K39" s="511"/>
      <c r="L39" s="279">
        <v>1868.2187095465999</v>
      </c>
      <c r="M39" s="538">
        <v>3.6336730590999999</v>
      </c>
      <c r="N39" s="512"/>
      <c r="O39" s="279">
        <v>19818.402415784702</v>
      </c>
      <c r="P39" s="538">
        <v>39.276914510499999</v>
      </c>
      <c r="Q39" s="513"/>
      <c r="R39" s="539">
        <v>0</v>
      </c>
      <c r="S39" s="538">
        <v>0</v>
      </c>
      <c r="U39" s="539">
        <v>0</v>
      </c>
      <c r="V39" s="538">
        <v>4.2270070799999997E-2</v>
      </c>
    </row>
    <row r="40" spans="2:22" s="508" customFormat="1" ht="12.75" customHeight="1" x14ac:dyDescent="0.2">
      <c r="B40" s="95" t="s">
        <v>30</v>
      </c>
      <c r="C40" s="509"/>
      <c r="D40" s="279">
        <v>98813.782740603099</v>
      </c>
      <c r="E40" s="510"/>
      <c r="F40" s="279">
        <v>36467.722773844602</v>
      </c>
      <c r="G40" s="538">
        <v>34.8199036444</v>
      </c>
      <c r="H40" s="510"/>
      <c r="I40" s="279">
        <v>6831.3880375323997</v>
      </c>
      <c r="J40" s="538">
        <v>6.3590085446</v>
      </c>
      <c r="K40" s="511"/>
      <c r="L40" s="279">
        <v>2514.2783529908002</v>
      </c>
      <c r="M40" s="538">
        <v>2.3566417546</v>
      </c>
      <c r="N40" s="512"/>
      <c r="O40" s="279">
        <v>32361.042829755501</v>
      </c>
      <c r="P40" s="538">
        <v>31.029186833600001</v>
      </c>
      <c r="Q40" s="513"/>
      <c r="R40" s="539">
        <v>482.28691035719999</v>
      </c>
      <c r="S40" s="538">
        <v>0.47046693909999998</v>
      </c>
      <c r="U40" s="539">
        <v>2151.0115754786002</v>
      </c>
      <c r="V40" s="538">
        <v>2.0443297577999999</v>
      </c>
    </row>
    <row r="41" spans="2:22" s="508" customFormat="1" ht="12.75" customHeight="1" x14ac:dyDescent="0.2">
      <c r="B41" s="95" t="s">
        <v>31</v>
      </c>
      <c r="C41" s="509"/>
      <c r="D41" s="279">
        <v>9990.2962325512999</v>
      </c>
      <c r="E41" s="510"/>
      <c r="F41" s="279">
        <v>979.84992952849996</v>
      </c>
      <c r="G41" s="538">
        <v>9.3151293795000001</v>
      </c>
      <c r="H41" s="510"/>
      <c r="I41" s="279">
        <v>0</v>
      </c>
      <c r="J41" s="538">
        <v>0</v>
      </c>
      <c r="K41" s="511"/>
      <c r="L41" s="279">
        <v>542.06543911910001</v>
      </c>
      <c r="M41" s="538">
        <v>4.4396425850999996</v>
      </c>
      <c r="N41" s="512"/>
      <c r="O41" s="279">
        <v>5041.6034386270003</v>
      </c>
      <c r="P41" s="538">
        <v>47.736595837700001</v>
      </c>
      <c r="Q41" s="513"/>
      <c r="R41" s="539">
        <v>0</v>
      </c>
      <c r="S41" s="538">
        <v>0</v>
      </c>
      <c r="U41" s="539">
        <v>27.616983186999999</v>
      </c>
      <c r="V41" s="538">
        <v>0.62924748880000003</v>
      </c>
    </row>
    <row r="42" spans="2:22" s="508" customFormat="1" ht="12.75" customHeight="1" x14ac:dyDescent="0.2">
      <c r="B42" s="95" t="s">
        <v>32</v>
      </c>
      <c r="C42" s="509"/>
      <c r="D42" s="279">
        <v>120393.775231073</v>
      </c>
      <c r="E42" s="510"/>
      <c r="F42" s="279">
        <v>23536.983559951401</v>
      </c>
      <c r="G42" s="538">
        <v>18.138759391000001</v>
      </c>
      <c r="H42" s="510"/>
      <c r="I42" s="279">
        <v>3607.7412095535001</v>
      </c>
      <c r="J42" s="538">
        <v>2.7188737331000001</v>
      </c>
      <c r="K42" s="511"/>
      <c r="L42" s="279">
        <v>5776.1746092712001</v>
      </c>
      <c r="M42" s="538">
        <v>4.6069023879</v>
      </c>
      <c r="N42" s="512"/>
      <c r="O42" s="279">
        <v>45622.023650584</v>
      </c>
      <c r="P42" s="538">
        <v>33.610046624900001</v>
      </c>
      <c r="Q42" s="513"/>
      <c r="R42" s="539">
        <v>827.76468315570003</v>
      </c>
      <c r="S42" s="538">
        <v>0.64528977369999996</v>
      </c>
      <c r="U42" s="539">
        <v>0</v>
      </c>
      <c r="V42" s="538">
        <v>0</v>
      </c>
    </row>
    <row r="43" spans="2:22" s="508" customFormat="1" ht="12.75" customHeight="1" x14ac:dyDescent="0.2">
      <c r="B43" s="95" t="s">
        <v>33</v>
      </c>
      <c r="C43" s="509"/>
      <c r="D43" s="279">
        <v>79131.568151900501</v>
      </c>
      <c r="E43" s="510"/>
      <c r="F43" s="279">
        <v>22554.358681756199</v>
      </c>
      <c r="G43" s="538">
        <v>26.206302406900001</v>
      </c>
      <c r="H43" s="510"/>
      <c r="I43" s="279">
        <v>2409.7139280494998</v>
      </c>
      <c r="J43" s="538">
        <v>2.8413296305000002</v>
      </c>
      <c r="K43" s="511"/>
      <c r="L43" s="279">
        <v>3200.1302331717002</v>
      </c>
      <c r="M43" s="538">
        <v>3.7658970415000002</v>
      </c>
      <c r="N43" s="512"/>
      <c r="O43" s="279">
        <v>30534.391647701999</v>
      </c>
      <c r="P43" s="538">
        <v>36.558778310800001</v>
      </c>
      <c r="Q43" s="513"/>
      <c r="R43" s="539">
        <v>2873.7613690767998</v>
      </c>
      <c r="S43" s="538">
        <v>3.3523594979000002</v>
      </c>
      <c r="U43" s="539">
        <v>847.1831841165</v>
      </c>
      <c r="V43" s="538">
        <v>1.0357097450999999</v>
      </c>
    </row>
    <row r="44" spans="2:22" s="508" customFormat="1" ht="12.75" customHeight="1" x14ac:dyDescent="0.2">
      <c r="B44" s="95" t="s">
        <v>34</v>
      </c>
      <c r="C44" s="509"/>
      <c r="D44" s="279">
        <v>38002.810686510398</v>
      </c>
      <c r="E44" s="510"/>
      <c r="F44" s="279">
        <v>5374.8593275855001</v>
      </c>
      <c r="G44" s="538">
        <v>13.1440708468</v>
      </c>
      <c r="H44" s="510"/>
      <c r="I44" s="279">
        <v>3487.2946316053999</v>
      </c>
      <c r="J44" s="538">
        <v>7.9377804729000001</v>
      </c>
      <c r="K44" s="511"/>
      <c r="L44" s="279">
        <v>1686.4511861583001</v>
      </c>
      <c r="M44" s="538">
        <v>4.5070132058999999</v>
      </c>
      <c r="N44" s="512"/>
      <c r="O44" s="279">
        <v>18413.406426503501</v>
      </c>
      <c r="P44" s="538">
        <v>44.028690794900001</v>
      </c>
      <c r="Q44" s="513"/>
      <c r="R44" s="539">
        <v>549.07400529660003</v>
      </c>
      <c r="S44" s="538">
        <v>1.2957905129</v>
      </c>
      <c r="U44" s="539">
        <v>143.75377187550001</v>
      </c>
      <c r="V44" s="538">
        <v>0.30337228939999999</v>
      </c>
    </row>
    <row r="45" spans="2:22" ht="6" customHeight="1" x14ac:dyDescent="0.25">
      <c r="B45" s="514"/>
      <c r="C45" s="515"/>
      <c r="D45" s="264"/>
      <c r="E45" s="516"/>
      <c r="F45" s="264"/>
      <c r="G45" s="517"/>
      <c r="H45" s="517"/>
      <c r="I45" s="264"/>
      <c r="J45" s="517"/>
      <c r="K45" s="518"/>
      <c r="L45" s="264"/>
      <c r="M45" s="517"/>
      <c r="N45" s="519"/>
      <c r="O45" s="264"/>
      <c r="P45" s="517"/>
      <c r="Q45" s="517"/>
      <c r="R45" s="517"/>
      <c r="S45" s="517"/>
      <c r="T45" s="517"/>
      <c r="U45" s="517"/>
      <c r="V45" s="517"/>
    </row>
    <row r="46" spans="2:22" ht="6" customHeight="1" x14ac:dyDescent="0.25">
      <c r="B46" s="228"/>
      <c r="C46" s="492"/>
      <c r="D46" s="145"/>
      <c r="E46" s="521"/>
      <c r="F46" s="145"/>
      <c r="G46" s="522"/>
      <c r="H46" s="522"/>
      <c r="I46" s="145"/>
      <c r="J46" s="522"/>
      <c r="K46" s="523"/>
      <c r="L46" s="145"/>
      <c r="M46" s="522"/>
      <c r="N46" s="524"/>
      <c r="O46" s="145"/>
      <c r="P46" s="522"/>
      <c r="Q46" s="525"/>
      <c r="R46" s="494"/>
      <c r="S46" s="494"/>
      <c r="T46" s="494"/>
      <c r="U46" s="494"/>
      <c r="V46" s="494"/>
    </row>
    <row r="47" spans="2:22" ht="12.75" customHeight="1" x14ac:dyDescent="0.25">
      <c r="B47" s="273" t="s">
        <v>93</v>
      </c>
      <c r="C47" s="492"/>
      <c r="D47" s="145"/>
      <c r="E47" s="521"/>
      <c r="F47" s="145"/>
      <c r="G47" s="522"/>
      <c r="H47" s="522"/>
      <c r="I47" s="145"/>
      <c r="J47" s="522"/>
      <c r="K47" s="523"/>
      <c r="L47" s="145"/>
      <c r="M47" s="522"/>
      <c r="N47" s="524"/>
      <c r="O47" s="145"/>
      <c r="P47" s="522"/>
      <c r="Q47" s="525"/>
      <c r="R47" s="494"/>
      <c r="S47" s="494"/>
      <c r="T47" s="494"/>
      <c r="U47" s="494"/>
      <c r="V47" s="494"/>
    </row>
    <row r="48" spans="2:22" s="533" customFormat="1" ht="12.75" customHeight="1" x14ac:dyDescent="0.25">
      <c r="B48" s="20" t="s">
        <v>178</v>
      </c>
      <c r="C48" s="526"/>
      <c r="D48" s="145"/>
      <c r="E48" s="527"/>
      <c r="F48" s="145"/>
      <c r="G48" s="528"/>
      <c r="H48" s="528"/>
      <c r="I48" s="145"/>
      <c r="J48" s="528"/>
      <c r="K48" s="529"/>
      <c r="L48" s="145"/>
      <c r="M48" s="528"/>
      <c r="N48" s="530"/>
      <c r="O48" s="145"/>
      <c r="P48" s="528"/>
      <c r="Q48" s="531"/>
      <c r="R48" s="532"/>
      <c r="S48" s="532"/>
      <c r="T48" s="532"/>
      <c r="U48" s="532"/>
      <c r="V48" s="532"/>
    </row>
    <row r="49" spans="2:22" ht="12" customHeight="1" x14ac:dyDescent="0.25">
      <c r="B49" s="20" t="s">
        <v>179</v>
      </c>
      <c r="C49" s="492"/>
      <c r="D49" s="145"/>
      <c r="E49" s="521"/>
      <c r="F49" s="145"/>
      <c r="G49" s="522"/>
      <c r="H49" s="522"/>
      <c r="I49" s="145"/>
      <c r="J49" s="522"/>
      <c r="K49" s="523"/>
      <c r="L49" s="145"/>
      <c r="M49" s="522"/>
      <c r="N49" s="524"/>
      <c r="O49" s="145"/>
      <c r="P49" s="522"/>
      <c r="Q49" s="525"/>
      <c r="R49" s="494"/>
      <c r="S49" s="494"/>
      <c r="T49" s="494"/>
      <c r="U49" s="494"/>
      <c r="V49" s="494"/>
    </row>
    <row r="50" spans="2:22" ht="12" customHeight="1" x14ac:dyDescent="0.25">
      <c r="B50" s="20" t="s">
        <v>180</v>
      </c>
      <c r="C50" s="492"/>
      <c r="D50" s="145"/>
      <c r="E50" s="521"/>
      <c r="F50" s="145"/>
      <c r="G50" s="522"/>
      <c r="H50" s="522"/>
      <c r="I50" s="145"/>
      <c r="J50" s="522"/>
      <c r="K50" s="523"/>
      <c r="L50" s="145"/>
      <c r="M50" s="522"/>
      <c r="N50" s="524"/>
      <c r="O50" s="145"/>
      <c r="P50" s="522"/>
      <c r="Q50" s="525"/>
      <c r="R50" s="494"/>
      <c r="S50" s="494"/>
      <c r="T50" s="494"/>
      <c r="U50" s="494"/>
      <c r="V50" s="494"/>
    </row>
    <row r="51" spans="2:22" s="13" customFormat="1" ht="14.25" x14ac:dyDescent="0.2">
      <c r="B51" s="146" t="s">
        <v>181</v>
      </c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</row>
  </sheetData>
  <mergeCells count="10">
    <mergeCell ref="B5:N5"/>
    <mergeCell ref="B7:C9"/>
    <mergeCell ref="D7:D9"/>
    <mergeCell ref="F7:S7"/>
    <mergeCell ref="U7:V8"/>
    <mergeCell ref="F8:G8"/>
    <mergeCell ref="I8:J8"/>
    <mergeCell ref="L8:M8"/>
    <mergeCell ref="O8:P8"/>
    <mergeCell ref="R8:S8"/>
  </mergeCells>
  <hyperlinks>
    <hyperlink ref="V1" location="Índice!A1" tooltip="Ir a ÍNDICE" display="INDICE" xr:uid="{201FF0FD-792A-468D-8761-CC27D70EC964}"/>
  </hyperlinks>
  <pageMargins left="0.70866141732283472" right="0.70866141732283472" top="0.74803149606299213" bottom="0.74803149606299213" header="0.31496062992125984" footer="0.31496062992125984"/>
  <pageSetup orientation="portrait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E4C4D-A5CA-412C-A0A5-0301838F3936}">
  <dimension ref="B1:S52"/>
  <sheetViews>
    <sheetView showGridLines="0" zoomScaleNormal="100" workbookViewId="0"/>
  </sheetViews>
  <sheetFormatPr baseColWidth="10" defaultColWidth="11.42578125" defaultRowHeight="15" x14ac:dyDescent="0.25"/>
  <cols>
    <col min="1" max="1" width="1.7109375" style="547" customWidth="1"/>
    <col min="2" max="2" width="24.28515625" style="547" customWidth="1"/>
    <col min="3" max="3" width="0.85546875" style="567" customWidth="1"/>
    <col min="4" max="4" width="20.7109375" style="567" customWidth="1"/>
    <col min="5" max="5" width="0.85546875" style="567" customWidth="1"/>
    <col min="6" max="6" width="25.7109375" style="567" customWidth="1"/>
    <col min="7" max="7" width="2" style="567" customWidth="1"/>
    <col min="8" max="8" width="18.7109375" style="547" customWidth="1"/>
    <col min="9" max="9" width="1.7109375" style="547" customWidth="1"/>
    <col min="10" max="10" width="18.7109375" style="547" customWidth="1"/>
    <col min="11" max="16384" width="11.42578125" style="547"/>
  </cols>
  <sheetData>
    <row r="1" spans="2:19" s="541" customFormat="1" ht="12" customHeight="1" x14ac:dyDescent="0.2">
      <c r="B1" s="640" t="s">
        <v>202</v>
      </c>
      <c r="J1" s="72" t="s">
        <v>151</v>
      </c>
    </row>
    <row r="2" spans="2:19" s="541" customFormat="1" ht="6.95" customHeight="1" x14ac:dyDescent="0.2">
      <c r="B2" s="640"/>
    </row>
    <row r="3" spans="2:19" s="541" customFormat="1" ht="15" customHeight="1" x14ac:dyDescent="0.2">
      <c r="B3" s="640" t="s">
        <v>199</v>
      </c>
      <c r="C3" s="540"/>
      <c r="D3" s="540"/>
      <c r="E3" s="540"/>
      <c r="F3" s="540"/>
      <c r="G3" s="540"/>
      <c r="H3" s="540"/>
      <c r="I3" s="540"/>
      <c r="J3" s="540"/>
      <c r="K3" s="540"/>
      <c r="L3" s="540"/>
      <c r="M3" s="540"/>
      <c r="N3" s="540"/>
      <c r="O3" s="540"/>
      <c r="P3" s="540"/>
      <c r="Q3" s="540"/>
      <c r="R3" s="540"/>
      <c r="S3" s="540"/>
    </row>
    <row r="4" spans="2:19" s="541" customFormat="1" ht="6.95" customHeight="1" x14ac:dyDescent="0.2">
      <c r="C4" s="542"/>
      <c r="D4" s="542"/>
      <c r="E4" s="542"/>
      <c r="F4" s="542"/>
      <c r="G4" s="542"/>
    </row>
    <row r="5" spans="2:19" s="541" customFormat="1" ht="38.25" customHeight="1" x14ac:dyDescent="0.2">
      <c r="B5" s="729" t="s">
        <v>170</v>
      </c>
      <c r="C5" s="729"/>
      <c r="D5" s="729"/>
      <c r="E5" s="729"/>
      <c r="F5" s="729"/>
      <c r="G5" s="729"/>
      <c r="H5" s="729"/>
      <c r="I5" s="57"/>
      <c r="J5" s="71" t="s">
        <v>118</v>
      </c>
      <c r="K5" s="543"/>
      <c r="L5" s="543"/>
    </row>
    <row r="6" spans="2:19" ht="6" customHeight="1" x14ac:dyDescent="0.25">
      <c r="B6" s="544"/>
      <c r="C6" s="545"/>
      <c r="D6" s="545"/>
      <c r="E6" s="545"/>
      <c r="F6" s="545"/>
      <c r="G6" s="545"/>
      <c r="H6" s="546"/>
      <c r="I6" s="546"/>
      <c r="J6" s="546"/>
      <c r="K6" s="546"/>
      <c r="L6" s="546"/>
    </row>
    <row r="7" spans="2:19" ht="24" customHeight="1" x14ac:dyDescent="0.25">
      <c r="B7" s="682" t="s">
        <v>76</v>
      </c>
      <c r="C7" s="682"/>
      <c r="D7" s="726" t="s">
        <v>131</v>
      </c>
      <c r="E7" s="479"/>
      <c r="F7" s="726" t="s">
        <v>91</v>
      </c>
      <c r="G7" s="548"/>
      <c r="H7" s="726" t="s">
        <v>182</v>
      </c>
      <c r="I7" s="549"/>
      <c r="J7" s="726" t="s">
        <v>183</v>
      </c>
      <c r="K7" s="546"/>
      <c r="L7" s="546"/>
    </row>
    <row r="8" spans="2:19" ht="42" customHeight="1" x14ac:dyDescent="0.25">
      <c r="B8" s="683"/>
      <c r="C8" s="683"/>
      <c r="D8" s="727"/>
      <c r="E8" s="480"/>
      <c r="F8" s="727"/>
      <c r="G8" s="550"/>
      <c r="H8" s="727"/>
      <c r="I8" s="546"/>
      <c r="J8" s="727"/>
      <c r="K8" s="546"/>
      <c r="L8" s="546"/>
    </row>
    <row r="9" spans="2:19" ht="25.5" customHeight="1" x14ac:dyDescent="0.25">
      <c r="B9" s="684"/>
      <c r="C9" s="684"/>
      <c r="D9" s="728"/>
      <c r="E9" s="481"/>
      <c r="F9" s="728"/>
      <c r="G9" s="551"/>
      <c r="H9" s="728"/>
      <c r="I9" s="544"/>
      <c r="J9" s="728"/>
      <c r="K9" s="546"/>
      <c r="L9" s="546"/>
    </row>
    <row r="10" spans="2:19" ht="6" customHeight="1" x14ac:dyDescent="0.25">
      <c r="B10" s="31"/>
      <c r="C10" s="552"/>
      <c r="D10" s="553"/>
      <c r="E10" s="553"/>
      <c r="F10" s="553"/>
      <c r="G10" s="553"/>
      <c r="H10" s="554"/>
      <c r="I10" s="554"/>
      <c r="J10" s="554"/>
      <c r="K10" s="546"/>
      <c r="L10" s="546"/>
    </row>
    <row r="11" spans="2:19" s="557" customFormat="1" ht="11.25" x14ac:dyDescent="0.2">
      <c r="B11" s="94" t="s">
        <v>2</v>
      </c>
      <c r="C11" s="555"/>
      <c r="D11" s="569">
        <v>566098.43145748798</v>
      </c>
      <c r="E11" s="556"/>
      <c r="F11" s="575">
        <v>599339.33131869195</v>
      </c>
      <c r="G11" s="556"/>
      <c r="H11" s="569">
        <v>21646134782.529499</v>
      </c>
      <c r="I11" s="556"/>
      <c r="J11" s="569">
        <v>36203.870804475897</v>
      </c>
      <c r="K11" s="555"/>
      <c r="L11" s="555"/>
    </row>
    <row r="12" spans="2:19" s="560" customFormat="1" ht="6" customHeight="1" x14ac:dyDescent="0.2">
      <c r="B12" s="94"/>
      <c r="C12" s="558"/>
      <c r="D12" s="559"/>
      <c r="E12" s="559"/>
      <c r="F12" s="573"/>
      <c r="G12" s="559"/>
      <c r="H12" s="559"/>
      <c r="I12" s="559"/>
      <c r="J12" s="559"/>
      <c r="K12" s="558"/>
      <c r="L12" s="558"/>
    </row>
    <row r="13" spans="2:19" s="560" customFormat="1" ht="12.75" customHeight="1" x14ac:dyDescent="0.2">
      <c r="B13" s="95" t="s">
        <v>3</v>
      </c>
      <c r="C13" s="561"/>
      <c r="D13" s="568">
        <v>7508.7777593555002</v>
      </c>
      <c r="E13" s="559"/>
      <c r="F13" s="574">
        <v>8250.9886164526997</v>
      </c>
      <c r="G13" s="559"/>
      <c r="H13" s="568">
        <v>217273120.30938599</v>
      </c>
      <c r="I13" s="559"/>
      <c r="J13" s="568">
        <v>24419.179724334299</v>
      </c>
      <c r="K13" s="558"/>
      <c r="L13" s="558"/>
    </row>
    <row r="14" spans="2:19" s="560" customFormat="1" ht="12.75" customHeight="1" x14ac:dyDescent="0.2">
      <c r="B14" s="95" t="s">
        <v>4</v>
      </c>
      <c r="C14" s="561"/>
      <c r="D14" s="568">
        <v>11435.8674008037</v>
      </c>
      <c r="E14" s="559"/>
      <c r="F14" s="574">
        <v>13065.397049000299</v>
      </c>
      <c r="G14" s="559"/>
      <c r="H14" s="568">
        <v>39655280.557913803</v>
      </c>
      <c r="I14" s="559"/>
      <c r="J14" s="568">
        <v>4420.9052119805001</v>
      </c>
      <c r="K14" s="558"/>
      <c r="L14" s="558"/>
    </row>
    <row r="15" spans="2:19" s="560" customFormat="1" ht="12.75" customHeight="1" x14ac:dyDescent="0.2">
      <c r="B15" s="95" t="s">
        <v>5</v>
      </c>
      <c r="C15" s="561"/>
      <c r="D15" s="568">
        <v>3201.6518871072999</v>
      </c>
      <c r="E15" s="559"/>
      <c r="F15" s="574">
        <v>3492.5324018044998</v>
      </c>
      <c r="G15" s="559"/>
      <c r="H15" s="568">
        <v>62659052.231649198</v>
      </c>
      <c r="I15" s="559"/>
      <c r="J15" s="568">
        <v>16103.2184832155</v>
      </c>
      <c r="K15" s="558"/>
      <c r="L15" s="558"/>
    </row>
    <row r="16" spans="2:19" s="560" customFormat="1" ht="12.75" customHeight="1" x14ac:dyDescent="0.2">
      <c r="B16" s="95" t="s">
        <v>6</v>
      </c>
      <c r="C16" s="561"/>
      <c r="D16" s="568">
        <v>5471.7959470821997</v>
      </c>
      <c r="E16" s="559"/>
      <c r="F16" s="574">
        <v>6141.7313912997997</v>
      </c>
      <c r="G16" s="559"/>
      <c r="H16" s="568">
        <v>101774712.79865099</v>
      </c>
      <c r="I16" s="559"/>
      <c r="J16" s="568">
        <v>15044.221370945301</v>
      </c>
      <c r="K16" s="558"/>
      <c r="L16" s="558"/>
    </row>
    <row r="17" spans="2:12" s="560" customFormat="1" ht="12.75" customHeight="1" x14ac:dyDescent="0.2">
      <c r="B17" s="95" t="s">
        <v>7</v>
      </c>
      <c r="C17" s="561"/>
      <c r="D17" s="568">
        <v>14155.828827841</v>
      </c>
      <c r="E17" s="559"/>
      <c r="F17" s="574">
        <v>15423.8126582408</v>
      </c>
      <c r="G17" s="559"/>
      <c r="H17" s="568">
        <v>609520489.873263</v>
      </c>
      <c r="I17" s="559"/>
      <c r="J17" s="568">
        <v>31969.9564158391</v>
      </c>
      <c r="K17" s="558"/>
      <c r="L17" s="558"/>
    </row>
    <row r="18" spans="2:12" s="560" customFormat="1" ht="12.75" customHeight="1" x14ac:dyDescent="0.2">
      <c r="B18" s="95" t="s">
        <v>8</v>
      </c>
      <c r="C18" s="561"/>
      <c r="D18" s="568">
        <v>4320.6880911251001</v>
      </c>
      <c r="E18" s="559"/>
      <c r="F18" s="574">
        <v>4750.6199176747004</v>
      </c>
      <c r="G18" s="559"/>
      <c r="H18" s="568">
        <v>85569490.799316198</v>
      </c>
      <c r="I18" s="559"/>
      <c r="J18" s="568">
        <v>16687.137455732402</v>
      </c>
      <c r="K18" s="558"/>
      <c r="L18" s="558"/>
    </row>
    <row r="19" spans="2:12" s="560" customFormat="1" ht="12.75" customHeight="1" x14ac:dyDescent="0.2">
      <c r="B19" s="95" t="s">
        <v>9</v>
      </c>
      <c r="C19" s="561"/>
      <c r="D19" s="568">
        <v>12232.3924151434</v>
      </c>
      <c r="E19" s="559"/>
      <c r="F19" s="574">
        <v>12948.789929464499</v>
      </c>
      <c r="G19" s="559"/>
      <c r="H19" s="568">
        <v>122358243.253656</v>
      </c>
      <c r="I19" s="559"/>
      <c r="J19" s="568">
        <v>9049.7812686625002</v>
      </c>
      <c r="K19" s="558"/>
      <c r="L19" s="558"/>
    </row>
    <row r="20" spans="2:12" s="560" customFormat="1" ht="12.75" customHeight="1" x14ac:dyDescent="0.2">
      <c r="B20" s="95" t="s">
        <v>10</v>
      </c>
      <c r="C20" s="561"/>
      <c r="D20" s="568">
        <v>16572.447784566</v>
      </c>
      <c r="E20" s="559"/>
      <c r="F20" s="574">
        <v>18110.449055125799</v>
      </c>
      <c r="G20" s="559"/>
      <c r="H20" s="568">
        <v>274867740.63960803</v>
      </c>
      <c r="I20" s="559"/>
      <c r="J20" s="568">
        <v>12941.1072634865</v>
      </c>
      <c r="K20" s="558"/>
      <c r="L20" s="558"/>
    </row>
    <row r="21" spans="2:12" s="560" customFormat="1" ht="12.75" customHeight="1" x14ac:dyDescent="0.2">
      <c r="B21" s="95" t="s">
        <v>11</v>
      </c>
      <c r="C21" s="561"/>
      <c r="D21" s="568">
        <v>32860.0008456535</v>
      </c>
      <c r="E21" s="559"/>
      <c r="F21" s="574">
        <v>35933.645746901602</v>
      </c>
      <c r="G21" s="559"/>
      <c r="H21" s="568">
        <v>519152188.129933</v>
      </c>
      <c r="I21" s="559"/>
      <c r="J21" s="568">
        <v>13884.7564847633</v>
      </c>
      <c r="K21" s="558"/>
      <c r="L21" s="558"/>
    </row>
    <row r="22" spans="2:12" s="560" customFormat="1" ht="12.75" customHeight="1" x14ac:dyDescent="0.2">
      <c r="B22" s="95" t="s">
        <v>12</v>
      </c>
      <c r="C22" s="561"/>
      <c r="D22" s="568">
        <v>11674.0609436304</v>
      </c>
      <c r="E22" s="559"/>
      <c r="F22" s="574">
        <v>12911.5347571728</v>
      </c>
      <c r="G22" s="559"/>
      <c r="H22" s="568">
        <v>232863059.39711401</v>
      </c>
      <c r="I22" s="559"/>
      <c r="J22" s="568">
        <v>17846.740845063199</v>
      </c>
      <c r="K22" s="558"/>
      <c r="L22" s="558"/>
    </row>
    <row r="23" spans="2:12" s="560" customFormat="1" ht="12.75" customHeight="1" x14ac:dyDescent="0.2">
      <c r="B23" s="95" t="s">
        <v>13</v>
      </c>
      <c r="C23" s="561"/>
      <c r="D23" s="568">
        <v>12926.9518804442</v>
      </c>
      <c r="E23" s="559"/>
      <c r="F23" s="574">
        <v>15869.0551328033</v>
      </c>
      <c r="G23" s="559"/>
      <c r="H23" s="568">
        <v>302744636.522084</v>
      </c>
      <c r="I23" s="559"/>
      <c r="J23" s="568">
        <v>16965.593507600101</v>
      </c>
      <c r="K23" s="558"/>
      <c r="L23" s="558"/>
    </row>
    <row r="24" spans="2:12" s="560" customFormat="1" ht="12.75" customHeight="1" x14ac:dyDescent="0.2">
      <c r="B24" s="95" t="s">
        <v>14</v>
      </c>
      <c r="C24" s="561"/>
      <c r="D24" s="568">
        <v>5576.8790145410003</v>
      </c>
      <c r="E24" s="559"/>
      <c r="F24" s="574">
        <v>6265.8553209947004</v>
      </c>
      <c r="G24" s="559"/>
      <c r="H24" s="568">
        <v>176227549.90668499</v>
      </c>
      <c r="I24" s="559"/>
      <c r="J24" s="568">
        <v>24055.909993881902</v>
      </c>
      <c r="K24" s="558"/>
      <c r="L24" s="558"/>
    </row>
    <row r="25" spans="2:12" s="560" customFormat="1" ht="12.75" customHeight="1" x14ac:dyDescent="0.2">
      <c r="B25" s="95" t="s">
        <v>15</v>
      </c>
      <c r="C25" s="561"/>
      <c r="D25" s="568">
        <v>4188.4711476468001</v>
      </c>
      <c r="E25" s="559"/>
      <c r="F25" s="574">
        <v>5132.0315994455996</v>
      </c>
      <c r="G25" s="559"/>
      <c r="H25" s="568">
        <v>131404224.354653</v>
      </c>
      <c r="I25" s="559"/>
      <c r="J25" s="568">
        <v>31344.567873575499</v>
      </c>
      <c r="K25" s="558"/>
      <c r="L25" s="558"/>
    </row>
    <row r="26" spans="2:12" s="560" customFormat="1" ht="12.75" customHeight="1" x14ac:dyDescent="0.2">
      <c r="B26" s="95" t="s">
        <v>16</v>
      </c>
      <c r="C26" s="561"/>
      <c r="D26" s="568">
        <v>44116.781728798902</v>
      </c>
      <c r="E26" s="559"/>
      <c r="F26" s="574">
        <v>50853.7076839285</v>
      </c>
      <c r="G26" s="559"/>
      <c r="H26" s="568">
        <v>700575268.40317094</v>
      </c>
      <c r="I26" s="559"/>
      <c r="J26" s="568">
        <v>15167.193873833799</v>
      </c>
      <c r="K26" s="558"/>
      <c r="L26" s="558"/>
    </row>
    <row r="27" spans="2:12" s="560" customFormat="1" ht="12.75" customHeight="1" x14ac:dyDescent="0.2">
      <c r="B27" s="95" t="s">
        <v>17</v>
      </c>
      <c r="C27" s="561"/>
      <c r="D27" s="568">
        <v>20663.5522719211</v>
      </c>
      <c r="E27" s="559"/>
      <c r="F27" s="574">
        <v>22044.761941205601</v>
      </c>
      <c r="G27" s="559"/>
      <c r="H27" s="568">
        <v>0</v>
      </c>
      <c r="I27" s="559"/>
      <c r="J27" s="568">
        <v>0</v>
      </c>
      <c r="K27" s="558"/>
      <c r="L27" s="558"/>
    </row>
    <row r="28" spans="2:12" s="560" customFormat="1" ht="12.75" customHeight="1" x14ac:dyDescent="0.2">
      <c r="B28" s="95" t="s">
        <v>18</v>
      </c>
      <c r="C28" s="561"/>
      <c r="D28" s="568">
        <v>13466.4315481907</v>
      </c>
      <c r="E28" s="559"/>
      <c r="F28" s="574">
        <v>16399.629805965302</v>
      </c>
      <c r="G28" s="559"/>
      <c r="H28" s="568">
        <v>210202728.826498</v>
      </c>
      <c r="I28" s="559"/>
      <c r="J28" s="568">
        <v>13894.3793856469</v>
      </c>
      <c r="K28" s="558"/>
      <c r="L28" s="558"/>
    </row>
    <row r="29" spans="2:12" s="560" customFormat="1" ht="12.75" customHeight="1" x14ac:dyDescent="0.2">
      <c r="B29" s="95" t="s">
        <v>19</v>
      </c>
      <c r="C29" s="561"/>
      <c r="D29" s="568">
        <v>6748.0043458325999</v>
      </c>
      <c r="E29" s="559"/>
      <c r="F29" s="574">
        <v>7384.1670741543003</v>
      </c>
      <c r="G29" s="559"/>
      <c r="H29" s="568">
        <v>55719052.605508</v>
      </c>
      <c r="I29" s="559"/>
      <c r="J29" s="568">
        <v>7838.1130664107995</v>
      </c>
      <c r="K29" s="558"/>
      <c r="L29" s="558"/>
    </row>
    <row r="30" spans="2:12" s="560" customFormat="1" ht="12.75" customHeight="1" x14ac:dyDescent="0.2">
      <c r="B30" s="95" t="s">
        <v>20</v>
      </c>
      <c r="C30" s="561"/>
      <c r="D30" s="568">
        <v>6520.9367469790996</v>
      </c>
      <c r="E30" s="559"/>
      <c r="F30" s="574">
        <v>7743.9987179549998</v>
      </c>
      <c r="G30" s="559"/>
      <c r="H30" s="568">
        <v>134130962.707342</v>
      </c>
      <c r="I30" s="559"/>
      <c r="J30" s="568">
        <v>16940.969902960798</v>
      </c>
      <c r="K30" s="558"/>
      <c r="L30" s="558"/>
    </row>
    <row r="31" spans="2:12" s="560" customFormat="1" ht="12.75" customHeight="1" x14ac:dyDescent="0.2">
      <c r="B31" s="95" t="s">
        <v>21</v>
      </c>
      <c r="C31" s="561"/>
      <c r="D31" s="568">
        <v>18520.649386799701</v>
      </c>
      <c r="E31" s="559"/>
      <c r="F31" s="574">
        <v>20965.623830093002</v>
      </c>
      <c r="G31" s="559"/>
      <c r="H31" s="568">
        <v>368007872.09314901</v>
      </c>
      <c r="I31" s="559"/>
      <c r="J31" s="568">
        <v>16387.184159410299</v>
      </c>
      <c r="K31" s="558"/>
      <c r="L31" s="558"/>
    </row>
    <row r="32" spans="2:12" s="560" customFormat="1" ht="12.75" customHeight="1" x14ac:dyDescent="0.2">
      <c r="B32" s="95" t="s">
        <v>22</v>
      </c>
      <c r="C32" s="561"/>
      <c r="D32" s="568">
        <v>13861.419650186701</v>
      </c>
      <c r="E32" s="559"/>
      <c r="F32" s="574">
        <v>15114.688084064501</v>
      </c>
      <c r="G32" s="559"/>
      <c r="H32" s="568">
        <v>640015717.18219995</v>
      </c>
      <c r="I32" s="559"/>
      <c r="J32" s="568">
        <v>38665.726514853697</v>
      </c>
      <c r="K32" s="558"/>
      <c r="L32" s="558"/>
    </row>
    <row r="33" spans="2:12" s="560" customFormat="1" ht="12.75" customHeight="1" x14ac:dyDescent="0.2">
      <c r="B33" s="95" t="s">
        <v>23</v>
      </c>
      <c r="C33" s="561"/>
      <c r="D33" s="568">
        <v>12208.755527421001</v>
      </c>
      <c r="E33" s="559"/>
      <c r="F33" s="574">
        <v>13998.723124013601</v>
      </c>
      <c r="G33" s="559"/>
      <c r="H33" s="568">
        <v>0</v>
      </c>
      <c r="I33" s="559"/>
      <c r="J33" s="568">
        <v>0</v>
      </c>
      <c r="K33" s="558"/>
      <c r="L33" s="558"/>
    </row>
    <row r="34" spans="2:12" s="560" customFormat="1" ht="12.75" customHeight="1" x14ac:dyDescent="0.2">
      <c r="B34" s="95" t="s">
        <v>24</v>
      </c>
      <c r="C34" s="561"/>
      <c r="D34" s="568">
        <v>4798.1128490293004</v>
      </c>
      <c r="E34" s="559"/>
      <c r="F34" s="574">
        <v>5464.3591017074996</v>
      </c>
      <c r="G34" s="559"/>
      <c r="H34" s="568">
        <v>145810251.68147001</v>
      </c>
      <c r="I34" s="559"/>
      <c r="J34" s="568">
        <v>21318.190302351399</v>
      </c>
      <c r="K34" s="558"/>
      <c r="L34" s="558"/>
    </row>
    <row r="35" spans="2:12" s="560" customFormat="1" ht="12.75" customHeight="1" x14ac:dyDescent="0.2">
      <c r="B35" s="95" t="s">
        <v>25</v>
      </c>
      <c r="C35" s="561"/>
      <c r="D35" s="568">
        <v>8380.6925127799004</v>
      </c>
      <c r="E35" s="559"/>
      <c r="F35" s="574">
        <v>9699.7024974443993</v>
      </c>
      <c r="G35" s="559"/>
      <c r="H35" s="568">
        <v>172613237.10668299</v>
      </c>
      <c r="I35" s="559"/>
      <c r="J35" s="568">
        <v>21471.589098617402</v>
      </c>
      <c r="K35" s="558"/>
      <c r="L35" s="558"/>
    </row>
    <row r="36" spans="2:12" s="560" customFormat="1" ht="12.75" customHeight="1" x14ac:dyDescent="0.2">
      <c r="B36" s="95" t="s">
        <v>26</v>
      </c>
      <c r="C36" s="561"/>
      <c r="D36" s="568">
        <v>6393.7781712072001</v>
      </c>
      <c r="E36" s="559"/>
      <c r="F36" s="574">
        <v>6840.8586414007004</v>
      </c>
      <c r="G36" s="559"/>
      <c r="H36" s="568">
        <v>141974462.27065799</v>
      </c>
      <c r="I36" s="559"/>
      <c r="J36" s="568">
        <v>19881.0635067597</v>
      </c>
      <c r="K36" s="558"/>
      <c r="L36" s="558"/>
    </row>
    <row r="37" spans="2:12" s="560" customFormat="1" ht="12.75" customHeight="1" x14ac:dyDescent="0.2">
      <c r="B37" s="95" t="s">
        <v>27</v>
      </c>
      <c r="C37" s="561"/>
      <c r="D37" s="568">
        <v>9673.4074978371009</v>
      </c>
      <c r="E37" s="559"/>
      <c r="F37" s="574">
        <v>10369.006990464601</v>
      </c>
      <c r="G37" s="559"/>
      <c r="H37" s="568">
        <v>0</v>
      </c>
      <c r="I37" s="559"/>
      <c r="J37" s="568">
        <v>0</v>
      </c>
      <c r="K37" s="558"/>
      <c r="L37" s="558"/>
    </row>
    <row r="38" spans="2:12" s="560" customFormat="1" ht="12.75" customHeight="1" x14ac:dyDescent="0.2">
      <c r="B38" s="95" t="s">
        <v>28</v>
      </c>
      <c r="C38" s="561"/>
      <c r="D38" s="568">
        <v>39254.4370438611</v>
      </c>
      <c r="E38" s="559"/>
      <c r="F38" s="574">
        <v>42335.5671240304</v>
      </c>
      <c r="G38" s="559"/>
      <c r="H38" s="568">
        <v>102773954.525223</v>
      </c>
      <c r="I38" s="559"/>
      <c r="J38" s="568">
        <v>3171.6171907506</v>
      </c>
      <c r="K38" s="558"/>
      <c r="L38" s="558"/>
    </row>
    <row r="39" spans="2:12" s="560" customFormat="1" ht="12.75" customHeight="1" x14ac:dyDescent="0.2">
      <c r="B39" s="95" t="s">
        <v>29</v>
      </c>
      <c r="C39" s="561"/>
      <c r="D39" s="568">
        <v>13247.7268729757</v>
      </c>
      <c r="E39" s="559"/>
      <c r="F39" s="574">
        <v>14664.635763443601</v>
      </c>
      <c r="G39" s="559"/>
      <c r="H39" s="568">
        <v>302518746.572456</v>
      </c>
      <c r="I39" s="559"/>
      <c r="J39" s="568">
        <v>20315.8377637915</v>
      </c>
      <c r="K39" s="558"/>
      <c r="L39" s="558"/>
    </row>
    <row r="40" spans="2:12" s="560" customFormat="1" ht="12.75" customHeight="1" x14ac:dyDescent="0.2">
      <c r="B40" s="95" t="s">
        <v>30</v>
      </c>
      <c r="C40" s="561"/>
      <c r="D40" s="568">
        <v>15403.742467882101</v>
      </c>
      <c r="E40" s="559"/>
      <c r="F40" s="574">
        <v>16345.8080534278</v>
      </c>
      <c r="G40" s="559"/>
      <c r="H40" s="568">
        <v>284913998.23343402</v>
      </c>
      <c r="I40" s="559"/>
      <c r="J40" s="568">
        <v>18683.7113533683</v>
      </c>
      <c r="K40" s="558"/>
      <c r="L40" s="558"/>
    </row>
    <row r="41" spans="2:12" s="560" customFormat="1" ht="12.75" customHeight="1" x14ac:dyDescent="0.2">
      <c r="B41" s="95" t="s">
        <v>31</v>
      </c>
      <c r="C41" s="561"/>
      <c r="D41" s="568">
        <v>1350.8100982021001</v>
      </c>
      <c r="E41" s="559"/>
      <c r="F41" s="574">
        <v>1559.5804755680999</v>
      </c>
      <c r="G41" s="559"/>
      <c r="H41" s="568">
        <v>22159430.031971801</v>
      </c>
      <c r="I41" s="559"/>
      <c r="J41" s="568">
        <v>13117.725470748001</v>
      </c>
      <c r="K41" s="558"/>
      <c r="L41" s="558"/>
    </row>
    <row r="42" spans="2:12" s="560" customFormat="1" ht="12.75" customHeight="1" x14ac:dyDescent="0.2">
      <c r="B42" s="95" t="s">
        <v>32</v>
      </c>
      <c r="C42" s="561"/>
      <c r="D42" s="568">
        <v>18329.601485411498</v>
      </c>
      <c r="E42" s="559"/>
      <c r="F42" s="574">
        <v>19681.883380605101</v>
      </c>
      <c r="G42" s="559"/>
      <c r="H42" s="568">
        <v>117698510.82732999</v>
      </c>
      <c r="I42" s="559"/>
      <c r="J42" s="568">
        <v>6217.4135202128</v>
      </c>
      <c r="K42" s="558"/>
      <c r="L42" s="558"/>
    </row>
    <row r="43" spans="2:12" s="560" customFormat="1" ht="12.75" customHeight="1" x14ac:dyDescent="0.2">
      <c r="B43" s="95" t="s">
        <v>33</v>
      </c>
      <c r="C43" s="561"/>
      <c r="D43" s="568">
        <v>16429.703351030901</v>
      </c>
      <c r="E43" s="559"/>
      <c r="F43" s="574">
        <v>18780.505091631901</v>
      </c>
      <c r="G43" s="559"/>
      <c r="H43" s="568">
        <v>132838530.92484599</v>
      </c>
      <c r="I43" s="559"/>
      <c r="J43" s="568">
        <v>6832.9017484877004</v>
      </c>
      <c r="K43" s="558"/>
      <c r="L43" s="558"/>
    </row>
    <row r="44" spans="2:12" s="560" customFormat="1" ht="12.75" customHeight="1" x14ac:dyDescent="0.2">
      <c r="B44" s="95" t="s">
        <v>34</v>
      </c>
      <c r="C44" s="561"/>
      <c r="D44" s="568">
        <v>7463.1758478188003</v>
      </c>
      <c r="E44" s="559"/>
      <c r="F44" s="574">
        <v>8219.6136627848009</v>
      </c>
      <c r="G44" s="559"/>
      <c r="H44" s="568">
        <v>166877979.74832499</v>
      </c>
      <c r="I44" s="559"/>
      <c r="J44" s="568">
        <v>18328.1001017546</v>
      </c>
      <c r="K44" s="558"/>
      <c r="L44" s="558"/>
    </row>
    <row r="45" spans="2:12" ht="6" customHeight="1" x14ac:dyDescent="0.25">
      <c r="B45" s="562"/>
      <c r="C45" s="563"/>
      <c r="D45" s="564"/>
      <c r="E45" s="564"/>
      <c r="F45" s="564"/>
      <c r="G45" s="564"/>
      <c r="H45" s="565"/>
      <c r="I45" s="564"/>
      <c r="J45" s="564"/>
      <c r="K45" s="546"/>
      <c r="L45" s="546"/>
    </row>
    <row r="46" spans="2:12" ht="6" customHeight="1" x14ac:dyDescent="0.25">
      <c r="B46" s="228"/>
      <c r="C46" s="545"/>
      <c r="D46" s="545"/>
      <c r="E46" s="545"/>
      <c r="F46" s="545"/>
      <c r="G46" s="545"/>
      <c r="H46" s="566"/>
      <c r="I46" s="546"/>
      <c r="J46" s="546"/>
      <c r="K46" s="546"/>
      <c r="L46" s="546"/>
    </row>
    <row r="47" spans="2:12" ht="15" customHeight="1" x14ac:dyDescent="0.25">
      <c r="B47" s="273" t="s">
        <v>132</v>
      </c>
      <c r="C47" s="545"/>
      <c r="D47" s="545"/>
      <c r="E47" s="545"/>
      <c r="F47" s="545"/>
      <c r="G47" s="545"/>
      <c r="H47" s="566"/>
      <c r="I47" s="546"/>
      <c r="J47" s="546"/>
      <c r="K47" s="546"/>
      <c r="L47" s="546"/>
    </row>
    <row r="48" spans="2:12" s="13" customFormat="1" ht="14.25" x14ac:dyDescent="0.2">
      <c r="B48" s="146" t="s">
        <v>181</v>
      </c>
      <c r="C48" s="147"/>
      <c r="D48" s="147"/>
      <c r="E48" s="147"/>
      <c r="F48" s="147"/>
      <c r="G48" s="147"/>
      <c r="H48" s="147"/>
      <c r="I48" s="147"/>
      <c r="J48" s="147"/>
      <c r="K48" s="147"/>
      <c r="L48" s="147"/>
    </row>
    <row r="49" spans="2:12" x14ac:dyDescent="0.25">
      <c r="B49" s="546"/>
      <c r="C49" s="545"/>
      <c r="D49" s="545"/>
      <c r="E49" s="545"/>
      <c r="F49" s="545"/>
      <c r="G49" s="545"/>
      <c r="H49" s="546"/>
      <c r="I49" s="546"/>
      <c r="J49" s="546"/>
      <c r="K49" s="546"/>
      <c r="L49" s="546"/>
    </row>
    <row r="50" spans="2:12" x14ac:dyDescent="0.25">
      <c r="B50" s="546"/>
      <c r="C50" s="545"/>
      <c r="D50" s="545"/>
      <c r="E50" s="545"/>
      <c r="F50" s="545"/>
      <c r="G50" s="545"/>
      <c r="H50" s="546"/>
      <c r="I50" s="546"/>
      <c r="J50" s="546"/>
      <c r="K50" s="546"/>
      <c r="L50" s="546"/>
    </row>
    <row r="51" spans="2:12" x14ac:dyDescent="0.25">
      <c r="B51" s="546"/>
      <c r="C51" s="545"/>
      <c r="D51" s="545"/>
      <c r="E51" s="545"/>
      <c r="F51" s="545"/>
      <c r="G51" s="545"/>
      <c r="H51" s="546"/>
      <c r="I51" s="546"/>
      <c r="J51" s="546"/>
      <c r="K51" s="546"/>
      <c r="L51" s="546"/>
    </row>
    <row r="52" spans="2:12" x14ac:dyDescent="0.25">
      <c r="B52" s="546"/>
      <c r="C52" s="545"/>
      <c r="D52" s="545"/>
      <c r="E52" s="545"/>
      <c r="F52" s="545"/>
      <c r="G52" s="545"/>
      <c r="H52" s="546"/>
      <c r="I52" s="546"/>
      <c r="J52" s="546"/>
      <c r="K52" s="546"/>
      <c r="L52" s="546"/>
    </row>
  </sheetData>
  <mergeCells count="6">
    <mergeCell ref="J7:J9"/>
    <mergeCell ref="B5:H5"/>
    <mergeCell ref="B7:C9"/>
    <mergeCell ref="D7:D9"/>
    <mergeCell ref="F7:F9"/>
    <mergeCell ref="H7:H9"/>
  </mergeCells>
  <hyperlinks>
    <hyperlink ref="J1" location="Índice!A1" tooltip="Ir a ÍNDICE" display="INDICE" xr:uid="{B63CD8A2-AA87-4587-A7D5-6847D5CB7FED}"/>
  </hyperlinks>
  <pageMargins left="0.70866141732283472" right="0.70866141732283472" top="0.74803149606299213" bottom="0.74803149606299213" header="0.31496062992125984" footer="0.31496062992125984"/>
  <pageSetup orientation="portrait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B61AA-FB95-4773-9774-297749EF8AA6}">
  <dimension ref="B1:S48"/>
  <sheetViews>
    <sheetView showGridLines="0" zoomScaleNormal="100" workbookViewId="0"/>
  </sheetViews>
  <sheetFormatPr baseColWidth="10" defaultColWidth="11.42578125" defaultRowHeight="15" x14ac:dyDescent="0.25"/>
  <cols>
    <col min="1" max="1" width="1.7109375" style="582" customWidth="1"/>
    <col min="2" max="2" width="24.28515625" style="582" customWidth="1"/>
    <col min="3" max="3" width="0.85546875" style="602" customWidth="1"/>
    <col min="4" max="4" width="20.7109375" style="602" customWidth="1"/>
    <col min="5" max="5" width="0.85546875" style="602" customWidth="1"/>
    <col min="6" max="6" width="25.7109375" style="602" customWidth="1"/>
    <col min="7" max="7" width="2.5703125" style="602" customWidth="1"/>
    <col min="8" max="8" width="21.85546875" style="582" customWidth="1"/>
    <col min="9" max="9" width="1.7109375" style="582" customWidth="1"/>
    <col min="10" max="10" width="21.7109375" style="582" customWidth="1"/>
    <col min="11" max="16384" width="11.42578125" style="582"/>
  </cols>
  <sheetData>
    <row r="1" spans="2:19" s="577" customFormat="1" ht="12" customHeight="1" x14ac:dyDescent="0.2">
      <c r="B1" s="640" t="s">
        <v>202</v>
      </c>
      <c r="J1" s="72" t="s">
        <v>151</v>
      </c>
    </row>
    <row r="2" spans="2:19" s="577" customFormat="1" ht="6.95" customHeight="1" x14ac:dyDescent="0.2">
      <c r="B2" s="640"/>
    </row>
    <row r="3" spans="2:19" s="577" customFormat="1" ht="15" customHeight="1" x14ac:dyDescent="0.2">
      <c r="B3" s="640" t="s">
        <v>199</v>
      </c>
      <c r="C3" s="576"/>
      <c r="D3" s="576"/>
      <c r="E3" s="576"/>
      <c r="F3" s="576"/>
      <c r="G3" s="576"/>
      <c r="H3" s="576"/>
      <c r="I3" s="576"/>
      <c r="J3" s="576"/>
      <c r="K3" s="576"/>
      <c r="L3" s="576"/>
      <c r="M3" s="576"/>
      <c r="N3" s="576"/>
      <c r="O3" s="576"/>
      <c r="P3" s="576"/>
      <c r="Q3" s="576"/>
      <c r="R3" s="576"/>
      <c r="S3" s="576"/>
    </row>
    <row r="4" spans="2:19" s="577" customFormat="1" ht="6.95" customHeight="1" x14ac:dyDescent="0.2">
      <c r="C4" s="578"/>
      <c r="D4" s="578"/>
      <c r="E4" s="578"/>
      <c r="F4" s="578"/>
      <c r="G4" s="578"/>
    </row>
    <row r="5" spans="2:19" s="577" customFormat="1" ht="39" customHeight="1" x14ac:dyDescent="0.2">
      <c r="B5" s="733" t="s">
        <v>171</v>
      </c>
      <c r="C5" s="733"/>
      <c r="D5" s="733"/>
      <c r="E5" s="733"/>
      <c r="F5" s="733"/>
      <c r="G5" s="733"/>
      <c r="H5" s="733"/>
      <c r="I5" s="733"/>
      <c r="J5" s="71" t="s">
        <v>119</v>
      </c>
    </row>
    <row r="6" spans="2:19" ht="6" customHeight="1" x14ac:dyDescent="0.25">
      <c r="B6" s="579"/>
      <c r="C6" s="580"/>
      <c r="D6" s="580"/>
      <c r="E6" s="580"/>
      <c r="F6" s="580"/>
      <c r="G6" s="580"/>
      <c r="H6" s="581"/>
      <c r="I6" s="581"/>
      <c r="J6" s="581"/>
    </row>
    <row r="7" spans="2:19" ht="24" customHeight="1" x14ac:dyDescent="0.25">
      <c r="B7" s="682" t="s">
        <v>76</v>
      </c>
      <c r="C7" s="682"/>
      <c r="D7" s="730" t="s">
        <v>133</v>
      </c>
      <c r="E7" s="570"/>
      <c r="F7" s="730" t="s">
        <v>92</v>
      </c>
      <c r="G7" s="583"/>
      <c r="H7" s="730" t="s">
        <v>184</v>
      </c>
      <c r="I7" s="584"/>
      <c r="J7" s="730" t="s">
        <v>185</v>
      </c>
    </row>
    <row r="8" spans="2:19" ht="42" customHeight="1" x14ac:dyDescent="0.25">
      <c r="B8" s="683"/>
      <c r="C8" s="683"/>
      <c r="D8" s="731"/>
      <c r="E8" s="571"/>
      <c r="F8" s="731"/>
      <c r="G8" s="585"/>
      <c r="H8" s="731"/>
      <c r="I8" s="581"/>
      <c r="J8" s="731"/>
    </row>
    <row r="9" spans="2:19" ht="25.5" customHeight="1" x14ac:dyDescent="0.25">
      <c r="B9" s="684"/>
      <c r="C9" s="684"/>
      <c r="D9" s="732"/>
      <c r="E9" s="572"/>
      <c r="F9" s="732"/>
      <c r="G9" s="586"/>
      <c r="H9" s="732"/>
      <c r="I9" s="579"/>
      <c r="J9" s="732"/>
    </row>
    <row r="10" spans="2:19" ht="6" customHeight="1" x14ac:dyDescent="0.25">
      <c r="B10" s="31"/>
      <c r="C10" s="587"/>
      <c r="D10" s="588"/>
      <c r="E10" s="588"/>
      <c r="F10" s="588"/>
      <c r="G10" s="588"/>
      <c r="H10" s="589"/>
      <c r="I10" s="589"/>
      <c r="J10" s="589"/>
    </row>
    <row r="11" spans="2:19" s="592" customFormat="1" ht="11.25" x14ac:dyDescent="0.2">
      <c r="B11" s="94" t="s">
        <v>2</v>
      </c>
      <c r="C11" s="590"/>
      <c r="D11" s="604">
        <v>427229.61727956199</v>
      </c>
      <c r="E11" s="591"/>
      <c r="F11" s="607">
        <v>454018.35588206101</v>
      </c>
      <c r="G11" s="591"/>
      <c r="H11" s="604">
        <v>11963709142.4877</v>
      </c>
      <c r="I11" s="591"/>
      <c r="J11" s="604">
        <v>26390.130106855799</v>
      </c>
    </row>
    <row r="12" spans="2:19" s="595" customFormat="1" ht="6" customHeight="1" x14ac:dyDescent="0.2">
      <c r="B12" s="94"/>
      <c r="C12" s="593"/>
      <c r="D12" s="594"/>
      <c r="E12" s="594"/>
      <c r="F12" s="605"/>
      <c r="G12" s="594"/>
      <c r="H12" s="594"/>
      <c r="I12" s="594"/>
      <c r="J12" s="594"/>
    </row>
    <row r="13" spans="2:19" s="595" customFormat="1" ht="12.75" customHeight="1" x14ac:dyDescent="0.2">
      <c r="B13" s="95" t="s">
        <v>3</v>
      </c>
      <c r="C13" s="596"/>
      <c r="D13" s="603">
        <v>3893.2415017115</v>
      </c>
      <c r="E13" s="594"/>
      <c r="F13" s="606">
        <v>4493.4266492002998</v>
      </c>
      <c r="G13" s="594"/>
      <c r="H13" s="603">
        <v>55588148.897493899</v>
      </c>
      <c r="I13" s="594"/>
      <c r="J13" s="603">
        <v>11556.0157062619</v>
      </c>
    </row>
    <row r="14" spans="2:19" s="595" customFormat="1" ht="12.75" customHeight="1" x14ac:dyDescent="0.2">
      <c r="B14" s="95" t="s">
        <v>4</v>
      </c>
      <c r="C14" s="596"/>
      <c r="D14" s="603">
        <v>13096.541043098199</v>
      </c>
      <c r="E14" s="594"/>
      <c r="F14" s="606">
        <v>15295.100915864899</v>
      </c>
      <c r="G14" s="594"/>
      <c r="H14" s="603">
        <v>231890162.22325</v>
      </c>
      <c r="I14" s="594"/>
      <c r="J14" s="603">
        <v>14154.751630803699</v>
      </c>
    </row>
    <row r="15" spans="2:19" s="595" customFormat="1" ht="12.75" customHeight="1" x14ac:dyDescent="0.2">
      <c r="B15" s="95" t="s">
        <v>5</v>
      </c>
      <c r="C15" s="596"/>
      <c r="D15" s="603">
        <v>2790.7637308382</v>
      </c>
      <c r="E15" s="594"/>
      <c r="F15" s="606">
        <v>2896.9692683254998</v>
      </c>
      <c r="G15" s="594"/>
      <c r="H15" s="603">
        <v>27840503.371283501</v>
      </c>
      <c r="I15" s="594"/>
      <c r="J15" s="603">
        <v>10716.6123904371</v>
      </c>
    </row>
    <row r="16" spans="2:19" s="595" customFormat="1" ht="12.75" customHeight="1" x14ac:dyDescent="0.2">
      <c r="B16" s="95" t="s">
        <v>6</v>
      </c>
      <c r="C16" s="596"/>
      <c r="D16" s="603">
        <v>2819.4891834905002</v>
      </c>
      <c r="E16" s="594"/>
      <c r="F16" s="606">
        <v>3111.4254493027001</v>
      </c>
      <c r="G16" s="594"/>
      <c r="H16" s="603">
        <v>17705651.433972601</v>
      </c>
      <c r="I16" s="594"/>
      <c r="J16" s="603">
        <v>5179.5875591555996</v>
      </c>
    </row>
    <row r="17" spans="2:10" s="595" customFormat="1" ht="12.75" customHeight="1" x14ac:dyDescent="0.2">
      <c r="B17" s="95" t="s">
        <v>7</v>
      </c>
      <c r="C17" s="596"/>
      <c r="D17" s="603">
        <v>4614.1054671528</v>
      </c>
      <c r="E17" s="594"/>
      <c r="F17" s="606">
        <v>4893.8571244430004</v>
      </c>
      <c r="G17" s="594"/>
      <c r="H17" s="603">
        <v>68756897.821164399</v>
      </c>
      <c r="I17" s="594"/>
      <c r="J17" s="603">
        <v>23009.282577253201</v>
      </c>
    </row>
    <row r="18" spans="2:10" s="595" customFormat="1" ht="12.75" customHeight="1" x14ac:dyDescent="0.2">
      <c r="B18" s="95" t="s">
        <v>8</v>
      </c>
      <c r="C18" s="596"/>
      <c r="D18" s="603">
        <v>4260.0781762738998</v>
      </c>
      <c r="E18" s="594"/>
      <c r="F18" s="606">
        <v>4669.7677526804</v>
      </c>
      <c r="G18" s="594"/>
      <c r="H18" s="603">
        <v>35652502.784639098</v>
      </c>
      <c r="I18" s="594"/>
      <c r="J18" s="603">
        <v>6235.7462594002</v>
      </c>
    </row>
    <row r="19" spans="2:10" s="595" customFormat="1" ht="12.75" customHeight="1" x14ac:dyDescent="0.2">
      <c r="B19" s="95" t="s">
        <v>9</v>
      </c>
      <c r="C19" s="596"/>
      <c r="D19" s="603">
        <v>4995.0926469213</v>
      </c>
      <c r="E19" s="594"/>
      <c r="F19" s="606">
        <v>5245.0444772144001</v>
      </c>
      <c r="G19" s="594"/>
      <c r="H19" s="603">
        <v>42189518.876230501</v>
      </c>
      <c r="I19" s="594"/>
      <c r="J19" s="603">
        <v>8393.0404253816996</v>
      </c>
    </row>
    <row r="20" spans="2:10" s="595" customFormat="1" ht="12.75" customHeight="1" x14ac:dyDescent="0.2">
      <c r="B20" s="95" t="s">
        <v>10</v>
      </c>
      <c r="C20" s="596"/>
      <c r="D20" s="603">
        <v>13164.825629597</v>
      </c>
      <c r="E20" s="594"/>
      <c r="F20" s="606">
        <v>13926.137662819199</v>
      </c>
      <c r="G20" s="594"/>
      <c r="H20" s="603">
        <v>177721010.319179</v>
      </c>
      <c r="I20" s="594"/>
      <c r="J20" s="603">
        <v>10877.631111840001</v>
      </c>
    </row>
    <row r="21" spans="2:10" s="595" customFormat="1" ht="12.75" customHeight="1" x14ac:dyDescent="0.2">
      <c r="B21" s="95" t="s">
        <v>11</v>
      </c>
      <c r="C21" s="596"/>
      <c r="D21" s="603">
        <v>20678.0903835178</v>
      </c>
      <c r="E21" s="594"/>
      <c r="F21" s="606">
        <v>22478.4118985471</v>
      </c>
      <c r="G21" s="594"/>
      <c r="H21" s="603">
        <v>76658980.224508002</v>
      </c>
      <c r="I21" s="594"/>
      <c r="J21" s="603">
        <v>4343.4426973250002</v>
      </c>
    </row>
    <row r="22" spans="2:10" s="595" customFormat="1" ht="12.75" customHeight="1" x14ac:dyDescent="0.2">
      <c r="B22" s="95" t="s">
        <v>12</v>
      </c>
      <c r="C22" s="596"/>
      <c r="D22" s="603">
        <v>6801.8529417283999</v>
      </c>
      <c r="E22" s="594"/>
      <c r="F22" s="606">
        <v>7785.8359906083997</v>
      </c>
      <c r="G22" s="594"/>
      <c r="H22" s="603">
        <v>106472499.76124001</v>
      </c>
      <c r="I22" s="594"/>
      <c r="J22" s="603">
        <v>13248.9572130338</v>
      </c>
    </row>
    <row r="23" spans="2:10" s="595" customFormat="1" ht="12.75" customHeight="1" x14ac:dyDescent="0.2">
      <c r="B23" s="95" t="s">
        <v>13</v>
      </c>
      <c r="C23" s="596"/>
      <c r="D23" s="603">
        <v>11564.8504186421</v>
      </c>
      <c r="E23" s="594"/>
      <c r="F23" s="606">
        <v>14117.8169147688</v>
      </c>
      <c r="G23" s="594"/>
      <c r="H23" s="603">
        <v>75738715.278664395</v>
      </c>
      <c r="I23" s="594"/>
      <c r="J23" s="603">
        <v>4879.0658907876004</v>
      </c>
    </row>
    <row r="24" spans="2:10" s="595" customFormat="1" ht="12.75" customHeight="1" x14ac:dyDescent="0.2">
      <c r="B24" s="95" t="s">
        <v>14</v>
      </c>
      <c r="C24" s="596"/>
      <c r="D24" s="603">
        <v>7618.2946696266999</v>
      </c>
      <c r="E24" s="594"/>
      <c r="F24" s="606">
        <v>9024.3864179259999</v>
      </c>
      <c r="G24" s="594"/>
      <c r="H24" s="603">
        <v>92196047.189597607</v>
      </c>
      <c r="I24" s="594"/>
      <c r="J24" s="603">
        <v>10265.8139641666</v>
      </c>
    </row>
    <row r="25" spans="2:10" s="595" customFormat="1" ht="12.75" customHeight="1" x14ac:dyDescent="0.2">
      <c r="B25" s="95" t="s">
        <v>15</v>
      </c>
      <c r="C25" s="596"/>
      <c r="D25" s="603">
        <v>3267.5185505062</v>
      </c>
      <c r="E25" s="594"/>
      <c r="F25" s="606">
        <v>3476.6825578995999</v>
      </c>
      <c r="G25" s="594"/>
      <c r="H25" s="603">
        <v>6162197.1795543404</v>
      </c>
      <c r="I25" s="594"/>
      <c r="J25" s="603">
        <v>5558.6582670775997</v>
      </c>
    </row>
    <row r="26" spans="2:10" s="595" customFormat="1" ht="12.75" customHeight="1" x14ac:dyDescent="0.2">
      <c r="B26" s="95" t="s">
        <v>16</v>
      </c>
      <c r="C26" s="596"/>
      <c r="D26" s="603">
        <v>34419.432866379197</v>
      </c>
      <c r="E26" s="594"/>
      <c r="F26" s="606">
        <v>38486.894431629102</v>
      </c>
      <c r="G26" s="594"/>
      <c r="H26" s="603">
        <v>432904669.20348901</v>
      </c>
      <c r="I26" s="594"/>
      <c r="J26" s="603">
        <v>13078.7411840064</v>
      </c>
    </row>
    <row r="27" spans="2:10" s="595" customFormat="1" ht="12.75" customHeight="1" x14ac:dyDescent="0.2">
      <c r="B27" s="95" t="s">
        <v>17</v>
      </c>
      <c r="C27" s="596"/>
      <c r="D27" s="603">
        <v>18223.289394683699</v>
      </c>
      <c r="E27" s="594"/>
      <c r="F27" s="606">
        <v>18329.531976320101</v>
      </c>
      <c r="G27" s="594"/>
      <c r="H27" s="603">
        <v>376874537.124358</v>
      </c>
      <c r="I27" s="594"/>
      <c r="J27" s="603">
        <v>12514.9286254664</v>
      </c>
    </row>
    <row r="28" spans="2:10" s="595" customFormat="1" ht="12.75" customHeight="1" x14ac:dyDescent="0.2">
      <c r="B28" s="95" t="s">
        <v>18</v>
      </c>
      <c r="C28" s="596"/>
      <c r="D28" s="603">
        <v>9091.5224958991002</v>
      </c>
      <c r="E28" s="594"/>
      <c r="F28" s="606">
        <v>9958.9264524090995</v>
      </c>
      <c r="G28" s="594"/>
      <c r="H28" s="603">
        <v>178125996.77607101</v>
      </c>
      <c r="I28" s="594"/>
      <c r="J28" s="603">
        <v>14811.650524917801</v>
      </c>
    </row>
    <row r="29" spans="2:10" s="595" customFormat="1" ht="12.75" customHeight="1" x14ac:dyDescent="0.2">
      <c r="B29" s="95" t="s">
        <v>19</v>
      </c>
      <c r="C29" s="596"/>
      <c r="D29" s="603">
        <v>2676.9963036251002</v>
      </c>
      <c r="E29" s="594"/>
      <c r="F29" s="606">
        <v>2806.4004025368999</v>
      </c>
      <c r="G29" s="594"/>
      <c r="H29" s="603">
        <v>21514140.720607001</v>
      </c>
      <c r="I29" s="594"/>
      <c r="J29" s="603">
        <v>6078.3253165474998</v>
      </c>
    </row>
    <row r="30" spans="2:10" s="595" customFormat="1" ht="12.75" customHeight="1" x14ac:dyDescent="0.2">
      <c r="B30" s="95" t="s">
        <v>20</v>
      </c>
      <c r="C30" s="596"/>
      <c r="D30" s="603">
        <v>6922.1360266089996</v>
      </c>
      <c r="E30" s="594"/>
      <c r="F30" s="606">
        <v>7762.1968449300002</v>
      </c>
      <c r="G30" s="594"/>
      <c r="H30" s="603">
        <v>0</v>
      </c>
      <c r="I30" s="594"/>
      <c r="J30" s="603">
        <v>1086.3295792869001</v>
      </c>
    </row>
    <row r="31" spans="2:10" s="595" customFormat="1" ht="12.75" customHeight="1" x14ac:dyDescent="0.2">
      <c r="B31" s="95" t="s">
        <v>21</v>
      </c>
      <c r="C31" s="596"/>
      <c r="D31" s="603">
        <v>8569.3914227881996</v>
      </c>
      <c r="E31" s="594"/>
      <c r="F31" s="606">
        <v>9909.3691483562998</v>
      </c>
      <c r="G31" s="594"/>
      <c r="H31" s="603">
        <v>145874095.36981699</v>
      </c>
      <c r="I31" s="594"/>
      <c r="J31" s="603">
        <v>12908.734666197301</v>
      </c>
    </row>
    <row r="32" spans="2:10" s="595" customFormat="1" ht="12.75" customHeight="1" x14ac:dyDescent="0.2">
      <c r="B32" s="95" t="s">
        <v>22</v>
      </c>
      <c r="C32" s="596"/>
      <c r="D32" s="603">
        <v>6956.2387590364997</v>
      </c>
      <c r="E32" s="594"/>
      <c r="F32" s="606">
        <v>7510.1111728510996</v>
      </c>
      <c r="G32" s="594"/>
      <c r="H32" s="603">
        <v>52821136.8778124</v>
      </c>
      <c r="I32" s="594"/>
      <c r="J32" s="603">
        <v>9628.7252895720994</v>
      </c>
    </row>
    <row r="33" spans="2:10" s="595" customFormat="1" ht="12.75" customHeight="1" x14ac:dyDescent="0.2">
      <c r="B33" s="95" t="s">
        <v>23</v>
      </c>
      <c r="C33" s="596"/>
      <c r="D33" s="603">
        <v>6611.6565372497998</v>
      </c>
      <c r="E33" s="594"/>
      <c r="F33" s="606">
        <v>6817.4376806502996</v>
      </c>
      <c r="G33" s="594"/>
      <c r="H33" s="603">
        <v>18011405.953238599</v>
      </c>
      <c r="I33" s="594"/>
      <c r="J33" s="603">
        <v>12010.0445069829</v>
      </c>
    </row>
    <row r="34" spans="2:10" s="595" customFormat="1" ht="12.75" customHeight="1" x14ac:dyDescent="0.2">
      <c r="B34" s="95" t="s">
        <v>24</v>
      </c>
      <c r="C34" s="596"/>
      <c r="D34" s="603">
        <v>6848.7827057655004</v>
      </c>
      <c r="E34" s="594"/>
      <c r="F34" s="606">
        <v>7402.3139438072003</v>
      </c>
      <c r="G34" s="594"/>
      <c r="H34" s="603">
        <v>105123606.881093</v>
      </c>
      <c r="I34" s="594"/>
      <c r="J34" s="603">
        <v>21904.942718065198</v>
      </c>
    </row>
    <row r="35" spans="2:10" s="595" customFormat="1" ht="12.75" customHeight="1" x14ac:dyDescent="0.2">
      <c r="B35" s="95" t="s">
        <v>25</v>
      </c>
      <c r="C35" s="596"/>
      <c r="D35" s="603">
        <v>7817.6750155292002</v>
      </c>
      <c r="E35" s="594"/>
      <c r="F35" s="606">
        <v>8417.8697793602005</v>
      </c>
      <c r="G35" s="594"/>
      <c r="H35" s="603">
        <v>62951684.691855296</v>
      </c>
      <c r="I35" s="594"/>
      <c r="J35" s="603">
        <v>6651.0648184457996</v>
      </c>
    </row>
    <row r="36" spans="2:10" s="595" customFormat="1" ht="12.75" customHeight="1" x14ac:dyDescent="0.2">
      <c r="B36" s="95" t="s">
        <v>26</v>
      </c>
      <c r="C36" s="596"/>
      <c r="D36" s="603">
        <v>7618.7729023218999</v>
      </c>
      <c r="E36" s="594"/>
      <c r="F36" s="606">
        <v>8521.4535331289007</v>
      </c>
      <c r="G36" s="594"/>
      <c r="H36" s="603">
        <v>108754341.64967901</v>
      </c>
      <c r="I36" s="594"/>
      <c r="J36" s="603">
        <v>12540.994592508699</v>
      </c>
    </row>
    <row r="37" spans="2:10" s="595" customFormat="1" ht="12.75" customHeight="1" x14ac:dyDescent="0.2">
      <c r="B37" s="95" t="s">
        <v>27</v>
      </c>
      <c r="C37" s="596"/>
      <c r="D37" s="603">
        <v>6323.1585196806</v>
      </c>
      <c r="E37" s="594"/>
      <c r="F37" s="606">
        <v>6744.9837310420999</v>
      </c>
      <c r="G37" s="594"/>
      <c r="H37" s="603">
        <v>0</v>
      </c>
      <c r="I37" s="594"/>
      <c r="J37" s="603">
        <v>0</v>
      </c>
    </row>
    <row r="38" spans="2:10" s="595" customFormat="1" ht="12.75" customHeight="1" x14ac:dyDescent="0.2">
      <c r="B38" s="95" t="s">
        <v>28</v>
      </c>
      <c r="C38" s="596"/>
      <c r="D38" s="603">
        <v>26492.049541488799</v>
      </c>
      <c r="E38" s="594"/>
      <c r="F38" s="606">
        <v>28421.678361222199</v>
      </c>
      <c r="G38" s="594"/>
      <c r="H38" s="603">
        <v>238995860.601201</v>
      </c>
      <c r="I38" s="594"/>
      <c r="J38" s="603">
        <v>7737.6905815728996</v>
      </c>
    </row>
    <row r="39" spans="2:10" s="595" customFormat="1" ht="12.75" customHeight="1" x14ac:dyDescent="0.2">
      <c r="B39" s="95" t="s">
        <v>29</v>
      </c>
      <c r="C39" s="596"/>
      <c r="D39" s="603">
        <v>6483.8671633046997</v>
      </c>
      <c r="E39" s="594"/>
      <c r="F39" s="606">
        <v>6809.0806300220002</v>
      </c>
      <c r="G39" s="594"/>
      <c r="H39" s="603">
        <v>45448099.142632797</v>
      </c>
      <c r="I39" s="594"/>
      <c r="J39" s="603">
        <v>5601.0197556968997</v>
      </c>
    </row>
    <row r="40" spans="2:10" s="595" customFormat="1" ht="12.75" customHeight="1" x14ac:dyDescent="0.2">
      <c r="B40" s="95" t="s">
        <v>30</v>
      </c>
      <c r="C40" s="596"/>
      <c r="D40" s="603">
        <v>8093.0631542930996</v>
      </c>
      <c r="E40" s="594"/>
      <c r="F40" s="606">
        <v>8850.9076615689992</v>
      </c>
      <c r="G40" s="594"/>
      <c r="H40" s="603">
        <v>78917737.852871999</v>
      </c>
      <c r="I40" s="594"/>
      <c r="J40" s="603">
        <v>7434.5951912268001</v>
      </c>
    </row>
    <row r="41" spans="2:10" s="595" customFormat="1" ht="12.75" customHeight="1" x14ac:dyDescent="0.2">
      <c r="B41" s="95" t="s">
        <v>31</v>
      </c>
      <c r="C41" s="596"/>
      <c r="D41" s="603">
        <v>1196.2814166406999</v>
      </c>
      <c r="E41" s="594"/>
      <c r="F41" s="606">
        <v>1256.8031050986999</v>
      </c>
      <c r="G41" s="594"/>
      <c r="H41" s="603">
        <v>4993531.1264302302</v>
      </c>
      <c r="I41" s="594"/>
      <c r="J41" s="603">
        <v>4712.9446687738</v>
      </c>
    </row>
    <row r="42" spans="2:10" s="595" customFormat="1" ht="12.75" customHeight="1" x14ac:dyDescent="0.2">
      <c r="B42" s="95" t="s">
        <v>32</v>
      </c>
      <c r="C42" s="596"/>
      <c r="D42" s="603">
        <v>16012.743307111699</v>
      </c>
      <c r="E42" s="594"/>
      <c r="F42" s="606">
        <v>16845.252290441302</v>
      </c>
      <c r="G42" s="594"/>
      <c r="H42" s="603">
        <v>19981708.1632232</v>
      </c>
      <c r="I42" s="594"/>
      <c r="J42" s="603">
        <v>2272.1523557122</v>
      </c>
    </row>
    <row r="43" spans="2:10" s="595" customFormat="1" ht="12.75" customHeight="1" x14ac:dyDescent="0.2">
      <c r="B43" s="95" t="s">
        <v>33</v>
      </c>
      <c r="C43" s="596"/>
      <c r="D43" s="603">
        <v>15252.7850305633</v>
      </c>
      <c r="E43" s="594"/>
      <c r="F43" s="606">
        <v>16528.315083494799</v>
      </c>
      <c r="G43" s="594"/>
      <c r="H43" s="603">
        <v>151142756.07786399</v>
      </c>
      <c r="I43" s="594"/>
      <c r="J43" s="603">
        <v>7720.4954690324003</v>
      </c>
    </row>
    <row r="44" spans="2:10" s="595" customFormat="1" ht="12.75" customHeight="1" x14ac:dyDescent="0.2">
      <c r="B44" s="95" t="s">
        <v>34</v>
      </c>
      <c r="C44" s="596"/>
      <c r="D44" s="603">
        <v>4634.0411105809999</v>
      </c>
      <c r="E44" s="594"/>
      <c r="F44" s="606">
        <v>5106.9918175125003</v>
      </c>
      <c r="G44" s="594"/>
      <c r="H44" s="603">
        <v>114252930.30729701</v>
      </c>
      <c r="I44" s="594"/>
      <c r="J44" s="603">
        <v>23206.513014428401</v>
      </c>
    </row>
    <row r="45" spans="2:10" ht="6" customHeight="1" x14ac:dyDescent="0.25">
      <c r="B45" s="597"/>
      <c r="C45" s="598"/>
      <c r="D45" s="599"/>
      <c r="E45" s="599"/>
      <c r="F45" s="599"/>
      <c r="G45" s="599"/>
      <c r="H45" s="600"/>
      <c r="I45" s="599"/>
      <c r="J45" s="599"/>
    </row>
    <row r="46" spans="2:10" ht="6" customHeight="1" x14ac:dyDescent="0.25">
      <c r="B46" s="228"/>
      <c r="C46" s="580"/>
      <c r="D46" s="580"/>
      <c r="E46" s="580"/>
      <c r="F46" s="580"/>
      <c r="G46" s="580"/>
      <c r="H46" s="601"/>
      <c r="I46" s="581"/>
      <c r="J46" s="581"/>
    </row>
    <row r="47" spans="2:10" x14ac:dyDescent="0.25">
      <c r="B47" s="273" t="s">
        <v>134</v>
      </c>
      <c r="C47" s="580"/>
      <c r="D47" s="580"/>
      <c r="E47" s="580"/>
      <c r="F47" s="580"/>
      <c r="G47" s="580"/>
      <c r="H47" s="601"/>
      <c r="I47" s="581"/>
      <c r="J47" s="581"/>
    </row>
    <row r="48" spans="2:10" s="13" customFormat="1" ht="14.25" x14ac:dyDescent="0.2">
      <c r="B48" s="146" t="s">
        <v>181</v>
      </c>
      <c r="C48" s="147"/>
      <c r="D48" s="147"/>
      <c r="E48" s="147"/>
      <c r="F48" s="147"/>
      <c r="G48" s="147"/>
      <c r="H48" s="147"/>
      <c r="I48" s="147"/>
      <c r="J48" s="147"/>
    </row>
  </sheetData>
  <mergeCells count="6">
    <mergeCell ref="J7:J9"/>
    <mergeCell ref="B5:I5"/>
    <mergeCell ref="B7:C9"/>
    <mergeCell ref="D7:D9"/>
    <mergeCell ref="F7:F9"/>
    <mergeCell ref="H7:H9"/>
  </mergeCells>
  <hyperlinks>
    <hyperlink ref="J1" location="Índice!A1" tooltip="Ir a ÍNDICE" display="INDICE" xr:uid="{7A3D069B-7025-4656-9F50-1D9ADF3C13BD}"/>
  </hyperlinks>
  <pageMargins left="0.70866141732283472" right="0.70866141732283472" top="0.74803149606299213" bottom="0.74803149606299213" header="0.31496062992125984" footer="0.31496062992125984"/>
  <pageSetup orientation="portrait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D08CD-1F27-4C08-82CA-2D57B38952CB}">
  <dimension ref="B1:S56"/>
  <sheetViews>
    <sheetView showGridLines="0" zoomScaleNormal="100" workbookViewId="0"/>
  </sheetViews>
  <sheetFormatPr baseColWidth="10" defaultColWidth="11.42578125" defaultRowHeight="12.75" x14ac:dyDescent="0.2"/>
  <cols>
    <col min="1" max="1" width="1.7109375" style="3" customWidth="1"/>
    <col min="2" max="2" width="48.85546875" style="3" customWidth="1"/>
    <col min="3" max="3" width="1.7109375" style="3" customWidth="1"/>
    <col min="4" max="4" width="26.85546875" style="3" customWidth="1"/>
    <col min="5" max="5" width="1.7109375" style="3" customWidth="1"/>
    <col min="6" max="7" width="15.7109375" style="3" customWidth="1"/>
    <col min="8" max="8" width="1.7109375" style="3" customWidth="1"/>
    <col min="9" max="10" width="15.7109375" style="3" customWidth="1"/>
    <col min="11" max="11" width="1.7109375" style="3" customWidth="1"/>
    <col min="12" max="13" width="15.7109375" style="3" customWidth="1"/>
    <col min="14" max="14" width="1.7109375" style="3" customWidth="1"/>
    <col min="15" max="15" width="15.7109375" style="3" customWidth="1"/>
    <col min="16" max="16384" width="11.42578125" style="3"/>
  </cols>
  <sheetData>
    <row r="1" spans="2:19" s="52" customFormat="1" ht="12" customHeight="1" x14ac:dyDescent="0.2">
      <c r="B1" s="640" t="s">
        <v>202</v>
      </c>
      <c r="C1" s="49"/>
      <c r="D1" s="50"/>
      <c r="O1" s="72" t="s">
        <v>151</v>
      </c>
    </row>
    <row r="2" spans="2:19" s="52" customFormat="1" ht="6.95" customHeight="1" x14ac:dyDescent="0.2">
      <c r="B2" s="640"/>
      <c r="C2" s="49"/>
      <c r="D2" s="50"/>
    </row>
    <row r="3" spans="2:19" s="52" customFormat="1" x14ac:dyDescent="0.2">
      <c r="B3" s="640" t="s">
        <v>199</v>
      </c>
      <c r="C3" s="611"/>
      <c r="D3" s="611"/>
      <c r="E3" s="611"/>
      <c r="F3" s="611"/>
      <c r="G3" s="611"/>
      <c r="H3" s="611"/>
      <c r="I3" s="611"/>
      <c r="J3" s="611"/>
      <c r="K3" s="611"/>
      <c r="L3" s="611"/>
      <c r="M3" s="611"/>
      <c r="N3" s="611"/>
      <c r="O3" s="611"/>
      <c r="P3" s="611"/>
      <c r="Q3" s="611"/>
      <c r="R3" s="611"/>
      <c r="S3" s="611"/>
    </row>
    <row r="4" spans="2:19" s="52" customFormat="1" ht="6.95" customHeight="1" x14ac:dyDescent="0.2">
      <c r="B4" s="9"/>
      <c r="C4" s="49"/>
      <c r="D4" s="50"/>
    </row>
    <row r="5" spans="2:19" s="52" customFormat="1" ht="25.5" customHeight="1" x14ac:dyDescent="0.2">
      <c r="B5" s="734" t="s">
        <v>157</v>
      </c>
      <c r="C5" s="734"/>
      <c r="D5" s="734"/>
      <c r="E5" s="734"/>
      <c r="F5" s="734"/>
      <c r="G5" s="734"/>
      <c r="H5" s="734"/>
      <c r="I5" s="734"/>
      <c r="J5" s="734"/>
      <c r="K5" s="734"/>
      <c r="L5" s="734"/>
      <c r="M5" s="55"/>
      <c r="N5" s="55"/>
      <c r="O5" s="71" t="s">
        <v>120</v>
      </c>
    </row>
    <row r="6" spans="2:19" ht="6" customHeight="1" x14ac:dyDescent="0.2">
      <c r="B6" s="612"/>
      <c r="C6" s="4"/>
      <c r="D6" s="5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</row>
    <row r="7" spans="2:19" ht="19.5" customHeight="1" x14ac:dyDescent="0.2">
      <c r="B7" s="735" t="s">
        <v>45</v>
      </c>
      <c r="C7" s="6"/>
      <c r="D7" s="738" t="s">
        <v>88</v>
      </c>
      <c r="E7" s="34"/>
      <c r="F7" s="741" t="s">
        <v>135</v>
      </c>
      <c r="G7" s="741"/>
      <c r="H7" s="741"/>
      <c r="I7" s="741"/>
      <c r="J7" s="741"/>
      <c r="K7" s="741"/>
      <c r="L7" s="741"/>
      <c r="M7" s="741"/>
      <c r="N7" s="34"/>
      <c r="O7" s="738" t="s">
        <v>136</v>
      </c>
    </row>
    <row r="8" spans="2:19" ht="27" customHeight="1" x14ac:dyDescent="0.2">
      <c r="B8" s="736"/>
      <c r="C8" s="613"/>
      <c r="D8" s="739"/>
      <c r="E8" s="33"/>
      <c r="F8" s="689" t="s">
        <v>46</v>
      </c>
      <c r="G8" s="689"/>
      <c r="H8" s="244"/>
      <c r="I8" s="689" t="s">
        <v>47</v>
      </c>
      <c r="J8" s="689"/>
      <c r="K8" s="245"/>
      <c r="L8" s="689" t="s">
        <v>48</v>
      </c>
      <c r="M8" s="689"/>
      <c r="N8" s="33"/>
      <c r="O8" s="739"/>
    </row>
    <row r="9" spans="2:19" ht="33" customHeight="1" x14ac:dyDescent="0.2">
      <c r="B9" s="737"/>
      <c r="C9" s="7"/>
      <c r="D9" s="740"/>
      <c r="E9" s="35"/>
      <c r="F9" s="614" t="s">
        <v>0</v>
      </c>
      <c r="G9" s="614" t="s">
        <v>1</v>
      </c>
      <c r="H9" s="614"/>
      <c r="I9" s="614" t="s">
        <v>0</v>
      </c>
      <c r="J9" s="614" t="s">
        <v>1</v>
      </c>
      <c r="K9" s="614"/>
      <c r="L9" s="614" t="s">
        <v>0</v>
      </c>
      <c r="M9" s="614" t="s">
        <v>1</v>
      </c>
      <c r="N9" s="35"/>
      <c r="O9" s="740"/>
    </row>
    <row r="10" spans="2:19" ht="6" customHeight="1" x14ac:dyDescent="0.2">
      <c r="B10" s="4"/>
      <c r="C10" s="4"/>
      <c r="D10" s="117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</row>
    <row r="11" spans="2:19" s="92" customFormat="1" ht="11.25" x14ac:dyDescent="0.2">
      <c r="B11" s="91" t="s">
        <v>35</v>
      </c>
      <c r="C11" s="83"/>
      <c r="D11" s="334">
        <v>561862.82689856598</v>
      </c>
      <c r="E11" s="87"/>
      <c r="F11" s="334">
        <v>527443.13077812805</v>
      </c>
      <c r="G11" s="620">
        <v>92.310205210299998</v>
      </c>
      <c r="H11" s="119"/>
      <c r="I11" s="620">
        <v>318117.414945158</v>
      </c>
      <c r="J11" s="620">
        <v>54.6460832944</v>
      </c>
      <c r="K11" s="119"/>
      <c r="L11" s="620">
        <v>16253.8401434691</v>
      </c>
      <c r="M11" s="620">
        <v>2.7501177163000001</v>
      </c>
      <c r="N11" s="119"/>
      <c r="O11" s="620">
        <v>16393.0334194852</v>
      </c>
    </row>
    <row r="12" spans="2:19" s="93" customFormat="1" ht="6" customHeight="1" x14ac:dyDescent="0.2">
      <c r="B12" s="615"/>
      <c r="C12" s="83"/>
      <c r="D12" s="89"/>
      <c r="E12" s="89"/>
      <c r="F12" s="89"/>
      <c r="G12" s="120"/>
      <c r="H12" s="121"/>
      <c r="I12" s="121"/>
      <c r="J12" s="120"/>
      <c r="K12" s="121"/>
      <c r="L12" s="121"/>
      <c r="M12" s="120"/>
      <c r="N12" s="121"/>
      <c r="O12" s="121"/>
    </row>
    <row r="13" spans="2:19" s="93" customFormat="1" ht="11.25" x14ac:dyDescent="0.2">
      <c r="B13" s="616" t="s">
        <v>49</v>
      </c>
      <c r="C13" s="90"/>
      <c r="D13" s="279">
        <v>125811.16704523801</v>
      </c>
      <c r="E13" s="89"/>
      <c r="F13" s="279">
        <v>112200.547536335</v>
      </c>
      <c r="G13" s="619">
        <v>84.217856072999993</v>
      </c>
      <c r="H13" s="121"/>
      <c r="I13" s="619">
        <v>90324.950126652097</v>
      </c>
      <c r="J13" s="619">
        <v>68.928971670799996</v>
      </c>
      <c r="K13" s="121"/>
      <c r="L13" s="619">
        <v>5018.5194249323004</v>
      </c>
      <c r="M13" s="619">
        <v>3.7963161565000001</v>
      </c>
      <c r="N13" s="121"/>
      <c r="O13" s="619">
        <v>2185.4871821025999</v>
      </c>
    </row>
    <row r="14" spans="2:19" s="93" customFormat="1" ht="11.25" x14ac:dyDescent="0.2">
      <c r="B14" s="616" t="s">
        <v>50</v>
      </c>
      <c r="C14" s="90"/>
      <c r="D14" s="279">
        <v>38686.3766884863</v>
      </c>
      <c r="E14" s="89"/>
      <c r="F14" s="279">
        <v>33099.307982081104</v>
      </c>
      <c r="G14" s="619">
        <v>82.185462211399994</v>
      </c>
      <c r="H14" s="121"/>
      <c r="I14" s="619">
        <v>26848.6867553669</v>
      </c>
      <c r="J14" s="619">
        <v>66.949567159200001</v>
      </c>
      <c r="K14" s="121"/>
      <c r="L14" s="619">
        <v>5041.1924245468999</v>
      </c>
      <c r="M14" s="619">
        <v>13.0450664738</v>
      </c>
      <c r="N14" s="121"/>
      <c r="O14" s="619">
        <v>1231.1804688748</v>
      </c>
    </row>
    <row r="15" spans="2:19" s="93" customFormat="1" ht="11.25" x14ac:dyDescent="0.2">
      <c r="B15" s="616" t="s">
        <v>51</v>
      </c>
      <c r="C15" s="90"/>
      <c r="D15" s="279">
        <v>47184.058807062102</v>
      </c>
      <c r="E15" s="89"/>
      <c r="F15" s="279">
        <v>45315.143856428003</v>
      </c>
      <c r="G15" s="619">
        <v>94.584686328399997</v>
      </c>
      <c r="H15" s="121"/>
      <c r="I15" s="619">
        <v>28636.190971109801</v>
      </c>
      <c r="J15" s="619">
        <v>58.603165193599999</v>
      </c>
      <c r="K15" s="121"/>
      <c r="L15" s="619">
        <v>724.21516258860004</v>
      </c>
      <c r="M15" s="619">
        <v>2.6231097438000002</v>
      </c>
      <c r="N15" s="121"/>
      <c r="O15" s="619">
        <v>256.89461375130003</v>
      </c>
    </row>
    <row r="16" spans="2:19" s="93" customFormat="1" ht="11.25" x14ac:dyDescent="0.2">
      <c r="B16" s="616" t="s">
        <v>137</v>
      </c>
      <c r="C16" s="90"/>
      <c r="D16" s="279">
        <v>338996.88995604502</v>
      </c>
      <c r="E16" s="89"/>
      <c r="F16" s="279">
        <v>326006.559389111</v>
      </c>
      <c r="G16" s="619">
        <v>94.973352664000004</v>
      </c>
      <c r="H16" s="121"/>
      <c r="I16" s="619">
        <v>152297.47653323301</v>
      </c>
      <c r="J16" s="619">
        <v>42.351163111799998</v>
      </c>
      <c r="K16" s="121"/>
      <c r="L16" s="141" t="s">
        <v>201</v>
      </c>
      <c r="M16" s="142" t="s">
        <v>201</v>
      </c>
      <c r="N16" s="121"/>
      <c r="O16" s="619">
        <v>4916.5229842537001</v>
      </c>
    </row>
    <row r="17" spans="2:15" s="93" customFormat="1" ht="11.25" x14ac:dyDescent="0.2">
      <c r="B17" s="616" t="s">
        <v>138</v>
      </c>
      <c r="C17" s="90"/>
      <c r="D17" s="279">
        <v>58924.508873354498</v>
      </c>
      <c r="E17" s="89"/>
      <c r="F17" s="279">
        <v>55003.904837553797</v>
      </c>
      <c r="G17" s="619">
        <v>90.758241291399997</v>
      </c>
      <c r="H17" s="121"/>
      <c r="I17" s="619">
        <v>29019.447592292101</v>
      </c>
      <c r="J17" s="619">
        <v>43.015928058100002</v>
      </c>
      <c r="K17" s="121"/>
      <c r="L17" s="141" t="s">
        <v>201</v>
      </c>
      <c r="M17" s="142" t="s">
        <v>201</v>
      </c>
      <c r="N17" s="121"/>
      <c r="O17" s="619">
        <v>705.2214768051</v>
      </c>
    </row>
    <row r="18" spans="2:15" s="93" customFormat="1" ht="6" customHeight="1" x14ac:dyDescent="0.2">
      <c r="B18" s="616"/>
      <c r="C18" s="90"/>
      <c r="D18" s="89"/>
      <c r="E18" s="121"/>
      <c r="F18" s="121"/>
      <c r="G18" s="120"/>
      <c r="H18" s="121"/>
      <c r="I18" s="121"/>
      <c r="J18" s="120"/>
      <c r="K18" s="121"/>
      <c r="L18" s="121"/>
      <c r="M18" s="120"/>
      <c r="N18" s="121"/>
      <c r="O18" s="121"/>
    </row>
    <row r="19" spans="2:15" s="92" customFormat="1" ht="11.25" x14ac:dyDescent="0.2">
      <c r="B19" s="617" t="s">
        <v>36</v>
      </c>
      <c r="C19" s="88"/>
      <c r="D19" s="334">
        <v>62572.516388957702</v>
      </c>
      <c r="E19" s="119"/>
      <c r="F19" s="620">
        <v>56359.032513579397</v>
      </c>
      <c r="G19" s="620">
        <v>87.277029751599997</v>
      </c>
      <c r="H19" s="119"/>
      <c r="I19" s="620">
        <v>31596.2762417554</v>
      </c>
      <c r="J19" s="620">
        <v>46.606017583899998</v>
      </c>
      <c r="K19" s="119"/>
      <c r="L19" s="620">
        <v>0</v>
      </c>
      <c r="M19" s="620">
        <v>0</v>
      </c>
      <c r="N19" s="119"/>
      <c r="O19" s="620">
        <v>1455.852953395</v>
      </c>
    </row>
    <row r="20" spans="2:15" s="93" customFormat="1" ht="6" customHeight="1" x14ac:dyDescent="0.2">
      <c r="B20" s="90"/>
      <c r="C20" s="90"/>
      <c r="D20" s="121"/>
      <c r="E20" s="121"/>
      <c r="F20" s="121"/>
      <c r="G20" s="120"/>
      <c r="H20" s="121"/>
      <c r="I20" s="121"/>
      <c r="J20" s="120"/>
      <c r="K20" s="121"/>
      <c r="L20" s="121"/>
      <c r="M20" s="120"/>
      <c r="N20" s="121"/>
      <c r="O20" s="121"/>
    </row>
    <row r="21" spans="2:15" s="93" customFormat="1" ht="11.25" x14ac:dyDescent="0.2">
      <c r="B21" s="616" t="s">
        <v>49</v>
      </c>
      <c r="C21" s="90"/>
      <c r="D21" s="279">
        <v>23456.849497441599</v>
      </c>
      <c r="E21" s="121"/>
      <c r="F21" s="619">
        <v>20537.465141429599</v>
      </c>
      <c r="G21" s="619">
        <v>83.490853975500002</v>
      </c>
      <c r="H21" s="121"/>
      <c r="I21" s="619">
        <v>13110.3657267449</v>
      </c>
      <c r="J21" s="619">
        <v>50.781719909000003</v>
      </c>
      <c r="K21" s="121"/>
      <c r="L21" s="619">
        <v>0</v>
      </c>
      <c r="M21" s="619">
        <v>0</v>
      </c>
      <c r="N21" s="121"/>
      <c r="O21" s="619">
        <v>44.606454896800003</v>
      </c>
    </row>
    <row r="22" spans="2:15" s="93" customFormat="1" ht="11.25" x14ac:dyDescent="0.2">
      <c r="B22" s="616" t="s">
        <v>50</v>
      </c>
      <c r="C22" s="90"/>
      <c r="D22" s="279">
        <v>4599.3779661990002</v>
      </c>
      <c r="E22" s="121"/>
      <c r="F22" s="619">
        <v>3220.9005650327999</v>
      </c>
      <c r="G22" s="619">
        <v>63.073788988499999</v>
      </c>
      <c r="H22" s="121"/>
      <c r="I22" s="619">
        <v>2313.8965857725998</v>
      </c>
      <c r="J22" s="619">
        <v>47.626715834300001</v>
      </c>
      <c r="K22" s="121"/>
      <c r="L22" s="619">
        <v>0</v>
      </c>
      <c r="M22" s="619">
        <v>0</v>
      </c>
      <c r="N22" s="121"/>
      <c r="O22" s="619">
        <v>0</v>
      </c>
    </row>
    <row r="23" spans="2:15" s="93" customFormat="1" ht="11.25" x14ac:dyDescent="0.2">
      <c r="B23" s="616" t="s">
        <v>51</v>
      </c>
      <c r="C23" s="90"/>
      <c r="D23" s="279">
        <v>3299.8218669929001</v>
      </c>
      <c r="E23" s="121"/>
      <c r="F23" s="619">
        <v>3040.2348596248999</v>
      </c>
      <c r="G23" s="619">
        <v>87.239818717999995</v>
      </c>
      <c r="H23" s="121"/>
      <c r="I23" s="619">
        <v>1054.1294064153999</v>
      </c>
      <c r="J23" s="619">
        <v>25.523559537000001</v>
      </c>
      <c r="K23" s="121"/>
      <c r="L23" s="619">
        <v>0</v>
      </c>
      <c r="M23" s="619">
        <v>0</v>
      </c>
      <c r="N23" s="121"/>
      <c r="O23" s="619">
        <v>0</v>
      </c>
    </row>
    <row r="24" spans="2:15" s="93" customFormat="1" ht="11.25" x14ac:dyDescent="0.2">
      <c r="B24" s="616" t="s">
        <v>137</v>
      </c>
      <c r="C24" s="90"/>
      <c r="D24" s="279">
        <v>18956.113103592801</v>
      </c>
      <c r="E24" s="121"/>
      <c r="F24" s="619">
        <v>17355.2227162698</v>
      </c>
      <c r="G24" s="619">
        <v>86.309451209800002</v>
      </c>
      <c r="H24" s="121"/>
      <c r="I24" s="619">
        <v>4583.4386558419001</v>
      </c>
      <c r="J24" s="619">
        <v>19.8956498306</v>
      </c>
      <c r="K24" s="121"/>
      <c r="L24" s="141" t="s">
        <v>201</v>
      </c>
      <c r="M24" s="142" t="s">
        <v>201</v>
      </c>
      <c r="N24" s="121"/>
      <c r="O24" s="619">
        <v>0</v>
      </c>
    </row>
    <row r="25" spans="2:15" s="93" customFormat="1" ht="11.25" x14ac:dyDescent="0.2">
      <c r="B25" s="616" t="s">
        <v>138</v>
      </c>
      <c r="C25" s="90"/>
      <c r="D25" s="279">
        <v>4379.4611033464998</v>
      </c>
      <c r="E25" s="121"/>
      <c r="F25" s="619">
        <v>3541.4763229424998</v>
      </c>
      <c r="G25" s="619">
        <v>75.453533321999998</v>
      </c>
      <c r="H25" s="121"/>
      <c r="I25" s="619">
        <v>2919.6797697501001</v>
      </c>
      <c r="J25" s="619">
        <v>63.083178612600001</v>
      </c>
      <c r="K25" s="121"/>
      <c r="L25" s="141" t="s">
        <v>201</v>
      </c>
      <c r="M25" s="142" t="s">
        <v>201</v>
      </c>
      <c r="N25" s="121"/>
      <c r="O25" s="619">
        <v>0</v>
      </c>
    </row>
    <row r="26" spans="2:15" s="93" customFormat="1" ht="6" customHeight="1" x14ac:dyDescent="0.2">
      <c r="B26" s="616"/>
      <c r="C26" s="90"/>
      <c r="D26" s="89"/>
      <c r="E26" s="121"/>
      <c r="F26" s="121"/>
      <c r="G26" s="120"/>
      <c r="H26" s="121"/>
      <c r="I26" s="121"/>
      <c r="J26" s="120"/>
      <c r="K26" s="121"/>
      <c r="L26" s="121"/>
      <c r="M26" s="120"/>
      <c r="N26" s="121"/>
      <c r="O26" s="121"/>
    </row>
    <row r="27" spans="2:15" s="92" customFormat="1" ht="11.25" x14ac:dyDescent="0.2">
      <c r="B27" s="617" t="s">
        <v>37</v>
      </c>
      <c r="C27" s="88"/>
      <c r="D27" s="334">
        <v>51532.660003108998</v>
      </c>
      <c r="E27" s="119"/>
      <c r="F27" s="620">
        <v>48447.912519971003</v>
      </c>
      <c r="G27" s="620">
        <v>89.985152843600005</v>
      </c>
      <c r="H27" s="119"/>
      <c r="I27" s="620">
        <v>35458.425977467698</v>
      </c>
      <c r="J27" s="620">
        <v>64.786128525999999</v>
      </c>
      <c r="K27" s="119"/>
      <c r="L27" s="620">
        <v>1613.3275879063001</v>
      </c>
      <c r="M27" s="620">
        <v>4.1458203180000002</v>
      </c>
      <c r="N27" s="119"/>
      <c r="O27" s="620">
        <v>182.1460055885</v>
      </c>
    </row>
    <row r="28" spans="2:15" s="93" customFormat="1" ht="6" customHeight="1" x14ac:dyDescent="0.2">
      <c r="B28" s="617"/>
      <c r="C28" s="90"/>
      <c r="D28" s="89"/>
      <c r="E28" s="121"/>
      <c r="F28" s="121"/>
      <c r="G28" s="120"/>
      <c r="H28" s="121"/>
      <c r="I28" s="121"/>
      <c r="J28" s="120"/>
      <c r="K28" s="121"/>
      <c r="L28" s="121"/>
      <c r="M28" s="120"/>
      <c r="N28" s="121"/>
      <c r="O28" s="121"/>
    </row>
    <row r="29" spans="2:15" s="93" customFormat="1" ht="9.75" customHeight="1" x14ac:dyDescent="0.2">
      <c r="B29" s="616" t="s">
        <v>49</v>
      </c>
      <c r="C29" s="90"/>
      <c r="D29" s="279">
        <v>18009.172722552699</v>
      </c>
      <c r="E29" s="121"/>
      <c r="F29" s="619">
        <v>16861.975616080901</v>
      </c>
      <c r="G29" s="619">
        <v>87.711576417800003</v>
      </c>
      <c r="H29" s="121"/>
      <c r="I29" s="619">
        <v>11373.1348586774</v>
      </c>
      <c r="J29" s="619">
        <v>61.515830986300003</v>
      </c>
      <c r="K29" s="121"/>
      <c r="L29" s="619">
        <v>11.500032556000001</v>
      </c>
      <c r="M29" s="619">
        <v>8.0085020637</v>
      </c>
      <c r="N29" s="121"/>
      <c r="O29" s="619">
        <v>0</v>
      </c>
    </row>
    <row r="30" spans="2:15" s="93" customFormat="1" ht="11.25" x14ac:dyDescent="0.2">
      <c r="B30" s="616" t="s">
        <v>50</v>
      </c>
      <c r="C30" s="90"/>
      <c r="D30" s="279">
        <v>7642.1747098242004</v>
      </c>
      <c r="E30" s="121"/>
      <c r="F30" s="619">
        <v>6250.2869930131001</v>
      </c>
      <c r="G30" s="619">
        <v>80.715022919600003</v>
      </c>
      <c r="H30" s="121"/>
      <c r="I30" s="619">
        <v>4367.0466829624002</v>
      </c>
      <c r="J30" s="619">
        <v>62.800788049200001</v>
      </c>
      <c r="K30" s="121"/>
      <c r="L30" s="619">
        <v>0</v>
      </c>
      <c r="M30" s="619">
        <v>18.0440658562</v>
      </c>
      <c r="N30" s="121"/>
      <c r="O30" s="619">
        <v>0</v>
      </c>
    </row>
    <row r="31" spans="2:15" s="93" customFormat="1" ht="11.25" x14ac:dyDescent="0.2">
      <c r="B31" s="616" t="s">
        <v>51</v>
      </c>
      <c r="C31" s="90"/>
      <c r="D31" s="279">
        <v>2322.2010585721</v>
      </c>
      <c r="E31" s="121"/>
      <c r="F31" s="619">
        <v>2322.2010585721</v>
      </c>
      <c r="G31" s="619">
        <v>100</v>
      </c>
      <c r="H31" s="121"/>
      <c r="I31" s="619">
        <v>1144.5674402740001</v>
      </c>
      <c r="J31" s="619">
        <v>71.7512116308</v>
      </c>
      <c r="K31" s="121"/>
      <c r="L31" s="619">
        <v>0</v>
      </c>
      <c r="M31" s="619">
        <v>0</v>
      </c>
      <c r="N31" s="121"/>
      <c r="O31" s="619">
        <v>0</v>
      </c>
    </row>
    <row r="32" spans="2:15" s="93" customFormat="1" ht="11.25" x14ac:dyDescent="0.2">
      <c r="B32" s="616" t="s">
        <v>137</v>
      </c>
      <c r="C32" s="90"/>
      <c r="D32" s="279">
        <v>16925.8086166186</v>
      </c>
      <c r="E32" s="121"/>
      <c r="F32" s="619">
        <v>15148.1651348615</v>
      </c>
      <c r="G32" s="619">
        <v>86.863661793099993</v>
      </c>
      <c r="H32" s="121"/>
      <c r="I32" s="619">
        <v>9068.1489518078997</v>
      </c>
      <c r="J32" s="619">
        <v>50.706430770099999</v>
      </c>
      <c r="K32" s="121"/>
      <c r="L32" s="141" t="s">
        <v>201</v>
      </c>
      <c r="M32" s="142" t="s">
        <v>201</v>
      </c>
      <c r="N32" s="121"/>
      <c r="O32" s="619">
        <v>0</v>
      </c>
    </row>
    <row r="33" spans="2:15" s="93" customFormat="1" ht="11.25" x14ac:dyDescent="0.2">
      <c r="B33" s="616" t="s">
        <v>138</v>
      </c>
      <c r="C33" s="90"/>
      <c r="D33" s="279">
        <v>2470.1811794805999</v>
      </c>
      <c r="E33" s="121"/>
      <c r="F33" s="619">
        <v>1956.6813043988</v>
      </c>
      <c r="G33" s="619">
        <v>77.994584807999999</v>
      </c>
      <c r="H33" s="121"/>
      <c r="I33" s="619">
        <v>1150.1790891302001</v>
      </c>
      <c r="J33" s="619">
        <v>60.043947633800002</v>
      </c>
      <c r="K33" s="121"/>
      <c r="L33" s="141" t="s">
        <v>201</v>
      </c>
      <c r="M33" s="142" t="s">
        <v>201</v>
      </c>
      <c r="N33" s="121"/>
      <c r="O33" s="619">
        <v>0</v>
      </c>
    </row>
    <row r="34" spans="2:15" s="93" customFormat="1" ht="6" customHeight="1" x14ac:dyDescent="0.2">
      <c r="B34" s="616"/>
      <c r="C34" s="90"/>
      <c r="D34" s="89"/>
      <c r="E34" s="121"/>
      <c r="F34" s="121"/>
      <c r="G34" s="120"/>
      <c r="H34" s="121"/>
      <c r="I34" s="121"/>
      <c r="J34" s="120"/>
      <c r="K34" s="121"/>
      <c r="L34" s="121"/>
      <c r="M34" s="120"/>
      <c r="N34" s="121"/>
      <c r="O34" s="121"/>
    </row>
    <row r="35" spans="2:15" s="92" customFormat="1" ht="11.25" x14ac:dyDescent="0.2">
      <c r="B35" s="618" t="s">
        <v>38</v>
      </c>
      <c r="C35" s="88"/>
      <c r="D35" s="334">
        <v>85099.4558493433</v>
      </c>
      <c r="E35" s="119"/>
      <c r="F35" s="620">
        <v>77537.945738006907</v>
      </c>
      <c r="G35" s="620">
        <v>83.910592391099996</v>
      </c>
      <c r="H35" s="119"/>
      <c r="I35" s="620">
        <v>44806.410959899898</v>
      </c>
      <c r="J35" s="620">
        <v>48.980739114000002</v>
      </c>
      <c r="K35" s="119"/>
      <c r="L35" s="620">
        <v>0</v>
      </c>
      <c r="M35" s="620">
        <v>0</v>
      </c>
      <c r="N35" s="119"/>
      <c r="O35" s="620">
        <v>565.95614752530003</v>
      </c>
    </row>
    <row r="36" spans="2:15" s="93" customFormat="1" ht="6" customHeight="1" x14ac:dyDescent="0.2">
      <c r="B36" s="616"/>
      <c r="C36" s="90"/>
      <c r="D36" s="89"/>
      <c r="E36" s="121"/>
      <c r="F36" s="121"/>
      <c r="G36" s="120"/>
      <c r="H36" s="121"/>
      <c r="I36" s="121"/>
      <c r="J36" s="120"/>
      <c r="K36" s="121"/>
      <c r="L36" s="121"/>
      <c r="M36" s="120"/>
      <c r="N36" s="121"/>
      <c r="O36" s="121"/>
    </row>
    <row r="37" spans="2:15" s="93" customFormat="1" ht="11.25" x14ac:dyDescent="0.2">
      <c r="B37" s="616" t="s">
        <v>49</v>
      </c>
      <c r="C37" s="90"/>
      <c r="D37" s="279">
        <v>12533.642904813099</v>
      </c>
      <c r="E37" s="121"/>
      <c r="F37" s="619">
        <v>9056.7224184628994</v>
      </c>
      <c r="G37" s="619">
        <v>44.0914318122</v>
      </c>
      <c r="H37" s="121"/>
      <c r="I37" s="619">
        <v>10444.186763022501</v>
      </c>
      <c r="J37" s="619">
        <v>83.1811327952</v>
      </c>
      <c r="K37" s="121"/>
      <c r="L37" s="619">
        <v>0</v>
      </c>
      <c r="M37" s="619">
        <v>0</v>
      </c>
      <c r="N37" s="121"/>
      <c r="O37" s="619">
        <v>0</v>
      </c>
    </row>
    <row r="38" spans="2:15" s="93" customFormat="1" ht="11.25" x14ac:dyDescent="0.2">
      <c r="B38" s="616" t="s">
        <v>50</v>
      </c>
      <c r="C38" s="90"/>
      <c r="D38" s="279">
        <v>3449.2895318505002</v>
      </c>
      <c r="E38" s="121"/>
      <c r="F38" s="619">
        <v>2687.7072138021999</v>
      </c>
      <c r="G38" s="619">
        <v>61.802817016900001</v>
      </c>
      <c r="H38" s="121"/>
      <c r="I38" s="619">
        <v>2570.6015769651999</v>
      </c>
      <c r="J38" s="619">
        <v>60.2709953277</v>
      </c>
      <c r="K38" s="121"/>
      <c r="L38" s="619">
        <v>0</v>
      </c>
      <c r="M38" s="619">
        <v>8.9547080739999991</v>
      </c>
      <c r="N38" s="121"/>
      <c r="O38" s="619">
        <v>0</v>
      </c>
    </row>
    <row r="39" spans="2:15" s="93" customFormat="1" ht="11.25" x14ac:dyDescent="0.2">
      <c r="B39" s="616" t="s">
        <v>51</v>
      </c>
      <c r="C39" s="90"/>
      <c r="D39" s="279">
        <v>1799.2950675749</v>
      </c>
      <c r="E39" s="121"/>
      <c r="F39" s="619">
        <v>1799.2950675749</v>
      </c>
      <c r="G39" s="619">
        <v>100</v>
      </c>
      <c r="H39" s="121"/>
      <c r="I39" s="619">
        <v>807.16814736089998</v>
      </c>
      <c r="J39" s="619">
        <v>67.313484293900004</v>
      </c>
      <c r="K39" s="121"/>
      <c r="L39" s="619">
        <v>0</v>
      </c>
      <c r="M39" s="619">
        <v>0</v>
      </c>
      <c r="N39" s="121"/>
      <c r="O39" s="619">
        <v>0</v>
      </c>
    </row>
    <row r="40" spans="2:15" s="93" customFormat="1" ht="11.25" x14ac:dyDescent="0.2">
      <c r="B40" s="616" t="s">
        <v>137</v>
      </c>
      <c r="C40" s="90"/>
      <c r="D40" s="279">
        <v>56432.246610774098</v>
      </c>
      <c r="E40" s="121"/>
      <c r="F40" s="619">
        <v>54559.098549726397</v>
      </c>
      <c r="G40" s="619">
        <v>95.080028823500001</v>
      </c>
      <c r="H40" s="121"/>
      <c r="I40" s="619">
        <v>21015.0568452601</v>
      </c>
      <c r="J40" s="619">
        <v>33.836337025299997</v>
      </c>
      <c r="K40" s="121"/>
      <c r="L40" s="141" t="s">
        <v>201</v>
      </c>
      <c r="M40" s="142" t="s">
        <v>201</v>
      </c>
      <c r="N40" s="121"/>
      <c r="O40" s="619">
        <v>156.8356193381</v>
      </c>
    </row>
    <row r="41" spans="2:15" s="93" customFormat="1" ht="11.25" x14ac:dyDescent="0.2">
      <c r="B41" s="616" t="s">
        <v>138</v>
      </c>
      <c r="C41" s="90"/>
      <c r="D41" s="279">
        <v>3303.1017894207998</v>
      </c>
      <c r="E41" s="121"/>
      <c r="F41" s="619">
        <v>3303.1017894207998</v>
      </c>
      <c r="G41" s="619">
        <v>100</v>
      </c>
      <c r="H41" s="121"/>
      <c r="I41" s="619">
        <v>704.22607377539998</v>
      </c>
      <c r="J41" s="619">
        <v>3.5461391722000002</v>
      </c>
      <c r="K41" s="121"/>
      <c r="L41" s="141" t="s">
        <v>201</v>
      </c>
      <c r="M41" s="142" t="s">
        <v>201</v>
      </c>
      <c r="N41" s="121"/>
      <c r="O41" s="619">
        <v>0</v>
      </c>
    </row>
    <row r="42" spans="2:15" s="93" customFormat="1" ht="6" customHeight="1" x14ac:dyDescent="0.2">
      <c r="B42" s="90"/>
      <c r="C42" s="90"/>
      <c r="D42" s="121"/>
      <c r="E42" s="121"/>
      <c r="F42" s="121"/>
      <c r="G42" s="120"/>
      <c r="H42" s="121"/>
      <c r="I42" s="121"/>
      <c r="J42" s="120"/>
      <c r="K42" s="121"/>
      <c r="L42" s="121"/>
      <c r="M42" s="120"/>
      <c r="N42" s="121"/>
      <c r="O42" s="121"/>
    </row>
    <row r="43" spans="2:15" s="92" customFormat="1" ht="11.25" x14ac:dyDescent="0.2">
      <c r="B43" s="618" t="s">
        <v>54</v>
      </c>
      <c r="C43" s="88"/>
      <c r="D43" s="334">
        <v>327592.81765759201</v>
      </c>
      <c r="E43" s="119"/>
      <c r="F43" s="620">
        <v>311675.74962111999</v>
      </c>
      <c r="G43" s="620">
        <v>93.753858147100004</v>
      </c>
      <c r="H43" s="119"/>
      <c r="I43" s="620">
        <v>177023.46335415801</v>
      </c>
      <c r="J43" s="620">
        <v>51.292874914000002</v>
      </c>
      <c r="K43" s="119"/>
      <c r="L43" s="620">
        <v>6709.5698450510999</v>
      </c>
      <c r="M43" s="620">
        <v>1.8842137018</v>
      </c>
      <c r="N43" s="119"/>
      <c r="O43" s="620">
        <v>7856.0464645447</v>
      </c>
    </row>
    <row r="44" spans="2:15" s="93" customFormat="1" ht="6" customHeight="1" x14ac:dyDescent="0.2">
      <c r="B44" s="616"/>
      <c r="C44" s="90"/>
      <c r="D44" s="89"/>
      <c r="E44" s="121"/>
      <c r="F44" s="121"/>
      <c r="G44" s="120"/>
      <c r="H44" s="121"/>
      <c r="I44" s="121"/>
      <c r="J44" s="120"/>
      <c r="K44" s="121"/>
      <c r="L44" s="121"/>
      <c r="M44" s="120"/>
      <c r="N44" s="121"/>
      <c r="O44" s="121"/>
    </row>
    <row r="45" spans="2:15" s="93" customFormat="1" ht="12" customHeight="1" x14ac:dyDescent="0.2">
      <c r="B45" s="616" t="s">
        <v>49</v>
      </c>
      <c r="C45" s="90"/>
      <c r="D45" s="279">
        <v>50522.397725018498</v>
      </c>
      <c r="E45" s="121"/>
      <c r="F45" s="619">
        <v>46899.548717310601</v>
      </c>
      <c r="G45" s="619">
        <v>89.494667176199997</v>
      </c>
      <c r="H45" s="121"/>
      <c r="I45" s="619">
        <v>35991.377790075901</v>
      </c>
      <c r="J45" s="619">
        <v>65.926110914000006</v>
      </c>
      <c r="K45" s="121"/>
      <c r="L45" s="619">
        <v>2293.9747946514999</v>
      </c>
      <c r="M45" s="619">
        <v>3.5310498310999998</v>
      </c>
      <c r="N45" s="121"/>
      <c r="O45" s="619">
        <v>0</v>
      </c>
    </row>
    <row r="46" spans="2:15" s="93" customFormat="1" ht="11.25" x14ac:dyDescent="0.2">
      <c r="B46" s="616" t="s">
        <v>50</v>
      </c>
      <c r="C46" s="90"/>
      <c r="D46" s="279">
        <v>10854.966705053001</v>
      </c>
      <c r="E46" s="121"/>
      <c r="F46" s="619">
        <v>9421.8246237394997</v>
      </c>
      <c r="G46" s="619">
        <v>83.804529665199993</v>
      </c>
      <c r="H46" s="121"/>
      <c r="I46" s="619">
        <v>6381.7130153774997</v>
      </c>
      <c r="J46" s="619">
        <v>59.091007861900003</v>
      </c>
      <c r="K46" s="121"/>
      <c r="L46" s="619">
        <v>513.71921666289995</v>
      </c>
      <c r="M46" s="619">
        <v>1.8746363471</v>
      </c>
      <c r="N46" s="121"/>
      <c r="O46" s="619">
        <v>0</v>
      </c>
    </row>
    <row r="47" spans="2:15" s="93" customFormat="1" ht="11.25" x14ac:dyDescent="0.2">
      <c r="B47" s="616" t="s">
        <v>51</v>
      </c>
      <c r="C47" s="90"/>
      <c r="D47" s="279">
        <v>27011.299964964699</v>
      </c>
      <c r="E47" s="121"/>
      <c r="F47" s="619">
        <v>25450.465538604501</v>
      </c>
      <c r="G47" s="619">
        <v>92.3160678064</v>
      </c>
      <c r="H47" s="121"/>
      <c r="I47" s="619">
        <v>14089.015818399101</v>
      </c>
      <c r="J47" s="619">
        <v>50.246804618399999</v>
      </c>
      <c r="K47" s="121"/>
      <c r="L47" s="619">
        <v>165.91388665869999</v>
      </c>
      <c r="M47" s="619">
        <v>1.2629411776999999</v>
      </c>
      <c r="N47" s="121"/>
      <c r="O47" s="619">
        <v>48.5563296212</v>
      </c>
    </row>
    <row r="48" spans="2:15" s="93" customFormat="1" ht="11.25" x14ac:dyDescent="0.2">
      <c r="B48" s="616" t="s">
        <v>137</v>
      </c>
      <c r="C48" s="90"/>
      <c r="D48" s="279">
        <v>220654.280854037</v>
      </c>
      <c r="E48" s="121"/>
      <c r="F48" s="619">
        <v>213158.429549144</v>
      </c>
      <c r="G48" s="619">
        <v>95.019007218699997</v>
      </c>
      <c r="H48" s="121"/>
      <c r="I48" s="619">
        <v>97902.857649682104</v>
      </c>
      <c r="J48" s="619">
        <v>40.813559772600001</v>
      </c>
      <c r="K48" s="121"/>
      <c r="L48" s="141" t="s">
        <v>201</v>
      </c>
      <c r="M48" s="142" t="s">
        <v>201</v>
      </c>
      <c r="N48" s="121"/>
      <c r="O48" s="619">
        <v>2166.4278136104999</v>
      </c>
    </row>
    <row r="49" spans="2:15" s="93" customFormat="1" ht="13.5" customHeight="1" x14ac:dyDescent="0.2">
      <c r="B49" s="616" t="s">
        <v>138</v>
      </c>
      <c r="C49" s="90"/>
      <c r="D49" s="279">
        <v>36442.2184452695</v>
      </c>
      <c r="E49" s="121"/>
      <c r="F49" s="619">
        <v>34105.662170151598</v>
      </c>
      <c r="G49" s="619">
        <v>90.183670923600005</v>
      </c>
      <c r="H49" s="121"/>
      <c r="I49" s="619">
        <v>16486.747058089699</v>
      </c>
      <c r="J49" s="619">
        <v>38.678459475399997</v>
      </c>
      <c r="K49" s="121"/>
      <c r="L49" s="141" t="s">
        <v>201</v>
      </c>
      <c r="M49" s="142" t="s">
        <v>201</v>
      </c>
      <c r="N49" s="121"/>
      <c r="O49" s="619">
        <v>321.9416178006</v>
      </c>
    </row>
    <row r="50" spans="2:15" ht="6" customHeight="1" x14ac:dyDescent="0.2">
      <c r="B50" s="11"/>
      <c r="C50" s="38"/>
      <c r="D50" s="1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</row>
    <row r="51" spans="2:15" ht="6" customHeight="1" x14ac:dyDescent="0.2">
      <c r="B51" s="23"/>
      <c r="C51" s="4"/>
      <c r="D51" s="4"/>
      <c r="E51" s="37"/>
      <c r="F51" s="33"/>
      <c r="G51" s="33"/>
      <c r="H51" s="33"/>
      <c r="I51" s="33"/>
      <c r="J51" s="33"/>
      <c r="K51" s="33"/>
      <c r="L51" s="33"/>
      <c r="M51" s="33"/>
      <c r="N51" s="33"/>
      <c r="O51" s="33"/>
    </row>
    <row r="52" spans="2:15" x14ac:dyDescent="0.2">
      <c r="B52" s="23" t="s">
        <v>139</v>
      </c>
      <c r="C52" s="4"/>
      <c r="D52" s="4"/>
      <c r="E52" s="37"/>
      <c r="F52" s="33"/>
      <c r="G52" s="33"/>
      <c r="H52" s="33"/>
      <c r="I52" s="33"/>
      <c r="J52" s="33"/>
      <c r="K52" s="33"/>
      <c r="L52" s="33"/>
      <c r="M52" s="33"/>
      <c r="N52" s="33"/>
      <c r="O52" s="33"/>
    </row>
    <row r="53" spans="2:15" x14ac:dyDescent="0.2">
      <c r="B53" s="23" t="s">
        <v>140</v>
      </c>
      <c r="C53" s="4"/>
      <c r="D53" s="4"/>
      <c r="E53" s="37"/>
      <c r="F53" s="33"/>
      <c r="G53" s="33"/>
      <c r="H53" s="33"/>
      <c r="I53" s="33"/>
      <c r="J53" s="33"/>
      <c r="K53" s="33"/>
      <c r="L53" s="33"/>
      <c r="M53" s="33"/>
      <c r="N53" s="33"/>
      <c r="O53" s="33"/>
    </row>
    <row r="54" spans="2:15" x14ac:dyDescent="0.2">
      <c r="B54" s="23" t="s">
        <v>141</v>
      </c>
      <c r="C54" s="4"/>
      <c r="D54" s="4"/>
      <c r="E54" s="37"/>
      <c r="F54" s="33"/>
      <c r="G54" s="33"/>
      <c r="H54" s="33"/>
      <c r="I54" s="33"/>
      <c r="J54" s="33"/>
      <c r="K54" s="33"/>
      <c r="L54" s="33"/>
      <c r="M54" s="33"/>
      <c r="N54" s="33"/>
      <c r="O54" s="33"/>
    </row>
    <row r="55" spans="2:15" ht="12.95" customHeight="1" x14ac:dyDescent="0.2">
      <c r="B55" s="23" t="s">
        <v>142</v>
      </c>
      <c r="C55" s="4"/>
      <c r="D55" s="4"/>
      <c r="E55" s="37"/>
      <c r="F55" s="33"/>
      <c r="G55" s="33"/>
      <c r="H55" s="33"/>
      <c r="I55" s="33"/>
      <c r="J55" s="33"/>
      <c r="K55" s="33"/>
      <c r="L55" s="33"/>
      <c r="M55" s="33"/>
      <c r="N55" s="33"/>
      <c r="O55" s="33"/>
    </row>
    <row r="56" spans="2:15" s="13" customFormat="1" ht="14.25" x14ac:dyDescent="0.2">
      <c r="B56" s="109" t="s">
        <v>57</v>
      </c>
    </row>
  </sheetData>
  <mergeCells count="8">
    <mergeCell ref="B5:L5"/>
    <mergeCell ref="B7:B9"/>
    <mergeCell ref="D7:D9"/>
    <mergeCell ref="F7:M7"/>
    <mergeCell ref="O7:O9"/>
    <mergeCell ref="F8:G8"/>
    <mergeCell ref="I8:J8"/>
    <mergeCell ref="L8:M8"/>
  </mergeCells>
  <hyperlinks>
    <hyperlink ref="O1" location="Índice!A1" tooltip="Ir a ÍNDICE" display="INDICE" xr:uid="{27129AA6-E504-4933-AB2F-82BE1DB31954}"/>
  </hyperlink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BFC80-A98B-4254-A702-99B59771D978}">
  <dimension ref="B1:S23"/>
  <sheetViews>
    <sheetView showGridLines="0" zoomScaleNormal="100" workbookViewId="0"/>
  </sheetViews>
  <sheetFormatPr baseColWidth="10" defaultColWidth="11.42578125" defaultRowHeight="12.75" x14ac:dyDescent="0.2"/>
  <cols>
    <col min="1" max="1" width="1.7109375" style="21" customWidth="1"/>
    <col min="2" max="2" width="51.5703125" style="21" customWidth="1"/>
    <col min="3" max="3" width="1.7109375" style="21" customWidth="1"/>
    <col min="4" max="4" width="28.7109375" style="21" customWidth="1"/>
    <col min="5" max="5" width="1.7109375" style="21" customWidth="1"/>
    <col min="6" max="7" width="15.7109375" style="21" customWidth="1"/>
    <col min="8" max="8" width="1.7109375" style="21" customWidth="1"/>
    <col min="9" max="10" width="15.7109375" style="21" customWidth="1"/>
    <col min="11" max="11" width="1.7109375" style="21" customWidth="1"/>
    <col min="12" max="13" width="15.7109375" style="21" customWidth="1"/>
    <col min="14" max="14" width="1.7109375" style="21" customWidth="1"/>
    <col min="15" max="16" width="15.7109375" style="21" customWidth="1"/>
    <col min="17" max="16384" width="11.42578125" style="21"/>
  </cols>
  <sheetData>
    <row r="1" spans="2:19" s="48" customFormat="1" ht="12" customHeight="1" x14ac:dyDescent="0.2">
      <c r="B1" s="640" t="s">
        <v>202</v>
      </c>
      <c r="C1" s="49"/>
      <c r="D1" s="49"/>
      <c r="E1" s="49"/>
      <c r="F1" s="50"/>
      <c r="G1" s="50"/>
      <c r="P1" s="72" t="s">
        <v>151</v>
      </c>
    </row>
    <row r="2" spans="2:19" s="48" customFormat="1" ht="6.95" customHeight="1" x14ac:dyDescent="0.2">
      <c r="B2" s="640"/>
      <c r="C2" s="49"/>
      <c r="D2" s="49"/>
      <c r="E2" s="49"/>
      <c r="F2" s="50"/>
      <c r="G2" s="50"/>
    </row>
    <row r="3" spans="2:19" s="48" customFormat="1" x14ac:dyDescent="0.2">
      <c r="B3" s="640" t="s">
        <v>199</v>
      </c>
      <c r="C3" s="621"/>
      <c r="D3" s="621"/>
      <c r="E3" s="621"/>
      <c r="F3" s="621"/>
      <c r="G3" s="621"/>
      <c r="H3" s="621"/>
      <c r="I3" s="621"/>
      <c r="J3" s="621"/>
      <c r="K3" s="621"/>
      <c r="L3" s="621"/>
      <c r="M3" s="621"/>
      <c r="N3" s="621"/>
      <c r="O3" s="621"/>
      <c r="P3" s="621"/>
      <c r="Q3" s="621"/>
      <c r="R3" s="621"/>
      <c r="S3" s="621"/>
    </row>
    <row r="4" spans="2:19" s="48" customFormat="1" ht="6.95" customHeight="1" x14ac:dyDescent="0.2">
      <c r="B4" s="621"/>
      <c r="C4" s="49"/>
      <c r="D4" s="49"/>
      <c r="E4" s="49"/>
      <c r="F4" s="50"/>
      <c r="G4" s="50"/>
    </row>
    <row r="5" spans="2:19" s="48" customFormat="1" ht="25.5" customHeight="1" x14ac:dyDescent="0.2">
      <c r="B5" s="742" t="s">
        <v>158</v>
      </c>
      <c r="C5" s="742"/>
      <c r="D5" s="742"/>
      <c r="E5" s="742"/>
      <c r="F5" s="742"/>
      <c r="G5" s="742"/>
      <c r="H5" s="742"/>
      <c r="I5" s="742"/>
      <c r="J5" s="742"/>
      <c r="K5" s="742"/>
      <c r="L5" s="742"/>
      <c r="M5" s="742"/>
      <c r="N5" s="742"/>
      <c r="O5" s="56"/>
      <c r="P5" s="71" t="s">
        <v>121</v>
      </c>
    </row>
    <row r="6" spans="2:19" ht="6" customHeight="1" x14ac:dyDescent="0.2">
      <c r="B6" s="25"/>
      <c r="C6" s="622"/>
      <c r="D6" s="622"/>
      <c r="E6" s="622"/>
      <c r="F6" s="623"/>
      <c r="G6" s="623"/>
      <c r="H6" s="39"/>
      <c r="I6" s="39"/>
      <c r="J6" s="39"/>
      <c r="K6" s="39"/>
      <c r="L6" s="39"/>
      <c r="M6" s="39"/>
      <c r="N6" s="39"/>
      <c r="O6" s="39"/>
      <c r="P6" s="39"/>
    </row>
    <row r="7" spans="2:19" ht="33.75" customHeight="1" x14ac:dyDescent="0.2">
      <c r="B7" s="735" t="s">
        <v>97</v>
      </c>
      <c r="C7" s="6"/>
      <c r="D7" s="738" t="s">
        <v>186</v>
      </c>
      <c r="E7" s="6"/>
      <c r="F7" s="743" t="s">
        <v>96</v>
      </c>
      <c r="G7" s="743"/>
      <c r="H7" s="40"/>
      <c r="I7" s="40"/>
      <c r="J7" s="745" t="s">
        <v>95</v>
      </c>
      <c r="K7" s="746"/>
      <c r="L7" s="746"/>
      <c r="M7" s="746"/>
      <c r="N7" s="746"/>
      <c r="O7" s="746"/>
      <c r="P7" s="41"/>
    </row>
    <row r="8" spans="2:19" ht="24" customHeight="1" x14ac:dyDescent="0.2">
      <c r="B8" s="736"/>
      <c r="C8" s="4"/>
      <c r="D8" s="739"/>
      <c r="E8" s="4"/>
      <c r="F8" s="744"/>
      <c r="G8" s="744"/>
      <c r="H8" s="39"/>
      <c r="I8" s="746" t="s">
        <v>46</v>
      </c>
      <c r="J8" s="746"/>
      <c r="K8" s="42"/>
      <c r="L8" s="746" t="s">
        <v>47</v>
      </c>
      <c r="M8" s="746"/>
      <c r="N8" s="609"/>
      <c r="O8" s="746" t="s">
        <v>48</v>
      </c>
      <c r="P8" s="746"/>
    </row>
    <row r="9" spans="2:19" ht="29.25" customHeight="1" x14ac:dyDescent="0.2">
      <c r="B9" s="737"/>
      <c r="C9" s="7"/>
      <c r="D9" s="740"/>
      <c r="E9" s="7"/>
      <c r="F9" s="608" t="s">
        <v>187</v>
      </c>
      <c r="G9" s="608" t="s">
        <v>188</v>
      </c>
      <c r="H9" s="74"/>
      <c r="I9" s="608" t="s">
        <v>187</v>
      </c>
      <c r="J9" s="608" t="s">
        <v>189</v>
      </c>
      <c r="K9" s="75"/>
      <c r="L9" s="608" t="s">
        <v>187</v>
      </c>
      <c r="M9" s="608" t="s">
        <v>188</v>
      </c>
      <c r="N9" s="76"/>
      <c r="O9" s="608" t="s">
        <v>187</v>
      </c>
      <c r="P9" s="608" t="s">
        <v>189</v>
      </c>
    </row>
    <row r="10" spans="2:19" ht="6" customHeight="1" x14ac:dyDescent="0.2">
      <c r="B10" s="4"/>
      <c r="C10" s="4"/>
      <c r="D10" s="610"/>
      <c r="E10" s="123"/>
      <c r="F10" s="117"/>
      <c r="G10" s="117"/>
      <c r="H10" s="124"/>
      <c r="I10" s="124"/>
      <c r="J10" s="124"/>
      <c r="K10" s="124"/>
      <c r="L10" s="124"/>
      <c r="M10" s="124"/>
      <c r="N10" s="124"/>
      <c r="O10" s="124"/>
      <c r="P10" s="124"/>
    </row>
    <row r="11" spans="2:19" s="78" customFormat="1" ht="11.25" x14ac:dyDescent="0.2">
      <c r="B11" s="36" t="s">
        <v>35</v>
      </c>
      <c r="C11" s="8"/>
      <c r="D11" s="631">
        <v>538543.68474925798</v>
      </c>
      <c r="E11" s="125"/>
      <c r="F11" s="624">
        <v>18175580839.958401</v>
      </c>
      <c r="G11" s="624">
        <v>31899.5762414725</v>
      </c>
      <c r="H11" s="126"/>
      <c r="I11" s="630">
        <v>12852569901.3181</v>
      </c>
      <c r="J11" s="624">
        <v>23032.2868757941</v>
      </c>
      <c r="K11" s="127"/>
      <c r="L11" s="629">
        <v>4972237532.5684099</v>
      </c>
      <c r="M11" s="624">
        <v>14515.378261526799</v>
      </c>
      <c r="N11" s="127"/>
      <c r="O11" s="629">
        <v>59181405.2367604</v>
      </c>
      <c r="P11" s="624">
        <v>3987.5715508492999</v>
      </c>
    </row>
    <row r="12" spans="2:19" s="22" customFormat="1" ht="6" customHeight="1" x14ac:dyDescent="0.2">
      <c r="B12" s="43"/>
      <c r="C12" s="8"/>
      <c r="D12" s="125"/>
      <c r="E12" s="125"/>
      <c r="F12" s="639"/>
      <c r="G12" s="108"/>
      <c r="H12" s="128"/>
      <c r="I12" s="128"/>
      <c r="J12" s="108"/>
      <c r="K12" s="129"/>
      <c r="L12" s="129"/>
      <c r="M12" s="108"/>
      <c r="N12" s="129"/>
      <c r="O12" s="129"/>
      <c r="P12" s="108"/>
    </row>
    <row r="13" spans="2:19" s="22" customFormat="1" ht="11.25" x14ac:dyDescent="0.2">
      <c r="B13" s="24" t="s">
        <v>49</v>
      </c>
      <c r="C13" s="44"/>
      <c r="D13" s="625">
        <v>118599.95546572701</v>
      </c>
      <c r="E13" s="129"/>
      <c r="F13" s="626">
        <v>6305846982.1045599</v>
      </c>
      <c r="G13" s="626">
        <v>47595.3496652838</v>
      </c>
      <c r="H13" s="128"/>
      <c r="I13" s="628">
        <v>4251700976.7048101</v>
      </c>
      <c r="J13" s="626">
        <v>34283.669650560398</v>
      </c>
      <c r="K13" s="129"/>
      <c r="L13" s="625">
        <v>1848628926.0039799</v>
      </c>
      <c r="M13" s="626">
        <v>17804.9011204696</v>
      </c>
      <c r="N13" s="129"/>
      <c r="O13" s="625">
        <v>10455432.9732554</v>
      </c>
      <c r="P13" s="626">
        <v>1343.8742008274</v>
      </c>
    </row>
    <row r="14" spans="2:19" s="22" customFormat="1" ht="11.25" x14ac:dyDescent="0.2">
      <c r="B14" s="24" t="s">
        <v>50</v>
      </c>
      <c r="C14" s="44"/>
      <c r="D14" s="625">
        <v>34144.010735754797</v>
      </c>
      <c r="E14" s="129"/>
      <c r="F14" s="626">
        <v>2555940628.0529399</v>
      </c>
      <c r="G14" s="626">
        <v>57491.207195661198</v>
      </c>
      <c r="H14" s="128"/>
      <c r="I14" s="628">
        <v>1647863095.1045699</v>
      </c>
      <c r="J14" s="626">
        <v>37715.382778090898</v>
      </c>
      <c r="K14" s="129"/>
      <c r="L14" s="625">
        <v>808442317.98257005</v>
      </c>
      <c r="M14" s="626">
        <v>20948.565127891499</v>
      </c>
      <c r="N14" s="129"/>
      <c r="O14" s="625">
        <v>0</v>
      </c>
      <c r="P14" s="626">
        <v>1580.2771684521999</v>
      </c>
    </row>
    <row r="15" spans="2:19" s="22" customFormat="1" ht="11.25" x14ac:dyDescent="0.2">
      <c r="B15" s="24" t="s">
        <v>51</v>
      </c>
      <c r="C15" s="44"/>
      <c r="D15" s="625">
        <v>45315.143856428003</v>
      </c>
      <c r="E15" s="129"/>
      <c r="F15" s="627">
        <v>1369090890.9145899</v>
      </c>
      <c r="G15" s="627">
        <v>24634.143750569001</v>
      </c>
      <c r="H15" s="128"/>
      <c r="I15" s="628">
        <v>946660009.092098</v>
      </c>
      <c r="J15" s="627">
        <v>16563.061417021701</v>
      </c>
      <c r="K15" s="129"/>
      <c r="L15" s="625">
        <v>315846771.433474</v>
      </c>
      <c r="M15" s="627">
        <v>8341.7835536822004</v>
      </c>
      <c r="N15" s="129"/>
      <c r="O15" s="625">
        <v>0</v>
      </c>
      <c r="P15" s="627">
        <v>1717.8686498686</v>
      </c>
    </row>
    <row r="16" spans="2:19" s="22" customFormat="1" ht="11.25" x14ac:dyDescent="0.2">
      <c r="B16" s="24" t="s">
        <v>190</v>
      </c>
      <c r="C16" s="44"/>
      <c r="D16" s="625">
        <v>328485.79655065702</v>
      </c>
      <c r="E16" s="129"/>
      <c r="F16" s="627">
        <v>3087503463.3376098</v>
      </c>
      <c r="G16" s="627">
        <v>8802.1089672410999</v>
      </c>
      <c r="H16" s="128"/>
      <c r="I16" s="628">
        <v>2407197518.8398199</v>
      </c>
      <c r="J16" s="627">
        <v>6921.5024032789997</v>
      </c>
      <c r="K16" s="129"/>
      <c r="L16" s="625">
        <v>640331986.09415102</v>
      </c>
      <c r="M16" s="627">
        <v>3873.2658553414999</v>
      </c>
      <c r="N16" s="129"/>
      <c r="O16" s="143" t="s">
        <v>201</v>
      </c>
      <c r="P16" s="144" t="s">
        <v>201</v>
      </c>
    </row>
    <row r="17" spans="2:16" s="22" customFormat="1" ht="11.25" x14ac:dyDescent="0.2">
      <c r="B17" s="24" t="s">
        <v>191</v>
      </c>
      <c r="C17" s="44"/>
      <c r="D17" s="625">
        <v>56092.992423019903</v>
      </c>
      <c r="E17" s="129"/>
      <c r="F17" s="627">
        <v>1726439127.51559</v>
      </c>
      <c r="G17" s="627">
        <v>24832.140184794102</v>
      </c>
      <c r="H17" s="128"/>
      <c r="I17" s="628">
        <v>1343297527.15064</v>
      </c>
      <c r="J17" s="627">
        <v>19628.923532791199</v>
      </c>
      <c r="K17" s="129"/>
      <c r="L17" s="625">
        <v>350836474.49417299</v>
      </c>
      <c r="M17" s="627">
        <v>9467.389958918</v>
      </c>
      <c r="N17" s="129"/>
      <c r="O17" s="143" t="s">
        <v>201</v>
      </c>
      <c r="P17" s="144" t="s">
        <v>201</v>
      </c>
    </row>
    <row r="18" spans="2:16" ht="6" customHeight="1" x14ac:dyDescent="0.2">
      <c r="B18" s="11"/>
      <c r="C18" s="45"/>
      <c r="D18" s="130"/>
      <c r="E18" s="130"/>
      <c r="F18" s="12"/>
      <c r="G18" s="12"/>
      <c r="H18" s="74"/>
      <c r="I18" s="74"/>
      <c r="J18" s="74"/>
      <c r="K18" s="74"/>
      <c r="L18" s="74"/>
      <c r="M18" s="74"/>
      <c r="N18" s="74"/>
      <c r="O18" s="74"/>
      <c r="P18" s="74"/>
    </row>
    <row r="19" spans="2:16" ht="6" customHeight="1" x14ac:dyDescent="0.2">
      <c r="B19" s="23"/>
      <c r="C19" s="4"/>
      <c r="D19" s="4"/>
      <c r="E19" s="4"/>
      <c r="F19" s="4"/>
      <c r="G19" s="4"/>
      <c r="H19" s="44"/>
      <c r="I19" s="44"/>
      <c r="J19" s="39"/>
      <c r="K19" s="39"/>
      <c r="L19" s="39"/>
      <c r="M19" s="39"/>
      <c r="N19" s="39"/>
      <c r="O19" s="39"/>
      <c r="P19" s="39"/>
    </row>
    <row r="20" spans="2:16" ht="12.75" customHeight="1" x14ac:dyDescent="0.2">
      <c r="B20" s="23" t="s">
        <v>192</v>
      </c>
      <c r="C20" s="4"/>
      <c r="D20" s="4"/>
      <c r="E20" s="4"/>
      <c r="F20" s="4"/>
      <c r="G20" s="4"/>
      <c r="H20" s="44"/>
      <c r="I20" s="44"/>
      <c r="J20" s="39"/>
      <c r="K20" s="39"/>
      <c r="L20" s="39"/>
      <c r="M20" s="39"/>
      <c r="N20" s="39"/>
      <c r="O20" s="39"/>
      <c r="P20" s="39"/>
    </row>
    <row r="21" spans="2:16" ht="12.75" customHeight="1" x14ac:dyDescent="0.2">
      <c r="B21" s="23" t="s">
        <v>193</v>
      </c>
      <c r="C21" s="4"/>
      <c r="D21" s="4"/>
      <c r="E21" s="4"/>
      <c r="F21" s="4"/>
      <c r="G21" s="4"/>
      <c r="H21" s="44"/>
      <c r="I21" s="44"/>
      <c r="J21" s="39"/>
      <c r="K21" s="39"/>
      <c r="L21" s="39"/>
      <c r="M21" s="39"/>
      <c r="N21" s="39"/>
      <c r="O21" s="39"/>
      <c r="P21" s="39"/>
    </row>
    <row r="22" spans="2:16" ht="12.75" customHeight="1" x14ac:dyDescent="0.2">
      <c r="B22" s="23" t="s">
        <v>141</v>
      </c>
      <c r="C22" s="4"/>
      <c r="D22" s="4"/>
      <c r="E22" s="4"/>
      <c r="F22" s="4"/>
      <c r="G22" s="4"/>
      <c r="H22" s="44"/>
      <c r="I22" s="44"/>
      <c r="J22" s="39"/>
      <c r="K22" s="39"/>
      <c r="L22" s="39"/>
      <c r="M22" s="39"/>
      <c r="N22" s="39"/>
      <c r="O22" s="39"/>
      <c r="P22" s="39"/>
    </row>
    <row r="23" spans="2:16" s="13" customFormat="1" ht="14.25" x14ac:dyDescent="0.2">
      <c r="B23" s="146" t="s">
        <v>181</v>
      </c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</row>
  </sheetData>
  <mergeCells count="8">
    <mergeCell ref="B5:N5"/>
    <mergeCell ref="B7:B9"/>
    <mergeCell ref="D7:D9"/>
    <mergeCell ref="F7:G8"/>
    <mergeCell ref="J7:O7"/>
    <mergeCell ref="I8:J8"/>
    <mergeCell ref="L8:M8"/>
    <mergeCell ref="O8:P8"/>
  </mergeCells>
  <hyperlinks>
    <hyperlink ref="P1" location="Índice!A1" tooltip="Ir a ÍNDICE" display="INDICE" xr:uid="{B4F967EC-36F5-4E63-AC2B-C91B1F8FA42B}"/>
  </hyperlink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8EB96-2FD7-4595-BC3F-AD7ADB2978C8}">
  <dimension ref="B1:X238"/>
  <sheetViews>
    <sheetView showGridLines="0" zoomScaleNormal="100" workbookViewId="0"/>
  </sheetViews>
  <sheetFormatPr baseColWidth="10" defaultColWidth="11.42578125" defaultRowHeight="12.75" x14ac:dyDescent="0.2"/>
  <cols>
    <col min="1" max="1" width="1.7109375" customWidth="1"/>
    <col min="2" max="2" width="50.42578125" customWidth="1"/>
    <col min="3" max="3" width="1.7109375" customWidth="1"/>
    <col min="4" max="4" width="22" customWidth="1"/>
    <col min="5" max="5" width="1.7109375" customWidth="1"/>
    <col min="6" max="7" width="15.7109375" customWidth="1"/>
    <col min="8" max="8" width="1.7109375" customWidth="1"/>
    <col min="9" max="10" width="15.7109375" customWidth="1"/>
    <col min="11" max="11" width="1.7109375" customWidth="1"/>
    <col min="12" max="13" width="15.7109375" customWidth="1"/>
    <col min="14" max="14" width="1.7109375" customWidth="1"/>
    <col min="15" max="15" width="15.7109375" customWidth="1"/>
  </cols>
  <sheetData>
    <row r="1" spans="2:24" s="51" customFormat="1" ht="12" customHeight="1" x14ac:dyDescent="0.2">
      <c r="B1" s="640" t="s">
        <v>202</v>
      </c>
      <c r="C1" s="49"/>
      <c r="D1" s="50"/>
      <c r="E1" s="52"/>
      <c r="F1" s="52"/>
      <c r="G1" s="52"/>
      <c r="H1" s="52"/>
      <c r="I1" s="52"/>
      <c r="K1" s="52"/>
      <c r="L1" s="52"/>
      <c r="M1" s="52"/>
      <c r="N1" s="52"/>
      <c r="O1" s="72" t="s">
        <v>151</v>
      </c>
      <c r="P1" s="54"/>
      <c r="Q1" s="54"/>
      <c r="R1" s="54"/>
      <c r="S1" s="54"/>
      <c r="T1" s="54"/>
      <c r="U1" s="54"/>
      <c r="V1" s="54"/>
      <c r="W1" s="54"/>
      <c r="X1" s="54"/>
    </row>
    <row r="2" spans="2:24" s="51" customFormat="1" ht="6.95" customHeight="1" x14ac:dyDescent="0.2">
      <c r="B2" s="640"/>
      <c r="C2" s="49"/>
      <c r="D2" s="50"/>
      <c r="E2" s="52"/>
      <c r="F2" s="52"/>
      <c r="G2" s="52"/>
      <c r="H2" s="52"/>
      <c r="I2" s="52"/>
      <c r="J2" s="53"/>
      <c r="K2" s="52"/>
      <c r="L2" s="52"/>
      <c r="M2" s="52"/>
      <c r="N2" s="52"/>
      <c r="O2" s="54"/>
      <c r="P2" s="54"/>
      <c r="Q2" s="54"/>
      <c r="R2" s="54"/>
      <c r="S2" s="54"/>
      <c r="T2" s="54"/>
      <c r="U2" s="54"/>
      <c r="V2" s="54"/>
      <c r="W2" s="54"/>
      <c r="X2" s="54"/>
    </row>
    <row r="3" spans="2:24" s="51" customFormat="1" x14ac:dyDescent="0.2">
      <c r="B3" s="640" t="s">
        <v>199</v>
      </c>
      <c r="C3" s="635"/>
      <c r="D3" s="635"/>
      <c r="E3" s="635"/>
      <c r="F3" s="635"/>
      <c r="G3" s="635"/>
      <c r="H3" s="635"/>
      <c r="I3" s="635"/>
      <c r="J3" s="635"/>
      <c r="K3" s="635"/>
      <c r="L3" s="635"/>
      <c r="M3" s="635"/>
      <c r="N3" s="635"/>
      <c r="O3" s="635"/>
      <c r="P3" s="635"/>
      <c r="Q3" s="635"/>
      <c r="R3" s="635"/>
      <c r="S3" s="635"/>
      <c r="T3" s="54"/>
      <c r="U3" s="54"/>
      <c r="V3" s="54"/>
      <c r="W3" s="54"/>
      <c r="X3" s="54"/>
    </row>
    <row r="4" spans="2:24" s="51" customFormat="1" ht="6.95" customHeight="1" x14ac:dyDescent="0.2">
      <c r="B4" s="9"/>
      <c r="C4" s="49"/>
      <c r="D4" s="50"/>
      <c r="E4" s="52"/>
      <c r="F4" s="52"/>
      <c r="G4" s="52"/>
      <c r="H4" s="52"/>
      <c r="I4" s="52"/>
      <c r="K4" s="52"/>
      <c r="L4" s="52"/>
      <c r="M4" s="52"/>
      <c r="N4" s="52"/>
      <c r="O4" s="54"/>
      <c r="P4" s="54"/>
      <c r="Q4" s="54"/>
      <c r="R4" s="54"/>
      <c r="S4" s="54"/>
      <c r="T4" s="54"/>
      <c r="U4" s="54"/>
      <c r="V4" s="54"/>
      <c r="W4" s="54"/>
      <c r="X4" s="54"/>
    </row>
    <row r="5" spans="2:24" s="51" customFormat="1" ht="25.5" customHeight="1" x14ac:dyDescent="0.2">
      <c r="B5" s="734" t="s">
        <v>159</v>
      </c>
      <c r="C5" s="734"/>
      <c r="D5" s="734"/>
      <c r="E5" s="734"/>
      <c r="F5" s="734"/>
      <c r="G5" s="734"/>
      <c r="H5" s="734"/>
      <c r="I5" s="734"/>
      <c r="J5" s="734"/>
      <c r="K5" s="734"/>
      <c r="L5" s="734"/>
      <c r="M5" s="55"/>
      <c r="N5" s="55"/>
      <c r="O5" s="71" t="s">
        <v>122</v>
      </c>
      <c r="P5" s="54"/>
      <c r="Q5" s="54"/>
      <c r="R5" s="54"/>
      <c r="S5" s="54"/>
      <c r="T5" s="54"/>
      <c r="U5" s="54"/>
      <c r="V5" s="54"/>
      <c r="W5" s="54"/>
      <c r="X5" s="54"/>
    </row>
    <row r="6" spans="2:24" ht="6" customHeight="1" x14ac:dyDescent="0.2">
      <c r="B6" s="612"/>
      <c r="C6" s="4"/>
      <c r="D6" s="5"/>
      <c r="E6" s="33"/>
      <c r="F6" s="33"/>
      <c r="G6" s="33"/>
      <c r="H6" s="33"/>
      <c r="I6" s="33"/>
      <c r="J6" s="33"/>
      <c r="K6" s="33"/>
      <c r="L6" s="33"/>
      <c r="M6" s="33"/>
      <c r="N6" s="2"/>
      <c r="O6" s="2"/>
      <c r="P6" s="1"/>
      <c r="Q6" s="1"/>
      <c r="R6" s="1"/>
      <c r="S6" s="1"/>
      <c r="T6" s="1"/>
      <c r="U6" s="1"/>
      <c r="V6" s="1"/>
      <c r="W6" s="1"/>
      <c r="X6" s="1"/>
    </row>
    <row r="7" spans="2:24" ht="22.5" customHeight="1" x14ac:dyDescent="0.2">
      <c r="B7" s="735" t="s">
        <v>45</v>
      </c>
      <c r="C7" s="6"/>
      <c r="D7" s="738" t="s">
        <v>87</v>
      </c>
      <c r="E7" s="34"/>
      <c r="F7" s="741" t="s">
        <v>135</v>
      </c>
      <c r="G7" s="741"/>
      <c r="H7" s="741"/>
      <c r="I7" s="741"/>
      <c r="J7" s="741"/>
      <c r="K7" s="741"/>
      <c r="L7" s="741"/>
      <c r="M7" s="741"/>
      <c r="N7" s="46"/>
      <c r="O7" s="738" t="s">
        <v>136</v>
      </c>
      <c r="P7" s="1"/>
      <c r="Q7" s="1"/>
      <c r="R7" s="1"/>
      <c r="S7" s="1"/>
      <c r="T7" s="1"/>
      <c r="U7" s="1"/>
      <c r="V7" s="1"/>
      <c r="W7" s="1"/>
      <c r="X7" s="1"/>
    </row>
    <row r="8" spans="2:24" ht="37.5" customHeight="1" x14ac:dyDescent="0.2">
      <c r="B8" s="736"/>
      <c r="C8" s="613"/>
      <c r="D8" s="739"/>
      <c r="E8" s="33"/>
      <c r="F8" s="689" t="s">
        <v>46</v>
      </c>
      <c r="G8" s="689"/>
      <c r="H8" s="244"/>
      <c r="I8" s="689" t="s">
        <v>47</v>
      </c>
      <c r="J8" s="689"/>
      <c r="K8" s="245"/>
      <c r="L8" s="689" t="s">
        <v>48</v>
      </c>
      <c r="M8" s="689"/>
      <c r="N8" s="2"/>
      <c r="O8" s="739"/>
      <c r="P8" s="1"/>
      <c r="Q8" s="1"/>
      <c r="R8" s="1"/>
      <c r="S8" s="1"/>
      <c r="T8" s="1"/>
      <c r="U8" s="1"/>
      <c r="V8" s="1"/>
      <c r="W8" s="1"/>
      <c r="X8" s="1"/>
    </row>
    <row r="9" spans="2:24" ht="18.75" customHeight="1" x14ac:dyDescent="0.2">
      <c r="B9" s="737"/>
      <c r="C9" s="7"/>
      <c r="D9" s="740"/>
      <c r="E9" s="35"/>
      <c r="F9" s="614" t="s">
        <v>0</v>
      </c>
      <c r="G9" s="614" t="s">
        <v>1</v>
      </c>
      <c r="H9" s="614"/>
      <c r="I9" s="614" t="s">
        <v>0</v>
      </c>
      <c r="J9" s="614" t="s">
        <v>1</v>
      </c>
      <c r="K9" s="614"/>
      <c r="L9" s="614" t="s">
        <v>0</v>
      </c>
      <c r="M9" s="614" t="s">
        <v>1</v>
      </c>
      <c r="N9" s="47"/>
      <c r="O9" s="740"/>
      <c r="P9" s="1"/>
      <c r="Q9" s="1"/>
      <c r="R9" s="1"/>
      <c r="S9" s="1"/>
      <c r="T9" s="1"/>
      <c r="U9" s="1"/>
      <c r="V9" s="1"/>
      <c r="W9" s="1"/>
      <c r="X9" s="1"/>
    </row>
    <row r="10" spans="2:24" ht="6" customHeight="1" x14ac:dyDescent="0.2">
      <c r="B10" s="4"/>
      <c r="C10" s="4"/>
      <c r="D10" s="117"/>
      <c r="E10" s="118"/>
      <c r="F10" s="118"/>
      <c r="G10" s="118"/>
      <c r="H10" s="118"/>
      <c r="I10" s="118"/>
      <c r="J10" s="118"/>
      <c r="K10" s="118"/>
      <c r="L10" s="118"/>
      <c r="M10" s="118"/>
      <c r="N10" s="131"/>
      <c r="O10" s="131"/>
      <c r="P10" s="1"/>
      <c r="Q10" s="1"/>
      <c r="R10" s="1"/>
      <c r="S10" s="1"/>
      <c r="T10" s="1"/>
      <c r="U10" s="1"/>
      <c r="V10" s="1"/>
      <c r="W10" s="1"/>
      <c r="X10" s="1"/>
    </row>
    <row r="11" spans="2:24" s="80" customFormat="1" ht="11.25" x14ac:dyDescent="0.2">
      <c r="B11" s="36" t="s">
        <v>35</v>
      </c>
      <c r="C11" s="8"/>
      <c r="D11" s="334">
        <v>428091.14456171601</v>
      </c>
      <c r="E11" s="87"/>
      <c r="F11" s="334">
        <v>399022.53865751601</v>
      </c>
      <c r="G11" s="620">
        <v>89.830001518700001</v>
      </c>
      <c r="H11" s="119"/>
      <c r="I11" s="620">
        <v>219536.58048513401</v>
      </c>
      <c r="J11" s="620">
        <v>49.258387471500001</v>
      </c>
      <c r="K11" s="119"/>
      <c r="L11" s="620">
        <v>1857.6887116403</v>
      </c>
      <c r="M11" s="620">
        <v>0.39917371829999998</v>
      </c>
      <c r="N11" s="119"/>
      <c r="O11" s="620">
        <v>11631.619712867599</v>
      </c>
      <c r="P11" s="79"/>
      <c r="Q11" s="79"/>
      <c r="R11" s="79"/>
      <c r="S11" s="79"/>
      <c r="T11" s="79"/>
      <c r="U11" s="79"/>
      <c r="V11" s="79"/>
      <c r="W11" s="79"/>
      <c r="X11" s="79"/>
    </row>
    <row r="12" spans="2:24" s="82" customFormat="1" ht="6" customHeight="1" x14ac:dyDescent="0.2">
      <c r="B12" s="43"/>
      <c r="C12" s="8"/>
      <c r="D12" s="89"/>
      <c r="E12" s="89"/>
      <c r="F12" s="89"/>
      <c r="G12" s="120"/>
      <c r="H12" s="121"/>
      <c r="I12" s="121"/>
      <c r="J12" s="120"/>
      <c r="K12" s="121"/>
      <c r="L12" s="121"/>
      <c r="M12" s="120"/>
      <c r="N12" s="121"/>
      <c r="O12" s="121"/>
      <c r="P12" s="81"/>
      <c r="Q12" s="81"/>
      <c r="R12" s="81"/>
      <c r="S12" s="81"/>
      <c r="T12" s="81"/>
      <c r="U12" s="81"/>
      <c r="V12" s="81"/>
      <c r="W12" s="81"/>
      <c r="X12" s="81"/>
    </row>
    <row r="13" spans="2:24" s="82" customFormat="1" ht="11.25" x14ac:dyDescent="0.2">
      <c r="B13" s="24" t="s">
        <v>49</v>
      </c>
      <c r="C13" s="37"/>
      <c r="D13" s="279">
        <v>74224.336186940796</v>
      </c>
      <c r="E13" s="89"/>
      <c r="F13" s="279">
        <v>71403.740922249301</v>
      </c>
      <c r="G13" s="619">
        <v>94.061909887900001</v>
      </c>
      <c r="H13" s="121"/>
      <c r="I13" s="619">
        <v>51082.946299463001</v>
      </c>
      <c r="J13" s="619">
        <v>61.807677466299999</v>
      </c>
      <c r="K13" s="121"/>
      <c r="L13" s="619">
        <v>473.21306096569998</v>
      </c>
      <c r="M13" s="619">
        <v>0.50735905400000003</v>
      </c>
      <c r="N13" s="121"/>
      <c r="O13" s="619">
        <v>173.2473366628</v>
      </c>
      <c r="P13" s="81"/>
      <c r="Q13" s="81"/>
      <c r="R13" s="81"/>
      <c r="S13" s="81"/>
      <c r="T13" s="81"/>
      <c r="U13" s="81"/>
      <c r="V13" s="81"/>
      <c r="W13" s="81"/>
      <c r="X13" s="81"/>
    </row>
    <row r="14" spans="2:24" s="82" customFormat="1" ht="11.25" x14ac:dyDescent="0.2">
      <c r="B14" s="24" t="s">
        <v>50</v>
      </c>
      <c r="C14" s="37"/>
      <c r="D14" s="279">
        <v>24667.018018617699</v>
      </c>
      <c r="E14" s="89"/>
      <c r="F14" s="279">
        <v>20068.337862781202</v>
      </c>
      <c r="G14" s="619">
        <v>75.494732741799993</v>
      </c>
      <c r="H14" s="121"/>
      <c r="I14" s="619">
        <v>12876.221139810101</v>
      </c>
      <c r="J14" s="619">
        <v>45.848950498900003</v>
      </c>
      <c r="K14" s="121"/>
      <c r="L14" s="619">
        <v>281.28047060950001</v>
      </c>
      <c r="M14" s="619">
        <v>0.76575580430000001</v>
      </c>
      <c r="N14" s="121"/>
      <c r="O14" s="619">
        <v>87.118882502999995</v>
      </c>
      <c r="P14" s="81"/>
      <c r="Q14" s="81"/>
      <c r="R14" s="81"/>
      <c r="S14" s="81"/>
      <c r="T14" s="81"/>
      <c r="U14" s="81"/>
      <c r="V14" s="81"/>
      <c r="W14" s="81"/>
      <c r="X14" s="81"/>
    </row>
    <row r="15" spans="2:24" s="82" customFormat="1" ht="11.25" x14ac:dyDescent="0.2">
      <c r="B15" s="24" t="s">
        <v>51</v>
      </c>
      <c r="C15" s="37"/>
      <c r="D15" s="279">
        <v>24971.623677682401</v>
      </c>
      <c r="E15" s="89"/>
      <c r="F15" s="279">
        <v>21471.1245142486</v>
      </c>
      <c r="G15" s="619">
        <v>81.314499628999997</v>
      </c>
      <c r="H15" s="121"/>
      <c r="I15" s="619">
        <v>15397.049757156001</v>
      </c>
      <c r="J15" s="619">
        <v>54.975631363200002</v>
      </c>
      <c r="K15" s="121"/>
      <c r="L15" s="619">
        <v>0</v>
      </c>
      <c r="M15" s="619">
        <v>0</v>
      </c>
      <c r="N15" s="121"/>
      <c r="O15" s="619">
        <v>284.19271220140001</v>
      </c>
      <c r="P15" s="81"/>
      <c r="Q15" s="81"/>
      <c r="R15" s="81"/>
      <c r="S15" s="81"/>
      <c r="T15" s="81"/>
      <c r="U15" s="81"/>
      <c r="V15" s="81"/>
      <c r="W15" s="81"/>
      <c r="X15" s="81"/>
    </row>
    <row r="16" spans="2:24" s="82" customFormat="1" ht="11.25" x14ac:dyDescent="0.2">
      <c r="B16" s="24" t="s">
        <v>137</v>
      </c>
      <c r="C16" s="37"/>
      <c r="D16" s="279">
        <v>256066.24252987001</v>
      </c>
      <c r="E16" s="89"/>
      <c r="F16" s="279">
        <v>239406.303764913</v>
      </c>
      <c r="G16" s="619">
        <v>90.683375771499996</v>
      </c>
      <c r="H16" s="121"/>
      <c r="I16" s="619">
        <v>108966.44763955601</v>
      </c>
      <c r="J16" s="619">
        <v>40.170595454500003</v>
      </c>
      <c r="K16" s="121"/>
      <c r="L16" s="141" t="s">
        <v>201</v>
      </c>
      <c r="M16" s="142" t="s">
        <v>201</v>
      </c>
      <c r="N16" s="121"/>
      <c r="O16" s="619">
        <v>4764.3747255710996</v>
      </c>
      <c r="P16" s="81"/>
      <c r="Q16" s="81"/>
      <c r="R16" s="81"/>
      <c r="S16" s="81"/>
      <c r="T16" s="81"/>
      <c r="U16" s="81"/>
      <c r="V16" s="81"/>
      <c r="W16" s="81"/>
      <c r="X16" s="81"/>
    </row>
    <row r="17" spans="2:24" s="82" customFormat="1" ht="11.25" x14ac:dyDescent="0.2">
      <c r="B17" s="24" t="s">
        <v>138</v>
      </c>
      <c r="C17" s="37"/>
      <c r="D17" s="279">
        <v>55161.022319530297</v>
      </c>
      <c r="E17" s="89"/>
      <c r="F17" s="279">
        <v>48160.826067478702</v>
      </c>
      <c r="G17" s="619">
        <v>76.236234019899996</v>
      </c>
      <c r="H17" s="121"/>
      <c r="I17" s="619">
        <v>23251.656021188901</v>
      </c>
      <c r="J17" s="619">
        <v>37.755725533899998</v>
      </c>
      <c r="K17" s="121"/>
      <c r="L17" s="141" t="s">
        <v>201</v>
      </c>
      <c r="M17" s="142" t="s">
        <v>201</v>
      </c>
      <c r="N17" s="121"/>
      <c r="O17" s="619">
        <v>372.93372511910002</v>
      </c>
      <c r="P17" s="81"/>
      <c r="Q17" s="81"/>
      <c r="R17" s="81"/>
      <c r="S17" s="81"/>
      <c r="T17" s="81"/>
      <c r="U17" s="81"/>
      <c r="V17" s="81"/>
      <c r="W17" s="81"/>
      <c r="X17" s="81"/>
    </row>
    <row r="18" spans="2:24" s="82" customFormat="1" ht="6" customHeight="1" x14ac:dyDescent="0.2">
      <c r="B18" s="24"/>
      <c r="C18" s="37"/>
      <c r="D18" s="89"/>
      <c r="E18" s="121"/>
      <c r="F18" s="121"/>
      <c r="G18" s="120"/>
      <c r="H18" s="121"/>
      <c r="I18" s="121"/>
      <c r="J18" s="120"/>
      <c r="K18" s="121"/>
      <c r="L18" s="121"/>
      <c r="M18" s="120"/>
      <c r="N18" s="121"/>
      <c r="O18" s="121"/>
      <c r="P18" s="81"/>
      <c r="Q18" s="81"/>
      <c r="R18" s="81"/>
      <c r="S18" s="81"/>
      <c r="T18" s="81"/>
      <c r="U18" s="81"/>
      <c r="V18" s="81"/>
      <c r="W18" s="81"/>
      <c r="X18" s="81"/>
    </row>
    <row r="19" spans="2:24" s="80" customFormat="1" ht="11.25" x14ac:dyDescent="0.2">
      <c r="B19" s="636" t="s">
        <v>36</v>
      </c>
      <c r="C19" s="77"/>
      <c r="D19" s="334">
        <v>39933.584156083198</v>
      </c>
      <c r="E19" s="119"/>
      <c r="F19" s="620">
        <v>33627.927080333196</v>
      </c>
      <c r="G19" s="620">
        <v>54.622510460999997</v>
      </c>
      <c r="H19" s="119"/>
      <c r="I19" s="620">
        <v>19572.524719937799</v>
      </c>
      <c r="J19" s="620">
        <v>49.926295480999997</v>
      </c>
      <c r="K19" s="119"/>
      <c r="L19" s="620">
        <v>0</v>
      </c>
      <c r="M19" s="620">
        <v>0</v>
      </c>
      <c r="N19" s="119"/>
      <c r="O19" s="620">
        <v>557.85462735550004</v>
      </c>
      <c r="P19" s="79"/>
      <c r="Q19" s="79"/>
      <c r="R19" s="79"/>
      <c r="S19" s="79"/>
      <c r="T19" s="79"/>
      <c r="U19" s="79"/>
      <c r="V19" s="79"/>
      <c r="W19" s="79"/>
      <c r="X19" s="79"/>
    </row>
    <row r="20" spans="2:24" s="82" customFormat="1" ht="6" customHeight="1" x14ac:dyDescent="0.2">
      <c r="B20" s="37"/>
      <c r="C20" s="37"/>
      <c r="D20" s="121"/>
      <c r="E20" s="121"/>
      <c r="F20" s="121"/>
      <c r="G20" s="120"/>
      <c r="H20" s="121"/>
      <c r="I20" s="121"/>
      <c r="J20" s="120"/>
      <c r="K20" s="121"/>
      <c r="L20" s="121"/>
      <c r="M20" s="120"/>
      <c r="N20" s="121"/>
      <c r="O20" s="121"/>
      <c r="P20" s="81"/>
      <c r="Q20" s="81"/>
      <c r="R20" s="81"/>
      <c r="S20" s="81"/>
      <c r="T20" s="81"/>
      <c r="U20" s="81"/>
      <c r="V20" s="81"/>
      <c r="W20" s="81"/>
      <c r="X20" s="81"/>
    </row>
    <row r="21" spans="2:24" s="82" customFormat="1" ht="11.25" x14ac:dyDescent="0.2">
      <c r="B21" s="24" t="s">
        <v>49</v>
      </c>
      <c r="C21" s="37"/>
      <c r="D21" s="279">
        <v>7639.3521977054997</v>
      </c>
      <c r="E21" s="121"/>
      <c r="F21" s="619">
        <v>7406.4350991617002</v>
      </c>
      <c r="G21" s="619">
        <v>94.395254705900001</v>
      </c>
      <c r="H21" s="121"/>
      <c r="I21" s="619">
        <v>4328.4800263347997</v>
      </c>
      <c r="J21" s="619">
        <v>51.524191643800002</v>
      </c>
      <c r="K21" s="121"/>
      <c r="L21" s="619">
        <v>0</v>
      </c>
      <c r="M21" s="619">
        <v>0</v>
      </c>
      <c r="N21" s="121"/>
      <c r="O21" s="619">
        <v>0</v>
      </c>
      <c r="P21" s="81"/>
      <c r="Q21" s="81"/>
      <c r="R21" s="81"/>
      <c r="S21" s="81"/>
      <c r="T21" s="81"/>
      <c r="U21" s="81"/>
      <c r="V21" s="81"/>
      <c r="W21" s="81"/>
      <c r="X21" s="81"/>
    </row>
    <row r="22" spans="2:24" s="82" customFormat="1" ht="11.25" x14ac:dyDescent="0.2">
      <c r="B22" s="24" t="s">
        <v>50</v>
      </c>
      <c r="C22" s="37"/>
      <c r="D22" s="279">
        <v>828.26046660700001</v>
      </c>
      <c r="E22" s="121"/>
      <c r="F22" s="619">
        <v>290.94913716629998</v>
      </c>
      <c r="G22" s="619">
        <v>45.538918273999997</v>
      </c>
      <c r="H22" s="121"/>
      <c r="I22" s="619">
        <v>202.14728403699999</v>
      </c>
      <c r="J22" s="619">
        <v>58.407293169299997</v>
      </c>
      <c r="K22" s="121"/>
      <c r="L22" s="619">
        <v>0</v>
      </c>
      <c r="M22" s="619">
        <v>0</v>
      </c>
      <c r="N22" s="121"/>
      <c r="O22" s="619">
        <v>0</v>
      </c>
      <c r="P22" s="81"/>
      <c r="Q22" s="81"/>
      <c r="R22" s="81"/>
      <c r="S22" s="81"/>
      <c r="T22" s="81"/>
      <c r="U22" s="81"/>
      <c r="V22" s="81"/>
      <c r="W22" s="81"/>
      <c r="X22" s="81"/>
    </row>
    <row r="23" spans="2:24" s="82" customFormat="1" ht="11.25" x14ac:dyDescent="0.2">
      <c r="B23" s="24" t="s">
        <v>51</v>
      </c>
      <c r="C23" s="37"/>
      <c r="D23" s="279">
        <v>1408.2386252372</v>
      </c>
      <c r="E23" s="121"/>
      <c r="F23" s="619">
        <v>1123.1879044422999</v>
      </c>
      <c r="G23" s="619">
        <v>74.701506335999994</v>
      </c>
      <c r="H23" s="121"/>
      <c r="I23" s="619">
        <v>0</v>
      </c>
      <c r="J23" s="619">
        <v>9.8384287188999995</v>
      </c>
      <c r="K23" s="121"/>
      <c r="L23" s="619">
        <v>0</v>
      </c>
      <c r="M23" s="619">
        <v>0</v>
      </c>
      <c r="N23" s="121"/>
      <c r="O23" s="619">
        <v>0</v>
      </c>
      <c r="P23" s="81"/>
      <c r="Q23" s="81"/>
      <c r="R23" s="81"/>
      <c r="S23" s="81"/>
      <c r="T23" s="81"/>
      <c r="U23" s="81"/>
      <c r="V23" s="81"/>
      <c r="W23" s="81"/>
      <c r="X23" s="81"/>
    </row>
    <row r="24" spans="2:24" s="82" customFormat="1" ht="11.25" x14ac:dyDescent="0.2">
      <c r="B24" s="24" t="s">
        <v>52</v>
      </c>
      <c r="C24" s="37"/>
      <c r="D24" s="279">
        <v>22661.3561411509</v>
      </c>
      <c r="E24" s="121"/>
      <c r="F24" s="619">
        <v>17178.658483349602</v>
      </c>
      <c r="G24" s="619">
        <v>54.768356825600002</v>
      </c>
      <c r="H24" s="121"/>
      <c r="I24" s="619">
        <v>10062.8563756597</v>
      </c>
      <c r="J24" s="619">
        <v>43.024458313799997</v>
      </c>
      <c r="K24" s="121"/>
      <c r="L24" s="141" t="s">
        <v>201</v>
      </c>
      <c r="M24" s="142" t="s">
        <v>201</v>
      </c>
      <c r="N24" s="121"/>
      <c r="O24" s="619">
        <v>254.52481933190001</v>
      </c>
      <c r="P24" s="81"/>
      <c r="Q24" s="81"/>
      <c r="R24" s="81"/>
      <c r="S24" s="81"/>
      <c r="T24" s="81"/>
      <c r="U24" s="81"/>
      <c r="V24" s="81"/>
      <c r="W24" s="81"/>
      <c r="X24" s="81"/>
    </row>
    <row r="25" spans="2:24" s="82" customFormat="1" ht="11.25" x14ac:dyDescent="0.2">
      <c r="B25" s="24" t="s">
        <v>53</v>
      </c>
      <c r="C25" s="37"/>
      <c r="D25" s="279">
        <v>0</v>
      </c>
      <c r="E25" s="121"/>
      <c r="F25" s="619">
        <v>699.17711444179997</v>
      </c>
      <c r="G25" s="619">
        <v>0</v>
      </c>
      <c r="H25" s="121"/>
      <c r="I25" s="619">
        <v>0</v>
      </c>
      <c r="J25" s="619">
        <v>61.808051488300002</v>
      </c>
      <c r="K25" s="121"/>
      <c r="L25" s="141" t="s">
        <v>201</v>
      </c>
      <c r="M25" s="142" t="s">
        <v>201</v>
      </c>
      <c r="N25" s="121"/>
      <c r="O25" s="619">
        <v>0</v>
      </c>
      <c r="P25" s="81"/>
      <c r="Q25" s="81"/>
      <c r="R25" s="81"/>
      <c r="S25" s="81"/>
      <c r="T25" s="81"/>
      <c r="U25" s="81"/>
      <c r="V25" s="81"/>
      <c r="W25" s="81"/>
      <c r="X25" s="81"/>
    </row>
    <row r="26" spans="2:24" s="82" customFormat="1" ht="6" customHeight="1" x14ac:dyDescent="0.2">
      <c r="B26" s="24"/>
      <c r="C26" s="37"/>
      <c r="D26" s="89"/>
      <c r="E26" s="121"/>
      <c r="F26" s="121"/>
      <c r="G26" s="120"/>
      <c r="H26" s="121"/>
      <c r="I26" s="121"/>
      <c r="J26" s="120"/>
      <c r="K26" s="121"/>
      <c r="L26" s="121"/>
      <c r="M26" s="120"/>
      <c r="N26" s="121"/>
      <c r="O26" s="121"/>
      <c r="P26" s="81"/>
      <c r="Q26" s="81"/>
      <c r="R26" s="81"/>
      <c r="S26" s="81"/>
      <c r="T26" s="81"/>
      <c r="U26" s="81"/>
      <c r="V26" s="81"/>
      <c r="W26" s="81"/>
      <c r="X26" s="81"/>
    </row>
    <row r="27" spans="2:24" s="80" customFormat="1" ht="11.25" x14ac:dyDescent="0.2">
      <c r="B27" s="636" t="s">
        <v>37</v>
      </c>
      <c r="C27" s="77"/>
      <c r="D27" s="334">
        <v>50989.1577466452</v>
      </c>
      <c r="E27" s="119"/>
      <c r="F27" s="620">
        <v>48445.697262637797</v>
      </c>
      <c r="G27" s="620">
        <v>90.493538689900006</v>
      </c>
      <c r="H27" s="119"/>
      <c r="I27" s="620">
        <v>31270.813015415399</v>
      </c>
      <c r="J27" s="620">
        <v>56.713033542600002</v>
      </c>
      <c r="K27" s="119"/>
      <c r="L27" s="620">
        <v>0</v>
      </c>
      <c r="M27" s="620">
        <v>0</v>
      </c>
      <c r="N27" s="119"/>
      <c r="O27" s="620">
        <v>0</v>
      </c>
      <c r="P27" s="79"/>
      <c r="Q27" s="79"/>
      <c r="R27" s="79"/>
      <c r="S27" s="79"/>
      <c r="T27" s="79"/>
      <c r="U27" s="79"/>
      <c r="V27" s="79"/>
      <c r="W27" s="79"/>
      <c r="X27" s="79"/>
    </row>
    <row r="28" spans="2:24" s="82" customFormat="1" ht="6" customHeight="1" x14ac:dyDescent="0.2">
      <c r="B28" s="636"/>
      <c r="C28" s="37"/>
      <c r="D28" s="89"/>
      <c r="E28" s="121"/>
      <c r="F28" s="121"/>
      <c r="G28" s="120"/>
      <c r="H28" s="121"/>
      <c r="I28" s="121"/>
      <c r="J28" s="120"/>
      <c r="K28" s="121"/>
      <c r="L28" s="121"/>
      <c r="M28" s="120"/>
      <c r="N28" s="121"/>
      <c r="O28" s="121"/>
      <c r="P28" s="81"/>
      <c r="Q28" s="81"/>
      <c r="R28" s="81"/>
      <c r="S28" s="81"/>
      <c r="T28" s="81"/>
      <c r="U28" s="81"/>
      <c r="V28" s="81"/>
      <c r="W28" s="81"/>
      <c r="X28" s="81"/>
    </row>
    <row r="29" spans="2:24" s="82" customFormat="1" ht="11.25" x14ac:dyDescent="0.2">
      <c r="B29" s="24" t="s">
        <v>49</v>
      </c>
      <c r="C29" s="37"/>
      <c r="D29" s="279">
        <v>15913.9348228705</v>
      </c>
      <c r="E29" s="121"/>
      <c r="F29" s="619">
        <v>14556.173507059701</v>
      </c>
      <c r="G29" s="619">
        <v>86.948748920699998</v>
      </c>
      <c r="H29" s="121"/>
      <c r="I29" s="619">
        <v>11781.483303847799</v>
      </c>
      <c r="J29" s="619">
        <v>65.347895527399999</v>
      </c>
      <c r="K29" s="121"/>
      <c r="L29" s="619">
        <v>0</v>
      </c>
      <c r="M29" s="619">
        <v>0</v>
      </c>
      <c r="N29" s="121"/>
      <c r="O29" s="619">
        <v>0</v>
      </c>
      <c r="P29" s="81"/>
      <c r="Q29" s="81"/>
      <c r="R29" s="81"/>
      <c r="S29" s="81"/>
      <c r="T29" s="81"/>
      <c r="U29" s="81"/>
      <c r="V29" s="81"/>
      <c r="W29" s="81"/>
      <c r="X29" s="81"/>
    </row>
    <row r="30" spans="2:24" s="82" customFormat="1" ht="11.25" x14ac:dyDescent="0.2">
      <c r="B30" s="24" t="s">
        <v>50</v>
      </c>
      <c r="C30" s="37"/>
      <c r="D30" s="279">
        <v>2860.16885456</v>
      </c>
      <c r="E30" s="121"/>
      <c r="F30" s="619">
        <v>2605.3483216986001</v>
      </c>
      <c r="G30" s="619">
        <v>86.444788949599996</v>
      </c>
      <c r="H30" s="121"/>
      <c r="I30" s="619">
        <v>679.3900894981</v>
      </c>
      <c r="J30" s="619">
        <v>24.805304154000002</v>
      </c>
      <c r="K30" s="121"/>
      <c r="L30" s="619">
        <v>0</v>
      </c>
      <c r="M30" s="619">
        <v>0</v>
      </c>
      <c r="N30" s="121"/>
      <c r="O30" s="619">
        <v>0</v>
      </c>
      <c r="P30" s="81"/>
      <c r="Q30" s="81"/>
      <c r="R30" s="81"/>
      <c r="S30" s="81"/>
      <c r="T30" s="81"/>
      <c r="U30" s="81"/>
      <c r="V30" s="81"/>
      <c r="W30" s="81"/>
      <c r="X30" s="81"/>
    </row>
    <row r="31" spans="2:24" s="82" customFormat="1" ht="11.25" x14ac:dyDescent="0.2">
      <c r="B31" s="24" t="s">
        <v>51</v>
      </c>
      <c r="C31" s="37"/>
      <c r="D31" s="279">
        <v>669.88808134860005</v>
      </c>
      <c r="E31" s="121"/>
      <c r="F31" s="619">
        <v>422.10791499760001</v>
      </c>
      <c r="G31" s="619">
        <v>74.846166065399999</v>
      </c>
      <c r="H31" s="121"/>
      <c r="I31" s="619">
        <v>182.6798970033</v>
      </c>
      <c r="J31" s="619">
        <v>59.1846864786</v>
      </c>
      <c r="K31" s="121"/>
      <c r="L31" s="619">
        <v>0</v>
      </c>
      <c r="M31" s="619">
        <v>0</v>
      </c>
      <c r="N31" s="121"/>
      <c r="O31" s="619">
        <v>0</v>
      </c>
      <c r="P31" s="81"/>
      <c r="Q31" s="81"/>
      <c r="R31" s="81"/>
      <c r="S31" s="81"/>
      <c r="T31" s="81"/>
      <c r="U31" s="81"/>
      <c r="V31" s="81"/>
      <c r="W31" s="81"/>
      <c r="X31" s="81"/>
    </row>
    <row r="32" spans="2:24" s="82" customFormat="1" ht="11.25" x14ac:dyDescent="0.2">
      <c r="B32" s="24" t="s">
        <v>137</v>
      </c>
      <c r="C32" s="37"/>
      <c r="D32" s="279">
        <v>17128.073317606399</v>
      </c>
      <c r="E32" s="121"/>
      <c r="F32" s="619">
        <v>15419.1698087201</v>
      </c>
      <c r="G32" s="619">
        <v>81.996152762500003</v>
      </c>
      <c r="H32" s="121"/>
      <c r="I32" s="619">
        <v>5766.6086665420999</v>
      </c>
      <c r="J32" s="619">
        <v>28.4769979772</v>
      </c>
      <c r="K32" s="121"/>
      <c r="L32" s="141" t="s">
        <v>201</v>
      </c>
      <c r="M32" s="142" t="s">
        <v>201</v>
      </c>
      <c r="N32" s="121"/>
      <c r="O32" s="619">
        <v>0</v>
      </c>
      <c r="P32" s="81"/>
      <c r="Q32" s="81"/>
      <c r="R32" s="81"/>
      <c r="S32" s="81"/>
      <c r="T32" s="81"/>
      <c r="U32" s="81"/>
      <c r="V32" s="81"/>
      <c r="W32" s="81"/>
      <c r="X32" s="81"/>
    </row>
    <row r="33" spans="2:24" s="82" customFormat="1" ht="11.25" x14ac:dyDescent="0.2">
      <c r="B33" s="24" t="s">
        <v>138</v>
      </c>
      <c r="C33" s="37"/>
      <c r="D33" s="279">
        <v>3285.0166986724998</v>
      </c>
      <c r="E33" s="121"/>
      <c r="F33" s="619">
        <v>3023.7377134982999</v>
      </c>
      <c r="G33" s="619">
        <v>88.313031954500005</v>
      </c>
      <c r="H33" s="121"/>
      <c r="I33" s="619">
        <v>2250.4616491149</v>
      </c>
      <c r="J33" s="619">
        <v>64.840812444899996</v>
      </c>
      <c r="K33" s="121"/>
      <c r="L33" s="141" t="s">
        <v>201</v>
      </c>
      <c r="M33" s="142" t="s">
        <v>201</v>
      </c>
      <c r="N33" s="121"/>
      <c r="O33" s="619">
        <v>0</v>
      </c>
      <c r="P33" s="81"/>
      <c r="Q33" s="81"/>
      <c r="R33" s="81"/>
      <c r="S33" s="81"/>
      <c r="T33" s="81"/>
      <c r="U33" s="81"/>
      <c r="V33" s="81"/>
      <c r="W33" s="81"/>
      <c r="X33" s="81"/>
    </row>
    <row r="34" spans="2:24" s="82" customFormat="1" ht="6" customHeight="1" x14ac:dyDescent="0.2">
      <c r="B34" s="24"/>
      <c r="C34" s="37"/>
      <c r="D34" s="89"/>
      <c r="E34" s="121"/>
      <c r="F34" s="121"/>
      <c r="G34" s="120"/>
      <c r="H34" s="121"/>
      <c r="I34" s="121"/>
      <c r="J34" s="120"/>
      <c r="K34" s="121"/>
      <c r="L34" s="121"/>
      <c r="M34" s="120"/>
      <c r="N34" s="121"/>
      <c r="O34" s="121"/>
      <c r="P34" s="81"/>
      <c r="Q34" s="81"/>
      <c r="R34" s="81"/>
      <c r="S34" s="81"/>
      <c r="T34" s="81"/>
      <c r="U34" s="81"/>
      <c r="V34" s="81"/>
      <c r="W34" s="81"/>
      <c r="X34" s="81"/>
    </row>
    <row r="35" spans="2:24" s="80" customFormat="1" ht="11.25" x14ac:dyDescent="0.2">
      <c r="B35" s="637" t="s">
        <v>38</v>
      </c>
      <c r="C35" s="77"/>
      <c r="D35" s="334">
        <v>71567.758931145101</v>
      </c>
      <c r="E35" s="119"/>
      <c r="F35" s="620">
        <v>67541.699138466196</v>
      </c>
      <c r="G35" s="620">
        <v>91.822747672600002</v>
      </c>
      <c r="H35" s="119"/>
      <c r="I35" s="620">
        <v>33394.800247868399</v>
      </c>
      <c r="J35" s="620">
        <v>39.869894572600003</v>
      </c>
      <c r="K35" s="119"/>
      <c r="L35" s="620">
        <v>0</v>
      </c>
      <c r="M35" s="620">
        <v>0</v>
      </c>
      <c r="N35" s="119"/>
      <c r="O35" s="620">
        <v>461.12235536219998</v>
      </c>
      <c r="P35" s="79"/>
      <c r="Q35" s="79"/>
      <c r="R35" s="79"/>
      <c r="S35" s="79"/>
      <c r="T35" s="79"/>
      <c r="U35" s="79"/>
      <c r="V35" s="79"/>
      <c r="W35" s="79"/>
      <c r="X35" s="79"/>
    </row>
    <row r="36" spans="2:24" s="82" customFormat="1" ht="6" customHeight="1" x14ac:dyDescent="0.2">
      <c r="B36" s="24"/>
      <c r="C36" s="37"/>
      <c r="D36" s="89"/>
      <c r="E36" s="121"/>
      <c r="F36" s="121"/>
      <c r="G36" s="120"/>
      <c r="H36" s="121"/>
      <c r="I36" s="121"/>
      <c r="J36" s="120"/>
      <c r="K36" s="121"/>
      <c r="L36" s="121"/>
      <c r="M36" s="120"/>
      <c r="N36" s="121"/>
      <c r="O36" s="121"/>
      <c r="P36" s="81"/>
      <c r="Q36" s="81"/>
      <c r="R36" s="81"/>
      <c r="S36" s="81"/>
      <c r="T36" s="81"/>
      <c r="U36" s="81"/>
      <c r="V36" s="81"/>
      <c r="W36" s="81"/>
      <c r="X36" s="81"/>
    </row>
    <row r="37" spans="2:24" s="82" customFormat="1" ht="11.25" x14ac:dyDescent="0.2">
      <c r="B37" s="24" t="s">
        <v>49</v>
      </c>
      <c r="C37" s="37"/>
      <c r="D37" s="279">
        <v>8874.9579769756001</v>
      </c>
      <c r="E37" s="121"/>
      <c r="F37" s="619">
        <v>8874.9579769756001</v>
      </c>
      <c r="G37" s="619">
        <v>100</v>
      </c>
      <c r="H37" s="121"/>
      <c r="I37" s="619">
        <v>6212.5565301719998</v>
      </c>
      <c r="J37" s="619">
        <v>34.338878309000002</v>
      </c>
      <c r="K37" s="121"/>
      <c r="L37" s="619">
        <v>0</v>
      </c>
      <c r="M37" s="619">
        <v>0</v>
      </c>
      <c r="N37" s="121"/>
      <c r="O37" s="619">
        <v>0</v>
      </c>
      <c r="P37" s="81"/>
      <c r="Q37" s="81"/>
      <c r="R37" s="81"/>
      <c r="S37" s="81"/>
      <c r="T37" s="81"/>
      <c r="U37" s="81"/>
      <c r="V37" s="81"/>
      <c r="W37" s="81"/>
      <c r="X37" s="81"/>
    </row>
    <row r="38" spans="2:24" s="82" customFormat="1" ht="11.25" x14ac:dyDescent="0.2">
      <c r="B38" s="24" t="s">
        <v>50</v>
      </c>
      <c r="C38" s="37"/>
      <c r="D38" s="279">
        <v>4626.5675430369001</v>
      </c>
      <c r="E38" s="121"/>
      <c r="F38" s="619">
        <v>2551.4169939353001</v>
      </c>
      <c r="G38" s="619">
        <v>43.612255148199999</v>
      </c>
      <c r="H38" s="121"/>
      <c r="I38" s="619">
        <v>874.48914876050003</v>
      </c>
      <c r="J38" s="619">
        <v>17.055079643999999</v>
      </c>
      <c r="K38" s="121"/>
      <c r="L38" s="619">
        <v>0</v>
      </c>
      <c r="M38" s="619">
        <v>0</v>
      </c>
      <c r="N38" s="121"/>
      <c r="O38" s="619">
        <v>0</v>
      </c>
      <c r="P38" s="81"/>
      <c r="Q38" s="81"/>
      <c r="R38" s="81"/>
      <c r="S38" s="81"/>
      <c r="T38" s="81"/>
      <c r="U38" s="81"/>
      <c r="V38" s="81"/>
      <c r="W38" s="81"/>
      <c r="X38" s="81"/>
    </row>
    <row r="39" spans="2:24" s="82" customFormat="1" ht="11.25" x14ac:dyDescent="0.2">
      <c r="B39" s="24" t="s">
        <v>51</v>
      </c>
      <c r="C39" s="37"/>
      <c r="D39" s="279">
        <v>5038.9603088293998</v>
      </c>
      <c r="E39" s="121"/>
      <c r="F39" s="619">
        <v>3395.3919904519998</v>
      </c>
      <c r="G39" s="619">
        <v>57.493338186800003</v>
      </c>
      <c r="H39" s="121"/>
      <c r="I39" s="619">
        <v>3346.9369481837002</v>
      </c>
      <c r="J39" s="619">
        <v>61.731879286400002</v>
      </c>
      <c r="K39" s="121"/>
      <c r="L39" s="619">
        <v>0</v>
      </c>
      <c r="M39" s="619">
        <v>0</v>
      </c>
      <c r="N39" s="121"/>
      <c r="O39" s="619">
        <v>0</v>
      </c>
      <c r="P39" s="81"/>
      <c r="Q39" s="81"/>
      <c r="R39" s="81"/>
      <c r="S39" s="81"/>
      <c r="T39" s="81"/>
      <c r="U39" s="81"/>
      <c r="V39" s="81"/>
      <c r="W39" s="81"/>
      <c r="X39" s="81"/>
    </row>
    <row r="40" spans="2:24" s="82" customFormat="1" ht="11.25" x14ac:dyDescent="0.2">
      <c r="B40" s="24" t="s">
        <v>137</v>
      </c>
      <c r="C40" s="37"/>
      <c r="D40" s="279">
        <v>38407.9101534652</v>
      </c>
      <c r="E40" s="121"/>
      <c r="F40" s="619">
        <v>37749.268734464902</v>
      </c>
      <c r="G40" s="619">
        <v>97.557139645899994</v>
      </c>
      <c r="H40" s="121"/>
      <c r="I40" s="619">
        <v>11483.988584263199</v>
      </c>
      <c r="J40" s="619">
        <v>24.7187035862</v>
      </c>
      <c r="K40" s="121"/>
      <c r="L40" s="141" t="s">
        <v>201</v>
      </c>
      <c r="M40" s="142" t="s">
        <v>201</v>
      </c>
      <c r="N40" s="121"/>
      <c r="O40" s="619">
        <v>0</v>
      </c>
      <c r="P40" s="81"/>
      <c r="Q40" s="81"/>
      <c r="R40" s="81"/>
      <c r="S40" s="81"/>
      <c r="T40" s="81"/>
      <c r="U40" s="81"/>
      <c r="V40" s="81"/>
      <c r="W40" s="81"/>
      <c r="X40" s="81"/>
    </row>
    <row r="41" spans="2:24" s="82" customFormat="1" ht="11.25" x14ac:dyDescent="0.2">
      <c r="B41" s="24" t="s">
        <v>138</v>
      </c>
      <c r="C41" s="37"/>
      <c r="D41" s="279">
        <v>4449.3334756216</v>
      </c>
      <c r="E41" s="121"/>
      <c r="F41" s="619">
        <v>4449.3334756216</v>
      </c>
      <c r="G41" s="619">
        <v>100</v>
      </c>
      <c r="H41" s="121"/>
      <c r="I41" s="619">
        <v>2122.5486129772999</v>
      </c>
      <c r="J41" s="619">
        <v>43.743572690900002</v>
      </c>
      <c r="K41" s="121"/>
      <c r="L41" s="141" t="s">
        <v>201</v>
      </c>
      <c r="M41" s="142" t="s">
        <v>201</v>
      </c>
      <c r="N41" s="121"/>
      <c r="O41" s="619">
        <v>0</v>
      </c>
      <c r="P41" s="81"/>
      <c r="Q41" s="81"/>
      <c r="R41" s="81"/>
      <c r="S41" s="81"/>
      <c r="T41" s="81"/>
      <c r="U41" s="81"/>
      <c r="V41" s="81"/>
      <c r="W41" s="81"/>
      <c r="X41" s="81"/>
    </row>
    <row r="42" spans="2:24" s="82" customFormat="1" ht="6" customHeight="1" x14ac:dyDescent="0.2">
      <c r="B42" s="37"/>
      <c r="C42" s="37"/>
      <c r="D42" s="121"/>
      <c r="E42" s="121"/>
      <c r="F42" s="121"/>
      <c r="G42" s="120"/>
      <c r="H42" s="121"/>
      <c r="I42" s="121"/>
      <c r="J42" s="120"/>
      <c r="K42" s="121"/>
      <c r="L42" s="121"/>
      <c r="M42" s="120"/>
      <c r="N42" s="121"/>
      <c r="O42" s="121"/>
      <c r="P42" s="81"/>
      <c r="Q42" s="81"/>
      <c r="R42" s="81"/>
      <c r="S42" s="81"/>
      <c r="T42" s="81"/>
      <c r="U42" s="81"/>
      <c r="V42" s="81"/>
      <c r="W42" s="81"/>
      <c r="X42" s="81"/>
    </row>
    <row r="43" spans="2:24" s="80" customFormat="1" ht="11.25" x14ac:dyDescent="0.2">
      <c r="B43" s="637" t="s">
        <v>54</v>
      </c>
      <c r="C43" s="77"/>
      <c r="D43" s="334">
        <v>230681.37817607701</v>
      </c>
      <c r="E43" s="119"/>
      <c r="F43" s="620">
        <v>220227.58196933099</v>
      </c>
      <c r="G43" s="620">
        <v>94.2003571427</v>
      </c>
      <c r="H43" s="119"/>
      <c r="I43" s="620">
        <v>108324.538613639</v>
      </c>
      <c r="J43" s="620">
        <v>44.260985206400001</v>
      </c>
      <c r="K43" s="119"/>
      <c r="L43" s="620">
        <v>744.88315623380004</v>
      </c>
      <c r="M43" s="620">
        <v>0.2922146498</v>
      </c>
      <c r="N43" s="119"/>
      <c r="O43" s="620">
        <v>4544.5611757565002</v>
      </c>
      <c r="P43" s="79"/>
      <c r="Q43" s="79"/>
      <c r="R43" s="79"/>
      <c r="S43" s="79"/>
      <c r="T43" s="79"/>
      <c r="U43" s="79"/>
      <c r="V43" s="79"/>
      <c r="W43" s="79"/>
      <c r="X43" s="79"/>
    </row>
    <row r="44" spans="2:24" s="82" customFormat="1" ht="6" customHeight="1" x14ac:dyDescent="0.2">
      <c r="B44" s="24"/>
      <c r="C44" s="37"/>
      <c r="D44" s="89"/>
      <c r="E44" s="121"/>
      <c r="F44" s="121"/>
      <c r="G44" s="120"/>
      <c r="H44" s="121"/>
      <c r="I44" s="121"/>
      <c r="J44" s="120"/>
      <c r="K44" s="121"/>
      <c r="L44" s="121"/>
      <c r="M44" s="120"/>
      <c r="N44" s="121"/>
      <c r="O44" s="121"/>
      <c r="P44" s="81"/>
      <c r="Q44" s="81"/>
      <c r="R44" s="81"/>
      <c r="S44" s="81"/>
      <c r="T44" s="81"/>
      <c r="U44" s="81"/>
      <c r="V44" s="81"/>
      <c r="W44" s="81"/>
      <c r="X44" s="81"/>
    </row>
    <row r="45" spans="2:24" s="82" customFormat="1" ht="12" customHeight="1" x14ac:dyDescent="0.2">
      <c r="B45" s="24" t="s">
        <v>49</v>
      </c>
      <c r="C45" s="37"/>
      <c r="D45" s="279">
        <v>25157.424315484499</v>
      </c>
      <c r="E45" s="121"/>
      <c r="F45" s="619">
        <v>24022.2972348556</v>
      </c>
      <c r="G45" s="619">
        <v>92.818318976100002</v>
      </c>
      <c r="H45" s="121"/>
      <c r="I45" s="619">
        <v>16080.9169347522</v>
      </c>
      <c r="J45" s="619">
        <v>57.040137759700002</v>
      </c>
      <c r="K45" s="121"/>
      <c r="L45" s="619">
        <v>0</v>
      </c>
      <c r="M45" s="619">
        <v>0</v>
      </c>
      <c r="N45" s="121"/>
      <c r="O45" s="619">
        <v>0</v>
      </c>
      <c r="P45" s="81"/>
      <c r="Q45" s="81"/>
      <c r="R45" s="81"/>
      <c r="S45" s="81"/>
      <c r="T45" s="81"/>
      <c r="U45" s="81"/>
      <c r="V45" s="81"/>
      <c r="W45" s="81"/>
      <c r="X45" s="81"/>
    </row>
    <row r="46" spans="2:24" s="82" customFormat="1" ht="11.25" x14ac:dyDescent="0.2">
      <c r="B46" s="24" t="s">
        <v>50</v>
      </c>
      <c r="C46" s="37"/>
      <c r="D46" s="279">
        <v>7996.3039535222997</v>
      </c>
      <c r="E46" s="121"/>
      <c r="F46" s="619">
        <v>7050.7530490542003</v>
      </c>
      <c r="G46" s="619">
        <v>86.076500178200007</v>
      </c>
      <c r="H46" s="121"/>
      <c r="I46" s="619">
        <v>4536.4588316743002</v>
      </c>
      <c r="J46" s="619">
        <v>45.075185878299997</v>
      </c>
      <c r="K46" s="121"/>
      <c r="L46" s="619">
        <v>91.278523751199998</v>
      </c>
      <c r="M46" s="619">
        <v>0.24734433259999999</v>
      </c>
      <c r="N46" s="121"/>
      <c r="O46" s="619">
        <v>0</v>
      </c>
      <c r="P46" s="81"/>
      <c r="Q46" s="81"/>
      <c r="R46" s="81"/>
      <c r="S46" s="81"/>
      <c r="T46" s="81"/>
      <c r="U46" s="81"/>
      <c r="V46" s="81"/>
      <c r="W46" s="81"/>
      <c r="X46" s="81"/>
    </row>
    <row r="47" spans="2:24" s="82" customFormat="1" ht="11.25" x14ac:dyDescent="0.2">
      <c r="B47" s="24" t="s">
        <v>51</v>
      </c>
      <c r="C47" s="37"/>
      <c r="D47" s="279">
        <v>10503.802102330999</v>
      </c>
      <c r="E47" s="121"/>
      <c r="F47" s="619">
        <v>9567.3476386169004</v>
      </c>
      <c r="G47" s="619">
        <v>87.614974992100002</v>
      </c>
      <c r="H47" s="121"/>
      <c r="I47" s="619">
        <v>5749.8694733044003</v>
      </c>
      <c r="J47" s="619">
        <v>43.734893629799998</v>
      </c>
      <c r="K47" s="121"/>
      <c r="L47" s="619">
        <v>0</v>
      </c>
      <c r="M47" s="619">
        <v>0</v>
      </c>
      <c r="N47" s="121"/>
      <c r="O47" s="619">
        <v>0</v>
      </c>
      <c r="P47" s="81"/>
      <c r="Q47" s="81"/>
      <c r="R47" s="81"/>
      <c r="S47" s="81"/>
      <c r="T47" s="81"/>
      <c r="U47" s="81"/>
      <c r="V47" s="81"/>
      <c r="W47" s="81"/>
      <c r="X47" s="81"/>
    </row>
    <row r="48" spans="2:24" s="82" customFormat="1" ht="11.25" x14ac:dyDescent="0.2">
      <c r="B48" s="24" t="s">
        <v>137</v>
      </c>
      <c r="C48" s="37"/>
      <c r="D48" s="279">
        <v>155203.41167873499</v>
      </c>
      <c r="E48" s="121"/>
      <c r="F48" s="619">
        <v>148790.968911845</v>
      </c>
      <c r="G48" s="619">
        <v>94.437590310000004</v>
      </c>
      <c r="H48" s="121"/>
      <c r="I48" s="619">
        <v>65360.040826727702</v>
      </c>
      <c r="J48" s="619">
        <v>39.126421939300002</v>
      </c>
      <c r="K48" s="121"/>
      <c r="L48" s="141" t="s">
        <v>201</v>
      </c>
      <c r="M48" s="142" t="s">
        <v>201</v>
      </c>
      <c r="N48" s="121"/>
      <c r="O48" s="619">
        <v>1739.3157397893999</v>
      </c>
      <c r="P48" s="81"/>
      <c r="Q48" s="81"/>
      <c r="R48" s="81"/>
      <c r="S48" s="81"/>
      <c r="T48" s="81"/>
      <c r="U48" s="81"/>
      <c r="V48" s="81"/>
      <c r="W48" s="81"/>
      <c r="X48" s="81"/>
    </row>
    <row r="49" spans="2:24" s="82" customFormat="1" ht="11.25" x14ac:dyDescent="0.2">
      <c r="B49" s="24" t="s">
        <v>138</v>
      </c>
      <c r="C49" s="37"/>
      <c r="D49" s="279">
        <v>36221.235998136202</v>
      </c>
      <c r="E49" s="121"/>
      <c r="F49" s="619">
        <v>32026.869932345398</v>
      </c>
      <c r="G49" s="619">
        <v>82.002564297500001</v>
      </c>
      <c r="H49" s="121"/>
      <c r="I49" s="619">
        <v>11003.5520246296</v>
      </c>
      <c r="J49" s="619">
        <v>24.451360066599999</v>
      </c>
      <c r="K49" s="121"/>
      <c r="L49" s="141" t="s">
        <v>201</v>
      </c>
      <c r="M49" s="142" t="s">
        <v>201</v>
      </c>
      <c r="N49" s="121"/>
      <c r="O49" s="619">
        <v>372.93372511910002</v>
      </c>
      <c r="P49" s="81"/>
      <c r="Q49" s="81"/>
      <c r="R49" s="81"/>
      <c r="S49" s="81"/>
      <c r="T49" s="81"/>
      <c r="U49" s="81"/>
      <c r="V49" s="81"/>
      <c r="W49" s="81"/>
      <c r="X49" s="81"/>
    </row>
    <row r="50" spans="2:24" s="82" customFormat="1" ht="6" customHeight="1" x14ac:dyDescent="0.2">
      <c r="B50" s="11"/>
      <c r="C50" s="38"/>
      <c r="D50" s="12"/>
      <c r="E50" s="132"/>
      <c r="F50" s="132"/>
      <c r="G50" s="132"/>
      <c r="H50" s="132"/>
      <c r="I50" s="132"/>
      <c r="J50" s="132"/>
      <c r="K50" s="132"/>
      <c r="L50" s="132"/>
      <c r="M50" s="132"/>
      <c r="N50" s="132"/>
      <c r="O50" s="132"/>
      <c r="P50" s="81"/>
      <c r="Q50" s="81"/>
      <c r="R50" s="81"/>
      <c r="S50" s="81"/>
      <c r="T50" s="81"/>
      <c r="U50" s="81"/>
      <c r="V50" s="81"/>
      <c r="W50" s="81"/>
      <c r="X50" s="81"/>
    </row>
    <row r="51" spans="2:24" ht="6" customHeight="1" x14ac:dyDescent="0.2">
      <c r="B51" s="23"/>
      <c r="C51" s="4"/>
      <c r="D51" s="4"/>
      <c r="E51" s="37"/>
      <c r="F51" s="33"/>
      <c r="G51" s="33"/>
      <c r="H51" s="33"/>
      <c r="I51" s="33"/>
      <c r="J51" s="33"/>
      <c r="K51" s="33"/>
      <c r="L51" s="33"/>
      <c r="M51" s="33"/>
      <c r="N51" s="2"/>
      <c r="O51" s="2"/>
      <c r="P51" s="1"/>
      <c r="Q51" s="1"/>
      <c r="R51" s="1"/>
      <c r="S51" s="1"/>
      <c r="T51" s="1"/>
      <c r="U51" s="1"/>
      <c r="V51" s="1"/>
      <c r="W51" s="1"/>
      <c r="X51" s="1"/>
    </row>
    <row r="52" spans="2:24" x14ac:dyDescent="0.2">
      <c r="B52" s="23" t="s">
        <v>139</v>
      </c>
      <c r="C52" s="4"/>
      <c r="D52" s="4"/>
      <c r="E52" s="37"/>
      <c r="F52" s="33"/>
      <c r="G52" s="33"/>
      <c r="H52" s="33"/>
      <c r="I52" s="33"/>
      <c r="J52" s="33"/>
      <c r="K52" s="33"/>
      <c r="L52" s="33"/>
      <c r="M52" s="33"/>
      <c r="N52" s="2"/>
      <c r="O52" s="2"/>
      <c r="P52" s="1"/>
      <c r="Q52" s="1"/>
      <c r="R52" s="1"/>
      <c r="S52" s="1"/>
      <c r="T52" s="1"/>
      <c r="U52" s="1"/>
      <c r="V52" s="1"/>
      <c r="W52" s="1"/>
      <c r="X52" s="1"/>
    </row>
    <row r="53" spans="2:24" x14ac:dyDescent="0.2">
      <c r="B53" s="23" t="s">
        <v>143</v>
      </c>
      <c r="C53" s="4"/>
      <c r="D53" s="4"/>
      <c r="E53" s="37"/>
      <c r="F53" s="33"/>
      <c r="G53" s="33"/>
      <c r="H53" s="33"/>
      <c r="I53" s="33"/>
      <c r="J53" s="33"/>
      <c r="K53" s="33"/>
      <c r="L53" s="33"/>
      <c r="M53" s="33"/>
      <c r="N53" s="2"/>
      <c r="O53" s="2"/>
      <c r="P53" s="1"/>
      <c r="Q53" s="1"/>
      <c r="R53" s="1"/>
      <c r="S53" s="1"/>
      <c r="T53" s="1"/>
      <c r="U53" s="1"/>
      <c r="V53" s="1"/>
      <c r="W53" s="1"/>
      <c r="X53" s="1"/>
    </row>
    <row r="54" spans="2:24" x14ac:dyDescent="0.2">
      <c r="B54" s="23" t="s">
        <v>141</v>
      </c>
      <c r="C54" s="4"/>
      <c r="D54" s="4"/>
      <c r="E54" s="37"/>
      <c r="F54" s="33"/>
      <c r="G54" s="33"/>
      <c r="H54" s="33"/>
      <c r="I54" s="33"/>
      <c r="J54" s="33"/>
      <c r="K54" s="33"/>
      <c r="L54" s="33"/>
      <c r="M54" s="33"/>
      <c r="N54" s="2"/>
      <c r="O54" s="2"/>
      <c r="P54" s="1"/>
      <c r="Q54" s="1"/>
      <c r="R54" s="1"/>
      <c r="S54" s="1"/>
      <c r="T54" s="1"/>
      <c r="U54" s="1"/>
      <c r="V54" s="1"/>
      <c r="W54" s="1"/>
      <c r="X54" s="1"/>
    </row>
    <row r="55" spans="2:24" x14ac:dyDescent="0.2">
      <c r="B55" s="23" t="s">
        <v>142</v>
      </c>
      <c r="C55" s="4"/>
      <c r="D55" s="4"/>
      <c r="E55" s="37"/>
      <c r="F55" s="33"/>
      <c r="G55" s="33"/>
      <c r="H55" s="33"/>
      <c r="I55" s="33"/>
      <c r="J55" s="33"/>
      <c r="K55" s="33"/>
      <c r="L55" s="33"/>
      <c r="M55" s="33"/>
      <c r="N55" s="2"/>
      <c r="O55" s="2"/>
      <c r="P55" s="1"/>
      <c r="Q55" s="1"/>
      <c r="R55" s="1"/>
      <c r="S55" s="1"/>
      <c r="T55" s="1"/>
      <c r="U55" s="1"/>
      <c r="V55" s="1"/>
      <c r="W55" s="1"/>
      <c r="X55" s="1"/>
    </row>
    <row r="56" spans="2:24" s="13" customFormat="1" ht="14.25" x14ac:dyDescent="0.2">
      <c r="B56" s="109" t="s">
        <v>57</v>
      </c>
    </row>
    <row r="57" spans="2:24" x14ac:dyDescent="0.2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1"/>
      <c r="Q57" s="1"/>
      <c r="R57" s="1"/>
      <c r="S57" s="1"/>
      <c r="T57" s="1"/>
      <c r="U57" s="1"/>
      <c r="V57" s="1"/>
      <c r="W57" s="1"/>
      <c r="X57" s="1"/>
    </row>
    <row r="58" spans="2:24" x14ac:dyDescent="0.2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1"/>
      <c r="Q58" s="1"/>
      <c r="R58" s="1"/>
      <c r="S58" s="1"/>
      <c r="T58" s="1"/>
      <c r="U58" s="1"/>
      <c r="V58" s="1"/>
      <c r="W58" s="1"/>
      <c r="X58" s="1"/>
    </row>
    <row r="59" spans="2:24" x14ac:dyDescent="0.2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1"/>
      <c r="Q59" s="1"/>
      <c r="R59" s="1"/>
      <c r="S59" s="1"/>
      <c r="T59" s="1"/>
      <c r="U59" s="1"/>
      <c r="V59" s="1"/>
      <c r="W59" s="1"/>
      <c r="X59" s="1"/>
    </row>
    <row r="60" spans="2:24" x14ac:dyDescent="0.2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1"/>
      <c r="Q60" s="1"/>
      <c r="R60" s="1"/>
      <c r="S60" s="1"/>
      <c r="T60" s="1"/>
      <c r="U60" s="1"/>
      <c r="V60" s="1"/>
      <c r="W60" s="1"/>
      <c r="X60" s="1"/>
    </row>
    <row r="61" spans="2:24" x14ac:dyDescent="0.2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1"/>
      <c r="Q61" s="1"/>
      <c r="R61" s="1"/>
      <c r="S61" s="1"/>
      <c r="T61" s="1"/>
      <c r="U61" s="1"/>
      <c r="V61" s="1"/>
      <c r="W61" s="1"/>
      <c r="X61" s="1"/>
    </row>
    <row r="62" spans="2:24" x14ac:dyDescent="0.2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1"/>
      <c r="Q62" s="1"/>
      <c r="R62" s="1"/>
      <c r="S62" s="1"/>
      <c r="T62" s="1"/>
      <c r="U62" s="1"/>
      <c r="V62" s="1"/>
      <c r="W62" s="1"/>
      <c r="X62" s="1"/>
    </row>
    <row r="63" spans="2:24" x14ac:dyDescent="0.2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1"/>
      <c r="Q63" s="1"/>
      <c r="R63" s="1"/>
      <c r="S63" s="1"/>
      <c r="T63" s="1"/>
      <c r="U63" s="1"/>
      <c r="V63" s="1"/>
      <c r="W63" s="1"/>
      <c r="X63" s="1"/>
    </row>
    <row r="64" spans="2:24" x14ac:dyDescent="0.2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1"/>
      <c r="Q64" s="1"/>
      <c r="R64" s="1"/>
      <c r="S64" s="1"/>
      <c r="T64" s="1"/>
      <c r="U64" s="1"/>
      <c r="V64" s="1"/>
      <c r="W64" s="1"/>
      <c r="X64" s="1"/>
    </row>
    <row r="65" spans="2:24" x14ac:dyDescent="0.2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1"/>
      <c r="Q65" s="1"/>
      <c r="R65" s="1"/>
      <c r="S65" s="1"/>
      <c r="T65" s="1"/>
      <c r="U65" s="1"/>
      <c r="V65" s="1"/>
      <c r="W65" s="1"/>
      <c r="X65" s="1"/>
    </row>
    <row r="66" spans="2:24" x14ac:dyDescent="0.2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1"/>
      <c r="Q66" s="1"/>
      <c r="R66" s="1"/>
      <c r="S66" s="1"/>
      <c r="T66" s="1"/>
      <c r="U66" s="1"/>
      <c r="V66" s="1"/>
      <c r="W66" s="1"/>
      <c r="X66" s="1"/>
    </row>
    <row r="67" spans="2:24" x14ac:dyDescent="0.2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1"/>
      <c r="Q67" s="1"/>
      <c r="R67" s="1"/>
      <c r="S67" s="1"/>
      <c r="T67" s="1"/>
      <c r="U67" s="1"/>
      <c r="V67" s="1"/>
      <c r="W67" s="1"/>
      <c r="X67" s="1"/>
    </row>
    <row r="68" spans="2:24" x14ac:dyDescent="0.2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1"/>
      <c r="Q68" s="1"/>
      <c r="R68" s="1"/>
      <c r="S68" s="1"/>
      <c r="T68" s="1"/>
      <c r="U68" s="1"/>
      <c r="V68" s="1"/>
      <c r="W68" s="1"/>
      <c r="X68" s="1"/>
    </row>
    <row r="69" spans="2:24" x14ac:dyDescent="0.2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1"/>
      <c r="Q69" s="1"/>
      <c r="R69" s="1"/>
      <c r="S69" s="1"/>
      <c r="T69" s="1"/>
      <c r="U69" s="1"/>
      <c r="V69" s="1"/>
      <c r="W69" s="1"/>
      <c r="X69" s="1"/>
    </row>
    <row r="70" spans="2:24" x14ac:dyDescent="0.2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1"/>
      <c r="Q70" s="1"/>
      <c r="R70" s="1"/>
      <c r="S70" s="1"/>
      <c r="T70" s="1"/>
      <c r="U70" s="1"/>
      <c r="V70" s="1"/>
      <c r="W70" s="1"/>
      <c r="X70" s="1"/>
    </row>
    <row r="71" spans="2:24" x14ac:dyDescent="0.2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1"/>
      <c r="Q71" s="1"/>
      <c r="R71" s="1"/>
      <c r="S71" s="1"/>
      <c r="T71" s="1"/>
      <c r="U71" s="1"/>
      <c r="V71" s="1"/>
      <c r="W71" s="1"/>
      <c r="X71" s="1"/>
    </row>
    <row r="72" spans="2:24" x14ac:dyDescent="0.2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1"/>
      <c r="Q72" s="1"/>
      <c r="R72" s="1"/>
      <c r="S72" s="1"/>
      <c r="T72" s="1"/>
      <c r="U72" s="1"/>
      <c r="V72" s="1"/>
      <c r="W72" s="1"/>
      <c r="X72" s="1"/>
    </row>
    <row r="73" spans="2:24" x14ac:dyDescent="0.2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1"/>
      <c r="Q73" s="1"/>
      <c r="R73" s="1"/>
      <c r="S73" s="1"/>
      <c r="T73" s="1"/>
      <c r="U73" s="1"/>
      <c r="V73" s="1"/>
      <c r="W73" s="1"/>
      <c r="X73" s="1"/>
    </row>
    <row r="74" spans="2:24" x14ac:dyDescent="0.2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1"/>
      <c r="Q74" s="1"/>
      <c r="R74" s="1"/>
      <c r="S74" s="1"/>
      <c r="T74" s="1"/>
      <c r="U74" s="1"/>
      <c r="V74" s="1"/>
      <c r="W74" s="1"/>
      <c r="X74" s="1"/>
    </row>
    <row r="75" spans="2:24" x14ac:dyDescent="0.2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1"/>
      <c r="Q75" s="1"/>
      <c r="R75" s="1"/>
      <c r="S75" s="1"/>
      <c r="T75" s="1"/>
      <c r="U75" s="1"/>
      <c r="V75" s="1"/>
      <c r="W75" s="1"/>
      <c r="X75" s="1"/>
    </row>
    <row r="76" spans="2:24" x14ac:dyDescent="0.2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1"/>
      <c r="Q76" s="1"/>
      <c r="R76" s="1"/>
      <c r="S76" s="1"/>
      <c r="T76" s="1"/>
      <c r="U76" s="1"/>
      <c r="V76" s="1"/>
      <c r="W76" s="1"/>
      <c r="X76" s="1"/>
    </row>
    <row r="77" spans="2:24" x14ac:dyDescent="0.2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1"/>
      <c r="Q77" s="1"/>
      <c r="R77" s="1"/>
      <c r="S77" s="1"/>
      <c r="T77" s="1"/>
      <c r="U77" s="1"/>
      <c r="V77" s="1"/>
      <c r="W77" s="1"/>
      <c r="X77" s="1"/>
    </row>
    <row r="78" spans="2:24" x14ac:dyDescent="0.2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1"/>
      <c r="Q78" s="1"/>
      <c r="R78" s="1"/>
      <c r="S78" s="1"/>
      <c r="T78" s="1"/>
      <c r="U78" s="1"/>
      <c r="V78" s="1"/>
      <c r="W78" s="1"/>
      <c r="X78" s="1"/>
    </row>
    <row r="79" spans="2:24" x14ac:dyDescent="0.2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1"/>
      <c r="Q79" s="1"/>
      <c r="R79" s="1"/>
      <c r="S79" s="1"/>
      <c r="T79" s="1"/>
      <c r="U79" s="1"/>
      <c r="V79" s="1"/>
      <c r="W79" s="1"/>
      <c r="X79" s="1"/>
    </row>
    <row r="80" spans="2:24" x14ac:dyDescent="0.2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1"/>
      <c r="Q80" s="1"/>
      <c r="R80" s="1"/>
      <c r="S80" s="1"/>
      <c r="T80" s="1"/>
      <c r="U80" s="1"/>
      <c r="V80" s="1"/>
      <c r="W80" s="1"/>
      <c r="X80" s="1"/>
    </row>
    <row r="81" spans="2:24" x14ac:dyDescent="0.2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1"/>
      <c r="Q81" s="1"/>
      <c r="R81" s="1"/>
      <c r="S81" s="1"/>
      <c r="T81" s="1"/>
      <c r="U81" s="1"/>
      <c r="V81" s="1"/>
      <c r="W81" s="1"/>
      <c r="X81" s="1"/>
    </row>
    <row r="82" spans="2:24" x14ac:dyDescent="0.2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1"/>
      <c r="Q82" s="1"/>
      <c r="R82" s="1"/>
      <c r="S82" s="1"/>
      <c r="T82" s="1"/>
      <c r="U82" s="1"/>
      <c r="V82" s="1"/>
      <c r="W82" s="1"/>
      <c r="X82" s="1"/>
    </row>
    <row r="83" spans="2:24" x14ac:dyDescent="0.2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1"/>
      <c r="Q83" s="1"/>
      <c r="R83" s="1"/>
      <c r="S83" s="1"/>
      <c r="T83" s="1"/>
      <c r="U83" s="1"/>
      <c r="V83" s="1"/>
      <c r="W83" s="1"/>
      <c r="X83" s="1"/>
    </row>
    <row r="84" spans="2:24" x14ac:dyDescent="0.2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1"/>
      <c r="Q84" s="1"/>
      <c r="R84" s="1"/>
      <c r="S84" s="1"/>
      <c r="T84" s="1"/>
      <c r="U84" s="1"/>
      <c r="V84" s="1"/>
      <c r="W84" s="1"/>
      <c r="X84" s="1"/>
    </row>
    <row r="85" spans="2:24" x14ac:dyDescent="0.2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1"/>
      <c r="Q85" s="1"/>
      <c r="R85" s="1"/>
      <c r="S85" s="1"/>
      <c r="T85" s="1"/>
      <c r="U85" s="1"/>
      <c r="V85" s="1"/>
      <c r="W85" s="1"/>
      <c r="X85" s="1"/>
    </row>
    <row r="86" spans="2:24" x14ac:dyDescent="0.2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1"/>
      <c r="Q86" s="1"/>
      <c r="R86" s="1"/>
      <c r="S86" s="1"/>
      <c r="T86" s="1"/>
      <c r="U86" s="1"/>
      <c r="V86" s="1"/>
      <c r="W86" s="1"/>
      <c r="X86" s="1"/>
    </row>
    <row r="87" spans="2:24" x14ac:dyDescent="0.2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1"/>
      <c r="Q87" s="1"/>
      <c r="R87" s="1"/>
      <c r="S87" s="1"/>
      <c r="T87" s="1"/>
      <c r="U87" s="1"/>
      <c r="V87" s="1"/>
      <c r="W87" s="1"/>
      <c r="X87" s="1"/>
    </row>
    <row r="88" spans="2:24" x14ac:dyDescent="0.2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1"/>
      <c r="Q88" s="1"/>
      <c r="R88" s="1"/>
      <c r="S88" s="1"/>
      <c r="T88" s="1"/>
      <c r="U88" s="1"/>
      <c r="V88" s="1"/>
      <c r="W88" s="1"/>
      <c r="X88" s="1"/>
    </row>
    <row r="89" spans="2:24" x14ac:dyDescent="0.2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1"/>
      <c r="Q89" s="1"/>
      <c r="R89" s="1"/>
      <c r="S89" s="1"/>
      <c r="T89" s="1"/>
      <c r="U89" s="1"/>
      <c r="V89" s="1"/>
      <c r="W89" s="1"/>
      <c r="X89" s="1"/>
    </row>
    <row r="90" spans="2:24" x14ac:dyDescent="0.2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1"/>
      <c r="Q90" s="1"/>
      <c r="R90" s="1"/>
      <c r="S90" s="1"/>
      <c r="T90" s="1"/>
      <c r="U90" s="1"/>
      <c r="V90" s="1"/>
      <c r="W90" s="1"/>
      <c r="X90" s="1"/>
    </row>
    <row r="91" spans="2:24" x14ac:dyDescent="0.2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1"/>
      <c r="Q91" s="1"/>
      <c r="R91" s="1"/>
      <c r="S91" s="1"/>
      <c r="T91" s="1"/>
      <c r="U91" s="1"/>
      <c r="V91" s="1"/>
      <c r="W91" s="1"/>
      <c r="X91" s="1"/>
    </row>
    <row r="92" spans="2:24" x14ac:dyDescent="0.2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1"/>
      <c r="Q92" s="1"/>
      <c r="R92" s="1"/>
      <c r="S92" s="1"/>
      <c r="T92" s="1"/>
      <c r="U92" s="1"/>
      <c r="V92" s="1"/>
      <c r="W92" s="1"/>
      <c r="X92" s="1"/>
    </row>
    <row r="93" spans="2:24" x14ac:dyDescent="0.2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1"/>
      <c r="Q93" s="1"/>
      <c r="R93" s="1"/>
      <c r="S93" s="1"/>
      <c r="T93" s="1"/>
      <c r="U93" s="1"/>
      <c r="V93" s="1"/>
      <c r="W93" s="1"/>
      <c r="X93" s="1"/>
    </row>
    <row r="94" spans="2:24" x14ac:dyDescent="0.2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1"/>
      <c r="Q94" s="1"/>
      <c r="R94" s="1"/>
      <c r="S94" s="1"/>
      <c r="T94" s="1"/>
      <c r="U94" s="1"/>
      <c r="V94" s="1"/>
      <c r="W94" s="1"/>
      <c r="X94" s="1"/>
    </row>
    <row r="95" spans="2:24" x14ac:dyDescent="0.2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1"/>
      <c r="Q95" s="1"/>
      <c r="R95" s="1"/>
      <c r="S95" s="1"/>
      <c r="T95" s="1"/>
      <c r="U95" s="1"/>
      <c r="V95" s="1"/>
      <c r="W95" s="1"/>
      <c r="X95" s="1"/>
    </row>
    <row r="96" spans="2:24" x14ac:dyDescent="0.2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1"/>
      <c r="Q96" s="1"/>
      <c r="R96" s="1"/>
      <c r="S96" s="1"/>
      <c r="T96" s="1"/>
      <c r="U96" s="1"/>
      <c r="V96" s="1"/>
      <c r="W96" s="1"/>
      <c r="X96" s="1"/>
    </row>
    <row r="97" spans="2:24" x14ac:dyDescent="0.2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1"/>
      <c r="Q97" s="1"/>
      <c r="R97" s="1"/>
      <c r="S97" s="1"/>
      <c r="T97" s="1"/>
      <c r="U97" s="1"/>
      <c r="V97" s="1"/>
      <c r="W97" s="1"/>
      <c r="X97" s="1"/>
    </row>
    <row r="98" spans="2:24" x14ac:dyDescent="0.2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2:24" x14ac:dyDescent="0.2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2:24" x14ac:dyDescent="0.2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2:24" x14ac:dyDescent="0.2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2:24" x14ac:dyDescent="0.2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2:24" x14ac:dyDescent="0.2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2:24" x14ac:dyDescent="0.2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2:24" x14ac:dyDescent="0.2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2:24" x14ac:dyDescent="0.2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2:24" x14ac:dyDescent="0.2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2:24" x14ac:dyDescent="0.2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2:24" x14ac:dyDescent="0.2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2:24" x14ac:dyDescent="0.2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2:24" x14ac:dyDescent="0.2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2:24" x14ac:dyDescent="0.2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2:24" x14ac:dyDescent="0.2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2:24" x14ac:dyDescent="0.2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2:24" x14ac:dyDescent="0.2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2:24" x14ac:dyDescent="0.2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2:24" x14ac:dyDescent="0.2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2:24" x14ac:dyDescent="0.2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2:24" x14ac:dyDescent="0.2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2:24" x14ac:dyDescent="0.2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2:24" x14ac:dyDescent="0.2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2:24" x14ac:dyDescent="0.2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2:24" x14ac:dyDescent="0.2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2:24" x14ac:dyDescent="0.2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2:24" x14ac:dyDescent="0.2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2:24" x14ac:dyDescent="0.2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2:24" x14ac:dyDescent="0.2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2:24" x14ac:dyDescent="0.2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2:24" x14ac:dyDescent="0.2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2:24" x14ac:dyDescent="0.2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2:24" x14ac:dyDescent="0.2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2:24" x14ac:dyDescent="0.2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2:24" x14ac:dyDescent="0.2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2:24" x14ac:dyDescent="0.2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2:24" x14ac:dyDescent="0.2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2:24" x14ac:dyDescent="0.2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2:24" x14ac:dyDescent="0.2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2:24" x14ac:dyDescent="0.2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2:24" x14ac:dyDescent="0.2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2:24" x14ac:dyDescent="0.2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2:24" x14ac:dyDescent="0.2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2:24" x14ac:dyDescent="0.2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2:24" x14ac:dyDescent="0.2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2:24" x14ac:dyDescent="0.2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2:24" x14ac:dyDescent="0.2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2:24" x14ac:dyDescent="0.2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2:24" x14ac:dyDescent="0.2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2:24" x14ac:dyDescent="0.2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2:24" x14ac:dyDescent="0.2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2:24" x14ac:dyDescent="0.2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2:24" x14ac:dyDescent="0.2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2:24" x14ac:dyDescent="0.2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2:24" x14ac:dyDescent="0.2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2:24" x14ac:dyDescent="0.2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2:24" x14ac:dyDescent="0.2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2:24" x14ac:dyDescent="0.2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2:24" x14ac:dyDescent="0.2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2:24" x14ac:dyDescent="0.2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2:24" x14ac:dyDescent="0.2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2:24" x14ac:dyDescent="0.2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2:24" x14ac:dyDescent="0.2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2:24" x14ac:dyDescent="0.2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2:24" x14ac:dyDescent="0.2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2:24" x14ac:dyDescent="0.2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2:24" x14ac:dyDescent="0.2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2:24" x14ac:dyDescent="0.2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2:24" x14ac:dyDescent="0.2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2:24" x14ac:dyDescent="0.2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2:24" x14ac:dyDescent="0.2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2:24" x14ac:dyDescent="0.2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2:24" x14ac:dyDescent="0.2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2:24" x14ac:dyDescent="0.2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2:24" x14ac:dyDescent="0.2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2:24" x14ac:dyDescent="0.2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2:24" x14ac:dyDescent="0.2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2:24" x14ac:dyDescent="0.2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2:24" x14ac:dyDescent="0.2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2:24" x14ac:dyDescent="0.2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2:24" x14ac:dyDescent="0.2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2:24" x14ac:dyDescent="0.2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2:24" x14ac:dyDescent="0.2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2:24" x14ac:dyDescent="0.2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2:24" x14ac:dyDescent="0.2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2:24" x14ac:dyDescent="0.2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2:24" x14ac:dyDescent="0.2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2:24" x14ac:dyDescent="0.2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2:24" x14ac:dyDescent="0.2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2:24" x14ac:dyDescent="0.2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2:24" x14ac:dyDescent="0.2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2:24" x14ac:dyDescent="0.2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2:24" x14ac:dyDescent="0.2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2:24" x14ac:dyDescent="0.2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2:24" x14ac:dyDescent="0.2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2:24" x14ac:dyDescent="0.2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2:24" x14ac:dyDescent="0.2"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2:24" x14ac:dyDescent="0.2"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2:24" x14ac:dyDescent="0.2"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2:24" x14ac:dyDescent="0.2"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2:24" x14ac:dyDescent="0.2"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2:24" x14ac:dyDescent="0.2"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2:24" x14ac:dyDescent="0.2"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2:24" x14ac:dyDescent="0.2"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2:24" x14ac:dyDescent="0.2"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2:24" x14ac:dyDescent="0.2"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2:24" x14ac:dyDescent="0.2"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2:24" x14ac:dyDescent="0.2"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2:24" x14ac:dyDescent="0.2"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2:24" x14ac:dyDescent="0.2"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4:24" x14ac:dyDescent="0.2"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4:24" x14ac:dyDescent="0.2"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4:24" x14ac:dyDescent="0.2"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4:24" x14ac:dyDescent="0.2"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4:24" x14ac:dyDescent="0.2"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4:24" x14ac:dyDescent="0.2"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4:24" x14ac:dyDescent="0.2"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4:24" x14ac:dyDescent="0.2"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4:24" x14ac:dyDescent="0.2"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4:24" x14ac:dyDescent="0.2"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4:24" x14ac:dyDescent="0.2"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4:24" x14ac:dyDescent="0.2"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4:24" x14ac:dyDescent="0.2"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4:24" x14ac:dyDescent="0.2"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4:24" x14ac:dyDescent="0.2"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4:24" x14ac:dyDescent="0.2"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4:24" x14ac:dyDescent="0.2"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4:24" x14ac:dyDescent="0.2"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4:24" x14ac:dyDescent="0.2"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4:24" x14ac:dyDescent="0.2"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4:24" x14ac:dyDescent="0.2"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4:24" x14ac:dyDescent="0.2"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4:24" x14ac:dyDescent="0.2"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4:24" x14ac:dyDescent="0.2"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4:24" x14ac:dyDescent="0.2"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4:24" x14ac:dyDescent="0.2"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4:24" x14ac:dyDescent="0.2"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4:24" x14ac:dyDescent="0.2"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4:24" x14ac:dyDescent="0.2"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4:24" x14ac:dyDescent="0.2"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</sheetData>
  <mergeCells count="8">
    <mergeCell ref="B5:L5"/>
    <mergeCell ref="B7:B9"/>
    <mergeCell ref="D7:D9"/>
    <mergeCell ref="F7:M7"/>
    <mergeCell ref="O7:O9"/>
    <mergeCell ref="F8:G8"/>
    <mergeCell ref="I8:J8"/>
    <mergeCell ref="L8:M8"/>
  </mergeCells>
  <hyperlinks>
    <hyperlink ref="O1" location="Índice!A1" tooltip="Ir a ÍNDICE" display="INDICE" xr:uid="{5A0416C7-264B-4FCF-9963-B8F08B213F27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F502C-54F8-4245-8FF2-20A34BE86CA7}">
  <dimension ref="A1:S23"/>
  <sheetViews>
    <sheetView showGridLines="0" zoomScaleNormal="100" workbookViewId="0"/>
  </sheetViews>
  <sheetFormatPr baseColWidth="10" defaultColWidth="11.42578125" defaultRowHeight="12.75" x14ac:dyDescent="0.2"/>
  <cols>
    <col min="1" max="1" width="1.7109375" style="21" customWidth="1"/>
    <col min="2" max="2" width="51.5703125" style="21" customWidth="1"/>
    <col min="3" max="3" width="1.7109375" style="21" customWidth="1"/>
    <col min="4" max="4" width="28.7109375" style="21" customWidth="1"/>
    <col min="5" max="5" width="1.7109375" style="21" customWidth="1"/>
    <col min="6" max="7" width="15.7109375" style="21" customWidth="1"/>
    <col min="8" max="8" width="1.7109375" style="21" customWidth="1"/>
    <col min="9" max="10" width="15.7109375" style="21" customWidth="1"/>
    <col min="11" max="11" width="1.7109375" style="21" customWidth="1"/>
    <col min="12" max="13" width="15.7109375" style="21" customWidth="1"/>
    <col min="14" max="14" width="1.7109375" style="21" customWidth="1"/>
    <col min="15" max="16" width="15.7109375" style="21" customWidth="1"/>
    <col min="17" max="16384" width="11.42578125" style="21"/>
  </cols>
  <sheetData>
    <row r="1" spans="1:19" s="48" customFormat="1" ht="12" customHeight="1" x14ac:dyDescent="0.2">
      <c r="B1" s="640" t="s">
        <v>202</v>
      </c>
      <c r="C1" s="49"/>
      <c r="D1" s="49"/>
      <c r="E1" s="49"/>
      <c r="F1" s="50"/>
      <c r="G1" s="50"/>
      <c r="P1" s="72" t="s">
        <v>151</v>
      </c>
    </row>
    <row r="2" spans="1:19" s="48" customFormat="1" ht="6.95" customHeight="1" x14ac:dyDescent="0.2">
      <c r="B2" s="640"/>
      <c r="C2" s="49"/>
      <c r="D2" s="49"/>
      <c r="E2" s="49"/>
      <c r="F2" s="50"/>
      <c r="G2" s="50"/>
    </row>
    <row r="3" spans="1:19" s="48" customFormat="1" x14ac:dyDescent="0.2">
      <c r="B3" s="640" t="s">
        <v>199</v>
      </c>
      <c r="C3" s="638"/>
      <c r="D3" s="638"/>
      <c r="E3" s="638"/>
      <c r="F3" s="638"/>
      <c r="G3" s="638"/>
      <c r="H3" s="638"/>
      <c r="I3" s="638"/>
      <c r="J3" s="638"/>
      <c r="K3" s="638"/>
      <c r="L3" s="638"/>
      <c r="M3" s="638"/>
      <c r="N3" s="638"/>
      <c r="O3" s="638"/>
      <c r="P3" s="638"/>
      <c r="Q3" s="638"/>
      <c r="R3" s="638"/>
      <c r="S3" s="638"/>
    </row>
    <row r="4" spans="1:19" s="48" customFormat="1" ht="6.95" customHeight="1" x14ac:dyDescent="0.2">
      <c r="B4" s="638"/>
      <c r="C4" s="49"/>
      <c r="D4" s="49"/>
      <c r="E4" s="49"/>
      <c r="F4" s="50"/>
      <c r="G4" s="50"/>
    </row>
    <row r="5" spans="1:19" s="48" customFormat="1" ht="25.5" customHeight="1" x14ac:dyDescent="0.2">
      <c r="B5" s="742" t="s">
        <v>160</v>
      </c>
      <c r="C5" s="742"/>
      <c r="D5" s="742"/>
      <c r="E5" s="742"/>
      <c r="F5" s="742"/>
      <c r="G5" s="742"/>
      <c r="H5" s="742"/>
      <c r="I5" s="742"/>
      <c r="J5" s="742"/>
      <c r="K5" s="742"/>
      <c r="L5" s="742"/>
      <c r="M5" s="742"/>
      <c r="N5" s="742"/>
      <c r="O5" s="56"/>
      <c r="P5" s="71" t="s">
        <v>123</v>
      </c>
    </row>
    <row r="6" spans="1:19" ht="6" customHeight="1" x14ac:dyDescent="0.2">
      <c r="B6" s="25"/>
      <c r="C6" s="622"/>
      <c r="D6" s="622"/>
      <c r="E6" s="622"/>
      <c r="F6" s="623"/>
      <c r="G6" s="623"/>
      <c r="H6" s="39"/>
      <c r="I6" s="39"/>
      <c r="J6" s="39"/>
      <c r="K6" s="39"/>
      <c r="L6" s="39"/>
      <c r="M6" s="39"/>
      <c r="N6" s="39"/>
      <c r="O6" s="39"/>
      <c r="P6" s="39"/>
    </row>
    <row r="7" spans="1:19" ht="33.75" customHeight="1" x14ac:dyDescent="0.2">
      <c r="B7" s="735" t="s">
        <v>97</v>
      </c>
      <c r="C7" s="6"/>
      <c r="D7" s="738" t="s">
        <v>194</v>
      </c>
      <c r="E7" s="6"/>
      <c r="F7" s="743" t="s">
        <v>98</v>
      </c>
      <c r="G7" s="743"/>
      <c r="H7" s="40"/>
      <c r="I7" s="40"/>
      <c r="J7" s="745" t="s">
        <v>95</v>
      </c>
      <c r="K7" s="746"/>
      <c r="L7" s="746"/>
      <c r="M7" s="746"/>
      <c r="N7" s="746"/>
      <c r="O7" s="746"/>
      <c r="P7" s="41"/>
    </row>
    <row r="8" spans="1:19" ht="24" customHeight="1" x14ac:dyDescent="0.2">
      <c r="B8" s="736"/>
      <c r="C8" s="4"/>
      <c r="D8" s="739"/>
      <c r="E8" s="4"/>
      <c r="F8" s="744"/>
      <c r="G8" s="744"/>
      <c r="H8" s="39"/>
      <c r="I8" s="746" t="s">
        <v>46</v>
      </c>
      <c r="J8" s="746"/>
      <c r="K8" s="42"/>
      <c r="L8" s="746" t="s">
        <v>47</v>
      </c>
      <c r="M8" s="746"/>
      <c r="N8" s="634"/>
      <c r="O8" s="746" t="s">
        <v>48</v>
      </c>
      <c r="P8" s="746"/>
    </row>
    <row r="9" spans="1:19" ht="29.25" customHeight="1" x14ac:dyDescent="0.2">
      <c r="B9" s="737"/>
      <c r="C9" s="7"/>
      <c r="D9" s="740"/>
      <c r="E9" s="7"/>
      <c r="F9" s="633" t="s">
        <v>187</v>
      </c>
      <c r="G9" s="633" t="s">
        <v>189</v>
      </c>
      <c r="H9" s="74"/>
      <c r="I9" s="633" t="s">
        <v>187</v>
      </c>
      <c r="J9" s="633" t="s">
        <v>188</v>
      </c>
      <c r="K9" s="75"/>
      <c r="L9" s="633" t="s">
        <v>187</v>
      </c>
      <c r="M9" s="633" t="s">
        <v>189</v>
      </c>
      <c r="N9" s="76"/>
      <c r="O9" s="633" t="s">
        <v>187</v>
      </c>
      <c r="P9" s="633" t="s">
        <v>189</v>
      </c>
    </row>
    <row r="10" spans="1:19" ht="6" customHeight="1" x14ac:dyDescent="0.2">
      <c r="B10" s="4"/>
      <c r="C10" s="4"/>
      <c r="D10" s="632"/>
      <c r="E10" s="123"/>
      <c r="F10" s="117"/>
      <c r="G10" s="117"/>
      <c r="H10" s="124"/>
      <c r="I10" s="124"/>
      <c r="J10" s="124"/>
      <c r="K10" s="124"/>
      <c r="L10" s="124"/>
      <c r="M10" s="124"/>
      <c r="N10" s="124"/>
      <c r="O10" s="124"/>
      <c r="P10" s="124"/>
    </row>
    <row r="11" spans="1:19" s="84" customFormat="1" ht="11.25" x14ac:dyDescent="0.2">
      <c r="A11" s="78"/>
      <c r="B11" s="36" t="s">
        <v>35</v>
      </c>
      <c r="C11" s="8"/>
      <c r="D11" s="631">
        <v>410359.63222334097</v>
      </c>
      <c r="E11" s="125"/>
      <c r="F11" s="624">
        <v>10366393128.7502</v>
      </c>
      <c r="G11" s="624">
        <v>23758.439606227701</v>
      </c>
      <c r="H11" s="126"/>
      <c r="I11" s="630">
        <v>7259818385.1888103</v>
      </c>
      <c r="J11" s="624">
        <v>17132.9867519935</v>
      </c>
      <c r="K11" s="127"/>
      <c r="L11" s="629">
        <v>2841110350.3494802</v>
      </c>
      <c r="M11" s="624">
        <v>12147.1860490653</v>
      </c>
      <c r="N11" s="127"/>
      <c r="O11" s="629">
        <v>0</v>
      </c>
      <c r="P11" s="624">
        <v>0</v>
      </c>
    </row>
    <row r="12" spans="1:19" s="86" customFormat="1" ht="6" customHeight="1" x14ac:dyDescent="0.2">
      <c r="A12" s="22"/>
      <c r="B12" s="43"/>
      <c r="C12" s="8"/>
      <c r="D12" s="125"/>
      <c r="E12" s="125"/>
      <c r="F12" s="85"/>
      <c r="G12" s="108"/>
      <c r="H12" s="128"/>
      <c r="I12" s="128"/>
      <c r="J12" s="108"/>
      <c r="K12" s="129"/>
      <c r="L12" s="129"/>
      <c r="M12" s="108"/>
      <c r="N12" s="129"/>
      <c r="O12" s="129"/>
      <c r="P12" s="108"/>
    </row>
    <row r="13" spans="1:19" s="86" customFormat="1" ht="11.25" x14ac:dyDescent="0.2">
      <c r="A13" s="22"/>
      <c r="B13" s="24" t="s">
        <v>49</v>
      </c>
      <c r="C13" s="44"/>
      <c r="D13" s="625">
        <v>71652.007861987106</v>
      </c>
      <c r="E13" s="129"/>
      <c r="F13" s="626">
        <v>3855455978.1736102</v>
      </c>
      <c r="G13" s="626">
        <v>47622.997361740898</v>
      </c>
      <c r="H13" s="128"/>
      <c r="I13" s="628">
        <v>2569518796.2782001</v>
      </c>
      <c r="J13" s="626">
        <v>31590.882794168399</v>
      </c>
      <c r="K13" s="129"/>
      <c r="L13" s="625">
        <v>1169745201.3878701</v>
      </c>
      <c r="M13" s="626">
        <v>21259.2029123756</v>
      </c>
      <c r="N13" s="129"/>
      <c r="O13" s="625">
        <v>557621.42554180406</v>
      </c>
      <c r="P13" s="626">
        <v>789.12408102819995</v>
      </c>
    </row>
    <row r="14" spans="1:19" s="86" customFormat="1" ht="11.25" x14ac:dyDescent="0.2">
      <c r="A14" s="22"/>
      <c r="B14" s="24" t="s">
        <v>50</v>
      </c>
      <c r="C14" s="44"/>
      <c r="D14" s="625">
        <v>21330.504032226901</v>
      </c>
      <c r="E14" s="129"/>
      <c r="F14" s="626">
        <v>1120686042.3011899</v>
      </c>
      <c r="G14" s="626">
        <v>43177.129144139399</v>
      </c>
      <c r="H14" s="128"/>
      <c r="I14" s="628">
        <v>777428356.87561798</v>
      </c>
      <c r="J14" s="626">
        <v>32006.581836647099</v>
      </c>
      <c r="K14" s="129"/>
      <c r="L14" s="625">
        <v>265172643.34040901</v>
      </c>
      <c r="M14" s="626">
        <v>16061.0053924405</v>
      </c>
      <c r="N14" s="129"/>
      <c r="O14" s="625">
        <v>0</v>
      </c>
      <c r="P14" s="626">
        <v>0</v>
      </c>
    </row>
    <row r="15" spans="1:19" s="86" customFormat="1" ht="11.25" x14ac:dyDescent="0.2">
      <c r="A15" s="22"/>
      <c r="B15" s="24" t="s">
        <v>51</v>
      </c>
      <c r="C15" s="44"/>
      <c r="D15" s="625">
        <v>22325.760465514901</v>
      </c>
      <c r="E15" s="129"/>
      <c r="F15" s="627">
        <v>480524289.051754</v>
      </c>
      <c r="G15" s="627">
        <v>16643.665190971598</v>
      </c>
      <c r="H15" s="128"/>
      <c r="I15" s="628">
        <v>364608769.13012499</v>
      </c>
      <c r="J15" s="627">
        <v>13169.4509974023</v>
      </c>
      <c r="K15" s="129"/>
      <c r="L15" s="625">
        <v>89021036.2840783</v>
      </c>
      <c r="M15" s="627">
        <v>4212.0546548169004</v>
      </c>
      <c r="N15" s="129"/>
      <c r="O15" s="625">
        <v>0</v>
      </c>
      <c r="P15" s="627">
        <v>3053.9902984229002</v>
      </c>
    </row>
    <row r="16" spans="1:19" s="86" customFormat="1" ht="11.25" x14ac:dyDescent="0.2">
      <c r="A16" s="22"/>
      <c r="B16" s="24" t="s">
        <v>190</v>
      </c>
      <c r="C16" s="44"/>
      <c r="D16" s="625">
        <v>246065.508972015</v>
      </c>
      <c r="E16" s="129"/>
      <c r="F16" s="627">
        <v>2000230567.0743699</v>
      </c>
      <c r="G16" s="627">
        <v>7593.1423486532003</v>
      </c>
      <c r="H16" s="128"/>
      <c r="I16" s="628">
        <v>1432736973.6034501</v>
      </c>
      <c r="J16" s="627">
        <v>5554.7140909732998</v>
      </c>
      <c r="K16" s="129"/>
      <c r="L16" s="625">
        <v>491069844.13471198</v>
      </c>
      <c r="M16" s="627">
        <v>4242.8027604846002</v>
      </c>
      <c r="N16" s="129"/>
      <c r="O16" s="143" t="s">
        <v>201</v>
      </c>
      <c r="P16" s="144" t="s">
        <v>201</v>
      </c>
    </row>
    <row r="17" spans="1:16" s="86" customFormat="1" ht="11.25" x14ac:dyDescent="0.2">
      <c r="A17" s="22"/>
      <c r="B17" s="24" t="s">
        <v>191</v>
      </c>
      <c r="C17" s="44"/>
      <c r="D17" s="625">
        <v>50540.979473349398</v>
      </c>
      <c r="E17" s="129"/>
      <c r="F17" s="627">
        <v>1078784695.64678</v>
      </c>
      <c r="G17" s="627">
        <v>17988.9353724512</v>
      </c>
      <c r="H17" s="128"/>
      <c r="I17" s="628">
        <v>814281875.00147104</v>
      </c>
      <c r="J17" s="627">
        <v>14256.390837204901</v>
      </c>
      <c r="K17" s="129"/>
      <c r="L17" s="625">
        <v>158934042.92815301</v>
      </c>
      <c r="M17" s="627">
        <v>6949.1622630096999</v>
      </c>
      <c r="N17" s="129"/>
      <c r="O17" s="143" t="s">
        <v>201</v>
      </c>
      <c r="P17" s="144" t="s">
        <v>201</v>
      </c>
    </row>
    <row r="18" spans="1:16" ht="6" customHeight="1" x14ac:dyDescent="0.2">
      <c r="B18" s="11"/>
      <c r="C18" s="45"/>
      <c r="D18" s="130"/>
      <c r="E18" s="130"/>
      <c r="F18" s="12"/>
      <c r="G18" s="12"/>
      <c r="H18" s="74"/>
      <c r="I18" s="74"/>
      <c r="J18" s="74"/>
      <c r="K18" s="74"/>
      <c r="L18" s="74"/>
      <c r="M18" s="74"/>
      <c r="N18" s="74"/>
      <c r="O18" s="74"/>
      <c r="P18" s="74"/>
    </row>
    <row r="19" spans="1:16" ht="6" customHeight="1" x14ac:dyDescent="0.2">
      <c r="B19" s="23"/>
      <c r="C19" s="4"/>
      <c r="D19" s="4"/>
      <c r="E19" s="4"/>
      <c r="F19" s="4"/>
      <c r="G19" s="4"/>
      <c r="H19" s="44"/>
      <c r="I19" s="44"/>
      <c r="J19" s="39"/>
      <c r="K19" s="39"/>
      <c r="L19" s="39"/>
      <c r="M19" s="39"/>
      <c r="N19" s="39"/>
      <c r="O19" s="39"/>
      <c r="P19" s="39"/>
    </row>
    <row r="20" spans="1:16" ht="12.75" customHeight="1" x14ac:dyDescent="0.2">
      <c r="B20" s="23" t="s">
        <v>195</v>
      </c>
      <c r="C20" s="4"/>
      <c r="D20" s="4"/>
      <c r="E20" s="4"/>
      <c r="F20" s="4"/>
      <c r="G20" s="4"/>
      <c r="H20" s="44"/>
      <c r="I20" s="44"/>
      <c r="J20" s="39"/>
      <c r="K20" s="39"/>
      <c r="L20" s="39"/>
      <c r="M20" s="39"/>
      <c r="N20" s="39"/>
      <c r="O20" s="39"/>
      <c r="P20" s="39"/>
    </row>
    <row r="21" spans="1:16" x14ac:dyDescent="0.2">
      <c r="B21" s="23" t="s">
        <v>193</v>
      </c>
      <c r="C21" s="4"/>
      <c r="D21" s="4"/>
      <c r="E21" s="4"/>
      <c r="F21" s="4"/>
      <c r="G21" s="4"/>
      <c r="H21" s="44"/>
      <c r="I21" s="44"/>
      <c r="J21" s="39"/>
      <c r="K21" s="39"/>
      <c r="L21" s="39"/>
      <c r="M21" s="39"/>
      <c r="N21" s="39"/>
      <c r="O21" s="39"/>
      <c r="P21" s="39"/>
    </row>
    <row r="22" spans="1:16" x14ac:dyDescent="0.2">
      <c r="B22" s="23" t="s">
        <v>141</v>
      </c>
      <c r="C22" s="4"/>
      <c r="D22" s="4"/>
      <c r="E22" s="4"/>
      <c r="F22" s="4"/>
      <c r="G22" s="4"/>
      <c r="H22" s="44"/>
      <c r="I22" s="44"/>
      <c r="J22" s="39"/>
      <c r="K22" s="39"/>
      <c r="L22" s="39"/>
      <c r="M22" s="39"/>
      <c r="N22" s="39"/>
      <c r="O22" s="39"/>
      <c r="P22" s="39"/>
    </row>
    <row r="23" spans="1:16" s="13" customFormat="1" ht="14.25" x14ac:dyDescent="0.2">
      <c r="B23" s="146" t="s">
        <v>181</v>
      </c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</row>
  </sheetData>
  <mergeCells count="8">
    <mergeCell ref="B5:N5"/>
    <mergeCell ref="B7:B9"/>
    <mergeCell ref="D7:D9"/>
    <mergeCell ref="F7:G8"/>
    <mergeCell ref="J7:O7"/>
    <mergeCell ref="I8:J8"/>
    <mergeCell ref="L8:M8"/>
    <mergeCell ref="O8:P8"/>
  </mergeCells>
  <hyperlinks>
    <hyperlink ref="P1" location="Índice!A1" tooltip="Ir a ÍNDICE" display="INDICE" xr:uid="{7F492D23-2700-4663-B99D-40D71A39D062}"/>
  </hyperlink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9DD17FF0D63874BBC9730A271367D92" ma:contentTypeVersion="2" ma:contentTypeDescription="Crear nuevo documento." ma:contentTypeScope="" ma:versionID="9ace95b72e23775feccc1952b6288c4d">
  <xsd:schema xmlns:xsd="http://www.w3.org/2001/XMLSchema" xmlns:xs="http://www.w3.org/2001/XMLSchema" xmlns:p="http://schemas.microsoft.com/office/2006/metadata/properties" xmlns:ns2="e829ce69-67eb-47dd-9407-4f8adfa19fc2" targetNamespace="http://schemas.microsoft.com/office/2006/metadata/properties" ma:root="true" ma:fieldsID="f0fa613857d2432827017075419e7e72" ns2:_="">
    <xsd:import namespace="e829ce69-67eb-47dd-9407-4f8adfa19f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29ce69-67eb-47dd-9407-4f8adfa19f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04E1E3-D17F-4181-AB23-0580709AA5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29ce69-67eb-47dd-9407-4f8adfa19f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86C7400-BE4E-4BDA-9D0A-214196E368C1}">
  <ds:schemaRefs>
    <ds:schemaRef ds:uri="http://purl.org/dc/elements/1.1/"/>
    <ds:schemaRef ds:uri="http://www.w3.org/XML/1998/namespace"/>
    <ds:schemaRef ds:uri="http://schemas.microsoft.com/office/infopath/2007/PartnerControls"/>
    <ds:schemaRef ds:uri="e829ce69-67eb-47dd-9407-4f8adfa19fc2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D6752EE-580E-4709-953B-8888C83818F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Índice</vt:lpstr>
      <vt:lpstr>Cuadro 4.1</vt:lpstr>
      <vt:lpstr>Cuadro 4.2</vt:lpstr>
      <vt:lpstr>Cuadro 4.3</vt:lpstr>
      <vt:lpstr>Cuadro 4.4</vt:lpstr>
      <vt:lpstr>Cuadro 4.5</vt:lpstr>
      <vt:lpstr>Cuadro 4.6</vt:lpstr>
      <vt:lpstr>Cuadro 4.7</vt:lpstr>
      <vt:lpstr>Cuadro 4.8</vt:lpstr>
      <vt:lpstr>Cuadro 4.9</vt:lpstr>
      <vt:lpstr>Cuadro 4.10</vt:lpstr>
      <vt:lpstr>Cuadro 4.11</vt:lpstr>
      <vt:lpstr>Cuadro 4.12</vt:lpstr>
      <vt:lpstr>Cuadro 4.13</vt:lpstr>
      <vt:lpstr>Cuadro 4.14</vt:lpstr>
      <vt:lpstr>Cuadro 4.15</vt:lpstr>
      <vt:lpstr>Cuadro 4.16</vt:lpstr>
      <vt:lpstr>Cuadro 4.17</vt:lpstr>
      <vt:lpstr>Cuadro 4.18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Encuesta Nacional de Vivienda. ENVI2020</dc:title>
  <dc:subject>Tabulados básicos</dc:subject>
  <dc:creator>INEGI</dc:creator>
  <cp:keywords/>
  <dc:description>2021</dc:description>
  <cp:lastModifiedBy>INEGI</cp:lastModifiedBy>
  <cp:revision/>
  <dcterms:created xsi:type="dcterms:W3CDTF">2020-10-22T17:47:01Z</dcterms:created>
  <dcterms:modified xsi:type="dcterms:W3CDTF">2021-08-19T16:01:35Z</dcterms:modified>
  <cp:category>ENVI2020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0x01010079DD17FF0D63874BBC9730A271367D92</vt:lpwstr>
  </property>
</Properties>
</file>