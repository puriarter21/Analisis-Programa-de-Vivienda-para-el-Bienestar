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0CF081B8-326C-47E9-B511-75B63271916E}" xr6:coauthVersionLast="47" xr6:coauthVersionMax="47" xr10:uidLastSave="{00000000-0000-0000-0000-000000000000}"/>
  <bookViews>
    <workbookView xWindow="20370" yWindow="-120" windowWidth="29040" windowHeight="15840" tabRatio="836" xr2:uid="{00000000-000D-0000-FFFF-FFFF00000000}"/>
  </bookViews>
  <sheets>
    <sheet name="Índice" sheetId="16" r:id="rId1"/>
    <sheet name="Cuadro 5.1" sheetId="2" r:id="rId2"/>
    <sheet name="Cuadro 5.2" sheetId="42" r:id="rId3"/>
    <sheet name="Cuadro 5.3" sheetId="44" r:id="rId4"/>
    <sheet name="Cuadro 5.4" sheetId="46" r:id="rId5"/>
    <sheet name="Cuadro 5.5" sheetId="48" r:id="rId6"/>
    <sheet name="Cuadro 5.6" sheetId="50" r:id="rId7"/>
    <sheet name="Cuadro 5.7" sheetId="52" r:id="rId8"/>
    <sheet name="Cuadro 5.8" sheetId="53" r:id="rId9"/>
    <sheet name="Cuadro 5.9" sheetId="54" r:id="rId10"/>
    <sheet name="Cuadro 5.10" sheetId="55" r:id="rId11"/>
  </sheets>
  <externalReferences>
    <externalReference r:id="rId12"/>
  </externalReferences>
  <definedNames>
    <definedName name="\p">#N/A</definedName>
    <definedName name="\s">#N/A</definedName>
    <definedName name="_xlnm._FilterDatabase" localSheetId="1" hidden="1">'Cuadro 5.1'!$D$11:$J$45</definedName>
    <definedName name="_xlnm._FilterDatabase" localSheetId="10" hidden="1">'Cuadro 5.10'!$D$11:$L$44</definedName>
    <definedName name="_xlnm._FilterDatabase" localSheetId="2" hidden="1">'Cuadro 5.2'!$D$11:$L$45</definedName>
    <definedName name="_xlnm._FilterDatabase" localSheetId="4" hidden="1">'Cuadro 5.4'!$D$11:$L$45</definedName>
    <definedName name="_xlnm._FilterDatabase" localSheetId="6" hidden="1">'Cuadro 5.6'!$D$11:$O$45</definedName>
    <definedName name="_xlnm._FilterDatabase" localSheetId="7" hidden="1">'Cuadro 5.7'!$D$11:$I$45</definedName>
    <definedName name="_xlnm._FilterDatabase" localSheetId="8" hidden="1">'Cuadro 5.8'!$D$11:$L$45</definedName>
    <definedName name="_xlnm._FilterDatabase" localSheetId="9" hidden="1">'Cuadro 5.9'!$D$11:$L$45</definedName>
    <definedName name="A_impresión_IM" localSheetId="10">#REF!</definedName>
    <definedName name="A_impresión_IM" localSheetId="2">#REF!</definedName>
    <definedName name="A_impresión_IM" localSheetId="4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0">#REF!</definedName>
    <definedName name="paso" localSheetId="2">#REF!</definedName>
    <definedName name="paso" localSheetId="4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0">#REF!</definedName>
    <definedName name="prueba" localSheetId="2">#REF!</definedName>
    <definedName name="prueba" localSheetId="4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6" l="1"/>
</calcChain>
</file>

<file path=xl/sharedStrings.xml><?xml version="1.0" encoding="utf-8"?>
<sst xmlns="http://schemas.openxmlformats.org/spreadsheetml/2006/main" count="546" uniqueCount="130">
  <si>
    <t>Hogares por entidad federativa, según condición de tener necesidad de rentar, comprar o construir una vivienda independiente de la que habitan</t>
  </si>
  <si>
    <t>Entidad federativa</t>
  </si>
  <si>
    <t>Total de hogares</t>
  </si>
  <si>
    <t>Sí</t>
  </si>
  <si>
    <t>No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</si>
  <si>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</si>
  <si>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</si>
  <si>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</si>
  <si>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</si>
  <si>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</si>
  <si>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</si>
  <si>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</si>
  <si>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</si>
  <si>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</si>
  <si>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</si>
  <si>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</si>
  <si>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</si>
  <si>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</si>
  <si>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</si>
  <si>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</si>
  <si>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</si>
  <si>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</si>
  <si>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</si>
  <si>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</si>
  <si>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</si>
  <si>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</si>
  <si>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</si>
  <si>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</si>
  <si>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</si>
  <si>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</si>
  <si>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</si>
  <si>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</si>
  <si>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</si>
  <si>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</si>
  <si>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</si>
  <si>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</si>
  <si>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</si>
  <si>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</si>
  <si>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</si>
  <si>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</si>
  <si>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1 o 2</t>
  </si>
  <si>
    <t>3 o 4</t>
  </si>
  <si>
    <t>5 o más</t>
  </si>
  <si>
    <t>No especificado</t>
  </si>
  <si>
    <t>1 a 2 499 habitantes</t>
  </si>
  <si>
    <t xml:space="preserve">De 2 500 a 14 999 habitantes </t>
  </si>
  <si>
    <t xml:space="preserve">De 15 000 a 99 999 habitantes </t>
  </si>
  <si>
    <t>Rentar</t>
  </si>
  <si>
    <t>Construir</t>
  </si>
  <si>
    <t>100 000  y más habitantes</t>
  </si>
  <si>
    <t>Tamaño de localidad</t>
  </si>
  <si>
    <t>Condición de necesidad de vivienda</t>
  </si>
  <si>
    <t>Total de viviendas requeridas</t>
  </si>
  <si>
    <t>Cuadro 5.1</t>
  </si>
  <si>
    <t>Cuadro 5.2</t>
  </si>
  <si>
    <t>Cuadro 5.3</t>
  </si>
  <si>
    <t>Cuadro 5.4</t>
  </si>
  <si>
    <t>Cuadro 5.5</t>
  </si>
  <si>
    <t>Cuadro 5.6</t>
  </si>
  <si>
    <t>Cuadro 5.7</t>
  </si>
  <si>
    <t>Cuadro 5.8</t>
  </si>
  <si>
    <t>Cuadro 5.9</t>
  </si>
  <si>
    <t>Cuadro 5.10</t>
  </si>
  <si>
    <t>Hogares que tienen necesidad de rentar, comprar o construir una vivienda independiente de la que habitan y número de viviendas requeridas, por entidad federativa, según número de cuartos para dormir que necesitan en la vivienda</t>
  </si>
  <si>
    <t>Total de hogares que tienen necesidad de rentar, comprar o construir una vivienda independiente de la que habitan</t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</si>
  <si>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</si>
  <si>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</si>
  <si>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</si>
  <si>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</si>
  <si>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</si>
  <si>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</si>
  <si>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Hogares que tienen necesidad de rentar, comprar o construir una vivienda independiente de la que habitan y número de viviendas requeridas, por tamaño de localidad, según tipo de adquisición proyectada para la vivienda</t>
  </si>
  <si>
    <t>Hogares que tienen necesidad de rentar, comprar o construir una vivienda independiente de la que habitan y número de viviendas requeridas, por entidad federativa, según tipo de adquisición proyectada para la vivienda</t>
  </si>
  <si>
    <t>Hogares que tienen necesidad de rentar, comprar o construir una vivienda independiente de la que habitan y número de viviendas requeridas, por tamaño de localidad, según número de cuartos para dormir que necesitan en la vivienda</t>
  </si>
  <si>
    <t>ÍNDICE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</si>
  <si>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</si>
  <si>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Tema 5. Necesidades de vivienda</t>
  </si>
  <si>
    <r>
      <t>Número de cuartos para dormir que necesitan en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</si>
  <si>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</si>
  <si>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t>Tipo de adquisición proyectada para la vivienda</t>
    </r>
    <r>
      <rPr>
        <b/>
        <vertAlign val="superscript"/>
        <sz val="8"/>
        <rFont val="Arial"/>
        <family val="2"/>
      </rPr>
      <t>1</t>
    </r>
  </si>
  <si>
    <r>
      <t>Comprar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</si>
  <si>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se quieren comprar nuevas o usadas.</t>
    </r>
  </si>
  <si>
    <t>Hogares que tienen necesidad de comprar o construir una vivienda independiente de la que habitan y disponen del terreno para construir, número de viviendas requeridas para comprar o construir y que disponen de terreno, por entidad federativa, según condición de estar buscando o construyendo la vivienda</t>
  </si>
  <si>
    <t>Hogares que tienen necesidad de comprar o construir una vivienda independiente de la que habitan y número de viviendas requeridas para comprar o construir, por entidad federativa, según motivo principal de adquisición</t>
  </si>
  <si>
    <t>Hogares que tienen necesidad de comprar o construir una vivienda independiente de la que habitan y disponen del terreno para 
construir, número de viviendas requeridas para comprar o construir y que disponen de terreno por entidad federativa, según fuente de financiamiento que planean utilizar</t>
  </si>
  <si>
    <t>Hogares que tienen necesidad de comprar o construir una vivienda independiente de la que habitan y disponen del terreno para construir, número de viviendas requeridas para comprar o construir y que disponen de terreno, por entidad federativa, según monto de inversión que planean utilizar</t>
  </si>
  <si>
    <r>
      <t>Hogares que tienen necesidad de comprar o construir una vivienda independiente de la que habitan y que todavía no están buscando o construyendo la vivienda, número de viviendas requeridas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>, por entidad federativa, según tiempo planeado para empezar la búsqueda de ésta</t>
    </r>
  </si>
  <si>
    <t>Agosto 2021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</si>
  <si>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motivos personales (independizarse, creció en ese lugar, cercanía a familia, etcétera)" y "Para uso vacacional".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</si>
  <si>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"Por inversión", "Para aprovechar un crédito" y "Para reducir los costos de la vivienda o servicios".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</si>
  <si>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"Por las vías de acceso y cercanía a servicios", "Por seguridad de la zona" y "Para cambiarse a un mejor entorno (vecinos, medio ambiente)".</t>
    </r>
  </si>
  <si>
    <t>Otro</t>
  </si>
  <si>
    <r>
      <t>Personales</t>
    </r>
    <r>
      <rPr>
        <b/>
        <vertAlign val="superscript"/>
        <sz val="8"/>
        <rFont val="Arial"/>
        <family val="2"/>
      </rPr>
      <t>4</t>
    </r>
  </si>
  <si>
    <r>
      <t>Económicos</t>
    </r>
    <r>
      <rPr>
        <b/>
        <vertAlign val="superscript"/>
        <sz val="8"/>
        <rFont val="Arial"/>
        <family val="2"/>
      </rPr>
      <t>3</t>
    </r>
  </si>
  <si>
    <r>
      <t>Infraestructura de la localidad</t>
    </r>
    <r>
      <rPr>
        <b/>
        <vertAlign val="superscript"/>
        <sz val="8"/>
        <rFont val="Arial"/>
        <family val="2"/>
      </rPr>
      <t>2</t>
    </r>
  </si>
  <si>
    <t>Características de la vivienda</t>
  </si>
  <si>
    <r>
      <t>Motivo principal de adquisición</t>
    </r>
    <r>
      <rPr>
        <b/>
        <vertAlign val="superscript"/>
        <sz val="8"/>
        <rFont val="Arial"/>
        <family val="2"/>
      </rPr>
      <t>1</t>
    </r>
  </si>
  <si>
    <t>Total de viviendas requeridas para comprar o construir</t>
  </si>
  <si>
    <t>Total de hogares que tienen necesidad de comprar o construir una vivienda</t>
  </si>
  <si>
    <t>Hogares que tienen necesidad de comprar o construir una vivienda independiente de la que habitan y número de viviendas requeridas para comprar o construir , por entidad federativa, según motivo principal de adquisición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</si>
  <si>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préstamo de familiares, amistades u otras personas, y recursos propios (ahorros, inversiones, ingresos, venta de otros activos).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</si>
  <si>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 de financiamiento.</t>
    </r>
  </si>
  <si>
    <r>
      <t>Préstamo informal o recursos propios</t>
    </r>
    <r>
      <rPr>
        <b/>
        <vertAlign val="superscript"/>
        <sz val="8"/>
        <rFont val="Arial"/>
        <family val="2"/>
      </rPr>
      <t>3</t>
    </r>
  </si>
  <si>
    <t>Crédito de una institución financiera privada</t>
  </si>
  <si>
    <t>Crédito de FOVISSSTE</t>
  </si>
  <si>
    <t>Crédito de INFONAVIT</t>
  </si>
  <si>
    <r>
      <t>Fuentes de financiamiento</t>
    </r>
    <r>
      <rPr>
        <b/>
        <vertAlign val="superscript"/>
        <sz val="8"/>
        <rFont val="Arial"/>
        <family val="2"/>
      </rPr>
      <t>1,2</t>
    </r>
  </si>
  <si>
    <t>Total de viviendas requeridas para comprar o construir y que disponen de terreno</t>
  </si>
  <si>
    <t>Total de hogares que tienen necesidad de comprar o construir una vivienda y disponen del terreno para construir</t>
  </si>
  <si>
    <t>Hogares que tienen necesidad de comprar o construir una vivienda independiente de la que habitan y disponen del terreno para construir, número de viviendas requeridas para comprar o construir y que disponen de terreno por entidad federativa, según fuente de financiamiento que planean utilizar</t>
  </si>
  <si>
    <r>
      <t>Otro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</si>
  <si>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créditos de otra institución pública y subsidios.</t>
    </r>
  </si>
  <si>
    <t>Límite superior.</t>
  </si>
  <si>
    <t>Más de $700 000</t>
  </si>
  <si>
    <t>De $351 000 a $700 000</t>
  </si>
  <si>
    <t>De $151 000 a $350 000</t>
  </si>
  <si>
    <t>Hasta $150 000</t>
  </si>
  <si>
    <r>
      <t>Monto de inversión</t>
    </r>
    <r>
      <rPr>
        <b/>
        <vertAlign val="superscript"/>
        <sz val="8"/>
        <rFont val="Arial"/>
        <family val="2"/>
      </rPr>
      <t>1</t>
    </r>
  </si>
  <si>
    <t>Hogares que tienen necesidad de comprar o construir una vivienda independiente de la que habitan y disponen del terreno para construir, número de viviendas requeridas para comprar o construir y disponen de terreno, por entidad federativa, según monto de inversión que planean utilizar</t>
  </si>
  <si>
    <r>
      <t>Condición de estar buscando o construyendo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</si>
  <si>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</si>
  <si>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Total de viviendas requeridas para comprar o construir y que todavía no las están buscando o construyendo.</t>
    </r>
  </si>
  <si>
    <t>4 años o más</t>
  </si>
  <si>
    <t>2 a 3 años</t>
  </si>
  <si>
    <t>1 año o menos</t>
  </si>
  <si>
    <r>
      <t>Tiempo planeado para buscar o construir la vivienda</t>
    </r>
    <r>
      <rPr>
        <b/>
        <vertAlign val="superscript"/>
        <sz val="8"/>
        <rFont val="Arial"/>
        <family val="2"/>
      </rPr>
      <t>2</t>
    </r>
  </si>
  <si>
    <t>Total de viviendas requeridas para comprar o construir y que todavía no las están buscando o construyendo</t>
  </si>
  <si>
    <t>Total de hogares que 
tienen necesidad de 
comprar o construir 
una vivienda y que 
todavía no están 
buscando o 
construyendo 
la vivienda</t>
  </si>
  <si>
    <r>
      <t>Hogares que tienen necesidad de comprar o construir una vivienda independiente de la que habitan y que todavía no están buscando o construyendo la vivienda, número de viviendas requeridas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, por entidad federativa, según tiempo planeado para empezar la búsqueda de ésta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</si>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</sst>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\ ###\ ##0"/>
    <numFmt numFmtId="166" formatCode="###\ ###\ ##0\ "/>
    <numFmt numFmtId="167" formatCode="###\ ###\ ##0.0"/>
    <numFmt numFmtId="168" formatCode="###\ ###\ ###"/>
    <numFmt numFmtId="169" formatCode="###\ ###\ ##0"/>
    <numFmt numFmtId="170" formatCode="###\ ###\ ###\ ##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u/>
      <sz val="9"/>
      <color rgb="FF003399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vertAlign val="superscript"/>
      <sz val="11"/>
      <name val="Arial"/>
      <family val="2"/>
    </font>
    <font>
      <u/>
      <sz val="9"/>
      <name val="Arial"/>
      <family val="2"/>
    </font>
    <font>
      <b/>
      <vertAlign val="superscript"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28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</cellStyleXfs>
  <cellXfs count="270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horizontal="right" vertical="center" wrapText="1"/>
    </xf>
    <xf numFmtId="165" fontId="6" fillId="2" borderId="0" xfId="5" applyNumberFormat="1" applyFont="1" applyFill="1" applyBorder="1" applyAlignment="1" applyProtection="1">
      <alignment horizontal="right"/>
    </xf>
    <xf numFmtId="165" fontId="8" fillId="2" borderId="0" xfId="5" applyNumberFormat="1" applyFont="1" applyFill="1" applyBorder="1" applyAlignment="1" applyProtection="1">
      <alignment horizontal="right"/>
    </xf>
    <xf numFmtId="0" fontId="8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1" fillId="2" borderId="0" xfId="1" applyFill="1" applyBorder="1" applyAlignment="1">
      <alignment vertical="top"/>
    </xf>
    <xf numFmtId="0" fontId="3" fillId="2" borderId="0" xfId="5" applyFont="1" applyFill="1" applyAlignment="1">
      <alignment horizontal="left" vertical="top" justifyLastLine="1"/>
    </xf>
    <xf numFmtId="0" fontId="3" fillId="2" borderId="0" xfId="5" applyFont="1" applyFill="1" applyBorder="1" applyAlignment="1">
      <alignment horizontal="distributed" vertical="center" wrapText="1"/>
    </xf>
    <xf numFmtId="0" fontId="9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/>
    </xf>
    <xf numFmtId="0" fontId="10" fillId="3" borderId="0" xfId="0" applyFont="1" applyFill="1" applyBorder="1" applyAlignment="1"/>
    <xf numFmtId="0" fontId="8" fillId="4" borderId="0" xfId="1" applyFont="1" applyFill="1" applyAlignment="1">
      <alignment horizontal="left" vertical="top"/>
    </xf>
    <xf numFmtId="0" fontId="1" fillId="4" borderId="0" xfId="1" applyFill="1" applyBorder="1" applyAlignment="1">
      <alignment vertical="center"/>
    </xf>
    <xf numFmtId="0" fontId="1" fillId="4" borderId="0" xfId="1" applyFill="1" applyAlignment="1">
      <alignment vertical="center"/>
    </xf>
    <xf numFmtId="0" fontId="8" fillId="3" borderId="0" xfId="0" applyFont="1" applyFill="1" applyBorder="1" applyAlignment="1">
      <alignment horizontal="left" indent="1"/>
    </xf>
    <xf numFmtId="0" fontId="8" fillId="3" borderId="4" xfId="0" applyFont="1" applyFill="1" applyBorder="1" applyAlignment="1">
      <alignment horizontal="left" indent="1"/>
    </xf>
    <xf numFmtId="0" fontId="8" fillId="3" borderId="0" xfId="0" applyFont="1" applyFill="1" applyBorder="1" applyAlignment="1">
      <alignment wrapText="1"/>
    </xf>
    <xf numFmtId="0" fontId="11" fillId="3" borderId="0" xfId="0" applyFont="1" applyFill="1" applyBorder="1" applyAlignment="1">
      <alignment horizontal="left" indent="1"/>
    </xf>
    <xf numFmtId="0" fontId="0" fillId="2" borderId="0" xfId="0" applyFill="1"/>
    <xf numFmtId="0" fontId="8" fillId="0" borderId="0" xfId="0" applyFont="1" applyFill="1" applyBorder="1" applyAlignment="1">
      <alignment horizontal="left" indent="1"/>
    </xf>
    <xf numFmtId="0" fontId="5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15" fillId="2" borderId="0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right" vertical="center"/>
    </xf>
    <xf numFmtId="0" fontId="15" fillId="2" borderId="1" xfId="1" applyFont="1" applyFill="1" applyBorder="1" applyAlignment="1">
      <alignment vertical="center"/>
    </xf>
    <xf numFmtId="0" fontId="15" fillId="2" borderId="0" xfId="1" applyFont="1" applyFill="1" applyAlignment="1">
      <alignment vertical="center"/>
    </xf>
    <xf numFmtId="0" fontId="15" fillId="4" borderId="0" xfId="1" applyFont="1" applyFill="1" applyBorder="1" applyAlignment="1">
      <alignment vertical="center"/>
    </xf>
    <xf numFmtId="0" fontId="15" fillId="4" borderId="0" xfId="1" applyFont="1" applyFill="1" applyAlignment="1">
      <alignment vertical="center"/>
    </xf>
    <xf numFmtId="0" fontId="8" fillId="2" borderId="0" xfId="1" applyFont="1" applyFill="1" applyBorder="1" applyAlignment="1">
      <alignment horizontal="right" vertical="center" wrapText="1"/>
    </xf>
    <xf numFmtId="0" fontId="8" fillId="2" borderId="2" xfId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right" vertical="center" wrapText="1"/>
    </xf>
    <xf numFmtId="0" fontId="6" fillId="4" borderId="0" xfId="1" applyFont="1" applyFill="1" applyBorder="1" applyAlignment="1">
      <alignment horizontal="left" vertical="center" wrapText="1"/>
    </xf>
    <xf numFmtId="0" fontId="6" fillId="3" borderId="0" xfId="0" applyFont="1" applyFill="1" applyBorder="1" applyAlignment="1"/>
    <xf numFmtId="0" fontId="15" fillId="4" borderId="0" xfId="1" applyFont="1" applyFill="1" applyAlignment="1">
      <alignment vertical="top"/>
    </xf>
    <xf numFmtId="0" fontId="15" fillId="4" borderId="0" xfId="1" applyFont="1" applyFill="1" applyBorder="1" applyAlignment="1">
      <alignment vertical="top"/>
    </xf>
    <xf numFmtId="0" fontId="8" fillId="2" borderId="0" xfId="5" applyFont="1" applyFill="1" applyAlignment="1">
      <alignment horizontal="left" vertical="top" justifyLastLine="1"/>
    </xf>
    <xf numFmtId="0" fontId="15" fillId="2" borderId="0" xfId="1" applyFont="1" applyFill="1" applyAlignment="1">
      <alignment vertical="top"/>
    </xf>
    <xf numFmtId="0" fontId="15" fillId="2" borderId="0" xfId="1" applyFont="1" applyFill="1" applyBorder="1" applyAlignment="1">
      <alignment vertical="top"/>
    </xf>
    <xf numFmtId="0" fontId="8" fillId="2" borderId="0" xfId="5" applyFont="1" applyFill="1" applyBorder="1" applyAlignment="1">
      <alignment horizontal="distributed" vertical="center" wrapText="1"/>
    </xf>
    <xf numFmtId="0" fontId="15" fillId="2" borderId="2" xfId="1" applyFont="1" applyFill="1" applyBorder="1" applyAlignment="1">
      <alignment horizontal="center" vertical="center"/>
    </xf>
    <xf numFmtId="0" fontId="6" fillId="5" borderId="0" xfId="0" applyFont="1" applyFill="1" applyBorder="1" applyAlignment="1"/>
    <xf numFmtId="0" fontId="8" fillId="2" borderId="1" xfId="7" applyFont="1" applyFill="1" applyBorder="1" applyAlignment="1">
      <alignment horizontal="left" indent="1"/>
    </xf>
    <xf numFmtId="0" fontId="8" fillId="2" borderId="0" xfId="1" applyFont="1" applyFill="1" applyAlignment="1">
      <alignment vertical="center"/>
    </xf>
    <xf numFmtId="0" fontId="8" fillId="2" borderId="0" xfId="1" applyFont="1" applyFill="1" applyBorder="1" applyAlignment="1">
      <alignment vertical="center"/>
    </xf>
    <xf numFmtId="0" fontId="15" fillId="2" borderId="0" xfId="0" applyFont="1" applyFill="1"/>
    <xf numFmtId="0" fontId="18" fillId="0" borderId="0" xfId="13" applyFont="1"/>
    <xf numFmtId="0" fontId="19" fillId="0" borderId="0" xfId="13" applyFont="1"/>
    <xf numFmtId="0" fontId="21" fillId="0" borderId="0" xfId="13" applyFont="1" applyFill="1" applyAlignment="1">
      <alignment horizontal="center" vertical="center"/>
    </xf>
    <xf numFmtId="0" fontId="21" fillId="0" borderId="0" xfId="13" applyFont="1" applyFill="1" applyAlignment="1">
      <alignment vertical="center"/>
    </xf>
    <xf numFmtId="0" fontId="18" fillId="0" borderId="0" xfId="13" applyFont="1" applyFill="1"/>
    <xf numFmtId="17" fontId="2" fillId="0" borderId="0" xfId="13" quotePrefix="1" applyNumberFormat="1" applyFont="1"/>
    <xf numFmtId="0" fontId="22" fillId="0" borderId="0" xfId="13" applyFont="1"/>
    <xf numFmtId="0" fontId="21" fillId="7" borderId="5" xfId="13" applyFont="1" applyFill="1" applyBorder="1" applyAlignment="1">
      <alignment horizontal="center" vertical="center"/>
    </xf>
    <xf numFmtId="0" fontId="21" fillId="7" borderId="6" xfId="13" applyFont="1" applyFill="1" applyBorder="1" applyAlignment="1">
      <alignment horizontal="center" vertical="center"/>
    </xf>
    <xf numFmtId="0" fontId="18" fillId="2" borderId="0" xfId="1" applyFont="1" applyFill="1" applyAlignment="1">
      <alignment vertical="center"/>
    </xf>
    <xf numFmtId="0" fontId="18" fillId="2" borderId="0" xfId="1" applyFont="1" applyFill="1" applyBorder="1" applyAlignment="1">
      <alignment vertical="center"/>
    </xf>
    <xf numFmtId="0" fontId="18" fillId="2" borderId="0" xfId="1" applyFont="1" applyFill="1" applyAlignment="1">
      <alignment vertical="top"/>
    </xf>
    <xf numFmtId="0" fontId="18" fillId="0" borderId="0" xfId="0" applyFont="1"/>
    <xf numFmtId="0" fontId="18" fillId="4" borderId="0" xfId="1" applyFont="1" applyFill="1" applyAlignment="1">
      <alignment vertical="center"/>
    </xf>
    <xf numFmtId="0" fontId="18" fillId="4" borderId="0" xfId="1" applyFont="1" applyFill="1" applyBorder="1" applyAlignment="1">
      <alignment vertical="center"/>
    </xf>
    <xf numFmtId="0" fontId="28" fillId="2" borderId="0" xfId="1" applyFont="1" applyFill="1" applyAlignment="1">
      <alignment vertical="center"/>
    </xf>
    <xf numFmtId="0" fontId="9" fillId="0" borderId="0" xfId="1" applyFont="1"/>
    <xf numFmtId="0" fontId="28" fillId="2" borderId="0" xfId="1" applyFont="1" applyFill="1" applyBorder="1" applyAlignment="1">
      <alignment vertical="center"/>
    </xf>
    <xf numFmtId="0" fontId="28" fillId="2" borderId="0" xfId="1" applyFont="1" applyFill="1" applyAlignment="1">
      <alignment horizontal="left" vertical="center"/>
    </xf>
    <xf numFmtId="0" fontId="30" fillId="2" borderId="0" xfId="4" applyNumberFormat="1" applyFont="1" applyFill="1" applyBorder="1" applyAlignment="1" applyProtection="1">
      <alignment horizontal="right" vertical="center"/>
    </xf>
    <xf numFmtId="0" fontId="16" fillId="2" borderId="0" xfId="1" applyFont="1" applyFill="1" applyBorder="1" applyAlignment="1">
      <alignment vertical="center"/>
    </xf>
    <xf numFmtId="0" fontId="16" fillId="2" borderId="0" xfId="1" applyFont="1" applyFill="1" applyAlignment="1">
      <alignment vertical="center"/>
    </xf>
    <xf numFmtId="0" fontId="28" fillId="0" borderId="0" xfId="0" applyFont="1"/>
    <xf numFmtId="0" fontId="28" fillId="2" borderId="0" xfId="0" applyFont="1" applyFill="1"/>
    <xf numFmtId="0" fontId="9" fillId="2" borderId="0" xfId="1" applyFont="1" applyFill="1"/>
    <xf numFmtId="0" fontId="32" fillId="2" borderId="0" xfId="1" applyFont="1" applyFill="1" applyAlignment="1">
      <alignment vertical="center"/>
    </xf>
    <xf numFmtId="0" fontId="16" fillId="2" borderId="0" xfId="0" applyFont="1" applyFill="1" applyAlignment="1">
      <alignment horizontal="right"/>
    </xf>
    <xf numFmtId="0" fontId="33" fillId="2" borderId="0" xfId="14" applyFont="1" applyFill="1" applyAlignment="1" applyProtection="1">
      <alignment horizontal="right"/>
    </xf>
    <xf numFmtId="0" fontId="15" fillId="2" borderId="1" xfId="1" applyFont="1" applyFill="1" applyBorder="1" applyAlignment="1">
      <alignment horizontal="right" vertical="center"/>
    </xf>
    <xf numFmtId="0" fontId="25" fillId="0" borderId="9" xfId="12" applyFont="1" applyBorder="1" applyAlignment="1" applyProtection="1">
      <alignment horizontal="center" vertical="center"/>
    </xf>
    <xf numFmtId="0" fontId="25" fillId="0" borderId="14" xfId="12" applyFont="1" applyBorder="1" applyAlignment="1" applyProtection="1">
      <alignment horizontal="center" vertical="center"/>
    </xf>
    <xf numFmtId="166" fontId="6" fillId="2" borderId="0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/>
    </xf>
    <xf numFmtId="167" fontId="6" fillId="2" borderId="0" xfId="1" applyNumberFormat="1" applyFont="1" applyFill="1" applyBorder="1" applyAlignment="1">
      <alignment horizontal="right" vertical="center"/>
    </xf>
    <xf numFmtId="167" fontId="6" fillId="4" borderId="0" xfId="1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vertical="center"/>
    </xf>
    <xf numFmtId="165" fontId="5" fillId="2" borderId="0" xfId="1" applyNumberFormat="1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8" fillId="2" borderId="1" xfId="1" applyFont="1" applyFill="1" applyBorder="1" applyAlignment="1">
      <alignment vertical="center"/>
    </xf>
    <xf numFmtId="0" fontId="3" fillId="0" borderId="0" xfId="0" applyFont="1"/>
    <xf numFmtId="0" fontId="3" fillId="2" borderId="0" xfId="0" applyFont="1" applyFill="1"/>
    <xf numFmtId="0" fontId="5" fillId="2" borderId="0" xfId="0" applyFont="1" applyFill="1"/>
    <xf numFmtId="0" fontId="5" fillId="0" borderId="0" xfId="0" applyFont="1"/>
    <xf numFmtId="0" fontId="35" fillId="0" borderId="0" xfId="7" applyFont="1"/>
    <xf numFmtId="0" fontId="36" fillId="0" borderId="0" xfId="7" applyFont="1"/>
    <xf numFmtId="0" fontId="11" fillId="3" borderId="0" xfId="0" applyFont="1" applyFill="1" applyAlignment="1">
      <alignment horizontal="left" vertical="top"/>
    </xf>
    <xf numFmtId="0" fontId="8" fillId="2" borderId="0" xfId="7" applyFont="1" applyFill="1" applyBorder="1" applyAlignment="1">
      <alignment horizontal="left" indent="1" readingOrder="1"/>
    </xf>
    <xf numFmtId="166" fontId="5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Border="1" applyAlignment="1">
      <alignment horizontal="right" vertical="center"/>
    </xf>
    <xf numFmtId="166" fontId="3" fillId="2" borderId="1" xfId="1" applyNumberFormat="1" applyFont="1" applyFill="1" applyBorder="1" applyAlignment="1">
      <alignment horizontal="right" vertical="center"/>
    </xf>
    <xf numFmtId="166" fontId="6" fillId="2" borderId="0" xfId="1" applyNumberFormat="1" applyFont="1" applyFill="1" applyAlignment="1">
      <alignment horizontal="right" vertical="center"/>
    </xf>
    <xf numFmtId="166" fontId="8" fillId="2" borderId="0" xfId="1" applyNumberFormat="1" applyFont="1" applyFill="1" applyAlignment="1">
      <alignment horizontal="right" vertical="center"/>
    </xf>
    <xf numFmtId="167" fontId="8" fillId="2" borderId="0" xfId="1" applyNumberFormat="1" applyFont="1" applyFill="1" applyAlignment="1">
      <alignment horizontal="right" vertical="center"/>
    </xf>
    <xf numFmtId="166" fontId="8" fillId="2" borderId="1" xfId="5" applyNumberFormat="1" applyFont="1" applyFill="1" applyBorder="1" applyAlignment="1" applyProtection="1">
      <alignment horizontal="right" vertical="center"/>
    </xf>
    <xf numFmtId="166" fontId="8" fillId="2" borderId="1" xfId="1" applyNumberFormat="1" applyFont="1" applyFill="1" applyBorder="1" applyAlignment="1">
      <alignment horizontal="right" vertical="center"/>
    </xf>
    <xf numFmtId="167" fontId="8" fillId="2" borderId="1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 wrapText="1"/>
    </xf>
    <xf numFmtId="166" fontId="15" fillId="4" borderId="0" xfId="1" applyNumberFormat="1" applyFont="1" applyFill="1" applyBorder="1" applyAlignment="1">
      <alignment horizontal="right" vertical="center"/>
    </xf>
    <xf numFmtId="166" fontId="15" fillId="4" borderId="0" xfId="1" applyNumberFormat="1" applyFont="1" applyFill="1" applyAlignment="1">
      <alignment horizontal="right" vertical="center"/>
    </xf>
    <xf numFmtId="166" fontId="6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Alignment="1">
      <alignment horizontal="right" vertical="center"/>
    </xf>
    <xf numFmtId="166" fontId="15" fillId="2" borderId="1" xfId="1" applyNumberFormat="1" applyFont="1" applyFill="1" applyBorder="1" applyAlignment="1">
      <alignment horizontal="right" vertical="center"/>
    </xf>
    <xf numFmtId="0" fontId="36" fillId="2" borderId="0" xfId="7" applyFont="1" applyFill="1"/>
    <xf numFmtId="168" fontId="8" fillId="2" borderId="0" xfId="5" applyNumberFormat="1" applyFont="1" applyFill="1" applyAlignment="1">
      <alignment horizontal="left" vertical="top" justifyLastLine="1"/>
    </xf>
    <xf numFmtId="167" fontId="8" fillId="2" borderId="0" xfId="5" applyNumberFormat="1" applyFont="1" applyFill="1" applyAlignment="1">
      <alignment horizontal="left" vertical="top" justifyLastLine="1"/>
    </xf>
    <xf numFmtId="168" fontId="37" fillId="2" borderId="0" xfId="2" applyNumberFormat="1" applyFont="1" applyFill="1"/>
    <xf numFmtId="167" fontId="37" fillId="2" borderId="0" xfId="2" applyNumberFormat="1" applyFont="1" applyFill="1"/>
    <xf numFmtId="0" fontId="34" fillId="2" borderId="0" xfId="2" applyFont="1" applyFill="1"/>
    <xf numFmtId="166" fontId="6" fillId="2" borderId="0" xfId="5" applyNumberFormat="1" applyFont="1" applyFill="1" applyAlignment="1">
      <alignment horizontal="right" vertical="center"/>
    </xf>
    <xf numFmtId="166" fontId="8" fillId="2" borderId="0" xfId="5" applyNumberFormat="1" applyFont="1" applyFill="1" applyAlignment="1">
      <alignment horizontal="right" vertical="center"/>
    </xf>
    <xf numFmtId="167" fontId="8" fillId="2" borderId="0" xfId="5" applyNumberFormat="1" applyFont="1" applyFill="1" applyAlignment="1">
      <alignment horizontal="right" vertical="center"/>
    </xf>
    <xf numFmtId="166" fontId="5" fillId="2" borderId="0" xfId="1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horizontal="right" vertical="center"/>
    </xf>
    <xf numFmtId="0" fontId="1" fillId="2" borderId="0" xfId="8" applyFill="1" applyAlignment="1">
      <alignment vertical="center"/>
    </xf>
    <xf numFmtId="0" fontId="18" fillId="2" borderId="0" xfId="8" applyFont="1" applyFill="1" applyAlignment="1">
      <alignment vertical="center"/>
    </xf>
    <xf numFmtId="0" fontId="15" fillId="2" borderId="0" xfId="8" applyFont="1" applyFill="1" applyAlignment="1">
      <alignment vertical="center"/>
    </xf>
    <xf numFmtId="0" fontId="7" fillId="2" borderId="0" xfId="5" applyFont="1" applyFill="1" applyAlignment="1">
      <alignment horizontal="left" vertical="center"/>
    </xf>
    <xf numFmtId="0" fontId="16" fillId="2" borderId="0" xfId="5" applyFont="1" applyFill="1" applyAlignment="1">
      <alignment horizontal="left" vertical="center"/>
    </xf>
    <xf numFmtId="169" fontId="8" fillId="2" borderId="0" xfId="8" applyNumberFormat="1" applyFont="1" applyFill="1" applyAlignment="1">
      <alignment vertical="center"/>
    </xf>
    <xf numFmtId="169" fontId="8" fillId="2" borderId="0" xfId="8" applyNumberFormat="1" applyFont="1" applyFill="1" applyAlignment="1">
      <alignment horizontal="right" vertical="center"/>
    </xf>
    <xf numFmtId="0" fontId="8" fillId="2" borderId="0" xfId="8" applyFont="1" applyFill="1" applyAlignment="1">
      <alignment vertical="center"/>
    </xf>
    <xf numFmtId="0" fontId="3" fillId="2" borderId="0" xfId="8" applyFont="1" applyFill="1" applyAlignment="1">
      <alignment vertical="center"/>
    </xf>
    <xf numFmtId="167" fontId="8" fillId="2" borderId="1" xfId="8" applyNumberFormat="1" applyFont="1" applyFill="1" applyBorder="1" applyAlignment="1">
      <alignment horizontal="right" vertical="center"/>
    </xf>
    <xf numFmtId="166" fontId="8" fillId="2" borderId="4" xfId="8" applyNumberFormat="1" applyFont="1" applyFill="1" applyBorder="1" applyAlignment="1">
      <alignment horizontal="right" vertical="center"/>
    </xf>
    <xf numFmtId="166" fontId="8" fillId="2" borderId="1" xfId="5" applyNumberFormat="1" applyFont="1" applyFill="1" applyBorder="1" applyAlignment="1">
      <alignment horizontal="right" vertical="center"/>
    </xf>
    <xf numFmtId="166" fontId="8" fillId="2" borderId="1" xfId="8" applyNumberFormat="1" applyFont="1" applyFill="1" applyBorder="1" applyAlignment="1">
      <alignment horizontal="right" vertical="center"/>
    </xf>
    <xf numFmtId="0" fontId="8" fillId="2" borderId="1" xfId="8" applyFont="1" applyFill="1" applyBorder="1" applyAlignment="1">
      <alignment vertical="center"/>
    </xf>
    <xf numFmtId="0" fontId="8" fillId="3" borderId="4" xfId="9" applyFont="1" applyFill="1" applyBorder="1" applyAlignment="1">
      <alignment horizontal="left" indent="1"/>
    </xf>
    <xf numFmtId="166" fontId="8" fillId="2" borderId="0" xfId="8" applyNumberFormat="1" applyFont="1" applyFill="1" applyAlignment="1">
      <alignment horizontal="right" vertical="center"/>
    </xf>
    <xf numFmtId="0" fontId="8" fillId="3" borderId="0" xfId="9" applyFont="1" applyFill="1" applyAlignment="1">
      <alignment horizontal="left" indent="1"/>
    </xf>
    <xf numFmtId="165" fontId="8" fillId="2" borderId="0" xfId="5" applyNumberFormat="1" applyFont="1" applyFill="1" applyAlignment="1">
      <alignment horizontal="right"/>
    </xf>
    <xf numFmtId="0" fontId="5" fillId="2" borderId="0" xfId="8" applyFont="1" applyFill="1" applyAlignment="1">
      <alignment vertical="center"/>
    </xf>
    <xf numFmtId="0" fontId="6" fillId="2" borderId="0" xfId="8" applyFont="1" applyFill="1" applyAlignment="1">
      <alignment vertical="center"/>
    </xf>
    <xf numFmtId="0" fontId="6" fillId="3" borderId="0" xfId="9" applyFont="1" applyFill="1"/>
    <xf numFmtId="167" fontId="6" fillId="2" borderId="0" xfId="8" applyNumberFormat="1" applyFont="1" applyFill="1" applyAlignment="1">
      <alignment horizontal="right" vertical="center" wrapText="1"/>
    </xf>
    <xf numFmtId="166" fontId="15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 wrapText="1"/>
    </xf>
    <xf numFmtId="0" fontId="6" fillId="2" borderId="1" xfId="8" applyFont="1" applyFill="1" applyBorder="1" applyAlignment="1">
      <alignment horizontal="right" vertical="center"/>
    </xf>
    <xf numFmtId="0" fontId="15" fillId="2" borderId="1" xfId="8" applyFont="1" applyFill="1" applyBorder="1" applyAlignment="1">
      <alignment horizontal="right" vertical="center"/>
    </xf>
    <xf numFmtId="0" fontId="8" fillId="2" borderId="1" xfId="8" applyFont="1" applyFill="1" applyBorder="1" applyAlignment="1">
      <alignment horizontal="right" vertical="center" wrapText="1"/>
    </xf>
    <xf numFmtId="0" fontId="15" fillId="2" borderId="2" xfId="8" applyFont="1" applyFill="1" applyBorder="1" applyAlignment="1">
      <alignment vertical="center"/>
    </xf>
    <xf numFmtId="0" fontId="6" fillId="2" borderId="2" xfId="8" applyFont="1" applyFill="1" applyBorder="1" applyAlignment="1">
      <alignment horizontal="center" vertical="center" wrapText="1"/>
    </xf>
    <xf numFmtId="0" fontId="8" fillId="2" borderId="2" xfId="8" applyFont="1" applyFill="1" applyBorder="1" applyAlignment="1">
      <alignment horizontal="right" vertical="center" wrapText="1"/>
    </xf>
    <xf numFmtId="0" fontId="8" fillId="2" borderId="0" xfId="8" applyFont="1" applyFill="1" applyAlignment="1">
      <alignment horizontal="right" vertical="center" wrapText="1"/>
    </xf>
    <xf numFmtId="0" fontId="28" fillId="2" borderId="0" xfId="8" applyFont="1" applyFill="1" applyAlignment="1">
      <alignment vertical="center"/>
    </xf>
    <xf numFmtId="0" fontId="16" fillId="2" borderId="0" xfId="8" applyFont="1" applyFill="1" applyAlignment="1">
      <alignment vertical="center"/>
    </xf>
    <xf numFmtId="0" fontId="39" fillId="2" borderId="0" xfId="4" applyNumberFormat="1" applyFont="1" applyFill="1" applyBorder="1" applyAlignment="1" applyProtection="1">
      <alignment horizontal="right" vertical="center"/>
    </xf>
    <xf numFmtId="164" fontId="16" fillId="2" borderId="0" xfId="11" applyFont="1" applyFill="1" applyBorder="1" applyAlignment="1">
      <alignment horizontal="right" vertical="top"/>
    </xf>
    <xf numFmtId="0" fontId="28" fillId="2" borderId="0" xfId="8" applyFont="1" applyFill="1" applyAlignment="1">
      <alignment horizontal="left" vertical="center"/>
    </xf>
    <xf numFmtId="0" fontId="9" fillId="0" borderId="0" xfId="8" applyFont="1"/>
    <xf numFmtId="169" fontId="8" fillId="2" borderId="0" xfId="1" applyNumberFormat="1" applyFont="1" applyFill="1" applyBorder="1" applyAlignment="1">
      <alignment vertical="center"/>
    </xf>
    <xf numFmtId="169" fontId="8" fillId="2" borderId="0" xfId="1" applyNumberFormat="1" applyFont="1" applyFill="1" applyBorder="1" applyAlignment="1">
      <alignment horizontal="right" vertical="center"/>
    </xf>
    <xf numFmtId="167" fontId="8" fillId="2" borderId="4" xfId="1" applyNumberFormat="1" applyFont="1" applyFill="1" applyBorder="1" applyAlignment="1">
      <alignment horizontal="right" vertical="center"/>
    </xf>
    <xf numFmtId="166" fontId="15" fillId="2" borderId="4" xfId="1" applyNumberFormat="1" applyFont="1" applyFill="1" applyBorder="1" applyAlignment="1">
      <alignment horizontal="right" vertical="center"/>
    </xf>
    <xf numFmtId="166" fontId="8" fillId="2" borderId="4" xfId="1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>
      <alignment horizontal="right" vertical="center"/>
    </xf>
    <xf numFmtId="0" fontId="31" fillId="2" borderId="0" xfId="2" applyFont="1" applyFill="1" applyAlignment="1">
      <alignment vertical="top" wrapText="1"/>
    </xf>
    <xf numFmtId="0" fontId="9" fillId="2" borderId="0" xfId="8" applyFont="1" applyFill="1"/>
    <xf numFmtId="0" fontId="16" fillId="2" borderId="0" xfId="1" applyFont="1" applyFill="1" applyAlignment="1">
      <alignment horizontal="left" vertical="center"/>
    </xf>
    <xf numFmtId="0" fontId="26" fillId="2" borderId="0" xfId="1" applyFont="1" applyFill="1" applyAlignment="1">
      <alignment vertical="center"/>
    </xf>
    <xf numFmtId="0" fontId="26" fillId="2" borderId="0" xfId="1" applyFont="1" applyFill="1" applyBorder="1" applyAlignment="1">
      <alignment vertical="center"/>
    </xf>
    <xf numFmtId="0" fontId="8" fillId="0" borderId="0" xfId="7" applyFont="1"/>
    <xf numFmtId="0" fontId="37" fillId="2" borderId="0" xfId="2" applyFont="1" applyFill="1"/>
    <xf numFmtId="170" fontId="6" fillId="2" borderId="0" xfId="5" applyNumberFormat="1" applyFont="1" applyFill="1" applyAlignment="1">
      <alignment horizontal="right" vertical="center"/>
    </xf>
    <xf numFmtId="170" fontId="8" fillId="2" borderId="0" xfId="5" applyNumberFormat="1" applyFont="1" applyFill="1" applyAlignment="1">
      <alignment horizontal="right" vertical="center"/>
    </xf>
    <xf numFmtId="170" fontId="3" fillId="2" borderId="0" xfId="1" applyNumberFormat="1" applyFont="1" applyFill="1" applyAlignment="1">
      <alignment horizontal="right" vertical="center"/>
    </xf>
    <xf numFmtId="170" fontId="8" fillId="2" borderId="0" xfId="1" applyNumberFormat="1" applyFont="1" applyFill="1" applyAlignment="1">
      <alignment horizontal="right" vertical="center"/>
    </xf>
    <xf numFmtId="170" fontId="5" fillId="2" borderId="0" xfId="1" applyNumberFormat="1" applyFont="1" applyFill="1" applyAlignment="1">
      <alignment horizontal="right" vertical="center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2" borderId="0" xfId="8" applyFont="1" applyFill="1" applyAlignment="1">
      <alignment horizontal="left" vertical="center" wrapText="1"/>
    </xf>
    <xf numFmtId="170" fontId="8" fillId="2" borderId="0" xfId="8" applyNumberFormat="1" applyFont="1" applyFill="1" applyAlignment="1">
      <alignment horizontal="right" vertical="center"/>
    </xf>
    <xf numFmtId="0" fontId="6" fillId="2" borderId="0" xfId="1" applyFont="1" applyFill="1" applyBorder="1" applyAlignment="1">
      <alignment horizontal="left" vertical="center" wrapText="1"/>
    </xf>
    <xf numFmtId="170" fontId="6" fillId="2" borderId="0" xfId="1" applyNumberFormat="1" applyFont="1" applyFill="1" applyAlignment="1">
      <alignment horizontal="right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26" fillId="0" borderId="0" xfId="7" applyFont="1"/>
    <xf numFmtId="170" fontId="8" fillId="0" borderId="0" xfId="1" applyNumberFormat="1" applyFont="1" applyFill="1" applyAlignment="1">
      <alignment horizontal="right" vertical="center"/>
    </xf>
    <xf numFmtId="166" fontId="8" fillId="0" borderId="0" xfId="1" applyNumberFormat="1" applyFont="1" applyFill="1" applyAlignment="1">
      <alignment horizontal="right" vertical="center"/>
    </xf>
    <xf numFmtId="170" fontId="8" fillId="0" borderId="0" xfId="5" applyNumberFormat="1" applyFont="1" applyFill="1" applyAlignment="1">
      <alignment horizontal="right" vertical="center"/>
    </xf>
    <xf numFmtId="167" fontId="8" fillId="0" borderId="0" xfId="1" applyNumberFormat="1" applyFont="1" applyFill="1" applyAlignment="1">
      <alignment horizontal="right" vertical="center"/>
    </xf>
    <xf numFmtId="170" fontId="6" fillId="0" borderId="0" xfId="1" applyNumberFormat="1" applyFont="1" applyFill="1" applyAlignment="1">
      <alignment horizontal="right" vertical="center"/>
    </xf>
    <xf numFmtId="166" fontId="6" fillId="0" borderId="0" xfId="1" applyNumberFormat="1" applyFont="1" applyFill="1" applyAlignment="1">
      <alignment horizontal="right" vertical="center"/>
    </xf>
    <xf numFmtId="0" fontId="8" fillId="3" borderId="1" xfId="0" applyFont="1" applyFill="1" applyBorder="1" applyAlignment="1">
      <alignment horizontal="left" indent="1"/>
    </xf>
    <xf numFmtId="166" fontId="8" fillId="0" borderId="0" xfId="5" applyNumberFormat="1" applyFont="1" applyFill="1" applyAlignment="1">
      <alignment horizontal="right" vertical="center"/>
    </xf>
    <xf numFmtId="167" fontId="8" fillId="0" borderId="0" xfId="5" applyNumberFormat="1" applyFont="1" applyFill="1" applyAlignment="1">
      <alignment horizontal="right" vertical="center"/>
    </xf>
    <xf numFmtId="170" fontId="6" fillId="0" borderId="0" xfId="5" applyNumberFormat="1" applyFont="1" applyFill="1" applyAlignment="1">
      <alignment horizontal="right" vertical="center"/>
    </xf>
    <xf numFmtId="166" fontId="6" fillId="0" borderId="0" xfId="5" applyNumberFormat="1" applyFont="1" applyFill="1" applyAlignment="1">
      <alignment horizontal="right" vertical="center"/>
    </xf>
    <xf numFmtId="0" fontId="15" fillId="2" borderId="3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1" fillId="7" borderId="6" xfId="13" applyFont="1" applyFill="1" applyBorder="1" applyAlignment="1">
      <alignment horizontal="center" vertical="center"/>
    </xf>
    <xf numFmtId="0" fontId="21" fillId="7" borderId="7" xfId="13" applyFont="1" applyFill="1" applyBorder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20" fillId="0" borderId="0" xfId="13" applyFont="1" applyAlignment="1">
      <alignment horizontal="center" vertical="center"/>
    </xf>
    <xf numFmtId="0" fontId="21" fillId="6" borderId="0" xfId="13" applyFont="1" applyFill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0" xfId="13" applyFont="1" applyAlignment="1">
      <alignment horizontal="right"/>
    </xf>
    <xf numFmtId="0" fontId="26" fillId="0" borderId="19" xfId="13" applyFont="1" applyBorder="1" applyAlignment="1">
      <alignment horizontal="left" vertical="center" wrapText="1" indent="1"/>
    </xf>
    <xf numFmtId="0" fontId="26" fillId="0" borderId="18" xfId="13" applyFont="1" applyBorder="1" applyAlignment="1">
      <alignment horizontal="left" vertical="center" wrapText="1" indent="1"/>
    </xf>
    <xf numFmtId="0" fontId="26" fillId="0" borderId="20" xfId="13" applyFont="1" applyBorder="1" applyAlignment="1">
      <alignment horizontal="left" vertical="center" wrapText="1" indent="1"/>
    </xf>
    <xf numFmtId="0" fontId="26" fillId="0" borderId="15" xfId="13" applyFont="1" applyBorder="1" applyAlignment="1">
      <alignment horizontal="left" vertical="center" wrapText="1" indent="1"/>
    </xf>
    <xf numFmtId="0" fontId="26" fillId="0" borderId="14" xfId="13" applyFont="1" applyBorder="1" applyAlignment="1">
      <alignment horizontal="left" vertical="center" wrapText="1" indent="1"/>
    </xf>
    <xf numFmtId="0" fontId="26" fillId="0" borderId="16" xfId="13" applyFont="1" applyBorder="1" applyAlignment="1">
      <alignment horizontal="left" vertical="center" wrapText="1" indent="1"/>
    </xf>
    <xf numFmtId="0" fontId="23" fillId="0" borderId="8" xfId="14" applyFont="1" applyFill="1" applyBorder="1" applyAlignment="1">
      <alignment horizontal="center" vertical="center" wrapText="1"/>
    </xf>
    <xf numFmtId="0" fontId="27" fillId="0" borderId="13" xfId="14" applyFont="1" applyFill="1" applyBorder="1" applyAlignment="1">
      <alignment horizontal="center" vertical="center" wrapText="1"/>
    </xf>
    <xf numFmtId="0" fontId="27" fillId="0" borderId="17" xfId="14" applyFont="1" applyFill="1" applyBorder="1" applyAlignment="1">
      <alignment horizontal="center" vertical="center" wrapText="1"/>
    </xf>
    <xf numFmtId="0" fontId="26" fillId="0" borderId="10" xfId="13" applyFont="1" applyBorder="1" applyAlignment="1">
      <alignment horizontal="left" vertical="center" wrapText="1" indent="1"/>
    </xf>
    <xf numFmtId="0" fontId="26" fillId="0" borderId="11" xfId="13" applyFont="1" applyBorder="1" applyAlignment="1">
      <alignment horizontal="left" vertical="center" wrapText="1" indent="1"/>
    </xf>
    <xf numFmtId="0" fontId="26" fillId="0" borderId="12" xfId="13" applyFont="1" applyBorder="1" applyAlignment="1">
      <alignment horizontal="left" vertical="center" wrapText="1" indent="1"/>
    </xf>
    <xf numFmtId="0" fontId="29" fillId="2" borderId="0" xfId="2" applyFont="1" applyFill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center" vertical="center"/>
    </xf>
    <xf numFmtId="0" fontId="31" fillId="2" borderId="0" xfId="2" applyFont="1" applyFill="1" applyAlignment="1">
      <alignment horizontal="left" vertical="top" wrapText="1"/>
    </xf>
    <xf numFmtId="0" fontId="15" fillId="4" borderId="1" xfId="1" applyFont="1" applyFill="1" applyBorder="1" applyAlignment="1">
      <alignment horizontal="center" vertical="center"/>
    </xf>
    <xf numFmtId="0" fontId="15" fillId="4" borderId="0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2" xfId="2" applyFont="1" applyFill="1" applyBorder="1" applyAlignment="1">
      <alignment horizontal="righ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15" fillId="2" borderId="0" xfId="1" applyFont="1" applyFill="1" applyBorder="1" applyAlignment="1">
      <alignment horizontal="center" vertical="center"/>
    </xf>
    <xf numFmtId="0" fontId="6" fillId="2" borderId="3" xfId="8" applyFont="1" applyFill="1" applyBorder="1" applyAlignment="1">
      <alignment horizontal="center" vertical="center" wrapText="1"/>
    </xf>
    <xf numFmtId="0" fontId="31" fillId="2" borderId="0" xfId="10" applyFont="1" applyFill="1" applyAlignment="1">
      <alignment horizontal="left" vertical="top" wrapText="1"/>
    </xf>
    <xf numFmtId="0" fontId="15" fillId="2" borderId="1" xfId="8" applyFont="1" applyFill="1" applyBorder="1" applyAlignment="1">
      <alignment horizontal="center" vertical="center"/>
    </xf>
    <xf numFmtId="0" fontId="15" fillId="2" borderId="0" xfId="8" applyFont="1" applyFill="1" applyAlignment="1">
      <alignment horizontal="center" vertical="center"/>
    </xf>
    <xf numFmtId="0" fontId="6" fillId="2" borderId="2" xfId="8" applyFont="1" applyFill="1" applyBorder="1" applyAlignment="1">
      <alignment horizontal="left" vertical="center" wrapText="1"/>
    </xf>
    <xf numFmtId="0" fontId="6" fillId="2" borderId="0" xfId="8" applyFont="1" applyFill="1" applyAlignment="1">
      <alignment horizontal="left" vertical="center" wrapText="1"/>
    </xf>
    <xf numFmtId="0" fontId="6" fillId="2" borderId="1" xfId="8" applyFont="1" applyFill="1" applyBorder="1" applyAlignment="1">
      <alignment horizontal="left" vertical="center" wrapText="1"/>
    </xf>
    <xf numFmtId="0" fontId="6" fillId="2" borderId="2" xfId="10" applyFont="1" applyFill="1" applyBorder="1" applyAlignment="1">
      <alignment horizontal="right" vertical="center" wrapText="1"/>
    </xf>
    <xf numFmtId="0" fontId="6" fillId="2" borderId="0" xfId="10" applyFont="1" applyFill="1" applyAlignment="1">
      <alignment horizontal="right" vertical="center" wrapText="1"/>
    </xf>
    <xf numFmtId="0" fontId="6" fillId="2" borderId="1" xfId="10" applyFont="1" applyFill="1" applyBorder="1" applyAlignment="1">
      <alignment horizontal="right" vertical="center" wrapText="1"/>
    </xf>
    <xf numFmtId="0" fontId="6" fillId="0" borderId="3" xfId="8" applyFont="1" applyBorder="1" applyAlignment="1">
      <alignment horizontal="center" vertical="center" wrapText="1"/>
    </xf>
    <xf numFmtId="0" fontId="6" fillId="2" borderId="3" xfId="1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right" vertical="center" wrapText="1"/>
    </xf>
    <xf numFmtId="0" fontId="6" fillId="0" borderId="0" xfId="2" applyFont="1" applyFill="1" applyBorder="1" applyAlignment="1">
      <alignment horizontal="right" vertical="center" wrapText="1"/>
    </xf>
    <xf numFmtId="0" fontId="6" fillId="0" borderId="1" xfId="2" applyFont="1" applyFill="1" applyBorder="1" applyAlignment="1">
      <alignment horizontal="right" vertical="center" wrapText="1"/>
    </xf>
  </cellXfs>
  <cellStyles count="28">
    <cellStyle name="Hipervínculo" xfId="12" builtinId="8"/>
    <cellStyle name="Hipervínculo 2" xfId="14" xr:uid="{C605E756-BEC1-4DBB-BFC4-9C71A6158AA2}"/>
    <cellStyle name="Hipervínculo 2 2" xfId="4" xr:uid="{00000000-0005-0000-0000-000000000000}"/>
    <cellStyle name="Hipervínculo 3" xfId="15" xr:uid="{E55D0D72-C312-4622-9536-E35A3870B69C}"/>
    <cellStyle name="Millares 3" xfId="3" xr:uid="{00000000-0005-0000-0000-000001000000}"/>
    <cellStyle name="Millares 3 3" xfId="11" xr:uid="{985AA727-498D-4EC1-9059-C2E510313B0A}"/>
    <cellStyle name="Normal" xfId="0" builtinId="0"/>
    <cellStyle name="Normal 10" xfId="6" xr:uid="{00000000-0005-0000-0000-000003000000}"/>
    <cellStyle name="Normal 10 3" xfId="9" xr:uid="{58F21A02-0D99-42C9-B283-E0FD4E2FE7E8}"/>
    <cellStyle name="Normal 10 3 3 13" xfId="26" xr:uid="{D20948FB-FCF8-486B-A76A-799D0C424CA4}"/>
    <cellStyle name="Normal 2 2" xfId="2" xr:uid="{00000000-0005-0000-0000-000004000000}"/>
    <cellStyle name="Normal 2 2 2" xfId="5" xr:uid="{00000000-0005-0000-0000-000005000000}"/>
    <cellStyle name="Normal 2 2 4" xfId="10" xr:uid="{5C90FA94-CA31-4B47-A855-84792E1E9875}"/>
    <cellStyle name="Normal 2 3 2" xfId="17" xr:uid="{17CC3598-4B36-4E48-B662-2758E3B7C1A9}"/>
    <cellStyle name="Normal 2 3 3 2" xfId="23" xr:uid="{423AD079-2295-4990-A3F4-3A072FEB365C}"/>
    <cellStyle name="Normal 2 4 2" xfId="18" xr:uid="{7677566F-3CD6-4E15-9C6C-D6E3D11075F5}"/>
    <cellStyle name="Normal 2 4 2 2" xfId="24" xr:uid="{B41227E3-49EF-47E0-B1F9-20C82D11DCE2}"/>
    <cellStyle name="Normal 2 4 3 2" xfId="21" xr:uid="{4D4AD25F-0016-4A3D-877C-21FB066C13C4}"/>
    <cellStyle name="Normal 3" xfId="1" xr:uid="{00000000-0005-0000-0000-000006000000}"/>
    <cellStyle name="Normal 3 2" xfId="16" xr:uid="{8E6ED561-1547-4CBC-B8E9-31C86A422B76}"/>
    <cellStyle name="Normal 3 2 2 2" xfId="20" xr:uid="{9A4516C3-A1CA-4207-9E3B-E89C5A8C6133}"/>
    <cellStyle name="Normal 3 2 2 4" xfId="22" xr:uid="{9D0F7C30-D002-474E-B119-CCD9E4FE59F7}"/>
    <cellStyle name="Normal 3 2 3 2" xfId="25" xr:uid="{04631023-CD94-4E5A-8570-442FC723B7DC}"/>
    <cellStyle name="Normal 3 2 4" xfId="27" xr:uid="{6713E0BA-9FF6-46B9-9B63-E41E0FA81058}"/>
    <cellStyle name="Normal 3 3 2" xfId="19" xr:uid="{A2B7EBEB-6619-4F42-A571-7B798D89046E}"/>
    <cellStyle name="Normal 3 5" xfId="8" xr:uid="{DDFDA44F-70F7-4F93-A0C7-4FBD4D42BF20}"/>
    <cellStyle name="Normal 6" xfId="7" xr:uid="{00000000-0005-0000-0000-000007000000}"/>
    <cellStyle name="Normal 7 2" xfId="13" xr:uid="{DF7AA7B1-C553-4AE4-A0C1-93BEC0F33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16831F1B-EEA3-4DA6-97F8-D653DD6CD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89AA76CE-51F8-41A9-96B1-78E10D11F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6485609-16B0-4EAB-A411-7BE345098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BC977107-E8AB-4D15-89FD-B6CA1EB4A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8879-BB6A-43C8-A821-E463B8D9CF54}">
  <dimension ref="A1:O29"/>
  <sheetViews>
    <sheetView showGridLines="0" tabSelected="1" zoomScaleNormal="100" workbookViewId="0"/>
  </sheetViews>
  <sheetFormatPr baseColWidth="10" defaultRowHeight="14.25" x14ac:dyDescent="0.2"/>
  <cols>
    <col min="1" max="1" width="1.7109375" style="53" customWidth="1"/>
    <col min="2" max="2" width="20.28515625" style="53" customWidth="1"/>
    <col min="3" max="3" width="17.42578125" style="53" customWidth="1"/>
    <col min="4" max="14" width="11.42578125" style="53"/>
    <col min="15" max="15" width="1.7109375" style="53" customWidth="1"/>
    <col min="16" max="16384" width="11.42578125" style="53"/>
  </cols>
  <sheetData>
    <row r="1" spans="1:15" x14ac:dyDescent="0.2">
      <c r="B1" s="54"/>
      <c r="C1" s="54"/>
    </row>
    <row r="2" spans="1:15" ht="19.5" customHeight="1" x14ac:dyDescent="0.2">
      <c r="B2" s="213" t="s">
        <v>65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</row>
    <row r="3" spans="1:15" ht="19.5" customHeight="1" x14ac:dyDescent="0.2">
      <c r="B3" s="214" t="s">
        <v>66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</row>
    <row r="4" spans="1:15" ht="16.5" customHeight="1" x14ac:dyDescent="0.2">
      <c r="A4" s="215" t="s">
        <v>112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</row>
    <row r="5" spans="1:15" s="57" customFormat="1" ht="6.95" customHeight="1" x14ac:dyDescent="0.2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5"/>
    </row>
    <row r="6" spans="1:15" s="57" customFormat="1" ht="16.5" customHeight="1" x14ac:dyDescent="0.2">
      <c r="A6" s="55"/>
      <c r="B6" s="216" t="s">
        <v>67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55"/>
    </row>
    <row r="7" spans="1:15" ht="19.5" customHeight="1" x14ac:dyDescent="0.2">
      <c r="B7" s="58" t="s">
        <v>87</v>
      </c>
      <c r="C7" s="58"/>
      <c r="D7" s="59"/>
      <c r="E7" s="59"/>
      <c r="F7" s="59"/>
      <c r="G7" s="59"/>
      <c r="H7" s="59"/>
      <c r="I7" s="59"/>
      <c r="J7" s="59"/>
      <c r="K7" s="59"/>
      <c r="L7" s="59"/>
      <c r="M7" s="217" t="str">
        <f>CONCATENATE("Total de tabulados: ", COUNTIF(D10:D27,"&lt;&gt;"))</f>
        <v>Total de tabulados: 10</v>
      </c>
      <c r="N7" s="217"/>
    </row>
    <row r="8" spans="1:15" ht="6.95" customHeight="1" thickBot="1" x14ac:dyDescent="0.25"/>
    <row r="9" spans="1:15" ht="18.75" customHeight="1" thickBot="1" x14ac:dyDescent="0.25">
      <c r="B9" s="60" t="s">
        <v>68</v>
      </c>
      <c r="C9" s="61" t="s">
        <v>69</v>
      </c>
      <c r="D9" s="211" t="s">
        <v>70</v>
      </c>
      <c r="E9" s="211"/>
      <c r="F9" s="211"/>
      <c r="G9" s="211"/>
      <c r="H9" s="211"/>
      <c r="I9" s="211"/>
      <c r="J9" s="211"/>
      <c r="K9" s="211"/>
      <c r="L9" s="211"/>
      <c r="M9" s="211"/>
      <c r="N9" s="212"/>
    </row>
    <row r="10" spans="1:15" ht="50.1" customHeight="1" x14ac:dyDescent="0.2">
      <c r="B10" s="224" t="s">
        <v>76</v>
      </c>
      <c r="C10" s="82" t="s">
        <v>53</v>
      </c>
      <c r="D10" s="227" t="s">
        <v>0</v>
      </c>
      <c r="E10" s="228"/>
      <c r="F10" s="228"/>
      <c r="G10" s="228"/>
      <c r="H10" s="228"/>
      <c r="I10" s="228"/>
      <c r="J10" s="228"/>
      <c r="K10" s="228"/>
      <c r="L10" s="228"/>
      <c r="M10" s="228"/>
      <c r="N10" s="229"/>
    </row>
    <row r="11" spans="1:15" ht="50.1" customHeight="1" x14ac:dyDescent="0.2">
      <c r="B11" s="225"/>
      <c r="C11" s="83" t="s">
        <v>54</v>
      </c>
      <c r="D11" s="221" t="s">
        <v>63</v>
      </c>
      <c r="E11" s="222"/>
      <c r="F11" s="222"/>
      <c r="G11" s="222"/>
      <c r="H11" s="222"/>
      <c r="I11" s="222"/>
      <c r="J11" s="222"/>
      <c r="K11" s="222"/>
      <c r="L11" s="222"/>
      <c r="M11" s="222"/>
      <c r="N11" s="223"/>
    </row>
    <row r="12" spans="1:15" ht="50.1" customHeight="1" x14ac:dyDescent="0.2">
      <c r="B12" s="225"/>
      <c r="C12" s="83" t="s">
        <v>55</v>
      </c>
      <c r="D12" s="221" t="s">
        <v>73</v>
      </c>
      <c r="E12" s="222"/>
      <c r="F12" s="222"/>
      <c r="G12" s="222"/>
      <c r="H12" s="222"/>
      <c r="I12" s="222"/>
      <c r="J12" s="222"/>
      <c r="K12" s="222"/>
      <c r="L12" s="222"/>
      <c r="M12" s="222"/>
      <c r="N12" s="223"/>
    </row>
    <row r="13" spans="1:15" ht="50.1" customHeight="1" x14ac:dyDescent="0.2">
      <c r="B13" s="225"/>
      <c r="C13" s="83" t="s">
        <v>56</v>
      </c>
      <c r="D13" s="221" t="s">
        <v>72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3"/>
    </row>
    <row r="14" spans="1:15" ht="50.1" customHeight="1" x14ac:dyDescent="0.2">
      <c r="B14" s="225"/>
      <c r="C14" s="83" t="s">
        <v>57</v>
      </c>
      <c r="D14" s="221" t="s">
        <v>71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3"/>
    </row>
    <row r="15" spans="1:15" ht="50.1" customHeight="1" x14ac:dyDescent="0.2">
      <c r="B15" s="225"/>
      <c r="C15" s="83" t="s">
        <v>58</v>
      </c>
      <c r="D15" s="221" t="s">
        <v>83</v>
      </c>
      <c r="E15" s="222"/>
      <c r="F15" s="222"/>
      <c r="G15" s="222"/>
      <c r="H15" s="222"/>
      <c r="I15" s="222"/>
      <c r="J15" s="222"/>
      <c r="K15" s="222"/>
      <c r="L15" s="222"/>
      <c r="M15" s="222"/>
      <c r="N15" s="223"/>
    </row>
    <row r="16" spans="1:15" ht="50.1" customHeight="1" x14ac:dyDescent="0.2">
      <c r="B16" s="225"/>
      <c r="C16" s="83" t="s">
        <v>59</v>
      </c>
      <c r="D16" s="221" t="s">
        <v>84</v>
      </c>
      <c r="E16" s="222"/>
      <c r="F16" s="222"/>
      <c r="G16" s="222"/>
      <c r="H16" s="222"/>
      <c r="I16" s="222"/>
      <c r="J16" s="222"/>
      <c r="K16" s="222"/>
      <c r="L16" s="222"/>
      <c r="M16" s="222"/>
      <c r="N16" s="223"/>
    </row>
    <row r="17" spans="2:14" ht="50.1" customHeight="1" x14ac:dyDescent="0.2">
      <c r="B17" s="225"/>
      <c r="C17" s="83" t="s">
        <v>60</v>
      </c>
      <c r="D17" s="221" t="s">
        <v>85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3"/>
    </row>
    <row r="18" spans="2:14" ht="50.1" customHeight="1" x14ac:dyDescent="0.2">
      <c r="B18" s="225"/>
      <c r="C18" s="83" t="s">
        <v>61</v>
      </c>
      <c r="D18" s="221" t="s">
        <v>82</v>
      </c>
      <c r="E18" s="222"/>
      <c r="F18" s="222"/>
      <c r="G18" s="222"/>
      <c r="H18" s="222"/>
      <c r="I18" s="222"/>
      <c r="J18" s="222"/>
      <c r="K18" s="222"/>
      <c r="L18" s="222"/>
      <c r="M18" s="222"/>
      <c r="N18" s="223"/>
    </row>
    <row r="19" spans="2:14" ht="50.1" customHeight="1" thickBot="1" x14ac:dyDescent="0.25">
      <c r="B19" s="226"/>
      <c r="C19" s="83" t="s">
        <v>62</v>
      </c>
      <c r="D19" s="218" t="s">
        <v>86</v>
      </c>
      <c r="E19" s="219"/>
      <c r="F19" s="219"/>
      <c r="G19" s="219"/>
      <c r="H19" s="219"/>
      <c r="I19" s="219"/>
      <c r="J19" s="219"/>
      <c r="K19" s="219"/>
      <c r="L19" s="219"/>
      <c r="M19" s="219"/>
      <c r="N19" s="220"/>
    </row>
    <row r="20" spans="2:14" ht="39.950000000000003" customHeight="1" x14ac:dyDescent="0.2"/>
    <row r="29" spans="2:14" ht="14.25" customHeight="1" x14ac:dyDescent="0.2"/>
  </sheetData>
  <mergeCells count="17">
    <mergeCell ref="D19:N19"/>
    <mergeCell ref="D18:N18"/>
    <mergeCell ref="B10:B19"/>
    <mergeCell ref="D10:N10"/>
    <mergeCell ref="D11:N11"/>
    <mergeCell ref="D12:N12"/>
    <mergeCell ref="D13:N13"/>
    <mergeCell ref="D14:N14"/>
    <mergeCell ref="D15:N15"/>
    <mergeCell ref="D16:N16"/>
    <mergeCell ref="D17:N17"/>
    <mergeCell ref="D9:N9"/>
    <mergeCell ref="B2:N2"/>
    <mergeCell ref="B3:N3"/>
    <mergeCell ref="A4:O4"/>
    <mergeCell ref="B6:N6"/>
    <mergeCell ref="M7:N7"/>
  </mergeCells>
  <hyperlinks>
    <hyperlink ref="C10" location="'Cuadro 5.1'!A1" tooltip="Ir a Cuadro 5.1" display="Cuadro 5.1" xr:uid="{7F54D0C2-C1C4-46D3-A0C3-6C478FCA9C49}"/>
    <hyperlink ref="C11" location="'Cuadro 5.2'!A1" tooltip="Ir a Cuadro 5.2" display="Cuadro 5.2" xr:uid="{ED72ED27-72C8-4194-BBC0-09CA1C65CFDE}"/>
    <hyperlink ref="C19" location="'Cuadro 5.11'!A1" tooltip="Ir a Cuadro 5.11" display="Cuadro 5.11" xr:uid="{FAC7EC54-1C23-4E48-AF1C-A796F1865C08}"/>
    <hyperlink ref="C12" location="'Cuadro 5.3'!A1" tooltip="Ir a Cuadro 5.3" display="Cuadro 5.3" xr:uid="{88F14943-7CF7-4CDA-BABF-1482EFCBFDDA}"/>
    <hyperlink ref="C13" location="'Cuadro 5.4'!A1" tooltip="Ir a Cuadro 5.4" display="Cuadro 5.4" xr:uid="{1353539F-F4FD-441E-8B09-82C37CD903B1}"/>
    <hyperlink ref="C14" location="'Cuadro 5.5'!A1" tooltip="Ir a Cuadro 5.5" display="Cuadro 5.5" xr:uid="{3E86C207-44E7-4ABF-8A3A-5008343A4A62}"/>
    <hyperlink ref="C16" location="'Cuadro 5.8'!A1" tooltip="Ir a Cuadro 5.8" display="Cuadro 5.8" xr:uid="{896C66ED-DE5D-4FD0-AEAE-D28E35330691}"/>
    <hyperlink ref="C17" location="'Cuadro 5.9'!A1" tooltip="Ir a Cuadro 5.9" display="Cuadro 5.9" xr:uid="{8B70D8B9-D5A3-42E0-8B4E-A630CE68B5AE}"/>
    <hyperlink ref="C15" location="'Cuadro 5.7'!A1" tooltip="Ir a Cuadro 5.7" display="Cuadro 5.7" xr:uid="{942FA76F-CFD7-4AC1-B6F3-80B6ABB43079}"/>
    <hyperlink ref="C18" location="'Cuadro 5.10'!A1" tooltip="Ir a Cuadro 5.10" display="Cuadro 5.10" xr:uid="{0CEE9601-5E78-4E8D-862A-23E003B33CA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7.85546875" style="1" customWidth="1"/>
    <col min="3" max="3" width="1.7109375" style="1" customWidth="1" collapsed="1"/>
    <col min="4" max="4" width="12.7109375" style="1" customWidth="1" collapsed="1"/>
    <col min="5" max="5" width="1.7109375" style="1" customWidth="1" collapsed="1"/>
    <col min="6" max="7" width="11.5703125" style="1" customWidth="1" collapsed="1"/>
    <col min="8" max="8" width="1.7109375" style="1" customWidth="1" collapsed="1"/>
    <col min="9" max="9" width="11.5703125" style="1" customWidth="1" collapsed="1"/>
    <col min="10" max="10" width="12.7109375" style="1" customWidth="1" collapsed="1"/>
    <col min="11" max="11" width="1.7109375" style="2" customWidth="1"/>
    <col min="12" max="17" width="11.42578125" style="2"/>
    <col min="18" max="24" width="11.42578125" style="1"/>
    <col min="25" max="16384" width="11.42578125" style="1" collapsed="1"/>
  </cols>
  <sheetData>
    <row r="1" spans="2:17" s="68" customFormat="1" x14ac:dyDescent="0.2">
      <c r="B1" s="210" t="s">
        <v>129</v>
      </c>
      <c r="L1" s="70"/>
      <c r="M1" s="80" t="s">
        <v>74</v>
      </c>
      <c r="N1" s="70"/>
      <c r="O1" s="70"/>
      <c r="P1" s="70"/>
      <c r="Q1" s="70"/>
    </row>
    <row r="2" spans="2:17" s="68" customFormat="1" ht="6.95" customHeight="1" x14ac:dyDescent="0.25">
      <c r="B2" s="210"/>
      <c r="K2" s="70"/>
      <c r="L2" s="70"/>
      <c r="M2" s="70"/>
      <c r="N2" s="70"/>
      <c r="O2" s="70"/>
      <c r="P2" s="70"/>
      <c r="Q2" s="70"/>
    </row>
    <row r="3" spans="2:17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</row>
    <row r="4" spans="2:17" s="68" customFormat="1" ht="6.95" customHeight="1" x14ac:dyDescent="0.25">
      <c r="C4" s="71"/>
      <c r="K4" s="70"/>
      <c r="L4" s="70"/>
      <c r="M4" s="70"/>
      <c r="N4" s="70"/>
      <c r="O4" s="70"/>
      <c r="P4" s="70"/>
      <c r="Q4" s="70"/>
    </row>
    <row r="5" spans="2:17" s="68" customFormat="1" ht="25.5" customHeight="1" x14ac:dyDescent="0.2">
      <c r="B5" s="230" t="s">
        <v>0</v>
      </c>
      <c r="C5" s="230"/>
      <c r="D5" s="230"/>
      <c r="E5" s="230"/>
      <c r="F5" s="230"/>
      <c r="G5" s="230"/>
      <c r="H5" s="230"/>
      <c r="I5" s="230"/>
      <c r="J5" s="230"/>
      <c r="K5" s="230"/>
      <c r="L5" s="72"/>
      <c r="M5" s="79" t="s">
        <v>53</v>
      </c>
      <c r="N5" s="70"/>
      <c r="O5" s="70"/>
      <c r="P5" s="70"/>
      <c r="Q5" s="70"/>
    </row>
    <row r="6" spans="2:17" ht="6" customHeight="1" x14ac:dyDescent="0.25">
      <c r="B6" s="233"/>
      <c r="C6" s="233"/>
      <c r="D6" s="233"/>
      <c r="E6" s="233"/>
      <c r="F6" s="234"/>
      <c r="G6" s="234"/>
      <c r="H6" s="234"/>
      <c r="I6" s="234"/>
      <c r="J6" s="234"/>
    </row>
    <row r="7" spans="2:17" ht="15" customHeight="1" x14ac:dyDescent="0.25">
      <c r="B7" s="235" t="s">
        <v>1</v>
      </c>
      <c r="C7" s="235"/>
      <c r="D7" s="238" t="s">
        <v>2</v>
      </c>
      <c r="E7" s="5"/>
      <c r="F7" s="232" t="s">
        <v>51</v>
      </c>
      <c r="G7" s="232"/>
      <c r="H7" s="232"/>
      <c r="I7" s="232"/>
      <c r="J7" s="232"/>
      <c r="K7" s="232"/>
      <c r="L7" s="232"/>
      <c r="M7" s="232"/>
    </row>
    <row r="8" spans="2:17" ht="15" customHeight="1" x14ac:dyDescent="0.25">
      <c r="B8" s="236"/>
      <c r="C8" s="236"/>
      <c r="D8" s="239"/>
      <c r="E8" s="5"/>
      <c r="F8" s="241" t="s">
        <v>3</v>
      </c>
      <c r="G8" s="241"/>
      <c r="H8" s="27"/>
      <c r="I8" s="231" t="s">
        <v>4</v>
      </c>
      <c r="J8" s="231"/>
      <c r="K8" s="28"/>
      <c r="L8" s="231" t="s">
        <v>43</v>
      </c>
      <c r="M8" s="231"/>
    </row>
    <row r="9" spans="2:17" ht="13.5" customHeight="1" x14ac:dyDescent="0.25">
      <c r="B9" s="237"/>
      <c r="C9" s="237"/>
      <c r="D9" s="240"/>
      <c r="E9" s="6"/>
      <c r="F9" s="29" t="s">
        <v>5</v>
      </c>
      <c r="G9" s="29" t="s">
        <v>6</v>
      </c>
      <c r="H9" s="29"/>
      <c r="I9" s="29" t="s">
        <v>5</v>
      </c>
      <c r="J9" s="29" t="s">
        <v>6</v>
      </c>
      <c r="K9" s="81"/>
      <c r="L9" s="29" t="s">
        <v>5</v>
      </c>
      <c r="M9" s="29" t="s">
        <v>6</v>
      </c>
    </row>
    <row r="10" spans="2:17" ht="6" customHeight="1" x14ac:dyDescent="0.25">
      <c r="C10" s="26"/>
      <c r="D10" s="104"/>
      <c r="E10" s="104"/>
      <c r="F10" s="84"/>
      <c r="G10" s="86"/>
      <c r="H10" s="84"/>
      <c r="I10" s="84"/>
      <c r="J10" s="86"/>
      <c r="K10" s="105"/>
      <c r="L10" s="105"/>
      <c r="M10" s="86"/>
    </row>
    <row r="11" spans="2:17" s="88" customFormat="1" ht="12.95" customHeight="1" x14ac:dyDescent="0.2">
      <c r="B11" s="16" t="s">
        <v>7</v>
      </c>
      <c r="D11" s="181">
        <v>36622109.258058302</v>
      </c>
      <c r="E11" s="107"/>
      <c r="F11" s="181">
        <v>7802847.7836913504</v>
      </c>
      <c r="G11" s="181">
        <v>21.4910582316</v>
      </c>
      <c r="H11" s="125"/>
      <c r="I11" s="181">
        <v>28892532.242367301</v>
      </c>
      <c r="J11" s="181">
        <v>79.212880941899996</v>
      </c>
      <c r="K11" s="128"/>
      <c r="L11" s="185">
        <v>64449.035057384397</v>
      </c>
      <c r="M11" s="181">
        <v>0.1780184722</v>
      </c>
      <c r="N11" s="89"/>
      <c r="O11" s="90"/>
      <c r="P11" s="89"/>
      <c r="Q11" s="90"/>
    </row>
    <row r="12" spans="2:17" s="88" customFormat="1" ht="6" customHeight="1" x14ac:dyDescent="0.2">
      <c r="B12" s="16"/>
      <c r="D12" s="125"/>
      <c r="E12" s="107"/>
      <c r="F12" s="126"/>
      <c r="G12" s="127"/>
      <c r="H12" s="126"/>
      <c r="I12" s="126"/>
      <c r="J12" s="127"/>
      <c r="K12" s="128"/>
      <c r="L12" s="128"/>
      <c r="M12" s="127"/>
      <c r="N12" s="89"/>
      <c r="O12" s="90"/>
      <c r="P12" s="89"/>
      <c r="Q12" s="90"/>
    </row>
    <row r="13" spans="2:17" s="3" customFormat="1" ht="12.95" customHeight="1" x14ac:dyDescent="0.2">
      <c r="B13" s="20" t="s">
        <v>8</v>
      </c>
      <c r="D13" s="182">
        <v>413170.04147891799</v>
      </c>
      <c r="E13" s="108"/>
      <c r="F13" s="182">
        <v>68043.002667340304</v>
      </c>
      <c r="G13" s="182">
        <v>16.971317477100001</v>
      </c>
      <c r="H13" s="126"/>
      <c r="I13" s="182">
        <v>349281.78727038897</v>
      </c>
      <c r="J13" s="182">
        <v>85.770325581700007</v>
      </c>
      <c r="K13" s="129"/>
      <c r="L13" s="183">
        <v>1853.5199410757</v>
      </c>
      <c r="M13" s="182">
        <v>0.46575259209999997</v>
      </c>
      <c r="N13" s="4"/>
      <c r="O13" s="4"/>
      <c r="P13" s="4"/>
      <c r="Q13" s="4"/>
    </row>
    <row r="14" spans="2:17" s="3" customFormat="1" ht="12.95" customHeight="1" x14ac:dyDescent="0.2">
      <c r="B14" s="20" t="s">
        <v>9</v>
      </c>
      <c r="D14" s="182">
        <v>1206972.20751152</v>
      </c>
      <c r="E14" s="108"/>
      <c r="F14" s="182">
        <v>313766.22431908897</v>
      </c>
      <c r="G14" s="182">
        <v>26.8375567006</v>
      </c>
      <c r="H14" s="126"/>
      <c r="I14" s="182">
        <v>918031.42092108994</v>
      </c>
      <c r="J14" s="182">
        <v>77.876484429399994</v>
      </c>
      <c r="K14" s="129"/>
      <c r="L14" s="183">
        <v>4507.7181431441004</v>
      </c>
      <c r="M14" s="182">
        <v>0.3900521851</v>
      </c>
      <c r="N14" s="4"/>
      <c r="O14" s="4"/>
      <c r="P14" s="4"/>
      <c r="Q14" s="4"/>
    </row>
    <row r="15" spans="2:17" s="3" customFormat="1" ht="12.95" customHeight="1" x14ac:dyDescent="0.2">
      <c r="B15" s="20" t="s">
        <v>10</v>
      </c>
      <c r="D15" s="182">
        <v>261786.29343154299</v>
      </c>
      <c r="E15" s="108"/>
      <c r="F15" s="182">
        <v>72883.266635193795</v>
      </c>
      <c r="G15" s="184">
        <v>28.640891381500001</v>
      </c>
      <c r="H15" s="108"/>
      <c r="I15" s="182">
        <v>193155.29104908</v>
      </c>
      <c r="J15" s="184">
        <v>76.500117041600006</v>
      </c>
      <c r="K15" s="129"/>
      <c r="L15" s="183">
        <v>0</v>
      </c>
      <c r="M15" s="184">
        <v>0</v>
      </c>
      <c r="N15" s="4"/>
      <c r="O15" s="4"/>
      <c r="P15" s="4"/>
      <c r="Q15" s="4"/>
    </row>
    <row r="16" spans="2:17" s="3" customFormat="1" ht="12.95" customHeight="1" x14ac:dyDescent="0.2">
      <c r="B16" s="20" t="s">
        <v>11</v>
      </c>
      <c r="D16" s="182">
        <v>279069.41646326898</v>
      </c>
      <c r="E16" s="108"/>
      <c r="F16" s="182">
        <v>74633.432302743895</v>
      </c>
      <c r="G16" s="184">
        <v>27.8531138277</v>
      </c>
      <c r="H16" s="108"/>
      <c r="I16" s="182">
        <v>208427.062548241</v>
      </c>
      <c r="J16" s="184">
        <v>76.494984595999995</v>
      </c>
      <c r="K16" s="129"/>
      <c r="L16" s="183">
        <v>378.3454431015</v>
      </c>
      <c r="M16" s="184">
        <v>0.1443352427</v>
      </c>
      <c r="N16" s="4"/>
      <c r="O16" s="4"/>
      <c r="P16" s="4"/>
      <c r="Q16" s="4"/>
    </row>
    <row r="17" spans="2:24" s="3" customFormat="1" ht="12.95" customHeight="1" x14ac:dyDescent="0.2">
      <c r="B17" s="20" t="s">
        <v>12</v>
      </c>
      <c r="D17" s="182">
        <v>947422.97195795598</v>
      </c>
      <c r="E17" s="108"/>
      <c r="F17" s="182">
        <v>180561.17433691601</v>
      </c>
      <c r="G17" s="184">
        <v>19.653979690900002</v>
      </c>
      <c r="H17" s="108"/>
      <c r="I17" s="182">
        <v>780073.78227449302</v>
      </c>
      <c r="J17" s="184">
        <v>83.587895120900001</v>
      </c>
      <c r="K17" s="129"/>
      <c r="L17" s="183">
        <v>3378.2369318108999</v>
      </c>
      <c r="M17" s="184">
        <v>0.36991436589999999</v>
      </c>
      <c r="N17" s="4"/>
      <c r="O17" s="4"/>
      <c r="P17" s="4"/>
      <c r="Q17" s="4"/>
    </row>
    <row r="18" spans="2:24" s="3" customFormat="1" ht="12.95" customHeight="1" x14ac:dyDescent="0.2">
      <c r="B18" s="20" t="s">
        <v>13</v>
      </c>
      <c r="D18" s="182">
        <v>248437.828347868</v>
      </c>
      <c r="E18" s="108"/>
      <c r="F18" s="182">
        <v>45287.0786967151</v>
      </c>
      <c r="G18" s="184">
        <v>19.054839969300001</v>
      </c>
      <c r="H18" s="108"/>
      <c r="I18" s="182">
        <v>206096.238914293</v>
      </c>
      <c r="J18" s="184">
        <v>84.490585365100003</v>
      </c>
      <c r="K18" s="129"/>
      <c r="L18" s="183">
        <v>674.94275118999997</v>
      </c>
      <c r="M18" s="184">
        <v>0.28831914780000001</v>
      </c>
      <c r="N18" s="4"/>
      <c r="O18" s="4"/>
      <c r="P18" s="4"/>
      <c r="Q18" s="4"/>
    </row>
    <row r="19" spans="2:24" s="3" customFormat="1" ht="12.95" customHeight="1" x14ac:dyDescent="0.2">
      <c r="B19" s="20" t="s">
        <v>14</v>
      </c>
      <c r="D19" s="182">
        <v>1567710.7438067801</v>
      </c>
      <c r="E19" s="108"/>
      <c r="F19" s="182">
        <v>441257.14157413598</v>
      </c>
      <c r="G19" s="184">
        <v>29.4446004777</v>
      </c>
      <c r="H19" s="108"/>
      <c r="I19" s="182">
        <v>1142083.7026631399</v>
      </c>
      <c r="J19" s="184">
        <v>74.417481251799998</v>
      </c>
      <c r="K19" s="129"/>
      <c r="L19" s="183">
        <v>4265.4422794715001</v>
      </c>
      <c r="M19" s="184">
        <v>0.29253962059999999</v>
      </c>
      <c r="N19" s="4"/>
      <c r="O19" s="4"/>
      <c r="P19" s="4"/>
      <c r="Q19" s="4"/>
    </row>
    <row r="20" spans="2:24" s="4" customFormat="1" ht="12.95" customHeight="1" x14ac:dyDescent="0.2">
      <c r="B20" s="20" t="s">
        <v>15</v>
      </c>
      <c r="C20" s="3"/>
      <c r="D20" s="182">
        <v>1183409.1345571401</v>
      </c>
      <c r="E20" s="108"/>
      <c r="F20" s="182">
        <v>199321.36564017899</v>
      </c>
      <c r="G20" s="184">
        <v>17.3501963418</v>
      </c>
      <c r="H20" s="108"/>
      <c r="I20" s="182">
        <v>1002938.4019593101</v>
      </c>
      <c r="J20" s="184">
        <v>85.771298114700002</v>
      </c>
      <c r="K20" s="129"/>
      <c r="L20" s="183">
        <v>2666.2576523368998</v>
      </c>
      <c r="M20" s="184">
        <v>0.23223992339999999</v>
      </c>
      <c r="R20" s="3"/>
      <c r="S20" s="3"/>
      <c r="T20" s="3"/>
      <c r="U20" s="3"/>
      <c r="V20" s="3"/>
      <c r="W20" s="3"/>
      <c r="X20" s="3"/>
    </row>
    <row r="21" spans="2:24" s="4" customFormat="1" ht="12.95" customHeight="1" x14ac:dyDescent="0.2">
      <c r="B21" s="20" t="s">
        <v>16</v>
      </c>
      <c r="C21" s="3"/>
      <c r="D21" s="182">
        <v>2897102.6142671299</v>
      </c>
      <c r="E21" s="108"/>
      <c r="F21" s="182">
        <v>823428.07310098899</v>
      </c>
      <c r="G21" s="184">
        <v>29.040207215599999</v>
      </c>
      <c r="H21" s="108"/>
      <c r="I21" s="182">
        <v>2126036.7007526201</v>
      </c>
      <c r="J21" s="184">
        <v>74.868441275899997</v>
      </c>
      <c r="K21" s="129"/>
      <c r="L21" s="183">
        <v>7272.6683907651004</v>
      </c>
      <c r="M21" s="184">
        <v>0.25901069329999998</v>
      </c>
      <c r="R21" s="3"/>
      <c r="S21" s="3"/>
      <c r="T21" s="3"/>
      <c r="U21" s="3"/>
      <c r="V21" s="3"/>
      <c r="W21" s="3"/>
      <c r="X21" s="3"/>
    </row>
    <row r="22" spans="2:24" s="4" customFormat="1" ht="12.95" customHeight="1" x14ac:dyDescent="0.2">
      <c r="B22" s="20" t="s">
        <v>17</v>
      </c>
      <c r="C22" s="3"/>
      <c r="D22" s="182">
        <v>527638.63046825002</v>
      </c>
      <c r="E22" s="108"/>
      <c r="F22" s="182">
        <v>107772.37516706499</v>
      </c>
      <c r="G22" s="184">
        <v>21.1938615955</v>
      </c>
      <c r="H22" s="108"/>
      <c r="I22" s="182">
        <v>428431.988401782</v>
      </c>
      <c r="J22" s="184">
        <v>82.350340652200003</v>
      </c>
      <c r="K22" s="129"/>
      <c r="L22" s="183">
        <v>1101.0216438279999</v>
      </c>
      <c r="M22" s="184">
        <v>0.21717378349999999</v>
      </c>
      <c r="R22" s="3"/>
      <c r="S22" s="3"/>
      <c r="T22" s="3"/>
      <c r="U22" s="3"/>
      <c r="V22" s="3"/>
      <c r="W22" s="3"/>
      <c r="X22" s="3"/>
    </row>
    <row r="23" spans="2:24" s="4" customFormat="1" ht="12.95" customHeight="1" x14ac:dyDescent="0.2">
      <c r="B23" s="20" t="s">
        <v>18</v>
      </c>
      <c r="C23" s="3"/>
      <c r="D23" s="182">
        <v>1735568.1666508301</v>
      </c>
      <c r="E23" s="108"/>
      <c r="F23" s="182">
        <v>359273.83040690102</v>
      </c>
      <c r="G23" s="184">
        <v>21.498660151799999</v>
      </c>
      <c r="H23" s="108"/>
      <c r="I23" s="182">
        <v>1397310.8732727701</v>
      </c>
      <c r="J23" s="184">
        <v>81.664412549800005</v>
      </c>
      <c r="K23" s="129"/>
      <c r="L23" s="183">
        <v>7831.1887343861999</v>
      </c>
      <c r="M23" s="184">
        <v>0.46917369219999999</v>
      </c>
      <c r="R23" s="3"/>
      <c r="S23" s="3"/>
      <c r="T23" s="3"/>
      <c r="U23" s="3"/>
      <c r="V23" s="3"/>
      <c r="W23" s="3"/>
      <c r="X23" s="3"/>
    </row>
    <row r="24" spans="2:24" s="4" customFormat="1" ht="12.95" customHeight="1" x14ac:dyDescent="0.2">
      <c r="B24" s="20" t="s">
        <v>19</v>
      </c>
      <c r="C24" s="3"/>
      <c r="D24" s="182">
        <v>1017562.1166715201</v>
      </c>
      <c r="E24" s="108"/>
      <c r="F24" s="182">
        <v>330046.87293012999</v>
      </c>
      <c r="G24" s="184">
        <v>33.645583847899999</v>
      </c>
      <c r="H24" s="108"/>
      <c r="I24" s="182">
        <v>706651.18791568803</v>
      </c>
      <c r="J24" s="184">
        <v>71.026569504500003</v>
      </c>
      <c r="K24" s="129"/>
      <c r="L24" s="183">
        <v>1573.6879080361</v>
      </c>
      <c r="M24" s="184">
        <v>0.16182835270000001</v>
      </c>
      <c r="R24" s="3"/>
      <c r="S24" s="3"/>
      <c r="T24" s="3"/>
      <c r="U24" s="3"/>
      <c r="V24" s="3"/>
      <c r="W24" s="3"/>
      <c r="X24" s="3"/>
    </row>
    <row r="25" spans="2:24" s="4" customFormat="1" ht="12.95" customHeight="1" x14ac:dyDescent="0.2">
      <c r="B25" s="20" t="s">
        <v>20</v>
      </c>
      <c r="C25" s="3"/>
      <c r="D25" s="182">
        <v>920902.37366655294</v>
      </c>
      <c r="E25" s="108"/>
      <c r="F25" s="182">
        <v>156275.93490132299</v>
      </c>
      <c r="G25" s="184">
        <v>17.656272116299998</v>
      </c>
      <c r="H25" s="108"/>
      <c r="I25" s="182">
        <v>776400.47547609103</v>
      </c>
      <c r="J25" s="184">
        <v>85.518368010900005</v>
      </c>
      <c r="K25" s="129"/>
      <c r="L25" s="183">
        <v>1729.7075873542001</v>
      </c>
      <c r="M25" s="184">
        <v>0.19669290219999999</v>
      </c>
      <c r="R25" s="3"/>
      <c r="S25" s="3"/>
      <c r="T25" s="3"/>
      <c r="U25" s="3"/>
      <c r="V25" s="3"/>
      <c r="W25" s="3"/>
      <c r="X25" s="3"/>
    </row>
    <row r="26" spans="2:24" s="4" customFormat="1" ht="12.95" customHeight="1" x14ac:dyDescent="0.2">
      <c r="B26" s="20" t="s">
        <v>21</v>
      </c>
      <c r="C26" s="3"/>
      <c r="D26" s="182">
        <v>2483998.3571211598</v>
      </c>
      <c r="E26" s="108"/>
      <c r="F26" s="182">
        <v>466295.79751286499</v>
      </c>
      <c r="G26" s="184">
        <v>19.430617898600001</v>
      </c>
      <c r="H26" s="108"/>
      <c r="I26" s="182">
        <v>2048237.63924399</v>
      </c>
      <c r="J26" s="184">
        <v>83.618906997699995</v>
      </c>
      <c r="K26" s="129"/>
      <c r="L26" s="183">
        <v>5908.7878195714002</v>
      </c>
      <c r="M26" s="184">
        <v>0.24750717680000001</v>
      </c>
      <c r="R26" s="3"/>
      <c r="S26" s="3"/>
      <c r="T26" s="3"/>
      <c r="U26" s="3"/>
      <c r="V26" s="3"/>
      <c r="W26" s="3"/>
      <c r="X26" s="3"/>
    </row>
    <row r="27" spans="2:24" s="4" customFormat="1" ht="12.95" customHeight="1" x14ac:dyDescent="0.2">
      <c r="B27" s="23" t="s">
        <v>22</v>
      </c>
      <c r="C27" s="3"/>
      <c r="D27" s="182">
        <v>5054660.5490781898</v>
      </c>
      <c r="E27" s="108"/>
      <c r="F27" s="182">
        <v>976820.18425278296</v>
      </c>
      <c r="G27" s="184">
        <v>20.1114927329</v>
      </c>
      <c r="H27" s="108"/>
      <c r="I27" s="182">
        <v>4134998.48974529</v>
      </c>
      <c r="J27" s="184">
        <v>83.155406875699995</v>
      </c>
      <c r="K27" s="129"/>
      <c r="L27" s="183">
        <v>14178.2568924644</v>
      </c>
      <c r="M27" s="184">
        <v>0.29604439160000001</v>
      </c>
      <c r="R27" s="3"/>
      <c r="S27" s="3"/>
      <c r="T27" s="3"/>
      <c r="U27" s="3"/>
      <c r="V27" s="3"/>
      <c r="W27" s="3"/>
      <c r="X27" s="3"/>
    </row>
    <row r="28" spans="2:24" s="4" customFormat="1" ht="12.95" customHeight="1" x14ac:dyDescent="0.2">
      <c r="B28" s="20" t="s">
        <v>23</v>
      </c>
      <c r="C28" s="3"/>
      <c r="D28" s="182">
        <v>1421120.2592841201</v>
      </c>
      <c r="E28" s="108"/>
      <c r="F28" s="182">
        <v>286110.90895603399</v>
      </c>
      <c r="G28" s="184">
        <v>20.959708408200001</v>
      </c>
      <c r="H28" s="108"/>
      <c r="I28" s="182">
        <v>1148479.21272181</v>
      </c>
      <c r="J28" s="184">
        <v>82.307757542299996</v>
      </c>
      <c r="K28" s="129"/>
      <c r="L28" s="183">
        <v>4686.4975686211001</v>
      </c>
      <c r="M28" s="184">
        <v>0.34994014159999998</v>
      </c>
      <c r="R28" s="3"/>
      <c r="S28" s="3"/>
      <c r="T28" s="3"/>
      <c r="U28" s="3"/>
      <c r="V28" s="3"/>
      <c r="W28" s="3"/>
      <c r="X28" s="3"/>
    </row>
    <row r="29" spans="2:24" s="4" customFormat="1" ht="12.95" customHeight="1" x14ac:dyDescent="0.2">
      <c r="B29" s="20" t="s">
        <v>24</v>
      </c>
      <c r="C29" s="3"/>
      <c r="D29" s="182">
        <v>627748.33876353304</v>
      </c>
      <c r="E29" s="108"/>
      <c r="F29" s="182">
        <v>119148.571867526</v>
      </c>
      <c r="G29" s="184">
        <v>20.262119846200001</v>
      </c>
      <c r="H29" s="108"/>
      <c r="I29" s="182">
        <v>518730.60665500502</v>
      </c>
      <c r="J29" s="184">
        <v>83.466600928399998</v>
      </c>
      <c r="K29" s="129"/>
      <c r="L29" s="183">
        <v>962.72672021029996</v>
      </c>
      <c r="M29" s="184">
        <v>0.16208019479999999</v>
      </c>
      <c r="R29" s="3"/>
      <c r="S29" s="3"/>
      <c r="T29" s="3"/>
      <c r="U29" s="3"/>
      <c r="V29" s="3"/>
      <c r="W29" s="3"/>
      <c r="X29" s="3"/>
    </row>
    <row r="30" spans="2:24" s="4" customFormat="1" ht="12.95" customHeight="1" x14ac:dyDescent="0.2">
      <c r="B30" s="20" t="s">
        <v>25</v>
      </c>
      <c r="C30" s="3"/>
      <c r="D30" s="182">
        <v>381663.89671007101</v>
      </c>
      <c r="E30" s="108"/>
      <c r="F30" s="182">
        <v>90141.645843870094</v>
      </c>
      <c r="G30" s="184">
        <v>24.3063988436</v>
      </c>
      <c r="H30" s="108"/>
      <c r="I30" s="182">
        <v>297094.19969846</v>
      </c>
      <c r="J30" s="184">
        <v>79.639738025599996</v>
      </c>
      <c r="K30" s="129"/>
      <c r="L30" s="183">
        <v>489.29792098600001</v>
      </c>
      <c r="M30" s="184">
        <v>0.1342971301</v>
      </c>
      <c r="R30" s="3"/>
      <c r="S30" s="3"/>
      <c r="T30" s="3"/>
      <c r="U30" s="3"/>
      <c r="V30" s="3"/>
      <c r="W30" s="3"/>
      <c r="X30" s="3"/>
    </row>
    <row r="31" spans="2:24" s="4" customFormat="1" ht="12.95" customHeight="1" x14ac:dyDescent="0.2">
      <c r="B31" s="20" t="s">
        <v>26</v>
      </c>
      <c r="C31" s="3"/>
      <c r="D31" s="182">
        <v>1780871.48777301</v>
      </c>
      <c r="E31" s="108"/>
      <c r="F31" s="182">
        <v>226939.61058557301</v>
      </c>
      <c r="G31" s="184">
        <v>13.261464052099999</v>
      </c>
      <c r="H31" s="108"/>
      <c r="I31" s="182">
        <v>1578743.02388716</v>
      </c>
      <c r="J31" s="184">
        <v>89.950865639599996</v>
      </c>
      <c r="K31" s="129"/>
      <c r="L31" s="183">
        <v>4169.0063661288996</v>
      </c>
      <c r="M31" s="184">
        <v>0.2450319997</v>
      </c>
      <c r="R31" s="3"/>
      <c r="S31" s="3"/>
      <c r="T31" s="3"/>
      <c r="U31" s="3"/>
      <c r="V31" s="3"/>
      <c r="W31" s="3"/>
      <c r="X31" s="3"/>
    </row>
    <row r="32" spans="2:24" s="4" customFormat="1" ht="12.95" customHeight="1" x14ac:dyDescent="0.2">
      <c r="B32" s="20" t="s">
        <v>27</v>
      </c>
      <c r="C32" s="3"/>
      <c r="D32" s="182">
        <v>1245500.4199966399</v>
      </c>
      <c r="E32" s="108"/>
      <c r="F32" s="182">
        <v>327994.72163371101</v>
      </c>
      <c r="G32" s="184">
        <v>27.591910449299998</v>
      </c>
      <c r="H32" s="108"/>
      <c r="I32" s="182">
        <v>934502.08457961504</v>
      </c>
      <c r="J32" s="184">
        <v>76.927569802500003</v>
      </c>
      <c r="K32" s="129"/>
      <c r="L32" s="183">
        <v>0</v>
      </c>
      <c r="M32" s="184">
        <v>0</v>
      </c>
      <c r="R32" s="3"/>
      <c r="S32" s="3"/>
      <c r="T32" s="3"/>
      <c r="U32" s="3"/>
      <c r="V32" s="3"/>
      <c r="W32" s="3"/>
      <c r="X32" s="3"/>
    </row>
    <row r="33" spans="1:24" s="4" customFormat="1" ht="12.95" customHeight="1" x14ac:dyDescent="0.2">
      <c r="B33" s="20" t="s">
        <v>28</v>
      </c>
      <c r="C33" s="3"/>
      <c r="D33" s="182">
        <v>1878568.5074994301</v>
      </c>
      <c r="E33" s="108"/>
      <c r="F33" s="182">
        <v>471320.98579844</v>
      </c>
      <c r="G33" s="184">
        <v>26.2387765611</v>
      </c>
      <c r="H33" s="108"/>
      <c r="I33" s="182">
        <v>1441590.7910917299</v>
      </c>
      <c r="J33" s="184">
        <v>78.349644950799998</v>
      </c>
      <c r="K33" s="129"/>
      <c r="L33" s="183">
        <v>2139.6865842037</v>
      </c>
      <c r="M33" s="184">
        <v>0.12060078859999999</v>
      </c>
      <c r="R33" s="3"/>
      <c r="S33" s="3"/>
      <c r="T33" s="3"/>
      <c r="U33" s="3"/>
      <c r="V33" s="3"/>
      <c r="W33" s="3"/>
      <c r="X33" s="3"/>
    </row>
    <row r="34" spans="1:24" s="4" customFormat="1" ht="12.95" customHeight="1" x14ac:dyDescent="0.2">
      <c r="B34" s="20" t="s">
        <v>29</v>
      </c>
      <c r="C34" s="3"/>
      <c r="D34" s="182">
        <v>734981.74614695006</v>
      </c>
      <c r="E34" s="108"/>
      <c r="F34" s="182">
        <v>159334.32185587101</v>
      </c>
      <c r="G34" s="184">
        <v>22.977473137200001</v>
      </c>
      <c r="H34" s="108"/>
      <c r="I34" s="182">
        <v>584738.28179759602</v>
      </c>
      <c r="J34" s="184">
        <v>81.302975054800001</v>
      </c>
      <c r="K34" s="129"/>
      <c r="L34" s="183">
        <v>2828.5502588241998</v>
      </c>
      <c r="M34" s="184">
        <v>0.41383172470000001</v>
      </c>
      <c r="R34" s="3"/>
      <c r="S34" s="3"/>
      <c r="T34" s="3"/>
      <c r="U34" s="3"/>
      <c r="V34" s="3"/>
      <c r="W34" s="3"/>
      <c r="X34" s="3"/>
    </row>
    <row r="35" spans="1:24" s="4" customFormat="1" ht="12.95" customHeight="1" x14ac:dyDescent="0.2">
      <c r="B35" s="20" t="s">
        <v>30</v>
      </c>
      <c r="C35" s="3"/>
      <c r="D35" s="182">
        <v>600137.22251331795</v>
      </c>
      <c r="E35" s="108"/>
      <c r="F35" s="182">
        <v>153397.24604731699</v>
      </c>
      <c r="G35" s="184">
        <v>27.072287551599999</v>
      </c>
      <c r="H35" s="108"/>
      <c r="I35" s="182">
        <v>458014.446856683</v>
      </c>
      <c r="J35" s="184">
        <v>77.836349419100003</v>
      </c>
      <c r="K35" s="129"/>
      <c r="L35" s="183">
        <v>2532.8790285926002</v>
      </c>
      <c r="M35" s="184">
        <v>0.44976747379999998</v>
      </c>
      <c r="R35" s="3"/>
      <c r="S35" s="3"/>
      <c r="T35" s="3"/>
      <c r="U35" s="3"/>
      <c r="V35" s="3"/>
      <c r="W35" s="3"/>
      <c r="X35" s="3"/>
    </row>
    <row r="36" spans="1:24" s="4" customFormat="1" ht="12.95" customHeight="1" x14ac:dyDescent="0.2">
      <c r="B36" s="20" t="s">
        <v>31</v>
      </c>
      <c r="C36" s="3"/>
      <c r="D36" s="182">
        <v>817526.879180199</v>
      </c>
      <c r="E36" s="108"/>
      <c r="F36" s="182">
        <v>138000.672613462</v>
      </c>
      <c r="G36" s="184">
        <v>17.285106192200001</v>
      </c>
      <c r="H36" s="108"/>
      <c r="I36" s="182">
        <v>690360.257649865</v>
      </c>
      <c r="J36" s="184">
        <v>85.894946488499997</v>
      </c>
      <c r="K36" s="129"/>
      <c r="L36" s="183">
        <v>1900.5672256902001</v>
      </c>
      <c r="M36" s="184">
        <v>0.24041808710000001</v>
      </c>
      <c r="R36" s="3"/>
      <c r="S36" s="3"/>
      <c r="T36" s="3"/>
      <c r="U36" s="3"/>
      <c r="V36" s="3"/>
      <c r="W36" s="3"/>
      <c r="X36" s="3"/>
    </row>
    <row r="37" spans="1:24" s="4" customFormat="1" ht="12.95" customHeight="1" x14ac:dyDescent="0.2">
      <c r="B37" s="20" t="s">
        <v>32</v>
      </c>
      <c r="C37" s="3"/>
      <c r="D37" s="182">
        <v>902796.49187201704</v>
      </c>
      <c r="E37" s="108"/>
      <c r="F37" s="182">
        <v>237878.63918363</v>
      </c>
      <c r="G37" s="184">
        <v>27.303294111700001</v>
      </c>
      <c r="H37" s="108"/>
      <c r="I37" s="182">
        <v>676794.98166745598</v>
      </c>
      <c r="J37" s="184">
        <v>75.886568063799999</v>
      </c>
      <c r="K37" s="129"/>
      <c r="L37" s="183">
        <v>4536.0015506554</v>
      </c>
      <c r="M37" s="184">
        <v>0.52035522079999996</v>
      </c>
      <c r="R37" s="3"/>
      <c r="S37" s="3"/>
      <c r="T37" s="3"/>
      <c r="U37" s="3"/>
      <c r="V37" s="3"/>
      <c r="W37" s="3"/>
      <c r="X37" s="3"/>
    </row>
    <row r="38" spans="1:24" s="4" customFormat="1" ht="12.95" customHeight="1" x14ac:dyDescent="0.2">
      <c r="B38" s="20" t="s">
        <v>33</v>
      </c>
      <c r="C38" s="3"/>
      <c r="D38" s="182">
        <v>926137.98080278398</v>
      </c>
      <c r="E38" s="108"/>
      <c r="F38" s="182">
        <v>240263.95756182101</v>
      </c>
      <c r="G38" s="184">
        <v>26.960230334599999</v>
      </c>
      <c r="H38" s="108"/>
      <c r="I38" s="182">
        <v>697163.956080075</v>
      </c>
      <c r="J38" s="184">
        <v>76.450068686600005</v>
      </c>
      <c r="K38" s="129"/>
      <c r="L38" s="183">
        <v>2108.7177459899999</v>
      </c>
      <c r="M38" s="184">
        <v>0.238932281</v>
      </c>
      <c r="R38" s="3"/>
      <c r="S38" s="3"/>
      <c r="T38" s="3"/>
      <c r="U38" s="3"/>
      <c r="V38" s="3"/>
      <c r="W38" s="3"/>
      <c r="X38" s="3"/>
    </row>
    <row r="39" spans="1:24" s="4" customFormat="1" ht="12.95" customHeight="1" x14ac:dyDescent="0.2">
      <c r="B39" s="20" t="s">
        <v>34</v>
      </c>
      <c r="C39" s="3"/>
      <c r="D39" s="182">
        <v>736706.96971333702</v>
      </c>
      <c r="E39" s="108"/>
      <c r="F39" s="182">
        <v>213769.53497456299</v>
      </c>
      <c r="G39" s="184">
        <v>30.223811934499999</v>
      </c>
      <c r="H39" s="108"/>
      <c r="I39" s="182">
        <v>535880.26620952599</v>
      </c>
      <c r="J39" s="184">
        <v>74.691048500700006</v>
      </c>
      <c r="K39" s="129"/>
      <c r="L39" s="183">
        <v>1867.9551454755001</v>
      </c>
      <c r="M39" s="184">
        <v>0.26760684769999998</v>
      </c>
      <c r="R39" s="3"/>
      <c r="S39" s="3"/>
      <c r="T39" s="3"/>
      <c r="U39" s="3"/>
      <c r="V39" s="3"/>
      <c r="W39" s="3"/>
      <c r="X39" s="3"/>
    </row>
    <row r="40" spans="1:24" s="4" customFormat="1" ht="12.95" customHeight="1" x14ac:dyDescent="0.2">
      <c r="B40" s="20" t="s">
        <v>35</v>
      </c>
      <c r="C40" s="3"/>
      <c r="D40" s="182">
        <v>1094914.93288661</v>
      </c>
      <c r="E40" s="108"/>
      <c r="F40" s="182">
        <v>186297.25191040701</v>
      </c>
      <c r="G40" s="184">
        <v>17.388557673000001</v>
      </c>
      <c r="H40" s="108"/>
      <c r="I40" s="182">
        <v>921534.93628401204</v>
      </c>
      <c r="J40" s="184">
        <v>85.836761547799995</v>
      </c>
      <c r="K40" s="129"/>
      <c r="L40" s="183">
        <v>3536.4096283406002</v>
      </c>
      <c r="M40" s="184">
        <v>0.3335376343</v>
      </c>
      <c r="R40" s="3"/>
      <c r="S40" s="3"/>
      <c r="T40" s="3"/>
      <c r="U40" s="3"/>
      <c r="V40" s="3"/>
      <c r="W40" s="3"/>
      <c r="X40" s="3"/>
    </row>
    <row r="41" spans="1:24" s="4" customFormat="1" ht="12.95" customHeight="1" x14ac:dyDescent="0.2">
      <c r="B41" s="20" t="s">
        <v>36</v>
      </c>
      <c r="C41" s="3"/>
      <c r="D41" s="182">
        <v>363491.93326020997</v>
      </c>
      <c r="E41" s="108"/>
      <c r="F41" s="182">
        <v>102728.618919688</v>
      </c>
      <c r="G41" s="184">
        <v>29.200894127400002</v>
      </c>
      <c r="H41" s="108"/>
      <c r="I41" s="182">
        <v>266723.72690561699</v>
      </c>
      <c r="J41" s="184">
        <v>74.900027866900004</v>
      </c>
      <c r="K41" s="129"/>
      <c r="L41" s="183">
        <v>1169.1239914380001</v>
      </c>
      <c r="M41" s="184">
        <v>0.33624698460000002</v>
      </c>
      <c r="R41" s="3"/>
      <c r="S41" s="3"/>
      <c r="T41" s="3"/>
      <c r="U41" s="3"/>
      <c r="V41" s="3"/>
      <c r="W41" s="3"/>
      <c r="X41" s="3"/>
    </row>
    <row r="42" spans="1:24" s="4" customFormat="1" ht="12.95" customHeight="1" x14ac:dyDescent="0.2">
      <c r="B42" s="20" t="s">
        <v>37</v>
      </c>
      <c r="C42" s="3"/>
      <c r="D42" s="182">
        <v>2525789.6972755301</v>
      </c>
      <c r="E42" s="108"/>
      <c r="F42" s="182">
        <v>588705.68651236198</v>
      </c>
      <c r="G42" s="184">
        <v>24.1348872935</v>
      </c>
      <c r="H42" s="108"/>
      <c r="I42" s="182">
        <v>1964150.8044870601</v>
      </c>
      <c r="J42" s="184">
        <v>79.265928349399999</v>
      </c>
      <c r="K42" s="129"/>
      <c r="L42" s="183">
        <v>10399.916046189001</v>
      </c>
      <c r="M42" s="184">
        <v>0.43279565539999998</v>
      </c>
      <c r="R42" s="3"/>
      <c r="S42" s="3"/>
      <c r="T42" s="3"/>
      <c r="U42" s="3"/>
      <c r="V42" s="3"/>
      <c r="W42" s="3"/>
      <c r="X42" s="3"/>
    </row>
    <row r="43" spans="1:24" s="4" customFormat="1" ht="12.95" customHeight="1" x14ac:dyDescent="0.2">
      <c r="B43" s="20" t="s">
        <v>38</v>
      </c>
      <c r="C43" s="3"/>
      <c r="D43" s="182">
        <v>721498.47774716397</v>
      </c>
      <c r="E43" s="108"/>
      <c r="F43" s="182">
        <v>177546.87347442799</v>
      </c>
      <c r="G43" s="184">
        <v>25.834936246400002</v>
      </c>
      <c r="H43" s="108"/>
      <c r="I43" s="182">
        <v>555112.23336579395</v>
      </c>
      <c r="J43" s="184">
        <v>78.209028243299997</v>
      </c>
      <c r="K43" s="129"/>
      <c r="L43" s="183">
        <v>2189.5629486327998</v>
      </c>
      <c r="M43" s="184">
        <v>0.32097956059999999</v>
      </c>
      <c r="R43" s="3"/>
      <c r="S43" s="3"/>
      <c r="T43" s="3"/>
      <c r="U43" s="3"/>
      <c r="V43" s="3"/>
      <c r="W43" s="3"/>
      <c r="X43" s="3"/>
    </row>
    <row r="44" spans="1:24" s="4" customFormat="1" ht="12.95" customHeight="1" x14ac:dyDescent="0.2">
      <c r="B44" s="20" t="s">
        <v>39</v>
      </c>
      <c r="C44" s="3"/>
      <c r="D44" s="182">
        <v>489707.37134553498</v>
      </c>
      <c r="E44" s="108"/>
      <c r="F44" s="182">
        <v>71297.9558505311</v>
      </c>
      <c r="G44" s="184">
        <v>15.3041318812</v>
      </c>
      <c r="H44" s="108"/>
      <c r="I44" s="182">
        <v>423804.63295709499</v>
      </c>
      <c r="J44" s="184">
        <v>87.616670773600006</v>
      </c>
      <c r="K44" s="129"/>
      <c r="L44" s="183">
        <v>0</v>
      </c>
      <c r="M44" s="184">
        <v>0</v>
      </c>
      <c r="R44" s="3"/>
      <c r="S44" s="3"/>
      <c r="T44" s="3"/>
      <c r="U44" s="3"/>
      <c r="V44" s="3"/>
      <c r="W44" s="3"/>
      <c r="X44" s="3"/>
    </row>
    <row r="45" spans="1:24" s="4" customFormat="1" ht="6" customHeight="1" x14ac:dyDescent="0.2">
      <c r="B45" s="21"/>
      <c r="C45" s="91"/>
      <c r="D45" s="110"/>
      <c r="E45" s="111"/>
      <c r="F45" s="110"/>
      <c r="G45" s="112"/>
      <c r="H45" s="111"/>
      <c r="I45" s="110"/>
      <c r="J45" s="112"/>
      <c r="K45" s="106"/>
      <c r="L45" s="106"/>
      <c r="M45" s="112"/>
    </row>
    <row r="46" spans="1:24" s="2" customFormat="1" ht="6" customHeight="1" x14ac:dyDescent="0.2">
      <c r="A46" s="63"/>
      <c r="C46" s="22"/>
      <c r="D46" s="22"/>
      <c r="E46" s="22"/>
      <c r="F46" s="22"/>
      <c r="G46" s="22"/>
      <c r="H46" s="22"/>
      <c r="I46" s="22"/>
      <c r="J46" s="22"/>
      <c r="R46" s="1"/>
      <c r="S46" s="1"/>
      <c r="T46" s="1"/>
      <c r="U46" s="1"/>
      <c r="V46" s="1"/>
      <c r="W46" s="1"/>
      <c r="X46" s="1"/>
    </row>
    <row r="47" spans="1:24" s="101" customFormat="1" ht="14.25" x14ac:dyDescent="0.2">
      <c r="B47" s="102" t="s">
        <v>75</v>
      </c>
    </row>
    <row r="48" spans="1:24" s="10" customFormat="1" ht="12.75" customHeight="1" x14ac:dyDescent="0.25">
      <c r="A48" s="64"/>
      <c r="D48" s="12"/>
      <c r="I48" s="11"/>
      <c r="K48" s="11"/>
      <c r="L48" s="11"/>
      <c r="M48" s="11"/>
      <c r="N48" s="11"/>
      <c r="O48" s="11"/>
      <c r="P48" s="11"/>
      <c r="Q48" s="11"/>
    </row>
    <row r="49" spans="2:4" ht="12.75" customHeight="1" x14ac:dyDescent="0.25">
      <c r="C49" s="13"/>
      <c r="D49" s="13"/>
    </row>
    <row r="50" spans="2:4" ht="12.75" customHeight="1" x14ac:dyDescent="0.25">
      <c r="B50" s="14"/>
      <c r="D50" s="15"/>
    </row>
  </sheetData>
  <mergeCells count="8">
    <mergeCell ref="B5:K5"/>
    <mergeCell ref="L8:M8"/>
    <mergeCell ref="F7:M7"/>
    <mergeCell ref="B6:J6"/>
    <mergeCell ref="B7:C9"/>
    <mergeCell ref="D7:D9"/>
    <mergeCell ref="F8:G8"/>
    <mergeCell ref="I8:J8"/>
  </mergeCells>
  <phoneticPr fontId="37" type="noConversion"/>
  <hyperlinks>
    <hyperlink ref="M1" location="Índice!A1" tooltip="Ir a ÍNDICE" display="INDICE" xr:uid="{59D30337-49AD-4587-83A8-30EE468D530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EF9A-CDE2-4151-A886-415ABC546269}">
  <sheetPr>
    <pageSetUpPr fitToPage="1"/>
  </sheetPr>
  <dimension ref="A1:AA51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4.710937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9.5703125" style="1" customWidth="1" collapsed="1"/>
    <col min="9" max="9" width="8.7109375" style="1" customWidth="1" collapsed="1"/>
    <col min="10" max="10" width="1.7109375" style="1" customWidth="1" collapsed="1"/>
    <col min="11" max="11" width="9.5703125" style="1" customWidth="1" collapsed="1"/>
    <col min="12" max="12" width="8.7109375" style="1" customWidth="1" collapsed="1"/>
    <col min="13" max="13" width="1.7109375" style="2" customWidth="1"/>
    <col min="14" max="14" width="10.5703125" style="2" customWidth="1"/>
    <col min="15" max="15" width="8.7109375" style="2" customWidth="1"/>
    <col min="16" max="16" width="1.7109375" style="1" customWidth="1"/>
    <col min="17" max="17" width="11.42578125" style="1"/>
    <col min="18" max="18" width="11.42578125" style="1" collapsed="1"/>
    <col min="19" max="27" width="11.42578125" style="1"/>
    <col min="28" max="16384" width="11.42578125" style="1" collapsed="1"/>
  </cols>
  <sheetData>
    <row r="1" spans="1:18" s="68" customFormat="1" x14ac:dyDescent="0.2">
      <c r="B1" s="210" t="s">
        <v>129</v>
      </c>
      <c r="M1" s="70"/>
      <c r="N1" s="70"/>
      <c r="O1" s="70"/>
      <c r="R1" s="80" t="s">
        <v>74</v>
      </c>
    </row>
    <row r="2" spans="1:18" s="68" customFormat="1" ht="6.95" customHeight="1" x14ac:dyDescent="0.25">
      <c r="B2" s="210"/>
      <c r="M2" s="70"/>
      <c r="N2" s="70"/>
      <c r="O2" s="70"/>
    </row>
    <row r="3" spans="1:18" s="68" customForma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8" s="68" customFormat="1" ht="6.95" customHeight="1" x14ac:dyDescent="0.25">
      <c r="C4" s="71"/>
      <c r="M4" s="70"/>
      <c r="N4" s="70"/>
      <c r="O4" s="70"/>
      <c r="Q4" s="78"/>
    </row>
    <row r="5" spans="1:18" s="68" customFormat="1" ht="25.5" customHeight="1" x14ac:dyDescent="0.2">
      <c r="B5" s="242" t="s">
        <v>63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4"/>
      <c r="Q5" s="74"/>
      <c r="R5" s="79" t="s">
        <v>54</v>
      </c>
    </row>
    <row r="6" spans="1:18" s="19" customFormat="1" ht="6" customHeight="1" x14ac:dyDescent="0.25">
      <c r="A6" s="66"/>
      <c r="B6" s="243"/>
      <c r="C6" s="243"/>
      <c r="D6" s="243"/>
      <c r="E6" s="243"/>
      <c r="F6" s="244"/>
      <c r="G6" s="244"/>
      <c r="H6" s="244"/>
      <c r="I6" s="244"/>
      <c r="J6" s="244"/>
      <c r="K6" s="244"/>
      <c r="L6" s="244"/>
      <c r="M6" s="32"/>
      <c r="N6" s="32"/>
      <c r="O6" s="32"/>
      <c r="P6" s="33"/>
      <c r="Q6" s="33"/>
      <c r="R6" s="33"/>
    </row>
    <row r="7" spans="1:18" ht="29.25" customHeight="1" x14ac:dyDescent="0.25">
      <c r="B7" s="245" t="s">
        <v>1</v>
      </c>
      <c r="C7" s="245"/>
      <c r="D7" s="248" t="s">
        <v>64</v>
      </c>
      <c r="E7" s="34"/>
      <c r="F7" s="248" t="s">
        <v>52</v>
      </c>
      <c r="G7" s="35"/>
      <c r="H7" s="251" t="s">
        <v>77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1:18" ht="15" x14ac:dyDescent="0.25">
      <c r="B8" s="246"/>
      <c r="C8" s="246"/>
      <c r="D8" s="249"/>
      <c r="E8" s="34"/>
      <c r="F8" s="249"/>
      <c r="G8" s="34"/>
      <c r="H8" s="252" t="s">
        <v>40</v>
      </c>
      <c r="I8" s="252"/>
      <c r="J8" s="36"/>
      <c r="K8" s="232" t="s">
        <v>41</v>
      </c>
      <c r="L8" s="232"/>
      <c r="M8" s="37"/>
      <c r="N8" s="232" t="s">
        <v>42</v>
      </c>
      <c r="O8" s="232"/>
      <c r="P8" s="37"/>
      <c r="Q8" s="232" t="s">
        <v>43</v>
      </c>
      <c r="R8" s="232"/>
    </row>
    <row r="9" spans="1:18" ht="15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1:18" s="19" customFormat="1" ht="6" customHeight="1" x14ac:dyDescent="0.25">
      <c r="A10" s="66"/>
      <c r="B10" s="33"/>
      <c r="C10" s="39"/>
      <c r="D10" s="113"/>
      <c r="E10" s="113"/>
      <c r="F10" s="116"/>
      <c r="G10" s="113"/>
      <c r="H10" s="85"/>
      <c r="I10" s="87"/>
      <c r="J10" s="85"/>
      <c r="K10" s="85"/>
      <c r="L10" s="87"/>
      <c r="M10" s="114"/>
      <c r="N10" s="114"/>
      <c r="O10" s="87"/>
      <c r="P10" s="115"/>
      <c r="Q10" s="115"/>
      <c r="R10" s="87"/>
    </row>
    <row r="11" spans="1:18" s="88" customFormat="1" ht="12.95" customHeight="1" x14ac:dyDescent="0.2">
      <c r="B11" s="40" t="s">
        <v>7</v>
      </c>
      <c r="C11" s="92"/>
      <c r="D11" s="181">
        <v>7802847.7836913504</v>
      </c>
      <c r="E11" s="125"/>
      <c r="F11" s="181">
        <v>8340093.2634676704</v>
      </c>
      <c r="G11" s="125"/>
      <c r="H11" s="181">
        <v>4758146.7010779995</v>
      </c>
      <c r="I11" s="181">
        <v>61.719287145599999</v>
      </c>
      <c r="J11" s="125"/>
      <c r="K11" s="181">
        <v>3459296.9355789199</v>
      </c>
      <c r="L11" s="181">
        <v>44.959126449899998</v>
      </c>
      <c r="M11" s="125"/>
      <c r="N11" s="181">
        <v>201429.155165506</v>
      </c>
      <c r="O11" s="181">
        <v>2.6377621090000001</v>
      </c>
      <c r="P11" s="125"/>
      <c r="Q11" s="181">
        <v>61420.282081517602</v>
      </c>
      <c r="R11" s="181">
        <v>0.80443016190000005</v>
      </c>
    </row>
    <row r="12" spans="1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1:18" s="93" customFormat="1" ht="12.95" customHeight="1" x14ac:dyDescent="0.2">
      <c r="B13" s="25" t="s">
        <v>8</v>
      </c>
      <c r="C13" s="94"/>
      <c r="D13" s="182">
        <v>68043.002667340304</v>
      </c>
      <c r="E13" s="126"/>
      <c r="F13" s="182">
        <v>69670.304743152796</v>
      </c>
      <c r="G13" s="126"/>
      <c r="H13" s="182">
        <v>32961.373224320698</v>
      </c>
      <c r="I13" s="182">
        <v>51.624594820399999</v>
      </c>
      <c r="J13" s="126"/>
      <c r="K13" s="182">
        <v>40812.998351174203</v>
      </c>
      <c r="L13" s="182">
        <v>64.183882113799996</v>
      </c>
      <c r="M13" s="126"/>
      <c r="N13" s="182">
        <v>1364.8043267687999</v>
      </c>
      <c r="O13" s="182">
        <v>2.2203589962999999</v>
      </c>
      <c r="P13" s="126"/>
      <c r="Q13" s="182">
        <v>788.16638083149996</v>
      </c>
      <c r="R13" s="182">
        <v>1.2859242587999999</v>
      </c>
    </row>
    <row r="14" spans="1:18" s="3" customFormat="1" ht="12.95" customHeight="1" x14ac:dyDescent="0.2">
      <c r="B14" s="20" t="s">
        <v>9</v>
      </c>
      <c r="C14" s="50"/>
      <c r="D14" s="182">
        <v>313766.22431908897</v>
      </c>
      <c r="E14" s="108"/>
      <c r="F14" s="184">
        <v>325661.22957207903</v>
      </c>
      <c r="G14" s="108"/>
      <c r="H14" s="182">
        <v>183820.063304368</v>
      </c>
      <c r="I14" s="184">
        <v>61.364532329399999</v>
      </c>
      <c r="J14" s="108"/>
      <c r="K14" s="182">
        <v>143243.41026687401</v>
      </c>
      <c r="L14" s="184">
        <v>49.119829741499998</v>
      </c>
      <c r="M14" s="108"/>
      <c r="N14" s="184">
        <v>14042.8932593957</v>
      </c>
      <c r="O14" s="184">
        <v>4.9252952973999999</v>
      </c>
      <c r="P14" s="108"/>
      <c r="Q14" s="184">
        <v>1534.0151036319</v>
      </c>
      <c r="R14" s="184">
        <v>0.54270283190000002</v>
      </c>
    </row>
    <row r="15" spans="1:18" s="3" customFormat="1" ht="12.95" customHeight="1" x14ac:dyDescent="0.2">
      <c r="B15" s="20" t="s">
        <v>10</v>
      </c>
      <c r="C15" s="50"/>
      <c r="D15" s="182">
        <v>72883.266635193795</v>
      </c>
      <c r="E15" s="108"/>
      <c r="F15" s="184">
        <v>82902.594485195397</v>
      </c>
      <c r="G15" s="108"/>
      <c r="H15" s="182">
        <v>48306.473759273002</v>
      </c>
      <c r="I15" s="184">
        <v>70.716704529599994</v>
      </c>
      <c r="J15" s="108"/>
      <c r="K15" s="182">
        <v>37160.304511337301</v>
      </c>
      <c r="L15" s="184">
        <v>54.311237600399998</v>
      </c>
      <c r="M15" s="108"/>
      <c r="N15" s="184">
        <v>838.45607668360003</v>
      </c>
      <c r="O15" s="184">
        <v>1.3089790451000001</v>
      </c>
      <c r="P15" s="108"/>
      <c r="Q15" s="184">
        <v>0</v>
      </c>
      <c r="R15" s="184">
        <v>0</v>
      </c>
    </row>
    <row r="16" spans="1:18" s="3" customFormat="1" ht="12.95" customHeight="1" x14ac:dyDescent="0.2">
      <c r="B16" s="20" t="s">
        <v>11</v>
      </c>
      <c r="C16" s="50"/>
      <c r="D16" s="182">
        <v>74633.432302743895</v>
      </c>
      <c r="E16" s="108"/>
      <c r="F16" s="184">
        <v>78673.635107417402</v>
      </c>
      <c r="G16" s="108"/>
      <c r="H16" s="182">
        <v>62139.9920952627</v>
      </c>
      <c r="I16" s="184">
        <v>86.461043170400004</v>
      </c>
      <c r="J16" s="108"/>
      <c r="K16" s="182">
        <v>19189.299247455299</v>
      </c>
      <c r="L16" s="184">
        <v>28.155681353999999</v>
      </c>
      <c r="M16" s="108"/>
      <c r="N16" s="184">
        <v>612.65240204780002</v>
      </c>
      <c r="O16" s="184">
        <v>0.91140372540000003</v>
      </c>
      <c r="P16" s="108"/>
      <c r="Q16" s="184">
        <v>531.61557901720005</v>
      </c>
      <c r="R16" s="184">
        <v>0.79179380580000003</v>
      </c>
    </row>
    <row r="17" spans="2:18" s="3" customFormat="1" ht="12.95" customHeight="1" x14ac:dyDescent="0.2">
      <c r="B17" s="20" t="s">
        <v>12</v>
      </c>
      <c r="C17" s="50"/>
      <c r="D17" s="182">
        <v>180561.17433691601</v>
      </c>
      <c r="E17" s="108"/>
      <c r="F17" s="184">
        <v>180279.07441625901</v>
      </c>
      <c r="G17" s="108"/>
      <c r="H17" s="182">
        <v>83792.450443554</v>
      </c>
      <c r="I17" s="184">
        <v>49.700023655499997</v>
      </c>
      <c r="J17" s="108"/>
      <c r="K17" s="182">
        <v>102733.98616067199</v>
      </c>
      <c r="L17" s="184">
        <v>59.929993964499999</v>
      </c>
      <c r="M17" s="108"/>
      <c r="N17" s="184">
        <v>8223.3502843169008</v>
      </c>
      <c r="O17" s="184">
        <v>4.9741173828000003</v>
      </c>
      <c r="P17" s="108"/>
      <c r="Q17" s="184">
        <v>0</v>
      </c>
      <c r="R17" s="184">
        <v>0</v>
      </c>
    </row>
    <row r="18" spans="2:18" s="3" customFormat="1" ht="12.95" customHeight="1" x14ac:dyDescent="0.2">
      <c r="B18" s="20" t="s">
        <v>13</v>
      </c>
      <c r="C18" s="50"/>
      <c r="D18" s="182">
        <v>45287.0786967151</v>
      </c>
      <c r="E18" s="108"/>
      <c r="F18" s="184">
        <v>46907.945586551898</v>
      </c>
      <c r="G18" s="108"/>
      <c r="H18" s="182">
        <v>33082.449194443099</v>
      </c>
      <c r="I18" s="184">
        <v>77.274088610299998</v>
      </c>
      <c r="J18" s="108"/>
      <c r="K18" s="182">
        <v>14852.0339461732</v>
      </c>
      <c r="L18" s="184">
        <v>35.2945616298</v>
      </c>
      <c r="M18" s="108"/>
      <c r="N18" s="184">
        <v>1126.2259214641999</v>
      </c>
      <c r="O18" s="184">
        <v>2.7661139051000001</v>
      </c>
      <c r="P18" s="108"/>
      <c r="Q18" s="184">
        <v>1239.3574350123999</v>
      </c>
      <c r="R18" s="184">
        <v>3.0823208444999999</v>
      </c>
    </row>
    <row r="19" spans="2:18" s="4" customFormat="1" ht="12.95" customHeight="1" x14ac:dyDescent="0.2">
      <c r="B19" s="20" t="s">
        <v>14</v>
      </c>
      <c r="C19" s="50"/>
      <c r="D19" s="182">
        <v>441257.14157413598</v>
      </c>
      <c r="E19" s="108"/>
      <c r="F19" s="184">
        <v>463035.03933039203</v>
      </c>
      <c r="G19" s="108"/>
      <c r="H19" s="182">
        <v>305111.65942213801</v>
      </c>
      <c r="I19" s="184">
        <v>71.832668096000006</v>
      </c>
      <c r="J19" s="108"/>
      <c r="K19" s="182">
        <v>166403.52744317899</v>
      </c>
      <c r="L19" s="184">
        <v>40.5662912373</v>
      </c>
      <c r="M19" s="108"/>
      <c r="N19" s="184">
        <v>7421.2402752442003</v>
      </c>
      <c r="O19" s="184">
        <v>1.8476597702999999</v>
      </c>
      <c r="P19" s="108"/>
      <c r="Q19" s="184">
        <v>2420.0410686606001</v>
      </c>
      <c r="R19" s="184">
        <v>0.60292466420000002</v>
      </c>
    </row>
    <row r="20" spans="2:18" s="4" customFormat="1" ht="12.95" customHeight="1" x14ac:dyDescent="0.2">
      <c r="B20" s="20" t="s">
        <v>15</v>
      </c>
      <c r="C20" s="50"/>
      <c r="D20" s="182">
        <v>199321.36564017899</v>
      </c>
      <c r="E20" s="108"/>
      <c r="F20" s="184">
        <v>202472.52623911001</v>
      </c>
      <c r="G20" s="108"/>
      <c r="H20" s="182">
        <v>115539.83306362201</v>
      </c>
      <c r="I20" s="184">
        <v>61.276463458499997</v>
      </c>
      <c r="J20" s="108"/>
      <c r="K20" s="182">
        <v>90330.946535010095</v>
      </c>
      <c r="L20" s="184">
        <v>48.993775127100001</v>
      </c>
      <c r="M20" s="108"/>
      <c r="N20" s="184">
        <v>11047.221097346501</v>
      </c>
      <c r="O20" s="184">
        <v>6.0826329001000001</v>
      </c>
      <c r="P20" s="108"/>
      <c r="Q20" s="184">
        <v>5827.7160616396004</v>
      </c>
      <c r="R20" s="184">
        <v>3.1939903882</v>
      </c>
    </row>
    <row r="21" spans="2:18" s="4" customFormat="1" ht="12.95" customHeight="1" x14ac:dyDescent="0.2">
      <c r="B21" s="20" t="s">
        <v>16</v>
      </c>
      <c r="C21" s="50"/>
      <c r="D21" s="182">
        <v>823428.07310098899</v>
      </c>
      <c r="E21" s="108"/>
      <c r="F21" s="184">
        <v>851133.89360568696</v>
      </c>
      <c r="G21" s="108"/>
      <c r="H21" s="182">
        <v>517815.07218254899</v>
      </c>
      <c r="I21" s="184">
        <v>65.922729555100005</v>
      </c>
      <c r="J21" s="108"/>
      <c r="K21" s="182">
        <v>368115.49401137198</v>
      </c>
      <c r="L21" s="184">
        <v>47.078128538900003</v>
      </c>
      <c r="M21" s="108"/>
      <c r="N21" s="184">
        <v>6636.3589701464998</v>
      </c>
      <c r="O21" s="184">
        <v>0.87295957099999999</v>
      </c>
      <c r="P21" s="108"/>
      <c r="Q21" s="184">
        <v>9475.0300497991993</v>
      </c>
      <c r="R21" s="184">
        <v>1.2485523280999999</v>
      </c>
    </row>
    <row r="22" spans="2:18" s="4" customFormat="1" ht="12.95" customHeight="1" x14ac:dyDescent="0.2">
      <c r="B22" s="20" t="s">
        <v>17</v>
      </c>
      <c r="C22" s="50"/>
      <c r="D22" s="182">
        <v>107772.37516706499</v>
      </c>
      <c r="E22" s="108"/>
      <c r="F22" s="184">
        <v>112682.276720105</v>
      </c>
      <c r="G22" s="108"/>
      <c r="H22" s="182">
        <v>64462.200010235101</v>
      </c>
      <c r="I22" s="184">
        <v>63.5228282972</v>
      </c>
      <c r="J22" s="108"/>
      <c r="K22" s="182">
        <v>51482.011702674303</v>
      </c>
      <c r="L22" s="184">
        <v>50.456142710599998</v>
      </c>
      <c r="M22" s="108"/>
      <c r="N22" s="184">
        <v>2564.9124559041002</v>
      </c>
      <c r="O22" s="184">
        <v>2.5732409407999999</v>
      </c>
      <c r="P22" s="108"/>
      <c r="Q22" s="184">
        <v>2226.5835411676999</v>
      </c>
      <c r="R22" s="184">
        <v>2.2691189357999999</v>
      </c>
    </row>
    <row r="23" spans="2:18" s="4" customFormat="1" ht="12.95" customHeight="1" x14ac:dyDescent="0.2">
      <c r="B23" s="20" t="s">
        <v>18</v>
      </c>
      <c r="C23" s="50"/>
      <c r="D23" s="182">
        <v>359273.83040690102</v>
      </c>
      <c r="E23" s="108"/>
      <c r="F23" s="184">
        <v>398962.36974904803</v>
      </c>
      <c r="G23" s="108"/>
      <c r="H23" s="182">
        <v>199863.294604019</v>
      </c>
      <c r="I23" s="184">
        <v>59.057296183399998</v>
      </c>
      <c r="J23" s="108"/>
      <c r="K23" s="182">
        <v>198877.97383510301</v>
      </c>
      <c r="L23" s="184">
        <v>58.271151149799998</v>
      </c>
      <c r="M23" s="108"/>
      <c r="N23" s="184">
        <v>6839.0894976295003</v>
      </c>
      <c r="O23" s="184">
        <v>2.0774482555999998</v>
      </c>
      <c r="P23" s="108"/>
      <c r="Q23" s="184">
        <v>19146.307991157399</v>
      </c>
      <c r="R23" s="184">
        <v>5.7459792890000001</v>
      </c>
    </row>
    <row r="24" spans="2:18" s="4" customFormat="1" ht="12.95" customHeight="1" x14ac:dyDescent="0.2">
      <c r="B24" s="20" t="s">
        <v>19</v>
      </c>
      <c r="C24" s="50"/>
      <c r="D24" s="182">
        <v>330046.87293012999</v>
      </c>
      <c r="E24" s="108"/>
      <c r="F24" s="184">
        <v>357756.382395002</v>
      </c>
      <c r="G24" s="108"/>
      <c r="H24" s="182">
        <v>241767.435320527</v>
      </c>
      <c r="I24" s="184">
        <v>76.544000561700003</v>
      </c>
      <c r="J24" s="108"/>
      <c r="K24" s="182">
        <v>123030.840108794</v>
      </c>
      <c r="L24" s="184">
        <v>39.373778219999998</v>
      </c>
      <c r="M24" s="108"/>
      <c r="N24" s="184">
        <v>5892.3389548545001</v>
      </c>
      <c r="O24" s="184">
        <v>1.9373119263</v>
      </c>
      <c r="P24" s="108"/>
      <c r="Q24" s="184">
        <v>1147.8664740969</v>
      </c>
      <c r="R24" s="184">
        <v>0.37830227259999999</v>
      </c>
    </row>
    <row r="25" spans="2:18" s="4" customFormat="1" ht="12.95" customHeight="1" x14ac:dyDescent="0.2">
      <c r="B25" s="20" t="s">
        <v>20</v>
      </c>
      <c r="C25" s="50"/>
      <c r="D25" s="182">
        <v>156275.93490132299</v>
      </c>
      <c r="E25" s="108"/>
      <c r="F25" s="184">
        <v>167668.84619386599</v>
      </c>
      <c r="G25" s="108"/>
      <c r="H25" s="182">
        <v>88294.647857566204</v>
      </c>
      <c r="I25" s="184">
        <v>60.946444044700002</v>
      </c>
      <c r="J25" s="108"/>
      <c r="K25" s="182">
        <v>85068.844412292296</v>
      </c>
      <c r="L25" s="184">
        <v>57.853559527400002</v>
      </c>
      <c r="M25" s="108"/>
      <c r="N25" s="184">
        <v>7363.8306836252004</v>
      </c>
      <c r="O25" s="184">
        <v>5.1988418865000003</v>
      </c>
      <c r="P25" s="108"/>
      <c r="Q25" s="184">
        <v>0</v>
      </c>
      <c r="R25" s="184">
        <v>0</v>
      </c>
    </row>
    <row r="26" spans="2:18" s="4" customFormat="1" ht="12.95" customHeight="1" x14ac:dyDescent="0.2">
      <c r="B26" s="20" t="s">
        <v>21</v>
      </c>
      <c r="C26" s="50"/>
      <c r="D26" s="182">
        <v>466295.79751286499</v>
      </c>
      <c r="E26" s="108"/>
      <c r="F26" s="184">
        <v>480644.33716301899</v>
      </c>
      <c r="G26" s="108"/>
      <c r="H26" s="182">
        <v>228092.52183102901</v>
      </c>
      <c r="I26" s="184">
        <v>51.852068387999999</v>
      </c>
      <c r="J26" s="108"/>
      <c r="K26" s="182">
        <v>269346.86746862897</v>
      </c>
      <c r="L26" s="184">
        <v>60.860757531399997</v>
      </c>
      <c r="M26" s="108"/>
      <c r="N26" s="184">
        <v>17784.604321124101</v>
      </c>
      <c r="O26" s="184">
        <v>4.1741357345000001</v>
      </c>
      <c r="P26" s="108"/>
      <c r="Q26" s="184">
        <v>0</v>
      </c>
      <c r="R26" s="184">
        <v>0</v>
      </c>
    </row>
    <row r="27" spans="2:18" s="4" customFormat="1" ht="12.95" customHeight="1" x14ac:dyDescent="0.2">
      <c r="B27" s="20" t="s">
        <v>22</v>
      </c>
      <c r="C27" s="50"/>
      <c r="D27" s="182">
        <v>976820.18425278296</v>
      </c>
      <c r="E27" s="108"/>
      <c r="F27" s="184">
        <v>1061567.3463246599</v>
      </c>
      <c r="G27" s="108"/>
      <c r="H27" s="182">
        <v>547439.90413111402</v>
      </c>
      <c r="I27" s="184">
        <v>59.253326290399997</v>
      </c>
      <c r="J27" s="108"/>
      <c r="K27" s="182">
        <v>522207.47989835299</v>
      </c>
      <c r="L27" s="184">
        <v>56.9453260469</v>
      </c>
      <c r="M27" s="108"/>
      <c r="N27" s="184">
        <v>61140.034067132699</v>
      </c>
      <c r="O27" s="184">
        <v>6.9084062702000004</v>
      </c>
      <c r="P27" s="108"/>
      <c r="Q27" s="184">
        <v>15091.9197447282</v>
      </c>
      <c r="R27" s="184">
        <v>1.7037671875</v>
      </c>
    </row>
    <row r="28" spans="2:18" s="4" customFormat="1" ht="12.95" customHeight="1" x14ac:dyDescent="0.2">
      <c r="B28" s="20" t="s">
        <v>23</v>
      </c>
      <c r="C28" s="50"/>
      <c r="D28" s="182">
        <v>286110.90895603399</v>
      </c>
      <c r="E28" s="108"/>
      <c r="F28" s="184">
        <v>299429.25214963697</v>
      </c>
      <c r="G28" s="108"/>
      <c r="H28" s="182">
        <v>138322.56574368101</v>
      </c>
      <c r="I28" s="184">
        <v>51.447452474800002</v>
      </c>
      <c r="J28" s="108"/>
      <c r="K28" s="182">
        <v>169111.869780379</v>
      </c>
      <c r="L28" s="184">
        <v>62.970145494100002</v>
      </c>
      <c r="M28" s="108"/>
      <c r="N28" s="184">
        <v>5736.5075785076997</v>
      </c>
      <c r="O28" s="184">
        <v>2.1835142289</v>
      </c>
      <c r="P28" s="108"/>
      <c r="Q28" s="184">
        <v>4248.8860908795004</v>
      </c>
      <c r="R28" s="184">
        <v>1.6391620367999999</v>
      </c>
    </row>
    <row r="29" spans="2:18" s="4" customFormat="1" ht="12.95" customHeight="1" x14ac:dyDescent="0.2">
      <c r="B29" s="20" t="s">
        <v>24</v>
      </c>
      <c r="C29" s="50"/>
      <c r="D29" s="182">
        <v>119148.571867526</v>
      </c>
      <c r="E29" s="108"/>
      <c r="F29" s="184">
        <v>125959.07494016099</v>
      </c>
      <c r="G29" s="108"/>
      <c r="H29" s="182">
        <v>69389.721719105204</v>
      </c>
      <c r="I29" s="184">
        <v>61.297352886900001</v>
      </c>
      <c r="J29" s="108"/>
      <c r="K29" s="182">
        <v>57733.393199252299</v>
      </c>
      <c r="L29" s="184">
        <v>51.216205274300002</v>
      </c>
      <c r="M29" s="108"/>
      <c r="N29" s="184">
        <v>6273.1672929042998</v>
      </c>
      <c r="O29" s="184">
        <v>5.7468002486999996</v>
      </c>
      <c r="P29" s="108"/>
      <c r="Q29" s="184">
        <v>1990.2430881606001</v>
      </c>
      <c r="R29" s="184">
        <v>1.8278418825</v>
      </c>
    </row>
    <row r="30" spans="2:18" s="4" customFormat="1" ht="12.95" customHeight="1" x14ac:dyDescent="0.2">
      <c r="B30" s="20" t="s">
        <v>25</v>
      </c>
      <c r="C30" s="50"/>
      <c r="D30" s="182">
        <v>90141.645843870094</v>
      </c>
      <c r="E30" s="108"/>
      <c r="F30" s="184">
        <v>94324.904075202896</v>
      </c>
      <c r="G30" s="108"/>
      <c r="H30" s="182">
        <v>55066.279489448803</v>
      </c>
      <c r="I30" s="184">
        <v>65.258384939400003</v>
      </c>
      <c r="J30" s="108"/>
      <c r="K30" s="182">
        <v>42944.226571338499</v>
      </c>
      <c r="L30" s="184">
        <v>49.914293128099999</v>
      </c>
      <c r="M30" s="108"/>
      <c r="N30" s="184">
        <v>417.88687305830001</v>
      </c>
      <c r="O30" s="184">
        <v>0.51523629370000001</v>
      </c>
      <c r="P30" s="108"/>
      <c r="Q30" s="184">
        <v>460.20453108959998</v>
      </c>
      <c r="R30" s="184">
        <v>0.56399137210000005</v>
      </c>
    </row>
    <row r="31" spans="2:18" s="4" customFormat="1" ht="12.95" customHeight="1" x14ac:dyDescent="0.2">
      <c r="B31" s="20" t="s">
        <v>26</v>
      </c>
      <c r="C31" s="50"/>
      <c r="D31" s="182">
        <v>226939.61058557301</v>
      </c>
      <c r="E31" s="108"/>
      <c r="F31" s="184">
        <v>221464.597603084</v>
      </c>
      <c r="G31" s="108"/>
      <c r="H31" s="182">
        <v>100568.354565438</v>
      </c>
      <c r="I31" s="184">
        <v>49.524681695699996</v>
      </c>
      <c r="J31" s="108"/>
      <c r="K31" s="182">
        <v>122825.646103584</v>
      </c>
      <c r="L31" s="184">
        <v>57.740698302200002</v>
      </c>
      <c r="M31" s="108"/>
      <c r="N31" s="184">
        <v>22487.4579855786</v>
      </c>
      <c r="O31" s="184">
        <v>11.3486718891</v>
      </c>
      <c r="P31" s="108"/>
      <c r="Q31" s="184">
        <v>4395.7467279932998</v>
      </c>
      <c r="R31" s="184">
        <v>2.2139164842999999</v>
      </c>
    </row>
    <row r="32" spans="2:18" s="4" customFormat="1" ht="12.95" customHeight="1" x14ac:dyDescent="0.2">
      <c r="B32" s="20" t="s">
        <v>27</v>
      </c>
      <c r="C32" s="50"/>
      <c r="D32" s="182">
        <v>327994.72163371101</v>
      </c>
      <c r="E32" s="108"/>
      <c r="F32" s="184">
        <v>348510.86440878798</v>
      </c>
      <c r="G32" s="108"/>
      <c r="H32" s="182">
        <v>243278.00964581801</v>
      </c>
      <c r="I32" s="184">
        <v>76.589445855799994</v>
      </c>
      <c r="J32" s="108"/>
      <c r="K32" s="182">
        <v>113589.892235559</v>
      </c>
      <c r="L32" s="184">
        <v>38.596144513900001</v>
      </c>
      <c r="M32" s="108"/>
      <c r="N32" s="184">
        <v>6963.5553258197997</v>
      </c>
      <c r="O32" s="184">
        <v>2.3897098963999999</v>
      </c>
      <c r="P32" s="108"/>
      <c r="Q32" s="184">
        <v>872.80169689399997</v>
      </c>
      <c r="R32" s="184">
        <v>0.29879521609999998</v>
      </c>
    </row>
    <row r="33" spans="1:25" s="4" customFormat="1" ht="12.95" customHeight="1" x14ac:dyDescent="0.2">
      <c r="B33" s="20" t="s">
        <v>28</v>
      </c>
      <c r="C33" s="50"/>
      <c r="D33" s="182">
        <v>471320.98579844</v>
      </c>
      <c r="E33" s="108"/>
      <c r="F33" s="184">
        <v>516794.24187512801</v>
      </c>
      <c r="G33" s="108"/>
      <c r="H33" s="182">
        <v>288951.98938963102</v>
      </c>
      <c r="I33" s="184">
        <v>64.639541777199994</v>
      </c>
      <c r="J33" s="108"/>
      <c r="K33" s="182">
        <v>235032.60005953201</v>
      </c>
      <c r="L33" s="184">
        <v>53.391747011600003</v>
      </c>
      <c r="M33" s="108"/>
      <c r="N33" s="184">
        <v>19650.722294658801</v>
      </c>
      <c r="O33" s="184">
        <v>4.6080189307000001</v>
      </c>
      <c r="P33" s="108"/>
      <c r="Q33" s="184">
        <v>3914.3833678882002</v>
      </c>
      <c r="R33" s="184">
        <v>0.91956084530000004</v>
      </c>
    </row>
    <row r="34" spans="1:25" s="4" customFormat="1" ht="12.95" customHeight="1" x14ac:dyDescent="0.2">
      <c r="B34" s="20" t="s">
        <v>29</v>
      </c>
      <c r="C34" s="50"/>
      <c r="D34" s="182">
        <v>159334.32185587101</v>
      </c>
      <c r="E34" s="108"/>
      <c r="F34" s="184">
        <v>171449.69664420601</v>
      </c>
      <c r="G34" s="108"/>
      <c r="H34" s="182">
        <v>81632.910110676006</v>
      </c>
      <c r="I34" s="184">
        <v>54.352945380900003</v>
      </c>
      <c r="J34" s="108"/>
      <c r="K34" s="182">
        <v>90130.931340502502</v>
      </c>
      <c r="L34" s="184">
        <v>61.269529368299999</v>
      </c>
      <c r="M34" s="108"/>
      <c r="N34" s="184">
        <v>8953.9720476472994</v>
      </c>
      <c r="O34" s="184">
        <v>6.3903164643999997</v>
      </c>
      <c r="P34" s="108"/>
      <c r="Q34" s="184">
        <v>4189.1279834896004</v>
      </c>
      <c r="R34" s="184">
        <v>2.9739817907999999</v>
      </c>
    </row>
    <row r="35" spans="1:25" s="4" customFormat="1" ht="12.95" customHeight="1" x14ac:dyDescent="0.2">
      <c r="B35" s="20" t="s">
        <v>30</v>
      </c>
      <c r="C35" s="50"/>
      <c r="D35" s="182">
        <v>153397.24604731699</v>
      </c>
      <c r="E35" s="108"/>
      <c r="F35" s="184">
        <v>165298.186886715</v>
      </c>
      <c r="G35" s="108"/>
      <c r="H35" s="182">
        <v>118480.51187166201</v>
      </c>
      <c r="I35" s="184">
        <v>80.521805708399995</v>
      </c>
      <c r="J35" s="108"/>
      <c r="K35" s="182">
        <v>50506.928024229899</v>
      </c>
      <c r="L35" s="184">
        <v>35.918160693700003</v>
      </c>
      <c r="M35" s="108"/>
      <c r="N35" s="184">
        <v>2628.2984390277002</v>
      </c>
      <c r="O35" s="184">
        <v>1.8964103370000001</v>
      </c>
      <c r="P35" s="108"/>
      <c r="Q35" s="184">
        <v>2748.0966452604998</v>
      </c>
      <c r="R35" s="184">
        <v>2.0025472829000002</v>
      </c>
    </row>
    <row r="36" spans="1:25" s="4" customFormat="1" ht="12.95" customHeight="1" x14ac:dyDescent="0.2">
      <c r="B36" s="20" t="s">
        <v>31</v>
      </c>
      <c r="C36" s="50"/>
      <c r="D36" s="182">
        <v>138000.672613462</v>
      </c>
      <c r="E36" s="108"/>
      <c r="F36" s="184">
        <v>147942.16468536001</v>
      </c>
      <c r="G36" s="108"/>
      <c r="H36" s="182">
        <v>72162.189992354703</v>
      </c>
      <c r="I36" s="184">
        <v>55.580497871600002</v>
      </c>
      <c r="J36" s="108"/>
      <c r="K36" s="182">
        <v>77211.238919404801</v>
      </c>
      <c r="L36" s="184">
        <v>59.988219080199997</v>
      </c>
      <c r="M36" s="108"/>
      <c r="N36" s="184">
        <v>7666.2525658557997</v>
      </c>
      <c r="O36" s="184">
        <v>6.1064263250000002</v>
      </c>
      <c r="P36" s="108"/>
      <c r="Q36" s="184">
        <v>2549.6388963812001</v>
      </c>
      <c r="R36" s="184">
        <v>2.0642732801000001</v>
      </c>
    </row>
    <row r="37" spans="1:25" s="4" customFormat="1" ht="12.95" customHeight="1" x14ac:dyDescent="0.2">
      <c r="B37" s="20" t="s">
        <v>32</v>
      </c>
      <c r="C37" s="50"/>
      <c r="D37" s="182">
        <v>237878.63918363</v>
      </c>
      <c r="E37" s="108"/>
      <c r="F37" s="184">
        <v>252632.513247572</v>
      </c>
      <c r="G37" s="108"/>
      <c r="H37" s="182">
        <v>176679.84526515901</v>
      </c>
      <c r="I37" s="184">
        <v>77.354422338899994</v>
      </c>
      <c r="J37" s="108"/>
      <c r="K37" s="182">
        <v>87577.302162778898</v>
      </c>
      <c r="L37" s="184">
        <v>38.759423855500003</v>
      </c>
      <c r="M37" s="108"/>
      <c r="N37" s="184">
        <v>2651.9615097600999</v>
      </c>
      <c r="O37" s="184">
        <v>1.1919876718</v>
      </c>
      <c r="P37" s="108"/>
      <c r="Q37" s="184">
        <v>0</v>
      </c>
      <c r="R37" s="184">
        <v>0</v>
      </c>
    </row>
    <row r="38" spans="1:25" s="4" customFormat="1" ht="12.95" customHeight="1" x14ac:dyDescent="0.2">
      <c r="B38" s="20" t="s">
        <v>33</v>
      </c>
      <c r="C38" s="50"/>
      <c r="D38" s="182">
        <v>240263.95756182101</v>
      </c>
      <c r="E38" s="108"/>
      <c r="F38" s="184">
        <v>257364.287998018</v>
      </c>
      <c r="G38" s="108"/>
      <c r="H38" s="182">
        <v>181428.97149432101</v>
      </c>
      <c r="I38" s="184">
        <v>79.119018317799998</v>
      </c>
      <c r="J38" s="108"/>
      <c r="K38" s="182">
        <v>84250.901202875699</v>
      </c>
      <c r="L38" s="184">
        <v>37.043843701100002</v>
      </c>
      <c r="M38" s="108"/>
      <c r="N38" s="184">
        <v>4626.3752112530001</v>
      </c>
      <c r="O38" s="184">
        <v>2.0827949298999999</v>
      </c>
      <c r="P38" s="108"/>
      <c r="Q38" s="184">
        <v>1981.6347041883</v>
      </c>
      <c r="R38" s="184">
        <v>0.89002540070000002</v>
      </c>
    </row>
    <row r="39" spans="1:25" s="4" customFormat="1" ht="12.95" customHeight="1" x14ac:dyDescent="0.2">
      <c r="B39" s="20" t="s">
        <v>34</v>
      </c>
      <c r="C39" s="50"/>
      <c r="D39" s="182">
        <v>213769.53497456299</v>
      </c>
      <c r="E39" s="108"/>
      <c r="F39" s="184">
        <v>229225.60082182201</v>
      </c>
      <c r="G39" s="108"/>
      <c r="H39" s="182">
        <v>168961.71273927501</v>
      </c>
      <c r="I39" s="184">
        <v>82.418874956600007</v>
      </c>
      <c r="J39" s="108"/>
      <c r="K39" s="182">
        <v>64968.7065214662</v>
      </c>
      <c r="L39" s="184">
        <v>32.567851914099997</v>
      </c>
      <c r="M39" s="108"/>
      <c r="N39" s="184">
        <v>2426.9690682705</v>
      </c>
      <c r="O39" s="184">
        <v>1.2585133792000001</v>
      </c>
      <c r="P39" s="108"/>
      <c r="Q39" s="184">
        <v>0</v>
      </c>
      <c r="R39" s="184">
        <v>0</v>
      </c>
    </row>
    <row r="40" spans="1:25" s="4" customFormat="1" ht="12.95" customHeight="1" x14ac:dyDescent="0.2">
      <c r="B40" s="20" t="s">
        <v>35</v>
      </c>
      <c r="C40" s="50"/>
      <c r="D40" s="182">
        <v>186297.25191040701</v>
      </c>
      <c r="E40" s="108"/>
      <c r="F40" s="184">
        <v>187974.577617498</v>
      </c>
      <c r="G40" s="108"/>
      <c r="H40" s="182">
        <v>130121.15080278101</v>
      </c>
      <c r="I40" s="184">
        <v>74.091997887199994</v>
      </c>
      <c r="J40" s="108"/>
      <c r="K40" s="182">
        <v>70644.530058335993</v>
      </c>
      <c r="L40" s="184">
        <v>41.105829541799999</v>
      </c>
      <c r="M40" s="108"/>
      <c r="N40" s="184">
        <v>3075.1275830877998</v>
      </c>
      <c r="O40" s="184">
        <v>1.8384540090999999</v>
      </c>
      <c r="P40" s="108"/>
      <c r="Q40" s="184">
        <v>0</v>
      </c>
      <c r="R40" s="184">
        <v>0</v>
      </c>
    </row>
    <row r="41" spans="1:25" s="4" customFormat="1" ht="12.95" customHeight="1" x14ac:dyDescent="0.2">
      <c r="B41" s="20" t="s">
        <v>36</v>
      </c>
      <c r="C41" s="50"/>
      <c r="D41" s="182">
        <v>102728.618919688</v>
      </c>
      <c r="E41" s="108"/>
      <c r="F41" s="184">
        <v>115594.61271836</v>
      </c>
      <c r="G41" s="108"/>
      <c r="H41" s="182">
        <v>74849.00135233</v>
      </c>
      <c r="I41" s="184">
        <v>76.008241972500002</v>
      </c>
      <c r="J41" s="108"/>
      <c r="K41" s="182">
        <v>42226.116236654198</v>
      </c>
      <c r="L41" s="184">
        <v>44.456430387799998</v>
      </c>
      <c r="M41" s="108"/>
      <c r="N41" s="184">
        <v>3863.4136027559998</v>
      </c>
      <c r="O41" s="184">
        <v>4.0602570658000001</v>
      </c>
      <c r="P41" s="108"/>
      <c r="Q41" s="184">
        <v>778.64913640539999</v>
      </c>
      <c r="R41" s="184">
        <v>0.82545643479999997</v>
      </c>
    </row>
    <row r="42" spans="1:25" s="4" customFormat="1" ht="12.95" customHeight="1" x14ac:dyDescent="0.2">
      <c r="B42" s="20" t="s">
        <v>37</v>
      </c>
      <c r="C42" s="51"/>
      <c r="D42" s="182">
        <v>588705.68651236198</v>
      </c>
      <c r="E42" s="108"/>
      <c r="F42" s="184">
        <v>603423.29301274801</v>
      </c>
      <c r="G42" s="108"/>
      <c r="H42" s="182">
        <v>390444.221814611</v>
      </c>
      <c r="I42" s="184">
        <v>69.070408640300002</v>
      </c>
      <c r="J42" s="108"/>
      <c r="K42" s="182">
        <v>223141.31536005699</v>
      </c>
      <c r="L42" s="184">
        <v>40.3732551254</v>
      </c>
      <c r="M42" s="108"/>
      <c r="N42" s="184">
        <v>20531.834245962698</v>
      </c>
      <c r="O42" s="184">
        <v>3.8099626894999998</v>
      </c>
      <c r="P42" s="108"/>
      <c r="Q42" s="184">
        <v>7871.0843938075996</v>
      </c>
      <c r="R42" s="184">
        <v>1.4669884136</v>
      </c>
    </row>
    <row r="43" spans="1:25" s="4" customFormat="1" ht="12.95" customHeight="1" x14ac:dyDescent="0.2">
      <c r="B43" s="20" t="s">
        <v>38</v>
      </c>
      <c r="C43" s="51"/>
      <c r="D43" s="184">
        <v>177546.87347442799</v>
      </c>
      <c r="E43" s="108"/>
      <c r="F43" s="184">
        <v>192368.30890492699</v>
      </c>
      <c r="G43" s="108"/>
      <c r="H43" s="184">
        <v>160046.88788036499</v>
      </c>
      <c r="I43" s="184">
        <v>94.759176816199997</v>
      </c>
      <c r="J43" s="108"/>
      <c r="K43" s="184">
        <v>38823.584066273303</v>
      </c>
      <c r="L43" s="184">
        <v>23.303320625800001</v>
      </c>
      <c r="M43" s="108"/>
      <c r="N43" s="184">
        <v>3300.7029787903998</v>
      </c>
      <c r="O43" s="184">
        <v>2.0373163927000002</v>
      </c>
      <c r="P43" s="108"/>
      <c r="Q43" s="184">
        <v>1221.2371066973999</v>
      </c>
      <c r="R43" s="184">
        <v>0.75440934810000004</v>
      </c>
    </row>
    <row r="44" spans="1:25" s="4" customFormat="1" ht="12.95" customHeight="1" x14ac:dyDescent="0.2">
      <c r="B44" s="20" t="s">
        <v>39</v>
      </c>
      <c r="C44" s="51"/>
      <c r="D44" s="184">
        <v>71297.9558505311</v>
      </c>
      <c r="E44" s="108"/>
      <c r="F44" s="184">
        <v>74178.5524656052</v>
      </c>
      <c r="G44" s="108"/>
      <c r="H44" s="184">
        <v>36483.716872390098</v>
      </c>
      <c r="I44" s="184">
        <v>54.903530949500002</v>
      </c>
      <c r="J44" s="108"/>
      <c r="K44" s="184">
        <v>40608.878697287197</v>
      </c>
      <c r="L44" s="184">
        <v>60.273284461300001</v>
      </c>
      <c r="M44" s="108"/>
      <c r="N44" s="184">
        <v>2241.8410734500999</v>
      </c>
      <c r="O44" s="184">
        <v>3.5001419291999998</v>
      </c>
      <c r="P44" s="108"/>
      <c r="Q44" s="184">
        <v>0</v>
      </c>
      <c r="R44" s="184">
        <v>0</v>
      </c>
    </row>
    <row r="45" spans="1:2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  <c r="P45" s="111"/>
      <c r="Q45" s="111"/>
      <c r="R45" s="112"/>
    </row>
    <row r="46" spans="1:25" s="18" customFormat="1" ht="6" customHeight="1" x14ac:dyDescent="0.25">
      <c r="A46" s="67"/>
      <c r="B46" s="17"/>
      <c r="C46" s="32"/>
      <c r="D46" s="41"/>
      <c r="E46" s="41"/>
      <c r="F46" s="44"/>
      <c r="G46" s="41"/>
      <c r="H46" s="41"/>
      <c r="I46" s="41"/>
      <c r="J46" s="42"/>
      <c r="K46" s="41"/>
      <c r="L46" s="32"/>
      <c r="M46" s="32"/>
      <c r="N46" s="32"/>
      <c r="O46" s="32"/>
      <c r="P46" s="33"/>
      <c r="Q46" s="33"/>
      <c r="R46" s="32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101" customFormat="1" ht="14.25" x14ac:dyDescent="0.2">
      <c r="B48" s="102" t="s">
        <v>75</v>
      </c>
      <c r="F48" s="119"/>
    </row>
    <row r="49" spans="1:18" s="10" customFormat="1" ht="12.75" customHeight="1" x14ac:dyDescent="0.25">
      <c r="A49" s="64"/>
      <c r="B49" s="44"/>
      <c r="C49" s="44"/>
      <c r="D49" s="43"/>
      <c r="E49" s="44"/>
      <c r="F49" s="44"/>
      <c r="G49" s="44"/>
      <c r="H49" s="44"/>
      <c r="I49" s="44"/>
      <c r="J49" s="44"/>
      <c r="K49" s="45"/>
      <c r="L49" s="44"/>
      <c r="M49" s="45"/>
      <c r="N49" s="45"/>
      <c r="O49" s="45"/>
      <c r="P49" s="44"/>
      <c r="Q49" s="44"/>
      <c r="R49" s="44"/>
    </row>
    <row r="50" spans="1:18" ht="12.75" customHeight="1" x14ac:dyDescent="0.25">
      <c r="B50" s="31"/>
      <c r="C50" s="46"/>
      <c r="D50" s="46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  <c r="P50" s="31"/>
      <c r="Q50" s="31"/>
      <c r="R50" s="31"/>
    </row>
    <row r="51" spans="1:18" ht="12.75" customHeight="1" x14ac:dyDescent="0.25">
      <c r="B51" s="14"/>
      <c r="D51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A80D4F0F-7E18-4CB1-A8AD-B50E34C2637D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653A-DA4F-4DCC-A7B0-5675AB9F7C88}">
  <dimension ref="A1:AK6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65" customWidth="1"/>
    <col min="2" max="2" width="30.42578125" customWidth="1"/>
    <col min="3" max="3" width="1.7109375" customWidth="1"/>
    <col min="4" max="4" width="24.7109375" customWidth="1"/>
    <col min="5" max="5" width="1.7109375" customWidth="1"/>
    <col min="6" max="6" width="18.7109375" style="24" customWidth="1"/>
    <col min="7" max="7" width="1.7109375" customWidth="1"/>
    <col min="8" max="8" width="9.42578125" customWidth="1"/>
    <col min="9" max="9" width="8.7109375" customWidth="1"/>
    <col min="10" max="10" width="1.7109375" customWidth="1"/>
    <col min="11" max="11" width="9.7109375" customWidth="1"/>
    <col min="12" max="12" width="9" customWidth="1"/>
    <col min="13" max="13" width="1.7109375" customWidth="1"/>
    <col min="14" max="14" width="10" customWidth="1"/>
    <col min="15" max="15" width="8.85546875" customWidth="1"/>
    <col min="16" max="16" width="1.7109375" customWidth="1"/>
    <col min="17" max="17" width="9.42578125" customWidth="1"/>
    <col min="18" max="18" width="9.7109375" bestFit="1" customWidth="1"/>
  </cols>
  <sheetData>
    <row r="1" spans="2:37" s="75" customFormat="1" ht="12.75" x14ac:dyDescent="0.2">
      <c r="B1" s="210" t="s">
        <v>129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68"/>
      <c r="Q1" s="68"/>
      <c r="R1" s="80" t="s">
        <v>74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</row>
    <row r="2" spans="2:37" s="75" customFormat="1" ht="6.95" customHeight="1" x14ac:dyDescent="0.2">
      <c r="B2" s="210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68"/>
      <c r="Q2" s="68"/>
      <c r="R2" s="68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</row>
    <row r="3" spans="2:37" s="75" customFormat="1" ht="12.75" x14ac:dyDescent="0.2">
      <c r="B3" s="210" t="s">
        <v>112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68"/>
      <c r="R3" s="68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</row>
    <row r="4" spans="2:3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68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</row>
    <row r="5" spans="2:37" s="75" customFormat="1" ht="25.5" customHeight="1" x14ac:dyDescent="0.2">
      <c r="B5" s="242" t="s">
        <v>73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4"/>
      <c r="Q5" s="74"/>
      <c r="R5" s="79" t="s">
        <v>55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</row>
    <row r="6" spans="2:37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31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2:37" ht="15.75" customHeight="1" x14ac:dyDescent="0.25">
      <c r="B7" s="245" t="s">
        <v>50</v>
      </c>
      <c r="C7" s="245"/>
      <c r="D7" s="248" t="s">
        <v>64</v>
      </c>
      <c r="E7" s="34"/>
      <c r="F7" s="248" t="s">
        <v>52</v>
      </c>
      <c r="G7" s="35"/>
      <c r="H7" s="251" t="s">
        <v>77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</row>
    <row r="8" spans="2:37" ht="24.75" customHeight="1" x14ac:dyDescent="0.25">
      <c r="B8" s="246"/>
      <c r="C8" s="246"/>
      <c r="D8" s="249"/>
      <c r="E8" s="34"/>
      <c r="F8" s="249"/>
      <c r="G8" s="34"/>
      <c r="H8" s="252" t="s">
        <v>40</v>
      </c>
      <c r="I8" s="252"/>
      <c r="J8" s="36"/>
      <c r="K8" s="232" t="s">
        <v>41</v>
      </c>
      <c r="L8" s="232"/>
      <c r="M8" s="47"/>
      <c r="N8" s="232" t="s">
        <v>42</v>
      </c>
      <c r="O8" s="232"/>
      <c r="P8" s="47"/>
      <c r="Q8" s="232" t="s">
        <v>43</v>
      </c>
      <c r="R8" s="232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</row>
    <row r="9" spans="2:37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2:37" ht="6" customHeight="1" x14ac:dyDescent="0.25">
      <c r="B10" s="31"/>
      <c r="C10" s="18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17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</row>
    <row r="11" spans="2:37" s="99" customFormat="1" ht="12.95" customHeight="1" x14ac:dyDescent="0.2">
      <c r="B11" s="48" t="s">
        <v>7</v>
      </c>
      <c r="C11" s="92"/>
      <c r="D11" s="181">
        <v>7802847.7836913504</v>
      </c>
      <c r="E11" s="125"/>
      <c r="F11" s="181">
        <v>8340093.2634676704</v>
      </c>
      <c r="G11" s="125"/>
      <c r="H11" s="181">
        <v>4758146.7010779995</v>
      </c>
      <c r="I11" s="181">
        <v>61.719287145599999</v>
      </c>
      <c r="J11" s="125"/>
      <c r="K11" s="181">
        <v>3459296.9355789199</v>
      </c>
      <c r="L11" s="181">
        <v>44.959126449899998</v>
      </c>
      <c r="M11" s="125"/>
      <c r="N11" s="181">
        <v>201429.155165506</v>
      </c>
      <c r="O11" s="181">
        <v>2.6377621090000001</v>
      </c>
      <c r="P11" s="125"/>
      <c r="Q11" s="181">
        <v>61420.282081517602</v>
      </c>
      <c r="R11" s="181">
        <v>0.80443016190000005</v>
      </c>
      <c r="S11" s="7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</row>
    <row r="12" spans="2:37" s="96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8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</row>
    <row r="13" spans="2:37" s="96" customFormat="1" ht="12.95" customHeight="1" x14ac:dyDescent="0.2">
      <c r="B13" s="103" t="s">
        <v>44</v>
      </c>
      <c r="C13" s="50"/>
      <c r="D13" s="182">
        <v>1529343.72127844</v>
      </c>
      <c r="E13" s="126"/>
      <c r="F13" s="182">
        <v>1625725.40722844</v>
      </c>
      <c r="G13" s="126"/>
      <c r="H13" s="182">
        <v>1073736.35733593</v>
      </c>
      <c r="I13" s="182">
        <v>71.860290328199994</v>
      </c>
      <c r="J13" s="126"/>
      <c r="K13" s="182">
        <v>555259.78800995601</v>
      </c>
      <c r="L13" s="182">
        <v>37.589721585299998</v>
      </c>
      <c r="M13" s="126"/>
      <c r="N13" s="182">
        <v>29540.877243067898</v>
      </c>
      <c r="O13" s="182">
        <v>2.0303060871</v>
      </c>
      <c r="P13" s="126"/>
      <c r="Q13" s="182">
        <v>6502.1280191330998</v>
      </c>
      <c r="R13" s="182">
        <v>0.44681315589999998</v>
      </c>
      <c r="S13" s="8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</row>
    <row r="14" spans="2:37" s="96" customFormat="1" ht="12.95" customHeight="1" x14ac:dyDescent="0.2">
      <c r="B14" s="103" t="s">
        <v>45</v>
      </c>
      <c r="C14" s="50"/>
      <c r="D14" s="182">
        <v>1149662.9484190301</v>
      </c>
      <c r="E14" s="126"/>
      <c r="F14" s="182">
        <v>1226397.38725304</v>
      </c>
      <c r="G14" s="126"/>
      <c r="H14" s="182">
        <v>764132.59278297203</v>
      </c>
      <c r="I14" s="182">
        <v>68.605293754900003</v>
      </c>
      <c r="J14" s="126"/>
      <c r="K14" s="182">
        <v>462119.00005911803</v>
      </c>
      <c r="L14" s="182">
        <v>41.548068180599998</v>
      </c>
      <c r="M14" s="126"/>
      <c r="N14" s="182">
        <v>32181.201341359199</v>
      </c>
      <c r="O14" s="182">
        <v>2.9645059272999998</v>
      </c>
      <c r="P14" s="126"/>
      <c r="Q14" s="182">
        <v>6455.4730519618997</v>
      </c>
      <c r="R14" s="182">
        <v>0.59791955669999997</v>
      </c>
      <c r="S14" s="8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</row>
    <row r="15" spans="2:37" s="96" customFormat="1" ht="12.95" customHeight="1" x14ac:dyDescent="0.2">
      <c r="B15" s="103" t="s">
        <v>46</v>
      </c>
      <c r="C15" s="50"/>
      <c r="D15" s="182">
        <v>1428133.4115488599</v>
      </c>
      <c r="E15" s="126"/>
      <c r="F15" s="182">
        <v>1532773.62972988</v>
      </c>
      <c r="G15" s="126"/>
      <c r="H15" s="182">
        <v>845492.30206833396</v>
      </c>
      <c r="I15" s="182">
        <v>61.030290922600003</v>
      </c>
      <c r="J15" s="126"/>
      <c r="K15" s="182">
        <v>668744.26338259003</v>
      </c>
      <c r="L15" s="182">
        <v>48.456178739000002</v>
      </c>
      <c r="M15" s="126"/>
      <c r="N15" s="182">
        <v>51042.836936303298</v>
      </c>
      <c r="O15" s="182">
        <v>3.7791761704</v>
      </c>
      <c r="P15" s="126"/>
      <c r="Q15" s="182">
        <v>24093.020137253599</v>
      </c>
      <c r="R15" s="182">
        <v>1.7865391025999999</v>
      </c>
      <c r="S15" s="8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spans="2:37" s="96" customFormat="1" ht="12.95" customHeight="1" x14ac:dyDescent="0.2">
      <c r="B16" s="103" t="s">
        <v>49</v>
      </c>
      <c r="C16" s="50"/>
      <c r="D16" s="182">
        <v>3863859.3342303201</v>
      </c>
      <c r="E16" s="108"/>
      <c r="F16" s="184">
        <v>4111296.7316385498</v>
      </c>
      <c r="G16" s="108"/>
      <c r="H16" s="182">
        <v>2206603.4164760099</v>
      </c>
      <c r="I16" s="184">
        <v>58.1329146466</v>
      </c>
      <c r="J16" s="108"/>
      <c r="K16" s="182">
        <v>1875484.00718874</v>
      </c>
      <c r="L16" s="184">
        <v>49.482513833799999</v>
      </c>
      <c r="M16" s="108"/>
      <c r="N16" s="184">
        <v>111750.809636675</v>
      </c>
      <c r="O16" s="184">
        <v>2.9781731722</v>
      </c>
      <c r="P16" s="108"/>
      <c r="Q16" s="184">
        <v>36062.557882415298</v>
      </c>
      <c r="R16" s="184">
        <v>0.96057257460000001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</row>
    <row r="17" spans="1:37" ht="6" customHeight="1" x14ac:dyDescent="0.25">
      <c r="B17" s="49"/>
      <c r="C17" s="30"/>
      <c r="D17" s="110"/>
      <c r="E17" s="111"/>
      <c r="F17" s="111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1:37" ht="6" customHeight="1" x14ac:dyDescent="0.25">
      <c r="B18" s="9"/>
      <c r="C18" s="28"/>
      <c r="D18" s="44"/>
      <c r="E18" s="44"/>
      <c r="F18" s="44"/>
      <c r="G18" s="44"/>
      <c r="H18" s="44"/>
      <c r="I18" s="44"/>
      <c r="J18" s="45"/>
      <c r="K18" s="44"/>
      <c r="L18" s="28"/>
      <c r="M18" s="28"/>
      <c r="N18" s="28"/>
      <c r="O18" s="28"/>
      <c r="P18" s="31"/>
      <c r="Q18" s="31"/>
      <c r="R18" s="28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1:3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37" s="101" customFormat="1" ht="14.25" x14ac:dyDescent="0.2">
      <c r="B20" s="102" t="s">
        <v>75</v>
      </c>
      <c r="F20" s="119"/>
    </row>
    <row r="21" spans="1:37" x14ac:dyDescent="0.25">
      <c r="B21" s="24"/>
      <c r="C21" s="24"/>
      <c r="D21" s="24"/>
      <c r="E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1:37" x14ac:dyDescent="0.25">
      <c r="B22" s="24"/>
      <c r="C22" s="24"/>
      <c r="D22" s="24"/>
      <c r="E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1:37" x14ac:dyDescent="0.25">
      <c r="B23" s="24"/>
      <c r="C23" s="24"/>
      <c r="D23" s="24"/>
      <c r="E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1:37" x14ac:dyDescent="0.25">
      <c r="B24" s="24"/>
      <c r="C24" s="24"/>
      <c r="D24" s="24"/>
      <c r="E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1:37" x14ac:dyDescent="0.25">
      <c r="B25" s="24"/>
      <c r="C25" s="24"/>
      <c r="D25" s="24"/>
      <c r="E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1:37" x14ac:dyDescent="0.25">
      <c r="B26" s="24"/>
      <c r="C26" s="24"/>
      <c r="D26" s="24"/>
      <c r="E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spans="1:37" x14ac:dyDescent="0.25">
      <c r="B27" s="24"/>
      <c r="C27" s="24"/>
      <c r="D27" s="24"/>
      <c r="E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</row>
    <row r="28" spans="1:37" x14ac:dyDescent="0.25">
      <c r="B28" s="24"/>
      <c r="C28" s="24"/>
      <c r="D28" s="24"/>
      <c r="E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 spans="1:37" x14ac:dyDescent="0.25">
      <c r="B29" s="24"/>
      <c r="C29" s="24"/>
      <c r="D29" s="24"/>
      <c r="E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spans="1:37" x14ac:dyDescent="0.25">
      <c r="B30" s="24"/>
      <c r="C30" s="24"/>
      <c r="D30" s="24"/>
      <c r="E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spans="1:37" x14ac:dyDescent="0.25">
      <c r="B31" s="24"/>
      <c r="C31" s="24"/>
      <c r="D31" s="24"/>
      <c r="E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spans="1:37" x14ac:dyDescent="0.25">
      <c r="B32" s="24"/>
      <c r="C32" s="24"/>
      <c r="D32" s="24"/>
      <c r="E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spans="2:37" x14ac:dyDescent="0.25">
      <c r="B33" s="24"/>
      <c r="C33" s="24"/>
      <c r="D33" s="24"/>
      <c r="E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spans="2:37" x14ac:dyDescent="0.25">
      <c r="B34" s="24"/>
      <c r="C34" s="24"/>
      <c r="D34" s="24"/>
      <c r="E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spans="2:37" x14ac:dyDescent="0.25">
      <c r="B35" s="24"/>
      <c r="C35" s="24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2:37" x14ac:dyDescent="0.25">
      <c r="B36" s="24"/>
      <c r="C36" s="24"/>
      <c r="D36" s="24"/>
      <c r="E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spans="2:37" x14ac:dyDescent="0.25">
      <c r="B37" s="24"/>
      <c r="C37" s="24"/>
      <c r="D37" s="24"/>
      <c r="E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spans="2:37" x14ac:dyDescent="0.25">
      <c r="B38" s="24"/>
      <c r="C38" s="24"/>
      <c r="D38" s="24"/>
      <c r="E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spans="2:37" x14ac:dyDescent="0.25">
      <c r="B39" s="24"/>
      <c r="C39" s="24"/>
      <c r="D39" s="24"/>
      <c r="E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spans="2:37" x14ac:dyDescent="0.25">
      <c r="B40" s="24"/>
      <c r="C40" s="24"/>
      <c r="D40" s="24"/>
      <c r="E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</row>
    <row r="41" spans="2:37" x14ac:dyDescent="0.25">
      <c r="B41" s="24"/>
      <c r="C41" s="24"/>
      <c r="D41" s="24"/>
      <c r="E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</row>
    <row r="42" spans="2:37" x14ac:dyDescent="0.25">
      <c r="B42" s="24"/>
      <c r="C42" s="24"/>
      <c r="D42" s="24"/>
      <c r="E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 spans="2:37" x14ac:dyDescent="0.25">
      <c r="B43" s="24"/>
      <c r="C43" s="24"/>
      <c r="D43" s="24"/>
      <c r="E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2:37" x14ac:dyDescent="0.25">
      <c r="B44" s="24"/>
      <c r="C44" s="24"/>
      <c r="D44" s="24"/>
      <c r="E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2:37" x14ac:dyDescent="0.25">
      <c r="B45" s="24"/>
      <c r="C45" s="24"/>
      <c r="D45" s="24"/>
      <c r="E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2:37" x14ac:dyDescent="0.25">
      <c r="B46" s="24"/>
      <c r="C46" s="24"/>
      <c r="D46" s="24"/>
      <c r="E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2:37" x14ac:dyDescent="0.25">
      <c r="B47" s="24"/>
      <c r="C47" s="24"/>
      <c r="D47" s="24"/>
      <c r="E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2:37" x14ac:dyDescent="0.25">
      <c r="B48" s="24"/>
      <c r="C48" s="24"/>
      <c r="D48" s="24"/>
      <c r="E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2:30" x14ac:dyDescent="0.25">
      <c r="B49" s="24"/>
      <c r="C49" s="24"/>
      <c r="D49" s="24"/>
      <c r="E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2:30" x14ac:dyDescent="0.25">
      <c r="B50" s="24"/>
      <c r="C50" s="24"/>
      <c r="D50" s="24"/>
      <c r="E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2:30" x14ac:dyDescent="0.25">
      <c r="B51" s="24"/>
      <c r="C51" s="24"/>
      <c r="D51" s="24"/>
      <c r="E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2:30" x14ac:dyDescent="0.25">
      <c r="B52" s="24"/>
      <c r="C52" s="24"/>
      <c r="D52" s="24"/>
      <c r="E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2:30" x14ac:dyDescent="0.25">
      <c r="B53" s="24"/>
      <c r="C53" s="24"/>
      <c r="D53" s="24"/>
      <c r="E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2:30" x14ac:dyDescent="0.25">
      <c r="B54" s="24"/>
      <c r="C54" s="24"/>
      <c r="D54" s="24"/>
      <c r="E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2:30" x14ac:dyDescent="0.25">
      <c r="B55" s="24"/>
      <c r="C55" s="24"/>
      <c r="D55" s="24"/>
      <c r="E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2:30" x14ac:dyDescent="0.25">
      <c r="B56" s="24"/>
      <c r="C56" s="24"/>
      <c r="D56" s="24"/>
      <c r="E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2:30" x14ac:dyDescent="0.25">
      <c r="B57" s="24"/>
      <c r="C57" s="24"/>
      <c r="D57" s="24"/>
      <c r="E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2:30" x14ac:dyDescent="0.25">
      <c r="B58" s="24"/>
      <c r="C58" s="24"/>
      <c r="D58" s="24"/>
      <c r="E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2:30" x14ac:dyDescent="0.25">
      <c r="B59" s="24"/>
      <c r="C59" s="24"/>
      <c r="D59" s="24"/>
      <c r="E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2:30" x14ac:dyDescent="0.25">
      <c r="B60" s="24"/>
      <c r="C60" s="24"/>
      <c r="D60" s="24"/>
      <c r="E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13AC12C5-B5D4-4B0D-9FA6-886D10290DFC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DB46-F69E-45AC-9CF5-67466A938947}">
  <sheetPr>
    <pageSetUpPr fitToPage="1"/>
  </sheetPr>
  <dimension ref="A1:AC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28515625" style="1" customWidth="1" collapsed="1"/>
    <col min="9" max="9" width="11.140625" style="1" customWidth="1" collapsed="1"/>
    <col min="10" max="10" width="1.7109375" style="1" customWidth="1" collapsed="1"/>
    <col min="11" max="12" width="12.7109375" style="1" customWidth="1" collapsed="1"/>
    <col min="13" max="13" width="1.7109375" style="2" customWidth="1"/>
    <col min="14" max="15" width="11.42578125" style="2"/>
    <col min="16" max="16" width="1.7109375" style="2" customWidth="1"/>
    <col min="17" max="22" width="11.42578125" style="1"/>
    <col min="23" max="23" width="11.42578125" style="1" collapsed="1"/>
    <col min="24" max="26" width="11.42578125" style="1"/>
    <col min="27" max="27" width="11.42578125" style="1" collapsed="1"/>
    <col min="28" max="29" width="11.42578125" style="1"/>
    <col min="30" max="16384" width="11.42578125" style="1" collapsed="1"/>
  </cols>
  <sheetData>
    <row r="1" spans="2:18" s="68" customFormat="1" x14ac:dyDescent="0.2">
      <c r="B1" s="210" t="s">
        <v>129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5">
      <c r="B2" s="210"/>
      <c r="M2" s="70"/>
      <c r="N2" s="70"/>
      <c r="O2" s="70"/>
      <c r="P2" s="70"/>
    </row>
    <row r="3" spans="2:18" s="68" customForma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42" t="s">
        <v>72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56</v>
      </c>
    </row>
    <row r="6" spans="2:18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</row>
    <row r="7" spans="2:18" ht="24" customHeight="1" x14ac:dyDescent="0.25">
      <c r="B7" s="245" t="s">
        <v>1</v>
      </c>
      <c r="C7" s="245"/>
      <c r="D7" s="248" t="s">
        <v>64</v>
      </c>
      <c r="E7" s="34"/>
      <c r="F7" s="248" t="s">
        <v>52</v>
      </c>
      <c r="G7" s="35"/>
      <c r="H7" s="251" t="s">
        <v>79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2:18" ht="18" customHeight="1" x14ac:dyDescent="0.25">
      <c r="B8" s="246"/>
      <c r="C8" s="246"/>
      <c r="D8" s="249"/>
      <c r="E8" s="34"/>
      <c r="F8" s="249"/>
      <c r="G8" s="34"/>
      <c r="H8" s="252" t="s">
        <v>47</v>
      </c>
      <c r="I8" s="252"/>
      <c r="J8" s="36"/>
      <c r="K8" s="232" t="s">
        <v>80</v>
      </c>
      <c r="L8" s="232"/>
      <c r="M8" s="36"/>
      <c r="N8" s="232" t="s">
        <v>48</v>
      </c>
      <c r="O8" s="232"/>
      <c r="P8" s="36"/>
      <c r="Q8" s="232" t="s">
        <v>43</v>
      </c>
      <c r="R8" s="232"/>
    </row>
    <row r="9" spans="2:18" ht="15" customHeight="1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2:18" ht="6" customHeight="1" x14ac:dyDescent="0.25">
      <c r="B10" s="31"/>
      <c r="C10" s="187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181">
        <v>7802847.7836913504</v>
      </c>
      <c r="E11" s="125"/>
      <c r="F11" s="181">
        <v>8340093.2634676704</v>
      </c>
      <c r="G11" s="125"/>
      <c r="H11" s="181">
        <v>628770.94425713201</v>
      </c>
      <c r="I11" s="181">
        <v>8.2220104760999995</v>
      </c>
      <c r="J11" s="125"/>
      <c r="K11" s="181">
        <v>2997644.6618608902</v>
      </c>
      <c r="L11" s="181">
        <v>39.049534616000003</v>
      </c>
      <c r="M11" s="125"/>
      <c r="N11" s="181">
        <v>4681284.6443189904</v>
      </c>
      <c r="O11" s="181">
        <v>60.707019968600001</v>
      </c>
      <c r="P11" s="125"/>
      <c r="Q11" s="181">
        <v>202519.562758388</v>
      </c>
      <c r="R11" s="181">
        <v>2.6502335731</v>
      </c>
    </row>
    <row r="12" spans="2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2:18" s="3" customFormat="1" ht="12.95" customHeight="1" x14ac:dyDescent="0.2">
      <c r="B13" s="20" t="s">
        <v>8</v>
      </c>
      <c r="C13" s="50"/>
      <c r="D13" s="182">
        <v>68043.002667340304</v>
      </c>
      <c r="E13" s="126"/>
      <c r="F13" s="182">
        <v>69670.304743152796</v>
      </c>
      <c r="G13" s="126"/>
      <c r="H13" s="182">
        <v>9078.8624415610993</v>
      </c>
      <c r="I13" s="182">
        <v>14.741186964300001</v>
      </c>
      <c r="J13" s="126"/>
      <c r="K13" s="182">
        <v>42588.851128596798</v>
      </c>
      <c r="L13" s="182">
        <v>65.927411555899994</v>
      </c>
      <c r="M13" s="126"/>
      <c r="N13" s="182">
        <v>21169.609644952201</v>
      </c>
      <c r="O13" s="182">
        <v>33.540443724699998</v>
      </c>
      <c r="P13" s="126"/>
      <c r="Q13" s="182">
        <v>4206.5930195645997</v>
      </c>
      <c r="R13" s="182">
        <v>6.8468571013000004</v>
      </c>
    </row>
    <row r="14" spans="2:18" s="3" customFormat="1" ht="12.95" customHeight="1" x14ac:dyDescent="0.2">
      <c r="B14" s="20" t="s">
        <v>9</v>
      </c>
      <c r="C14" s="50"/>
      <c r="D14" s="182">
        <v>313766.22431908897</v>
      </c>
      <c r="E14" s="126"/>
      <c r="F14" s="182">
        <v>325661.22957207903</v>
      </c>
      <c r="G14" s="126"/>
      <c r="H14" s="182">
        <v>32030.450555984498</v>
      </c>
      <c r="I14" s="182">
        <v>11.390564591</v>
      </c>
      <c r="J14" s="126"/>
      <c r="K14" s="182">
        <v>198176.92242709</v>
      </c>
      <c r="L14" s="182">
        <v>66.821853857899995</v>
      </c>
      <c r="M14" s="126"/>
      <c r="N14" s="182">
        <v>107687.7146169</v>
      </c>
      <c r="O14" s="182">
        <v>36.735768345700002</v>
      </c>
      <c r="P14" s="126"/>
      <c r="Q14" s="182">
        <v>14648.428782139799</v>
      </c>
      <c r="R14" s="182">
        <v>5.1494570594000004</v>
      </c>
    </row>
    <row r="15" spans="2:18" s="3" customFormat="1" ht="12.95" customHeight="1" x14ac:dyDescent="0.2">
      <c r="B15" s="20" t="s">
        <v>10</v>
      </c>
      <c r="C15" s="50"/>
      <c r="D15" s="182">
        <v>72883.266635193795</v>
      </c>
      <c r="E15" s="126"/>
      <c r="F15" s="182">
        <v>82902.594485195397</v>
      </c>
      <c r="G15" s="126"/>
      <c r="H15" s="182">
        <v>6577.2300481927996</v>
      </c>
      <c r="I15" s="182">
        <v>10.265960812699999</v>
      </c>
      <c r="J15" s="126"/>
      <c r="K15" s="182">
        <v>26315.856603119501</v>
      </c>
      <c r="L15" s="182">
        <v>39.152688003900003</v>
      </c>
      <c r="M15" s="126"/>
      <c r="N15" s="182">
        <v>52789.549712371001</v>
      </c>
      <c r="O15" s="182">
        <v>76.112067951499995</v>
      </c>
      <c r="P15" s="126"/>
      <c r="Q15" s="182">
        <v>1731.4214307899999</v>
      </c>
      <c r="R15" s="182">
        <v>2.7028291389999999</v>
      </c>
    </row>
    <row r="16" spans="2:18" s="3" customFormat="1" ht="12.95" customHeight="1" x14ac:dyDescent="0.2">
      <c r="B16" s="20" t="s">
        <v>11</v>
      </c>
      <c r="C16" s="50"/>
      <c r="D16" s="182">
        <v>74633.432302743895</v>
      </c>
      <c r="E16" s="126"/>
      <c r="F16" s="182">
        <v>78673.635107417402</v>
      </c>
      <c r="G16" s="126"/>
      <c r="H16" s="182">
        <v>6478.6250774279997</v>
      </c>
      <c r="I16" s="182">
        <v>9.6392740885000006</v>
      </c>
      <c r="J16" s="126"/>
      <c r="K16" s="182">
        <v>19165.549381757799</v>
      </c>
      <c r="L16" s="182">
        <v>27.922206853399999</v>
      </c>
      <c r="M16" s="126"/>
      <c r="N16" s="182">
        <v>55158.1973069698</v>
      </c>
      <c r="O16" s="182">
        <v>76.983679567199999</v>
      </c>
      <c r="P16" s="126"/>
      <c r="Q16" s="182">
        <v>3070.0062136755</v>
      </c>
      <c r="R16" s="182">
        <v>4.5284730108</v>
      </c>
    </row>
    <row r="17" spans="2:20" s="3" customFormat="1" ht="12.95" customHeight="1" x14ac:dyDescent="0.2">
      <c r="B17" s="20" t="s">
        <v>12</v>
      </c>
      <c r="C17" s="50"/>
      <c r="D17" s="182">
        <v>180561.17433691601</v>
      </c>
      <c r="E17" s="126"/>
      <c r="F17" s="182">
        <v>180279.07441625901</v>
      </c>
      <c r="G17" s="126"/>
      <c r="H17" s="182">
        <v>18292.430755985999</v>
      </c>
      <c r="I17" s="182">
        <v>11.115952849899999</v>
      </c>
      <c r="J17" s="126"/>
      <c r="K17" s="182">
        <v>110223.514352538</v>
      </c>
      <c r="L17" s="182">
        <v>64.145475015100004</v>
      </c>
      <c r="M17" s="126"/>
      <c r="N17" s="182">
        <v>66298.272753537807</v>
      </c>
      <c r="O17" s="182">
        <v>39.284333419699998</v>
      </c>
      <c r="P17" s="126"/>
      <c r="Q17" s="182">
        <v>2083.5606832131002</v>
      </c>
      <c r="R17" s="182">
        <v>1.2742912639999999</v>
      </c>
    </row>
    <row r="18" spans="2:20" s="3" customFormat="1" ht="12.95" customHeight="1" x14ac:dyDescent="0.2">
      <c r="B18" s="20" t="s">
        <v>13</v>
      </c>
      <c r="C18" s="50"/>
      <c r="D18" s="182">
        <v>45287.0786967151</v>
      </c>
      <c r="E18" s="126"/>
      <c r="F18" s="182">
        <v>46907.945586551898</v>
      </c>
      <c r="G18" s="126"/>
      <c r="H18" s="182">
        <v>8135.6865126205003</v>
      </c>
      <c r="I18" s="182">
        <v>19.930365126600002</v>
      </c>
      <c r="J18" s="126"/>
      <c r="K18" s="182">
        <v>24669.846620360498</v>
      </c>
      <c r="L18" s="182">
        <v>58.924054707499998</v>
      </c>
      <c r="M18" s="126"/>
      <c r="N18" s="182">
        <v>17109.738813317701</v>
      </c>
      <c r="O18" s="182">
        <v>40.232252367199997</v>
      </c>
      <c r="P18" s="126"/>
      <c r="Q18" s="182">
        <v>1482.1240381484999</v>
      </c>
      <c r="R18" s="182">
        <v>3.6852601292</v>
      </c>
    </row>
    <row r="19" spans="2:20" s="4" customFormat="1" ht="12.95" customHeight="1" x14ac:dyDescent="0.2">
      <c r="B19" s="20" t="s">
        <v>14</v>
      </c>
      <c r="C19" s="50"/>
      <c r="D19" s="182">
        <v>441257.14157413598</v>
      </c>
      <c r="E19" s="126"/>
      <c r="F19" s="182">
        <v>463035.03933039203</v>
      </c>
      <c r="G19" s="126"/>
      <c r="H19" s="182">
        <v>24058.7943424816</v>
      </c>
      <c r="I19" s="182">
        <v>5.9668129552</v>
      </c>
      <c r="J19" s="126"/>
      <c r="K19" s="182">
        <v>70163.506962900297</v>
      </c>
      <c r="L19" s="182">
        <v>17.3887203719</v>
      </c>
      <c r="M19" s="126"/>
      <c r="N19" s="182">
        <v>383603.36245889397</v>
      </c>
      <c r="O19" s="182">
        <v>89.484200632099999</v>
      </c>
      <c r="P19" s="126"/>
      <c r="Q19" s="182">
        <v>7731.0909813124999</v>
      </c>
      <c r="R19" s="182">
        <v>1.9406683532</v>
      </c>
      <c r="S19" s="3"/>
      <c r="T19" s="3"/>
    </row>
    <row r="20" spans="2:20" s="4" customFormat="1" ht="12.95" customHeight="1" x14ac:dyDescent="0.2">
      <c r="B20" s="20" t="s">
        <v>15</v>
      </c>
      <c r="C20" s="50"/>
      <c r="D20" s="182">
        <v>199321.36564017899</v>
      </c>
      <c r="E20" s="126"/>
      <c r="F20" s="182">
        <v>202472.52623911001</v>
      </c>
      <c r="G20" s="126"/>
      <c r="H20" s="182">
        <v>29854.302594435001</v>
      </c>
      <c r="I20" s="182">
        <v>16.206933450600001</v>
      </c>
      <c r="J20" s="126"/>
      <c r="K20" s="182">
        <v>117404.353337967</v>
      </c>
      <c r="L20" s="182">
        <v>63.214226866099999</v>
      </c>
      <c r="M20" s="126"/>
      <c r="N20" s="182">
        <v>70397.693918411795</v>
      </c>
      <c r="O20" s="182">
        <v>37.653525463199998</v>
      </c>
      <c r="P20" s="126"/>
      <c r="Q20" s="182">
        <v>5898.0056376380999</v>
      </c>
      <c r="R20" s="182">
        <v>3.2602688609000001</v>
      </c>
      <c r="S20" s="3"/>
      <c r="T20" s="3"/>
    </row>
    <row r="21" spans="2:20" s="4" customFormat="1" ht="12.95" customHeight="1" x14ac:dyDescent="0.2">
      <c r="B21" s="20" t="s">
        <v>16</v>
      </c>
      <c r="C21" s="50"/>
      <c r="D21" s="182">
        <v>823428.07310098899</v>
      </c>
      <c r="E21" s="108"/>
      <c r="F21" s="184">
        <v>851133.89360568696</v>
      </c>
      <c r="G21" s="108"/>
      <c r="H21" s="182">
        <v>69840.396811513696</v>
      </c>
      <c r="I21" s="184">
        <v>9.1693959691</v>
      </c>
      <c r="J21" s="108"/>
      <c r="K21" s="182">
        <v>540954.98093539197</v>
      </c>
      <c r="L21" s="184">
        <v>68.574586718099994</v>
      </c>
      <c r="M21" s="108"/>
      <c r="N21" s="184">
        <v>266426.292095182</v>
      </c>
      <c r="O21" s="184">
        <v>34.380387957499998</v>
      </c>
      <c r="P21" s="108"/>
      <c r="Q21" s="184">
        <v>42856.759898532997</v>
      </c>
      <c r="R21" s="184">
        <v>5.6223080532000003</v>
      </c>
      <c r="S21" s="3"/>
      <c r="T21" s="3"/>
    </row>
    <row r="22" spans="2:20" s="4" customFormat="1" ht="12.95" customHeight="1" x14ac:dyDescent="0.2">
      <c r="B22" s="20" t="s">
        <v>17</v>
      </c>
      <c r="C22" s="50"/>
      <c r="D22" s="182">
        <v>107772.37516706499</v>
      </c>
      <c r="E22" s="108"/>
      <c r="F22" s="184">
        <v>112682.276720105</v>
      </c>
      <c r="G22" s="108"/>
      <c r="H22" s="182">
        <v>13099.4112030012</v>
      </c>
      <c r="I22" s="184">
        <v>13.1356507024</v>
      </c>
      <c r="J22" s="108"/>
      <c r="K22" s="182">
        <v>41287.878645565201</v>
      </c>
      <c r="L22" s="184">
        <v>40.998287888599997</v>
      </c>
      <c r="M22" s="108"/>
      <c r="N22" s="184">
        <v>63817.393809542496</v>
      </c>
      <c r="O22" s="184">
        <v>62.504866820099998</v>
      </c>
      <c r="P22" s="108"/>
      <c r="Q22" s="184">
        <v>4612.0708382036</v>
      </c>
      <c r="R22" s="184">
        <v>4.6754423885999996</v>
      </c>
      <c r="S22" s="3"/>
      <c r="T22" s="3"/>
    </row>
    <row r="23" spans="2:20" s="4" customFormat="1" ht="12.95" customHeight="1" x14ac:dyDescent="0.2">
      <c r="B23" s="20" t="s">
        <v>18</v>
      </c>
      <c r="C23" s="50"/>
      <c r="D23" s="182">
        <v>359273.83040690102</v>
      </c>
      <c r="E23" s="108"/>
      <c r="F23" s="184">
        <v>398962.36974904803</v>
      </c>
      <c r="G23" s="108"/>
      <c r="H23" s="182">
        <v>24068.0707275001</v>
      </c>
      <c r="I23" s="184">
        <v>7.3108544651000003</v>
      </c>
      <c r="J23" s="108"/>
      <c r="K23" s="182">
        <v>184000.15883670899</v>
      </c>
      <c r="L23" s="184">
        <v>54.893076553999997</v>
      </c>
      <c r="M23" s="108"/>
      <c r="N23" s="184">
        <v>190472.393898215</v>
      </c>
      <c r="O23" s="184">
        <v>55.4364251517</v>
      </c>
      <c r="P23" s="108"/>
      <c r="Q23" s="184">
        <v>32537.0817112962</v>
      </c>
      <c r="R23" s="184">
        <v>9.7479538345000005</v>
      </c>
      <c r="S23" s="3"/>
      <c r="T23" s="3"/>
    </row>
    <row r="24" spans="2:20" s="4" customFormat="1" ht="12.95" customHeight="1" x14ac:dyDescent="0.2">
      <c r="B24" s="20" t="s">
        <v>19</v>
      </c>
      <c r="C24" s="50"/>
      <c r="D24" s="182">
        <v>330046.87293012999</v>
      </c>
      <c r="E24" s="108"/>
      <c r="F24" s="184">
        <v>357756.382395002</v>
      </c>
      <c r="G24" s="108"/>
      <c r="H24" s="182">
        <v>25995.559638263199</v>
      </c>
      <c r="I24" s="184">
        <v>8.5807345158999997</v>
      </c>
      <c r="J24" s="108"/>
      <c r="K24" s="182">
        <v>40647.459377652798</v>
      </c>
      <c r="L24" s="184">
        <v>13.2076522591</v>
      </c>
      <c r="M24" s="108"/>
      <c r="N24" s="184">
        <v>303030.91863158502</v>
      </c>
      <c r="O24" s="184">
        <v>94.607326457200003</v>
      </c>
      <c r="P24" s="108"/>
      <c r="Q24" s="184">
        <v>3660.6310576755</v>
      </c>
      <c r="R24" s="184">
        <v>1.1990209623999999</v>
      </c>
      <c r="S24" s="3"/>
      <c r="T24" s="3"/>
    </row>
    <row r="25" spans="2:20" s="4" customFormat="1" ht="12.95" customHeight="1" x14ac:dyDescent="0.2">
      <c r="B25" s="20" t="s">
        <v>20</v>
      </c>
      <c r="C25" s="50"/>
      <c r="D25" s="182">
        <v>156275.93490132299</v>
      </c>
      <c r="E25" s="108"/>
      <c r="F25" s="184">
        <v>167668.84619386599</v>
      </c>
      <c r="G25" s="108"/>
      <c r="H25" s="182">
        <v>14715.465601984901</v>
      </c>
      <c r="I25" s="184">
        <v>10.3733091779</v>
      </c>
      <c r="J25" s="108"/>
      <c r="K25" s="182">
        <v>31364.750653945099</v>
      </c>
      <c r="L25" s="184">
        <v>22.289461192099999</v>
      </c>
      <c r="M25" s="108"/>
      <c r="N25" s="184">
        <v>132173.33460172199</v>
      </c>
      <c r="O25" s="184">
        <v>87.912335168699997</v>
      </c>
      <c r="P25" s="108"/>
      <c r="Q25" s="184">
        <v>3600.7057238368998</v>
      </c>
      <c r="R25" s="184">
        <v>2.5484652428999999</v>
      </c>
      <c r="S25" s="3"/>
      <c r="T25" s="3"/>
    </row>
    <row r="26" spans="2:20" s="4" customFormat="1" ht="12.95" customHeight="1" x14ac:dyDescent="0.2">
      <c r="B26" s="20" t="s">
        <v>21</v>
      </c>
      <c r="C26" s="50"/>
      <c r="D26" s="182">
        <v>466295.79751286499</v>
      </c>
      <c r="E26" s="108"/>
      <c r="F26" s="184">
        <v>480644.33716301899</v>
      </c>
      <c r="G26" s="108"/>
      <c r="H26" s="182">
        <v>62309.932596024999</v>
      </c>
      <c r="I26" s="184">
        <v>14.5464348594</v>
      </c>
      <c r="J26" s="108"/>
      <c r="K26" s="182">
        <v>220968.96632000001</v>
      </c>
      <c r="L26" s="184">
        <v>50.591475090599999</v>
      </c>
      <c r="M26" s="108"/>
      <c r="N26" s="184">
        <v>225542.41659566999</v>
      </c>
      <c r="O26" s="184">
        <v>51.3033267741</v>
      </c>
      <c r="P26" s="108"/>
      <c r="Q26" s="184">
        <v>23545.504789263901</v>
      </c>
      <c r="R26" s="184">
        <v>5.4862275280999997</v>
      </c>
      <c r="S26" s="3"/>
      <c r="T26" s="3"/>
    </row>
    <row r="27" spans="2:20" s="4" customFormat="1" ht="12.95" customHeight="1" x14ac:dyDescent="0.2">
      <c r="B27" s="20" t="s">
        <v>22</v>
      </c>
      <c r="C27" s="50"/>
      <c r="D27" s="182">
        <v>976820.18425278296</v>
      </c>
      <c r="E27" s="108"/>
      <c r="F27" s="184">
        <v>1061567.3463246599</v>
      </c>
      <c r="G27" s="108"/>
      <c r="H27" s="182">
        <v>86197.540621354303</v>
      </c>
      <c r="I27" s="184">
        <v>9.6272673293000004</v>
      </c>
      <c r="J27" s="108"/>
      <c r="K27" s="182">
        <v>336805.67881734</v>
      </c>
      <c r="L27" s="184">
        <v>37.379941319099999</v>
      </c>
      <c r="M27" s="108"/>
      <c r="N27" s="184">
        <v>708015.81820428197</v>
      </c>
      <c r="O27" s="184">
        <v>76.366624925400004</v>
      </c>
      <c r="P27" s="108"/>
      <c r="Q27" s="184">
        <v>23704.3158609073</v>
      </c>
      <c r="R27" s="184">
        <v>2.6782715156000001</v>
      </c>
      <c r="S27" s="3"/>
      <c r="T27" s="3"/>
    </row>
    <row r="28" spans="2:20" s="4" customFormat="1" ht="12.95" customHeight="1" x14ac:dyDescent="0.2">
      <c r="B28" s="20" t="s">
        <v>23</v>
      </c>
      <c r="C28" s="50"/>
      <c r="D28" s="182">
        <v>286110.90895603399</v>
      </c>
      <c r="E28" s="108"/>
      <c r="F28" s="184">
        <v>299429.25214963697</v>
      </c>
      <c r="G28" s="108"/>
      <c r="H28" s="182">
        <v>35958.459597624998</v>
      </c>
      <c r="I28" s="184">
        <v>13.735070738599999</v>
      </c>
      <c r="J28" s="108"/>
      <c r="K28" s="182">
        <v>102768.20597459</v>
      </c>
      <c r="L28" s="184">
        <v>38.2794979321</v>
      </c>
      <c r="M28" s="108"/>
      <c r="N28" s="184">
        <v>177782.28788410599</v>
      </c>
      <c r="O28" s="184">
        <v>66.594885864399998</v>
      </c>
      <c r="P28" s="108"/>
      <c r="Q28" s="184">
        <v>7337.8684373147998</v>
      </c>
      <c r="R28" s="184">
        <v>2.8439076872000002</v>
      </c>
      <c r="S28" s="3"/>
      <c r="T28" s="3"/>
    </row>
    <row r="29" spans="2:20" s="4" customFormat="1" ht="12.95" customHeight="1" x14ac:dyDescent="0.2">
      <c r="B29" s="20" t="s">
        <v>24</v>
      </c>
      <c r="C29" s="50"/>
      <c r="D29" s="182">
        <v>119148.571867526</v>
      </c>
      <c r="E29" s="108"/>
      <c r="F29" s="184">
        <v>125959.07494016099</v>
      </c>
      <c r="G29" s="108"/>
      <c r="H29" s="182">
        <v>10439.403726557101</v>
      </c>
      <c r="I29" s="184">
        <v>9.5285326367999996</v>
      </c>
      <c r="J29" s="108"/>
      <c r="K29" s="182">
        <v>32853.862521846502</v>
      </c>
      <c r="L29" s="184">
        <v>29.474036594899999</v>
      </c>
      <c r="M29" s="108"/>
      <c r="N29" s="184">
        <v>88707.3719187674</v>
      </c>
      <c r="O29" s="184">
        <v>77.898917352699996</v>
      </c>
      <c r="P29" s="108"/>
      <c r="Q29" s="184">
        <v>4179.4190242187997</v>
      </c>
      <c r="R29" s="184">
        <v>3.8062157326000001</v>
      </c>
      <c r="S29" s="3"/>
      <c r="T29" s="3"/>
    </row>
    <row r="30" spans="2:20" s="4" customFormat="1" ht="12.95" customHeight="1" x14ac:dyDescent="0.2">
      <c r="B30" s="20" t="s">
        <v>25</v>
      </c>
      <c r="C30" s="50"/>
      <c r="D30" s="182">
        <v>90141.645843870094</v>
      </c>
      <c r="E30" s="108"/>
      <c r="F30" s="184">
        <v>94324.904075202896</v>
      </c>
      <c r="G30" s="108"/>
      <c r="H30" s="182">
        <v>8838.0395374386007</v>
      </c>
      <c r="I30" s="184">
        <v>10.910335120099999</v>
      </c>
      <c r="J30" s="108"/>
      <c r="K30" s="182">
        <v>33667.649550426999</v>
      </c>
      <c r="L30" s="184">
        <v>39.733821602600003</v>
      </c>
      <c r="M30" s="108"/>
      <c r="N30" s="184">
        <v>55964.7330033588</v>
      </c>
      <c r="O30" s="184">
        <v>65.063901039699999</v>
      </c>
      <c r="P30" s="108"/>
      <c r="Q30" s="184">
        <v>2638.9566648445998</v>
      </c>
      <c r="R30" s="184">
        <v>3.2279362926999999</v>
      </c>
      <c r="S30" s="3"/>
      <c r="T30" s="3"/>
    </row>
    <row r="31" spans="2:20" s="4" customFormat="1" ht="12.95" customHeight="1" x14ac:dyDescent="0.2">
      <c r="B31" s="20" t="s">
        <v>26</v>
      </c>
      <c r="C31" s="50"/>
      <c r="D31" s="182">
        <v>226939.61058557301</v>
      </c>
      <c r="E31" s="108"/>
      <c r="F31" s="184">
        <v>221464.597603084</v>
      </c>
      <c r="G31" s="108"/>
      <c r="H31" s="182">
        <v>24257.003500324201</v>
      </c>
      <c r="I31" s="184">
        <v>12.027482132999999</v>
      </c>
      <c r="J31" s="108"/>
      <c r="K31" s="182">
        <v>154575.80196809501</v>
      </c>
      <c r="L31" s="184">
        <v>73.403480982000005</v>
      </c>
      <c r="M31" s="108"/>
      <c r="N31" s="184">
        <v>65350.382212800301</v>
      </c>
      <c r="O31" s="184">
        <v>31.5978504624</v>
      </c>
      <c r="P31" s="108"/>
      <c r="Q31" s="184">
        <v>1838.1732707312999</v>
      </c>
      <c r="R31" s="184">
        <v>0.93092705070000004</v>
      </c>
      <c r="S31" s="3"/>
      <c r="T31" s="3"/>
    </row>
    <row r="32" spans="2:20" s="4" customFormat="1" ht="12.95" customHeight="1" x14ac:dyDescent="0.2">
      <c r="B32" s="20" t="s">
        <v>27</v>
      </c>
      <c r="C32" s="50"/>
      <c r="D32" s="182">
        <v>327994.72163371101</v>
      </c>
      <c r="E32" s="108"/>
      <c r="F32" s="184">
        <v>348510.86440878798</v>
      </c>
      <c r="G32" s="108"/>
      <c r="H32" s="182">
        <v>28979.885921527701</v>
      </c>
      <c r="I32" s="184">
        <v>9.5484638849000003</v>
      </c>
      <c r="J32" s="108"/>
      <c r="K32" s="182">
        <v>35542.001597615403</v>
      </c>
      <c r="L32" s="184">
        <v>12.011388428</v>
      </c>
      <c r="M32" s="108"/>
      <c r="N32" s="184">
        <v>294449.30782390799</v>
      </c>
      <c r="O32" s="184">
        <v>93.450137181000002</v>
      </c>
      <c r="P32" s="108"/>
      <c r="Q32" s="184">
        <v>7787.1586270285998</v>
      </c>
      <c r="R32" s="184">
        <v>2.6675993662000002</v>
      </c>
      <c r="S32" s="3"/>
      <c r="T32" s="3"/>
    </row>
    <row r="33" spans="1:25" s="4" customFormat="1" ht="12.95" customHeight="1" x14ac:dyDescent="0.2">
      <c r="B33" s="20" t="s">
        <v>28</v>
      </c>
      <c r="C33" s="50"/>
      <c r="D33" s="182">
        <v>471320.98579844</v>
      </c>
      <c r="E33" s="108"/>
      <c r="F33" s="184">
        <v>516794.24187512801</v>
      </c>
      <c r="G33" s="108"/>
      <c r="H33" s="182">
        <v>34351.158216667303</v>
      </c>
      <c r="I33" s="184">
        <v>8.0300546290000003</v>
      </c>
      <c r="J33" s="108"/>
      <c r="K33" s="182">
        <v>121682.381127261</v>
      </c>
      <c r="L33" s="184">
        <v>28.145698901500001</v>
      </c>
      <c r="M33" s="108"/>
      <c r="N33" s="184">
        <v>375175.71371376002</v>
      </c>
      <c r="O33" s="184">
        <v>83.189188199399993</v>
      </c>
      <c r="P33" s="108"/>
      <c r="Q33" s="184">
        <v>21823.994197538701</v>
      </c>
      <c r="R33" s="184">
        <v>5.0855590687000003</v>
      </c>
      <c r="S33" s="3"/>
      <c r="T33" s="3"/>
    </row>
    <row r="34" spans="1:25" s="4" customFormat="1" ht="12.95" customHeight="1" x14ac:dyDescent="0.2">
      <c r="B34" s="20" t="s">
        <v>29</v>
      </c>
      <c r="C34" s="50"/>
      <c r="D34" s="182">
        <v>159334.32185587101</v>
      </c>
      <c r="E34" s="108"/>
      <c r="F34" s="184">
        <v>171449.69664420601</v>
      </c>
      <c r="G34" s="108"/>
      <c r="H34" s="182">
        <v>10176.332160775601</v>
      </c>
      <c r="I34" s="184">
        <v>7.0679342629999997</v>
      </c>
      <c r="J34" s="108"/>
      <c r="K34" s="182">
        <v>66155.066875923003</v>
      </c>
      <c r="L34" s="184">
        <v>45.571859117999999</v>
      </c>
      <c r="M34" s="108"/>
      <c r="N34" s="184">
        <v>99926.988497976999</v>
      </c>
      <c r="O34" s="184">
        <v>67.987802603199995</v>
      </c>
      <c r="P34" s="108"/>
      <c r="Q34" s="184">
        <v>12043.4370121828</v>
      </c>
      <c r="R34" s="184">
        <v>8.3385655840999995</v>
      </c>
      <c r="S34" s="3"/>
      <c r="T34" s="3"/>
    </row>
    <row r="35" spans="1:25" s="4" customFormat="1" ht="12.95" customHeight="1" x14ac:dyDescent="0.2">
      <c r="B35" s="20" t="s">
        <v>30</v>
      </c>
      <c r="C35" s="50"/>
      <c r="D35" s="182">
        <v>153397.24604731699</v>
      </c>
      <c r="E35" s="108"/>
      <c r="F35" s="184">
        <v>165298.186886715</v>
      </c>
      <c r="G35" s="108"/>
      <c r="H35" s="182">
        <v>11116.6575584974</v>
      </c>
      <c r="I35" s="184">
        <v>7.9969750138000002</v>
      </c>
      <c r="J35" s="108"/>
      <c r="K35" s="182">
        <v>89797.065910144607</v>
      </c>
      <c r="L35" s="184">
        <v>61.276603783799999</v>
      </c>
      <c r="M35" s="108"/>
      <c r="N35" s="184">
        <v>73919.240994630105</v>
      </c>
      <c r="O35" s="184">
        <v>52.296052426599999</v>
      </c>
      <c r="P35" s="108"/>
      <c r="Q35" s="184">
        <v>2743.1517244611</v>
      </c>
      <c r="R35" s="184">
        <v>1.9934104604</v>
      </c>
      <c r="S35" s="3"/>
      <c r="T35" s="3"/>
    </row>
    <row r="36" spans="1:25" s="4" customFormat="1" ht="12.95" customHeight="1" x14ac:dyDescent="0.2">
      <c r="B36" s="20" t="s">
        <v>31</v>
      </c>
      <c r="C36" s="50"/>
      <c r="D36" s="182">
        <v>138000.672613462</v>
      </c>
      <c r="E36" s="108"/>
      <c r="F36" s="184">
        <v>147942.16468536001</v>
      </c>
      <c r="G36" s="108"/>
      <c r="H36" s="182">
        <v>16519.735048226699</v>
      </c>
      <c r="I36" s="184">
        <v>12.9714249631</v>
      </c>
      <c r="J36" s="108"/>
      <c r="K36" s="182">
        <v>74526.38248118</v>
      </c>
      <c r="L36" s="184">
        <v>58.113007726600003</v>
      </c>
      <c r="M36" s="108"/>
      <c r="N36" s="184">
        <v>68062.058680913993</v>
      </c>
      <c r="O36" s="184">
        <v>53.1888150379</v>
      </c>
      <c r="P36" s="108"/>
      <c r="Q36" s="184">
        <v>2161.2361418065002</v>
      </c>
      <c r="R36" s="184">
        <v>1.7518104809999999</v>
      </c>
      <c r="S36" s="3"/>
      <c r="T36" s="3"/>
    </row>
    <row r="37" spans="1:25" s="4" customFormat="1" ht="12.95" customHeight="1" x14ac:dyDescent="0.2">
      <c r="B37" s="20" t="s">
        <v>32</v>
      </c>
      <c r="C37" s="50"/>
      <c r="D37" s="182">
        <v>237878.63918363</v>
      </c>
      <c r="E37" s="108"/>
      <c r="F37" s="184">
        <v>252632.513247572</v>
      </c>
      <c r="G37" s="108"/>
      <c r="H37" s="182">
        <v>24713.148560374699</v>
      </c>
      <c r="I37" s="184">
        <v>11.063884029600001</v>
      </c>
      <c r="J37" s="108"/>
      <c r="K37" s="182">
        <v>140722.452387706</v>
      </c>
      <c r="L37" s="184">
        <v>61.350441286200002</v>
      </c>
      <c r="M37" s="108"/>
      <c r="N37" s="184">
        <v>99343.552126974697</v>
      </c>
      <c r="O37" s="184">
        <v>44.215150226299997</v>
      </c>
      <c r="P37" s="108"/>
      <c r="Q37" s="184">
        <v>7560.0570578843999</v>
      </c>
      <c r="R37" s="184">
        <v>3.3982576140999998</v>
      </c>
      <c r="S37" s="3"/>
      <c r="T37" s="3"/>
    </row>
    <row r="38" spans="1:25" s="4" customFormat="1" ht="12.95" customHeight="1" x14ac:dyDescent="0.2">
      <c r="B38" s="20" t="s">
        <v>33</v>
      </c>
      <c r="C38" s="50"/>
      <c r="D38" s="182">
        <v>240263.95756182101</v>
      </c>
      <c r="E38" s="108"/>
      <c r="F38" s="184">
        <v>257364.287998018</v>
      </c>
      <c r="G38" s="108"/>
      <c r="H38" s="182">
        <v>23203.262215156199</v>
      </c>
      <c r="I38" s="184">
        <v>10.326429468300001</v>
      </c>
      <c r="J38" s="108"/>
      <c r="K38" s="182">
        <v>124955.058316852</v>
      </c>
      <c r="L38" s="184">
        <v>55.002258982299999</v>
      </c>
      <c r="M38" s="108"/>
      <c r="N38" s="184">
        <v>117381.87061455</v>
      </c>
      <c r="O38" s="184">
        <v>51.231240189799998</v>
      </c>
      <c r="P38" s="108"/>
      <c r="Q38" s="184">
        <v>9585.9207860571005</v>
      </c>
      <c r="R38" s="184">
        <v>4.2754183139000004</v>
      </c>
      <c r="S38" s="3"/>
      <c r="T38" s="3"/>
    </row>
    <row r="39" spans="1:25" s="4" customFormat="1" ht="12.95" customHeight="1" x14ac:dyDescent="0.2">
      <c r="B39" s="20" t="s">
        <v>34</v>
      </c>
      <c r="C39" s="50"/>
      <c r="D39" s="182">
        <v>213769.53497456299</v>
      </c>
      <c r="E39" s="108"/>
      <c r="F39" s="184">
        <v>229225.60082182201</v>
      </c>
      <c r="G39" s="108"/>
      <c r="H39" s="182">
        <v>15367.340603750999</v>
      </c>
      <c r="I39" s="184">
        <v>7.9403877102999996</v>
      </c>
      <c r="J39" s="108"/>
      <c r="K39" s="182">
        <v>45673.479150917497</v>
      </c>
      <c r="L39" s="184">
        <v>22.7506422206</v>
      </c>
      <c r="M39" s="108"/>
      <c r="N39" s="184">
        <v>177717.92231622001</v>
      </c>
      <c r="O39" s="184">
        <v>87.349771190499993</v>
      </c>
      <c r="P39" s="108"/>
      <c r="Q39" s="184">
        <v>690.30679663429999</v>
      </c>
      <c r="R39" s="184">
        <v>0.35869306849999999</v>
      </c>
      <c r="S39" s="3"/>
      <c r="T39" s="3"/>
    </row>
    <row r="40" spans="1:25" s="4" customFormat="1" ht="12.95" customHeight="1" x14ac:dyDescent="0.2">
      <c r="B40" s="20" t="s">
        <v>35</v>
      </c>
      <c r="C40" s="50"/>
      <c r="D40" s="182">
        <v>186297.25191040701</v>
      </c>
      <c r="E40" s="108"/>
      <c r="F40" s="184">
        <v>187974.577617498</v>
      </c>
      <c r="G40" s="108"/>
      <c r="H40" s="182">
        <v>21148.064267419199</v>
      </c>
      <c r="I40" s="184">
        <v>12.4658243106</v>
      </c>
      <c r="J40" s="108"/>
      <c r="K40" s="182">
        <v>98729.732821377504</v>
      </c>
      <c r="L40" s="184">
        <v>56.809761813900003</v>
      </c>
      <c r="M40" s="108"/>
      <c r="N40" s="184">
        <v>84167.284893967997</v>
      </c>
      <c r="O40" s="184">
        <v>48.639825963900002</v>
      </c>
      <c r="P40" s="108"/>
      <c r="Q40" s="184">
        <v>3765.0014561185999</v>
      </c>
      <c r="R40" s="184">
        <v>2.2640640308000002</v>
      </c>
      <c r="S40" s="3"/>
      <c r="T40" s="3"/>
    </row>
    <row r="41" spans="1:25" s="4" customFormat="1" ht="12.95" customHeight="1" x14ac:dyDescent="0.2">
      <c r="B41" s="20" t="s">
        <v>36</v>
      </c>
      <c r="C41" s="50"/>
      <c r="D41" s="182">
        <v>102728.618919688</v>
      </c>
      <c r="E41" s="108"/>
      <c r="F41" s="184">
        <v>115594.61271836</v>
      </c>
      <c r="G41" s="108"/>
      <c r="H41" s="182">
        <v>8236.8058674213007</v>
      </c>
      <c r="I41" s="184">
        <v>8.6805888735999996</v>
      </c>
      <c r="J41" s="108"/>
      <c r="K41" s="182">
        <v>13228.176565685901</v>
      </c>
      <c r="L41" s="184">
        <v>14.0149867499</v>
      </c>
      <c r="M41" s="108"/>
      <c r="N41" s="184">
        <v>99306.354366180996</v>
      </c>
      <c r="O41" s="184">
        <v>100.3300517237</v>
      </c>
      <c r="P41" s="108"/>
      <c r="Q41" s="184">
        <v>0</v>
      </c>
      <c r="R41" s="184">
        <v>0</v>
      </c>
      <c r="S41" s="3"/>
      <c r="T41" s="3"/>
    </row>
    <row r="42" spans="1:25" s="4" customFormat="1" ht="12.95" customHeight="1" x14ac:dyDescent="0.2">
      <c r="B42" s="20" t="s">
        <v>37</v>
      </c>
      <c r="C42" s="50"/>
      <c r="D42" s="182">
        <v>588705.68651236198</v>
      </c>
      <c r="E42" s="108"/>
      <c r="F42" s="184">
        <v>603423.29301274801</v>
      </c>
      <c r="G42" s="108"/>
      <c r="H42" s="182">
        <v>57034.753490699499</v>
      </c>
      <c r="I42" s="184">
        <v>10.5748927242</v>
      </c>
      <c r="J42" s="108"/>
      <c r="K42" s="182">
        <v>120647.20281411</v>
      </c>
      <c r="L42" s="184">
        <v>22.041109007500001</v>
      </c>
      <c r="M42" s="108"/>
      <c r="N42" s="184">
        <v>454494.86700169102</v>
      </c>
      <c r="O42" s="184">
        <v>80.442099686099994</v>
      </c>
      <c r="P42" s="108"/>
      <c r="Q42" s="184">
        <v>15057.978579689499</v>
      </c>
      <c r="R42" s="184">
        <v>2.7656442059000002</v>
      </c>
      <c r="S42" s="3"/>
      <c r="T42" s="3"/>
    </row>
    <row r="43" spans="1:25" s="4" customFormat="1" ht="12.95" customHeight="1" x14ac:dyDescent="0.2">
      <c r="B43" s="20" t="s">
        <v>38</v>
      </c>
      <c r="C43" s="51"/>
      <c r="D43" s="184">
        <v>177546.87347442799</v>
      </c>
      <c r="E43" s="108"/>
      <c r="F43" s="184">
        <v>192368.30890492699</v>
      </c>
      <c r="G43" s="108"/>
      <c r="H43" s="184">
        <v>16084.784441965699</v>
      </c>
      <c r="I43" s="184">
        <v>9.8091327502999999</v>
      </c>
      <c r="J43" s="108"/>
      <c r="K43" s="184">
        <v>70577.577955062297</v>
      </c>
      <c r="L43" s="184">
        <v>42.349177491500001</v>
      </c>
      <c r="M43" s="108"/>
      <c r="N43" s="184">
        <v>115772.914807243</v>
      </c>
      <c r="O43" s="184">
        <v>68.822763139599999</v>
      </c>
      <c r="P43" s="108"/>
      <c r="Q43" s="184">
        <v>3629.7218422829001</v>
      </c>
      <c r="R43" s="184">
        <v>2.2215899173999998</v>
      </c>
    </row>
    <row r="44" spans="1:25" s="4" customFormat="1" ht="12.95" customHeight="1" x14ac:dyDescent="0.2">
      <c r="B44" s="20" t="s">
        <v>39</v>
      </c>
      <c r="C44" s="51"/>
      <c r="D44" s="184">
        <v>71297.9558505311</v>
      </c>
      <c r="E44" s="108"/>
      <c r="F44" s="184">
        <v>74178.5524656052</v>
      </c>
      <c r="G44" s="108"/>
      <c r="H44" s="184">
        <v>8043.7777059456002</v>
      </c>
      <c r="I44" s="184">
        <v>12.5482459658</v>
      </c>
      <c r="J44" s="108"/>
      <c r="K44" s="184">
        <v>20469.833102723402</v>
      </c>
      <c r="L44" s="184">
        <v>31.090694686700001</v>
      </c>
      <c r="M44" s="108"/>
      <c r="N44" s="184">
        <v>50326.977180842099</v>
      </c>
      <c r="O44" s="184">
        <v>73.947525826900005</v>
      </c>
      <c r="P44" s="108"/>
      <c r="Q44" s="184">
        <v>2392.1715509556002</v>
      </c>
      <c r="R44" s="184">
        <v>3.7399487573000001</v>
      </c>
    </row>
    <row r="45" spans="1:25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  <c r="S45" s="1"/>
      <c r="T45" s="1"/>
    </row>
    <row r="46" spans="1:25" s="2" customFormat="1" ht="6" customHeight="1" x14ac:dyDescent="0.25">
      <c r="A46" s="63"/>
      <c r="B46" s="9"/>
      <c r="C46" s="44"/>
      <c r="D46" s="9"/>
      <c r="E46" s="44"/>
      <c r="F46" s="44"/>
      <c r="G46" s="44"/>
      <c r="H46" s="44"/>
      <c r="I46" s="44"/>
      <c r="J46" s="44"/>
      <c r="K46" s="45"/>
      <c r="L46" s="44"/>
      <c r="M46" s="28"/>
      <c r="N46" s="28"/>
      <c r="O46" s="28"/>
      <c r="P46" s="28"/>
      <c r="Q46" s="31"/>
      <c r="R46" s="31"/>
      <c r="S46" s="1"/>
      <c r="T46" s="1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2" customFormat="1" ht="12" customHeight="1" x14ac:dyDescent="0.25">
      <c r="A48" s="63"/>
      <c r="B48" s="9" t="s">
        <v>81</v>
      </c>
      <c r="C48" s="44"/>
      <c r="D48" s="9"/>
      <c r="E48" s="44"/>
      <c r="F48" s="44"/>
      <c r="G48" s="44"/>
      <c r="H48" s="44"/>
      <c r="I48" s="44"/>
      <c r="J48" s="44"/>
      <c r="K48" s="45"/>
      <c r="L48" s="44"/>
      <c r="M48" s="28"/>
      <c r="N48" s="28"/>
      <c r="O48" s="28"/>
      <c r="P48" s="28"/>
      <c r="Q48" s="31"/>
      <c r="R48" s="31"/>
      <c r="S48" s="1"/>
      <c r="T48" s="1"/>
    </row>
    <row r="49" spans="2:6" s="101" customFormat="1" ht="14.25" x14ac:dyDescent="0.2">
      <c r="B49" s="102" t="s">
        <v>75</v>
      </c>
      <c r="F49" s="119"/>
    </row>
    <row r="50" spans="2:6" ht="12.75" customHeight="1" x14ac:dyDescent="0.25">
      <c r="B50" s="14"/>
      <c r="D50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169A0EB0-E11B-4ECF-B74B-D42A3AC2508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8294-26B3-4092-9A0D-D1A7038B1791}">
  <dimension ref="A1:AU41"/>
  <sheetViews>
    <sheetView showGridLines="0" workbookViewId="0"/>
  </sheetViews>
  <sheetFormatPr baseColWidth="10" defaultColWidth="11.42578125" defaultRowHeight="15" x14ac:dyDescent="0.25"/>
  <cols>
    <col min="1" max="1" width="1.7109375" style="65" customWidth="1"/>
    <col min="2" max="2" width="32.140625" customWidth="1"/>
    <col min="3" max="3" width="1.7109375" customWidth="1"/>
    <col min="4" max="4" width="24.7109375" customWidth="1"/>
    <col min="5" max="5" width="1.7109375" customWidth="1"/>
    <col min="6" max="6" width="19.28515625" style="24" customWidth="1"/>
    <col min="7" max="7" width="1.7109375" customWidth="1"/>
    <col min="10" max="10" width="1.7109375" customWidth="1"/>
    <col min="13" max="13" width="1.7109375" customWidth="1"/>
    <col min="14" max="14" width="10.42578125" customWidth="1"/>
    <col min="16" max="16" width="1.7109375" customWidth="1"/>
    <col min="17" max="17" width="10" customWidth="1"/>
  </cols>
  <sheetData>
    <row r="1" spans="2:47" s="75" customFormat="1" ht="12" customHeight="1" x14ac:dyDescent="0.2">
      <c r="B1" s="210" t="s">
        <v>129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70"/>
      <c r="Q1" s="68"/>
      <c r="R1" s="80" t="s">
        <v>74</v>
      </c>
    </row>
    <row r="2" spans="2:47" s="75" customFormat="1" ht="6.95" customHeight="1" x14ac:dyDescent="0.2">
      <c r="B2" s="210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70"/>
      <c r="Q2" s="68"/>
      <c r="R2" s="68"/>
    </row>
    <row r="3" spans="2:47" s="75" customFormat="1" ht="14.25" customHeigh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  <c r="Q3" s="68"/>
      <c r="R3" s="68"/>
    </row>
    <row r="4" spans="2:4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70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</row>
    <row r="5" spans="2:47" s="75" customFormat="1" ht="25.5" customHeight="1" x14ac:dyDescent="0.2">
      <c r="B5" s="242" t="s">
        <v>71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57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</row>
    <row r="6" spans="2:47" ht="6" customHeight="1" x14ac:dyDescent="0.25">
      <c r="B6" s="253"/>
      <c r="C6" s="253"/>
      <c r="D6" s="253"/>
      <c r="E6" s="253"/>
      <c r="F6" s="253"/>
      <c r="G6" s="253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</row>
    <row r="7" spans="2:47" ht="22.5" customHeight="1" x14ac:dyDescent="0.25">
      <c r="B7" s="245" t="s">
        <v>50</v>
      </c>
      <c r="C7" s="245"/>
      <c r="D7" s="248" t="s">
        <v>64</v>
      </c>
      <c r="E7" s="189"/>
      <c r="F7" s="248" t="s">
        <v>52</v>
      </c>
      <c r="G7" s="34"/>
      <c r="H7" s="251" t="s">
        <v>79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</row>
    <row r="8" spans="2:47" ht="21.75" customHeight="1" x14ac:dyDescent="0.25">
      <c r="B8" s="246"/>
      <c r="C8" s="246"/>
      <c r="D8" s="249"/>
      <c r="E8" s="189"/>
      <c r="F8" s="249"/>
      <c r="G8" s="34"/>
      <c r="H8" s="252" t="s">
        <v>47</v>
      </c>
      <c r="I8" s="252"/>
      <c r="J8" s="36"/>
      <c r="K8" s="232" t="s">
        <v>80</v>
      </c>
      <c r="L8" s="232"/>
      <c r="M8" s="37"/>
      <c r="N8" s="232" t="s">
        <v>48</v>
      </c>
      <c r="O8" s="232"/>
      <c r="P8" s="37"/>
      <c r="Q8" s="232" t="s">
        <v>43</v>
      </c>
      <c r="R8" s="232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</row>
    <row r="9" spans="2:47" ht="13.5" customHeight="1" x14ac:dyDescent="0.25">
      <c r="B9" s="247"/>
      <c r="C9" s="247"/>
      <c r="D9" s="250"/>
      <c r="E9" s="190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</row>
    <row r="10" spans="2:47" ht="6" customHeight="1" x14ac:dyDescent="0.25">
      <c r="B10" s="31"/>
      <c r="C10" s="188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</row>
    <row r="11" spans="2:47" s="99" customFormat="1" ht="12.95" customHeight="1" x14ac:dyDescent="0.2">
      <c r="B11" s="48" t="s">
        <v>7</v>
      </c>
      <c r="C11" s="92"/>
      <c r="D11" s="181">
        <v>7802847.7836913504</v>
      </c>
      <c r="E11" s="125"/>
      <c r="F11" s="181">
        <v>8340093.2634676704</v>
      </c>
      <c r="G11" s="125"/>
      <c r="H11" s="181">
        <v>628770.94425713201</v>
      </c>
      <c r="I11" s="181">
        <v>8.2220104760999995</v>
      </c>
      <c r="J11" s="125"/>
      <c r="K11" s="181">
        <v>2997644.6618608902</v>
      </c>
      <c r="L11" s="181">
        <v>39.049534616000003</v>
      </c>
      <c r="M11" s="125"/>
      <c r="N11" s="181">
        <v>4681284.6443189904</v>
      </c>
      <c r="O11" s="181">
        <v>60.707019968600001</v>
      </c>
      <c r="P11" s="125"/>
      <c r="Q11" s="181">
        <v>202519.562758388</v>
      </c>
      <c r="R11" s="181">
        <v>2.6502335731</v>
      </c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</row>
    <row r="12" spans="2:47" s="99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</row>
    <row r="13" spans="2:47" s="96" customFormat="1" ht="12.95" customHeight="1" x14ac:dyDescent="0.2">
      <c r="B13" s="103" t="s">
        <v>44</v>
      </c>
      <c r="C13" s="50"/>
      <c r="D13" s="182">
        <v>1529343.72127844</v>
      </c>
      <c r="E13" s="126"/>
      <c r="F13" s="182">
        <v>1625725.40722844</v>
      </c>
      <c r="G13" s="126"/>
      <c r="H13" s="182">
        <v>84426.154932632999</v>
      </c>
      <c r="I13" s="182">
        <v>5.7498753069999999</v>
      </c>
      <c r="J13" s="126"/>
      <c r="K13" s="182">
        <v>144327.028217285</v>
      </c>
      <c r="L13" s="182">
        <v>9.8686809660999995</v>
      </c>
      <c r="M13" s="126"/>
      <c r="N13" s="182">
        <v>1413519.23411808</v>
      </c>
      <c r="O13" s="182">
        <v>94.210763426</v>
      </c>
      <c r="P13" s="126"/>
      <c r="Q13" s="182">
        <v>26083.281337230201</v>
      </c>
      <c r="R13" s="182">
        <v>1.7866516071</v>
      </c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</row>
    <row r="14" spans="2:47" s="96" customFormat="1" ht="12.95" customHeight="1" x14ac:dyDescent="0.2">
      <c r="B14" s="103" t="s">
        <v>45</v>
      </c>
      <c r="C14" s="50"/>
      <c r="D14" s="182">
        <v>1149662.9484190301</v>
      </c>
      <c r="E14" s="126"/>
      <c r="F14" s="182">
        <v>1226397.38725304</v>
      </c>
      <c r="G14" s="108"/>
      <c r="H14" s="182">
        <v>85028.025036212901</v>
      </c>
      <c r="I14" s="184">
        <v>7.8251863579999998</v>
      </c>
      <c r="J14" s="108"/>
      <c r="K14" s="182">
        <v>206296.36532859699</v>
      </c>
      <c r="L14" s="184">
        <v>18.8729720131</v>
      </c>
      <c r="M14" s="108"/>
      <c r="N14" s="184">
        <v>951186.89175114199</v>
      </c>
      <c r="O14" s="184">
        <v>84.835938677499996</v>
      </c>
      <c r="P14" s="108"/>
      <c r="Q14" s="184">
        <v>34344.242399210001</v>
      </c>
      <c r="R14" s="184">
        <v>3.1599628965000002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</row>
    <row r="15" spans="2:47" s="96" customFormat="1" ht="12.95" customHeight="1" x14ac:dyDescent="0.2">
      <c r="B15" s="103" t="s">
        <v>46</v>
      </c>
      <c r="C15" s="50"/>
      <c r="D15" s="182">
        <v>1428133.4115488599</v>
      </c>
      <c r="E15" s="126"/>
      <c r="F15" s="182">
        <v>1532773.62972988</v>
      </c>
      <c r="G15" s="108"/>
      <c r="H15" s="182">
        <v>123918.319385568</v>
      </c>
      <c r="I15" s="184">
        <v>9.1844580910999998</v>
      </c>
      <c r="J15" s="108"/>
      <c r="K15" s="182">
        <v>454904.49997002102</v>
      </c>
      <c r="L15" s="184">
        <v>33.244955407900001</v>
      </c>
      <c r="M15" s="108"/>
      <c r="N15" s="184">
        <v>971860.32913978398</v>
      </c>
      <c r="O15" s="184">
        <v>69.811682840299994</v>
      </c>
      <c r="P15" s="108"/>
      <c r="Q15" s="184">
        <v>47307.439659973403</v>
      </c>
      <c r="R15" s="184">
        <v>3.5047202511000002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</row>
    <row r="16" spans="2:47" s="96" customFormat="1" ht="12.95" customHeight="1" x14ac:dyDescent="0.2">
      <c r="B16" s="103" t="s">
        <v>49</v>
      </c>
      <c r="C16" s="50"/>
      <c r="D16" s="182">
        <v>3863859.3342303201</v>
      </c>
      <c r="E16" s="126"/>
      <c r="F16" s="182">
        <v>4111296.7316385498</v>
      </c>
      <c r="G16" s="126"/>
      <c r="H16" s="182">
        <v>374003.99362338299</v>
      </c>
      <c r="I16" s="182">
        <v>9.9430711175000006</v>
      </c>
      <c r="J16" s="126"/>
      <c r="K16" s="182">
        <v>2267753.1164660798</v>
      </c>
      <c r="L16" s="182">
        <v>59.795612220599999</v>
      </c>
      <c r="M16" s="126"/>
      <c r="N16" s="182">
        <v>1491767.1991991601</v>
      </c>
      <c r="O16" s="182">
        <v>39.403850053200003</v>
      </c>
      <c r="P16" s="126"/>
      <c r="Q16" s="182">
        <v>117422.32904154</v>
      </c>
      <c r="R16" s="182">
        <v>3.1259170532999998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</row>
    <row r="17" spans="1:47" ht="6" customHeight="1" x14ac:dyDescent="0.25">
      <c r="B17" s="49"/>
      <c r="C17" s="30"/>
      <c r="D17" s="110"/>
      <c r="E17" s="110"/>
      <c r="F17" s="110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</row>
    <row r="18" spans="1:47" ht="6" customHeight="1" x14ac:dyDescent="0.25">
      <c r="B18" s="9"/>
      <c r="C18" s="44"/>
      <c r="D18" s="9"/>
      <c r="E18" s="9"/>
      <c r="F18" s="9"/>
      <c r="G18" s="44"/>
      <c r="H18" s="44"/>
      <c r="I18" s="44"/>
      <c r="J18" s="44"/>
      <c r="K18" s="45"/>
      <c r="L18" s="44"/>
      <c r="M18" s="28"/>
      <c r="N18" s="28"/>
      <c r="O18" s="28"/>
      <c r="P18" s="28"/>
      <c r="Q18" s="31"/>
      <c r="R18" s="31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</row>
    <row r="19" spans="1:4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47" x14ac:dyDescent="0.25">
      <c r="B20" s="9" t="s">
        <v>81</v>
      </c>
      <c r="C20" s="44"/>
      <c r="D20" s="9"/>
      <c r="E20" s="9"/>
      <c r="F20" s="9"/>
      <c r="G20" s="44"/>
      <c r="H20" s="44"/>
      <c r="I20" s="44"/>
      <c r="J20" s="44"/>
      <c r="K20" s="45"/>
      <c r="L20" s="44"/>
      <c r="M20" s="28"/>
      <c r="N20" s="28"/>
      <c r="O20" s="28"/>
      <c r="P20" s="28"/>
      <c r="Q20" s="31"/>
      <c r="R20" s="31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</row>
    <row r="21" spans="1:47" s="101" customFormat="1" ht="14.25" x14ac:dyDescent="0.2">
      <c r="B21" s="102" t="s">
        <v>75</v>
      </c>
      <c r="F21" s="119"/>
    </row>
    <row r="22" spans="1:47" x14ac:dyDescent="0.25"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</row>
    <row r="23" spans="1:47" x14ac:dyDescent="0.25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</row>
    <row r="24" spans="1:47" x14ac:dyDescent="0.25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</row>
    <row r="25" spans="1:47" x14ac:dyDescent="0.25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</row>
    <row r="26" spans="1:47" x14ac:dyDescent="0.25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</row>
    <row r="27" spans="1:47" x14ac:dyDescent="0.25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</row>
    <row r="28" spans="1:47" x14ac:dyDescent="0.25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</row>
    <row r="29" spans="1:47" x14ac:dyDescent="0.2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</row>
    <row r="30" spans="1:47" x14ac:dyDescent="0.2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</row>
    <row r="31" spans="1:47" x14ac:dyDescent="0.2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</row>
    <row r="32" spans="1:47" x14ac:dyDescent="0.25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</row>
    <row r="33" spans="2:47" x14ac:dyDescent="0.25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</row>
    <row r="34" spans="2:47" x14ac:dyDescent="0.25">
      <c r="B34" s="24"/>
      <c r="C34" s="24"/>
      <c r="D34" s="24"/>
      <c r="E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</row>
    <row r="35" spans="2:47" x14ac:dyDescent="0.25">
      <c r="B35" s="24"/>
      <c r="C35" s="24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</row>
    <row r="36" spans="2:47" x14ac:dyDescent="0.25">
      <c r="B36" s="24"/>
      <c r="C36" s="24"/>
      <c r="D36" s="24"/>
      <c r="E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</row>
    <row r="37" spans="2:47" x14ac:dyDescent="0.25">
      <c r="B37" s="24"/>
      <c r="C37" s="24"/>
      <c r="D37" s="24"/>
      <c r="E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</row>
    <row r="38" spans="2:47" x14ac:dyDescent="0.25">
      <c r="B38" s="24"/>
      <c r="C38" s="24"/>
      <c r="D38" s="24"/>
      <c r="E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</row>
    <row r="39" spans="2:47" x14ac:dyDescent="0.25">
      <c r="B39" s="24"/>
      <c r="C39" s="24"/>
      <c r="D39" s="24"/>
      <c r="E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</row>
    <row r="40" spans="2:47" x14ac:dyDescent="0.25">
      <c r="B40" s="24"/>
      <c r="C40" s="24"/>
      <c r="D40" s="24"/>
      <c r="E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</row>
    <row r="41" spans="2:47" x14ac:dyDescent="0.25">
      <c r="B41" s="24"/>
      <c r="C41" s="24"/>
      <c r="D41" s="24"/>
      <c r="E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7CC4181A-A28D-4249-8343-BEFABB426183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20DE-FA16-4CA1-A013-FFE9393807C8}">
  <sheetPr>
    <pageSetUpPr fitToPage="1"/>
  </sheetPr>
  <dimension ref="A1:AM52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131" customWidth="1"/>
    <col min="2" max="2" width="33" style="130" customWidth="1"/>
    <col min="3" max="3" width="1.7109375" style="130" customWidth="1" collapsed="1"/>
    <col min="4" max="4" width="19" style="130" customWidth="1" collapsed="1"/>
    <col min="5" max="5" width="1.7109375" style="130" customWidth="1" collapsed="1"/>
    <col min="6" max="6" width="18.7109375" style="130" customWidth="1"/>
    <col min="7" max="7" width="1.7109375" style="130" customWidth="1"/>
    <col min="8" max="9" width="11.7109375" style="130" customWidth="1"/>
    <col min="10" max="10" width="1.7109375" style="130" customWidth="1"/>
    <col min="11" max="12" width="11.42578125" style="130" customWidth="1" collapsed="1"/>
    <col min="13" max="13" width="1.7109375" style="130" customWidth="1" collapsed="1"/>
    <col min="14" max="15" width="11.42578125" style="130" customWidth="1" collapsed="1"/>
    <col min="16" max="16" width="1.7109375" style="130" customWidth="1"/>
    <col min="17" max="18" width="11.42578125" style="130"/>
    <col min="19" max="19" width="1.7109375" style="130" customWidth="1"/>
    <col min="20" max="21" width="11.42578125" style="130" collapsed="1"/>
    <col min="22" max="39" width="11.42578125" style="130"/>
    <col min="40" max="16384" width="11.42578125" style="130" collapsed="1"/>
  </cols>
  <sheetData>
    <row r="1" spans="2:29" s="162" customFormat="1" x14ac:dyDescent="0.2">
      <c r="B1" s="210" t="s">
        <v>129</v>
      </c>
      <c r="U1" s="80" t="s">
        <v>74</v>
      </c>
    </row>
    <row r="2" spans="2:29" s="162" customFormat="1" ht="6.95" customHeight="1" x14ac:dyDescent="0.25">
      <c r="B2" s="210"/>
    </row>
    <row r="3" spans="2:29" s="162" customFormat="1" x14ac:dyDescent="0.2">
      <c r="B3" s="210" t="s">
        <v>112</v>
      </c>
      <c r="C3" s="167"/>
      <c r="D3" s="167"/>
      <c r="E3" s="167"/>
      <c r="F3" s="175"/>
      <c r="G3" s="167"/>
      <c r="H3" s="167"/>
      <c r="I3" s="167"/>
      <c r="J3" s="167"/>
      <c r="K3" s="167"/>
      <c r="L3" s="167"/>
      <c r="M3" s="167"/>
      <c r="N3" s="167"/>
      <c r="O3" s="167"/>
      <c r="P3" s="167"/>
    </row>
    <row r="4" spans="2:29" s="162" customFormat="1" ht="6.95" customHeight="1" x14ac:dyDescent="0.25">
      <c r="C4" s="166"/>
    </row>
    <row r="5" spans="2:29" s="162" customFormat="1" ht="25.5" customHeight="1" x14ac:dyDescent="0.2">
      <c r="B5" s="256" t="s">
        <v>99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165"/>
      <c r="P5" s="163"/>
      <c r="Q5" s="164"/>
      <c r="R5" s="163"/>
      <c r="S5" s="163"/>
      <c r="T5" s="163"/>
      <c r="U5" s="79" t="s">
        <v>58</v>
      </c>
    </row>
    <row r="6" spans="2:29" ht="6" customHeight="1" x14ac:dyDescent="0.25">
      <c r="B6" s="257"/>
      <c r="C6" s="257"/>
      <c r="D6" s="257"/>
      <c r="E6" s="257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132"/>
      <c r="Q6" s="132"/>
      <c r="R6" s="132"/>
      <c r="S6" s="132"/>
      <c r="T6" s="132"/>
      <c r="U6" s="132"/>
    </row>
    <row r="7" spans="2:29" ht="15" customHeight="1" x14ac:dyDescent="0.25">
      <c r="B7" s="259" t="s">
        <v>1</v>
      </c>
      <c r="C7" s="259"/>
      <c r="D7" s="262" t="s">
        <v>98</v>
      </c>
      <c r="E7" s="161"/>
      <c r="F7" s="262" t="s">
        <v>97</v>
      </c>
      <c r="G7" s="160"/>
      <c r="H7" s="160"/>
      <c r="I7" s="160"/>
      <c r="J7" s="160"/>
      <c r="K7" s="265" t="s">
        <v>96</v>
      </c>
      <c r="L7" s="265"/>
      <c r="M7" s="265"/>
      <c r="N7" s="265"/>
      <c r="O7" s="265"/>
      <c r="P7" s="265"/>
      <c r="Q7" s="265"/>
      <c r="R7" s="265"/>
      <c r="S7" s="265"/>
      <c r="T7" s="265"/>
      <c r="U7" s="265"/>
    </row>
    <row r="8" spans="2:29" ht="34.5" customHeight="1" x14ac:dyDescent="0.25">
      <c r="B8" s="260"/>
      <c r="C8" s="260"/>
      <c r="D8" s="263"/>
      <c r="E8" s="161"/>
      <c r="F8" s="263"/>
      <c r="G8" s="161"/>
      <c r="H8" s="266" t="s">
        <v>95</v>
      </c>
      <c r="I8" s="266"/>
      <c r="J8" s="160"/>
      <c r="K8" s="266" t="s">
        <v>94</v>
      </c>
      <c r="L8" s="266"/>
      <c r="M8" s="159"/>
      <c r="N8" s="255" t="s">
        <v>93</v>
      </c>
      <c r="O8" s="255"/>
      <c r="P8" s="158"/>
      <c r="Q8" s="255" t="s">
        <v>92</v>
      </c>
      <c r="R8" s="255"/>
      <c r="S8" s="158"/>
      <c r="T8" s="255" t="s">
        <v>91</v>
      </c>
      <c r="U8" s="255"/>
    </row>
    <row r="9" spans="2:29" ht="15" customHeight="1" x14ac:dyDescent="0.25">
      <c r="B9" s="261"/>
      <c r="C9" s="261"/>
      <c r="D9" s="264"/>
      <c r="E9" s="157"/>
      <c r="F9" s="264"/>
      <c r="G9" s="157"/>
      <c r="H9" s="155" t="s">
        <v>5</v>
      </c>
      <c r="I9" s="155" t="s">
        <v>6</v>
      </c>
      <c r="J9" s="157"/>
      <c r="K9" s="155" t="s">
        <v>5</v>
      </c>
      <c r="L9" s="155" t="s">
        <v>6</v>
      </c>
      <c r="M9" s="155"/>
      <c r="N9" s="155" t="s">
        <v>5</v>
      </c>
      <c r="O9" s="155" t="s">
        <v>6</v>
      </c>
      <c r="P9" s="156"/>
      <c r="Q9" s="155" t="s">
        <v>5</v>
      </c>
      <c r="R9" s="155" t="s">
        <v>6</v>
      </c>
      <c r="S9" s="156"/>
      <c r="T9" s="155" t="s">
        <v>5</v>
      </c>
      <c r="U9" s="155" t="s">
        <v>6</v>
      </c>
    </row>
    <row r="10" spans="2:29" ht="6" customHeight="1" x14ac:dyDescent="0.25">
      <c r="B10" s="132"/>
      <c r="C10" s="191"/>
      <c r="D10" s="154"/>
      <c r="E10" s="154"/>
      <c r="F10" s="154"/>
      <c r="G10" s="154"/>
      <c r="H10" s="154"/>
      <c r="I10" s="151"/>
      <c r="J10" s="154"/>
      <c r="K10" s="153"/>
      <c r="L10" s="151"/>
      <c r="M10" s="153"/>
      <c r="N10" s="153"/>
      <c r="O10" s="151"/>
      <c r="P10" s="152"/>
      <c r="Q10" s="152"/>
      <c r="R10" s="151"/>
      <c r="S10" s="152"/>
      <c r="T10" s="152"/>
      <c r="U10" s="151"/>
    </row>
    <row r="11" spans="2:29" s="148" customFormat="1" ht="12.95" customHeight="1" x14ac:dyDescent="0.2">
      <c r="B11" s="150" t="s">
        <v>7</v>
      </c>
      <c r="C11" s="149"/>
      <c r="D11" s="181">
        <v>7113163.7660292797</v>
      </c>
      <c r="E11" s="125"/>
      <c r="F11" s="181">
        <v>7575993.1151518598</v>
      </c>
      <c r="G11" s="125"/>
      <c r="H11" s="181">
        <v>734395.018746363</v>
      </c>
      <c r="I11" s="181">
        <v>10.518489129100001</v>
      </c>
      <c r="J11" s="125"/>
      <c r="K11" s="181">
        <v>407912.87575795699</v>
      </c>
      <c r="L11" s="181">
        <v>5.8564917611</v>
      </c>
      <c r="M11" s="125"/>
      <c r="N11" s="181">
        <v>1608167.0121834101</v>
      </c>
      <c r="O11" s="181">
        <v>23.035117894300001</v>
      </c>
      <c r="P11" s="125"/>
      <c r="Q11" s="181">
        <v>4965246.77252251</v>
      </c>
      <c r="R11" s="181">
        <v>70.639546031999998</v>
      </c>
      <c r="S11" s="125"/>
      <c r="T11" s="181">
        <v>24185.471641612101</v>
      </c>
      <c r="U11" s="181">
        <v>0.34799816519999999</v>
      </c>
      <c r="V11" s="147"/>
      <c r="W11" s="147"/>
      <c r="X11" s="147"/>
      <c r="Y11" s="147"/>
      <c r="Z11" s="147"/>
      <c r="AA11" s="147"/>
      <c r="AB11" s="147"/>
      <c r="AC11" s="147"/>
    </row>
    <row r="12" spans="2:29" s="148" customFormat="1" ht="6" customHeight="1" x14ac:dyDescent="0.2">
      <c r="B12" s="150"/>
      <c r="C12" s="149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126"/>
      <c r="T12" s="126"/>
      <c r="U12" s="127"/>
      <c r="V12" s="147"/>
      <c r="W12" s="147"/>
      <c r="X12" s="147"/>
      <c r="Y12" s="147"/>
      <c r="Z12" s="147"/>
      <c r="AA12" s="147"/>
      <c r="AB12" s="147"/>
      <c r="AC12" s="147"/>
    </row>
    <row r="13" spans="2:29" s="138" customFormat="1" ht="12.95" customHeight="1" x14ac:dyDescent="0.2">
      <c r="B13" s="146" t="s">
        <v>8</v>
      </c>
      <c r="C13" s="137"/>
      <c r="D13" s="182">
        <v>58611.443877505102</v>
      </c>
      <c r="E13" s="126"/>
      <c r="F13" s="182">
        <v>59942.381924525303</v>
      </c>
      <c r="G13" s="126"/>
      <c r="H13" s="182">
        <v>6178.1643995140003</v>
      </c>
      <c r="I13" s="182">
        <v>11.755681123800001</v>
      </c>
      <c r="J13" s="126"/>
      <c r="K13" s="182">
        <v>4296.1511394367999</v>
      </c>
      <c r="L13" s="182">
        <v>8.2387390195000005</v>
      </c>
      <c r="M13" s="126"/>
      <c r="N13" s="182">
        <v>21066.8883195239</v>
      </c>
      <c r="O13" s="182">
        <v>38.700195714000003</v>
      </c>
      <c r="P13" s="126"/>
      <c r="Q13" s="182">
        <v>34417.385911349702</v>
      </c>
      <c r="R13" s="182">
        <v>62.685057772100002</v>
      </c>
      <c r="S13" s="126"/>
      <c r="T13" s="182">
        <v>560.70896891370001</v>
      </c>
      <c r="U13" s="182">
        <v>1.0733399064</v>
      </c>
      <c r="V13" s="147"/>
      <c r="W13" s="147"/>
      <c r="X13" s="147"/>
      <c r="Y13" s="147"/>
      <c r="Z13" s="147"/>
      <c r="AA13" s="147"/>
      <c r="AB13" s="147"/>
      <c r="AC13" s="147"/>
    </row>
    <row r="14" spans="2:29" s="138" customFormat="1" ht="12.95" customHeight="1" x14ac:dyDescent="0.2">
      <c r="B14" s="146" t="s">
        <v>9</v>
      </c>
      <c r="C14" s="137"/>
      <c r="D14" s="182">
        <v>283167.75218726101</v>
      </c>
      <c r="E14" s="126"/>
      <c r="F14" s="182">
        <v>292069.09987430897</v>
      </c>
      <c r="G14" s="126"/>
      <c r="H14" s="182">
        <v>20083.672441263701</v>
      </c>
      <c r="I14" s="182">
        <v>8.0132372816000004</v>
      </c>
      <c r="J14" s="126"/>
      <c r="K14" s="182">
        <v>25407.310388887301</v>
      </c>
      <c r="L14" s="182">
        <v>9.9803476595999996</v>
      </c>
      <c r="M14" s="126"/>
      <c r="N14" s="182">
        <v>137548.819321193</v>
      </c>
      <c r="O14" s="182">
        <v>51.3796800844</v>
      </c>
      <c r="P14" s="126"/>
      <c r="Q14" s="182">
        <v>134071.692486813</v>
      </c>
      <c r="R14" s="182">
        <v>51.801655230400002</v>
      </c>
      <c r="S14" s="126"/>
      <c r="T14" s="182">
        <v>0</v>
      </c>
      <c r="U14" s="182">
        <v>0</v>
      </c>
      <c r="V14" s="147"/>
      <c r="W14" s="147"/>
      <c r="X14" s="147"/>
      <c r="Y14" s="147"/>
      <c r="Z14" s="147"/>
      <c r="AA14" s="147"/>
      <c r="AB14" s="147"/>
      <c r="AC14" s="147"/>
    </row>
    <row r="15" spans="2:29" s="138" customFormat="1" ht="12.95" customHeight="1" x14ac:dyDescent="0.2">
      <c r="B15" s="146" t="s">
        <v>10</v>
      </c>
      <c r="C15" s="137"/>
      <c r="D15" s="182">
        <v>66952.063023382507</v>
      </c>
      <c r="E15" s="126"/>
      <c r="F15" s="182">
        <v>76758.327947347003</v>
      </c>
      <c r="G15" s="126"/>
      <c r="H15" s="182">
        <v>18681.1561117739</v>
      </c>
      <c r="I15" s="182">
        <v>30.884172102099999</v>
      </c>
      <c r="J15" s="126"/>
      <c r="K15" s="182">
        <v>2917.7264567034999</v>
      </c>
      <c r="L15" s="182">
        <v>4.9486740006999996</v>
      </c>
      <c r="M15" s="126"/>
      <c r="N15" s="182">
        <v>19285.073191486899</v>
      </c>
      <c r="O15" s="182">
        <v>32.403151510500003</v>
      </c>
      <c r="P15" s="126"/>
      <c r="Q15" s="182">
        <v>43605.164626605801</v>
      </c>
      <c r="R15" s="182">
        <v>69.852466575899996</v>
      </c>
      <c r="S15" s="126"/>
      <c r="T15" s="182">
        <v>0</v>
      </c>
      <c r="U15" s="182">
        <v>0</v>
      </c>
      <c r="V15" s="147"/>
      <c r="W15" s="147"/>
      <c r="X15" s="147"/>
      <c r="Y15" s="147"/>
      <c r="Z15" s="147"/>
      <c r="AA15" s="147"/>
      <c r="AB15" s="147"/>
      <c r="AC15" s="147"/>
    </row>
    <row r="16" spans="2:29" s="138" customFormat="1" ht="12.95" customHeight="1" x14ac:dyDescent="0.2">
      <c r="B16" s="146" t="s">
        <v>11</v>
      </c>
      <c r="C16" s="137"/>
      <c r="D16" s="182">
        <v>68610.760957995299</v>
      </c>
      <c r="E16" s="126"/>
      <c r="F16" s="182">
        <v>71811.873542882196</v>
      </c>
      <c r="G16" s="126"/>
      <c r="H16" s="182">
        <v>8823.6607985366009</v>
      </c>
      <c r="I16" s="182">
        <v>13.931222481200001</v>
      </c>
      <c r="J16" s="126"/>
      <c r="K16" s="182">
        <v>3448.4505889114998</v>
      </c>
      <c r="L16" s="182">
        <v>5.5477838196000002</v>
      </c>
      <c r="M16" s="126"/>
      <c r="N16" s="182">
        <v>8089.0165390428001</v>
      </c>
      <c r="O16" s="182">
        <v>12.7400549097</v>
      </c>
      <c r="P16" s="126"/>
      <c r="Q16" s="182">
        <v>55252.731655048301</v>
      </c>
      <c r="R16" s="182">
        <v>84.969738278999998</v>
      </c>
      <c r="S16" s="126"/>
      <c r="T16" s="182">
        <v>0</v>
      </c>
      <c r="U16" s="182">
        <v>0</v>
      </c>
      <c r="V16" s="147"/>
      <c r="W16" s="147"/>
      <c r="X16" s="147"/>
      <c r="Y16" s="147"/>
      <c r="Z16" s="147"/>
      <c r="AA16" s="147"/>
      <c r="AB16" s="147"/>
      <c r="AC16" s="147"/>
    </row>
    <row r="17" spans="2:29" s="138" customFormat="1" ht="12.95" customHeight="1" x14ac:dyDescent="0.2">
      <c r="B17" s="146" t="s">
        <v>12</v>
      </c>
      <c r="C17" s="137"/>
      <c r="D17" s="182">
        <v>166332.05568130399</v>
      </c>
      <c r="E17" s="126"/>
      <c r="F17" s="182">
        <v>166172.08942938701</v>
      </c>
      <c r="G17" s="126"/>
      <c r="H17" s="182">
        <v>18248.047606754099</v>
      </c>
      <c r="I17" s="182">
        <v>11.9886501501</v>
      </c>
      <c r="J17" s="126"/>
      <c r="K17" s="182">
        <v>11317.5520208157</v>
      </c>
      <c r="L17" s="182">
        <v>7.4938694432000004</v>
      </c>
      <c r="M17" s="126"/>
      <c r="N17" s="182">
        <v>47056.9007172005</v>
      </c>
      <c r="O17" s="182">
        <v>30.669302278499998</v>
      </c>
      <c r="P17" s="126"/>
      <c r="Q17" s="182">
        <v>107260.593368961</v>
      </c>
      <c r="R17" s="182">
        <v>68.202637632099993</v>
      </c>
      <c r="S17" s="126"/>
      <c r="T17" s="182">
        <v>0</v>
      </c>
      <c r="U17" s="182">
        <v>0</v>
      </c>
      <c r="V17" s="147"/>
      <c r="W17" s="147"/>
      <c r="X17" s="147"/>
      <c r="Y17" s="147"/>
      <c r="Z17" s="147"/>
      <c r="AA17" s="147"/>
      <c r="AB17" s="147"/>
      <c r="AC17" s="147"/>
    </row>
    <row r="18" spans="2:29" s="138" customFormat="1" ht="12.95" customHeight="1" x14ac:dyDescent="0.2">
      <c r="B18" s="146" t="s">
        <v>13</v>
      </c>
      <c r="C18" s="137"/>
      <c r="D18" s="182">
        <v>38681.170992734798</v>
      </c>
      <c r="E18" s="126"/>
      <c r="F18" s="182">
        <v>39462.445071412199</v>
      </c>
      <c r="G18" s="126"/>
      <c r="H18" s="182">
        <v>2187.8869513679001</v>
      </c>
      <c r="I18" s="182">
        <v>6.2390397455000004</v>
      </c>
      <c r="J18" s="126"/>
      <c r="K18" s="182">
        <v>2248.7084905693</v>
      </c>
      <c r="L18" s="182">
        <v>6.4875381086999999</v>
      </c>
      <c r="M18" s="126"/>
      <c r="N18" s="182">
        <v>17110.988837324599</v>
      </c>
      <c r="O18" s="182">
        <v>47.6467927992</v>
      </c>
      <c r="P18" s="126"/>
      <c r="Q18" s="182">
        <v>21323.679498566398</v>
      </c>
      <c r="R18" s="182">
        <v>60.3295129893</v>
      </c>
      <c r="S18" s="126"/>
      <c r="T18" s="182">
        <v>580.1637466016</v>
      </c>
      <c r="U18" s="182">
        <v>1.7057437531999999</v>
      </c>
      <c r="V18" s="147"/>
      <c r="W18" s="147"/>
      <c r="X18" s="147"/>
      <c r="Y18" s="147"/>
      <c r="Z18" s="147"/>
      <c r="AA18" s="147"/>
      <c r="AB18" s="147"/>
      <c r="AC18" s="147"/>
    </row>
    <row r="19" spans="2:29" s="138" customFormat="1" ht="12.95" customHeight="1" x14ac:dyDescent="0.2">
      <c r="B19" s="146" t="s">
        <v>14</v>
      </c>
      <c r="C19" s="137"/>
      <c r="D19" s="182">
        <v>421546.02424813999</v>
      </c>
      <c r="E19" s="126"/>
      <c r="F19" s="182">
        <v>440918.954399515</v>
      </c>
      <c r="G19" s="126"/>
      <c r="H19" s="182">
        <v>81054.013833351404</v>
      </c>
      <c r="I19" s="182">
        <v>20.5666686243</v>
      </c>
      <c r="J19" s="126"/>
      <c r="K19" s="182">
        <v>40762.101726724803</v>
      </c>
      <c r="L19" s="182">
        <v>10.7728369637</v>
      </c>
      <c r="M19" s="126"/>
      <c r="N19" s="182">
        <v>62227.117637686897</v>
      </c>
      <c r="O19" s="182">
        <v>16.008163401000001</v>
      </c>
      <c r="P19" s="126"/>
      <c r="Q19" s="182">
        <v>282791.111980177</v>
      </c>
      <c r="R19" s="182">
        <v>70.498020132500002</v>
      </c>
      <c r="S19" s="126"/>
      <c r="T19" s="182">
        <v>7682.2774149732004</v>
      </c>
      <c r="U19" s="182">
        <v>2.0018401208999999</v>
      </c>
      <c r="V19" s="147"/>
      <c r="W19" s="147"/>
      <c r="X19" s="147"/>
      <c r="Y19" s="147"/>
      <c r="Z19" s="147"/>
      <c r="AA19" s="147"/>
      <c r="AB19" s="147"/>
      <c r="AC19" s="147"/>
    </row>
    <row r="20" spans="2:29" s="138" customFormat="1" ht="12.95" customHeight="1" x14ac:dyDescent="0.2">
      <c r="B20" s="146" t="s">
        <v>15</v>
      </c>
      <c r="C20" s="137"/>
      <c r="D20" s="182">
        <v>171452.57803810199</v>
      </c>
      <c r="E20" s="126"/>
      <c r="F20" s="182">
        <v>174954.888330088</v>
      </c>
      <c r="G20" s="126"/>
      <c r="H20" s="182">
        <v>10353.515320173599</v>
      </c>
      <c r="I20" s="182">
        <v>6.6460025087999997</v>
      </c>
      <c r="J20" s="126"/>
      <c r="K20" s="182">
        <v>12197.0069563209</v>
      </c>
      <c r="L20" s="182">
        <v>7.8754878399999999</v>
      </c>
      <c r="M20" s="126"/>
      <c r="N20" s="182">
        <v>63110.162364130301</v>
      </c>
      <c r="O20" s="182">
        <v>39.7394988251</v>
      </c>
      <c r="P20" s="126"/>
      <c r="Q20" s="182">
        <v>107621.615709666</v>
      </c>
      <c r="R20" s="182">
        <v>66.880708234500005</v>
      </c>
      <c r="S20" s="126"/>
      <c r="T20" s="182">
        <v>3112.4084780664998</v>
      </c>
      <c r="U20" s="182">
        <v>2.0171764323999999</v>
      </c>
      <c r="V20" s="147"/>
      <c r="W20" s="147"/>
      <c r="X20" s="147"/>
      <c r="Y20" s="147"/>
      <c r="Z20" s="147"/>
      <c r="AA20" s="147"/>
      <c r="AB20" s="147"/>
      <c r="AC20" s="147"/>
    </row>
    <row r="21" spans="2:29" s="138" customFormat="1" ht="12.95" customHeight="1" x14ac:dyDescent="0.2">
      <c r="B21" s="146" t="s">
        <v>16</v>
      </c>
      <c r="C21" s="137"/>
      <c r="D21" s="182">
        <v>746771.05520913401</v>
      </c>
      <c r="E21" s="126"/>
      <c r="F21" s="182">
        <v>768755.68493085797</v>
      </c>
      <c r="G21" s="126"/>
      <c r="H21" s="182">
        <v>93793.526667346407</v>
      </c>
      <c r="I21" s="182">
        <v>13.5731818433</v>
      </c>
      <c r="J21" s="126"/>
      <c r="K21" s="182">
        <v>62013.707618100103</v>
      </c>
      <c r="L21" s="182">
        <v>8.9613248576999993</v>
      </c>
      <c r="M21" s="126"/>
      <c r="N21" s="182">
        <v>173174.62323293899</v>
      </c>
      <c r="O21" s="182">
        <v>24.894474002900001</v>
      </c>
      <c r="P21" s="126"/>
      <c r="Q21" s="182">
        <v>504117.63900718198</v>
      </c>
      <c r="R21" s="182">
        <v>70.725356309099993</v>
      </c>
      <c r="S21" s="126"/>
      <c r="T21" s="182">
        <v>0</v>
      </c>
      <c r="U21" s="182">
        <v>0</v>
      </c>
      <c r="V21" s="147"/>
      <c r="W21" s="147"/>
      <c r="X21" s="147"/>
      <c r="Y21" s="147"/>
      <c r="Z21" s="147"/>
      <c r="AA21" s="147"/>
      <c r="AB21" s="147"/>
      <c r="AC21" s="147"/>
    </row>
    <row r="22" spans="2:29" s="138" customFormat="1" ht="12.95" customHeight="1" x14ac:dyDescent="0.2">
      <c r="B22" s="146" t="s">
        <v>17</v>
      </c>
      <c r="C22" s="137"/>
      <c r="D22" s="182">
        <v>96165.795351063105</v>
      </c>
      <c r="E22" s="126"/>
      <c r="F22" s="182">
        <v>99173.721433622093</v>
      </c>
      <c r="G22" s="126"/>
      <c r="H22" s="182">
        <v>9409.1731640685994</v>
      </c>
      <c r="I22" s="182">
        <v>10.6932490076</v>
      </c>
      <c r="J22" s="126"/>
      <c r="K22" s="182">
        <v>5006.3816361382997</v>
      </c>
      <c r="L22" s="182">
        <v>5.6943366563</v>
      </c>
      <c r="M22" s="126"/>
      <c r="N22" s="182">
        <v>21701.996184895299</v>
      </c>
      <c r="O22" s="182">
        <v>24.319295089600001</v>
      </c>
      <c r="P22" s="126"/>
      <c r="Q22" s="182">
        <v>71383.596829116606</v>
      </c>
      <c r="R22" s="182">
        <v>78.194011094100006</v>
      </c>
      <c r="S22" s="126"/>
      <c r="T22" s="182">
        <v>692.95165026129996</v>
      </c>
      <c r="U22" s="182">
        <v>0.79318844420000001</v>
      </c>
      <c r="V22" s="147"/>
      <c r="W22" s="147"/>
      <c r="X22" s="147"/>
      <c r="Y22" s="147"/>
      <c r="Z22" s="147"/>
      <c r="AA22" s="147"/>
      <c r="AB22" s="147"/>
      <c r="AC22" s="147"/>
    </row>
    <row r="23" spans="2:29" s="138" customFormat="1" ht="12.95" customHeight="1" x14ac:dyDescent="0.2">
      <c r="B23" s="146" t="s">
        <v>18</v>
      </c>
      <c r="C23" s="137"/>
      <c r="D23" s="182">
        <v>331549.031044645</v>
      </c>
      <c r="E23" s="126"/>
      <c r="F23" s="182">
        <v>356415.76544966898</v>
      </c>
      <c r="G23" s="126"/>
      <c r="H23" s="182">
        <v>28443.966656805798</v>
      </c>
      <c r="I23" s="182">
        <v>9.4206378940000004</v>
      </c>
      <c r="J23" s="126"/>
      <c r="K23" s="182">
        <v>26735.233474577301</v>
      </c>
      <c r="L23" s="182">
        <v>8.8104120936000001</v>
      </c>
      <c r="M23" s="126"/>
      <c r="N23" s="182">
        <v>91476.0667677772</v>
      </c>
      <c r="O23" s="182">
        <v>29.834110556300001</v>
      </c>
      <c r="P23" s="126"/>
      <c r="Q23" s="182">
        <v>239127.64442237699</v>
      </c>
      <c r="R23" s="182">
        <v>75.329635965899996</v>
      </c>
      <c r="S23" s="126"/>
      <c r="T23" s="182">
        <v>4018.6181655996002</v>
      </c>
      <c r="U23" s="182">
        <v>1.3328910141999999</v>
      </c>
      <c r="V23" s="147"/>
      <c r="W23" s="147"/>
      <c r="X23" s="147"/>
      <c r="Y23" s="147"/>
      <c r="Z23" s="147"/>
      <c r="AA23" s="147"/>
      <c r="AB23" s="147"/>
      <c r="AC23" s="147"/>
    </row>
    <row r="24" spans="2:29" s="138" customFormat="1" ht="12.95" customHeight="1" x14ac:dyDescent="0.2">
      <c r="B24" s="146" t="s">
        <v>19</v>
      </c>
      <c r="C24" s="137"/>
      <c r="D24" s="182">
        <v>311171.20708345098</v>
      </c>
      <c r="E24" s="126"/>
      <c r="F24" s="182">
        <v>335881.50624263199</v>
      </c>
      <c r="G24" s="126"/>
      <c r="H24" s="182">
        <v>49110.666509052899</v>
      </c>
      <c r="I24" s="182">
        <v>17.003565222100001</v>
      </c>
      <c r="J24" s="126"/>
      <c r="K24" s="182">
        <v>13488.069838343999</v>
      </c>
      <c r="L24" s="182">
        <v>4.6923405595999998</v>
      </c>
      <c r="M24" s="126"/>
      <c r="N24" s="182">
        <v>48211.3305328723</v>
      </c>
      <c r="O24" s="182">
        <v>16.584455392599999</v>
      </c>
      <c r="P24" s="126"/>
      <c r="Q24" s="182">
        <v>244768.308996676</v>
      </c>
      <c r="R24" s="182">
        <v>82.782149777699999</v>
      </c>
      <c r="S24" s="126"/>
      <c r="T24" s="182">
        <v>1817.0144417157001</v>
      </c>
      <c r="U24" s="182">
        <v>0.6373885118</v>
      </c>
      <c r="V24" s="147"/>
      <c r="W24" s="147"/>
      <c r="X24" s="147"/>
      <c r="Y24" s="147"/>
      <c r="Z24" s="147"/>
      <c r="AA24" s="147"/>
      <c r="AB24" s="147"/>
      <c r="AC24" s="147"/>
    </row>
    <row r="25" spans="2:29" s="138" customFormat="1" ht="12.95" customHeight="1" x14ac:dyDescent="0.2">
      <c r="B25" s="146" t="s">
        <v>20</v>
      </c>
      <c r="C25" s="137"/>
      <c r="D25" s="182">
        <v>145168.673549695</v>
      </c>
      <c r="E25" s="145"/>
      <c r="F25" s="192">
        <v>154814.50273520299</v>
      </c>
      <c r="G25" s="145"/>
      <c r="H25" s="192">
        <v>13485.444324247101</v>
      </c>
      <c r="I25" s="192">
        <v>10.1404645652</v>
      </c>
      <c r="J25" s="145"/>
      <c r="K25" s="182">
        <v>11807.1302221198</v>
      </c>
      <c r="L25" s="192">
        <v>8.9984173695000003</v>
      </c>
      <c r="M25" s="145"/>
      <c r="N25" s="182">
        <v>28559.978299922699</v>
      </c>
      <c r="O25" s="192">
        <v>21.370616978600001</v>
      </c>
      <c r="P25" s="145"/>
      <c r="Q25" s="192">
        <v>114709.59946973799</v>
      </c>
      <c r="R25" s="192">
        <v>84.031110690299997</v>
      </c>
      <c r="S25" s="145"/>
      <c r="T25" s="192">
        <v>0</v>
      </c>
      <c r="U25" s="192">
        <v>0</v>
      </c>
    </row>
    <row r="26" spans="2:29" s="138" customFormat="1" ht="12.95" customHeight="1" x14ac:dyDescent="0.2">
      <c r="B26" s="146" t="s">
        <v>21</v>
      </c>
      <c r="C26" s="137"/>
      <c r="D26" s="182">
        <v>406715.69061391399</v>
      </c>
      <c r="E26" s="145"/>
      <c r="F26" s="192">
        <v>415887.272584463</v>
      </c>
      <c r="G26" s="145"/>
      <c r="H26" s="192">
        <v>35690.751402581198</v>
      </c>
      <c r="I26" s="192">
        <v>9.5441347665999992</v>
      </c>
      <c r="J26" s="145"/>
      <c r="K26" s="182">
        <v>41219.175689032301</v>
      </c>
      <c r="L26" s="192">
        <v>11.085624103400001</v>
      </c>
      <c r="M26" s="145"/>
      <c r="N26" s="182">
        <v>131069.03338117601</v>
      </c>
      <c r="O26" s="192">
        <v>35.272784166400001</v>
      </c>
      <c r="P26" s="145"/>
      <c r="Q26" s="192">
        <v>250533.703384213</v>
      </c>
      <c r="R26" s="192">
        <v>64.945181410299995</v>
      </c>
      <c r="S26" s="145"/>
      <c r="T26" s="192">
        <v>3052.1610855019999</v>
      </c>
      <c r="U26" s="192">
        <v>0.82352212250000001</v>
      </c>
    </row>
    <row r="27" spans="2:29" s="138" customFormat="1" ht="12.95" customHeight="1" x14ac:dyDescent="0.2">
      <c r="B27" s="146" t="s">
        <v>22</v>
      </c>
      <c r="C27" s="137"/>
      <c r="D27" s="182">
        <v>898119.72832118301</v>
      </c>
      <c r="E27" s="145"/>
      <c r="F27" s="192">
        <v>984986.65323776903</v>
      </c>
      <c r="G27" s="145"/>
      <c r="H27" s="192">
        <v>117556.575768421</v>
      </c>
      <c r="I27" s="192">
        <v>14.2234524307</v>
      </c>
      <c r="J27" s="145"/>
      <c r="K27" s="182">
        <v>55564.469608922504</v>
      </c>
      <c r="L27" s="192">
        <v>6.7567519040999997</v>
      </c>
      <c r="M27" s="145"/>
      <c r="N27" s="182">
        <v>168398.850037319</v>
      </c>
      <c r="O27" s="192">
        <v>20.516724517699998</v>
      </c>
      <c r="P27" s="145"/>
      <c r="Q27" s="192">
        <v>729721.32308669598</v>
      </c>
      <c r="R27" s="192">
        <v>85.574792841900006</v>
      </c>
      <c r="S27" s="145"/>
      <c r="T27" s="192">
        <v>0</v>
      </c>
      <c r="U27" s="192">
        <v>0</v>
      </c>
    </row>
    <row r="28" spans="2:29" s="138" customFormat="1" ht="12.95" customHeight="1" x14ac:dyDescent="0.2">
      <c r="B28" s="146" t="s">
        <v>23</v>
      </c>
      <c r="C28" s="137"/>
      <c r="D28" s="182">
        <v>254854.57743920301</v>
      </c>
      <c r="E28" s="145"/>
      <c r="F28" s="192">
        <v>266395.885278876</v>
      </c>
      <c r="G28" s="145"/>
      <c r="H28" s="192">
        <v>19767.995761106798</v>
      </c>
      <c r="I28" s="192">
        <v>8.5477203954000007</v>
      </c>
      <c r="J28" s="145"/>
      <c r="K28" s="182">
        <v>16348.778779620499</v>
      </c>
      <c r="L28" s="192">
        <v>7.1071344645999996</v>
      </c>
      <c r="M28" s="145"/>
      <c r="N28" s="182">
        <v>61765.330274177897</v>
      </c>
      <c r="O28" s="192">
        <v>25.952701500500002</v>
      </c>
      <c r="P28" s="145"/>
      <c r="Q28" s="192">
        <v>190627.34535295301</v>
      </c>
      <c r="R28" s="192">
        <v>80.315892602600002</v>
      </c>
      <c r="S28" s="145"/>
      <c r="T28" s="192">
        <v>0</v>
      </c>
      <c r="U28" s="192">
        <v>0</v>
      </c>
    </row>
    <row r="29" spans="2:29" s="138" customFormat="1" ht="12.95" customHeight="1" x14ac:dyDescent="0.2">
      <c r="B29" s="146" t="s">
        <v>24</v>
      </c>
      <c r="C29" s="137"/>
      <c r="D29" s="182">
        <v>109599.177417584</v>
      </c>
      <c r="E29" s="145"/>
      <c r="F29" s="192">
        <v>115600.35067489601</v>
      </c>
      <c r="G29" s="145"/>
      <c r="H29" s="192">
        <v>12338.9284606971</v>
      </c>
      <c r="I29" s="192">
        <v>12.1696988314</v>
      </c>
      <c r="J29" s="145"/>
      <c r="K29" s="182">
        <v>3944.0692638650999</v>
      </c>
      <c r="L29" s="192">
        <v>3.9488033854000002</v>
      </c>
      <c r="M29" s="145"/>
      <c r="N29" s="182">
        <v>23537.215733280202</v>
      </c>
      <c r="O29" s="192">
        <v>22.968751918700001</v>
      </c>
      <c r="P29" s="145"/>
      <c r="Q29" s="192">
        <v>84044.657038390404</v>
      </c>
      <c r="R29" s="192">
        <v>80.084076593199995</v>
      </c>
      <c r="S29" s="145"/>
      <c r="T29" s="192">
        <v>0</v>
      </c>
      <c r="U29" s="192">
        <v>0</v>
      </c>
    </row>
    <row r="30" spans="2:29" s="138" customFormat="1" ht="12.95" customHeight="1" x14ac:dyDescent="0.2">
      <c r="B30" s="146" t="s">
        <v>25</v>
      </c>
      <c r="C30" s="137"/>
      <c r="D30" s="182">
        <v>82376.263423127704</v>
      </c>
      <c r="E30" s="145"/>
      <c r="F30" s="192">
        <v>86169.313450196598</v>
      </c>
      <c r="G30" s="145"/>
      <c r="H30" s="192">
        <v>6138.2574982708002</v>
      </c>
      <c r="I30" s="192">
        <v>8.2576294770000001</v>
      </c>
      <c r="J30" s="145"/>
      <c r="K30" s="182">
        <v>6116.0054792798001</v>
      </c>
      <c r="L30" s="192">
        <v>8.0673036271999994</v>
      </c>
      <c r="M30" s="145"/>
      <c r="N30" s="182">
        <v>23022.476996823199</v>
      </c>
      <c r="O30" s="192">
        <v>29.957884197999999</v>
      </c>
      <c r="P30" s="145"/>
      <c r="Q30" s="192">
        <v>56262.873786584802</v>
      </c>
      <c r="R30" s="192">
        <v>71.935825252800001</v>
      </c>
      <c r="S30" s="145"/>
      <c r="T30" s="192">
        <v>0</v>
      </c>
      <c r="U30" s="192">
        <v>0</v>
      </c>
    </row>
    <row r="31" spans="2:29" s="138" customFormat="1" ht="12.95" customHeight="1" x14ac:dyDescent="0.2">
      <c r="B31" s="146" t="s">
        <v>26</v>
      </c>
      <c r="C31" s="137"/>
      <c r="D31" s="182">
        <v>208236.96995319199</v>
      </c>
      <c r="E31" s="145"/>
      <c r="F31" s="192">
        <v>203831.61438026701</v>
      </c>
      <c r="G31" s="145"/>
      <c r="H31" s="192">
        <v>11154.746959087201</v>
      </c>
      <c r="I31" s="192">
        <v>5.9554143089</v>
      </c>
      <c r="J31" s="145"/>
      <c r="K31" s="182">
        <v>20041.1548750111</v>
      </c>
      <c r="L31" s="192">
        <v>11.0021328196</v>
      </c>
      <c r="M31" s="145"/>
      <c r="N31" s="182">
        <v>69090.324842595597</v>
      </c>
      <c r="O31" s="192">
        <v>37.024804278200001</v>
      </c>
      <c r="P31" s="145"/>
      <c r="Q31" s="192">
        <v>130390.671304863</v>
      </c>
      <c r="R31" s="192">
        <v>67.669775927000003</v>
      </c>
      <c r="S31" s="145"/>
      <c r="T31" s="192">
        <v>0</v>
      </c>
      <c r="U31" s="192">
        <v>0</v>
      </c>
    </row>
    <row r="32" spans="2:29" s="138" customFormat="1" ht="12.95" customHeight="1" x14ac:dyDescent="0.2">
      <c r="B32" s="146" t="s">
        <v>27</v>
      </c>
      <c r="C32" s="137"/>
      <c r="D32" s="182">
        <v>303662.73748156399</v>
      </c>
      <c r="E32" s="145"/>
      <c r="F32" s="192">
        <v>319891.526026003</v>
      </c>
      <c r="G32" s="145"/>
      <c r="H32" s="192">
        <v>27737.747748469501</v>
      </c>
      <c r="I32" s="192">
        <v>10.0149735853</v>
      </c>
      <c r="J32" s="145"/>
      <c r="K32" s="182">
        <v>13630.7385825817</v>
      </c>
      <c r="L32" s="192">
        <v>4.9584713685999997</v>
      </c>
      <c r="M32" s="145"/>
      <c r="N32" s="182">
        <v>32947.763903136401</v>
      </c>
      <c r="O32" s="192">
        <v>12.1135487964</v>
      </c>
      <c r="P32" s="145"/>
      <c r="Q32" s="192">
        <v>262099.83305650999</v>
      </c>
      <c r="R32" s="192">
        <v>89.589064132299995</v>
      </c>
      <c r="S32" s="145"/>
      <c r="T32" s="192">
        <v>2457.0690194378999</v>
      </c>
      <c r="U32" s="192">
        <v>0.89235012950000003</v>
      </c>
    </row>
    <row r="33" spans="1:25" s="138" customFormat="1" ht="12.95" customHeight="1" x14ac:dyDescent="0.2">
      <c r="B33" s="146" t="s">
        <v>28</v>
      </c>
      <c r="C33" s="137"/>
      <c r="D33" s="182">
        <v>435414.15183930099</v>
      </c>
      <c r="E33" s="145"/>
      <c r="F33" s="192">
        <v>474523.07648534799</v>
      </c>
      <c r="G33" s="145"/>
      <c r="H33" s="192">
        <v>55960.567699576299</v>
      </c>
      <c r="I33" s="192">
        <v>13.9619845408</v>
      </c>
      <c r="J33" s="145"/>
      <c r="K33" s="182">
        <v>21088.815000482598</v>
      </c>
      <c r="L33" s="192">
        <v>5.3650557532000001</v>
      </c>
      <c r="M33" s="145"/>
      <c r="N33" s="182">
        <v>86744.975989355895</v>
      </c>
      <c r="O33" s="192">
        <v>21.612936984800001</v>
      </c>
      <c r="P33" s="145"/>
      <c r="Q33" s="192">
        <v>340160.37665891298</v>
      </c>
      <c r="R33" s="192">
        <v>81.955477857100007</v>
      </c>
      <c r="S33" s="145"/>
      <c r="T33" s="192">
        <v>0</v>
      </c>
      <c r="U33" s="192">
        <v>0</v>
      </c>
    </row>
    <row r="34" spans="1:25" s="138" customFormat="1" ht="12.95" customHeight="1" x14ac:dyDescent="0.2">
      <c r="B34" s="146" t="s">
        <v>29</v>
      </c>
      <c r="C34" s="137"/>
      <c r="D34" s="182">
        <v>143381.46867522999</v>
      </c>
      <c r="E34" s="145"/>
      <c r="F34" s="192">
        <v>155491.51537130499</v>
      </c>
      <c r="G34" s="145"/>
      <c r="H34" s="192">
        <v>14121.246189059701</v>
      </c>
      <c r="I34" s="192">
        <v>10.859151844099999</v>
      </c>
      <c r="J34" s="145"/>
      <c r="K34" s="182">
        <v>6330.8583769316001</v>
      </c>
      <c r="L34" s="192">
        <v>4.9720796875</v>
      </c>
      <c r="M34" s="145"/>
      <c r="N34" s="182">
        <v>33283.186508453102</v>
      </c>
      <c r="O34" s="192">
        <v>25.892894738300001</v>
      </c>
      <c r="P34" s="145"/>
      <c r="Q34" s="192">
        <v>114924.585990947</v>
      </c>
      <c r="R34" s="192">
        <v>84.836964740900001</v>
      </c>
      <c r="S34" s="145"/>
      <c r="T34" s="192">
        <v>0</v>
      </c>
      <c r="U34" s="192">
        <v>0</v>
      </c>
    </row>
    <row r="35" spans="1:25" s="138" customFormat="1" ht="12.95" customHeight="1" x14ac:dyDescent="0.2">
      <c r="B35" s="146" t="s">
        <v>30</v>
      </c>
      <c r="C35" s="137"/>
      <c r="D35" s="182">
        <v>144848.03085050199</v>
      </c>
      <c r="E35" s="145"/>
      <c r="F35" s="192">
        <v>155537.488466943</v>
      </c>
      <c r="G35" s="145"/>
      <c r="H35" s="192">
        <v>29043.465852280999</v>
      </c>
      <c r="I35" s="192">
        <v>22.014622762199998</v>
      </c>
      <c r="J35" s="145"/>
      <c r="K35" s="182">
        <v>10707.516353683</v>
      </c>
      <c r="L35" s="192">
        <v>8.3913581729000004</v>
      </c>
      <c r="M35" s="145"/>
      <c r="N35" s="182">
        <v>57384.311976768797</v>
      </c>
      <c r="O35" s="192">
        <v>42.457610283699999</v>
      </c>
      <c r="P35" s="145"/>
      <c r="Q35" s="192">
        <v>75449.375878599807</v>
      </c>
      <c r="R35" s="192">
        <v>55.841032155400001</v>
      </c>
      <c r="S35" s="145"/>
      <c r="T35" s="192">
        <v>605.67148057190002</v>
      </c>
      <c r="U35" s="192">
        <v>0.46646262690000001</v>
      </c>
    </row>
    <row r="36" spans="1:25" s="138" customFormat="1" ht="12.95" customHeight="1" x14ac:dyDescent="0.2">
      <c r="B36" s="146" t="s">
        <v>31</v>
      </c>
      <c r="C36" s="137"/>
      <c r="D36" s="182">
        <v>123965.902507463</v>
      </c>
      <c r="E36" s="145"/>
      <c r="F36" s="192">
        <v>133899.25089892</v>
      </c>
      <c r="G36" s="145"/>
      <c r="H36" s="192">
        <v>7694.0856072822999</v>
      </c>
      <c r="I36" s="192">
        <v>6.8380685748000003</v>
      </c>
      <c r="J36" s="145"/>
      <c r="K36" s="182">
        <v>8703.0182698075005</v>
      </c>
      <c r="L36" s="192">
        <v>7.7689065566000002</v>
      </c>
      <c r="M36" s="145"/>
      <c r="N36" s="182">
        <v>38902.873865688998</v>
      </c>
      <c r="O36" s="192">
        <v>33.864249840399999</v>
      </c>
      <c r="P36" s="145"/>
      <c r="Q36" s="192">
        <v>91536.781302244301</v>
      </c>
      <c r="R36" s="192">
        <v>78.980117560699995</v>
      </c>
      <c r="S36" s="145"/>
      <c r="T36" s="192">
        <v>0</v>
      </c>
      <c r="U36" s="192">
        <v>0</v>
      </c>
    </row>
    <row r="37" spans="1:25" s="138" customFormat="1" ht="12.95" customHeight="1" x14ac:dyDescent="0.2">
      <c r="B37" s="146" t="s">
        <v>32</v>
      </c>
      <c r="C37" s="137"/>
      <c r="D37" s="182">
        <v>217136.53881689001</v>
      </c>
      <c r="E37" s="145"/>
      <c r="F37" s="192">
        <v>229280.37107585999</v>
      </c>
      <c r="G37" s="145"/>
      <c r="H37" s="192">
        <v>15427.6092337507</v>
      </c>
      <c r="I37" s="192">
        <v>7.6145274644000001</v>
      </c>
      <c r="J37" s="145"/>
      <c r="K37" s="182">
        <v>17074.694145752299</v>
      </c>
      <c r="L37" s="192">
        <v>8.4167891388000005</v>
      </c>
      <c r="M37" s="145"/>
      <c r="N37" s="182">
        <v>75052.596682309697</v>
      </c>
      <c r="O37" s="192">
        <v>36.464380455300002</v>
      </c>
      <c r="P37" s="145"/>
      <c r="Q37" s="192">
        <v>140037.98361315401</v>
      </c>
      <c r="R37" s="192">
        <v>67.764287627499996</v>
      </c>
      <c r="S37" s="145"/>
      <c r="T37" s="192">
        <v>1118.7730842005001</v>
      </c>
      <c r="U37" s="192">
        <v>0.55321294679999999</v>
      </c>
    </row>
    <row r="38" spans="1:25" s="138" customFormat="1" ht="12.95" customHeight="1" x14ac:dyDescent="0.2">
      <c r="B38" s="146" t="s">
        <v>33</v>
      </c>
      <c r="C38" s="137"/>
      <c r="D38" s="182">
        <v>217556.54688028601</v>
      </c>
      <c r="E38" s="145"/>
      <c r="F38" s="192">
        <v>233138.95019841401</v>
      </c>
      <c r="G38" s="145"/>
      <c r="H38" s="192">
        <v>19744.8695690688</v>
      </c>
      <c r="I38" s="192">
        <v>9.6536082309999998</v>
      </c>
      <c r="J38" s="145"/>
      <c r="K38" s="182">
        <v>12343.204409784101</v>
      </c>
      <c r="L38" s="192">
        <v>6.1293136649999997</v>
      </c>
      <c r="M38" s="145"/>
      <c r="N38" s="182">
        <v>67047.117113871893</v>
      </c>
      <c r="O38" s="192">
        <v>32.886174808299998</v>
      </c>
      <c r="P38" s="145"/>
      <c r="Q38" s="192">
        <v>149101.47634659501</v>
      </c>
      <c r="R38" s="192">
        <v>72.006708244099997</v>
      </c>
      <c r="S38" s="145"/>
      <c r="T38" s="192">
        <v>4230.8035578913004</v>
      </c>
      <c r="U38" s="192">
        <v>2.0910550590999999</v>
      </c>
    </row>
    <row r="39" spans="1:25" s="138" customFormat="1" ht="12.95" customHeight="1" x14ac:dyDescent="0.2">
      <c r="B39" s="146" t="s">
        <v>34</v>
      </c>
      <c r="C39" s="137"/>
      <c r="D39" s="182">
        <v>203275.567469545</v>
      </c>
      <c r="E39" s="145"/>
      <c r="F39" s="192">
        <v>217758.33871499699</v>
      </c>
      <c r="G39" s="145"/>
      <c r="H39" s="192">
        <v>24414.171911345598</v>
      </c>
      <c r="I39" s="192">
        <v>13.103389943</v>
      </c>
      <c r="J39" s="145"/>
      <c r="K39" s="182">
        <v>18548.196622341198</v>
      </c>
      <c r="L39" s="192">
        <v>9.7354844884999991</v>
      </c>
      <c r="M39" s="145"/>
      <c r="N39" s="182">
        <v>29977.545313876799</v>
      </c>
      <c r="O39" s="192">
        <v>16.1049933806</v>
      </c>
      <c r="P39" s="145"/>
      <c r="Q39" s="192">
        <v>155659.010663394</v>
      </c>
      <c r="R39" s="192">
        <v>81.198611962200005</v>
      </c>
      <c r="S39" s="145"/>
      <c r="T39" s="192">
        <v>2420.5715081499002</v>
      </c>
      <c r="U39" s="192">
        <v>1.3189639865</v>
      </c>
    </row>
    <row r="40" spans="1:25" s="138" customFormat="1" ht="12.95" customHeight="1" x14ac:dyDescent="0.2">
      <c r="B40" s="146" t="s">
        <v>35</v>
      </c>
      <c r="C40" s="137"/>
      <c r="D40" s="182">
        <v>170847.273332257</v>
      </c>
      <c r="E40" s="145"/>
      <c r="F40" s="192">
        <v>170519.36416073699</v>
      </c>
      <c r="G40" s="145"/>
      <c r="H40" s="192">
        <v>21222.858196362198</v>
      </c>
      <c r="I40" s="192">
        <v>13.842589719299999</v>
      </c>
      <c r="J40" s="145"/>
      <c r="K40" s="182">
        <v>14466.790778028901</v>
      </c>
      <c r="L40" s="192">
        <v>9.4571930283000007</v>
      </c>
      <c r="M40" s="145"/>
      <c r="N40" s="182">
        <v>57966.4991131555</v>
      </c>
      <c r="O40" s="192">
        <v>36.639132870600001</v>
      </c>
      <c r="P40" s="145"/>
      <c r="Q40" s="192">
        <v>100265.123188542</v>
      </c>
      <c r="R40" s="192">
        <v>63.677033144100001</v>
      </c>
      <c r="S40" s="145"/>
      <c r="T40" s="192">
        <v>1705.9305893837</v>
      </c>
      <c r="U40" s="192">
        <v>1.1229270799</v>
      </c>
    </row>
    <row r="41" spans="1:25" s="138" customFormat="1" ht="12.95" customHeight="1" x14ac:dyDescent="0.2">
      <c r="B41" s="146" t="s">
        <v>36</v>
      </c>
      <c r="C41" s="137"/>
      <c r="D41" s="182">
        <v>96653.486262555103</v>
      </c>
      <c r="E41" s="145"/>
      <c r="F41" s="192">
        <v>108963.35804791001</v>
      </c>
      <c r="G41" s="145"/>
      <c r="H41" s="192">
        <v>14375.183162023501</v>
      </c>
      <c r="I41" s="192">
        <v>15.8659612513</v>
      </c>
      <c r="J41" s="145"/>
      <c r="K41" s="182">
        <v>3251.5126958065998</v>
      </c>
      <c r="L41" s="192">
        <v>3.6706767963</v>
      </c>
      <c r="M41" s="145"/>
      <c r="N41" s="182">
        <v>13963.7983813381</v>
      </c>
      <c r="O41" s="192">
        <v>15.584253991000001</v>
      </c>
      <c r="P41" s="145"/>
      <c r="Q41" s="192">
        <v>84001.8677934851</v>
      </c>
      <c r="R41" s="192">
        <v>91.786001420600002</v>
      </c>
      <c r="S41" s="145"/>
      <c r="T41" s="192">
        <v>0</v>
      </c>
      <c r="U41" s="192">
        <v>0</v>
      </c>
    </row>
    <row r="42" spans="1:25" s="138" customFormat="1" ht="12.95" customHeight="1" x14ac:dyDescent="0.2">
      <c r="B42" s="146" t="s">
        <v>37</v>
      </c>
      <c r="C42" s="137"/>
      <c r="D42" s="182">
        <v>537821.266915716</v>
      </c>
      <c r="E42" s="145"/>
      <c r="F42" s="192">
        <v>548808.61077052797</v>
      </c>
      <c r="G42" s="145"/>
      <c r="H42" s="192">
        <v>80557.201729681896</v>
      </c>
      <c r="I42" s="192">
        <v>16.096964031100001</v>
      </c>
      <c r="J42" s="145"/>
      <c r="K42" s="182">
        <v>29790.424732405001</v>
      </c>
      <c r="L42" s="192">
        <v>6.1064263212999998</v>
      </c>
      <c r="M42" s="145"/>
      <c r="N42" s="182">
        <v>126323.874946647</v>
      </c>
      <c r="O42" s="192">
        <v>25.096238810799999</v>
      </c>
      <c r="P42" s="145"/>
      <c r="Q42" s="192">
        <v>355078.91647556698</v>
      </c>
      <c r="R42" s="192">
        <v>69.605164666999997</v>
      </c>
      <c r="S42" s="145"/>
      <c r="T42" s="192">
        <v>4197.3827059719997</v>
      </c>
      <c r="U42" s="192">
        <v>0.86154249859999998</v>
      </c>
    </row>
    <row r="43" spans="1:25" s="138" customFormat="1" ht="12.95" customHeight="1" x14ac:dyDescent="0.2">
      <c r="B43" s="146" t="s">
        <v>38</v>
      </c>
      <c r="C43" s="137"/>
      <c r="D43" s="182">
        <v>164630.493264005</v>
      </c>
      <c r="E43" s="145"/>
      <c r="F43" s="192">
        <v>178857.876425939</v>
      </c>
      <c r="G43" s="145"/>
      <c r="H43" s="192">
        <v>22760.060558529301</v>
      </c>
      <c r="I43" s="192">
        <v>14.8919774816</v>
      </c>
      <c r="J43" s="145"/>
      <c r="K43" s="182">
        <v>5787.6654940804001</v>
      </c>
      <c r="L43" s="192">
        <v>3.8413913244</v>
      </c>
      <c r="M43" s="145"/>
      <c r="N43" s="182">
        <v>32329.171670525498</v>
      </c>
      <c r="O43" s="192">
        <v>21.039283575300001</v>
      </c>
      <c r="P43" s="145"/>
      <c r="Q43" s="192">
        <v>130340.27406477901</v>
      </c>
      <c r="R43" s="192">
        <v>83.482951051900002</v>
      </c>
      <c r="S43" s="145"/>
      <c r="T43" s="192">
        <v>0</v>
      </c>
      <c r="U43" s="192">
        <v>0</v>
      </c>
    </row>
    <row r="44" spans="1:25" s="138" customFormat="1" ht="12.95" customHeight="1" x14ac:dyDescent="0.2">
      <c r="B44" s="146" t="s">
        <v>39</v>
      </c>
      <c r="C44" s="137"/>
      <c r="D44" s="182">
        <v>65121.007330113098</v>
      </c>
      <c r="E44" s="145"/>
      <c r="F44" s="192">
        <v>67004.095990618996</v>
      </c>
      <c r="G44" s="145"/>
      <c r="H44" s="192">
        <v>5742.3717236913999</v>
      </c>
      <c r="I44" s="192">
        <v>9.7050155643</v>
      </c>
      <c r="J44" s="145"/>
      <c r="K44" s="182">
        <v>1430.8627312407</v>
      </c>
      <c r="L44" s="192">
        <v>2.4857298762000002</v>
      </c>
      <c r="M44" s="145"/>
      <c r="N44" s="182">
        <v>13847.5068075616</v>
      </c>
      <c r="O44" s="192">
        <v>23.7741256475</v>
      </c>
      <c r="P44" s="145"/>
      <c r="Q44" s="192">
        <v>51415.759822816297</v>
      </c>
      <c r="R44" s="192">
        <v>83.120910229200007</v>
      </c>
      <c r="S44" s="145"/>
      <c r="T44" s="192">
        <v>940.07379654069996</v>
      </c>
      <c r="U44" s="192">
        <v>1.6106728502000001</v>
      </c>
    </row>
    <row r="45" spans="1:25" s="138" customFormat="1" ht="6" customHeight="1" x14ac:dyDescent="0.2">
      <c r="B45" s="144"/>
      <c r="C45" s="143"/>
      <c r="D45" s="141"/>
      <c r="E45" s="142"/>
      <c r="F45" s="142"/>
      <c r="G45" s="142"/>
      <c r="H45" s="142"/>
      <c r="I45" s="139"/>
      <c r="J45" s="142"/>
      <c r="K45" s="141"/>
      <c r="L45" s="139"/>
      <c r="M45" s="142"/>
      <c r="N45" s="141"/>
      <c r="O45" s="139"/>
      <c r="P45" s="140"/>
      <c r="Q45" s="140"/>
      <c r="R45" s="139"/>
      <c r="S45" s="140"/>
      <c r="T45" s="140"/>
      <c r="U45" s="139"/>
    </row>
    <row r="46" spans="1:25" ht="6" customHeight="1" x14ac:dyDescent="0.25">
      <c r="B46" s="132"/>
      <c r="C46" s="137"/>
      <c r="D46" s="136"/>
      <c r="E46" s="136"/>
      <c r="F46" s="136"/>
      <c r="G46" s="136"/>
      <c r="H46" s="136"/>
      <c r="I46" s="136"/>
      <c r="J46" s="136"/>
      <c r="K46" s="136"/>
      <c r="L46" s="135"/>
      <c r="M46" s="135"/>
      <c r="N46" s="136"/>
      <c r="O46" s="135"/>
      <c r="P46" s="132"/>
      <c r="Q46" s="132"/>
      <c r="R46" s="132"/>
      <c r="S46" s="132"/>
      <c r="T46" s="132"/>
      <c r="U46" s="132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ht="12" customHeight="1" x14ac:dyDescent="0.25">
      <c r="B48" s="137" t="s">
        <v>90</v>
      </c>
      <c r="C48" s="137"/>
      <c r="D48" s="136"/>
      <c r="E48" s="136"/>
      <c r="F48" s="136"/>
      <c r="G48" s="136"/>
      <c r="H48" s="136"/>
      <c r="I48" s="136"/>
      <c r="J48" s="136"/>
      <c r="K48" s="136"/>
      <c r="L48" s="135"/>
      <c r="M48" s="135"/>
      <c r="N48" s="136"/>
      <c r="O48" s="135"/>
      <c r="P48" s="132"/>
      <c r="Q48" s="132"/>
      <c r="R48" s="132"/>
      <c r="S48" s="132"/>
      <c r="T48" s="132"/>
      <c r="U48" s="132"/>
    </row>
    <row r="49" spans="2:21" ht="12" customHeight="1" x14ac:dyDescent="0.25">
      <c r="B49" s="137" t="s">
        <v>89</v>
      </c>
      <c r="C49" s="137"/>
      <c r="D49" s="136"/>
      <c r="E49" s="136"/>
      <c r="F49" s="136"/>
      <c r="G49" s="136"/>
      <c r="H49" s="136"/>
      <c r="I49" s="136"/>
      <c r="J49" s="136"/>
      <c r="K49" s="136"/>
      <c r="L49" s="135"/>
      <c r="M49" s="135"/>
      <c r="N49" s="136"/>
      <c r="O49" s="135"/>
      <c r="P49" s="132"/>
      <c r="Q49" s="132"/>
      <c r="R49" s="132"/>
      <c r="S49" s="132"/>
      <c r="T49" s="132"/>
      <c r="U49" s="132"/>
    </row>
    <row r="50" spans="2:21" ht="12" customHeight="1" x14ac:dyDescent="0.25">
      <c r="B50" s="137" t="s">
        <v>88</v>
      </c>
      <c r="C50" s="137"/>
      <c r="D50" s="136"/>
      <c r="E50" s="136"/>
      <c r="F50" s="136"/>
      <c r="G50" s="136"/>
      <c r="H50" s="136"/>
      <c r="I50" s="136"/>
      <c r="J50" s="136"/>
      <c r="K50" s="136"/>
      <c r="L50" s="135"/>
      <c r="M50" s="135"/>
      <c r="N50" s="136"/>
      <c r="O50" s="135"/>
      <c r="P50" s="132"/>
      <c r="Q50" s="132"/>
      <c r="R50" s="132"/>
      <c r="S50" s="132"/>
      <c r="T50" s="132"/>
      <c r="U50" s="132"/>
    </row>
    <row r="51" spans="2:21" s="101" customFormat="1" ht="14.25" x14ac:dyDescent="0.2">
      <c r="B51" s="102" t="s">
        <v>75</v>
      </c>
      <c r="F51" s="119"/>
    </row>
    <row r="52" spans="2:21" ht="12.75" customHeight="1" x14ac:dyDescent="0.25">
      <c r="B52" s="134"/>
      <c r="C52" s="132"/>
      <c r="D52" s="133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</row>
  </sheetData>
  <mergeCells count="11">
    <mergeCell ref="T8:U8"/>
    <mergeCell ref="B5:N5"/>
    <mergeCell ref="B6:O6"/>
    <mergeCell ref="B7:C9"/>
    <mergeCell ref="D7:D9"/>
    <mergeCell ref="F7:F9"/>
    <mergeCell ref="K7:U7"/>
    <mergeCell ref="H8:I8"/>
    <mergeCell ref="K8:L8"/>
    <mergeCell ref="N8:O8"/>
    <mergeCell ref="Q8:R8"/>
  </mergeCells>
  <hyperlinks>
    <hyperlink ref="U1" location="Índice!A1" tooltip="Ir a ÍNDICE" display="INDICE" xr:uid="{1AEA57D5-DA7C-46BB-BC99-B9AECBB078D7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8A65-2428-470B-A672-6578AD4AFD3F}">
  <sheetPr>
    <pageSetUpPr fitToPage="1"/>
  </sheetPr>
  <dimension ref="A1:AK51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2" customWidth="1"/>
    <col min="11" max="11" width="12.7109375" style="2" customWidth="1"/>
    <col min="12" max="12" width="10.7109375" style="2" customWidth="1"/>
    <col min="13" max="13" width="1.7109375" style="2" customWidth="1"/>
    <col min="14" max="14" width="12.7109375" style="2" customWidth="1"/>
    <col min="15" max="15" width="10.7109375" style="2" customWidth="1"/>
    <col min="16" max="16" width="1.7109375" style="2" customWidth="1"/>
    <col min="17" max="17" width="12.7109375" style="1" customWidth="1"/>
    <col min="18" max="18" width="10.7109375" style="1" customWidth="1"/>
    <col min="19" max="19" width="1.7109375" style="1" customWidth="1"/>
    <col min="20" max="20" width="13.42578125" style="1" customWidth="1"/>
    <col min="21" max="21" width="10.7109375" style="1" customWidth="1"/>
    <col min="22" max="22" width="1.7109375" style="1" customWidth="1"/>
    <col min="23" max="23" width="13.5703125" style="1" customWidth="1" collapsed="1"/>
    <col min="24" max="24" width="10.7109375" style="1" customWidth="1" collapsed="1"/>
    <col min="25" max="32" width="11.42578125" style="1"/>
    <col min="33" max="33" width="11.42578125" style="1" collapsed="1"/>
    <col min="34" max="37" width="11.42578125" style="1"/>
    <col min="38" max="16384" width="11.42578125" style="1" collapsed="1"/>
  </cols>
  <sheetData>
    <row r="1" spans="1:24" s="68" customFormat="1" x14ac:dyDescent="0.2">
      <c r="B1" s="210" t="s">
        <v>129</v>
      </c>
      <c r="J1" s="70"/>
      <c r="L1" s="70"/>
      <c r="M1" s="70"/>
      <c r="N1" s="70"/>
      <c r="O1" s="70"/>
      <c r="P1" s="70"/>
      <c r="X1" s="80" t="s">
        <v>74</v>
      </c>
    </row>
    <row r="2" spans="1:24" s="68" customFormat="1" ht="6.95" customHeight="1" x14ac:dyDescent="0.25">
      <c r="B2" s="210"/>
      <c r="J2" s="70"/>
      <c r="K2" s="70"/>
      <c r="L2" s="70"/>
      <c r="M2" s="70"/>
      <c r="N2" s="70"/>
      <c r="O2" s="70"/>
      <c r="P2" s="70"/>
    </row>
    <row r="3" spans="1:24" s="68" customForma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24" s="74" customFormat="1" ht="6.95" customHeight="1" x14ac:dyDescent="0.25">
      <c r="C4" s="176"/>
      <c r="J4" s="73"/>
      <c r="K4" s="73"/>
      <c r="L4" s="73"/>
      <c r="M4" s="73"/>
      <c r="N4" s="73"/>
      <c r="O4" s="73"/>
      <c r="P4" s="73"/>
    </row>
    <row r="5" spans="1:24" s="74" customFormat="1" ht="25.5" customHeight="1" x14ac:dyDescent="0.2">
      <c r="B5" s="242" t="s">
        <v>109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174"/>
      <c r="W5" s="174"/>
      <c r="X5" s="79" t="s">
        <v>59</v>
      </c>
    </row>
    <row r="6" spans="1:24" s="31" customFormat="1" ht="6" customHeight="1" x14ac:dyDescent="0.25">
      <c r="A6" s="177"/>
      <c r="B6" s="253"/>
      <c r="C6" s="253"/>
      <c r="D6" s="253"/>
      <c r="E6" s="253"/>
      <c r="F6" s="254"/>
      <c r="G6" s="254"/>
      <c r="H6" s="254"/>
      <c r="I6" s="254"/>
      <c r="J6" s="28"/>
      <c r="K6" s="28"/>
      <c r="L6" s="28"/>
      <c r="M6" s="28"/>
      <c r="N6" s="28"/>
      <c r="O6" s="28"/>
      <c r="P6" s="28"/>
    </row>
    <row r="7" spans="1:24" s="31" customFormat="1" ht="21.75" customHeight="1" x14ac:dyDescent="0.25">
      <c r="A7" s="177"/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106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</row>
    <row r="8" spans="1:24" s="31" customFormat="1" ht="34.5" customHeight="1" x14ac:dyDescent="0.25">
      <c r="A8" s="177"/>
      <c r="B8" s="246"/>
      <c r="C8" s="246"/>
      <c r="D8" s="268"/>
      <c r="E8" s="34"/>
      <c r="F8" s="249"/>
      <c r="G8" s="34"/>
      <c r="H8" s="232" t="s">
        <v>105</v>
      </c>
      <c r="I8" s="232"/>
      <c r="J8" s="37"/>
      <c r="K8" s="232" t="s">
        <v>104</v>
      </c>
      <c r="L8" s="232"/>
      <c r="M8" s="37"/>
      <c r="N8" s="232" t="s">
        <v>103</v>
      </c>
      <c r="O8" s="232"/>
      <c r="P8" s="37"/>
      <c r="Q8" s="232" t="s">
        <v>102</v>
      </c>
      <c r="R8" s="232"/>
      <c r="S8" s="37"/>
      <c r="T8" s="232" t="s">
        <v>110</v>
      </c>
      <c r="U8" s="232"/>
      <c r="V8" s="37"/>
      <c r="W8" s="232" t="s">
        <v>43</v>
      </c>
      <c r="X8" s="232"/>
    </row>
    <row r="9" spans="1:24" s="31" customFormat="1" ht="24" customHeight="1" x14ac:dyDescent="0.25">
      <c r="A9" s="177"/>
      <c r="B9" s="247"/>
      <c r="C9" s="247"/>
      <c r="D9" s="269"/>
      <c r="E9" s="38"/>
      <c r="F9" s="250"/>
      <c r="G9" s="38"/>
      <c r="H9" s="173" t="s">
        <v>5</v>
      </c>
      <c r="I9" s="173" t="s">
        <v>6</v>
      </c>
      <c r="J9" s="81"/>
      <c r="K9" s="173" t="s">
        <v>5</v>
      </c>
      <c r="L9" s="173" t="s">
        <v>6</v>
      </c>
      <c r="M9" s="81"/>
      <c r="N9" s="173" t="s">
        <v>5</v>
      </c>
      <c r="O9" s="173" t="s">
        <v>6</v>
      </c>
      <c r="P9" s="81"/>
      <c r="Q9" s="173" t="s">
        <v>5</v>
      </c>
      <c r="R9" s="173" t="s">
        <v>6</v>
      </c>
      <c r="S9" s="81"/>
      <c r="T9" s="173" t="s">
        <v>5</v>
      </c>
      <c r="U9" s="173" t="s">
        <v>6</v>
      </c>
      <c r="V9" s="81"/>
      <c r="W9" s="173" t="s">
        <v>5</v>
      </c>
      <c r="X9" s="173" t="s">
        <v>6</v>
      </c>
    </row>
    <row r="10" spans="1:24" s="31" customFormat="1" ht="6" customHeight="1" x14ac:dyDescent="0.25">
      <c r="A10" s="177"/>
      <c r="C10" s="193"/>
      <c r="D10" s="116"/>
      <c r="E10" s="116"/>
      <c r="F10" s="116"/>
      <c r="G10" s="116"/>
      <c r="H10" s="84"/>
      <c r="I10" s="86"/>
      <c r="J10" s="105"/>
      <c r="K10" s="105"/>
      <c r="L10" s="86"/>
      <c r="M10" s="105"/>
      <c r="N10" s="105"/>
      <c r="O10" s="86"/>
      <c r="P10" s="105"/>
      <c r="Q10" s="117"/>
      <c r="R10" s="86"/>
      <c r="S10" s="117"/>
      <c r="T10" s="117"/>
      <c r="U10" s="86"/>
      <c r="V10" s="117"/>
      <c r="W10" s="117"/>
      <c r="X10" s="86"/>
    </row>
    <row r="11" spans="1:24" s="92" customFormat="1" ht="12.95" customHeight="1" x14ac:dyDescent="0.2">
      <c r="B11" s="40" t="s">
        <v>7</v>
      </c>
      <c r="D11" s="194">
        <v>5230715.2387773301</v>
      </c>
      <c r="E11" s="107"/>
      <c r="F11" s="194">
        <v>5530028.5069711301</v>
      </c>
      <c r="G11" s="107"/>
      <c r="H11" s="194">
        <v>2006985.7123107801</v>
      </c>
      <c r="I11" s="194">
        <v>39.141796960599997</v>
      </c>
      <c r="J11" s="107"/>
      <c r="K11" s="194">
        <v>267076.11862670199</v>
      </c>
      <c r="L11" s="194">
        <v>5.2227036864</v>
      </c>
      <c r="M11" s="107"/>
      <c r="N11" s="194">
        <v>663990.00454963499</v>
      </c>
      <c r="O11" s="194">
        <v>12.989260999900001</v>
      </c>
      <c r="P11" s="107"/>
      <c r="Q11" s="194">
        <v>3011855.7368066702</v>
      </c>
      <c r="R11" s="194">
        <v>58.406942491499997</v>
      </c>
      <c r="S11" s="107"/>
      <c r="T11" s="194">
        <v>406156.42933999002</v>
      </c>
      <c r="U11" s="194">
        <v>7.9476224011000003</v>
      </c>
      <c r="V11" s="107"/>
      <c r="W11" s="194">
        <v>103479.047816818</v>
      </c>
      <c r="X11" s="194">
        <v>2.0304044596000002</v>
      </c>
    </row>
    <row r="12" spans="1:24" s="92" customFormat="1" ht="6" customHeight="1" x14ac:dyDescent="0.2">
      <c r="B12" s="40"/>
      <c r="D12" s="108"/>
      <c r="E12" s="108"/>
      <c r="F12" s="108"/>
      <c r="G12" s="108"/>
      <c r="H12" s="108"/>
      <c r="I12" s="109"/>
      <c r="J12" s="108"/>
      <c r="K12" s="108"/>
      <c r="L12" s="109"/>
      <c r="M12" s="108"/>
      <c r="N12" s="108"/>
      <c r="O12" s="109"/>
      <c r="P12" s="108"/>
      <c r="Q12" s="108"/>
      <c r="R12" s="109"/>
      <c r="S12" s="108"/>
      <c r="T12" s="108"/>
      <c r="U12" s="109"/>
      <c r="V12" s="108"/>
      <c r="W12" s="108"/>
      <c r="X12" s="109"/>
    </row>
    <row r="13" spans="1:24" s="50" customFormat="1" ht="12.95" customHeight="1" x14ac:dyDescent="0.2">
      <c r="B13" s="20" t="s">
        <v>8</v>
      </c>
      <c r="D13" s="184">
        <v>50325.724338500899</v>
      </c>
      <c r="E13" s="108"/>
      <c r="F13" s="184">
        <v>50998.549055660304</v>
      </c>
      <c r="G13" s="108"/>
      <c r="H13" s="184">
        <v>31437.0391990311</v>
      </c>
      <c r="I13" s="184">
        <v>66.212988504600006</v>
      </c>
      <c r="J13" s="108"/>
      <c r="K13" s="184">
        <v>3531.2145885492</v>
      </c>
      <c r="L13" s="184">
        <v>7.9005019643000001</v>
      </c>
      <c r="M13" s="108"/>
      <c r="N13" s="184">
        <v>5319.5168088962</v>
      </c>
      <c r="O13" s="184">
        <v>11.8189998389</v>
      </c>
      <c r="P13" s="108"/>
      <c r="Q13" s="184">
        <v>17326.092342898199</v>
      </c>
      <c r="R13" s="184">
        <v>38.2318214493</v>
      </c>
      <c r="S13" s="108"/>
      <c r="T13" s="184">
        <v>2127.9521934968002</v>
      </c>
      <c r="U13" s="184">
        <v>4.7782569707000002</v>
      </c>
      <c r="V13" s="108"/>
      <c r="W13" s="184">
        <v>1896.0012909812001</v>
      </c>
      <c r="X13" s="184">
        <v>4.2556189104</v>
      </c>
    </row>
    <row r="14" spans="1:24" s="50" customFormat="1" ht="12.95" customHeight="1" x14ac:dyDescent="0.2">
      <c r="B14" s="20" t="s">
        <v>9</v>
      </c>
      <c r="D14" s="182">
        <v>231371.811490925</v>
      </c>
      <c r="E14" s="108"/>
      <c r="F14" s="184">
        <v>238929.96605805299</v>
      </c>
      <c r="G14" s="108"/>
      <c r="H14" s="182">
        <v>153710.71990110801</v>
      </c>
      <c r="I14" s="184">
        <v>69.356398490100005</v>
      </c>
      <c r="J14" s="108"/>
      <c r="K14" s="184">
        <v>7371.7707871045995</v>
      </c>
      <c r="L14" s="184">
        <v>3.5772600285</v>
      </c>
      <c r="M14" s="108"/>
      <c r="N14" s="184">
        <v>14173.323882127501</v>
      </c>
      <c r="O14" s="184">
        <v>6.9426603454000002</v>
      </c>
      <c r="P14" s="108"/>
      <c r="Q14" s="184">
        <v>89275.818266660906</v>
      </c>
      <c r="R14" s="184">
        <v>42.3859322721</v>
      </c>
      <c r="S14" s="108"/>
      <c r="T14" s="184">
        <v>9299.7735062104002</v>
      </c>
      <c r="U14" s="184">
        <v>4.5342906632000002</v>
      </c>
      <c r="V14" s="108"/>
      <c r="W14" s="184">
        <v>3049.4287658397998</v>
      </c>
      <c r="X14" s="184">
        <v>1.4852450850000001</v>
      </c>
    </row>
    <row r="15" spans="1:24" s="50" customFormat="1" ht="12.95" customHeight="1" x14ac:dyDescent="0.2">
      <c r="B15" s="20" t="s">
        <v>10</v>
      </c>
      <c r="D15" s="182">
        <v>45259.865250946597</v>
      </c>
      <c r="E15" s="108"/>
      <c r="F15" s="184">
        <v>50878.6768439632</v>
      </c>
      <c r="G15" s="108"/>
      <c r="H15" s="182">
        <v>17777.131364598699</v>
      </c>
      <c r="I15" s="184">
        <v>46.277820483699998</v>
      </c>
      <c r="J15" s="108"/>
      <c r="K15" s="184">
        <v>4303.8706613167997</v>
      </c>
      <c r="L15" s="184">
        <v>11.245951161500001</v>
      </c>
      <c r="M15" s="108"/>
      <c r="N15" s="184">
        <v>2702.0509196726998</v>
      </c>
      <c r="O15" s="184">
        <v>7.0097390805000002</v>
      </c>
      <c r="P15" s="108"/>
      <c r="Q15" s="184">
        <v>31358.633643102799</v>
      </c>
      <c r="R15" s="184">
        <v>73.823955098900001</v>
      </c>
      <c r="S15" s="108"/>
      <c r="T15" s="184">
        <v>2839.5752008650002</v>
      </c>
      <c r="U15" s="184">
        <v>7.2744799547000003</v>
      </c>
      <c r="V15" s="108"/>
      <c r="W15" s="184">
        <v>325.31699611499999</v>
      </c>
      <c r="X15" s="184">
        <v>0.84681628939999998</v>
      </c>
    </row>
    <row r="16" spans="1:24" s="50" customFormat="1" ht="12.95" customHeight="1" x14ac:dyDescent="0.2">
      <c r="B16" s="20" t="s">
        <v>11</v>
      </c>
      <c r="D16" s="182">
        <v>51027.449179426098</v>
      </c>
      <c r="E16" s="108"/>
      <c r="F16" s="184">
        <v>53089.746832286997</v>
      </c>
      <c r="G16" s="108"/>
      <c r="H16" s="182">
        <v>14521.9738338405</v>
      </c>
      <c r="I16" s="184">
        <v>31.300765693900001</v>
      </c>
      <c r="J16" s="108"/>
      <c r="K16" s="184">
        <v>1688.8989906526001</v>
      </c>
      <c r="L16" s="184">
        <v>3.7317463773999999</v>
      </c>
      <c r="M16" s="108"/>
      <c r="N16" s="184">
        <v>6048.6892462786</v>
      </c>
      <c r="O16" s="184">
        <v>13.2644725799</v>
      </c>
      <c r="P16" s="108"/>
      <c r="Q16" s="184">
        <v>35058.421071369703</v>
      </c>
      <c r="R16" s="184">
        <v>72.015449044500002</v>
      </c>
      <c r="S16" s="108"/>
      <c r="T16" s="184">
        <v>9861.5403004423006</v>
      </c>
      <c r="U16" s="184">
        <v>20.958480112299998</v>
      </c>
      <c r="V16" s="108"/>
      <c r="W16" s="184">
        <v>1531.5227408799999</v>
      </c>
      <c r="X16" s="184">
        <v>3.3944164036000002</v>
      </c>
    </row>
    <row r="17" spans="2:24" s="50" customFormat="1" ht="12.95" customHeight="1" x14ac:dyDescent="0.2">
      <c r="B17" s="20" t="s">
        <v>12</v>
      </c>
      <c r="D17" s="182">
        <v>132506.66749401399</v>
      </c>
      <c r="E17" s="108"/>
      <c r="F17" s="184">
        <v>132942.50218789201</v>
      </c>
      <c r="G17" s="108"/>
      <c r="H17" s="182">
        <v>91435.384534464698</v>
      </c>
      <c r="I17" s="184">
        <v>73.512050156900003</v>
      </c>
      <c r="J17" s="108"/>
      <c r="K17" s="184">
        <v>8264.5116340801997</v>
      </c>
      <c r="L17" s="184">
        <v>6.9603693734999998</v>
      </c>
      <c r="M17" s="108"/>
      <c r="N17" s="184">
        <v>13096.7903048341</v>
      </c>
      <c r="O17" s="184">
        <v>10.9701379938</v>
      </c>
      <c r="P17" s="108"/>
      <c r="Q17" s="184">
        <v>36170.170482060399</v>
      </c>
      <c r="R17" s="184">
        <v>29.631274947200001</v>
      </c>
      <c r="S17" s="108"/>
      <c r="T17" s="184">
        <v>4424.4292366464997</v>
      </c>
      <c r="U17" s="184">
        <v>3.6983366906000001</v>
      </c>
      <c r="V17" s="108"/>
      <c r="W17" s="184">
        <v>2956.5159728657</v>
      </c>
      <c r="X17" s="184">
        <v>2.5033749485999999</v>
      </c>
    </row>
    <row r="18" spans="2:24" s="50" customFormat="1" ht="12.95" customHeight="1" x14ac:dyDescent="0.2">
      <c r="B18" s="20" t="s">
        <v>13</v>
      </c>
      <c r="D18" s="182">
        <v>28631.464849849599</v>
      </c>
      <c r="E18" s="108"/>
      <c r="F18" s="184">
        <v>29200.7731934408</v>
      </c>
      <c r="G18" s="108"/>
      <c r="H18" s="182">
        <v>16419.4662072266</v>
      </c>
      <c r="I18" s="184">
        <v>61.370422527199999</v>
      </c>
      <c r="J18" s="108"/>
      <c r="K18" s="184">
        <v>2478.7898673954001</v>
      </c>
      <c r="L18" s="184">
        <v>9.7264584089999992</v>
      </c>
      <c r="M18" s="108"/>
      <c r="N18" s="184">
        <v>4558.5951011661</v>
      </c>
      <c r="O18" s="184">
        <v>17.8312732674</v>
      </c>
      <c r="P18" s="108"/>
      <c r="Q18" s="184">
        <v>9181.3580818353003</v>
      </c>
      <c r="R18" s="184">
        <v>35.427440366799999</v>
      </c>
      <c r="S18" s="108"/>
      <c r="T18" s="184">
        <v>3756.4756674632999</v>
      </c>
      <c r="U18" s="184">
        <v>14.6393468011</v>
      </c>
      <c r="V18" s="108"/>
      <c r="W18" s="184">
        <v>897.67333174830003</v>
      </c>
      <c r="X18" s="184">
        <v>3.5376542019000001</v>
      </c>
    </row>
    <row r="19" spans="2:24" s="50" customFormat="1" ht="12.95" customHeight="1" x14ac:dyDescent="0.2">
      <c r="B19" s="20" t="s">
        <v>14</v>
      </c>
      <c r="D19" s="182">
        <v>284193.548295338</v>
      </c>
      <c r="E19" s="108"/>
      <c r="F19" s="184">
        <v>294958.812252726</v>
      </c>
      <c r="G19" s="108"/>
      <c r="H19" s="182">
        <v>27470.987490908501</v>
      </c>
      <c r="I19" s="184">
        <v>10.7543361474</v>
      </c>
      <c r="J19" s="108"/>
      <c r="K19" s="184">
        <v>12921.2349153205</v>
      </c>
      <c r="L19" s="184">
        <v>5.0857728483000004</v>
      </c>
      <c r="M19" s="108"/>
      <c r="N19" s="184">
        <v>42634.1620606492</v>
      </c>
      <c r="O19" s="184">
        <v>16.432980795599999</v>
      </c>
      <c r="P19" s="108"/>
      <c r="Q19" s="184">
        <v>223960.06032535899</v>
      </c>
      <c r="R19" s="184">
        <v>81.894029947799993</v>
      </c>
      <c r="S19" s="108"/>
      <c r="T19" s="184">
        <v>48693.832254210603</v>
      </c>
      <c r="U19" s="184">
        <v>19.054992154499999</v>
      </c>
      <c r="V19" s="108"/>
      <c r="W19" s="184">
        <v>9520.4213924970009</v>
      </c>
      <c r="X19" s="184">
        <v>3.7525264321999998</v>
      </c>
    </row>
    <row r="20" spans="2:24" s="51" customFormat="1" ht="12.95" customHeight="1" x14ac:dyDescent="0.2">
      <c r="B20" s="20" t="s">
        <v>15</v>
      </c>
      <c r="C20" s="50"/>
      <c r="D20" s="182">
        <v>139498.360611343</v>
      </c>
      <c r="E20" s="108"/>
      <c r="F20" s="184">
        <v>141859.10122734201</v>
      </c>
      <c r="G20" s="108"/>
      <c r="H20" s="182">
        <v>90920.273321730303</v>
      </c>
      <c r="I20" s="184">
        <v>69.5351671735</v>
      </c>
      <c r="J20" s="108"/>
      <c r="K20" s="184">
        <v>12194.259100015701</v>
      </c>
      <c r="L20" s="184">
        <v>9.6121218417000005</v>
      </c>
      <c r="M20" s="108"/>
      <c r="N20" s="184">
        <v>15379.3667672909</v>
      </c>
      <c r="O20" s="184">
        <v>12.1485993338</v>
      </c>
      <c r="P20" s="108"/>
      <c r="Q20" s="184">
        <v>48301.318617508397</v>
      </c>
      <c r="R20" s="184">
        <v>37.793696022200002</v>
      </c>
      <c r="S20" s="108"/>
      <c r="T20" s="184">
        <v>4460.5042834045998</v>
      </c>
      <c r="U20" s="184">
        <v>3.5534220967999999</v>
      </c>
      <c r="V20" s="108"/>
      <c r="W20" s="184">
        <v>1356.8099106261</v>
      </c>
      <c r="X20" s="184">
        <v>1.0821593330999999</v>
      </c>
    </row>
    <row r="21" spans="2:24" s="51" customFormat="1" ht="12.95" customHeight="1" x14ac:dyDescent="0.2">
      <c r="B21" s="20" t="s">
        <v>16</v>
      </c>
      <c r="C21" s="50"/>
      <c r="D21" s="182">
        <v>634390.80179106805</v>
      </c>
      <c r="E21" s="108"/>
      <c r="F21" s="184">
        <v>650379.80818508496</v>
      </c>
      <c r="G21" s="108"/>
      <c r="H21" s="182">
        <v>293874.49828577798</v>
      </c>
      <c r="I21" s="184">
        <v>49.192093915900003</v>
      </c>
      <c r="J21" s="108"/>
      <c r="K21" s="184">
        <v>91056.679356457797</v>
      </c>
      <c r="L21" s="184">
        <v>15.537074735899999</v>
      </c>
      <c r="M21" s="108"/>
      <c r="N21" s="184">
        <v>131893.71012188899</v>
      </c>
      <c r="O21" s="184">
        <v>22.480154442</v>
      </c>
      <c r="P21" s="108"/>
      <c r="Q21" s="184">
        <v>253563.66163079301</v>
      </c>
      <c r="R21" s="184">
        <v>42.9079498929</v>
      </c>
      <c r="S21" s="108"/>
      <c r="T21" s="184">
        <v>66482.770920834795</v>
      </c>
      <c r="U21" s="184">
        <v>11.3693112979</v>
      </c>
      <c r="V21" s="108"/>
      <c r="W21" s="184">
        <v>27540.523248150101</v>
      </c>
      <c r="X21" s="184">
        <v>4.7443657862000004</v>
      </c>
    </row>
    <row r="22" spans="2:24" s="51" customFormat="1" ht="12.95" customHeight="1" x14ac:dyDescent="0.2">
      <c r="B22" s="20" t="s">
        <v>17</v>
      </c>
      <c r="C22" s="50"/>
      <c r="D22" s="182">
        <v>74484.883197755</v>
      </c>
      <c r="E22" s="108"/>
      <c r="F22" s="184">
        <v>76063.569987410607</v>
      </c>
      <c r="G22" s="108"/>
      <c r="H22" s="182">
        <v>29808.801418786999</v>
      </c>
      <c r="I22" s="184">
        <v>43.493695341600002</v>
      </c>
      <c r="J22" s="108"/>
      <c r="K22" s="184">
        <v>8359.5671920911009</v>
      </c>
      <c r="L22" s="184">
        <v>12.4073254295</v>
      </c>
      <c r="M22" s="108"/>
      <c r="N22" s="184">
        <v>9599.2994691989006</v>
      </c>
      <c r="O22" s="184">
        <v>14.2352608171</v>
      </c>
      <c r="P22" s="108"/>
      <c r="Q22" s="184">
        <v>38498.902903934599</v>
      </c>
      <c r="R22" s="184">
        <v>55.268218818900003</v>
      </c>
      <c r="S22" s="108"/>
      <c r="T22" s="184">
        <v>4636.4002510043001</v>
      </c>
      <c r="U22" s="184">
        <v>6.8303848130000002</v>
      </c>
      <c r="V22" s="108"/>
      <c r="W22" s="184">
        <v>2359.5882939454</v>
      </c>
      <c r="X22" s="184">
        <v>3.4994613562999999</v>
      </c>
    </row>
    <row r="23" spans="2:24" s="51" customFormat="1" ht="12.95" customHeight="1" x14ac:dyDescent="0.2">
      <c r="B23" s="20" t="s">
        <v>18</v>
      </c>
      <c r="C23" s="50"/>
      <c r="D23" s="182">
        <v>245055.92001217601</v>
      </c>
      <c r="E23" s="108"/>
      <c r="F23" s="184">
        <v>262058.986290203</v>
      </c>
      <c r="G23" s="108"/>
      <c r="H23" s="182">
        <v>133734.69153056899</v>
      </c>
      <c r="I23" s="184">
        <v>59.028670688299997</v>
      </c>
      <c r="J23" s="108"/>
      <c r="K23" s="184">
        <v>12438.2281074815</v>
      </c>
      <c r="L23" s="184">
        <v>5.6038251841999998</v>
      </c>
      <c r="M23" s="108"/>
      <c r="N23" s="184">
        <v>23108.06803323</v>
      </c>
      <c r="O23" s="184">
        <v>10.4146812321</v>
      </c>
      <c r="P23" s="108"/>
      <c r="Q23" s="184">
        <v>106814.774716527</v>
      </c>
      <c r="R23" s="184">
        <v>46.636303038000001</v>
      </c>
      <c r="S23" s="108"/>
      <c r="T23" s="184">
        <v>16040.218473863501</v>
      </c>
      <c r="U23" s="184">
        <v>7.1688472531</v>
      </c>
      <c r="V23" s="108"/>
      <c r="W23" s="184">
        <v>28374.111650852301</v>
      </c>
      <c r="X23" s="184">
        <v>12.5702218384</v>
      </c>
    </row>
    <row r="24" spans="2:24" s="51" customFormat="1" ht="12.95" customHeight="1" x14ac:dyDescent="0.2">
      <c r="B24" s="20" t="s">
        <v>19</v>
      </c>
      <c r="C24" s="50"/>
      <c r="D24" s="182">
        <v>210664.92195599899</v>
      </c>
      <c r="E24" s="108"/>
      <c r="F24" s="184">
        <v>223518.33088530099</v>
      </c>
      <c r="G24" s="108"/>
      <c r="H24" s="182">
        <v>23720.102191865801</v>
      </c>
      <c r="I24" s="184">
        <v>12.386216642400001</v>
      </c>
      <c r="J24" s="108"/>
      <c r="K24" s="184">
        <v>12409.2898210736</v>
      </c>
      <c r="L24" s="184">
        <v>6.4325265037000001</v>
      </c>
      <c r="M24" s="108"/>
      <c r="N24" s="184">
        <v>33987.758706137502</v>
      </c>
      <c r="O24" s="184">
        <v>17.491637176200001</v>
      </c>
      <c r="P24" s="108"/>
      <c r="Q24" s="184">
        <v>175556.96078562</v>
      </c>
      <c r="R24" s="184">
        <v>87.285753868300006</v>
      </c>
      <c r="S24" s="108"/>
      <c r="T24" s="184">
        <v>25903.0038502645</v>
      </c>
      <c r="U24" s="184">
        <v>13.504281085700001</v>
      </c>
      <c r="V24" s="108"/>
      <c r="W24" s="184">
        <v>5180.9179019909998</v>
      </c>
      <c r="X24" s="184">
        <v>2.7030225044999998</v>
      </c>
    </row>
    <row r="25" spans="2:24" s="51" customFormat="1" ht="12.95" customHeight="1" x14ac:dyDescent="0.2">
      <c r="B25" s="20" t="s">
        <v>20</v>
      </c>
      <c r="C25" s="50"/>
      <c r="D25" s="182">
        <v>101749.848765182</v>
      </c>
      <c r="E25" s="108"/>
      <c r="F25" s="184">
        <v>107011.64764557101</v>
      </c>
      <c r="G25" s="108"/>
      <c r="H25" s="182">
        <v>17640.6561961566</v>
      </c>
      <c r="I25" s="184">
        <v>19.422573595300001</v>
      </c>
      <c r="J25" s="108"/>
      <c r="K25" s="184">
        <v>5056.7364232171003</v>
      </c>
      <c r="L25" s="184">
        <v>5.6423975225999996</v>
      </c>
      <c r="M25" s="108"/>
      <c r="N25" s="184">
        <v>8364.1690584126009</v>
      </c>
      <c r="O25" s="184">
        <v>9.3783739301000004</v>
      </c>
      <c r="P25" s="108"/>
      <c r="Q25" s="184">
        <v>92872.359018259507</v>
      </c>
      <c r="R25" s="184">
        <v>95.898264115100005</v>
      </c>
      <c r="S25" s="108"/>
      <c r="T25" s="184">
        <v>4728.2908755306999</v>
      </c>
      <c r="U25" s="184">
        <v>5.2577492424000001</v>
      </c>
      <c r="V25" s="108"/>
      <c r="W25" s="184">
        <v>2161.6369518173001</v>
      </c>
      <c r="X25" s="184">
        <v>2.4155119378999999</v>
      </c>
    </row>
    <row r="26" spans="2:24" s="51" customFormat="1" ht="12.95" customHeight="1" x14ac:dyDescent="0.2">
      <c r="B26" s="20" t="s">
        <v>21</v>
      </c>
      <c r="C26" s="50"/>
      <c r="D26" s="182">
        <v>322273.32141097297</v>
      </c>
      <c r="E26" s="108"/>
      <c r="F26" s="184">
        <v>333368.87391591602</v>
      </c>
      <c r="G26" s="108"/>
      <c r="H26" s="182">
        <v>152264.26018231001</v>
      </c>
      <c r="I26" s="184">
        <v>51.961148603399998</v>
      </c>
      <c r="J26" s="108"/>
      <c r="K26" s="184">
        <v>17735.938269746901</v>
      </c>
      <c r="L26" s="184">
        <v>6.0487882319999997</v>
      </c>
      <c r="M26" s="108"/>
      <c r="N26" s="184">
        <v>58685.339289939897</v>
      </c>
      <c r="O26" s="184">
        <v>20.112750183199999</v>
      </c>
      <c r="P26" s="108"/>
      <c r="Q26" s="184">
        <v>179342.87093438601</v>
      </c>
      <c r="R26" s="184">
        <v>59.2778204456</v>
      </c>
      <c r="S26" s="108"/>
      <c r="T26" s="184">
        <v>16907.495361828202</v>
      </c>
      <c r="U26" s="184">
        <v>5.8194193909000003</v>
      </c>
      <c r="V26" s="108"/>
      <c r="W26" s="184">
        <v>5215.3367234771003</v>
      </c>
      <c r="X26" s="184">
        <v>1.8065609862000001</v>
      </c>
    </row>
    <row r="27" spans="2:24" s="51" customFormat="1" ht="12.95" customHeight="1" x14ac:dyDescent="0.2">
      <c r="B27" s="20" t="s">
        <v>22</v>
      </c>
      <c r="C27" s="50"/>
      <c r="D27" s="182">
        <v>619669.30203754199</v>
      </c>
      <c r="E27" s="108"/>
      <c r="F27" s="184">
        <v>681166.61164602905</v>
      </c>
      <c r="G27" s="108"/>
      <c r="H27" s="182">
        <v>224315.928595996</v>
      </c>
      <c r="I27" s="184">
        <v>40.364985209899999</v>
      </c>
      <c r="J27" s="108"/>
      <c r="K27" s="184">
        <v>30793.163074250901</v>
      </c>
      <c r="L27" s="184">
        <v>5.5042227970999997</v>
      </c>
      <c r="M27" s="108"/>
      <c r="N27" s="184">
        <v>70072.537121095695</v>
      </c>
      <c r="O27" s="184">
        <v>12.717931206299999</v>
      </c>
      <c r="P27" s="108"/>
      <c r="Q27" s="184">
        <v>467370.09026468598</v>
      </c>
      <c r="R27" s="184">
        <v>79.963459574300003</v>
      </c>
      <c r="S27" s="108"/>
      <c r="T27" s="184">
        <v>39686.059834519401</v>
      </c>
      <c r="U27" s="184">
        <v>7.2553773497999998</v>
      </c>
      <c r="V27" s="108"/>
      <c r="W27" s="184">
        <v>6054.0699520918997</v>
      </c>
      <c r="X27" s="184">
        <v>1.1098484764000001</v>
      </c>
    </row>
    <row r="28" spans="2:24" s="51" customFormat="1" ht="12.95" customHeight="1" x14ac:dyDescent="0.2">
      <c r="B28" s="20" t="s">
        <v>23</v>
      </c>
      <c r="C28" s="50"/>
      <c r="D28" s="182">
        <v>183362.682668227</v>
      </c>
      <c r="E28" s="108"/>
      <c r="F28" s="184">
        <v>188966.827634188</v>
      </c>
      <c r="G28" s="108"/>
      <c r="H28" s="182">
        <v>74020.437414909393</v>
      </c>
      <c r="I28" s="184">
        <v>43.1096709543</v>
      </c>
      <c r="J28" s="108"/>
      <c r="K28" s="184">
        <v>4764.6362685955</v>
      </c>
      <c r="L28" s="184">
        <v>2.9980539004</v>
      </c>
      <c r="M28" s="108"/>
      <c r="N28" s="184">
        <v>35570.810154022103</v>
      </c>
      <c r="O28" s="184">
        <v>22.1428133189</v>
      </c>
      <c r="P28" s="108"/>
      <c r="Q28" s="184">
        <v>123789.576720267</v>
      </c>
      <c r="R28" s="184">
        <v>73.495906483900001</v>
      </c>
      <c r="S28" s="108"/>
      <c r="T28" s="184">
        <v>16872.9316481397</v>
      </c>
      <c r="U28" s="184">
        <v>10.569029631099999</v>
      </c>
      <c r="V28" s="108"/>
      <c r="W28" s="184">
        <v>2715.8862495374001</v>
      </c>
      <c r="X28" s="184">
        <v>1.7001146949999999</v>
      </c>
    </row>
    <row r="29" spans="2:24" s="51" customFormat="1" ht="12.95" customHeight="1" x14ac:dyDescent="0.2">
      <c r="B29" s="20" t="s">
        <v>24</v>
      </c>
      <c r="C29" s="50"/>
      <c r="D29" s="182">
        <v>78900.610851651902</v>
      </c>
      <c r="E29" s="108"/>
      <c r="F29" s="184">
        <v>83024.872032767002</v>
      </c>
      <c r="G29" s="108"/>
      <c r="H29" s="182">
        <v>21555.045914625902</v>
      </c>
      <c r="I29" s="184">
        <v>29.586952981300001</v>
      </c>
      <c r="J29" s="108"/>
      <c r="K29" s="184">
        <v>6698.2896236016004</v>
      </c>
      <c r="L29" s="184">
        <v>9.3152877002000007</v>
      </c>
      <c r="M29" s="108"/>
      <c r="N29" s="184">
        <v>14068.949500004899</v>
      </c>
      <c r="O29" s="184">
        <v>19.398907348200002</v>
      </c>
      <c r="P29" s="108"/>
      <c r="Q29" s="184">
        <v>53794.601291778097</v>
      </c>
      <c r="R29" s="184">
        <v>72.352013057099995</v>
      </c>
      <c r="S29" s="108"/>
      <c r="T29" s="184">
        <v>6926.3333982226004</v>
      </c>
      <c r="U29" s="184">
        <v>9.6873889040000005</v>
      </c>
      <c r="V29" s="108"/>
      <c r="W29" s="184">
        <v>1267.4733425983</v>
      </c>
      <c r="X29" s="184">
        <v>1.7870596909000001</v>
      </c>
    </row>
    <row r="30" spans="2:24" s="51" customFormat="1" ht="12.95" customHeight="1" x14ac:dyDescent="0.2">
      <c r="B30" s="20" t="s">
        <v>25</v>
      </c>
      <c r="C30" s="50"/>
      <c r="D30" s="182">
        <v>59340.529813057998</v>
      </c>
      <c r="E30" s="108"/>
      <c r="F30" s="184">
        <v>61687.275887048498</v>
      </c>
      <c r="G30" s="108"/>
      <c r="H30" s="182">
        <v>23020.9827107651</v>
      </c>
      <c r="I30" s="184">
        <v>42.179007201499999</v>
      </c>
      <c r="J30" s="108"/>
      <c r="K30" s="184">
        <v>3879.5406560993001</v>
      </c>
      <c r="L30" s="184">
        <v>7.3413736364000002</v>
      </c>
      <c r="M30" s="108"/>
      <c r="N30" s="184">
        <v>7899.7505942019998</v>
      </c>
      <c r="O30" s="184">
        <v>15.23433311</v>
      </c>
      <c r="P30" s="108"/>
      <c r="Q30" s="184">
        <v>34592.688186744701</v>
      </c>
      <c r="R30" s="184">
        <v>61.551368914199998</v>
      </c>
      <c r="S30" s="108"/>
      <c r="T30" s="184">
        <v>7409.9402134066004</v>
      </c>
      <c r="U30" s="184">
        <v>13.917932074199999</v>
      </c>
      <c r="V30" s="108"/>
      <c r="W30" s="184">
        <v>1030.9957022013</v>
      </c>
      <c r="X30" s="184">
        <v>1.9424275596</v>
      </c>
    </row>
    <row r="31" spans="2:24" s="51" customFormat="1" ht="12.95" customHeight="1" x14ac:dyDescent="0.2">
      <c r="B31" s="20" t="s">
        <v>26</v>
      </c>
      <c r="C31" s="50"/>
      <c r="D31" s="182">
        <v>175830.086357658</v>
      </c>
      <c r="E31" s="108"/>
      <c r="F31" s="184">
        <v>173085.72687458401</v>
      </c>
      <c r="G31" s="108"/>
      <c r="H31" s="182">
        <v>120016.508857389</v>
      </c>
      <c r="I31" s="184">
        <v>75.482327173200005</v>
      </c>
      <c r="J31" s="108"/>
      <c r="K31" s="184">
        <v>8665.1210183154999</v>
      </c>
      <c r="L31" s="184">
        <v>5.7545701605000001</v>
      </c>
      <c r="M31" s="108"/>
      <c r="N31" s="184">
        <v>21882.042578444001</v>
      </c>
      <c r="O31" s="184">
        <v>13.9603138929</v>
      </c>
      <c r="P31" s="108"/>
      <c r="Q31" s="184">
        <v>50616.531921421498</v>
      </c>
      <c r="R31" s="184">
        <v>32.450910747499996</v>
      </c>
      <c r="S31" s="108"/>
      <c r="T31" s="184">
        <v>5967.4071559346003</v>
      </c>
      <c r="U31" s="184">
        <v>3.8742919771</v>
      </c>
      <c r="V31" s="108"/>
      <c r="W31" s="184">
        <v>6193.6715768966997</v>
      </c>
      <c r="X31" s="184">
        <v>4.1252115989</v>
      </c>
    </row>
    <row r="32" spans="2:24" s="51" customFormat="1" ht="12.95" customHeight="1" x14ac:dyDescent="0.2">
      <c r="B32" s="20" t="s">
        <v>27</v>
      </c>
      <c r="C32" s="50"/>
      <c r="D32" s="182">
        <v>201735.97788275499</v>
      </c>
      <c r="E32" s="108"/>
      <c r="F32" s="184">
        <v>211253.35805221999</v>
      </c>
      <c r="G32" s="108"/>
      <c r="H32" s="182">
        <v>21472.420500232201</v>
      </c>
      <c r="I32" s="184">
        <v>11.981206010299999</v>
      </c>
      <c r="J32" s="108"/>
      <c r="K32" s="184">
        <v>15119.034902723</v>
      </c>
      <c r="L32" s="184">
        <v>8.4863275188999996</v>
      </c>
      <c r="M32" s="108"/>
      <c r="N32" s="184">
        <v>48077.671803090903</v>
      </c>
      <c r="O32" s="184">
        <v>25.956147739999999</v>
      </c>
      <c r="P32" s="108"/>
      <c r="Q32" s="184">
        <v>167003.40065590999</v>
      </c>
      <c r="R32" s="184">
        <v>87.180613696099996</v>
      </c>
      <c r="S32" s="108"/>
      <c r="T32" s="184">
        <v>13175.7892391233</v>
      </c>
      <c r="U32" s="184">
        <v>7.3871675585999999</v>
      </c>
      <c r="V32" s="108"/>
      <c r="W32" s="184">
        <v>4003.8645917376998</v>
      </c>
      <c r="X32" s="184">
        <v>2.2424067493000002</v>
      </c>
    </row>
    <row r="33" spans="1:24" s="51" customFormat="1" ht="12.95" customHeight="1" x14ac:dyDescent="0.2">
      <c r="B33" s="20" t="s">
        <v>28</v>
      </c>
      <c r="C33" s="50"/>
      <c r="D33" s="182">
        <v>288051.35222599702</v>
      </c>
      <c r="E33" s="108"/>
      <c r="F33" s="184">
        <v>316392.09166845999</v>
      </c>
      <c r="G33" s="108"/>
      <c r="H33" s="182">
        <v>74431.849304923802</v>
      </c>
      <c r="I33" s="184">
        <v>28.993796033199999</v>
      </c>
      <c r="J33" s="108"/>
      <c r="K33" s="184">
        <v>7891.9298579548004</v>
      </c>
      <c r="L33" s="184">
        <v>3.1081992611000002</v>
      </c>
      <c r="M33" s="108"/>
      <c r="N33" s="184">
        <v>34241.643251598798</v>
      </c>
      <c r="O33" s="184">
        <v>13.378674248699999</v>
      </c>
      <c r="P33" s="108"/>
      <c r="Q33" s="184">
        <v>242669.235646555</v>
      </c>
      <c r="R33" s="184">
        <v>89.952239422700004</v>
      </c>
      <c r="S33" s="108"/>
      <c r="T33" s="184">
        <v>63450.890660326899</v>
      </c>
      <c r="U33" s="184">
        <v>23.9308451068</v>
      </c>
      <c r="V33" s="108"/>
      <c r="W33" s="184">
        <v>4554.1909114884002</v>
      </c>
      <c r="X33" s="184">
        <v>1.8031136478000001</v>
      </c>
    </row>
    <row r="34" spans="1:24" s="51" customFormat="1" ht="12.95" customHeight="1" x14ac:dyDescent="0.2">
      <c r="B34" s="20" t="s">
        <v>29</v>
      </c>
      <c r="C34" s="50"/>
      <c r="D34" s="182">
        <v>109138.090123648</v>
      </c>
      <c r="E34" s="108"/>
      <c r="F34" s="184">
        <v>115296.238624103</v>
      </c>
      <c r="G34" s="108"/>
      <c r="H34" s="182">
        <v>52065.061768093801</v>
      </c>
      <c r="I34" s="184">
        <v>51.7459049522</v>
      </c>
      <c r="J34" s="108"/>
      <c r="K34" s="184">
        <v>3611.4842933741002</v>
      </c>
      <c r="L34" s="184">
        <v>3.8016185849999999</v>
      </c>
      <c r="M34" s="108"/>
      <c r="N34" s="184">
        <v>19274.416412650098</v>
      </c>
      <c r="O34" s="184">
        <v>19.905210054200001</v>
      </c>
      <c r="P34" s="108"/>
      <c r="Q34" s="184">
        <v>68560.438369705094</v>
      </c>
      <c r="R34" s="184">
        <v>67.704145049399997</v>
      </c>
      <c r="S34" s="108"/>
      <c r="T34" s="184">
        <v>5521.5514956637999</v>
      </c>
      <c r="U34" s="184">
        <v>5.7998911576000003</v>
      </c>
      <c r="V34" s="108"/>
      <c r="W34" s="184">
        <v>1020.9771365353999</v>
      </c>
      <c r="X34" s="184">
        <v>1.0822436464</v>
      </c>
    </row>
    <row r="35" spans="1:24" s="51" customFormat="1" ht="12.95" customHeight="1" x14ac:dyDescent="0.2">
      <c r="B35" s="20" t="s">
        <v>30</v>
      </c>
      <c r="C35" s="50"/>
      <c r="D35" s="182">
        <v>108330.84640313601</v>
      </c>
      <c r="E35" s="108"/>
      <c r="F35" s="184">
        <v>114211.792851684</v>
      </c>
      <c r="G35" s="108"/>
      <c r="H35" s="182">
        <v>63434.339411433997</v>
      </c>
      <c r="I35" s="184">
        <v>62.662088025400003</v>
      </c>
      <c r="J35" s="108"/>
      <c r="K35" s="184">
        <v>5542.9495611968996</v>
      </c>
      <c r="L35" s="184">
        <v>5.7379646050000002</v>
      </c>
      <c r="M35" s="108"/>
      <c r="N35" s="184">
        <v>12680.9365616995</v>
      </c>
      <c r="O35" s="184">
        <v>13.242702861</v>
      </c>
      <c r="P35" s="108"/>
      <c r="Q35" s="184">
        <v>52061.807352519201</v>
      </c>
      <c r="R35" s="184">
        <v>51.507878793099998</v>
      </c>
      <c r="S35" s="108"/>
      <c r="T35" s="184">
        <v>6260.8389843181003</v>
      </c>
      <c r="U35" s="184">
        <v>6.3793395426000004</v>
      </c>
      <c r="V35" s="108"/>
      <c r="W35" s="184">
        <v>2655.5848591213999</v>
      </c>
      <c r="X35" s="184">
        <v>2.7623121601</v>
      </c>
    </row>
    <row r="36" spans="1:24" s="51" customFormat="1" ht="12.95" customHeight="1" x14ac:dyDescent="0.2">
      <c r="B36" s="20" t="s">
        <v>31</v>
      </c>
      <c r="C36" s="50"/>
      <c r="D36" s="182">
        <v>99514.318564059198</v>
      </c>
      <c r="E36" s="108"/>
      <c r="F36" s="184">
        <v>107524.738593631</v>
      </c>
      <c r="G36" s="108"/>
      <c r="H36" s="182">
        <v>53216.705476953</v>
      </c>
      <c r="I36" s="184">
        <v>58.9059955492</v>
      </c>
      <c r="J36" s="108"/>
      <c r="K36" s="184">
        <v>7262.5328820264003</v>
      </c>
      <c r="L36" s="184">
        <v>8.2216969051</v>
      </c>
      <c r="M36" s="108"/>
      <c r="N36" s="184">
        <v>12035.6398089869</v>
      </c>
      <c r="O36" s="184">
        <v>13.410496907300001</v>
      </c>
      <c r="P36" s="108"/>
      <c r="Q36" s="184">
        <v>45686.1180770469</v>
      </c>
      <c r="R36" s="184">
        <v>49.7774575555</v>
      </c>
      <c r="S36" s="108"/>
      <c r="T36" s="184">
        <v>6203.3507276630999</v>
      </c>
      <c r="U36" s="184">
        <v>7.0524020642999998</v>
      </c>
      <c r="V36" s="108"/>
      <c r="W36" s="184">
        <v>4469.7697785198998</v>
      </c>
      <c r="X36" s="184">
        <v>5.0738609327999997</v>
      </c>
    </row>
    <row r="37" spans="1:24" s="51" customFormat="1" ht="12.95" customHeight="1" x14ac:dyDescent="0.2">
      <c r="B37" s="20" t="s">
        <v>32</v>
      </c>
      <c r="C37" s="50"/>
      <c r="D37" s="182">
        <v>179094.23344799399</v>
      </c>
      <c r="E37" s="108"/>
      <c r="F37" s="184">
        <v>188801.481650395</v>
      </c>
      <c r="G37" s="108"/>
      <c r="H37" s="182">
        <v>100990.644984632</v>
      </c>
      <c r="I37" s="184">
        <v>58.907632898400003</v>
      </c>
      <c r="J37" s="108"/>
      <c r="K37" s="184">
        <v>14082.6019315542</v>
      </c>
      <c r="L37" s="184">
        <v>8.5310655163</v>
      </c>
      <c r="M37" s="108"/>
      <c r="N37" s="184">
        <v>23335.8180057053</v>
      </c>
      <c r="O37" s="184">
        <v>14.001939072200001</v>
      </c>
      <c r="P37" s="108"/>
      <c r="Q37" s="184">
        <v>74029.022682517694</v>
      </c>
      <c r="R37" s="184">
        <v>44.309772221700001</v>
      </c>
      <c r="S37" s="108"/>
      <c r="T37" s="184">
        <v>9996.0909340529997</v>
      </c>
      <c r="U37" s="184">
        <v>6.0475220314999998</v>
      </c>
      <c r="V37" s="108"/>
      <c r="W37" s="184">
        <v>3261.9295340172998</v>
      </c>
      <c r="X37" s="184">
        <v>1.982276956</v>
      </c>
    </row>
    <row r="38" spans="1:24" s="51" customFormat="1" ht="12.95" customHeight="1" x14ac:dyDescent="0.2">
      <c r="B38" s="20" t="s">
        <v>33</v>
      </c>
      <c r="C38" s="50"/>
      <c r="D38" s="182">
        <v>171188.36903391301</v>
      </c>
      <c r="E38" s="108"/>
      <c r="F38" s="184">
        <v>181130.796087169</v>
      </c>
      <c r="G38" s="108"/>
      <c r="H38" s="182">
        <v>86748.776191709097</v>
      </c>
      <c r="I38" s="184">
        <v>54.217493943800001</v>
      </c>
      <c r="J38" s="108"/>
      <c r="K38" s="184">
        <v>11249.7204859833</v>
      </c>
      <c r="L38" s="184">
        <v>7.1754156172999997</v>
      </c>
      <c r="M38" s="108"/>
      <c r="N38" s="184">
        <v>20355.221656810401</v>
      </c>
      <c r="O38" s="184">
        <v>13.042848151799999</v>
      </c>
      <c r="P38" s="108"/>
      <c r="Q38" s="184">
        <v>74264.867766423995</v>
      </c>
      <c r="R38" s="184">
        <v>45.918541665699998</v>
      </c>
      <c r="S38" s="108"/>
      <c r="T38" s="184">
        <v>18913.780240457101</v>
      </c>
      <c r="U38" s="184">
        <v>11.920938809900001</v>
      </c>
      <c r="V38" s="108"/>
      <c r="W38" s="184">
        <v>4549.5341275382998</v>
      </c>
      <c r="X38" s="184">
        <v>2.9265727702</v>
      </c>
    </row>
    <row r="39" spans="1:24" s="51" customFormat="1" ht="12.95" customHeight="1" x14ac:dyDescent="0.2">
      <c r="B39" s="20" t="s">
        <v>34</v>
      </c>
      <c r="C39" s="50"/>
      <c r="D39" s="182">
        <v>136432.170824228</v>
      </c>
      <c r="E39" s="108"/>
      <c r="F39" s="184">
        <v>148525.378028893</v>
      </c>
      <c r="G39" s="108"/>
      <c r="H39" s="182">
        <v>28816.3666715533</v>
      </c>
      <c r="I39" s="184">
        <v>22.704140907300001</v>
      </c>
      <c r="J39" s="108"/>
      <c r="K39" s="184">
        <v>3844.8023749704998</v>
      </c>
      <c r="L39" s="184">
        <v>3.1342615876000002</v>
      </c>
      <c r="M39" s="108"/>
      <c r="N39" s="184">
        <v>20749.967187554299</v>
      </c>
      <c r="O39" s="184">
        <v>16.575834095299999</v>
      </c>
      <c r="P39" s="108"/>
      <c r="Q39" s="184">
        <v>99334.425779393496</v>
      </c>
      <c r="R39" s="184">
        <v>78.691587608899994</v>
      </c>
      <c r="S39" s="108"/>
      <c r="T39" s="184">
        <v>22667.547598770401</v>
      </c>
      <c r="U39" s="184">
        <v>18.096315743400002</v>
      </c>
      <c r="V39" s="108"/>
      <c r="W39" s="184">
        <v>3455.5985938821</v>
      </c>
      <c r="X39" s="184">
        <v>2.7749658778000001</v>
      </c>
    </row>
    <row r="40" spans="1:24" s="51" customFormat="1" ht="12.95" customHeight="1" x14ac:dyDescent="0.2">
      <c r="B40" s="20" t="s">
        <v>35</v>
      </c>
      <c r="C40" s="50"/>
      <c r="D40" s="182">
        <v>130458.19625794</v>
      </c>
      <c r="E40" s="108"/>
      <c r="F40" s="184">
        <v>130086.987151104</v>
      </c>
      <c r="G40" s="108"/>
      <c r="H40" s="182">
        <v>77556.650136169395</v>
      </c>
      <c r="I40" s="184">
        <v>63.565738673600002</v>
      </c>
      <c r="J40" s="108"/>
      <c r="K40" s="184">
        <v>5219.2199847639004</v>
      </c>
      <c r="L40" s="184">
        <v>4.4965330877999996</v>
      </c>
      <c r="M40" s="108"/>
      <c r="N40" s="184">
        <v>12913.436277385999</v>
      </c>
      <c r="O40" s="184">
        <v>11.099158139</v>
      </c>
      <c r="P40" s="108"/>
      <c r="Q40" s="184">
        <v>51898.9050428806</v>
      </c>
      <c r="R40" s="184">
        <v>43.463219494100002</v>
      </c>
      <c r="S40" s="108"/>
      <c r="T40" s="184">
        <v>6985.6747221777996</v>
      </c>
      <c r="U40" s="184">
        <v>6.0435989134000003</v>
      </c>
      <c r="V40" s="108"/>
      <c r="W40" s="184">
        <v>4151.5741789813001</v>
      </c>
      <c r="X40" s="184">
        <v>3.5995057816</v>
      </c>
    </row>
    <row r="41" spans="1:24" s="51" customFormat="1" ht="12.95" customHeight="1" x14ac:dyDescent="0.2">
      <c r="B41" s="20" t="s">
        <v>36</v>
      </c>
      <c r="C41" s="50"/>
      <c r="D41" s="182">
        <v>69917.697860439905</v>
      </c>
      <c r="E41" s="108"/>
      <c r="F41" s="184">
        <v>78586.292497000206</v>
      </c>
      <c r="G41" s="108"/>
      <c r="H41" s="182">
        <v>11481.060273867701</v>
      </c>
      <c r="I41" s="184">
        <v>17.983782890899999</v>
      </c>
      <c r="J41" s="108"/>
      <c r="K41" s="184">
        <v>4035.0363570922</v>
      </c>
      <c r="L41" s="184">
        <v>6.2776826057999999</v>
      </c>
      <c r="M41" s="108"/>
      <c r="N41" s="184">
        <v>4182.7693819624001</v>
      </c>
      <c r="O41" s="184">
        <v>6.5575760519999999</v>
      </c>
      <c r="P41" s="108"/>
      <c r="Q41" s="184">
        <v>63919.905923715698</v>
      </c>
      <c r="R41" s="184">
        <v>95.086055480799999</v>
      </c>
      <c r="S41" s="108"/>
      <c r="T41" s="184">
        <v>11650.303220826199</v>
      </c>
      <c r="U41" s="184">
        <v>17.839718863200002</v>
      </c>
      <c r="V41" s="108"/>
      <c r="W41" s="184">
        <v>0</v>
      </c>
      <c r="X41" s="184">
        <v>0</v>
      </c>
    </row>
    <row r="42" spans="1:24" s="51" customFormat="1" ht="12.95" customHeight="1" x14ac:dyDescent="0.2">
      <c r="B42" s="20" t="s">
        <v>37</v>
      </c>
      <c r="C42" s="50"/>
      <c r="D42" s="182">
        <v>369628.49264371698</v>
      </c>
      <c r="E42" s="108"/>
      <c r="F42" s="184">
        <v>369241.92770942999</v>
      </c>
      <c r="G42" s="108"/>
      <c r="H42" s="182">
        <v>84532.811236574795</v>
      </c>
      <c r="I42" s="184">
        <v>24.611668181599999</v>
      </c>
      <c r="J42" s="108"/>
      <c r="K42" s="184">
        <v>12049.790104334401</v>
      </c>
      <c r="L42" s="184">
        <v>3.5998168726999999</v>
      </c>
      <c r="M42" s="108"/>
      <c r="N42" s="184">
        <v>58276.938730120099</v>
      </c>
      <c r="O42" s="184">
        <v>17.380318839699999</v>
      </c>
      <c r="P42" s="108"/>
      <c r="Q42" s="184">
        <v>257407.40635204801</v>
      </c>
      <c r="R42" s="184">
        <v>73.578418322800005</v>
      </c>
      <c r="S42" s="108"/>
      <c r="T42" s="184">
        <v>46243.031487455199</v>
      </c>
      <c r="U42" s="184">
        <v>13.6321724435</v>
      </c>
      <c r="V42" s="108"/>
      <c r="W42" s="184">
        <v>5898.0078558653004</v>
      </c>
      <c r="X42" s="184">
        <v>1.7725181119</v>
      </c>
    </row>
    <row r="43" spans="1:24" s="51" customFormat="1" ht="12.95" customHeight="1" x14ac:dyDescent="0.2">
      <c r="B43" s="20" t="s">
        <v>38</v>
      </c>
      <c r="C43" s="50"/>
      <c r="D43" s="182">
        <v>131404.293620549</v>
      </c>
      <c r="E43" s="108"/>
      <c r="F43" s="184">
        <v>138575.25860043801</v>
      </c>
      <c r="G43" s="108"/>
      <c r="H43" s="182">
        <v>58658.5649268712</v>
      </c>
      <c r="I43" s="184">
        <v>47.9136036015</v>
      </c>
      <c r="J43" s="108"/>
      <c r="K43" s="184">
        <v>6322.8666079120003</v>
      </c>
      <c r="L43" s="184">
        <v>5.2961101938999997</v>
      </c>
      <c r="M43" s="108"/>
      <c r="N43" s="184">
        <v>24666.440000555202</v>
      </c>
      <c r="O43" s="184">
        <v>20.111924669899999</v>
      </c>
      <c r="P43" s="108"/>
      <c r="Q43" s="184">
        <v>87120.460083368598</v>
      </c>
      <c r="R43" s="184">
        <v>69.795303050699999</v>
      </c>
      <c r="S43" s="108"/>
      <c r="T43" s="184">
        <v>11737.2141100832</v>
      </c>
      <c r="U43" s="184">
        <v>9.8643169096999994</v>
      </c>
      <c r="V43" s="108"/>
      <c r="W43" s="184">
        <v>3060.8551744628999</v>
      </c>
      <c r="X43" s="184">
        <v>2.5703001570000001</v>
      </c>
    </row>
    <row r="44" spans="1:24" s="51" customFormat="1" ht="12.95" customHeight="1" x14ac:dyDescent="0.2">
      <c r="B44" s="20" t="s">
        <v>39</v>
      </c>
      <c r="C44" s="50"/>
      <c r="D44" s="182">
        <v>47765.042636505998</v>
      </c>
      <c r="E44" s="108"/>
      <c r="F44" s="184">
        <v>49103.302162113301</v>
      </c>
      <c r="G44" s="108"/>
      <c r="H44" s="182">
        <v>15619.0370562226</v>
      </c>
      <c r="I44" s="184">
        <v>36.326771888099998</v>
      </c>
      <c r="J44" s="108"/>
      <c r="K44" s="184">
        <v>4556.3423264517996</v>
      </c>
      <c r="L44" s="184">
        <v>10.811939086100001</v>
      </c>
      <c r="M44" s="108"/>
      <c r="N44" s="184">
        <v>6935.0953750334002</v>
      </c>
      <c r="O44" s="184">
        <v>16.2735011145</v>
      </c>
      <c r="P44" s="108"/>
      <c r="Q44" s="184">
        <v>32571.938218695101</v>
      </c>
      <c r="R44" s="184">
        <v>72.828388225699996</v>
      </c>
      <c r="S44" s="108"/>
      <c r="T44" s="184">
        <v>3442.8439741466</v>
      </c>
      <c r="U44" s="184">
        <v>8.2172596462000005</v>
      </c>
      <c r="V44" s="108"/>
      <c r="W44" s="184">
        <v>893.76596488309997</v>
      </c>
      <c r="X44" s="184">
        <v>2.1615301016999999</v>
      </c>
    </row>
    <row r="45" spans="1:24" s="28" customFormat="1" ht="6" customHeight="1" x14ac:dyDescent="0.2">
      <c r="A45" s="178"/>
      <c r="B45" s="21"/>
      <c r="C45" s="30"/>
      <c r="D45" s="110"/>
      <c r="E45" s="111"/>
      <c r="F45" s="111"/>
      <c r="G45" s="111"/>
      <c r="H45" s="110"/>
      <c r="I45" s="170"/>
      <c r="J45" s="171"/>
      <c r="K45" s="172"/>
      <c r="L45" s="170"/>
      <c r="M45" s="172"/>
      <c r="N45" s="171"/>
      <c r="O45" s="170"/>
      <c r="P45" s="171"/>
      <c r="Q45" s="171"/>
      <c r="R45" s="170"/>
      <c r="S45" s="171"/>
      <c r="T45" s="171"/>
      <c r="U45" s="170"/>
      <c r="V45" s="171"/>
      <c r="W45" s="171"/>
      <c r="X45" s="170"/>
    </row>
    <row r="46" spans="1:24" s="28" customFormat="1" ht="6" customHeight="1" x14ac:dyDescent="0.25">
      <c r="A46" s="178"/>
      <c r="C46" s="51"/>
      <c r="D46" s="169"/>
      <c r="E46" s="169"/>
      <c r="F46" s="169"/>
      <c r="G46" s="169"/>
      <c r="H46" s="169"/>
      <c r="I46" s="168"/>
      <c r="Q46" s="31"/>
      <c r="R46" s="31"/>
      <c r="S46" s="31"/>
      <c r="T46" s="31"/>
      <c r="U46" s="31"/>
    </row>
    <row r="47" spans="1:24" s="180" customFormat="1" ht="11.25" x14ac:dyDescent="0.2">
      <c r="A47" s="179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</row>
    <row r="48" spans="1:24" s="28" customFormat="1" ht="14.25" customHeight="1" x14ac:dyDescent="0.25">
      <c r="A48" s="178"/>
      <c r="B48" s="51" t="s">
        <v>101</v>
      </c>
      <c r="C48" s="51"/>
      <c r="D48" s="169"/>
      <c r="E48" s="169"/>
      <c r="F48" s="169"/>
      <c r="G48" s="169"/>
      <c r="H48" s="169"/>
      <c r="I48" s="168"/>
      <c r="Q48" s="31"/>
      <c r="R48" s="31"/>
      <c r="S48" s="31"/>
      <c r="T48" s="31"/>
      <c r="U48" s="31"/>
    </row>
    <row r="49" spans="1:21" s="28" customFormat="1" ht="15" x14ac:dyDescent="0.25">
      <c r="A49" s="178"/>
      <c r="B49" s="51" t="s">
        <v>100</v>
      </c>
      <c r="C49" s="51"/>
      <c r="D49" s="169"/>
      <c r="E49" s="169"/>
      <c r="F49" s="169"/>
      <c r="G49" s="169"/>
      <c r="H49" s="169"/>
      <c r="I49" s="168"/>
      <c r="Q49" s="31"/>
      <c r="R49" s="31"/>
      <c r="S49" s="31"/>
      <c r="T49" s="31"/>
      <c r="U49" s="31"/>
    </row>
    <row r="50" spans="1:21" s="28" customFormat="1" ht="15" x14ac:dyDescent="0.25">
      <c r="A50" s="178"/>
      <c r="B50" s="51" t="s">
        <v>111</v>
      </c>
      <c r="C50" s="51"/>
      <c r="D50" s="169"/>
      <c r="E50" s="169"/>
      <c r="F50" s="169"/>
      <c r="G50" s="169"/>
      <c r="H50" s="169"/>
      <c r="I50" s="168"/>
      <c r="Q50" s="31"/>
      <c r="R50" s="31"/>
      <c r="S50" s="31"/>
      <c r="T50" s="31"/>
      <c r="U50" s="31"/>
    </row>
    <row r="51" spans="1:21" s="101" customFormat="1" ht="14.25" x14ac:dyDescent="0.2">
      <c r="B51" s="102" t="s">
        <v>75</v>
      </c>
      <c r="F51" s="119"/>
    </row>
  </sheetData>
  <mergeCells count="12">
    <mergeCell ref="T8:U8"/>
    <mergeCell ref="W8:X8"/>
    <mergeCell ref="B5:U5"/>
    <mergeCell ref="B6:I6"/>
    <mergeCell ref="B7:C9"/>
    <mergeCell ref="D7:D9"/>
    <mergeCell ref="F7:F9"/>
    <mergeCell ref="H7:X7"/>
    <mergeCell ref="H8:I8"/>
    <mergeCell ref="K8:L8"/>
    <mergeCell ref="N8:O8"/>
    <mergeCell ref="Q8:R8"/>
  </mergeCells>
  <hyperlinks>
    <hyperlink ref="X1" location="Índice!A1" tooltip="Ir a ÍNDICE" display="INDICE" xr:uid="{FFE91195-66CA-4818-A7D4-5522A05E61F2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645E-3A46-4ABA-94B5-2D66BCDF1ED2}">
  <sheetPr>
    <pageSetUpPr fitToPage="1"/>
  </sheetPr>
  <dimension ref="A1:AJ56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4.8554687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1.28515625" style="1" customWidth="1" collapsed="1"/>
    <col min="10" max="10" width="1.7109375" style="1" customWidth="1" collapsed="1"/>
    <col min="11" max="11" width="11.28515625" style="1" customWidth="1" collapsed="1"/>
    <col min="12" max="12" width="11.42578125" style="1" customWidth="1" collapsed="1"/>
    <col min="13" max="13" width="1.7109375" style="2" customWidth="1"/>
    <col min="14" max="15" width="11.42578125" style="2"/>
    <col min="16" max="16" width="1.7109375" style="2" customWidth="1"/>
    <col min="17" max="18" width="11.42578125" style="2"/>
    <col min="19" max="19" width="1.7109375" style="2" customWidth="1"/>
    <col min="20" max="36" width="11.42578125" style="1"/>
    <col min="37" max="16384" width="11.42578125" style="1" collapsed="1"/>
  </cols>
  <sheetData>
    <row r="1" spans="2:21" s="68" customFormat="1" x14ac:dyDescent="0.2">
      <c r="B1" s="210" t="s">
        <v>129</v>
      </c>
      <c r="M1" s="70"/>
      <c r="N1" s="70"/>
      <c r="O1" s="70"/>
      <c r="P1" s="70"/>
      <c r="Q1" s="70"/>
      <c r="R1" s="70"/>
      <c r="S1" s="70"/>
      <c r="U1" s="80" t="s">
        <v>74</v>
      </c>
    </row>
    <row r="2" spans="2:21" s="68" customFormat="1" ht="6.95" customHeight="1" x14ac:dyDescent="0.25">
      <c r="B2" s="210"/>
      <c r="M2" s="70"/>
      <c r="N2" s="70"/>
      <c r="O2" s="70"/>
      <c r="P2" s="70"/>
      <c r="Q2" s="70"/>
      <c r="R2" s="70"/>
      <c r="S2" s="70"/>
    </row>
    <row r="3" spans="2:21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  <c r="R3" s="70"/>
      <c r="S3" s="70"/>
    </row>
    <row r="4" spans="2:21" s="68" customFormat="1" ht="6.95" customHeight="1" x14ac:dyDescent="0.25">
      <c r="C4" s="71"/>
      <c r="M4" s="70"/>
      <c r="N4" s="70"/>
      <c r="O4" s="70"/>
      <c r="P4" s="70"/>
      <c r="Q4" s="70"/>
      <c r="R4" s="70"/>
      <c r="S4" s="70"/>
    </row>
    <row r="5" spans="2:21" s="68" customFormat="1" ht="25.5" customHeight="1" x14ac:dyDescent="0.2">
      <c r="B5" s="242" t="s">
        <v>118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174"/>
      <c r="T5" s="174"/>
      <c r="U5" s="79" t="s">
        <v>60</v>
      </c>
    </row>
    <row r="6" spans="2:21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28"/>
      <c r="R6" s="28"/>
      <c r="S6" s="28"/>
      <c r="T6" s="31"/>
      <c r="U6" s="31"/>
    </row>
    <row r="7" spans="2:21" ht="27" customHeight="1" x14ac:dyDescent="0.25"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117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</row>
    <row r="8" spans="2:21" ht="34.5" customHeight="1" x14ac:dyDescent="0.25">
      <c r="B8" s="246"/>
      <c r="C8" s="246"/>
      <c r="D8" s="268"/>
      <c r="E8" s="34"/>
      <c r="F8" s="249"/>
      <c r="G8" s="34"/>
      <c r="H8" s="252" t="s">
        <v>116</v>
      </c>
      <c r="I8" s="252"/>
      <c r="J8" s="36"/>
      <c r="K8" s="232" t="s">
        <v>115</v>
      </c>
      <c r="L8" s="232"/>
      <c r="M8" s="37"/>
      <c r="N8" s="232" t="s">
        <v>114</v>
      </c>
      <c r="O8" s="232"/>
      <c r="P8" s="37"/>
      <c r="Q8" s="232" t="s">
        <v>113</v>
      </c>
      <c r="R8" s="232"/>
      <c r="S8" s="37"/>
      <c r="T8" s="232" t="s">
        <v>43</v>
      </c>
      <c r="U8" s="232"/>
    </row>
    <row r="9" spans="2:21" ht="21.75" customHeight="1" x14ac:dyDescent="0.25">
      <c r="B9" s="247"/>
      <c r="C9" s="247"/>
      <c r="D9" s="269"/>
      <c r="E9" s="38"/>
      <c r="F9" s="250"/>
      <c r="G9" s="38"/>
      <c r="H9" s="173" t="s">
        <v>5</v>
      </c>
      <c r="I9" s="173" t="s">
        <v>6</v>
      </c>
      <c r="J9" s="29"/>
      <c r="K9" s="173" t="s">
        <v>5</v>
      </c>
      <c r="L9" s="173" t="s">
        <v>6</v>
      </c>
      <c r="M9" s="81"/>
      <c r="N9" s="173" t="s">
        <v>5</v>
      </c>
      <c r="O9" s="173" t="s">
        <v>6</v>
      </c>
      <c r="P9" s="81"/>
      <c r="Q9" s="173" t="s">
        <v>5</v>
      </c>
      <c r="R9" s="173" t="s">
        <v>6</v>
      </c>
      <c r="S9" s="81"/>
      <c r="T9" s="173" t="s">
        <v>5</v>
      </c>
      <c r="U9" s="173" t="s">
        <v>6</v>
      </c>
    </row>
    <row r="10" spans="2:21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05"/>
      <c r="R10" s="86"/>
      <c r="S10" s="105"/>
      <c r="T10" s="117"/>
      <c r="U10" s="86"/>
    </row>
    <row r="11" spans="2:21" s="88" customFormat="1" ht="12.95" customHeight="1" x14ac:dyDescent="0.2">
      <c r="B11" s="40" t="s">
        <v>7</v>
      </c>
      <c r="C11" s="92"/>
      <c r="D11" s="202">
        <v>5230715.2387773301</v>
      </c>
      <c r="E11" s="203"/>
      <c r="F11" s="202">
        <v>5530028.5069711301</v>
      </c>
      <c r="G11" s="203"/>
      <c r="H11" s="202">
        <v>1760946.6101605</v>
      </c>
      <c r="I11" s="202">
        <v>34.302017588600002</v>
      </c>
      <c r="J11" s="203"/>
      <c r="K11" s="202">
        <v>1352602.76582111</v>
      </c>
      <c r="L11" s="202">
        <v>26.356062550000001</v>
      </c>
      <c r="M11" s="203"/>
      <c r="N11" s="202">
        <v>1339330.82719075</v>
      </c>
      <c r="O11" s="202">
        <v>26.155123976599999</v>
      </c>
      <c r="P11" s="203"/>
      <c r="Q11" s="202">
        <v>693386.70496186102</v>
      </c>
      <c r="R11" s="202">
        <v>13.5488761972</v>
      </c>
      <c r="S11" s="203"/>
      <c r="T11" s="202">
        <v>576927.55198627105</v>
      </c>
      <c r="U11" s="202">
        <v>11.2870688219</v>
      </c>
    </row>
    <row r="12" spans="2:21" s="88" customFormat="1" ht="6" customHeight="1" x14ac:dyDescent="0.2">
      <c r="B12" s="40"/>
      <c r="C12" s="92"/>
      <c r="D12" s="199"/>
      <c r="E12" s="199"/>
      <c r="F12" s="199"/>
      <c r="G12" s="199"/>
      <c r="H12" s="199"/>
      <c r="I12" s="201"/>
      <c r="J12" s="199"/>
      <c r="K12" s="199"/>
      <c r="L12" s="201"/>
      <c r="M12" s="199"/>
      <c r="N12" s="199"/>
      <c r="O12" s="201"/>
      <c r="P12" s="199"/>
      <c r="Q12" s="199"/>
      <c r="R12" s="201"/>
      <c r="S12" s="199"/>
      <c r="T12" s="199"/>
      <c r="U12" s="201"/>
    </row>
    <row r="13" spans="2:21" s="3" customFormat="1" ht="12.95" customHeight="1" x14ac:dyDescent="0.2">
      <c r="B13" s="20" t="s">
        <v>8</v>
      </c>
      <c r="C13" s="50"/>
      <c r="D13" s="198">
        <v>50325.724338500899</v>
      </c>
      <c r="E13" s="199"/>
      <c r="F13" s="198">
        <v>50998.549055660304</v>
      </c>
      <c r="G13" s="199"/>
      <c r="H13" s="198">
        <v>4028.8755309061999</v>
      </c>
      <c r="I13" s="198">
        <v>9.0732374698000005</v>
      </c>
      <c r="J13" s="199"/>
      <c r="K13" s="198">
        <v>13213.539724017601</v>
      </c>
      <c r="L13" s="198">
        <v>29.304825579199999</v>
      </c>
      <c r="M13" s="199"/>
      <c r="N13" s="198">
        <v>23237.416476469502</v>
      </c>
      <c r="O13" s="198">
        <v>49.717177299900001</v>
      </c>
      <c r="P13" s="199"/>
      <c r="Q13" s="198">
        <v>10811.0700233547</v>
      </c>
      <c r="R13" s="198">
        <v>23.7301070589</v>
      </c>
      <c r="S13" s="199"/>
      <c r="T13" s="198">
        <v>7675.5882786225002</v>
      </c>
      <c r="U13" s="198">
        <v>17.058685064799999</v>
      </c>
    </row>
    <row r="14" spans="2:21" s="3" customFormat="1" ht="12.95" customHeight="1" x14ac:dyDescent="0.2">
      <c r="B14" s="20" t="s">
        <v>9</v>
      </c>
      <c r="C14" s="50"/>
      <c r="D14" s="198">
        <v>231371.811490925</v>
      </c>
      <c r="E14" s="199"/>
      <c r="F14" s="198">
        <v>238929.96605805299</v>
      </c>
      <c r="G14" s="199"/>
      <c r="H14" s="198">
        <v>36392.846929080697</v>
      </c>
      <c r="I14" s="198">
        <v>17.5977112779</v>
      </c>
      <c r="J14" s="199"/>
      <c r="K14" s="198">
        <v>89808.006682522493</v>
      </c>
      <c r="L14" s="198">
        <v>41.133863800299999</v>
      </c>
      <c r="M14" s="199"/>
      <c r="N14" s="198">
        <v>84029.817012183601</v>
      </c>
      <c r="O14" s="198">
        <v>39.725305168399998</v>
      </c>
      <c r="P14" s="199"/>
      <c r="Q14" s="198">
        <v>39125.281087793199</v>
      </c>
      <c r="R14" s="198">
        <v>19.1127174678</v>
      </c>
      <c r="S14" s="199"/>
      <c r="T14" s="198">
        <v>20515.574417198</v>
      </c>
      <c r="U14" s="198">
        <v>9.9985781856999996</v>
      </c>
    </row>
    <row r="15" spans="2:21" s="3" customFormat="1" ht="12.95" customHeight="1" x14ac:dyDescent="0.2">
      <c r="B15" s="20" t="s">
        <v>10</v>
      </c>
      <c r="C15" s="50"/>
      <c r="D15" s="200">
        <v>45259.865250946597</v>
      </c>
      <c r="E15" s="199"/>
      <c r="F15" s="198">
        <v>50878.6768439632</v>
      </c>
      <c r="G15" s="199"/>
      <c r="H15" s="200">
        <v>9910.5482682607999</v>
      </c>
      <c r="I15" s="198">
        <v>25.777765458200001</v>
      </c>
      <c r="J15" s="199"/>
      <c r="K15" s="200">
        <v>21679.2517452379</v>
      </c>
      <c r="L15" s="198">
        <v>52.112533016199997</v>
      </c>
      <c r="M15" s="199"/>
      <c r="N15" s="198">
        <v>15807.1418280173</v>
      </c>
      <c r="O15" s="198">
        <v>40.581675093100003</v>
      </c>
      <c r="P15" s="199"/>
      <c r="Q15" s="198">
        <v>7478.6747760331</v>
      </c>
      <c r="R15" s="198">
        <v>19.790401788200001</v>
      </c>
      <c r="S15" s="199"/>
      <c r="T15" s="198">
        <v>4002.5285419951001</v>
      </c>
      <c r="U15" s="198">
        <v>10.4971672697</v>
      </c>
    </row>
    <row r="16" spans="2:21" s="3" customFormat="1" ht="12.95" customHeight="1" x14ac:dyDescent="0.2">
      <c r="B16" s="20" t="s">
        <v>11</v>
      </c>
      <c r="C16" s="50"/>
      <c r="D16" s="200">
        <v>51027.449179426098</v>
      </c>
      <c r="E16" s="199"/>
      <c r="F16" s="198">
        <v>53089.746832286997</v>
      </c>
      <c r="G16" s="199"/>
      <c r="H16" s="200">
        <v>24768.064687353399</v>
      </c>
      <c r="I16" s="198">
        <v>51.4923046352</v>
      </c>
      <c r="J16" s="199"/>
      <c r="K16" s="200">
        <v>9595.1134018003995</v>
      </c>
      <c r="L16" s="198">
        <v>20.885434534600002</v>
      </c>
      <c r="M16" s="199"/>
      <c r="N16" s="198">
        <v>9278.9140535921997</v>
      </c>
      <c r="O16" s="198">
        <v>19.966648191899999</v>
      </c>
      <c r="P16" s="199"/>
      <c r="Q16" s="198">
        <v>3537.6249178505</v>
      </c>
      <c r="R16" s="198">
        <v>7.8251402130000001</v>
      </c>
      <c r="S16" s="199"/>
      <c r="T16" s="198">
        <v>11632.957258344901</v>
      </c>
      <c r="U16" s="198">
        <v>25.163532334999999</v>
      </c>
    </row>
    <row r="17" spans="2:21" s="3" customFormat="1" ht="12.95" customHeight="1" x14ac:dyDescent="0.2">
      <c r="B17" s="20" t="s">
        <v>12</v>
      </c>
      <c r="C17" s="50"/>
      <c r="D17" s="200">
        <v>132506.66749401399</v>
      </c>
      <c r="E17" s="199"/>
      <c r="F17" s="198">
        <v>132942.50218789201</v>
      </c>
      <c r="G17" s="199"/>
      <c r="H17" s="200">
        <v>14839.3638090596</v>
      </c>
      <c r="I17" s="198">
        <v>12.2996914645</v>
      </c>
      <c r="J17" s="199"/>
      <c r="K17" s="200">
        <v>39894.901780602799</v>
      </c>
      <c r="L17" s="198">
        <v>32.596526602099999</v>
      </c>
      <c r="M17" s="199"/>
      <c r="N17" s="198">
        <v>59245.384272060801</v>
      </c>
      <c r="O17" s="198">
        <v>48.7031516865</v>
      </c>
      <c r="P17" s="199"/>
      <c r="Q17" s="198">
        <v>25412.215542264301</v>
      </c>
      <c r="R17" s="198">
        <v>21.129511949600001</v>
      </c>
      <c r="S17" s="199"/>
      <c r="T17" s="198">
        <v>13699.3154152112</v>
      </c>
      <c r="U17" s="198">
        <v>11.473756377699999</v>
      </c>
    </row>
    <row r="18" spans="2:21" s="3" customFormat="1" ht="12.95" customHeight="1" x14ac:dyDescent="0.2">
      <c r="B18" s="20" t="s">
        <v>13</v>
      </c>
      <c r="C18" s="50"/>
      <c r="D18" s="200">
        <v>28631.464849849599</v>
      </c>
      <c r="E18" s="199"/>
      <c r="F18" s="198">
        <v>29200.7731934408</v>
      </c>
      <c r="G18" s="199"/>
      <c r="H18" s="200">
        <v>3481.3576893917998</v>
      </c>
      <c r="I18" s="198">
        <v>13.5721890692</v>
      </c>
      <c r="J18" s="199"/>
      <c r="K18" s="200">
        <v>7994.6332377916997</v>
      </c>
      <c r="L18" s="198">
        <v>31.049886559000001</v>
      </c>
      <c r="M18" s="199"/>
      <c r="N18" s="198">
        <v>15693.702183478899</v>
      </c>
      <c r="O18" s="198">
        <v>59.120940965199999</v>
      </c>
      <c r="P18" s="199"/>
      <c r="Q18" s="198">
        <v>3892.4463275759999</v>
      </c>
      <c r="R18" s="198">
        <v>15.1856324565</v>
      </c>
      <c r="S18" s="199"/>
      <c r="T18" s="198">
        <v>2594.2491047443</v>
      </c>
      <c r="U18" s="198">
        <v>10.212574759200001</v>
      </c>
    </row>
    <row r="19" spans="2:21" s="3" customFormat="1" ht="12.95" customHeight="1" x14ac:dyDescent="0.2">
      <c r="B19" s="20" t="s">
        <v>14</v>
      </c>
      <c r="C19" s="50"/>
      <c r="D19" s="200">
        <v>284193.548295338</v>
      </c>
      <c r="E19" s="199"/>
      <c r="F19" s="198">
        <v>294958.812252726</v>
      </c>
      <c r="G19" s="199"/>
      <c r="H19" s="200">
        <v>199573.67023952099</v>
      </c>
      <c r="I19" s="198">
        <v>74.031738334099998</v>
      </c>
      <c r="J19" s="199"/>
      <c r="K19" s="200">
        <v>51971.018504864303</v>
      </c>
      <c r="L19" s="198">
        <v>19.927749330299999</v>
      </c>
      <c r="M19" s="199"/>
      <c r="N19" s="198">
        <v>26217.202999358102</v>
      </c>
      <c r="O19" s="198">
        <v>10.276527954900001</v>
      </c>
      <c r="P19" s="199"/>
      <c r="Q19" s="198">
        <v>16986.965584956499</v>
      </c>
      <c r="R19" s="198">
        <v>6.6640265020999996</v>
      </c>
      <c r="S19" s="199"/>
      <c r="T19" s="198">
        <v>25463.7992233806</v>
      </c>
      <c r="U19" s="198">
        <v>9.8303974404000005</v>
      </c>
    </row>
    <row r="20" spans="2:21" s="4" customFormat="1" ht="12.95" customHeight="1" x14ac:dyDescent="0.2">
      <c r="B20" s="20" t="s">
        <v>15</v>
      </c>
      <c r="C20" s="50"/>
      <c r="D20" s="200">
        <v>139498.360611343</v>
      </c>
      <c r="E20" s="199"/>
      <c r="F20" s="198">
        <v>141859.10122734201</v>
      </c>
      <c r="G20" s="199"/>
      <c r="H20" s="200">
        <v>24557.4496698945</v>
      </c>
      <c r="I20" s="198">
        <v>19.4935377764</v>
      </c>
      <c r="J20" s="199"/>
      <c r="K20" s="200">
        <v>49771.118346063697</v>
      </c>
      <c r="L20" s="198">
        <v>38.658510057400001</v>
      </c>
      <c r="M20" s="199"/>
      <c r="N20" s="198">
        <v>48208.909856021302</v>
      </c>
      <c r="O20" s="198">
        <v>37.605594273500003</v>
      </c>
      <c r="P20" s="199"/>
      <c r="Q20" s="198">
        <v>25830.9613715915</v>
      </c>
      <c r="R20" s="198">
        <v>20.282854330100001</v>
      </c>
      <c r="S20" s="199"/>
      <c r="T20" s="198">
        <v>17681.605486666202</v>
      </c>
      <c r="U20" s="198">
        <v>13.9984454918</v>
      </c>
    </row>
    <row r="21" spans="2:21" s="4" customFormat="1" ht="12.95" customHeight="1" x14ac:dyDescent="0.2">
      <c r="B21" s="20" t="s">
        <v>16</v>
      </c>
      <c r="C21" s="50"/>
      <c r="D21" s="200">
        <v>634390.80179106805</v>
      </c>
      <c r="E21" s="199"/>
      <c r="F21" s="198">
        <v>650379.80818508496</v>
      </c>
      <c r="G21" s="199"/>
      <c r="H21" s="200">
        <v>91220.773539247806</v>
      </c>
      <c r="I21" s="198">
        <v>15.7503008242</v>
      </c>
      <c r="J21" s="199"/>
      <c r="K21" s="200">
        <v>134644.34527220301</v>
      </c>
      <c r="L21" s="198">
        <v>22.822261211699999</v>
      </c>
      <c r="M21" s="199"/>
      <c r="N21" s="198">
        <v>157534.07658542899</v>
      </c>
      <c r="O21" s="198">
        <v>26.836130963599999</v>
      </c>
      <c r="P21" s="199"/>
      <c r="Q21" s="198">
        <v>224923.830317352</v>
      </c>
      <c r="R21" s="198">
        <v>37.817258990600003</v>
      </c>
      <c r="S21" s="199"/>
      <c r="T21" s="198">
        <v>125152.89606774</v>
      </c>
      <c r="U21" s="198">
        <v>21.2538821379</v>
      </c>
    </row>
    <row r="22" spans="2:21" s="4" customFormat="1" ht="12.95" customHeight="1" x14ac:dyDescent="0.2">
      <c r="B22" s="20" t="s">
        <v>17</v>
      </c>
      <c r="C22" s="50"/>
      <c r="D22" s="200">
        <v>74484.883197755</v>
      </c>
      <c r="E22" s="199"/>
      <c r="F22" s="198">
        <v>76063.569987410607</v>
      </c>
      <c r="G22" s="199"/>
      <c r="H22" s="200">
        <v>23816.082840306499</v>
      </c>
      <c r="I22" s="198">
        <v>34.805082262500001</v>
      </c>
      <c r="J22" s="199"/>
      <c r="K22" s="200">
        <v>15655.185590265401</v>
      </c>
      <c r="L22" s="198">
        <v>23.206842527399999</v>
      </c>
      <c r="M22" s="199"/>
      <c r="N22" s="198">
        <v>25043.2299601741</v>
      </c>
      <c r="O22" s="198">
        <v>36.465737721000004</v>
      </c>
      <c r="P22" s="199"/>
      <c r="Q22" s="198">
        <v>9928.2789323516008</v>
      </c>
      <c r="R22" s="198">
        <v>14.597221832500001</v>
      </c>
      <c r="S22" s="199"/>
      <c r="T22" s="198">
        <v>13210.9276285135</v>
      </c>
      <c r="U22" s="198">
        <v>19.4455973763</v>
      </c>
    </row>
    <row r="23" spans="2:21" s="4" customFormat="1" ht="12.95" customHeight="1" x14ac:dyDescent="0.2">
      <c r="B23" s="20" t="s">
        <v>18</v>
      </c>
      <c r="C23" s="50"/>
      <c r="D23" s="200">
        <v>245055.92001217601</v>
      </c>
      <c r="E23" s="199"/>
      <c r="F23" s="198">
        <v>262058.986290203</v>
      </c>
      <c r="G23" s="199"/>
      <c r="H23" s="200">
        <v>57009.799649361703</v>
      </c>
      <c r="I23" s="198">
        <v>25.069678924600002</v>
      </c>
      <c r="J23" s="199"/>
      <c r="K23" s="200">
        <v>74369.941319795296</v>
      </c>
      <c r="L23" s="198">
        <v>32.994067640300003</v>
      </c>
      <c r="M23" s="199"/>
      <c r="N23" s="198">
        <v>94550.453648130104</v>
      </c>
      <c r="O23" s="198">
        <v>41.724897093999999</v>
      </c>
      <c r="P23" s="199"/>
      <c r="Q23" s="198">
        <v>25155.781531143399</v>
      </c>
      <c r="R23" s="198">
        <v>11.311561489200001</v>
      </c>
      <c r="S23" s="199"/>
      <c r="T23" s="198">
        <v>48664.675738079903</v>
      </c>
      <c r="U23" s="198">
        <v>21.833711285300001</v>
      </c>
    </row>
    <row r="24" spans="2:21" s="4" customFormat="1" ht="12.95" customHeight="1" x14ac:dyDescent="0.2">
      <c r="B24" s="20" t="s">
        <v>19</v>
      </c>
      <c r="C24" s="50"/>
      <c r="D24" s="200">
        <v>210664.92195599899</v>
      </c>
      <c r="E24" s="199"/>
      <c r="F24" s="198">
        <v>223518.33088530099</v>
      </c>
      <c r="G24" s="199"/>
      <c r="H24" s="200">
        <v>150782.533247443</v>
      </c>
      <c r="I24" s="198">
        <v>74.9081156445</v>
      </c>
      <c r="J24" s="199"/>
      <c r="K24" s="200">
        <v>44763.544811738699</v>
      </c>
      <c r="L24" s="198">
        <v>23.3850007914</v>
      </c>
      <c r="M24" s="199"/>
      <c r="N24" s="198">
        <v>22089.050868101702</v>
      </c>
      <c r="O24" s="198">
        <v>11.4794203572</v>
      </c>
      <c r="P24" s="199"/>
      <c r="Q24" s="198">
        <v>5209.3158867677002</v>
      </c>
      <c r="R24" s="198">
        <v>2.7274044443999998</v>
      </c>
      <c r="S24" s="199"/>
      <c r="T24" s="198">
        <v>20252.839765624602</v>
      </c>
      <c r="U24" s="198">
        <v>10.551743823700001</v>
      </c>
    </row>
    <row r="25" spans="2:21" s="4" customFormat="1" ht="12.95" customHeight="1" x14ac:dyDescent="0.2">
      <c r="B25" s="20" t="s">
        <v>20</v>
      </c>
      <c r="C25" s="50"/>
      <c r="D25" s="200">
        <v>101749.848765182</v>
      </c>
      <c r="E25" s="199"/>
      <c r="F25" s="198">
        <v>107011.64764557101</v>
      </c>
      <c r="G25" s="199"/>
      <c r="H25" s="200">
        <v>62981.524165363997</v>
      </c>
      <c r="I25" s="198">
        <v>65.550221626999999</v>
      </c>
      <c r="J25" s="199"/>
      <c r="K25" s="200">
        <v>21497.593544122701</v>
      </c>
      <c r="L25" s="198">
        <v>23.531667024299999</v>
      </c>
      <c r="M25" s="199"/>
      <c r="N25" s="198">
        <v>20090.603820453602</v>
      </c>
      <c r="O25" s="198">
        <v>22.367469353099999</v>
      </c>
      <c r="P25" s="199"/>
      <c r="Q25" s="198">
        <v>9045.0871063379</v>
      </c>
      <c r="R25" s="198">
        <v>10.1589380291</v>
      </c>
      <c r="S25" s="199"/>
      <c r="T25" s="198">
        <v>8069.7270453155998</v>
      </c>
      <c r="U25" s="198">
        <v>9.0351096061000007</v>
      </c>
    </row>
    <row r="26" spans="2:21" s="4" customFormat="1" ht="12.95" customHeight="1" x14ac:dyDescent="0.2">
      <c r="B26" s="20" t="s">
        <v>21</v>
      </c>
      <c r="C26" s="50"/>
      <c r="D26" s="200">
        <v>322273.32141097297</v>
      </c>
      <c r="E26" s="199"/>
      <c r="F26" s="198">
        <v>333368.87391591602</v>
      </c>
      <c r="G26" s="199"/>
      <c r="H26" s="200">
        <v>58259.989310559497</v>
      </c>
      <c r="I26" s="198">
        <v>19.914093152900001</v>
      </c>
      <c r="J26" s="199"/>
      <c r="K26" s="200">
        <v>101710.45000608701</v>
      </c>
      <c r="L26" s="198">
        <v>34.128358453600001</v>
      </c>
      <c r="M26" s="199"/>
      <c r="N26" s="198">
        <v>112315.22901274401</v>
      </c>
      <c r="O26" s="198">
        <v>38.039219665600001</v>
      </c>
      <c r="P26" s="199"/>
      <c r="Q26" s="198">
        <v>83708.113351389693</v>
      </c>
      <c r="R26" s="198">
        <v>28.715424008700001</v>
      </c>
      <c r="S26" s="199"/>
      <c r="T26" s="198">
        <v>30163.285500661099</v>
      </c>
      <c r="U26" s="198">
        <v>10.442821801799999</v>
      </c>
    </row>
    <row r="27" spans="2:21" s="4" customFormat="1" ht="12.95" customHeight="1" x14ac:dyDescent="0.2">
      <c r="B27" s="20" t="s">
        <v>22</v>
      </c>
      <c r="C27" s="50"/>
      <c r="D27" s="200">
        <v>619669.30203754199</v>
      </c>
      <c r="E27" s="199"/>
      <c r="F27" s="198">
        <v>681166.61164602905</v>
      </c>
      <c r="G27" s="199"/>
      <c r="H27" s="200">
        <v>252909.04912867001</v>
      </c>
      <c r="I27" s="198">
        <v>44.254132500399997</v>
      </c>
      <c r="J27" s="199"/>
      <c r="K27" s="200">
        <v>189555.540017297</v>
      </c>
      <c r="L27" s="198">
        <v>33.593242660900003</v>
      </c>
      <c r="M27" s="199"/>
      <c r="N27" s="198">
        <v>135108.40764041099</v>
      </c>
      <c r="O27" s="198">
        <v>24.150160427300001</v>
      </c>
      <c r="P27" s="199"/>
      <c r="Q27" s="198">
        <v>73597.567184221305</v>
      </c>
      <c r="R27" s="198">
        <v>13.257423147000001</v>
      </c>
      <c r="S27" s="199"/>
      <c r="T27" s="198">
        <v>130866.491365865</v>
      </c>
      <c r="U27" s="198">
        <v>23.631984748099999</v>
      </c>
    </row>
    <row r="28" spans="2:21" s="4" customFormat="1" ht="12.95" customHeight="1" x14ac:dyDescent="0.2">
      <c r="B28" s="20" t="s">
        <v>23</v>
      </c>
      <c r="C28" s="50"/>
      <c r="D28" s="200">
        <v>183362.682668227</v>
      </c>
      <c r="E28" s="199"/>
      <c r="F28" s="198">
        <v>188966.827634188</v>
      </c>
      <c r="G28" s="199"/>
      <c r="H28" s="200">
        <v>51492.942992354401</v>
      </c>
      <c r="I28" s="198">
        <v>31.616226092000002</v>
      </c>
      <c r="J28" s="199"/>
      <c r="K28" s="200">
        <v>64506.2980237761</v>
      </c>
      <c r="L28" s="198">
        <v>38.174193889900003</v>
      </c>
      <c r="M28" s="199"/>
      <c r="N28" s="198">
        <v>51976.7856700915</v>
      </c>
      <c r="O28" s="198">
        <v>31.2614662732</v>
      </c>
      <c r="P28" s="199"/>
      <c r="Q28" s="198">
        <v>21142.618265270099</v>
      </c>
      <c r="R28" s="198">
        <v>12.516501768299999</v>
      </c>
      <c r="S28" s="199"/>
      <c r="T28" s="198">
        <v>21887.859848038199</v>
      </c>
      <c r="U28" s="198">
        <v>13.840710375900001</v>
      </c>
    </row>
    <row r="29" spans="2:21" s="4" customFormat="1" ht="12.95" customHeight="1" x14ac:dyDescent="0.2">
      <c r="B29" s="20" t="s">
        <v>24</v>
      </c>
      <c r="C29" s="50"/>
      <c r="D29" s="200">
        <v>78900.610851651902</v>
      </c>
      <c r="E29" s="199"/>
      <c r="F29" s="198">
        <v>83024.872032767002</v>
      </c>
      <c r="G29" s="199"/>
      <c r="H29" s="200">
        <v>37045.473830486699</v>
      </c>
      <c r="I29" s="198">
        <v>50.423743924500002</v>
      </c>
      <c r="J29" s="199"/>
      <c r="K29" s="200">
        <v>18663.1858631986</v>
      </c>
      <c r="L29" s="198">
        <v>25.682736394300001</v>
      </c>
      <c r="M29" s="199"/>
      <c r="N29" s="198">
        <v>15079.496459993199</v>
      </c>
      <c r="O29" s="198">
        <v>20.820441869100001</v>
      </c>
      <c r="P29" s="199"/>
      <c r="Q29" s="198">
        <v>8494.4814527922008</v>
      </c>
      <c r="R29" s="198">
        <v>11.754424762699999</v>
      </c>
      <c r="S29" s="199"/>
      <c r="T29" s="198">
        <v>14920.258799662301</v>
      </c>
      <c r="U29" s="198">
        <v>20.946767747599999</v>
      </c>
    </row>
    <row r="30" spans="2:21" s="4" customFormat="1" ht="12.95" customHeight="1" x14ac:dyDescent="0.2">
      <c r="B30" s="20" t="s">
        <v>25</v>
      </c>
      <c r="C30" s="50"/>
      <c r="D30" s="200">
        <v>59340.529813057998</v>
      </c>
      <c r="E30" s="199"/>
      <c r="F30" s="198">
        <v>61687.275887048498</v>
      </c>
      <c r="G30" s="199"/>
      <c r="H30" s="200">
        <v>16053.5937980005</v>
      </c>
      <c r="I30" s="198">
        <v>29.967746406900002</v>
      </c>
      <c r="J30" s="199"/>
      <c r="K30" s="200">
        <v>20950.4163967323</v>
      </c>
      <c r="L30" s="198">
        <v>37.824611231299997</v>
      </c>
      <c r="M30" s="199"/>
      <c r="N30" s="198">
        <v>20598.566515678998</v>
      </c>
      <c r="O30" s="198">
        <v>38.034352958600003</v>
      </c>
      <c r="P30" s="199"/>
      <c r="Q30" s="198">
        <v>7033.6768103556997</v>
      </c>
      <c r="R30" s="198">
        <v>13.2685216285</v>
      </c>
      <c r="S30" s="199"/>
      <c r="T30" s="198">
        <v>3820.5879288432002</v>
      </c>
      <c r="U30" s="198">
        <v>7.2521965812999998</v>
      </c>
    </row>
    <row r="31" spans="2:21" s="4" customFormat="1" ht="12.95" customHeight="1" x14ac:dyDescent="0.2">
      <c r="B31" s="20" t="s">
        <v>26</v>
      </c>
      <c r="C31" s="50"/>
      <c r="D31" s="200">
        <v>175830.086357658</v>
      </c>
      <c r="E31" s="199"/>
      <c r="F31" s="198">
        <v>173085.72687458401</v>
      </c>
      <c r="G31" s="199"/>
      <c r="H31" s="200">
        <v>14778.9260366952</v>
      </c>
      <c r="I31" s="198">
        <v>9.4711092270999995</v>
      </c>
      <c r="J31" s="199"/>
      <c r="K31" s="200">
        <v>51637.334449760398</v>
      </c>
      <c r="L31" s="198">
        <v>32.0086812881</v>
      </c>
      <c r="M31" s="199"/>
      <c r="N31" s="198">
        <v>84417.132565707507</v>
      </c>
      <c r="O31" s="198">
        <v>55.216617502200002</v>
      </c>
      <c r="P31" s="199"/>
      <c r="Q31" s="198">
        <v>39800.667737390897</v>
      </c>
      <c r="R31" s="198">
        <v>25.322491483899999</v>
      </c>
      <c r="S31" s="199"/>
      <c r="T31" s="198">
        <v>10964.637748852399</v>
      </c>
      <c r="U31" s="198">
        <v>7.2842487651000001</v>
      </c>
    </row>
    <row r="32" spans="2:21" s="4" customFormat="1" ht="12.95" customHeight="1" x14ac:dyDescent="0.2">
      <c r="B32" s="20" t="s">
        <v>27</v>
      </c>
      <c r="C32" s="50"/>
      <c r="D32" s="200">
        <v>201735.97788275499</v>
      </c>
      <c r="E32" s="199"/>
      <c r="F32" s="198">
        <v>211253.35805221999</v>
      </c>
      <c r="G32" s="199"/>
      <c r="H32" s="200">
        <v>112767.91807265799</v>
      </c>
      <c r="I32" s="198">
        <v>59.419367767300002</v>
      </c>
      <c r="J32" s="199"/>
      <c r="K32" s="200">
        <v>62836.401392744701</v>
      </c>
      <c r="L32" s="198">
        <v>34.194968614899999</v>
      </c>
      <c r="M32" s="199"/>
      <c r="N32" s="198">
        <v>27043.2963740183</v>
      </c>
      <c r="O32" s="198">
        <v>15.097332231299999</v>
      </c>
      <c r="P32" s="199"/>
      <c r="Q32" s="198">
        <v>6061.5754028059</v>
      </c>
      <c r="R32" s="198">
        <v>3.4415536015999999</v>
      </c>
      <c r="S32" s="199"/>
      <c r="T32" s="198">
        <v>22128.227462255702</v>
      </c>
      <c r="U32" s="198">
        <v>12.257818325400001</v>
      </c>
    </row>
    <row r="33" spans="1:21" s="4" customFormat="1" ht="12.95" customHeight="1" x14ac:dyDescent="0.2">
      <c r="B33" s="20" t="s">
        <v>28</v>
      </c>
      <c r="C33" s="50"/>
      <c r="D33" s="200">
        <v>288051.35222599702</v>
      </c>
      <c r="E33" s="199"/>
      <c r="F33" s="198">
        <v>316392.09166845999</v>
      </c>
      <c r="G33" s="199"/>
      <c r="H33" s="200">
        <v>176498.63614797001</v>
      </c>
      <c r="I33" s="198">
        <v>65.829074333400001</v>
      </c>
      <c r="J33" s="199"/>
      <c r="K33" s="200">
        <v>60805.8199705066</v>
      </c>
      <c r="L33" s="198">
        <v>23.979268980099999</v>
      </c>
      <c r="M33" s="199"/>
      <c r="N33" s="198">
        <v>65353.911620206003</v>
      </c>
      <c r="O33" s="198">
        <v>24.958072234399999</v>
      </c>
      <c r="P33" s="199"/>
      <c r="Q33" s="198">
        <v>22358.159572830202</v>
      </c>
      <c r="R33" s="198">
        <v>8.7528118169999996</v>
      </c>
      <c r="S33" s="199"/>
      <c r="T33" s="198">
        <v>30478.0197621466</v>
      </c>
      <c r="U33" s="198">
        <v>12.062432443700001</v>
      </c>
    </row>
    <row r="34" spans="1:21" s="4" customFormat="1" ht="12.95" customHeight="1" x14ac:dyDescent="0.2">
      <c r="B34" s="20" t="s">
        <v>29</v>
      </c>
      <c r="C34" s="50"/>
      <c r="D34" s="200">
        <v>109138.090123648</v>
      </c>
      <c r="E34" s="199"/>
      <c r="F34" s="198">
        <v>115296.238624103</v>
      </c>
      <c r="G34" s="199"/>
      <c r="H34" s="200">
        <v>36803.118918997403</v>
      </c>
      <c r="I34" s="198">
        <v>37.257539371100002</v>
      </c>
      <c r="J34" s="199"/>
      <c r="K34" s="200">
        <v>26587.154755096599</v>
      </c>
      <c r="L34" s="198">
        <v>27.2411388612</v>
      </c>
      <c r="M34" s="199"/>
      <c r="N34" s="198">
        <v>33028.354220752699</v>
      </c>
      <c r="O34" s="198">
        <v>34.180472095399999</v>
      </c>
      <c r="P34" s="199"/>
      <c r="Q34" s="198">
        <v>24206.746070747999</v>
      </c>
      <c r="R34" s="198">
        <v>24.8858511032</v>
      </c>
      <c r="S34" s="199"/>
      <c r="T34" s="198">
        <v>12250.283018845499</v>
      </c>
      <c r="U34" s="198">
        <v>12.4965387432</v>
      </c>
    </row>
    <row r="35" spans="1:21" s="4" customFormat="1" ht="12.95" customHeight="1" x14ac:dyDescent="0.2">
      <c r="B35" s="20" t="s">
        <v>30</v>
      </c>
      <c r="C35" s="50"/>
      <c r="D35" s="200">
        <v>108330.84640313601</v>
      </c>
      <c r="E35" s="199"/>
      <c r="F35" s="198">
        <v>114211.792851684</v>
      </c>
      <c r="G35" s="199"/>
      <c r="H35" s="200">
        <v>18943.7925469449</v>
      </c>
      <c r="I35" s="198">
        <v>19.5750529514</v>
      </c>
      <c r="J35" s="199"/>
      <c r="K35" s="200">
        <v>37121.816490979603</v>
      </c>
      <c r="L35" s="198">
        <v>37.634755287700003</v>
      </c>
      <c r="M35" s="199"/>
      <c r="N35" s="198">
        <v>44327.963204961197</v>
      </c>
      <c r="O35" s="198">
        <v>43.132208068200001</v>
      </c>
      <c r="P35" s="199"/>
      <c r="Q35" s="198">
        <v>14421.6557894297</v>
      </c>
      <c r="R35" s="198">
        <v>14.9698819155</v>
      </c>
      <c r="S35" s="199"/>
      <c r="T35" s="198">
        <v>13906.8686316644</v>
      </c>
      <c r="U35" s="198">
        <v>14.5635486386</v>
      </c>
    </row>
    <row r="36" spans="1:21" s="4" customFormat="1" ht="12.95" customHeight="1" x14ac:dyDescent="0.2">
      <c r="B36" s="20" t="s">
        <v>31</v>
      </c>
      <c r="C36" s="50"/>
      <c r="D36" s="200">
        <v>99514.318564059198</v>
      </c>
      <c r="E36" s="199"/>
      <c r="F36" s="198">
        <v>107524.738593631</v>
      </c>
      <c r="G36" s="199"/>
      <c r="H36" s="200">
        <v>28462.789912430399</v>
      </c>
      <c r="I36" s="198">
        <v>31.4528490621</v>
      </c>
      <c r="J36" s="199"/>
      <c r="K36" s="200">
        <v>21928.080905229599</v>
      </c>
      <c r="L36" s="198">
        <v>24.1497464073</v>
      </c>
      <c r="M36" s="199"/>
      <c r="N36" s="198">
        <v>40050.586217025397</v>
      </c>
      <c r="O36" s="198">
        <v>44.667748372799998</v>
      </c>
      <c r="P36" s="199"/>
      <c r="Q36" s="198">
        <v>22260.515693302499</v>
      </c>
      <c r="R36" s="198">
        <v>24.8996177981</v>
      </c>
      <c r="S36" s="199"/>
      <c r="T36" s="198">
        <v>12929.8569108551</v>
      </c>
      <c r="U36" s="198">
        <v>14.506084835899999</v>
      </c>
    </row>
    <row r="37" spans="1:21" s="4" customFormat="1" ht="12.95" customHeight="1" x14ac:dyDescent="0.2">
      <c r="B37" s="20" t="s">
        <v>32</v>
      </c>
      <c r="C37" s="50"/>
      <c r="D37" s="200">
        <v>179094.23344799399</v>
      </c>
      <c r="E37" s="199"/>
      <c r="F37" s="198">
        <v>188801.481650395</v>
      </c>
      <c r="G37" s="199"/>
      <c r="H37" s="200">
        <v>38420.491867584598</v>
      </c>
      <c r="I37" s="198">
        <v>23.220435905599999</v>
      </c>
      <c r="J37" s="199"/>
      <c r="K37" s="200">
        <v>42379.498176134999</v>
      </c>
      <c r="L37" s="198">
        <v>25.3908520749</v>
      </c>
      <c r="M37" s="199"/>
      <c r="N37" s="198">
        <v>91364.516554372502</v>
      </c>
      <c r="O37" s="198">
        <v>53.921344653200002</v>
      </c>
      <c r="P37" s="199"/>
      <c r="Q37" s="198">
        <v>25015.233879907199</v>
      </c>
      <c r="R37" s="198">
        <v>15.025515221799999</v>
      </c>
      <c r="S37" s="199"/>
      <c r="T37" s="198">
        <v>14900.799262434601</v>
      </c>
      <c r="U37" s="198">
        <v>9.0511045475999996</v>
      </c>
    </row>
    <row r="38" spans="1:21" s="4" customFormat="1" ht="12.95" customHeight="1" x14ac:dyDescent="0.2">
      <c r="B38" s="20" t="s">
        <v>33</v>
      </c>
      <c r="C38" s="50"/>
      <c r="D38" s="200">
        <v>171188.36903391301</v>
      </c>
      <c r="E38" s="199"/>
      <c r="F38" s="198">
        <v>181130.796087169</v>
      </c>
      <c r="G38" s="199"/>
      <c r="H38" s="200">
        <v>51933.172395587302</v>
      </c>
      <c r="I38" s="198">
        <v>32.525709865700001</v>
      </c>
      <c r="J38" s="199"/>
      <c r="K38" s="200">
        <v>55030.858494503897</v>
      </c>
      <c r="L38" s="198">
        <v>34.474062486400001</v>
      </c>
      <c r="M38" s="199"/>
      <c r="N38" s="198">
        <v>60276.890604675304</v>
      </c>
      <c r="O38" s="198">
        <v>37.7511414883</v>
      </c>
      <c r="P38" s="199"/>
      <c r="Q38" s="198">
        <v>27338.636713905202</v>
      </c>
      <c r="R38" s="198">
        <v>17.5495202671</v>
      </c>
      <c r="S38" s="199"/>
      <c r="T38" s="198">
        <v>7994.8781188897001</v>
      </c>
      <c r="U38" s="198">
        <v>5.1524780888999997</v>
      </c>
    </row>
    <row r="39" spans="1:21" s="4" customFormat="1" ht="12.95" customHeight="1" x14ac:dyDescent="0.2">
      <c r="B39" s="20" t="s">
        <v>34</v>
      </c>
      <c r="C39" s="50"/>
      <c r="D39" s="200">
        <v>136432.170824228</v>
      </c>
      <c r="E39" s="199"/>
      <c r="F39" s="198">
        <v>148525.378028893</v>
      </c>
      <c r="G39" s="199"/>
      <c r="H39" s="200">
        <v>75595.037337277201</v>
      </c>
      <c r="I39" s="198">
        <v>59.107634950799998</v>
      </c>
      <c r="J39" s="199"/>
      <c r="K39" s="200">
        <v>43264.854872443597</v>
      </c>
      <c r="L39" s="198">
        <v>34.278844847800002</v>
      </c>
      <c r="M39" s="199"/>
      <c r="N39" s="198">
        <v>20923.279530309301</v>
      </c>
      <c r="O39" s="198">
        <v>16.592770749500001</v>
      </c>
      <c r="P39" s="199"/>
      <c r="Q39" s="198">
        <v>15242.6292603811</v>
      </c>
      <c r="R39" s="198">
        <v>12.3860382218</v>
      </c>
      <c r="S39" s="199"/>
      <c r="T39" s="198">
        <v>7846.7839709047003</v>
      </c>
      <c r="U39" s="198">
        <v>6.3573994302000001</v>
      </c>
    </row>
    <row r="40" spans="1:21" s="4" customFormat="1" ht="12.95" customHeight="1" x14ac:dyDescent="0.2">
      <c r="B40" s="20" t="s">
        <v>35</v>
      </c>
      <c r="C40" s="50"/>
      <c r="D40" s="200">
        <v>130458.19625794</v>
      </c>
      <c r="E40" s="199"/>
      <c r="F40" s="198">
        <v>130086.987151104</v>
      </c>
      <c r="G40" s="199"/>
      <c r="H40" s="200">
        <v>29349.6322396906</v>
      </c>
      <c r="I40" s="198">
        <v>24.934193811899998</v>
      </c>
      <c r="J40" s="199"/>
      <c r="K40" s="200">
        <v>50796.423117939201</v>
      </c>
      <c r="L40" s="198">
        <v>42.8270723356</v>
      </c>
      <c r="M40" s="199"/>
      <c r="N40" s="198">
        <v>49976.5750965931</v>
      </c>
      <c r="O40" s="198">
        <v>41.447835198100002</v>
      </c>
      <c r="P40" s="199"/>
      <c r="Q40" s="198">
        <v>7017.2627897580996</v>
      </c>
      <c r="R40" s="198">
        <v>6.0642408329000004</v>
      </c>
      <c r="S40" s="199"/>
      <c r="T40" s="198">
        <v>14449.405599207401</v>
      </c>
      <c r="U40" s="198">
        <v>12.353162167400001</v>
      </c>
    </row>
    <row r="41" spans="1:21" s="4" customFormat="1" ht="12.95" customHeight="1" x14ac:dyDescent="0.2">
      <c r="B41" s="20" t="s">
        <v>36</v>
      </c>
      <c r="C41" s="50"/>
      <c r="D41" s="200">
        <v>69917.697860439905</v>
      </c>
      <c r="E41" s="199"/>
      <c r="F41" s="198">
        <v>78586.292497000206</v>
      </c>
      <c r="G41" s="199"/>
      <c r="H41" s="200">
        <v>55390.517294521298</v>
      </c>
      <c r="I41" s="198">
        <v>83.283092136700006</v>
      </c>
      <c r="J41" s="199"/>
      <c r="K41" s="200">
        <v>17710.8188772461</v>
      </c>
      <c r="L41" s="198">
        <v>27.082528699499999</v>
      </c>
      <c r="M41" s="199"/>
      <c r="N41" s="198">
        <v>6519.9296177019996</v>
      </c>
      <c r="O41" s="198">
        <v>10.157820282699999</v>
      </c>
      <c r="P41" s="199"/>
      <c r="Q41" s="198">
        <v>1762.1868423838</v>
      </c>
      <c r="R41" s="198">
        <v>2.7698495535999998</v>
      </c>
      <c r="S41" s="199"/>
      <c r="T41" s="198">
        <v>3163.0349648081001</v>
      </c>
      <c r="U41" s="198">
        <v>4.9632919716000004</v>
      </c>
    </row>
    <row r="42" spans="1:21" s="4" customFormat="1" ht="12.95" customHeight="1" x14ac:dyDescent="0.2">
      <c r="B42" s="20" t="s">
        <v>37</v>
      </c>
      <c r="C42" s="50"/>
      <c r="D42" s="200">
        <v>369628.49264371698</v>
      </c>
      <c r="E42" s="199"/>
      <c r="F42" s="198">
        <v>369241.92770942999</v>
      </c>
      <c r="G42" s="199"/>
      <c r="H42" s="200">
        <v>197624.28302866701</v>
      </c>
      <c r="I42" s="198">
        <v>57.876177301699997</v>
      </c>
      <c r="J42" s="199"/>
      <c r="K42" s="200">
        <v>99040.231502986397</v>
      </c>
      <c r="L42" s="198">
        <v>28.749734309699999</v>
      </c>
      <c r="M42" s="199"/>
      <c r="N42" s="198">
        <v>75550.142070528294</v>
      </c>
      <c r="O42" s="198">
        <v>21.9882337198</v>
      </c>
      <c r="P42" s="199"/>
      <c r="Q42" s="198">
        <v>11835.6969585439</v>
      </c>
      <c r="R42" s="198">
        <v>3.5464310933999998</v>
      </c>
      <c r="S42" s="199"/>
      <c r="T42" s="198">
        <v>27354.438124165001</v>
      </c>
      <c r="U42" s="198">
        <v>8.1748578246000001</v>
      </c>
    </row>
    <row r="43" spans="1:21" s="4" customFormat="1" ht="12.95" customHeight="1" x14ac:dyDescent="0.2">
      <c r="B43" s="20" t="s">
        <v>38</v>
      </c>
      <c r="C43" s="50"/>
      <c r="D43" s="200">
        <v>131404.293620549</v>
      </c>
      <c r="E43" s="199"/>
      <c r="F43" s="198">
        <v>138575.25860043801</v>
      </c>
      <c r="G43" s="199"/>
      <c r="H43" s="200">
        <v>48359.897950074803</v>
      </c>
      <c r="I43" s="198">
        <v>40.247185761099999</v>
      </c>
      <c r="J43" s="199"/>
      <c r="K43" s="200">
        <v>41060.265596471298</v>
      </c>
      <c r="L43" s="198">
        <v>33.873765408300002</v>
      </c>
      <c r="M43" s="199"/>
      <c r="N43" s="198">
        <v>32214.8322338853</v>
      </c>
      <c r="O43" s="198">
        <v>26.517266644100001</v>
      </c>
      <c r="P43" s="199"/>
      <c r="Q43" s="198">
        <v>21488.455396332301</v>
      </c>
      <c r="R43" s="198">
        <v>17.600349955599999</v>
      </c>
      <c r="S43" s="199"/>
      <c r="T43" s="198">
        <v>14122.5197145561</v>
      </c>
      <c r="U43" s="198">
        <v>11.8419814709</v>
      </c>
    </row>
    <row r="44" spans="1:21" s="4" customFormat="1" ht="12.95" customHeight="1" x14ac:dyDescent="0.2">
      <c r="B44" s="20" t="s">
        <v>39</v>
      </c>
      <c r="C44" s="50"/>
      <c r="D44" s="200">
        <v>47765.042636505998</v>
      </c>
      <c r="E44" s="199"/>
      <c r="F44" s="198">
        <v>49103.302162113301</v>
      </c>
      <c r="G44" s="199"/>
      <c r="H44" s="200">
        <v>21347.025481217101</v>
      </c>
      <c r="I44" s="198">
        <v>48.918440980200003</v>
      </c>
      <c r="J44" s="199"/>
      <c r="K44" s="200">
        <v>15111.791745869299</v>
      </c>
      <c r="L44" s="198">
        <v>35.518113387100001</v>
      </c>
      <c r="M44" s="199"/>
      <c r="N44" s="198">
        <v>10610.894610404001</v>
      </c>
      <c r="O44" s="198">
        <v>24.855197712799999</v>
      </c>
      <c r="P44" s="199"/>
      <c r="Q44" s="198">
        <v>6213.5113826498</v>
      </c>
      <c r="R44" s="198">
        <v>14.6762118575</v>
      </c>
      <c r="S44" s="199"/>
      <c r="T44" s="198">
        <v>3328.8031497347001</v>
      </c>
      <c r="U44" s="198">
        <v>7.9712914072999999</v>
      </c>
    </row>
    <row r="45" spans="1:21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71"/>
      <c r="N45" s="171"/>
      <c r="O45" s="112"/>
      <c r="P45" s="171"/>
      <c r="Q45" s="171"/>
      <c r="R45" s="112"/>
      <c r="S45" s="171"/>
      <c r="T45" s="171"/>
      <c r="U45" s="112"/>
    </row>
    <row r="46" spans="1:21" s="2" customFormat="1" ht="6" customHeight="1" x14ac:dyDescent="0.25">
      <c r="A46" s="63"/>
      <c r="B46" s="28"/>
      <c r="C46" s="51"/>
      <c r="D46" s="169"/>
      <c r="E46" s="169"/>
      <c r="F46" s="169"/>
      <c r="G46" s="169"/>
      <c r="H46" s="169"/>
      <c r="I46" s="168"/>
      <c r="J46" s="168"/>
      <c r="K46" s="169"/>
      <c r="L46" s="168"/>
      <c r="M46" s="28"/>
      <c r="N46" s="28"/>
      <c r="O46" s="28"/>
      <c r="P46" s="28"/>
      <c r="Q46" s="28"/>
      <c r="R46" s="28"/>
      <c r="S46" s="28"/>
      <c r="T46" s="31"/>
      <c r="U46" s="31"/>
    </row>
    <row r="47" spans="1:21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</row>
    <row r="48" spans="1:21" s="101" customFormat="1" ht="14.25" x14ac:dyDescent="0.2">
      <c r="B48" s="102" t="s">
        <v>75</v>
      </c>
      <c r="T48" s="197"/>
      <c r="U48" s="197"/>
    </row>
    <row r="49" spans="2:21" ht="12.75" customHeight="1" x14ac:dyDescent="0.25">
      <c r="B49" s="134"/>
      <c r="C49" s="31"/>
      <c r="D49" s="133"/>
      <c r="E49" s="31"/>
      <c r="F49" s="31"/>
      <c r="G49" s="31"/>
      <c r="H49" s="31"/>
      <c r="I49" s="31"/>
      <c r="J49" s="31"/>
      <c r="K49" s="31"/>
      <c r="L49" s="31"/>
      <c r="M49" s="28"/>
      <c r="N49" s="28"/>
      <c r="O49" s="28"/>
      <c r="P49" s="28"/>
      <c r="Q49" s="28"/>
      <c r="R49" s="28"/>
      <c r="S49" s="28"/>
      <c r="T49" s="31"/>
      <c r="U49" s="31"/>
    </row>
    <row r="50" spans="2:21" ht="12.75" customHeight="1" x14ac:dyDescent="0.25">
      <c r="T50" s="31"/>
      <c r="U50" s="31"/>
    </row>
    <row r="51" spans="2:21" ht="12.75" customHeight="1" x14ac:dyDescent="0.25">
      <c r="T51" s="31"/>
      <c r="U51" s="31"/>
    </row>
    <row r="52" spans="2:21" ht="12.75" customHeight="1" x14ac:dyDescent="0.25">
      <c r="T52" s="31"/>
      <c r="U52" s="31"/>
    </row>
    <row r="53" spans="2:21" ht="12.75" customHeight="1" x14ac:dyDescent="0.25">
      <c r="T53" s="31"/>
      <c r="U53" s="31"/>
    </row>
    <row r="54" spans="2:21" ht="12.75" customHeight="1" x14ac:dyDescent="0.25">
      <c r="T54" s="31"/>
      <c r="U54" s="31"/>
    </row>
    <row r="55" spans="2:21" ht="12.75" customHeight="1" x14ac:dyDescent="0.25">
      <c r="T55" s="31"/>
      <c r="U55" s="31"/>
    </row>
    <row r="56" spans="2:21" ht="12.75" customHeight="1" x14ac:dyDescent="0.25">
      <c r="T56" s="31"/>
      <c r="U56" s="31"/>
    </row>
  </sheetData>
  <mergeCells count="11">
    <mergeCell ref="F7:F9"/>
    <mergeCell ref="B5:R5"/>
    <mergeCell ref="B6:L6"/>
    <mergeCell ref="B7:C9"/>
    <mergeCell ref="D7:D9"/>
    <mergeCell ref="H7:U7"/>
    <mergeCell ref="H8:I8"/>
    <mergeCell ref="K8:L8"/>
    <mergeCell ref="N8:O8"/>
    <mergeCell ref="Q8:R8"/>
    <mergeCell ref="T8:U8"/>
  </mergeCells>
  <hyperlinks>
    <hyperlink ref="U1" location="Índice!A1" tooltip="Ir a ÍNDICE" display="INDICE" xr:uid="{6C704825-B7D6-41BC-A818-9C48E04AB4B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9FBB-7500-43DE-A5A2-831E8C229B23}">
  <sheetPr>
    <pageSetUpPr fitToPage="1"/>
  </sheetPr>
  <dimension ref="A1:Z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3.7109375" style="1" customWidth="1"/>
    <col min="3" max="3" width="1.7109375" style="1" customWidth="1" collapsed="1"/>
    <col min="4" max="4" width="19.570312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1" customWidth="1" collapsed="1"/>
    <col min="11" max="11" width="12.7109375" style="1" customWidth="1" collapsed="1"/>
    <col min="12" max="12" width="12.28515625" style="1" customWidth="1" collapsed="1"/>
    <col min="13" max="13" width="1.7109375" style="2" customWidth="1"/>
    <col min="14" max="15" width="11.42578125" style="2"/>
    <col min="16" max="26" width="11.42578125" style="1"/>
    <col min="27" max="16384" width="11.42578125" style="1" collapsed="1"/>
  </cols>
  <sheetData>
    <row r="1" spans="2:15" s="68" customFormat="1" x14ac:dyDescent="0.2">
      <c r="B1" s="210" t="s">
        <v>129</v>
      </c>
      <c r="M1" s="70"/>
      <c r="N1" s="70"/>
      <c r="O1" s="80" t="s">
        <v>74</v>
      </c>
    </row>
    <row r="2" spans="2:15" s="68" customFormat="1" ht="6.95" customHeight="1" x14ac:dyDescent="0.25">
      <c r="B2" s="210"/>
      <c r="M2" s="70"/>
      <c r="N2" s="70"/>
      <c r="O2" s="70"/>
    </row>
    <row r="3" spans="2:15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2:15" s="68" customFormat="1" ht="6.95" customHeight="1" x14ac:dyDescent="0.25">
      <c r="C4" s="71"/>
      <c r="M4" s="70"/>
      <c r="N4" s="70"/>
      <c r="O4" s="70"/>
    </row>
    <row r="5" spans="2:15" s="68" customFormat="1" ht="25.5" customHeight="1" x14ac:dyDescent="0.2">
      <c r="B5" s="242" t="s">
        <v>82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164"/>
      <c r="O5" s="79" t="s">
        <v>61</v>
      </c>
    </row>
    <row r="6" spans="2:15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</row>
    <row r="7" spans="2:15" ht="26.25" customHeight="1" x14ac:dyDescent="0.25"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119</v>
      </c>
      <c r="I7" s="251"/>
      <c r="J7" s="251"/>
      <c r="K7" s="251"/>
      <c r="L7" s="251"/>
      <c r="M7" s="251"/>
      <c r="N7" s="251"/>
      <c r="O7" s="251"/>
    </row>
    <row r="8" spans="2:15" ht="28.5" customHeight="1" x14ac:dyDescent="0.25">
      <c r="B8" s="246"/>
      <c r="C8" s="246"/>
      <c r="D8" s="268"/>
      <c r="E8" s="34"/>
      <c r="F8" s="249"/>
      <c r="G8" s="34"/>
      <c r="H8" s="241" t="s">
        <v>3</v>
      </c>
      <c r="I8" s="241"/>
      <c r="J8" s="27"/>
      <c r="K8" s="231" t="s">
        <v>4</v>
      </c>
      <c r="L8" s="231"/>
      <c r="M8" s="28"/>
      <c r="N8" s="231" t="s">
        <v>43</v>
      </c>
      <c r="O8" s="231"/>
    </row>
    <row r="9" spans="2:15" ht="23.25" customHeight="1" x14ac:dyDescent="0.25">
      <c r="B9" s="247"/>
      <c r="C9" s="247"/>
      <c r="D9" s="269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</row>
    <row r="10" spans="2:15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</row>
    <row r="11" spans="2:15" s="88" customFormat="1" ht="12.95" customHeight="1" x14ac:dyDescent="0.2">
      <c r="B11" s="40" t="s">
        <v>7</v>
      </c>
      <c r="C11" s="92"/>
      <c r="D11" s="202">
        <v>5230715.2387773301</v>
      </c>
      <c r="E11" s="203"/>
      <c r="F11" s="202">
        <v>5530028.5069711301</v>
      </c>
      <c r="G11" s="203"/>
      <c r="H11" s="202">
        <v>1759631.2028944099</v>
      </c>
      <c r="I11" s="202">
        <v>34.3235379841</v>
      </c>
      <c r="J11" s="203"/>
      <c r="K11" s="202">
        <v>3809080.3643312198</v>
      </c>
      <c r="L11" s="202">
        <v>73.699490886000007</v>
      </c>
      <c r="M11" s="203"/>
      <c r="N11" s="202">
        <v>44190.746269616699</v>
      </c>
      <c r="O11" s="202">
        <v>0.86674893129999997</v>
      </c>
    </row>
    <row r="12" spans="2:15" s="88" customFormat="1" ht="6" customHeight="1" x14ac:dyDescent="0.2">
      <c r="B12" s="40"/>
      <c r="C12" s="92"/>
      <c r="D12" s="199"/>
      <c r="E12" s="199"/>
      <c r="F12" s="199"/>
      <c r="G12" s="199"/>
      <c r="H12" s="199"/>
      <c r="I12" s="201"/>
      <c r="J12" s="199"/>
      <c r="K12" s="199"/>
      <c r="L12" s="201"/>
      <c r="M12" s="199"/>
      <c r="N12" s="199"/>
      <c r="O12" s="201"/>
    </row>
    <row r="13" spans="2:15" s="3" customFormat="1" ht="12.95" customHeight="1" x14ac:dyDescent="0.2">
      <c r="B13" s="20" t="s">
        <v>8</v>
      </c>
      <c r="C13" s="50"/>
      <c r="D13" s="198">
        <v>50325.724338500899</v>
      </c>
      <c r="E13" s="199"/>
      <c r="F13" s="198">
        <v>50998.549055660304</v>
      </c>
      <c r="G13" s="199"/>
      <c r="H13" s="198">
        <v>23861.491258274698</v>
      </c>
      <c r="I13" s="198">
        <v>52.228714114299997</v>
      </c>
      <c r="J13" s="199"/>
      <c r="K13" s="198">
        <v>30241.985337501701</v>
      </c>
      <c r="L13" s="198">
        <v>64.097183087800005</v>
      </c>
      <c r="M13" s="199"/>
      <c r="N13" s="198">
        <v>993.77983396460002</v>
      </c>
      <c r="O13" s="198">
        <v>2.2380414961000001</v>
      </c>
    </row>
    <row r="14" spans="2:15" s="3" customFormat="1" ht="12.95" customHeight="1" x14ac:dyDescent="0.2">
      <c r="B14" s="20" t="s">
        <v>9</v>
      </c>
      <c r="C14" s="50"/>
      <c r="D14" s="198">
        <v>231371.811490925</v>
      </c>
      <c r="E14" s="199"/>
      <c r="F14" s="198">
        <v>238929.96605805299</v>
      </c>
      <c r="G14" s="199"/>
      <c r="H14" s="198">
        <v>73188.338100606401</v>
      </c>
      <c r="I14" s="198">
        <v>35.104847327800002</v>
      </c>
      <c r="J14" s="199"/>
      <c r="K14" s="198">
        <v>176495.32433082801</v>
      </c>
      <c r="L14" s="198">
        <v>79.486305598900003</v>
      </c>
      <c r="M14" s="199"/>
      <c r="N14" s="198">
        <v>0</v>
      </c>
      <c r="O14" s="198">
        <v>0</v>
      </c>
    </row>
    <row r="15" spans="2:15" s="3" customFormat="1" ht="12.95" customHeight="1" x14ac:dyDescent="0.2">
      <c r="B15" s="20" t="s">
        <v>10</v>
      </c>
      <c r="C15" s="50"/>
      <c r="D15" s="198">
        <v>45259.865250946597</v>
      </c>
      <c r="E15" s="199"/>
      <c r="F15" s="198">
        <v>50878.6768439632</v>
      </c>
      <c r="G15" s="199"/>
      <c r="H15" s="198">
        <v>16587.2045907188</v>
      </c>
      <c r="I15" s="198">
        <v>39.906823815499997</v>
      </c>
      <c r="J15" s="199"/>
      <c r="K15" s="198">
        <v>35697.029211476402</v>
      </c>
      <c r="L15" s="198">
        <v>82.077956560199993</v>
      </c>
      <c r="M15" s="199"/>
      <c r="N15" s="198">
        <v>0</v>
      </c>
      <c r="O15" s="198">
        <v>0</v>
      </c>
    </row>
    <row r="16" spans="2:15" s="3" customFormat="1" ht="12.95" customHeight="1" x14ac:dyDescent="0.2">
      <c r="B16" s="20" t="s">
        <v>11</v>
      </c>
      <c r="C16" s="50"/>
      <c r="D16" s="198">
        <v>51027.449179426098</v>
      </c>
      <c r="E16" s="199"/>
      <c r="F16" s="198">
        <v>53089.746832286997</v>
      </c>
      <c r="G16" s="199"/>
      <c r="H16" s="198">
        <v>15247.5309894949</v>
      </c>
      <c r="I16" s="198">
        <v>32.582615820000001</v>
      </c>
      <c r="J16" s="199"/>
      <c r="K16" s="198">
        <v>39437.7013572824</v>
      </c>
      <c r="L16" s="198">
        <v>80.768367890299999</v>
      </c>
      <c r="M16" s="199"/>
      <c r="N16" s="198">
        <v>359.70009326540003</v>
      </c>
      <c r="O16" s="198">
        <v>0.79516713630000002</v>
      </c>
    </row>
    <row r="17" spans="2:15" s="3" customFormat="1" ht="12.95" customHeight="1" x14ac:dyDescent="0.2">
      <c r="B17" s="20" t="s">
        <v>12</v>
      </c>
      <c r="C17" s="50"/>
      <c r="D17" s="198">
        <v>132506.66749401399</v>
      </c>
      <c r="E17" s="199"/>
      <c r="F17" s="198">
        <v>132942.50218789201</v>
      </c>
      <c r="G17" s="199"/>
      <c r="H17" s="198">
        <v>54747.474050984099</v>
      </c>
      <c r="I17" s="198">
        <v>44.612435946399998</v>
      </c>
      <c r="J17" s="199"/>
      <c r="K17" s="198">
        <v>88160.936088616305</v>
      </c>
      <c r="L17" s="198">
        <v>71.301626323799994</v>
      </c>
      <c r="M17" s="199"/>
      <c r="N17" s="198">
        <v>0</v>
      </c>
      <c r="O17" s="198">
        <v>0</v>
      </c>
    </row>
    <row r="18" spans="2:15" s="3" customFormat="1" ht="12.95" customHeight="1" x14ac:dyDescent="0.2">
      <c r="B18" s="20" t="s">
        <v>13</v>
      </c>
      <c r="C18" s="50"/>
      <c r="D18" s="200">
        <v>28631.464849849599</v>
      </c>
      <c r="E18" s="199"/>
      <c r="F18" s="198">
        <v>29200.7731934408</v>
      </c>
      <c r="G18" s="199"/>
      <c r="H18" s="200">
        <v>11459.538893054199</v>
      </c>
      <c r="I18" s="198">
        <v>43.575848045800001</v>
      </c>
      <c r="J18" s="199"/>
      <c r="K18" s="200">
        <v>19665.9775550544</v>
      </c>
      <c r="L18" s="198">
        <v>73.970021205500004</v>
      </c>
      <c r="M18" s="199"/>
      <c r="N18" s="198">
        <v>391.43833678879997</v>
      </c>
      <c r="O18" s="198">
        <v>1.5528178439</v>
      </c>
    </row>
    <row r="19" spans="2:15" s="3" customFormat="1" ht="12.95" customHeight="1" x14ac:dyDescent="0.2">
      <c r="B19" s="20" t="s">
        <v>14</v>
      </c>
      <c r="C19" s="50"/>
      <c r="D19" s="200">
        <v>284193.548295338</v>
      </c>
      <c r="E19" s="199"/>
      <c r="F19" s="198">
        <v>294958.812252726</v>
      </c>
      <c r="G19" s="199"/>
      <c r="H19" s="200">
        <v>59035.2901892679</v>
      </c>
      <c r="I19" s="198">
        <v>22.464280185</v>
      </c>
      <c r="J19" s="199"/>
      <c r="K19" s="200">
        <v>243791.05792953799</v>
      </c>
      <c r="L19" s="198">
        <v>89.448129083400005</v>
      </c>
      <c r="M19" s="199"/>
      <c r="N19" s="198">
        <v>0</v>
      </c>
      <c r="O19" s="198">
        <v>0</v>
      </c>
    </row>
    <row r="20" spans="2:15" s="4" customFormat="1" ht="12.95" customHeight="1" x14ac:dyDescent="0.2">
      <c r="B20" s="20" t="s">
        <v>15</v>
      </c>
      <c r="C20" s="50"/>
      <c r="D20" s="200">
        <v>139498.360611343</v>
      </c>
      <c r="E20" s="199"/>
      <c r="F20" s="198">
        <v>141859.10122734201</v>
      </c>
      <c r="G20" s="199"/>
      <c r="H20" s="200">
        <v>58567.217351890999</v>
      </c>
      <c r="I20" s="198">
        <v>45.706384541399999</v>
      </c>
      <c r="J20" s="199"/>
      <c r="K20" s="200">
        <v>94098.595072667405</v>
      </c>
      <c r="L20" s="198">
        <v>71.559291913300001</v>
      </c>
      <c r="M20" s="199"/>
      <c r="N20" s="198">
        <v>0</v>
      </c>
      <c r="O20" s="198">
        <v>0</v>
      </c>
    </row>
    <row r="21" spans="2:15" s="4" customFormat="1" ht="12.95" customHeight="1" x14ac:dyDescent="0.2">
      <c r="B21" s="20" t="s">
        <v>16</v>
      </c>
      <c r="C21" s="50"/>
      <c r="D21" s="200">
        <v>634390.80179106805</v>
      </c>
      <c r="E21" s="199"/>
      <c r="F21" s="198">
        <v>650379.80818508496</v>
      </c>
      <c r="G21" s="199"/>
      <c r="H21" s="200">
        <v>210665.23718919299</v>
      </c>
      <c r="I21" s="198">
        <v>35.619785343799997</v>
      </c>
      <c r="J21" s="199"/>
      <c r="K21" s="200">
        <v>463249.31400228501</v>
      </c>
      <c r="L21" s="198">
        <v>76.459129570399995</v>
      </c>
      <c r="M21" s="199"/>
      <c r="N21" s="198">
        <v>14574.494990503499</v>
      </c>
      <c r="O21" s="198">
        <v>2.5110713671</v>
      </c>
    </row>
    <row r="22" spans="2:15" s="4" customFormat="1" ht="12.95" customHeight="1" x14ac:dyDescent="0.2">
      <c r="B22" s="20" t="s">
        <v>17</v>
      </c>
      <c r="C22" s="50"/>
      <c r="D22" s="200">
        <v>74484.883197755</v>
      </c>
      <c r="E22" s="199"/>
      <c r="F22" s="198">
        <v>76063.569987410607</v>
      </c>
      <c r="G22" s="199"/>
      <c r="H22" s="200">
        <v>33331.181837716002</v>
      </c>
      <c r="I22" s="198">
        <v>48.435156933499997</v>
      </c>
      <c r="J22" s="199"/>
      <c r="K22" s="200">
        <v>47463.272056469003</v>
      </c>
      <c r="L22" s="198">
        <v>67.632530927700003</v>
      </c>
      <c r="M22" s="199"/>
      <c r="N22" s="198">
        <v>0</v>
      </c>
      <c r="O22" s="198">
        <v>0</v>
      </c>
    </row>
    <row r="23" spans="2:15" s="4" customFormat="1" ht="12.95" customHeight="1" x14ac:dyDescent="0.2">
      <c r="B23" s="20" t="s">
        <v>18</v>
      </c>
      <c r="C23" s="50"/>
      <c r="D23" s="200">
        <v>245055.92001217601</v>
      </c>
      <c r="E23" s="199"/>
      <c r="F23" s="198">
        <v>262058.986290203</v>
      </c>
      <c r="G23" s="199"/>
      <c r="H23" s="200">
        <v>82478.939254306897</v>
      </c>
      <c r="I23" s="198">
        <v>36.645960744299998</v>
      </c>
      <c r="J23" s="199"/>
      <c r="K23" s="200">
        <v>186681.411423262</v>
      </c>
      <c r="L23" s="198">
        <v>79.715315128200004</v>
      </c>
      <c r="M23" s="199"/>
      <c r="N23" s="198">
        <v>9296.1791061070999</v>
      </c>
      <c r="O23" s="198">
        <v>4.2113773569999999</v>
      </c>
    </row>
    <row r="24" spans="2:15" s="4" customFormat="1" ht="12.95" customHeight="1" x14ac:dyDescent="0.2">
      <c r="B24" s="20" t="s">
        <v>19</v>
      </c>
      <c r="C24" s="50"/>
      <c r="D24" s="200">
        <v>210664.92195599899</v>
      </c>
      <c r="E24" s="199"/>
      <c r="F24" s="198">
        <v>223518.33088530099</v>
      </c>
      <c r="G24" s="199"/>
      <c r="H24" s="200">
        <v>49282.644073289899</v>
      </c>
      <c r="I24" s="198">
        <v>25.388904735699999</v>
      </c>
      <c r="J24" s="199"/>
      <c r="K24" s="200">
        <v>181470.515842375</v>
      </c>
      <c r="L24" s="198">
        <v>89.733481180300004</v>
      </c>
      <c r="M24" s="199"/>
      <c r="N24" s="198">
        <v>999.75467098770002</v>
      </c>
      <c r="O24" s="198">
        <v>0.52589529209999997</v>
      </c>
    </row>
    <row r="25" spans="2:15" s="4" customFormat="1" ht="12.95" customHeight="1" x14ac:dyDescent="0.2">
      <c r="B25" s="20" t="s">
        <v>20</v>
      </c>
      <c r="C25" s="50"/>
      <c r="D25" s="200">
        <v>101749.848765182</v>
      </c>
      <c r="E25" s="199"/>
      <c r="F25" s="198">
        <v>107011.64764557101</v>
      </c>
      <c r="G25" s="199"/>
      <c r="H25" s="200">
        <v>41453.737207419297</v>
      </c>
      <c r="I25" s="198">
        <v>44.343355758900003</v>
      </c>
      <c r="J25" s="199"/>
      <c r="K25" s="200">
        <v>71796.620142416097</v>
      </c>
      <c r="L25" s="198">
        <v>76.316334081600004</v>
      </c>
      <c r="M25" s="199"/>
      <c r="N25" s="198">
        <v>0</v>
      </c>
      <c r="O25" s="198">
        <v>0</v>
      </c>
    </row>
    <row r="26" spans="2:15" s="4" customFormat="1" ht="12.95" customHeight="1" x14ac:dyDescent="0.2">
      <c r="B26" s="20" t="s">
        <v>21</v>
      </c>
      <c r="C26" s="50"/>
      <c r="D26" s="200">
        <v>322273.32141097297</v>
      </c>
      <c r="E26" s="199"/>
      <c r="F26" s="198">
        <v>333368.87391591602</v>
      </c>
      <c r="G26" s="199"/>
      <c r="H26" s="200">
        <v>139395.31255802099</v>
      </c>
      <c r="I26" s="198">
        <v>46.644147205599999</v>
      </c>
      <c r="J26" s="199"/>
      <c r="K26" s="200">
        <v>210718.15264944101</v>
      </c>
      <c r="L26" s="198">
        <v>69.470281325800002</v>
      </c>
      <c r="M26" s="199"/>
      <c r="N26" s="198">
        <v>3398.6369106326001</v>
      </c>
      <c r="O26" s="198">
        <v>1.1806909257</v>
      </c>
    </row>
    <row r="27" spans="2:15" s="4" customFormat="1" ht="12.95" customHeight="1" x14ac:dyDescent="0.2">
      <c r="B27" s="20" t="s">
        <v>22</v>
      </c>
      <c r="C27" s="50"/>
      <c r="D27" s="200">
        <v>619669.30203754199</v>
      </c>
      <c r="E27" s="199"/>
      <c r="F27" s="198">
        <v>681166.61164602905</v>
      </c>
      <c r="G27" s="199"/>
      <c r="H27" s="200">
        <v>195828.971811973</v>
      </c>
      <c r="I27" s="198">
        <v>35.007142145899998</v>
      </c>
      <c r="J27" s="199"/>
      <c r="K27" s="200">
        <v>512361.22884044203</v>
      </c>
      <c r="L27" s="198">
        <v>87.563483110600004</v>
      </c>
      <c r="M27" s="199"/>
      <c r="N27" s="198">
        <v>19495.6666156883</v>
      </c>
      <c r="O27" s="198">
        <v>3.5550736927000002</v>
      </c>
    </row>
    <row r="28" spans="2:15" s="4" customFormat="1" ht="12.95" customHeight="1" x14ac:dyDescent="0.2">
      <c r="B28" s="20" t="s">
        <v>23</v>
      </c>
      <c r="C28" s="50"/>
      <c r="D28" s="200">
        <v>183362.682668227</v>
      </c>
      <c r="E28" s="199"/>
      <c r="F28" s="198">
        <v>188966.827634188</v>
      </c>
      <c r="G28" s="199"/>
      <c r="H28" s="200">
        <v>59225.344011262197</v>
      </c>
      <c r="I28" s="198">
        <v>36.295946608400001</v>
      </c>
      <c r="J28" s="199"/>
      <c r="K28" s="200">
        <v>139030.99965379099</v>
      </c>
      <c r="L28" s="198">
        <v>79.971454544300002</v>
      </c>
      <c r="M28" s="199"/>
      <c r="N28" s="198">
        <v>1639.8092487099</v>
      </c>
      <c r="O28" s="198">
        <v>1.0273741467999999</v>
      </c>
    </row>
    <row r="29" spans="2:15" s="4" customFormat="1" ht="12.95" customHeight="1" x14ac:dyDescent="0.2">
      <c r="B29" s="20" t="s">
        <v>24</v>
      </c>
      <c r="C29" s="50"/>
      <c r="D29" s="200">
        <v>78900.610851651902</v>
      </c>
      <c r="E29" s="199"/>
      <c r="F29" s="198">
        <v>83024.872032767002</v>
      </c>
      <c r="G29" s="199"/>
      <c r="H29" s="200">
        <v>27750.449685708001</v>
      </c>
      <c r="I29" s="198">
        <v>38.5404701155</v>
      </c>
      <c r="J29" s="199"/>
      <c r="K29" s="200">
        <v>59826.075898687202</v>
      </c>
      <c r="L29" s="198">
        <v>79.753822645</v>
      </c>
      <c r="M29" s="199"/>
      <c r="N29" s="198">
        <v>1184.8944248743001</v>
      </c>
      <c r="O29" s="198">
        <v>1.6710529581</v>
      </c>
    </row>
    <row r="30" spans="2:15" s="4" customFormat="1" ht="12.95" customHeight="1" x14ac:dyDescent="0.2">
      <c r="B30" s="20" t="s">
        <v>25</v>
      </c>
      <c r="C30" s="50"/>
      <c r="D30" s="200">
        <v>59340.529813057998</v>
      </c>
      <c r="E30" s="199"/>
      <c r="F30" s="198">
        <v>61687.275887048498</v>
      </c>
      <c r="G30" s="199"/>
      <c r="H30" s="200">
        <v>24192.038594243499</v>
      </c>
      <c r="I30" s="198">
        <v>44.604742244999997</v>
      </c>
      <c r="J30" s="199"/>
      <c r="K30" s="200">
        <v>40090.565969268297</v>
      </c>
      <c r="L30" s="198">
        <v>70.996584447700002</v>
      </c>
      <c r="M30" s="199"/>
      <c r="N30" s="198">
        <v>0</v>
      </c>
      <c r="O30" s="198">
        <v>0</v>
      </c>
    </row>
    <row r="31" spans="2:15" s="4" customFormat="1" ht="12.95" customHeight="1" x14ac:dyDescent="0.2">
      <c r="B31" s="20" t="s">
        <v>26</v>
      </c>
      <c r="C31" s="50"/>
      <c r="D31" s="200">
        <v>175830.086357658</v>
      </c>
      <c r="E31" s="199"/>
      <c r="F31" s="198">
        <v>173085.72687458401</v>
      </c>
      <c r="G31" s="199"/>
      <c r="H31" s="200">
        <v>85940.479629376699</v>
      </c>
      <c r="I31" s="198">
        <v>53.867616199499999</v>
      </c>
      <c r="J31" s="199"/>
      <c r="K31" s="200">
        <v>102137.008510103</v>
      </c>
      <c r="L31" s="198">
        <v>63.737111291399998</v>
      </c>
      <c r="M31" s="199"/>
      <c r="N31" s="198">
        <v>2602.5359689202</v>
      </c>
      <c r="O31" s="198">
        <v>1.7266392728</v>
      </c>
    </row>
    <row r="32" spans="2:15" s="4" customFormat="1" ht="12.95" customHeight="1" x14ac:dyDescent="0.2">
      <c r="B32" s="20" t="s">
        <v>27</v>
      </c>
      <c r="C32" s="50"/>
      <c r="D32" s="200">
        <v>201735.97788275499</v>
      </c>
      <c r="E32" s="199"/>
      <c r="F32" s="198">
        <v>211253.35805221999</v>
      </c>
      <c r="G32" s="199"/>
      <c r="H32" s="200">
        <v>59710.975371622997</v>
      </c>
      <c r="I32" s="198">
        <v>32.270593448699998</v>
      </c>
      <c r="J32" s="199"/>
      <c r="K32" s="200">
        <v>158231.172656918</v>
      </c>
      <c r="L32" s="198">
        <v>82.526285176800002</v>
      </c>
      <c r="M32" s="199"/>
      <c r="N32" s="198">
        <v>0</v>
      </c>
      <c r="O32" s="198">
        <v>0</v>
      </c>
    </row>
    <row r="33" spans="1:15" s="4" customFormat="1" ht="12.95" customHeight="1" x14ac:dyDescent="0.2">
      <c r="B33" s="20" t="s">
        <v>28</v>
      </c>
      <c r="C33" s="50"/>
      <c r="D33" s="200">
        <v>288051.35222599702</v>
      </c>
      <c r="E33" s="199"/>
      <c r="F33" s="198">
        <v>316392.09166845999</v>
      </c>
      <c r="G33" s="199"/>
      <c r="H33" s="200">
        <v>103933.13412886699</v>
      </c>
      <c r="I33" s="198">
        <v>39.314387164599999</v>
      </c>
      <c r="J33" s="199"/>
      <c r="K33" s="200">
        <v>226673.91038552101</v>
      </c>
      <c r="L33" s="198">
        <v>84.183222700000002</v>
      </c>
      <c r="M33" s="199"/>
      <c r="N33" s="198">
        <v>0</v>
      </c>
      <c r="O33" s="198">
        <v>0</v>
      </c>
    </row>
    <row r="34" spans="1:15" s="4" customFormat="1" ht="12.95" customHeight="1" x14ac:dyDescent="0.2">
      <c r="B34" s="20" t="s">
        <v>29</v>
      </c>
      <c r="C34" s="50"/>
      <c r="D34" s="200">
        <v>109138.090123648</v>
      </c>
      <c r="E34" s="199"/>
      <c r="F34" s="198">
        <v>115296.238624103</v>
      </c>
      <c r="G34" s="199"/>
      <c r="H34" s="200">
        <v>57432.053501077498</v>
      </c>
      <c r="I34" s="198">
        <v>57.776477353099999</v>
      </c>
      <c r="J34" s="199"/>
      <c r="K34" s="200">
        <v>64659.584625400297</v>
      </c>
      <c r="L34" s="198">
        <v>64.191655224200005</v>
      </c>
      <c r="M34" s="199"/>
      <c r="N34" s="198">
        <v>624.18545596050001</v>
      </c>
      <c r="O34" s="198">
        <v>0.65682040289999999</v>
      </c>
    </row>
    <row r="35" spans="1:15" s="4" customFormat="1" ht="12.95" customHeight="1" x14ac:dyDescent="0.2">
      <c r="B35" s="20" t="s">
        <v>30</v>
      </c>
      <c r="C35" s="50"/>
      <c r="D35" s="200">
        <v>108330.84640313601</v>
      </c>
      <c r="E35" s="199"/>
      <c r="F35" s="198">
        <v>114211.792851684</v>
      </c>
      <c r="G35" s="199"/>
      <c r="H35" s="200">
        <v>36278.188831719199</v>
      </c>
      <c r="I35" s="198">
        <v>37.922326775099997</v>
      </c>
      <c r="J35" s="199"/>
      <c r="K35" s="200">
        <v>83443.106421333505</v>
      </c>
      <c r="L35" s="198">
        <v>79.921533201900004</v>
      </c>
      <c r="M35" s="199"/>
      <c r="N35" s="198">
        <v>640.0545777223</v>
      </c>
      <c r="O35" s="198">
        <v>0.6582273716</v>
      </c>
    </row>
    <row r="36" spans="1:15" s="4" customFormat="1" ht="12.95" customHeight="1" x14ac:dyDescent="0.2">
      <c r="B36" s="20" t="s">
        <v>31</v>
      </c>
      <c r="C36" s="50"/>
      <c r="D36" s="200">
        <v>99514.318564059198</v>
      </c>
      <c r="E36" s="199"/>
      <c r="F36" s="198">
        <v>107524.738593631</v>
      </c>
      <c r="G36" s="199"/>
      <c r="H36" s="200">
        <v>43532.734603736397</v>
      </c>
      <c r="I36" s="198">
        <v>47.6995166759</v>
      </c>
      <c r="J36" s="199"/>
      <c r="K36" s="200">
        <v>71456.907423536803</v>
      </c>
      <c r="L36" s="198">
        <v>77.364037641400003</v>
      </c>
      <c r="M36" s="199"/>
      <c r="N36" s="198">
        <v>0</v>
      </c>
      <c r="O36" s="198">
        <v>0</v>
      </c>
    </row>
    <row r="37" spans="1:15" s="4" customFormat="1" ht="12.95" customHeight="1" x14ac:dyDescent="0.2">
      <c r="B37" s="20" t="s">
        <v>32</v>
      </c>
      <c r="C37" s="50"/>
      <c r="D37" s="200">
        <v>179094.23344799399</v>
      </c>
      <c r="E37" s="199"/>
      <c r="F37" s="198">
        <v>188801.481650395</v>
      </c>
      <c r="G37" s="199"/>
      <c r="H37" s="200">
        <v>52730.866553440901</v>
      </c>
      <c r="I37" s="198">
        <v>31.513629858400002</v>
      </c>
      <c r="J37" s="199"/>
      <c r="K37" s="200">
        <v>144482.614889972</v>
      </c>
      <c r="L37" s="198">
        <v>84.471661436199994</v>
      </c>
      <c r="M37" s="199"/>
      <c r="N37" s="198">
        <v>1301.2679844601</v>
      </c>
      <c r="O37" s="198">
        <v>0.79045432120000003</v>
      </c>
    </row>
    <row r="38" spans="1:15" s="4" customFormat="1" ht="12.95" customHeight="1" x14ac:dyDescent="0.2">
      <c r="B38" s="20" t="s">
        <v>33</v>
      </c>
      <c r="C38" s="50"/>
      <c r="D38" s="200">
        <v>171188.36903391301</v>
      </c>
      <c r="E38" s="199"/>
      <c r="F38" s="198">
        <v>181130.796087169</v>
      </c>
      <c r="G38" s="199"/>
      <c r="H38" s="200">
        <v>82966.395789323797</v>
      </c>
      <c r="I38" s="198">
        <v>51.5027864037</v>
      </c>
      <c r="J38" s="199"/>
      <c r="K38" s="200">
        <v>104876.815905437</v>
      </c>
      <c r="L38" s="198">
        <v>64.575860204199998</v>
      </c>
      <c r="M38" s="199"/>
      <c r="N38" s="198">
        <v>790.81123445850005</v>
      </c>
      <c r="O38" s="198">
        <v>0.50605113079999997</v>
      </c>
    </row>
    <row r="39" spans="1:15" s="4" customFormat="1" ht="12.95" customHeight="1" x14ac:dyDescent="0.2">
      <c r="B39" s="20" t="s">
        <v>34</v>
      </c>
      <c r="C39" s="50"/>
      <c r="D39" s="200">
        <v>136432.170824228</v>
      </c>
      <c r="E39" s="199"/>
      <c r="F39" s="198">
        <v>148525.378028893</v>
      </c>
      <c r="G39" s="199"/>
      <c r="H39" s="200">
        <v>54419.749059078102</v>
      </c>
      <c r="I39" s="198">
        <v>43.725510049100002</v>
      </c>
      <c r="J39" s="199"/>
      <c r="K39" s="200">
        <v>100094.146172009</v>
      </c>
      <c r="L39" s="198">
        <v>76.664437439599993</v>
      </c>
      <c r="M39" s="199"/>
      <c r="N39" s="198">
        <v>0</v>
      </c>
      <c r="O39" s="198">
        <v>0</v>
      </c>
    </row>
    <row r="40" spans="1:15" s="4" customFormat="1" ht="12.95" customHeight="1" x14ac:dyDescent="0.2">
      <c r="B40" s="20" t="s">
        <v>35</v>
      </c>
      <c r="C40" s="50"/>
      <c r="D40" s="200">
        <v>130458.19625794</v>
      </c>
      <c r="E40" s="199"/>
      <c r="F40" s="198">
        <v>130086.987151104</v>
      </c>
      <c r="G40" s="199"/>
      <c r="H40" s="200">
        <v>53323.872961090499</v>
      </c>
      <c r="I40" s="198">
        <v>44.303369810100001</v>
      </c>
      <c r="J40" s="199"/>
      <c r="K40" s="200">
        <v>87962.936657478305</v>
      </c>
      <c r="L40" s="198">
        <v>73.0226556442</v>
      </c>
      <c r="M40" s="199"/>
      <c r="N40" s="198">
        <v>1385.9033005225999</v>
      </c>
      <c r="O40" s="198">
        <v>1.1968100801999999</v>
      </c>
    </row>
    <row r="41" spans="1:15" s="4" customFormat="1" ht="12.95" customHeight="1" x14ac:dyDescent="0.2">
      <c r="B41" s="20" t="s">
        <v>36</v>
      </c>
      <c r="C41" s="50"/>
      <c r="D41" s="200">
        <v>69917.697860439905</v>
      </c>
      <c r="E41" s="199"/>
      <c r="F41" s="198">
        <v>78586.292497000206</v>
      </c>
      <c r="G41" s="199"/>
      <c r="H41" s="200">
        <v>29600.098461964899</v>
      </c>
      <c r="I41" s="198">
        <v>44.729668533900004</v>
      </c>
      <c r="J41" s="199"/>
      <c r="K41" s="200">
        <v>52470.374827374602</v>
      </c>
      <c r="L41" s="198">
        <v>80.422052665400003</v>
      </c>
      <c r="M41" s="199"/>
      <c r="N41" s="198">
        <v>613.60604145269997</v>
      </c>
      <c r="O41" s="198">
        <v>0.96339398919999997</v>
      </c>
    </row>
    <row r="42" spans="1:15" s="4" customFormat="1" ht="12.95" customHeight="1" x14ac:dyDescent="0.2">
      <c r="B42" s="20" t="s">
        <v>37</v>
      </c>
      <c r="C42" s="50"/>
      <c r="D42" s="200">
        <v>369628.49264371698</v>
      </c>
      <c r="E42" s="199"/>
      <c r="F42" s="198">
        <v>369241.92770942999</v>
      </c>
      <c r="G42" s="199"/>
      <c r="H42" s="200">
        <v>110120.716642606</v>
      </c>
      <c r="I42" s="198">
        <v>32.270929008899998</v>
      </c>
      <c r="J42" s="199"/>
      <c r="K42" s="200">
        <v>278666.941261812</v>
      </c>
      <c r="L42" s="198">
        <v>79.420503694000004</v>
      </c>
      <c r="M42" s="199"/>
      <c r="N42" s="198">
        <v>3872.065709857</v>
      </c>
      <c r="O42" s="198">
        <v>1.1581178152</v>
      </c>
    </row>
    <row r="43" spans="1:15" s="4" customFormat="1" ht="12.95" customHeight="1" x14ac:dyDescent="0.2">
      <c r="B43" s="20" t="s">
        <v>38</v>
      </c>
      <c r="C43" s="50"/>
      <c r="D43" s="200">
        <v>131404.293620549</v>
      </c>
      <c r="E43" s="199"/>
      <c r="F43" s="198">
        <v>138575.25860043801</v>
      </c>
      <c r="G43" s="199"/>
      <c r="H43" s="200">
        <v>54550.528746788099</v>
      </c>
      <c r="I43" s="198">
        <v>44.669673678800002</v>
      </c>
      <c r="J43" s="199"/>
      <c r="K43" s="200">
        <v>90646.105388511307</v>
      </c>
      <c r="L43" s="198">
        <v>72.671247731199998</v>
      </c>
      <c r="M43" s="199"/>
      <c r="N43" s="198">
        <v>0</v>
      </c>
      <c r="O43" s="198">
        <v>0</v>
      </c>
    </row>
    <row r="44" spans="1:15" s="4" customFormat="1" ht="12.95" customHeight="1" x14ac:dyDescent="0.2">
      <c r="B44" s="20" t="s">
        <v>39</v>
      </c>
      <c r="C44" s="50"/>
      <c r="D44" s="200">
        <v>47765.042636505998</v>
      </c>
      <c r="E44" s="199"/>
      <c r="F44" s="198">
        <v>49103.302162113301</v>
      </c>
      <c r="G44" s="199"/>
      <c r="H44" s="200">
        <v>22183.065467791399</v>
      </c>
      <c r="I44" s="198">
        <v>50.664567464400001</v>
      </c>
      <c r="J44" s="199"/>
      <c r="K44" s="200">
        <v>30211.6973244125</v>
      </c>
      <c r="L44" s="198">
        <v>68.981475530599994</v>
      </c>
      <c r="M44" s="199"/>
      <c r="N44" s="198">
        <v>0</v>
      </c>
      <c r="O44" s="198">
        <v>0</v>
      </c>
    </row>
    <row r="45" spans="1:1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</row>
    <row r="46" spans="1:15" s="2" customFormat="1" ht="6" customHeight="1" x14ac:dyDescent="0.2">
      <c r="A46" s="63"/>
      <c r="B46" s="28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8"/>
      <c r="N46" s="28"/>
      <c r="O46" s="28"/>
    </row>
    <row r="47" spans="1:1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</row>
    <row r="48" spans="1:15" s="101" customFormat="1" ht="14.25" x14ac:dyDescent="0.2">
      <c r="B48" s="102" t="s">
        <v>75</v>
      </c>
    </row>
    <row r="49" spans="2:15" ht="12.75" customHeight="1" x14ac:dyDescent="0.25">
      <c r="B49" s="31"/>
      <c r="C49" s="46"/>
      <c r="D49" s="46"/>
      <c r="E49" s="31"/>
      <c r="F49" s="31"/>
      <c r="G49" s="31"/>
      <c r="H49" s="31"/>
      <c r="I49" s="31"/>
      <c r="J49" s="31"/>
      <c r="K49" s="31"/>
      <c r="L49" s="31"/>
      <c r="M49" s="28"/>
      <c r="N49" s="28"/>
      <c r="O49" s="28"/>
    </row>
    <row r="50" spans="2:15" ht="12.75" customHeight="1" x14ac:dyDescent="0.25">
      <c r="B50" s="134"/>
      <c r="C50" s="31"/>
      <c r="D50" s="133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</row>
  </sheetData>
  <mergeCells count="9">
    <mergeCell ref="B5:M5"/>
    <mergeCell ref="B6:L6"/>
    <mergeCell ref="B7:C9"/>
    <mergeCell ref="D7:D9"/>
    <mergeCell ref="F7:F9"/>
    <mergeCell ref="H7:O7"/>
    <mergeCell ref="H8:I8"/>
    <mergeCell ref="K8:L8"/>
    <mergeCell ref="N8:O8"/>
  </mergeCells>
  <hyperlinks>
    <hyperlink ref="O1" location="Índice!A1" tooltip="Ir a ÍNDICE" display="INDICE" xr:uid="{720992B9-E882-4CDC-A519-4BBF5DB2AA92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A457-F87E-45D5-ACA6-CEE6EE30C7B3}">
  <sheetPr>
    <pageSetUpPr fitToPage="1"/>
  </sheetPr>
  <dimension ref="A1:AP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2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0.42578125" style="1" customWidth="1" collapsed="1"/>
    <col min="10" max="10" width="1.7109375" style="1" customWidth="1" collapsed="1"/>
    <col min="11" max="12" width="11.42578125" style="1" customWidth="1" collapsed="1"/>
    <col min="13" max="13" width="1.7109375" style="2" customWidth="1"/>
    <col min="14" max="14" width="11.5703125" style="2" customWidth="1"/>
    <col min="15" max="15" width="10.7109375" style="2" customWidth="1"/>
    <col min="16" max="16" width="1.28515625" style="2" customWidth="1"/>
    <col min="17" max="17" width="9.85546875" style="1" customWidth="1"/>
    <col min="18" max="18" width="10.140625" style="1" customWidth="1" collapsed="1"/>
    <col min="19" max="42" width="11.42578125" style="1"/>
    <col min="43" max="16384" width="11.42578125" style="1" collapsed="1"/>
  </cols>
  <sheetData>
    <row r="1" spans="2:18" s="68" customFormat="1" x14ac:dyDescent="0.2">
      <c r="B1" s="210" t="s">
        <v>129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5">
      <c r="B2" s="210"/>
      <c r="M2" s="70"/>
      <c r="N2" s="70"/>
      <c r="O2" s="70"/>
      <c r="P2" s="70"/>
    </row>
    <row r="3" spans="2:18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42" t="s">
        <v>128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62</v>
      </c>
    </row>
    <row r="6" spans="2:18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</row>
    <row r="7" spans="2:18" ht="27" customHeight="1" x14ac:dyDescent="0.25">
      <c r="B7" s="245" t="s">
        <v>1</v>
      </c>
      <c r="C7" s="245"/>
      <c r="D7" s="248" t="s">
        <v>127</v>
      </c>
      <c r="E7" s="34"/>
      <c r="F7" s="248" t="s">
        <v>126</v>
      </c>
      <c r="G7" s="35"/>
      <c r="H7" s="251" t="s">
        <v>125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2:18" ht="56.25" customHeight="1" x14ac:dyDescent="0.25">
      <c r="B8" s="246"/>
      <c r="C8" s="246"/>
      <c r="D8" s="249"/>
      <c r="E8" s="34"/>
      <c r="F8" s="249"/>
      <c r="G8" s="34"/>
      <c r="H8" s="252" t="s">
        <v>124</v>
      </c>
      <c r="I8" s="252"/>
      <c r="J8" s="195"/>
      <c r="K8" s="232" t="s">
        <v>123</v>
      </c>
      <c r="L8" s="232"/>
      <c r="M8" s="209"/>
      <c r="N8" s="232" t="s">
        <v>122</v>
      </c>
      <c r="O8" s="232"/>
      <c r="P8" s="209"/>
      <c r="Q8" s="232" t="s">
        <v>43</v>
      </c>
      <c r="R8" s="232"/>
    </row>
    <row r="9" spans="2:18" ht="23.25" customHeight="1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173" t="s">
        <v>6</v>
      </c>
    </row>
    <row r="10" spans="2:18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207">
        <v>3590263.4566869899</v>
      </c>
      <c r="E11" s="208"/>
      <c r="F11" s="207">
        <v>3798425.4365805802</v>
      </c>
      <c r="G11" s="208"/>
      <c r="H11" s="207">
        <v>2009088.00311983</v>
      </c>
      <c r="I11" s="207">
        <v>57.188366780999999</v>
      </c>
      <c r="J11" s="208"/>
      <c r="K11" s="207">
        <v>949453.27250607603</v>
      </c>
      <c r="L11" s="207">
        <v>27.042547887800001</v>
      </c>
      <c r="M11" s="208"/>
      <c r="N11" s="207">
        <v>562051.24921215896</v>
      </c>
      <c r="O11" s="207">
        <v>16.030250668000001</v>
      </c>
      <c r="P11" s="208"/>
      <c r="Q11" s="207">
        <v>390965.77896985202</v>
      </c>
      <c r="R11" s="207">
        <v>11.1889420128</v>
      </c>
    </row>
    <row r="12" spans="2:18" s="88" customFormat="1" ht="6" customHeight="1" x14ac:dyDescent="0.2">
      <c r="B12" s="40"/>
      <c r="C12" s="92"/>
      <c r="D12" s="205"/>
      <c r="E12" s="205"/>
      <c r="F12" s="205"/>
      <c r="G12" s="205"/>
      <c r="H12" s="205"/>
      <c r="I12" s="206"/>
      <c r="J12" s="205"/>
      <c r="K12" s="205"/>
      <c r="L12" s="206"/>
      <c r="M12" s="205"/>
      <c r="N12" s="205"/>
      <c r="O12" s="206"/>
      <c r="P12" s="205"/>
      <c r="Q12" s="205"/>
      <c r="R12" s="206"/>
    </row>
    <row r="13" spans="2:18" s="3" customFormat="1" ht="12.95" customHeight="1" x14ac:dyDescent="0.2">
      <c r="B13" s="20" t="s">
        <v>8</v>
      </c>
      <c r="C13" s="50"/>
      <c r="D13" s="200">
        <v>29009.046367776398</v>
      </c>
      <c r="E13" s="205"/>
      <c r="F13" s="200">
        <v>29867.692915011499</v>
      </c>
      <c r="G13" s="205"/>
      <c r="H13" s="200">
        <v>20872.161968128301</v>
      </c>
      <c r="I13" s="200">
        <v>79.752422326100003</v>
      </c>
      <c r="J13" s="205"/>
      <c r="K13" s="200">
        <v>4422.5628010114997</v>
      </c>
      <c r="L13" s="200">
        <v>18.035950631599999</v>
      </c>
      <c r="M13" s="205"/>
      <c r="N13" s="200">
        <v>2395.1818118118999</v>
      </c>
      <c r="O13" s="200">
        <v>9.8531721459000003</v>
      </c>
      <c r="P13" s="205"/>
      <c r="Q13" s="200">
        <v>5782.5705095795001</v>
      </c>
      <c r="R13" s="200">
        <v>22.463450894200001</v>
      </c>
    </row>
    <row r="14" spans="2:18" s="3" customFormat="1" ht="12.95" customHeight="1" x14ac:dyDescent="0.2">
      <c r="B14" s="20" t="s">
        <v>9</v>
      </c>
      <c r="C14" s="50"/>
      <c r="D14" s="200">
        <v>169330.37059454399</v>
      </c>
      <c r="E14" s="205"/>
      <c r="F14" s="200">
        <v>174987.61871439201</v>
      </c>
      <c r="G14" s="205"/>
      <c r="H14" s="200">
        <v>82706.443083621794</v>
      </c>
      <c r="I14" s="200">
        <v>53.027456063199999</v>
      </c>
      <c r="J14" s="205"/>
      <c r="K14" s="200">
        <v>62484.947261291301</v>
      </c>
      <c r="L14" s="200">
        <v>39.892421446500002</v>
      </c>
      <c r="M14" s="205"/>
      <c r="N14" s="200">
        <v>37796.474369024902</v>
      </c>
      <c r="O14" s="200">
        <v>25.6599272202</v>
      </c>
      <c r="P14" s="205"/>
      <c r="Q14" s="200">
        <v>8705.8552435040001</v>
      </c>
      <c r="R14" s="200">
        <v>5.9234889266000001</v>
      </c>
    </row>
    <row r="15" spans="2:18" s="3" customFormat="1" ht="12.95" customHeight="1" x14ac:dyDescent="0.2">
      <c r="B15" s="20" t="s">
        <v>10</v>
      </c>
      <c r="C15" s="50"/>
      <c r="D15" s="200">
        <v>30876.6537952976</v>
      </c>
      <c r="E15" s="205"/>
      <c r="F15" s="200">
        <v>35504.456548863702</v>
      </c>
      <c r="G15" s="205"/>
      <c r="H15" s="200">
        <v>23815.080623770798</v>
      </c>
      <c r="I15" s="200">
        <v>86.179086822900004</v>
      </c>
      <c r="J15" s="205"/>
      <c r="K15" s="200">
        <v>4931.0569361385997</v>
      </c>
      <c r="L15" s="200">
        <v>18.969334659000001</v>
      </c>
      <c r="M15" s="205"/>
      <c r="N15" s="200">
        <v>2557.7177967326002</v>
      </c>
      <c r="O15" s="200">
        <v>9.5959250035999997</v>
      </c>
      <c r="P15" s="205"/>
      <c r="Q15" s="200">
        <v>8528.7345083102009</v>
      </c>
      <c r="R15" s="200">
        <v>30.521207520699999</v>
      </c>
    </row>
    <row r="16" spans="2:18" s="3" customFormat="1" ht="12.95" customHeight="1" x14ac:dyDescent="0.2">
      <c r="B16" s="20" t="s">
        <v>11</v>
      </c>
      <c r="C16" s="50"/>
      <c r="D16" s="200">
        <v>37797.730009415602</v>
      </c>
      <c r="E16" s="205"/>
      <c r="F16" s="200">
        <v>39221.730306837497</v>
      </c>
      <c r="G16" s="205"/>
      <c r="H16" s="200">
        <v>22482.283873017899</v>
      </c>
      <c r="I16" s="200">
        <v>63.851873499299998</v>
      </c>
      <c r="J16" s="205"/>
      <c r="K16" s="200">
        <v>8737.1965006488008</v>
      </c>
      <c r="L16" s="200">
        <v>25.344790920600001</v>
      </c>
      <c r="M16" s="205"/>
      <c r="N16" s="200">
        <v>5291.2560216664997</v>
      </c>
      <c r="O16" s="200">
        <v>15.6984712576</v>
      </c>
      <c r="P16" s="205"/>
      <c r="Q16" s="200">
        <v>6180.2249707367</v>
      </c>
      <c r="R16" s="200">
        <v>18.405977543999999</v>
      </c>
    </row>
    <row r="17" spans="2:18" s="3" customFormat="1" ht="12.95" customHeight="1" x14ac:dyDescent="0.2">
      <c r="B17" s="20" t="s">
        <v>12</v>
      </c>
      <c r="C17" s="50"/>
      <c r="D17" s="200">
        <v>84607.074122028396</v>
      </c>
      <c r="E17" s="205"/>
      <c r="F17" s="200">
        <v>86579.522109266894</v>
      </c>
      <c r="G17" s="205"/>
      <c r="H17" s="200">
        <v>52607.727507713098</v>
      </c>
      <c r="I17" s="200">
        <v>67.880389749200006</v>
      </c>
      <c r="J17" s="205"/>
      <c r="K17" s="200">
        <v>26282.154209264801</v>
      </c>
      <c r="L17" s="200">
        <v>34.557161239099997</v>
      </c>
      <c r="M17" s="205"/>
      <c r="N17" s="200">
        <v>10241.520329384801</v>
      </c>
      <c r="O17" s="200">
        <v>13.740444435500001</v>
      </c>
      <c r="P17" s="205"/>
      <c r="Q17" s="200">
        <v>9925.5736731451998</v>
      </c>
      <c r="R17" s="200">
        <v>13.4297904641</v>
      </c>
    </row>
    <row r="18" spans="2:18" s="3" customFormat="1" ht="12.95" customHeight="1" x14ac:dyDescent="0.2">
      <c r="B18" s="20" t="s">
        <v>13</v>
      </c>
      <c r="C18" s="50"/>
      <c r="D18" s="200">
        <v>18998.994066734798</v>
      </c>
      <c r="E18" s="205"/>
      <c r="F18" s="200">
        <v>19358.032119032901</v>
      </c>
      <c r="G18" s="205"/>
      <c r="H18" s="200">
        <v>11378.9468859072</v>
      </c>
      <c r="I18" s="200">
        <v>64.729824452000003</v>
      </c>
      <c r="J18" s="205"/>
      <c r="K18" s="200">
        <v>5761.5561404853997</v>
      </c>
      <c r="L18" s="200">
        <v>34.629454794600001</v>
      </c>
      <c r="M18" s="205"/>
      <c r="N18" s="200">
        <v>3238.3874333199001</v>
      </c>
      <c r="O18" s="200">
        <v>19.400159625600001</v>
      </c>
      <c r="P18" s="205"/>
      <c r="Q18" s="200">
        <v>1690.9431286582001</v>
      </c>
      <c r="R18" s="200">
        <v>10.325509691300001</v>
      </c>
    </row>
    <row r="19" spans="2:18" s="3" customFormat="1" ht="12.95" customHeight="1" x14ac:dyDescent="0.2">
      <c r="B19" s="20" t="s">
        <v>14</v>
      </c>
      <c r="C19" s="50"/>
      <c r="D19" s="200">
        <v>232429.311595757</v>
      </c>
      <c r="E19" s="199"/>
      <c r="F19" s="198">
        <v>243080.684528838</v>
      </c>
      <c r="G19" s="199"/>
      <c r="H19" s="200">
        <v>103615.92942129</v>
      </c>
      <c r="I19" s="198">
        <v>48.4312224026</v>
      </c>
      <c r="J19" s="199"/>
      <c r="K19" s="200">
        <v>71206.539025157603</v>
      </c>
      <c r="L19" s="198">
        <v>33.285998890800002</v>
      </c>
      <c r="M19" s="199"/>
      <c r="N19" s="198">
        <v>65183.289384761803</v>
      </c>
      <c r="O19" s="198">
        <v>30.089096599600001</v>
      </c>
      <c r="P19" s="199"/>
      <c r="Q19" s="198">
        <v>24670.1517958398</v>
      </c>
      <c r="R19" s="198">
        <v>11.798366247400001</v>
      </c>
    </row>
    <row r="20" spans="2:18" s="4" customFormat="1" ht="12.95" customHeight="1" x14ac:dyDescent="0.2">
      <c r="B20" s="20" t="s">
        <v>15</v>
      </c>
      <c r="C20" s="50"/>
      <c r="D20" s="200">
        <v>90071.605579804207</v>
      </c>
      <c r="E20" s="199"/>
      <c r="F20" s="198">
        <v>92498.566259049301</v>
      </c>
      <c r="G20" s="199"/>
      <c r="H20" s="200">
        <v>65104.705377034203</v>
      </c>
      <c r="I20" s="198">
        <v>77.969659936200003</v>
      </c>
      <c r="J20" s="199"/>
      <c r="K20" s="200">
        <v>22518.380080276202</v>
      </c>
      <c r="L20" s="198">
        <v>28.090198949600001</v>
      </c>
      <c r="M20" s="199"/>
      <c r="N20" s="198">
        <v>5887.8383514712004</v>
      </c>
      <c r="O20" s="198">
        <v>7.4993047455999999</v>
      </c>
      <c r="P20" s="199"/>
      <c r="Q20" s="198">
        <v>10678.7982161811</v>
      </c>
      <c r="R20" s="198">
        <v>13.5559934884</v>
      </c>
    </row>
    <row r="21" spans="2:18" s="4" customFormat="1" ht="12.95" customHeight="1" x14ac:dyDescent="0.2">
      <c r="B21" s="20" t="s">
        <v>16</v>
      </c>
      <c r="C21" s="50"/>
      <c r="D21" s="200">
        <v>446979.30596829002</v>
      </c>
      <c r="E21" s="199"/>
      <c r="F21" s="198">
        <v>456717.971759281</v>
      </c>
      <c r="G21" s="199"/>
      <c r="H21" s="200">
        <v>207894.153344819</v>
      </c>
      <c r="I21" s="198">
        <v>50.327739600599998</v>
      </c>
      <c r="J21" s="199"/>
      <c r="K21" s="200">
        <v>136682.940721925</v>
      </c>
      <c r="L21" s="198">
        <v>33.353592019499999</v>
      </c>
      <c r="M21" s="199"/>
      <c r="N21" s="198">
        <v>64833.932233892199</v>
      </c>
      <c r="O21" s="198">
        <v>15.8969155132</v>
      </c>
      <c r="P21" s="199"/>
      <c r="Q21" s="198">
        <v>99048.235160508702</v>
      </c>
      <c r="R21" s="198">
        <v>24.032732137699998</v>
      </c>
    </row>
    <row r="22" spans="2:18" s="4" customFormat="1" ht="12.95" customHeight="1" x14ac:dyDescent="0.2">
      <c r="B22" s="20" t="s">
        <v>17</v>
      </c>
      <c r="C22" s="50"/>
      <c r="D22" s="200">
        <v>46097.232811498201</v>
      </c>
      <c r="E22" s="199"/>
      <c r="F22" s="198">
        <v>46925.208599115802</v>
      </c>
      <c r="G22" s="199"/>
      <c r="H22" s="200">
        <v>33707.742496649102</v>
      </c>
      <c r="I22" s="198">
        <v>78.638062299300003</v>
      </c>
      <c r="J22" s="199"/>
      <c r="K22" s="200">
        <v>6849.9410259715996</v>
      </c>
      <c r="L22" s="198">
        <v>16.689605373900001</v>
      </c>
      <c r="M22" s="199"/>
      <c r="N22" s="198">
        <v>3322.6318296718</v>
      </c>
      <c r="O22" s="198">
        <v>8.2950994649999998</v>
      </c>
      <c r="P22" s="199"/>
      <c r="Q22" s="198">
        <v>8087.4680057332998</v>
      </c>
      <c r="R22" s="198">
        <v>19.684524892100001</v>
      </c>
    </row>
    <row r="23" spans="2:18" s="4" customFormat="1" ht="12.95" customHeight="1" x14ac:dyDescent="0.2">
      <c r="B23" s="20" t="s">
        <v>18</v>
      </c>
      <c r="C23" s="50"/>
      <c r="D23" s="200">
        <v>175591.28375173401</v>
      </c>
      <c r="E23" s="199"/>
      <c r="F23" s="198">
        <v>184816.069797609</v>
      </c>
      <c r="G23" s="199"/>
      <c r="H23" s="200">
        <v>88351.435753950296</v>
      </c>
      <c r="I23" s="198">
        <v>54.581358503099999</v>
      </c>
      <c r="J23" s="199"/>
      <c r="K23" s="200">
        <v>57104.931054368601</v>
      </c>
      <c r="L23" s="198">
        <v>35.797803531900001</v>
      </c>
      <c r="M23" s="199"/>
      <c r="N23" s="198">
        <v>21889.352524834499</v>
      </c>
      <c r="O23" s="198">
        <v>14.0456276892</v>
      </c>
      <c r="P23" s="199"/>
      <c r="Q23" s="198">
        <v>39901.567643168302</v>
      </c>
      <c r="R23" s="198">
        <v>25.303552853599999</v>
      </c>
    </row>
    <row r="24" spans="2:18" s="4" customFormat="1" ht="12.95" customHeight="1" x14ac:dyDescent="0.2">
      <c r="B24" s="20" t="s">
        <v>19</v>
      </c>
      <c r="C24" s="50"/>
      <c r="D24" s="200">
        <v>171823.638449349</v>
      </c>
      <c r="E24" s="199"/>
      <c r="F24" s="198">
        <v>180485.63447779301</v>
      </c>
      <c r="G24" s="199"/>
      <c r="H24" s="200">
        <v>109083.462978089</v>
      </c>
      <c r="I24" s="198">
        <v>68.109029954899995</v>
      </c>
      <c r="J24" s="199"/>
      <c r="K24" s="200">
        <v>49889.672681246797</v>
      </c>
      <c r="L24" s="198">
        <v>31.3253943544</v>
      </c>
      <c r="M24" s="199"/>
      <c r="N24" s="198">
        <v>19054.270072974101</v>
      </c>
      <c r="O24" s="198">
        <v>12.1543493918</v>
      </c>
      <c r="P24" s="199"/>
      <c r="Q24" s="198">
        <v>17929.1470213672</v>
      </c>
      <c r="R24" s="198">
        <v>11.668292501</v>
      </c>
    </row>
    <row r="25" spans="2:18" s="4" customFormat="1" ht="12.95" customHeight="1" x14ac:dyDescent="0.2">
      <c r="B25" s="20" t="s">
        <v>20</v>
      </c>
      <c r="C25" s="50"/>
      <c r="D25" s="200">
        <v>66439.166487100898</v>
      </c>
      <c r="E25" s="199"/>
      <c r="F25" s="198">
        <v>71057.491612126702</v>
      </c>
      <c r="G25" s="199"/>
      <c r="H25" s="200">
        <v>38105.289763627101</v>
      </c>
      <c r="I25" s="198">
        <v>64.4025401225</v>
      </c>
      <c r="J25" s="199"/>
      <c r="K25" s="200">
        <v>19115.025797898601</v>
      </c>
      <c r="L25" s="198">
        <v>32.178156129999998</v>
      </c>
      <c r="M25" s="199"/>
      <c r="N25" s="198">
        <v>16723.529397180399</v>
      </c>
      <c r="O25" s="198">
        <v>28.284628507000001</v>
      </c>
      <c r="P25" s="199"/>
      <c r="Q25" s="198">
        <v>6606.9502922536003</v>
      </c>
      <c r="R25" s="198">
        <v>11.491703341999999</v>
      </c>
    </row>
    <row r="26" spans="2:18" s="4" customFormat="1" ht="12.95" customHeight="1" x14ac:dyDescent="0.2">
      <c r="B26" s="20" t="s">
        <v>21</v>
      </c>
      <c r="C26" s="50"/>
      <c r="D26" s="200">
        <v>201306.420123808</v>
      </c>
      <c r="E26" s="199"/>
      <c r="F26" s="198">
        <v>207223.974100894</v>
      </c>
      <c r="G26" s="199"/>
      <c r="H26" s="200">
        <v>129110.662807384</v>
      </c>
      <c r="I26" s="198">
        <v>69.635352134499996</v>
      </c>
      <c r="J26" s="199"/>
      <c r="K26" s="200">
        <v>52019.876253232003</v>
      </c>
      <c r="L26" s="198">
        <v>28.332603737900001</v>
      </c>
      <c r="M26" s="199"/>
      <c r="N26" s="198">
        <v>40495.218389425601</v>
      </c>
      <c r="O26" s="198">
        <v>22.9984487284</v>
      </c>
      <c r="P26" s="199"/>
      <c r="Q26" s="198">
        <v>9343.9274173776994</v>
      </c>
      <c r="R26" s="198">
        <v>5.2264899942999996</v>
      </c>
    </row>
    <row r="27" spans="2:18" s="4" customFormat="1" ht="12.95" customHeight="1" x14ac:dyDescent="0.2">
      <c r="B27" s="20" t="s">
        <v>22</v>
      </c>
      <c r="C27" s="50"/>
      <c r="D27" s="200">
        <v>454057.27032057202</v>
      </c>
      <c r="E27" s="199"/>
      <c r="F27" s="198">
        <v>506848.94919801498</v>
      </c>
      <c r="G27" s="199"/>
      <c r="H27" s="200">
        <v>211509.05027289299</v>
      </c>
      <c r="I27" s="198">
        <v>52.553909652599998</v>
      </c>
      <c r="J27" s="199"/>
      <c r="K27" s="200">
        <v>143260.756582512</v>
      </c>
      <c r="L27" s="198">
        <v>34.883530089799997</v>
      </c>
      <c r="M27" s="199"/>
      <c r="N27" s="198">
        <v>153749.505955587</v>
      </c>
      <c r="O27" s="198">
        <v>37.5208215161</v>
      </c>
      <c r="P27" s="199"/>
      <c r="Q27" s="198">
        <v>59999.664097984103</v>
      </c>
      <c r="R27" s="198">
        <v>15.108023106999999</v>
      </c>
    </row>
    <row r="28" spans="2:18" s="4" customFormat="1" ht="12.95" customHeight="1" x14ac:dyDescent="0.2">
      <c r="B28" s="20" t="s">
        <v>23</v>
      </c>
      <c r="C28" s="50"/>
      <c r="D28" s="200">
        <v>133469.681518153</v>
      </c>
      <c r="E28" s="199"/>
      <c r="F28" s="198">
        <v>137649.82473261299</v>
      </c>
      <c r="G28" s="199"/>
      <c r="H28" s="200">
        <v>68298.842239349295</v>
      </c>
      <c r="I28" s="198">
        <v>57.9698388423</v>
      </c>
      <c r="J28" s="199"/>
      <c r="K28" s="200">
        <v>43018.674675756403</v>
      </c>
      <c r="L28" s="198">
        <v>35.407348519700001</v>
      </c>
      <c r="M28" s="199"/>
      <c r="N28" s="198">
        <v>20253.251097213499</v>
      </c>
      <c r="O28" s="198">
        <v>17.5332212719</v>
      </c>
      <c r="P28" s="199"/>
      <c r="Q28" s="198">
        <v>20682.883499939799</v>
      </c>
      <c r="R28" s="198">
        <v>17.9053821097</v>
      </c>
    </row>
    <row r="29" spans="2:18" s="4" customFormat="1" ht="12.95" customHeight="1" x14ac:dyDescent="0.2">
      <c r="B29" s="20" t="s">
        <v>24</v>
      </c>
      <c r="C29" s="50"/>
      <c r="D29" s="200">
        <v>55471.0901180125</v>
      </c>
      <c r="E29" s="199"/>
      <c r="F29" s="198">
        <v>59309.652238452203</v>
      </c>
      <c r="G29" s="199"/>
      <c r="H29" s="200">
        <v>35915.420094514899</v>
      </c>
      <c r="I29" s="198">
        <v>69.905635955899996</v>
      </c>
      <c r="J29" s="199"/>
      <c r="K29" s="200">
        <v>13123.5909022244</v>
      </c>
      <c r="L29" s="198">
        <v>26.779683051799999</v>
      </c>
      <c r="M29" s="199"/>
      <c r="N29" s="198">
        <v>9397.0069666159998</v>
      </c>
      <c r="O29" s="198">
        <v>18.863805294999999</v>
      </c>
      <c r="P29" s="199"/>
      <c r="Q29" s="198">
        <v>7789.5825882442005</v>
      </c>
      <c r="R29" s="198">
        <v>15.8637333705</v>
      </c>
    </row>
    <row r="30" spans="2:18" s="4" customFormat="1" ht="12.95" customHeight="1" x14ac:dyDescent="0.2">
      <c r="B30" s="20" t="s">
        <v>25</v>
      </c>
      <c r="C30" s="50"/>
      <c r="D30" s="200">
        <v>38495.444712956698</v>
      </c>
      <c r="E30" s="199"/>
      <c r="F30" s="198">
        <v>39720.357162746899</v>
      </c>
      <c r="G30" s="199"/>
      <c r="H30" s="200">
        <v>18457.4066704998</v>
      </c>
      <c r="I30" s="198">
        <v>51.854083780700002</v>
      </c>
      <c r="J30" s="199"/>
      <c r="K30" s="200">
        <v>16417.2115007133</v>
      </c>
      <c r="L30" s="198">
        <v>47.650865367800002</v>
      </c>
      <c r="M30" s="199"/>
      <c r="N30" s="198">
        <v>5920.4962722747996</v>
      </c>
      <c r="O30" s="198">
        <v>17.659784632299999</v>
      </c>
      <c r="P30" s="199"/>
      <c r="Q30" s="198">
        <v>2974.8511920552</v>
      </c>
      <c r="R30" s="198">
        <v>8.9879843410000007</v>
      </c>
    </row>
    <row r="31" spans="2:18" s="4" customFormat="1" ht="12.95" customHeight="1" x14ac:dyDescent="0.2">
      <c r="B31" s="20" t="s">
        <v>26</v>
      </c>
      <c r="C31" s="50"/>
      <c r="D31" s="200">
        <v>99985.988054279296</v>
      </c>
      <c r="E31" s="199"/>
      <c r="F31" s="198">
        <v>100038.908421567</v>
      </c>
      <c r="G31" s="199"/>
      <c r="H31" s="200">
        <v>71327.185756856299</v>
      </c>
      <c r="I31" s="198">
        <v>76.830918657400005</v>
      </c>
      <c r="J31" s="199"/>
      <c r="K31" s="200">
        <v>18619.643798861202</v>
      </c>
      <c r="L31" s="198">
        <v>21.733479440299998</v>
      </c>
      <c r="M31" s="199"/>
      <c r="N31" s="198">
        <v>15104.1909132236</v>
      </c>
      <c r="O31" s="198">
        <v>18.130766121200001</v>
      </c>
      <c r="P31" s="199"/>
      <c r="Q31" s="198">
        <v>8054.8454631512004</v>
      </c>
      <c r="R31" s="198">
        <v>9.7996424854999997</v>
      </c>
    </row>
    <row r="32" spans="2:18" s="4" customFormat="1" ht="12.95" customHeight="1" x14ac:dyDescent="0.2">
      <c r="B32" s="20" t="s">
        <v>27</v>
      </c>
      <c r="C32" s="50"/>
      <c r="D32" s="200">
        <v>149700.128811809</v>
      </c>
      <c r="E32" s="199"/>
      <c r="F32" s="198">
        <v>157282.24476220901</v>
      </c>
      <c r="G32" s="199"/>
      <c r="H32" s="200">
        <v>100490.045473355</v>
      </c>
      <c r="I32" s="198">
        <v>71.155723512899996</v>
      </c>
      <c r="J32" s="199"/>
      <c r="K32" s="200">
        <v>29809.679145623901</v>
      </c>
      <c r="L32" s="198">
        <v>22.460480279799999</v>
      </c>
      <c r="M32" s="199"/>
      <c r="N32" s="198">
        <v>28540.395249038698</v>
      </c>
      <c r="O32" s="198">
        <v>21.502246709800001</v>
      </c>
      <c r="P32" s="199"/>
      <c r="Q32" s="198">
        <v>13874.0245930479</v>
      </c>
      <c r="R32" s="198">
        <v>10.5224387583</v>
      </c>
    </row>
    <row r="33" spans="1:18" s="4" customFormat="1" ht="12.95" customHeight="1" x14ac:dyDescent="0.2">
      <c r="B33" s="20" t="s">
        <v>28</v>
      </c>
      <c r="C33" s="50"/>
      <c r="D33" s="200">
        <v>204307.97275391099</v>
      </c>
      <c r="E33" s="199"/>
      <c r="F33" s="198">
        <v>225149.36663496299</v>
      </c>
      <c r="G33" s="199"/>
      <c r="H33" s="200">
        <v>147751.97913519101</v>
      </c>
      <c r="I33" s="198">
        <v>76.613696802000007</v>
      </c>
      <c r="J33" s="199"/>
      <c r="K33" s="200">
        <v>46264.463735252597</v>
      </c>
      <c r="L33" s="198">
        <v>25.808917634299998</v>
      </c>
      <c r="M33" s="199"/>
      <c r="N33" s="198">
        <v>26575.796156405799</v>
      </c>
      <c r="O33" s="198">
        <v>14.9803662117</v>
      </c>
      <c r="P33" s="199"/>
      <c r="Q33" s="198">
        <v>28163.6433730717</v>
      </c>
      <c r="R33" s="198">
        <v>15.7603832515</v>
      </c>
    </row>
    <row r="34" spans="1:18" s="4" customFormat="1" ht="12.95" customHeight="1" x14ac:dyDescent="0.2">
      <c r="B34" s="20" t="s">
        <v>29</v>
      </c>
      <c r="C34" s="50"/>
      <c r="D34" s="200">
        <v>59713.145708867902</v>
      </c>
      <c r="E34" s="199"/>
      <c r="F34" s="198">
        <v>64016.132302334401</v>
      </c>
      <c r="G34" s="199"/>
      <c r="H34" s="200">
        <v>35452.419465325402</v>
      </c>
      <c r="I34" s="198">
        <v>68.403281045499995</v>
      </c>
      <c r="J34" s="199"/>
      <c r="K34" s="200">
        <v>21253.511915636002</v>
      </c>
      <c r="L34" s="198">
        <v>40.220466784400003</v>
      </c>
      <c r="M34" s="199"/>
      <c r="N34" s="198">
        <v>5600.6606742242002</v>
      </c>
      <c r="O34" s="198">
        <v>11.135339715300001</v>
      </c>
      <c r="P34" s="199"/>
      <c r="Q34" s="198">
        <v>11808.420199656201</v>
      </c>
      <c r="R34" s="198">
        <v>22.9870123472</v>
      </c>
    </row>
    <row r="35" spans="1:18" s="4" customFormat="1" ht="12.95" customHeight="1" x14ac:dyDescent="0.2">
      <c r="B35" s="20" t="s">
        <v>30</v>
      </c>
      <c r="C35" s="50"/>
      <c r="D35" s="200">
        <v>79381.841936003504</v>
      </c>
      <c r="E35" s="199"/>
      <c r="F35" s="198">
        <v>82802.852429340201</v>
      </c>
      <c r="G35" s="199"/>
      <c r="H35" s="200">
        <v>44166.852627653199</v>
      </c>
      <c r="I35" s="198">
        <v>61.926328416700002</v>
      </c>
      <c r="J35" s="199"/>
      <c r="K35" s="200">
        <v>18303.915529877901</v>
      </c>
      <c r="L35" s="198">
        <v>25.977205675800001</v>
      </c>
      <c r="M35" s="199"/>
      <c r="N35" s="198">
        <v>14064.4273448517</v>
      </c>
      <c r="O35" s="198">
        <v>20.030258119599999</v>
      </c>
      <c r="P35" s="199"/>
      <c r="Q35" s="198">
        <v>15465.0320036784</v>
      </c>
      <c r="R35" s="198">
        <v>21.969096736899999</v>
      </c>
    </row>
    <row r="36" spans="1:18" s="4" customFormat="1" ht="12.95" customHeight="1" x14ac:dyDescent="0.2">
      <c r="B36" s="20" t="s">
        <v>31</v>
      </c>
      <c r="C36" s="50"/>
      <c r="D36" s="200">
        <v>62312.570413117501</v>
      </c>
      <c r="E36" s="199"/>
      <c r="F36" s="198">
        <v>70327.862985742904</v>
      </c>
      <c r="G36" s="199"/>
      <c r="H36" s="200">
        <v>36803.751528306697</v>
      </c>
      <c r="I36" s="198">
        <v>65.213043392700001</v>
      </c>
      <c r="J36" s="199"/>
      <c r="K36" s="200">
        <v>24873.185564615</v>
      </c>
      <c r="L36" s="198">
        <v>45.646992685599997</v>
      </c>
      <c r="M36" s="199"/>
      <c r="N36" s="198">
        <v>10894.494376013499</v>
      </c>
      <c r="O36" s="198">
        <v>19.663172775</v>
      </c>
      <c r="P36" s="199"/>
      <c r="Q36" s="198">
        <v>6761.5881100363003</v>
      </c>
      <c r="R36" s="198">
        <v>12.314927040600001</v>
      </c>
    </row>
    <row r="37" spans="1:18" s="4" customFormat="1" ht="12.95" customHeight="1" x14ac:dyDescent="0.2">
      <c r="B37" s="20" t="s">
        <v>32</v>
      </c>
      <c r="C37" s="50"/>
      <c r="D37" s="200">
        <v>137119.952900326</v>
      </c>
      <c r="E37" s="199"/>
      <c r="F37" s="198">
        <v>143477.307197544</v>
      </c>
      <c r="G37" s="199"/>
      <c r="H37" s="200">
        <v>76662.930923059102</v>
      </c>
      <c r="I37" s="198">
        <v>59.211632043000002</v>
      </c>
      <c r="J37" s="199"/>
      <c r="K37" s="200">
        <v>52727.764047935903</v>
      </c>
      <c r="L37" s="198">
        <v>41.469930344700003</v>
      </c>
      <c r="M37" s="199"/>
      <c r="N37" s="198">
        <v>16290.6712254596</v>
      </c>
      <c r="O37" s="198">
        <v>13.0361767224</v>
      </c>
      <c r="P37" s="199"/>
      <c r="Q37" s="198">
        <v>10963.377156111599</v>
      </c>
      <c r="R37" s="198">
        <v>8.8455473261000002</v>
      </c>
    </row>
    <row r="38" spans="1:18" s="4" customFormat="1" ht="12.95" customHeight="1" x14ac:dyDescent="0.2">
      <c r="B38" s="20" t="s">
        <v>33</v>
      </c>
      <c r="C38" s="50"/>
      <c r="D38" s="200">
        <v>96821.084587604695</v>
      </c>
      <c r="E38" s="199"/>
      <c r="F38" s="198">
        <v>104158.59173648999</v>
      </c>
      <c r="G38" s="199"/>
      <c r="H38" s="200">
        <v>72490.361196184793</v>
      </c>
      <c r="I38" s="198">
        <v>80.187669791900007</v>
      </c>
      <c r="J38" s="199"/>
      <c r="K38" s="200">
        <v>17903.257134743599</v>
      </c>
      <c r="L38" s="198">
        <v>20.5540844744</v>
      </c>
      <c r="M38" s="199"/>
      <c r="N38" s="198">
        <v>9209.8118528277992</v>
      </c>
      <c r="O38" s="198">
        <v>10.605509248900001</v>
      </c>
      <c r="P38" s="199"/>
      <c r="Q38" s="198">
        <v>14301.0843417127</v>
      </c>
      <c r="R38" s="198">
        <v>16.386601947599999</v>
      </c>
    </row>
    <row r="39" spans="1:18" s="4" customFormat="1" ht="12.95" customHeight="1" x14ac:dyDescent="0.2">
      <c r="B39" s="20" t="s">
        <v>34</v>
      </c>
      <c r="C39" s="50"/>
      <c r="D39" s="200">
        <v>93307.239225650905</v>
      </c>
      <c r="E39" s="199"/>
      <c r="F39" s="198">
        <v>99608.708120804396</v>
      </c>
      <c r="G39" s="199"/>
      <c r="H39" s="200">
        <v>56286.0758057356</v>
      </c>
      <c r="I39" s="198">
        <v>65.432372913600005</v>
      </c>
      <c r="J39" s="199"/>
      <c r="K39" s="200">
        <v>26483.0379067084</v>
      </c>
      <c r="L39" s="198">
        <v>31.276531722800001</v>
      </c>
      <c r="M39" s="199"/>
      <c r="N39" s="198">
        <v>18490.907739006299</v>
      </c>
      <c r="O39" s="198">
        <v>22.207958011199999</v>
      </c>
      <c r="P39" s="199"/>
      <c r="Q39" s="198">
        <v>6534.1045758088003</v>
      </c>
      <c r="R39" s="198">
        <v>7.8491108793000004</v>
      </c>
    </row>
    <row r="40" spans="1:18" s="4" customFormat="1" ht="12.95" customHeight="1" x14ac:dyDescent="0.2">
      <c r="B40" s="20" t="s">
        <v>35</v>
      </c>
      <c r="C40" s="50"/>
      <c r="D40" s="200">
        <v>84867.016707609902</v>
      </c>
      <c r="E40" s="199"/>
      <c r="F40" s="198">
        <v>85929.896621655498</v>
      </c>
      <c r="G40" s="199"/>
      <c r="H40" s="200">
        <v>57935.221217258702</v>
      </c>
      <c r="I40" s="198">
        <v>73.170019746799994</v>
      </c>
      <c r="J40" s="199"/>
      <c r="K40" s="200">
        <v>16970.6058268786</v>
      </c>
      <c r="L40" s="198">
        <v>22.729456021699999</v>
      </c>
      <c r="M40" s="199"/>
      <c r="N40" s="198">
        <v>13571.6301722924</v>
      </c>
      <c r="O40" s="198">
        <v>18.131702626799999</v>
      </c>
      <c r="P40" s="199"/>
      <c r="Q40" s="198">
        <v>7930.8727981438997</v>
      </c>
      <c r="R40" s="198">
        <v>10.7332061348</v>
      </c>
    </row>
    <row r="41" spans="1:18" s="4" customFormat="1" ht="12.95" customHeight="1" x14ac:dyDescent="0.2">
      <c r="B41" s="20" t="s">
        <v>36</v>
      </c>
      <c r="C41" s="50"/>
      <c r="D41" s="200">
        <v>46626.978275570596</v>
      </c>
      <c r="E41" s="199"/>
      <c r="F41" s="198">
        <v>52066.288038662002</v>
      </c>
      <c r="G41" s="199"/>
      <c r="H41" s="200">
        <v>32097.379997314601</v>
      </c>
      <c r="I41" s="198">
        <v>73.162472373499995</v>
      </c>
      <c r="J41" s="199"/>
      <c r="K41" s="200">
        <v>14026.4758999814</v>
      </c>
      <c r="L41" s="198">
        <v>32.586935631400003</v>
      </c>
      <c r="M41" s="199"/>
      <c r="N41" s="198">
        <v>5693.0562598787001</v>
      </c>
      <c r="O41" s="198">
        <v>13.252157500399999</v>
      </c>
      <c r="P41" s="199"/>
      <c r="Q41" s="198">
        <v>4320.5186729089</v>
      </c>
      <c r="R41" s="198">
        <v>10.192077703400001</v>
      </c>
    </row>
    <row r="42" spans="1:18" s="4" customFormat="1" ht="12.95" customHeight="1" x14ac:dyDescent="0.2">
      <c r="B42" s="20" t="s">
        <v>37</v>
      </c>
      <c r="C42" s="50"/>
      <c r="D42" s="200">
        <v>273375.87334100401</v>
      </c>
      <c r="E42" s="199"/>
      <c r="F42" s="198">
        <v>274504.64898964501</v>
      </c>
      <c r="G42" s="199"/>
      <c r="H42" s="200">
        <v>173459.35692203999</v>
      </c>
      <c r="I42" s="198">
        <v>67.352092738400003</v>
      </c>
      <c r="J42" s="199"/>
      <c r="K42" s="200">
        <v>83985.257887215703</v>
      </c>
      <c r="L42" s="198">
        <v>34.058314201400002</v>
      </c>
      <c r="M42" s="199"/>
      <c r="N42" s="198">
        <v>29393.938560709699</v>
      </c>
      <c r="O42" s="198">
        <v>11.9640629689</v>
      </c>
      <c r="P42" s="199"/>
      <c r="Q42" s="198">
        <v>17968.352874918499</v>
      </c>
      <c r="R42" s="198">
        <v>7.3767752911000004</v>
      </c>
    </row>
    <row r="43" spans="1:18" s="4" customFormat="1" ht="12.95" customHeight="1" x14ac:dyDescent="0.2">
      <c r="B43" s="20" t="s">
        <v>38</v>
      </c>
      <c r="C43" s="50"/>
      <c r="D43" s="200">
        <v>83929.893910326602</v>
      </c>
      <c r="E43" s="199"/>
      <c r="F43" s="198">
        <v>89735.262684234505</v>
      </c>
      <c r="G43" s="199"/>
      <c r="H43" s="200">
        <v>57429.662854620103</v>
      </c>
      <c r="I43" s="198">
        <v>71.728649484499996</v>
      </c>
      <c r="J43" s="199"/>
      <c r="K43" s="200">
        <v>22325.388971741799</v>
      </c>
      <c r="L43" s="198">
        <v>29.8048143163</v>
      </c>
      <c r="M43" s="199"/>
      <c r="N43" s="198">
        <v>10246.0924943384</v>
      </c>
      <c r="O43" s="198">
        <v>13.858894534499999</v>
      </c>
      <c r="P43" s="199"/>
      <c r="Q43" s="198">
        <v>8763.0576003877995</v>
      </c>
      <c r="R43" s="198">
        <v>11.944951963999999</v>
      </c>
    </row>
    <row r="44" spans="1:18" s="4" customFormat="1" ht="12.95" customHeight="1" x14ac:dyDescent="0.2">
      <c r="B44" s="20" t="s">
        <v>39</v>
      </c>
      <c r="C44" s="51"/>
      <c r="D44" s="200">
        <v>28666.598587861401</v>
      </c>
      <c r="E44" s="199"/>
      <c r="F44" s="198">
        <v>29849.2502601415</v>
      </c>
      <c r="G44" s="199"/>
      <c r="H44" s="200">
        <v>19087.835464465199</v>
      </c>
      <c r="I44" s="198">
        <v>73.307312533000001</v>
      </c>
      <c r="J44" s="199"/>
      <c r="K44" s="200">
        <v>6048.1629634859</v>
      </c>
      <c r="L44" s="198">
        <v>24.4337377847</v>
      </c>
      <c r="M44" s="199"/>
      <c r="N44" s="198">
        <v>5396.8084649302</v>
      </c>
      <c r="O44" s="198">
        <v>21.646829876999998</v>
      </c>
      <c r="P44" s="199"/>
      <c r="Q44" s="198">
        <v>4068.1487722013999</v>
      </c>
      <c r="R44" s="198">
        <v>16.723987404999999</v>
      </c>
    </row>
    <row r="45" spans="1:18" s="2" customFormat="1" ht="6" customHeight="1" x14ac:dyDescent="0.2">
      <c r="A45" s="63"/>
      <c r="B45" s="204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</row>
    <row r="46" spans="1:18" s="2" customFormat="1" ht="6" customHeight="1" x14ac:dyDescent="0.25">
      <c r="A46" s="63"/>
      <c r="B46" s="28"/>
      <c r="C46" s="51"/>
      <c r="D46" s="169"/>
      <c r="E46" s="169"/>
      <c r="F46" s="169"/>
      <c r="G46" s="169"/>
      <c r="H46" s="169"/>
      <c r="I46" s="168"/>
      <c r="J46" s="168"/>
      <c r="K46" s="169"/>
      <c r="L46" s="168"/>
      <c r="M46" s="28"/>
      <c r="N46" s="28"/>
      <c r="O46" s="28"/>
      <c r="P46" s="28"/>
      <c r="Q46" s="28"/>
      <c r="R46" s="28"/>
    </row>
    <row r="47" spans="1:18" s="124" customFormat="1" ht="11.25" x14ac:dyDescent="0.2">
      <c r="A47" s="100"/>
      <c r="B47" s="50" t="s">
        <v>121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</row>
    <row r="48" spans="1:18" s="124" customFormat="1" ht="11.25" x14ac:dyDescent="0.2">
      <c r="A48" s="100"/>
      <c r="B48" s="50" t="s">
        <v>120</v>
      </c>
      <c r="C48" s="43"/>
      <c r="D48" s="120"/>
      <c r="E48" s="120"/>
      <c r="F48" s="120"/>
      <c r="G48" s="121"/>
      <c r="H48" s="43"/>
      <c r="I48" s="120"/>
      <c r="J48" s="121"/>
      <c r="K48" s="43"/>
      <c r="L48" s="120"/>
      <c r="M48" s="121"/>
      <c r="N48" s="43"/>
      <c r="O48" s="120"/>
      <c r="P48" s="121"/>
      <c r="Q48" s="43"/>
      <c r="R48" s="120"/>
    </row>
    <row r="49" spans="2:18" s="101" customFormat="1" ht="14.25" x14ac:dyDescent="0.2">
      <c r="B49" s="102" t="s">
        <v>75</v>
      </c>
    </row>
    <row r="50" spans="2:18" ht="12.75" customHeight="1" x14ac:dyDescent="0.25">
      <c r="B50" s="134"/>
      <c r="C50" s="31"/>
      <c r="D50" s="133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  <c r="P50" s="28"/>
      <c r="Q50" s="31"/>
      <c r="R50" s="31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27E3C11F-9A20-4847-8AC1-B6959F86BB5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41ADFD-1EAF-4537-9476-86DD1C74F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7C19A8-9362-493A-882F-5C88431229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08472-C8A6-41F2-82F6-20D8447A3473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e829ce69-67eb-47dd-9407-4f8adfa19fc2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2020-11-05T19:56:53Z</dcterms:created>
  <dcterms:modified xsi:type="dcterms:W3CDTF">2021-08-19T16:02:42Z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