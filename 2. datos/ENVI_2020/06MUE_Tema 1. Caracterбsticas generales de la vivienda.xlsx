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DC35F0B2-9688-477D-B31A-1B2C07736F5D}" xr6:coauthVersionLast="47" xr6:coauthVersionMax="47" xr10:uidLastSave="{00000000-0000-0000-0000-000000000000}"/>
  <bookViews>
    <workbookView xWindow="20370" yWindow="-120" windowWidth="29040" windowHeight="15840" tabRatio="968" xr2:uid="{00000000-000D-0000-FFFF-FFFF00000000}"/>
  </bookViews>
  <sheets>
    <sheet name="Índice" sheetId="92" r:id="rId1"/>
    <sheet name="Cuadro 1.1" sheetId="105" r:id="rId2"/>
    <sheet name="Cuadro 1.2" sheetId="93" r:id="rId3"/>
    <sheet name="Cuadro 1.3" sheetId="94" r:id="rId4"/>
    <sheet name="Cuadro 1.4" sheetId="95" r:id="rId5"/>
    <sheet name="Cuadro 1.5" sheetId="96" r:id="rId6"/>
    <sheet name="Cuadro 1.6" sheetId="97" r:id="rId7"/>
    <sheet name="Cuadro 1.7" sheetId="98" r:id="rId8"/>
    <sheet name="Cuadro 1.8" sheetId="100" r:id="rId9"/>
    <sheet name="Cuadro 1.9" sheetId="106" r:id="rId10"/>
    <sheet name="Cuadro 1.10" sheetId="101" r:id="rId11"/>
    <sheet name="Cuadro 1.11" sheetId="102" r:id="rId12"/>
    <sheet name="Cuadro 1.12" sheetId="103" r:id="rId13"/>
  </sheets>
  <externalReferences>
    <externalReference r:id="rId14"/>
  </externalReferences>
  <definedNames>
    <definedName name="\p">#N/A</definedName>
    <definedName name="\s">#N/A</definedName>
    <definedName name="_xlnm._FilterDatabase" localSheetId="11" hidden="1">'Cuadro 1.11'!$D$11:$P$44</definedName>
    <definedName name="_xlnm._FilterDatabase" localSheetId="3" hidden="1">'Cuadro 1.3'!$D$11:$M$44</definedName>
    <definedName name="_xlnm._FilterDatabase" localSheetId="4" hidden="1">'Cuadro 1.4'!$D$11:$P$45</definedName>
    <definedName name="_xlnm._FilterDatabase" localSheetId="7" hidden="1">'Cuadro 1.7'!$D$11:$P$17</definedName>
    <definedName name="_xlnm._FilterDatabase" localSheetId="8" hidden="1">'Cuadro 1.8'!$D$11:$P$45</definedName>
    <definedName name="A_impresión_IM" localSheetId="1">#REF!</definedName>
    <definedName name="A_impresión_IM" localSheetId="11">#REF!</definedName>
    <definedName name="A_impresión_IM" localSheetId="12">#REF!</definedName>
    <definedName name="A_impresión_IM" localSheetId="7">#REF!</definedName>
    <definedName name="A_impresión_IM" localSheetId="8">#REF!</definedName>
    <definedName name="A_impresión_IM" localSheetId="0">#REF!</definedName>
    <definedName name="A_impresión_IM">#REF!</definedName>
    <definedName name="_xlnm.Print_Area" localSheetId="1">'Cuadro 1.1'!$B$1:$F$17</definedName>
    <definedName name="_xlnm.Print_Area" localSheetId="10">'Cuadro 1.10'!$B$1:$J$46</definedName>
    <definedName name="_xlnm.Print_Area" localSheetId="11">'Cuadro 1.11'!$B$1:$W$49</definedName>
    <definedName name="_xlnm.Print_Area" localSheetId="12">'Cuadro 1.12'!$B$1:$V$21</definedName>
    <definedName name="_xlnm.Print_Area" localSheetId="2">'Cuadro 1.2'!$B$1:$E$31</definedName>
    <definedName name="_xlnm.Print_Area" localSheetId="4">'Cuadro 1.4'!$B$1:$V$46</definedName>
    <definedName name="_xlnm.Print_Area" localSheetId="5">'Cuadro 1.5'!$B$1:$V$18</definedName>
    <definedName name="_xlnm.Print_Area" localSheetId="6">'Cuadro 1.6'!$B$1:$AB$46</definedName>
    <definedName name="_xlnm.Print_Area" localSheetId="7">'Cuadro 1.7'!$B$1:$AB$18</definedName>
    <definedName name="_xlnm.Print_Area" localSheetId="8">'Cuadro 1.8'!$B$1:$V$46</definedName>
    <definedName name="_xlnm.Print_Area" localSheetId="9">'Cuadro 1.9'!$B$1:$V$18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Ir_a_inicio">'[1]Cuadro 1'!#REF!</definedName>
    <definedName name="paso" localSheetId="1">#REF!</definedName>
    <definedName name="paso" localSheetId="11">#REF!</definedName>
    <definedName name="paso" localSheetId="12">#REF!</definedName>
    <definedName name="paso" localSheetId="7">#REF!</definedName>
    <definedName name="paso" localSheetId="8">#REF!</definedName>
    <definedName name="paso" localSheetId="0">#REF!</definedName>
    <definedName name="paso">#REF!</definedName>
    <definedName name="prueba" localSheetId="1">#REF!</definedName>
    <definedName name="prueba" localSheetId="11">#REF!</definedName>
    <definedName name="prueba" localSheetId="12">#REF!</definedName>
    <definedName name="prueba" localSheetId="7">#REF!</definedName>
    <definedName name="prueba" localSheetId="8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92" l="1"/>
</calcChain>
</file>

<file path=xl/sharedStrings.xml><?xml version="1.0" encoding="utf-8"?>
<sst xmlns="http://schemas.openxmlformats.org/spreadsheetml/2006/main" count="580" uniqueCount="145">
  <si>
    <t>Viviendas particulares habitadas por tamaño de localidad según número de hogares</t>
  </si>
  <si>
    <t>Tamaño de localidad</t>
  </si>
  <si>
    <t>Total de viviendas  particulares habitadas</t>
  </si>
  <si>
    <t xml:space="preserve">Solo con un hogar </t>
  </si>
  <si>
    <t>Dos o más hogares</t>
  </si>
  <si>
    <t xml:space="preserve">Estados Unidos Mexicanos                                    </t>
  </si>
  <si>
    <t>1 a 2 499 habitantes</t>
  </si>
  <si>
    <t xml:space="preserve">De 2 500 a 14 999 habitantes </t>
  </si>
  <si>
    <t xml:space="preserve">De 15 000 a 99 999 habitantes 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</si>
  <si>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</si>
  <si>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Viviendas particulares habitadas por condición de tenencia de aislamiento térmico y acústico y su ubicación</t>
  </si>
  <si>
    <t>Condición de tenencia de aislamiento térmico y acústico y ubicación</t>
  </si>
  <si>
    <t>Viviendas particulares habitadas</t>
  </si>
  <si>
    <t>Absolutos</t>
  </si>
  <si>
    <t>Relativos</t>
  </si>
  <si>
    <t>Estados Unidos Mexicanos</t>
  </si>
  <si>
    <t>Techos</t>
  </si>
  <si>
    <t>Paredes</t>
  </si>
  <si>
    <t>Ventanas</t>
  </si>
  <si>
    <t>No especificado</t>
  </si>
  <si>
    <t>Puertas</t>
  </si>
  <si>
    <t xml:space="preserve">Viviendas particulares habitadas por entidad federativa, según condición de tenencia de servicios básicos </t>
  </si>
  <si>
    <t>Entidad federativa</t>
  </si>
  <si>
    <t xml:space="preserve">Total de viviendas  particulares habitadas
</t>
  </si>
  <si>
    <t>Sanitario</t>
  </si>
  <si>
    <t>Electricidad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</si>
  <si>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</si>
  <si>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</si>
  <si>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</si>
  <si>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</si>
  <si>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</si>
  <si>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</si>
  <si>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</si>
  <si>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</si>
  <si>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</si>
  <si>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</si>
  <si>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</si>
  <si>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</si>
  <si>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</si>
  <si>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</si>
  <si>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</si>
  <si>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</si>
  <si>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</si>
  <si>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</si>
  <si>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</si>
  <si>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</si>
  <si>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</si>
  <si>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</si>
  <si>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</si>
  <si>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</si>
  <si>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</si>
  <si>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</si>
  <si>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</si>
  <si>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</si>
  <si>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</si>
  <si>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</si>
  <si>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</si>
  <si>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</si>
  <si>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Viviendas particulares habitadas por entidad federativa, según antigüedad de la vivienda</t>
  </si>
  <si>
    <t>Antigüedad de la vivienda</t>
  </si>
  <si>
    <t>5 años o menos</t>
  </si>
  <si>
    <t>De 6 a 10 años</t>
  </si>
  <si>
    <t>31 o más años</t>
  </si>
  <si>
    <t>Viviendas particulares habitadas por tamaño de localidad, según antigüedad de la vivienda</t>
  </si>
  <si>
    <t>Viviendas particulares habitadas por entidad federativa, según superficie de terreno</t>
  </si>
  <si>
    <r>
      <t>Superficie de terreno (m</t>
    </r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)</t>
    </r>
  </si>
  <si>
    <r>
      <t>Hasta 60 m</t>
    </r>
    <r>
      <rPr>
        <b/>
        <vertAlign val="superscript"/>
        <sz val="8"/>
        <color theme="1"/>
        <rFont val="Arial"/>
        <family val="2"/>
      </rPr>
      <t>2</t>
    </r>
  </si>
  <si>
    <r>
      <t>De 61 a 90 m</t>
    </r>
    <r>
      <rPr>
        <b/>
        <vertAlign val="superscript"/>
        <sz val="8"/>
        <color theme="1"/>
        <rFont val="Arial"/>
        <family val="2"/>
      </rPr>
      <t>2</t>
    </r>
  </si>
  <si>
    <r>
      <t>De 91 a 120 m</t>
    </r>
    <r>
      <rPr>
        <b/>
        <vertAlign val="superscript"/>
        <sz val="8"/>
        <color theme="1"/>
        <rFont val="Arial"/>
        <family val="2"/>
      </rPr>
      <t>2</t>
    </r>
  </si>
  <si>
    <t>Viviendas particulares habitadas por tamaño de localidad, según superficie de terreno</t>
  </si>
  <si>
    <t>Viviendas particulares habitadas por entidad federativa, según metros de construcción</t>
  </si>
  <si>
    <r>
      <t>Metros de construcción (m</t>
    </r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)</t>
    </r>
  </si>
  <si>
    <r>
      <t>De 46 a 75 m</t>
    </r>
    <r>
      <rPr>
        <b/>
        <vertAlign val="superscript"/>
        <sz val="8"/>
        <color theme="1"/>
        <rFont val="Arial"/>
        <family val="2"/>
      </rPr>
      <t>2</t>
    </r>
  </si>
  <si>
    <r>
      <t>Más de 150 m</t>
    </r>
    <r>
      <rPr>
        <b/>
        <vertAlign val="superscript"/>
        <sz val="8"/>
        <color theme="1"/>
        <rFont val="Arial"/>
        <family val="2"/>
      </rPr>
      <t>2</t>
    </r>
  </si>
  <si>
    <t>Viviendas particulares habitadas por tamaño de localidad, según metros de construcción</t>
  </si>
  <si>
    <t>Viviendas particulares habitadas por entidad federativa, según disponibilidad de local comercial o espacio adaptado para negocio</t>
  </si>
  <si>
    <t>100 000  o más habitantes</t>
  </si>
  <si>
    <t>De 11 a 20 años</t>
  </si>
  <si>
    <t>De 21 a 30 años</t>
  </si>
  <si>
    <t>100 000 y más habitantes</t>
  </si>
  <si>
    <r>
      <t>De 121 a 160 m</t>
    </r>
    <r>
      <rPr>
        <b/>
        <vertAlign val="superscript"/>
        <sz val="8"/>
        <color theme="1"/>
        <rFont val="Arial"/>
        <family val="2"/>
      </rPr>
      <t>2</t>
    </r>
  </si>
  <si>
    <r>
      <t>De 161 a 200 m</t>
    </r>
    <r>
      <rPr>
        <b/>
        <vertAlign val="superscript"/>
        <sz val="8"/>
        <color theme="1"/>
        <rFont val="Arial"/>
        <family val="2"/>
      </rPr>
      <t>2</t>
    </r>
  </si>
  <si>
    <r>
      <t>De 201 a 300 m</t>
    </r>
    <r>
      <rPr>
        <b/>
        <vertAlign val="superscript"/>
        <sz val="8"/>
        <color theme="1"/>
        <rFont val="Arial"/>
        <family val="2"/>
      </rPr>
      <t>2</t>
    </r>
  </si>
  <si>
    <r>
      <t>Más de 300 m</t>
    </r>
    <r>
      <rPr>
        <b/>
        <vertAlign val="superscript"/>
        <sz val="8"/>
        <color theme="1"/>
        <rFont val="Arial"/>
        <family val="2"/>
      </rPr>
      <t>2</t>
    </r>
  </si>
  <si>
    <r>
      <t>Hasta 45 m</t>
    </r>
    <r>
      <rPr>
        <b/>
        <vertAlign val="superscript"/>
        <sz val="8"/>
        <color theme="1"/>
        <rFont val="Arial"/>
        <family val="2"/>
      </rPr>
      <t>2</t>
    </r>
  </si>
  <si>
    <r>
      <t>De 76 a 100 m</t>
    </r>
    <r>
      <rPr>
        <b/>
        <vertAlign val="superscript"/>
        <sz val="8"/>
        <color theme="1"/>
        <rFont val="Arial"/>
        <family val="2"/>
      </rPr>
      <t>2</t>
    </r>
  </si>
  <si>
    <r>
      <t>De 101 a 150 m</t>
    </r>
    <r>
      <rPr>
        <b/>
        <vertAlign val="superscript"/>
        <sz val="8"/>
        <color theme="1"/>
        <rFont val="Arial"/>
        <family val="2"/>
      </rPr>
      <t>2</t>
    </r>
  </si>
  <si>
    <t>Cuadro 1.1</t>
  </si>
  <si>
    <t>Cuadro 1.2</t>
  </si>
  <si>
    <t>Cuadro 1.3</t>
  </si>
  <si>
    <t>Cuadro 1.4</t>
  </si>
  <si>
    <t>Cuadro 1.5</t>
  </si>
  <si>
    <t>Cuadro 1.6</t>
  </si>
  <si>
    <t>Cuadro 1.7</t>
  </si>
  <si>
    <t>Cuadro 1.8</t>
  </si>
  <si>
    <t>Cuadro 1.9</t>
  </si>
  <si>
    <t>Cuadro 1.10</t>
  </si>
  <si>
    <t>Sin servicios básicos</t>
  </si>
  <si>
    <r>
      <t>No tienen aislamiento térmico</t>
    </r>
    <r>
      <rPr>
        <b/>
        <vertAlign val="superscript"/>
        <sz val="8"/>
        <rFont val="Arial"/>
        <family val="2"/>
      </rPr>
      <t>2</t>
    </r>
  </si>
  <si>
    <r>
      <t>No tienen aislamiento acústico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</si>
  <si>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particulares habitadas que declararon no saber si tienen aislamiento térmico.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</si>
  <si>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Incluye las viviendas particulares habitadas que declararon no saber si tienen aislamiento acústico.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</si>
  <si>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Una vivienda puede tener aislamiento térmico en más de una ubicación (techos, paredes o ventanas).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</si>
  <si>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Una vivienda puede tener aislamiento acústico en más de una ubicación (techos, paredes, ventanas o puertas).</t>
    </r>
  </si>
  <si>
    <r>
      <t>Sí tienen aislamiento térmico</t>
    </r>
    <r>
      <rPr>
        <b/>
        <vertAlign val="superscript"/>
        <sz val="8"/>
        <rFont val="Arial"/>
        <family val="2"/>
      </rPr>
      <t>1</t>
    </r>
  </si>
  <si>
    <r>
      <t>Sí tienen aislamiento acústico</t>
    </r>
    <r>
      <rPr>
        <b/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</si>
  <si>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vivienda pudo reportar más de un problema estructural.</t>
    </r>
  </si>
  <si>
    <t>En las tuberías de agua o drenaje dentro de la vivienda</t>
  </si>
  <si>
    <t>Fracturas, pandeos o deformación de columnas, vigas o trabes</t>
  </si>
  <si>
    <t>Pandeos o deformaciones en los marcos de las puertas o ventanas</t>
  </si>
  <si>
    <t>Grietas o cuarteaduras en techos o muros</t>
  </si>
  <si>
    <t xml:space="preserve">Viviendas particulares habitadas por entidad federativa, según problemas estructurales </t>
  </si>
  <si>
    <t xml:space="preserve">Viviendas particulares habitadas por tamaño de localidad, según problemas estructurales </t>
  </si>
  <si>
    <t>Cuadro 1.11</t>
  </si>
  <si>
    <t>Cuadro 1.12</t>
  </si>
  <si>
    <t>Levantamientos o hundimientos del piso</t>
  </si>
  <si>
    <t>Humedad o filtraciones de agua en cimientos, muros o techos</t>
  </si>
  <si>
    <t>Viviendas que no tienen local comercial o espacio adaptado para negocio</t>
  </si>
  <si>
    <t>ÍNDICE</t>
  </si>
  <si>
    <t>TABULADOS BÁSICOS</t>
  </si>
  <si>
    <t>Nivel de confianza del 90%</t>
  </si>
  <si>
    <t>Tema</t>
  </si>
  <si>
    <t>ID Cuadro</t>
  </si>
  <si>
    <t>Título</t>
  </si>
  <si>
    <t>Encuesta Nacional de Vivienda (ENVI) 2020</t>
  </si>
  <si>
    <r>
      <t xml:space="preserve">Tema 1. </t>
    </r>
    <r>
      <rPr>
        <sz val="11"/>
        <color theme="10"/>
        <rFont val="Arial"/>
        <family val="2"/>
      </rPr>
      <t>Características generales de la vivienda</t>
    </r>
  </si>
  <si>
    <t>Viviendas particulares habitadas por entidad federativa, según disponibilidad de local comercial o espacio adaptado 
para negocio</t>
  </si>
  <si>
    <t>Viviendas que tienen local comercial y espacio para negocio</t>
  </si>
  <si>
    <r>
      <t>Condición de tenencia de servicios básicos</t>
    </r>
    <r>
      <rPr>
        <b/>
        <vertAlign val="superscript"/>
        <sz val="8"/>
        <rFont val="Arial"/>
        <family val="2"/>
      </rPr>
      <t>1</t>
    </r>
  </si>
  <si>
    <r>
      <t>Agua entubada</t>
    </r>
    <r>
      <rPr>
        <b/>
        <vertAlign val="superscript"/>
        <sz val="8"/>
        <rFont val="Arial"/>
        <family val="2"/>
      </rPr>
      <t>2</t>
    </r>
  </si>
  <si>
    <r>
      <t>Drenaje</t>
    </r>
    <r>
      <rPr>
        <b/>
        <vertAlign val="superscript"/>
        <sz val="8"/>
        <rFont val="Arial"/>
        <family val="2"/>
      </rPr>
      <t>3,4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</si>
  <si>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vivienda pudo reportar la tenencia de más de un servicio básico.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</si>
  <si>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agua dentro de la vivienda y solo en el patio o terreno.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</si>
  <si>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drenaje o desagüe conectado a la red pública, una fosa séptica o biodigestor, una tubería que va a dar a una barranca o grieta, y una tubería que va a dar a un río, lago o mar.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</si>
  <si>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</si>
  <si>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t>Solo local comercial</t>
  </si>
  <si>
    <t>Solo espacio adaptado para negocio (tiendita, taller) oficina o consultorio</t>
  </si>
  <si>
    <r>
      <t>Problemas estructurales en la vivienda</t>
    </r>
    <r>
      <rPr>
        <b/>
        <vertAlign val="superscript"/>
        <sz val="8"/>
        <rFont val="Arial"/>
        <family val="2"/>
      </rPr>
      <t>1,2</t>
    </r>
  </si>
  <si>
    <r>
      <t>Viviendas sin problemas estructurales</t>
    </r>
    <r>
      <rPr>
        <b/>
        <vertAlign val="superscript"/>
        <sz val="8"/>
        <rFont val="Arial"/>
        <family val="2"/>
      </rPr>
      <t>2,3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</si>
  <si>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excluyen las viviendas que tuvieron problemas con el sistema eléctrico (muros, techos, etcétera).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</si>
  <si>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viviendas particulares habitadas que declararon no saber si tienen problemas estructurales.</t>
    </r>
  </si>
  <si>
    <t>Agosto 2021</t>
  </si>
  <si>
    <t>Observaciones muestrales.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</si>
  <si>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Se excluyen 170 casos donde no hay congruencia entre la descarga de agua y el drenaje.</t>
    </r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</si>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</sst>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\ ###\ ##0"/>
    <numFmt numFmtId="166" formatCode="###\ ###\ ##0"/>
    <numFmt numFmtId="167" formatCode="0.0"/>
    <numFmt numFmtId="168" formatCode="###\ ###\ ###\ ##0"/>
    <numFmt numFmtId="169" formatCode="###\ ###\ ###"/>
    <numFmt numFmtId="170" formatCode="###\ ###\ ##0.0"/>
  </numFmts>
  <fonts count="7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8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vertAlign val="superscript"/>
      <sz val="8"/>
      <color theme="1"/>
      <name val="Arial"/>
      <family val="2"/>
    </font>
    <font>
      <b/>
      <vertAlign val="superscript"/>
      <sz val="8"/>
      <name val="Arial"/>
      <family val="2"/>
    </font>
    <font>
      <sz val="8"/>
      <color rgb="FF000000"/>
      <name val="Calibri"/>
      <family val="2"/>
    </font>
    <font>
      <vertAlign val="superscript"/>
      <sz val="8"/>
      <name val="Arial"/>
      <family val="2"/>
    </font>
    <font>
      <sz val="9"/>
      <color indexed="8"/>
      <name val="Arial"/>
      <family val="2"/>
    </font>
    <font>
      <u/>
      <sz val="11"/>
      <color theme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b/>
      <sz val="9"/>
      <color indexed="8"/>
      <name val="Arial"/>
      <family val="2"/>
    </font>
    <font>
      <u/>
      <sz val="10"/>
      <color theme="10"/>
      <name val="Arial"/>
      <family val="2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sz val="10"/>
      <color theme="1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</font>
    <font>
      <u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79">
    <xf numFmtId="0" fontId="0" fillId="0" borderId="0"/>
    <xf numFmtId="0" fontId="29" fillId="0" borderId="0"/>
    <xf numFmtId="164" fontId="29" fillId="0" borderId="0" applyFont="0" applyFill="0" applyBorder="0" applyAlignment="0" applyProtection="0"/>
    <xf numFmtId="0" fontId="29" fillId="0" borderId="0"/>
    <xf numFmtId="0" fontId="26" fillId="0" borderId="0"/>
    <xf numFmtId="0" fontId="25" fillId="0" borderId="0"/>
    <xf numFmtId="0" fontId="25" fillId="0" borderId="0"/>
    <xf numFmtId="164" fontId="25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29" fillId="0" borderId="0"/>
    <xf numFmtId="0" fontId="25" fillId="3" borderId="4" applyNumberFormat="0" applyFont="0" applyAlignment="0" applyProtection="0"/>
    <xf numFmtId="0" fontId="25" fillId="0" borderId="0"/>
    <xf numFmtId="164" fontId="25" fillId="0" borderId="0" applyFont="0" applyFill="0" applyBorder="0" applyAlignment="0" applyProtection="0"/>
    <xf numFmtId="0" fontId="24" fillId="0" borderId="0"/>
    <xf numFmtId="0" fontId="40" fillId="0" borderId="0" applyNumberFormat="0" applyFill="0" applyBorder="0" applyAlignment="0" applyProtection="0"/>
    <xf numFmtId="0" fontId="29" fillId="0" borderId="0"/>
    <xf numFmtId="0" fontId="23" fillId="0" borderId="0"/>
    <xf numFmtId="0" fontId="22" fillId="0" borderId="0"/>
    <xf numFmtId="0" fontId="41" fillId="0" borderId="0"/>
    <xf numFmtId="164" fontId="4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20">
    <xf numFmtId="0" fontId="0" fillId="0" borderId="0" xfId="0"/>
    <xf numFmtId="0" fontId="29" fillId="0" borderId="0" xfId="15"/>
    <xf numFmtId="0" fontId="0" fillId="2" borderId="0" xfId="0" applyFill="1" applyBorder="1"/>
    <xf numFmtId="0" fontId="0" fillId="2" borderId="0" xfId="0" applyFill="1"/>
    <xf numFmtId="165" fontId="28" fillId="2" borderId="1" xfId="9" applyNumberFormat="1" applyFont="1" applyFill="1" applyBorder="1" applyAlignment="1" applyProtection="1">
      <alignment horizontal="right"/>
    </xf>
    <xf numFmtId="0" fontId="42" fillId="0" borderId="0" xfId="18" applyFont="1"/>
    <xf numFmtId="0" fontId="28" fillId="0" borderId="0" xfId="18" applyFont="1" applyBorder="1" applyAlignment="1">
      <alignment horizontal="right" vertical="top"/>
    </xf>
    <xf numFmtId="0" fontId="43" fillId="0" borderId="0" xfId="18" applyFont="1" applyBorder="1" applyAlignment="1">
      <alignment vertical="top"/>
    </xf>
    <xf numFmtId="0" fontId="43" fillId="0" borderId="0" xfId="18" applyFont="1" applyBorder="1" applyAlignment="1">
      <alignment vertical="top" wrapText="1"/>
    </xf>
    <xf numFmtId="0" fontId="42" fillId="0" borderId="0" xfId="18" applyFont="1" applyBorder="1"/>
    <xf numFmtId="0" fontId="44" fillId="0" borderId="5" xfId="18" applyFont="1" applyBorder="1" applyAlignment="1" applyProtection="1">
      <alignment vertical="center" wrapText="1" readingOrder="1"/>
      <protection locked="0"/>
    </xf>
    <xf numFmtId="0" fontId="45" fillId="0" borderId="0" xfId="18" applyFont="1" applyAlignment="1">
      <alignment vertical="center" readingOrder="1"/>
    </xf>
    <xf numFmtId="0" fontId="45" fillId="0" borderId="0" xfId="18" applyFont="1"/>
    <xf numFmtId="0" fontId="28" fillId="6" borderId="0" xfId="0" applyFont="1" applyFill="1" applyAlignment="1">
      <alignment horizontal="left" indent="1"/>
    </xf>
    <xf numFmtId="0" fontId="28" fillId="6" borderId="6" xfId="0" applyFont="1" applyFill="1" applyBorder="1" applyAlignment="1">
      <alignment horizontal="left" indent="1"/>
    </xf>
    <xf numFmtId="0" fontId="45" fillId="4" borderId="0" xfId="18" applyFont="1" applyFill="1" applyBorder="1" applyAlignment="1"/>
    <xf numFmtId="0" fontId="45" fillId="4" borderId="0" xfId="18" applyFont="1" applyFill="1" applyBorder="1" applyAlignment="1">
      <alignment horizontal="right"/>
    </xf>
    <xf numFmtId="0" fontId="45" fillId="4" borderId="0" xfId="18" applyFont="1" applyFill="1" applyBorder="1"/>
    <xf numFmtId="0" fontId="42" fillId="4" borderId="0" xfId="18" applyFont="1" applyFill="1" applyBorder="1"/>
    <xf numFmtId="0" fontId="45" fillId="4" borderId="1" xfId="18" applyFont="1" applyFill="1" applyBorder="1" applyAlignment="1">
      <alignment horizontal="right"/>
    </xf>
    <xf numFmtId="0" fontId="45" fillId="4" borderId="0" xfId="18" applyFont="1" applyFill="1"/>
    <xf numFmtId="0" fontId="42" fillId="4" borderId="0" xfId="18" applyFont="1" applyFill="1"/>
    <xf numFmtId="0" fontId="28" fillId="2" borderId="0" xfId="18" applyFont="1" applyFill="1" applyBorder="1" applyAlignment="1">
      <alignment horizontal="left" indent="1" readingOrder="1"/>
    </xf>
    <xf numFmtId="0" fontId="28" fillId="0" borderId="0" xfId="18" applyFont="1" applyFill="1" applyBorder="1" applyAlignment="1">
      <alignment horizontal="left" indent="1" readingOrder="1"/>
    </xf>
    <xf numFmtId="0" fontId="46" fillId="6" borderId="0" xfId="0" applyFont="1" applyFill="1" applyAlignment="1">
      <alignment horizontal="left" vertical="top"/>
    </xf>
    <xf numFmtId="0" fontId="50" fillId="6" borderId="0" xfId="0" applyFont="1" applyFill="1" applyAlignment="1">
      <alignment vertical="top"/>
    </xf>
    <xf numFmtId="0" fontId="42" fillId="4" borderId="6" xfId="18" applyFont="1" applyFill="1" applyBorder="1"/>
    <xf numFmtId="0" fontId="32" fillId="2" borderId="0" xfId="0" applyFont="1" applyFill="1"/>
    <xf numFmtId="0" fontId="28" fillId="2" borderId="0" xfId="0" applyFont="1" applyFill="1" applyAlignment="1">
      <alignment horizontal="left" vertical="center" wrapText="1" indent="1"/>
    </xf>
    <xf numFmtId="0" fontId="32" fillId="2" borderId="0" xfId="0" applyFont="1" applyFill="1" applyBorder="1" applyAlignment="1">
      <alignment horizontal="left" vertical="center" wrapText="1"/>
    </xf>
    <xf numFmtId="168" fontId="28" fillId="2" borderId="0" xfId="0" applyNumberFormat="1" applyFont="1" applyFill="1" applyBorder="1"/>
    <xf numFmtId="167" fontId="28" fillId="2" borderId="0" xfId="0" applyNumberFormat="1" applyFont="1" applyFill="1" applyBorder="1"/>
    <xf numFmtId="0" fontId="0" fillId="0" borderId="1" xfId="0" applyBorder="1"/>
    <xf numFmtId="168" fontId="28" fillId="2" borderId="1" xfId="0" applyNumberFormat="1" applyFont="1" applyFill="1" applyBorder="1"/>
    <xf numFmtId="167" fontId="28" fillId="2" borderId="1" xfId="0" applyNumberFormat="1" applyFont="1" applyFill="1" applyBorder="1"/>
    <xf numFmtId="0" fontId="46" fillId="7" borderId="0" xfId="0" applyFont="1" applyFill="1" applyAlignment="1">
      <alignment horizontal="left" vertical="top"/>
    </xf>
    <xf numFmtId="0" fontId="50" fillId="7" borderId="0" xfId="0" applyFont="1" applyFill="1" applyAlignment="1">
      <alignment vertical="top"/>
    </xf>
    <xf numFmtId="0" fontId="44" fillId="2" borderId="5" xfId="18" applyFont="1" applyFill="1" applyBorder="1" applyAlignment="1" applyProtection="1">
      <alignment vertical="center" wrapText="1" readingOrder="1"/>
      <protection locked="0"/>
    </xf>
    <xf numFmtId="0" fontId="44" fillId="2" borderId="0" xfId="18" applyFont="1" applyFill="1" applyBorder="1" applyAlignment="1" applyProtection="1">
      <alignment vertical="center" wrapText="1" readingOrder="1"/>
      <protection locked="0"/>
    </xf>
    <xf numFmtId="0" fontId="28" fillId="2" borderId="0" xfId="0" applyFont="1" applyFill="1" applyAlignment="1">
      <alignment horizontal="left" indent="1"/>
    </xf>
    <xf numFmtId="0" fontId="28" fillId="2" borderId="6" xfId="0" applyFont="1" applyFill="1" applyBorder="1" applyAlignment="1">
      <alignment horizontal="left" indent="1"/>
    </xf>
    <xf numFmtId="0" fontId="44" fillId="0" borderId="0" xfId="18" applyFont="1" applyBorder="1" applyAlignment="1" applyProtection="1">
      <alignment vertical="center" wrapText="1" readingOrder="1"/>
      <protection locked="0"/>
    </xf>
    <xf numFmtId="0" fontId="42" fillId="4" borderId="1" xfId="18" applyFont="1" applyFill="1" applyBorder="1"/>
    <xf numFmtId="0" fontId="29" fillId="2" borderId="0" xfId="15" applyFill="1"/>
    <xf numFmtId="0" fontId="28" fillId="7" borderId="0" xfId="0" applyFont="1" applyFill="1" applyAlignment="1">
      <alignment horizontal="left" indent="1"/>
    </xf>
    <xf numFmtId="0" fontId="28" fillId="7" borderId="6" xfId="0" applyFont="1" applyFill="1" applyBorder="1" applyAlignment="1">
      <alignment horizontal="left" indent="1"/>
    </xf>
    <xf numFmtId="0" fontId="28" fillId="6" borderId="0" xfId="0" applyFont="1" applyFill="1" applyBorder="1" applyAlignment="1">
      <alignment horizontal="left" indent="1"/>
    </xf>
    <xf numFmtId="0" fontId="0" fillId="2" borderId="1" xfId="0" applyFill="1" applyBorder="1"/>
    <xf numFmtId="0" fontId="28" fillId="2" borderId="0" xfId="0" applyFont="1" applyFill="1" applyBorder="1" applyAlignment="1">
      <alignment horizontal="left" indent="1"/>
    </xf>
    <xf numFmtId="0" fontId="29" fillId="2" borderId="1" xfId="15" applyFill="1" applyBorder="1"/>
    <xf numFmtId="0" fontId="28" fillId="2" borderId="0" xfId="0" applyFont="1" applyFill="1"/>
    <xf numFmtId="169" fontId="32" fillId="2" borderId="0" xfId="0" applyNumberFormat="1" applyFont="1" applyFill="1" applyAlignment="1">
      <alignment horizontal="right" wrapText="1"/>
    </xf>
    <xf numFmtId="169" fontId="28" fillId="2" borderId="0" xfId="0" applyNumberFormat="1" applyFont="1" applyFill="1" applyAlignment="1">
      <alignment horizontal="right" wrapText="1"/>
    </xf>
    <xf numFmtId="49" fontId="28" fillId="2" borderId="0" xfId="0" applyNumberFormat="1" applyFont="1" applyFill="1" applyAlignment="1">
      <alignment horizontal="right"/>
    </xf>
    <xf numFmtId="0" fontId="28" fillId="2" borderId="0" xfId="0" applyFont="1" applyFill="1" applyAlignment="1">
      <alignment horizontal="right" wrapText="1"/>
    </xf>
    <xf numFmtId="0" fontId="32" fillId="2" borderId="0" xfId="0" applyFont="1" applyFill="1" applyBorder="1" applyAlignment="1">
      <alignment horizontal="center" vertical="center"/>
    </xf>
    <xf numFmtId="0" fontId="29" fillId="2" borderId="1" xfId="0" applyFont="1" applyFill="1" applyBorder="1"/>
    <xf numFmtId="165" fontId="28" fillId="2" borderId="1" xfId="9" applyNumberFormat="1" applyFont="1" applyFill="1" applyBorder="1" applyAlignment="1">
      <alignment horizontal="right"/>
    </xf>
    <xf numFmtId="0" fontId="28" fillId="2" borderId="0" xfId="0" applyFont="1" applyFill="1" applyAlignment="1">
      <alignment vertical="center"/>
    </xf>
    <xf numFmtId="169" fontId="28" fillId="2" borderId="0" xfId="0" applyNumberFormat="1" applyFont="1" applyFill="1" applyBorder="1" applyAlignment="1">
      <alignment horizontal="right" wrapText="1"/>
    </xf>
    <xf numFmtId="0" fontId="29" fillId="2" borderId="0" xfId="0" applyFont="1" applyFill="1" applyBorder="1"/>
    <xf numFmtId="49" fontId="28" fillId="2" borderId="1" xfId="0" applyNumberFormat="1" applyFont="1" applyFill="1" applyBorder="1" applyAlignment="1">
      <alignment horizontal="right"/>
    </xf>
    <xf numFmtId="0" fontId="32" fillId="2" borderId="2" xfId="0" applyFont="1" applyFill="1" applyBorder="1" applyAlignment="1">
      <alignment horizontal="right" vertical="center"/>
    </xf>
    <xf numFmtId="0" fontId="47" fillId="6" borderId="1" xfId="0" applyFont="1" applyFill="1" applyBorder="1" applyAlignment="1">
      <alignment horizontal="right" vertical="center"/>
    </xf>
    <xf numFmtId="0" fontId="47" fillId="7" borderId="1" xfId="0" applyFont="1" applyFill="1" applyBorder="1" applyAlignment="1">
      <alignment horizontal="right" vertical="center"/>
    </xf>
    <xf numFmtId="0" fontId="47" fillId="6" borderId="2" xfId="0" applyFont="1" applyFill="1" applyBorder="1" applyAlignment="1">
      <alignment horizontal="right" vertical="center"/>
    </xf>
    <xf numFmtId="0" fontId="52" fillId="0" borderId="0" xfId="18" applyFont="1"/>
    <xf numFmtId="0" fontId="45" fillId="0" borderId="0" xfId="18" applyFont="1" applyBorder="1"/>
    <xf numFmtId="0" fontId="55" fillId="2" borderId="0" xfId="0" applyFont="1" applyFill="1"/>
    <xf numFmtId="0" fontId="55" fillId="0" borderId="0" xfId="0" applyFont="1"/>
    <xf numFmtId="0" fontId="57" fillId="2" borderId="0" xfId="8" applyNumberFormat="1" applyFont="1" applyFill="1" applyBorder="1" applyAlignment="1" applyProtection="1">
      <alignment horizontal="right" vertical="center"/>
    </xf>
    <xf numFmtId="0" fontId="55" fillId="2" borderId="0" xfId="0" applyFont="1" applyFill="1" applyAlignment="1">
      <alignment horizontal="right" vertical="top"/>
    </xf>
    <xf numFmtId="0" fontId="53" fillId="0" borderId="11" xfId="30" applyFont="1" applyBorder="1" applyAlignment="1" applyProtection="1">
      <alignment horizontal="center" vertical="center"/>
    </xf>
    <xf numFmtId="0" fontId="53" fillId="0" borderId="16" xfId="30" applyFont="1" applyBorder="1" applyAlignment="1" applyProtection="1">
      <alignment horizontal="center" vertical="center"/>
    </xf>
    <xf numFmtId="0" fontId="53" fillId="0" borderId="20" xfId="30" applyFont="1" applyBorder="1" applyAlignment="1" applyProtection="1">
      <alignment horizontal="center" vertical="center"/>
    </xf>
    <xf numFmtId="0" fontId="55" fillId="2" borderId="0" xfId="0" applyFont="1" applyFill="1" applyAlignment="1">
      <alignment horizontal="right"/>
    </xf>
    <xf numFmtId="0" fontId="33" fillId="0" borderId="0" xfId="32" applyFont="1"/>
    <xf numFmtId="0" fontId="64" fillId="0" borderId="0" xfId="32" applyFont="1"/>
    <xf numFmtId="0" fontId="61" fillId="9" borderId="8" xfId="32" applyFont="1" applyFill="1" applyBorder="1" applyAlignment="1">
      <alignment horizontal="center" vertical="center"/>
    </xf>
    <xf numFmtId="0" fontId="61" fillId="9" borderId="7" xfId="32" applyFont="1" applyFill="1" applyBorder="1" applyAlignment="1">
      <alignment horizontal="center" vertical="center"/>
    </xf>
    <xf numFmtId="17" fontId="27" fillId="0" borderId="0" xfId="32" quotePrefix="1" applyNumberFormat="1" applyFont="1"/>
    <xf numFmtId="0" fontId="33" fillId="0" borderId="0" xfId="32" applyFont="1" applyFill="1"/>
    <xf numFmtId="0" fontId="60" fillId="0" borderId="0" xfId="32" applyFont="1"/>
    <xf numFmtId="0" fontId="61" fillId="0" borderId="0" xfId="32" applyFont="1" applyFill="1" applyAlignment="1">
      <alignment horizontal="center" vertical="center"/>
    </xf>
    <xf numFmtId="0" fontId="61" fillId="0" borderId="0" xfId="32" applyFont="1" applyFill="1" applyAlignment="1">
      <alignment vertical="center"/>
    </xf>
    <xf numFmtId="0" fontId="66" fillId="2" borderId="0" xfId="14" applyFont="1" applyFill="1" applyAlignment="1" applyProtection="1">
      <alignment horizontal="right"/>
    </xf>
    <xf numFmtId="0" fontId="28" fillId="2" borderId="0" xfId="15" applyFont="1" applyFill="1"/>
    <xf numFmtId="0" fontId="28" fillId="0" borderId="0" xfId="0" applyFont="1"/>
    <xf numFmtId="0" fontId="28" fillId="0" borderId="0" xfId="15" applyFont="1"/>
    <xf numFmtId="0" fontId="45" fillId="0" borderId="0" xfId="18" applyFont="1" applyFill="1" applyAlignment="1"/>
    <xf numFmtId="166" fontId="44" fillId="2" borderId="0" xfId="0" applyNumberFormat="1" applyFont="1" applyFill="1" applyAlignment="1">
      <alignment horizontal="right" vertical="center"/>
    </xf>
    <xf numFmtId="166" fontId="45" fillId="2" borderId="0" xfId="0" applyNumberFormat="1" applyFont="1" applyFill="1" applyAlignment="1">
      <alignment horizontal="right" vertical="center"/>
    </xf>
    <xf numFmtId="166" fontId="45" fillId="0" borderId="0" xfId="0" applyNumberFormat="1" applyFont="1" applyFill="1" applyAlignment="1">
      <alignment horizontal="right" vertical="center"/>
    </xf>
    <xf numFmtId="166" fontId="32" fillId="2" borderId="0" xfId="0" applyNumberFormat="1" applyFont="1" applyFill="1" applyAlignment="1">
      <alignment horizontal="right"/>
    </xf>
    <xf numFmtId="166" fontId="28" fillId="2" borderId="0" xfId="0" applyNumberFormat="1" applyFont="1" applyFill="1" applyAlignment="1">
      <alignment horizontal="right"/>
    </xf>
    <xf numFmtId="166" fontId="28" fillId="2" borderId="0" xfId="0" applyNumberFormat="1" applyFont="1" applyFill="1" applyBorder="1"/>
    <xf numFmtId="170" fontId="32" fillId="2" borderId="0" xfId="0" applyNumberFormat="1" applyFont="1" applyFill="1" applyAlignment="1">
      <alignment horizontal="right"/>
    </xf>
    <xf numFmtId="170" fontId="28" fillId="2" borderId="0" xfId="0" applyNumberFormat="1" applyFont="1" applyFill="1" applyAlignment="1">
      <alignment horizontal="right"/>
    </xf>
    <xf numFmtId="170" fontId="28" fillId="2" borderId="0" xfId="0" applyNumberFormat="1" applyFont="1" applyFill="1" applyBorder="1"/>
    <xf numFmtId="166" fontId="32" fillId="2" borderId="0" xfId="0" applyNumberFormat="1" applyFont="1" applyFill="1" applyAlignment="1">
      <alignment horizontal="right" wrapText="1"/>
    </xf>
    <xf numFmtId="166" fontId="28" fillId="2" borderId="0" xfId="0" applyNumberFormat="1" applyFont="1" applyFill="1"/>
    <xf numFmtId="166" fontId="28" fillId="2" borderId="0" xfId="0" applyNumberFormat="1" applyFont="1" applyFill="1" applyAlignment="1">
      <alignment horizontal="right" wrapText="1"/>
    </xf>
    <xf numFmtId="170" fontId="32" fillId="2" borderId="0" xfId="0" applyNumberFormat="1" applyFont="1" applyFill="1" applyAlignment="1">
      <alignment horizontal="right" wrapText="1"/>
    </xf>
    <xf numFmtId="170" fontId="28" fillId="2" borderId="0" xfId="0" applyNumberFormat="1" applyFont="1" applyFill="1"/>
    <xf numFmtId="170" fontId="28" fillId="2" borderId="0" xfId="0" applyNumberFormat="1" applyFont="1" applyFill="1" applyAlignment="1">
      <alignment horizontal="right" wrapText="1"/>
    </xf>
    <xf numFmtId="0" fontId="28" fillId="2" borderId="0" xfId="18" applyFont="1" applyFill="1" applyAlignment="1">
      <alignment horizontal="left" indent="1" readingOrder="1"/>
    </xf>
    <xf numFmtId="0" fontId="55" fillId="0" borderId="0" xfId="18" applyFont="1"/>
    <xf numFmtId="0" fontId="28" fillId="0" borderId="0" xfId="18" applyFont="1"/>
    <xf numFmtId="0" fontId="28" fillId="0" borderId="0" xfId="18" applyFont="1" applyBorder="1"/>
    <xf numFmtId="0" fontId="28" fillId="4" borderId="0" xfId="18" applyFont="1" applyFill="1" applyBorder="1"/>
    <xf numFmtId="0" fontId="28" fillId="0" borderId="0" xfId="18" applyFont="1" applyAlignment="1">
      <alignment vertical="center" readingOrder="1"/>
    </xf>
    <xf numFmtId="0" fontId="37" fillId="4" borderId="0" xfId="18" applyFont="1" applyFill="1"/>
    <xf numFmtId="0" fontId="37" fillId="0" borderId="0" xfId="18" applyFont="1"/>
    <xf numFmtId="0" fontId="32" fillId="6" borderId="1" xfId="0" applyFont="1" applyFill="1" applyBorder="1" applyAlignment="1">
      <alignment horizontal="right" vertical="center"/>
    </xf>
    <xf numFmtId="0" fontId="32" fillId="0" borderId="5" xfId="18" applyFont="1" applyBorder="1" applyAlignment="1" applyProtection="1">
      <alignment vertical="center" wrapText="1" readingOrder="1"/>
      <protection locked="0"/>
    </xf>
    <xf numFmtId="0" fontId="32" fillId="0" borderId="0" xfId="18" applyFont="1" applyBorder="1" applyAlignment="1" applyProtection="1">
      <alignment vertical="center" wrapText="1" readingOrder="1"/>
      <protection locked="0"/>
    </xf>
    <xf numFmtId="0" fontId="28" fillId="6" borderId="0" xfId="0" applyFont="1" applyFill="1" applyAlignment="1">
      <alignment horizontal="left" vertical="top"/>
    </xf>
    <xf numFmtId="0" fontId="28" fillId="0" borderId="0" xfId="18" applyFont="1" applyFill="1" applyAlignment="1"/>
    <xf numFmtId="0" fontId="32" fillId="2" borderId="1" xfId="0" applyFont="1" applyFill="1" applyBorder="1" applyAlignment="1">
      <alignment horizontal="right" vertical="center"/>
    </xf>
    <xf numFmtId="0" fontId="32" fillId="2" borderId="5" xfId="18" applyFont="1" applyFill="1" applyBorder="1" applyAlignment="1" applyProtection="1">
      <alignment vertical="center" wrapText="1" readingOrder="1"/>
      <protection locked="0"/>
    </xf>
    <xf numFmtId="0" fontId="29" fillId="2" borderId="0" xfId="0" applyFont="1" applyFill="1"/>
    <xf numFmtId="0" fontId="32" fillId="2" borderId="0" xfId="18" applyFont="1" applyFill="1" applyBorder="1" applyAlignment="1" applyProtection="1">
      <alignment vertical="center" wrapText="1" readingOrder="1"/>
      <protection locked="0"/>
    </xf>
    <xf numFmtId="0" fontId="73" fillId="2" borderId="0" xfId="8" applyNumberFormat="1" applyFont="1" applyFill="1" applyBorder="1" applyAlignment="1" applyProtection="1">
      <alignment horizontal="right" vertical="center"/>
    </xf>
    <xf numFmtId="0" fontId="72" fillId="2" borderId="0" xfId="0" applyFont="1" applyFill="1"/>
    <xf numFmtId="0" fontId="72" fillId="0" borderId="0" xfId="0" applyFont="1"/>
    <xf numFmtId="0" fontId="32" fillId="2" borderId="0" xfId="18" applyFont="1" applyFill="1" applyAlignment="1" applyProtection="1">
      <alignment vertical="center" wrapText="1" readingOrder="1"/>
      <protection locked="0"/>
    </xf>
    <xf numFmtId="0" fontId="29" fillId="2" borderId="1" xfId="15" applyFont="1" applyFill="1" applyBorder="1"/>
    <xf numFmtId="0" fontId="29" fillId="2" borderId="0" xfId="15" applyFont="1" applyFill="1"/>
    <xf numFmtId="0" fontId="28" fillId="4" borderId="0" xfId="18" applyFont="1" applyFill="1"/>
    <xf numFmtId="0" fontId="29" fillId="0" borderId="1" xfId="15" applyFont="1" applyBorder="1"/>
    <xf numFmtId="0" fontId="29" fillId="0" borderId="0" xfId="15" applyFont="1"/>
    <xf numFmtId="0" fontId="32" fillId="2" borderId="3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6" fillId="2" borderId="0" xfId="36" applyFont="1" applyFill="1"/>
    <xf numFmtId="0" fontId="54" fillId="2" borderId="0" xfId="37" applyFont="1" applyFill="1" applyAlignment="1">
      <alignment horizontal="left" vertical="center"/>
    </xf>
    <xf numFmtId="0" fontId="54" fillId="2" borderId="0" xfId="37" applyFont="1" applyFill="1" applyAlignment="1">
      <alignment vertical="center"/>
    </xf>
    <xf numFmtId="0" fontId="36" fillId="0" borderId="0" xfId="37" applyFont="1"/>
    <xf numFmtId="0" fontId="39" fillId="2" borderId="0" xfId="37" applyFont="1" applyFill="1" applyAlignment="1">
      <alignment vertical="center"/>
    </xf>
    <xf numFmtId="0" fontId="56" fillId="2" borderId="0" xfId="37" applyFont="1" applyFill="1" applyAlignment="1">
      <alignment vertical="center"/>
    </xf>
    <xf numFmtId="0" fontId="28" fillId="2" borderId="1" xfId="37" applyFont="1" applyFill="1" applyBorder="1" applyAlignment="1">
      <alignment vertical="center"/>
    </xf>
    <xf numFmtId="0" fontId="28" fillId="2" borderId="0" xfId="37" applyFont="1" applyFill="1" applyBorder="1" applyAlignment="1">
      <alignment horizontal="left" vertical="center"/>
    </xf>
    <xf numFmtId="165" fontId="28" fillId="2" borderId="0" xfId="37" applyNumberFormat="1" applyFont="1" applyFill="1" applyBorder="1" applyAlignment="1">
      <alignment horizontal="right" vertical="center"/>
    </xf>
    <xf numFmtId="0" fontId="28" fillId="2" borderId="0" xfId="37" applyFont="1" applyFill="1" applyBorder="1" applyAlignment="1">
      <alignment vertical="center"/>
    </xf>
    <xf numFmtId="0" fontId="28" fillId="2" borderId="0" xfId="37" applyFont="1" applyFill="1" applyAlignment="1">
      <alignment vertical="center"/>
    </xf>
    <xf numFmtId="0" fontId="30" fillId="2" borderId="0" xfId="37" applyFont="1" applyFill="1" applyAlignment="1">
      <alignment vertical="center"/>
    </xf>
    <xf numFmtId="0" fontId="32" fillId="2" borderId="3" xfId="37" applyFont="1" applyFill="1" applyBorder="1" applyAlignment="1">
      <alignment horizontal="right" vertical="center" wrapText="1"/>
    </xf>
    <xf numFmtId="0" fontId="33" fillId="2" borderId="0" xfId="37" applyFont="1" applyFill="1" applyAlignment="1">
      <alignment vertical="center"/>
    </xf>
    <xf numFmtId="0" fontId="32" fillId="2" borderId="0" xfId="37" applyFont="1" applyFill="1" applyBorder="1" applyAlignment="1">
      <alignment horizontal="right" vertical="center" wrapText="1"/>
    </xf>
    <xf numFmtId="0" fontId="32" fillId="2" borderId="3" xfId="37" applyFont="1" applyFill="1" applyBorder="1" applyAlignment="1">
      <alignment horizontal="center" vertical="center" wrapText="1"/>
    </xf>
    <xf numFmtId="0" fontId="32" fillId="2" borderId="3" xfId="37" applyFont="1" applyFill="1" applyBorder="1" applyAlignment="1">
      <alignment vertical="center" wrapText="1"/>
    </xf>
    <xf numFmtId="0" fontId="37" fillId="2" borderId="3" xfId="37" applyFont="1" applyFill="1" applyBorder="1" applyAlignment="1">
      <alignment vertical="center"/>
    </xf>
    <xf numFmtId="0" fontId="32" fillId="2" borderId="1" xfId="37" applyFont="1" applyFill="1" applyBorder="1" applyAlignment="1">
      <alignment horizontal="right" vertical="center" wrapText="1"/>
    </xf>
    <xf numFmtId="0" fontId="32" fillId="2" borderId="1" xfId="39" applyFont="1" applyFill="1" applyBorder="1" applyAlignment="1">
      <alignment horizontal="right" vertical="center" wrapText="1"/>
    </xf>
    <xf numFmtId="0" fontId="32" fillId="2" borderId="1" xfId="37" applyFont="1" applyFill="1" applyBorder="1" applyAlignment="1">
      <alignment horizontal="right" vertical="center"/>
    </xf>
    <xf numFmtId="0" fontId="37" fillId="2" borderId="1" xfId="37" applyFont="1" applyFill="1" applyBorder="1" applyAlignment="1">
      <alignment horizontal="right" vertical="center"/>
    </xf>
    <xf numFmtId="0" fontId="28" fillId="2" borderId="0" xfId="37" applyFont="1" applyFill="1" applyBorder="1" applyAlignment="1">
      <alignment horizontal="left" vertical="center" wrapText="1"/>
    </xf>
    <xf numFmtId="0" fontId="32" fillId="2" borderId="0" xfId="37" applyFont="1" applyFill="1" applyAlignment="1">
      <alignment vertical="center"/>
    </xf>
    <xf numFmtId="0" fontId="69" fillId="2" borderId="0" xfId="37" applyFont="1" applyFill="1" applyAlignment="1">
      <alignment vertical="center"/>
    </xf>
    <xf numFmtId="0" fontId="38" fillId="2" borderId="0" xfId="37" applyFont="1" applyFill="1" applyAlignment="1">
      <alignment vertical="center"/>
    </xf>
    <xf numFmtId="0" fontId="67" fillId="2" borderId="0" xfId="37" applyFont="1" applyFill="1" applyAlignment="1">
      <alignment vertical="center"/>
    </xf>
    <xf numFmtId="0" fontId="37" fillId="2" borderId="0" xfId="37" applyFont="1" applyFill="1" applyAlignment="1">
      <alignment vertical="center"/>
    </xf>
    <xf numFmtId="0" fontId="37" fillId="2" borderId="1" xfId="37" applyFont="1" applyFill="1" applyBorder="1" applyAlignment="1">
      <alignment vertical="center"/>
    </xf>
    <xf numFmtId="0" fontId="33" fillId="2" borderId="0" xfId="37" applyFont="1" applyFill="1" applyAlignment="1">
      <alignment horizontal="left" vertical="center"/>
    </xf>
    <xf numFmtId="0" fontId="54" fillId="2" borderId="0" xfId="41" applyFont="1" applyFill="1" applyAlignment="1">
      <alignment horizontal="left" vertical="center"/>
    </xf>
    <xf numFmtId="0" fontId="36" fillId="0" borderId="0" xfId="41" applyFont="1" applyFill="1" applyAlignment="1">
      <alignment horizontal="left" vertical="center"/>
    </xf>
    <xf numFmtId="0" fontId="54" fillId="2" borderId="0" xfId="41" applyFont="1" applyFill="1" applyAlignment="1">
      <alignment vertical="center"/>
    </xf>
    <xf numFmtId="0" fontId="36" fillId="0" borderId="0" xfId="40" applyFont="1"/>
    <xf numFmtId="0" fontId="12" fillId="2" borderId="1" xfId="41" applyFill="1" applyBorder="1" applyAlignment="1">
      <alignment vertical="center"/>
    </xf>
    <xf numFmtId="0" fontId="28" fillId="2" borderId="0" xfId="41" applyFont="1" applyFill="1" applyBorder="1" applyAlignment="1">
      <alignment horizontal="right" vertical="top" wrapText="1"/>
    </xf>
    <xf numFmtId="0" fontId="12" fillId="2" borderId="0" xfId="41" applyFill="1" applyAlignment="1">
      <alignment vertical="center"/>
    </xf>
    <xf numFmtId="0" fontId="31" fillId="2" borderId="3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center" vertical="center" wrapText="1"/>
    </xf>
    <xf numFmtId="0" fontId="12" fillId="0" borderId="3" xfId="41" applyFill="1" applyBorder="1" applyAlignment="1">
      <alignment vertical="center"/>
    </xf>
    <xf numFmtId="0" fontId="31" fillId="2" borderId="1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right" vertical="center"/>
    </xf>
    <xf numFmtId="0" fontId="12" fillId="2" borderId="1" xfId="41" applyFill="1" applyBorder="1" applyAlignment="1">
      <alignment horizontal="right" vertical="center"/>
    </xf>
    <xf numFmtId="0" fontId="30" fillId="2" borderId="0" xfId="40" applyFont="1" applyFill="1" applyBorder="1" applyAlignment="1">
      <alignment horizontal="left" vertical="center" wrapText="1"/>
    </xf>
    <xf numFmtId="0" fontId="31" fillId="2" borderId="0" xfId="41" applyFont="1" applyFill="1" applyBorder="1" applyAlignment="1">
      <alignment horizontal="left" vertical="center" wrapText="1"/>
    </xf>
    <xf numFmtId="0" fontId="31" fillId="2" borderId="0" xfId="41" applyFont="1" applyFill="1" applyBorder="1" applyAlignment="1">
      <alignment horizontal="center" vertical="center"/>
    </xf>
    <xf numFmtId="0" fontId="31" fillId="2" borderId="0" xfId="41" applyFont="1" applyFill="1" applyBorder="1" applyAlignment="1">
      <alignment horizontal="right" vertical="center"/>
    </xf>
    <xf numFmtId="0" fontId="31" fillId="2" borderId="0" xfId="40" applyFont="1" applyFill="1" applyAlignment="1">
      <alignment vertical="center"/>
    </xf>
    <xf numFmtId="0" fontId="38" fillId="2" borderId="0" xfId="40" applyFont="1" applyFill="1" applyAlignment="1">
      <alignment vertical="center"/>
    </xf>
    <xf numFmtId="0" fontId="34" fillId="2" borderId="0" xfId="41" applyFont="1" applyFill="1" applyAlignment="1">
      <alignment vertical="center"/>
    </xf>
    <xf numFmtId="0" fontId="12" fillId="2" borderId="0" xfId="40" applyFill="1" applyAlignment="1">
      <alignment vertical="center"/>
    </xf>
    <xf numFmtId="0" fontId="33" fillId="2" borderId="0" xfId="40" applyFont="1" applyFill="1" applyAlignment="1">
      <alignment vertical="center"/>
    </xf>
    <xf numFmtId="165" fontId="28" fillId="2" borderId="1" xfId="42" applyNumberFormat="1" applyFont="1" applyFill="1" applyBorder="1"/>
    <xf numFmtId="167" fontId="28" fillId="2" borderId="1" xfId="42" applyNumberFormat="1" applyFont="1" applyFill="1" applyBorder="1"/>
    <xf numFmtId="167" fontId="28" fillId="5" borderId="1" xfId="40" applyNumberFormat="1" applyFont="1" applyFill="1" applyBorder="1"/>
    <xf numFmtId="167" fontId="28" fillId="2" borderId="1" xfId="41" applyNumberFormat="1" applyFont="1" applyFill="1" applyBorder="1"/>
    <xf numFmtId="0" fontId="12" fillId="2" borderId="0" xfId="41" applyFill="1" applyBorder="1" applyAlignment="1">
      <alignment vertical="center"/>
    </xf>
    <xf numFmtId="0" fontId="30" fillId="2" borderId="0" xfId="41" applyFont="1" applyFill="1" applyBorder="1" applyAlignment="1">
      <alignment horizontal="left" vertical="center"/>
    </xf>
    <xf numFmtId="166" fontId="30" fillId="2" borderId="0" xfId="41" applyNumberFormat="1" applyFont="1" applyFill="1" applyBorder="1" applyAlignment="1">
      <alignment horizontal="right" vertical="center"/>
    </xf>
    <xf numFmtId="166" fontId="30" fillId="2" borderId="0" xfId="41" applyNumberFormat="1" applyFont="1" applyFill="1" applyBorder="1" applyAlignment="1">
      <alignment vertical="center"/>
    </xf>
    <xf numFmtId="167" fontId="30" fillId="2" borderId="0" xfId="41" applyNumberFormat="1" applyFont="1" applyFill="1" applyBorder="1" applyAlignment="1">
      <alignment vertical="center"/>
    </xf>
    <xf numFmtId="0" fontId="12" fillId="2" borderId="0" xfId="41" applyFill="1" applyAlignment="1">
      <alignment horizontal="left" vertical="center"/>
    </xf>
    <xf numFmtId="0" fontId="54" fillId="2" borderId="0" xfId="44" applyFont="1" applyFill="1" applyAlignment="1">
      <alignment horizontal="left" vertical="center"/>
    </xf>
    <xf numFmtId="0" fontId="36" fillId="2" borderId="0" xfId="44" applyFont="1" applyFill="1" applyAlignment="1">
      <alignment horizontal="left" vertical="center"/>
    </xf>
    <xf numFmtId="0" fontId="54" fillId="2" borderId="0" xfId="44" applyFont="1" applyFill="1" applyAlignment="1">
      <alignment vertical="center"/>
    </xf>
    <xf numFmtId="0" fontId="36" fillId="2" borderId="0" xfId="43" applyFont="1" applyFill="1"/>
    <xf numFmtId="0" fontId="11" fillId="2" borderId="1" xfId="44" applyFill="1" applyBorder="1" applyAlignment="1">
      <alignment vertical="center"/>
    </xf>
    <xf numFmtId="0" fontId="28" fillId="2" borderId="0" xfId="44" applyFont="1" applyFill="1" applyBorder="1" applyAlignment="1">
      <alignment horizontal="right" vertical="top" wrapText="1"/>
    </xf>
    <xf numFmtId="0" fontId="11" fillId="2" borderId="0" xfId="44" applyFill="1" applyAlignment="1">
      <alignment vertical="center"/>
    </xf>
    <xf numFmtId="0" fontId="31" fillId="2" borderId="3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center" vertical="center" wrapText="1"/>
    </xf>
    <xf numFmtId="0" fontId="11" fillId="2" borderId="3" xfId="44" applyFill="1" applyBorder="1" applyAlignment="1">
      <alignment vertical="center"/>
    </xf>
    <xf numFmtId="0" fontId="31" fillId="2" borderId="1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right" vertical="center"/>
    </xf>
    <xf numFmtId="0" fontId="11" fillId="2" borderId="1" xfId="44" applyFill="1" applyBorder="1" applyAlignment="1">
      <alignment horizontal="right" vertical="center"/>
    </xf>
    <xf numFmtId="0" fontId="30" fillId="2" borderId="0" xfId="43" applyFont="1" applyFill="1" applyBorder="1" applyAlignment="1">
      <alignment horizontal="left" vertical="center" wrapText="1"/>
    </xf>
    <xf numFmtId="0" fontId="31" fillId="2" borderId="0" xfId="44" applyFont="1" applyFill="1" applyBorder="1" applyAlignment="1">
      <alignment horizontal="left" vertical="center" wrapText="1"/>
    </xf>
    <xf numFmtId="0" fontId="31" fillId="2" borderId="0" xfId="44" applyFont="1" applyFill="1" applyBorder="1" applyAlignment="1">
      <alignment horizontal="center" vertical="center"/>
    </xf>
    <xf numFmtId="0" fontId="31" fillId="2" borderId="0" xfId="44" applyFont="1" applyFill="1" applyBorder="1" applyAlignment="1">
      <alignment horizontal="right" vertical="center"/>
    </xf>
    <xf numFmtId="0" fontId="31" fillId="2" borderId="0" xfId="43" applyFont="1" applyFill="1" applyAlignment="1">
      <alignment vertical="center"/>
    </xf>
    <xf numFmtId="0" fontId="38" fillId="2" borderId="0" xfId="43" applyFont="1" applyFill="1" applyAlignment="1">
      <alignment vertical="center"/>
    </xf>
    <xf numFmtId="0" fontId="11" fillId="2" borderId="0" xfId="43" applyFill="1" applyAlignment="1">
      <alignment vertical="center"/>
    </xf>
    <xf numFmtId="0" fontId="33" fillId="2" borderId="0" xfId="43" applyFont="1" applyFill="1" applyAlignment="1">
      <alignment vertical="center"/>
    </xf>
    <xf numFmtId="165" fontId="28" fillId="2" borderId="1" xfId="45" applyNumberFormat="1" applyFont="1" applyFill="1" applyBorder="1"/>
    <xf numFmtId="167" fontId="28" fillId="2" borderId="1" xfId="45" applyNumberFormat="1" applyFont="1" applyFill="1" applyBorder="1"/>
    <xf numFmtId="167" fontId="28" fillId="5" borderId="1" xfId="43" applyNumberFormat="1" applyFont="1" applyFill="1" applyBorder="1"/>
    <xf numFmtId="167" fontId="28" fillId="2" borderId="1" xfId="44" applyNumberFormat="1" applyFont="1" applyFill="1" applyBorder="1"/>
    <xf numFmtId="0" fontId="11" fillId="2" borderId="0" xfId="44" applyFill="1" applyBorder="1" applyAlignment="1">
      <alignment vertical="center"/>
    </xf>
    <xf numFmtId="0" fontId="30" fillId="2" borderId="0" xfId="44" applyFont="1" applyFill="1" applyBorder="1" applyAlignment="1">
      <alignment horizontal="left" vertical="center"/>
    </xf>
    <xf numFmtId="166" fontId="30" fillId="2" borderId="0" xfId="44" applyNumberFormat="1" applyFont="1" applyFill="1" applyBorder="1" applyAlignment="1">
      <alignment horizontal="right" vertical="center"/>
    </xf>
    <xf numFmtId="166" fontId="30" fillId="2" borderId="0" xfId="44" applyNumberFormat="1" applyFont="1" applyFill="1" applyBorder="1" applyAlignment="1">
      <alignment vertical="center"/>
    </xf>
    <xf numFmtId="167" fontId="30" fillId="2" borderId="0" xfId="44" applyNumberFormat="1" applyFont="1" applyFill="1" applyBorder="1" applyAlignment="1">
      <alignment vertical="center"/>
    </xf>
    <xf numFmtId="0" fontId="54" fillId="2" borderId="0" xfId="47" applyFont="1" applyFill="1" applyAlignment="1">
      <alignment horizontal="left" vertical="center"/>
    </xf>
    <xf numFmtId="0" fontId="36" fillId="0" borderId="0" xfId="47" applyFont="1" applyFill="1" applyAlignment="1">
      <alignment horizontal="left" vertical="center"/>
    </xf>
    <xf numFmtId="0" fontId="54" fillId="2" borderId="0" xfId="47" applyFont="1" applyFill="1" applyAlignment="1">
      <alignment vertical="center"/>
    </xf>
    <xf numFmtId="0" fontId="36" fillId="0" borderId="0" xfId="46" applyFont="1"/>
    <xf numFmtId="0" fontId="10" fillId="2" borderId="1" xfId="47" applyFill="1" applyBorder="1" applyAlignment="1">
      <alignment vertical="center"/>
    </xf>
    <xf numFmtId="0" fontId="28" fillId="2" borderId="0" xfId="47" applyFont="1" applyFill="1" applyBorder="1" applyAlignment="1">
      <alignment horizontal="right" vertical="top" wrapText="1"/>
    </xf>
    <xf numFmtId="0" fontId="10" fillId="2" borderId="0" xfId="47" applyFill="1" applyAlignment="1">
      <alignment vertical="center"/>
    </xf>
    <xf numFmtId="0" fontId="31" fillId="2" borderId="3" xfId="47" applyFont="1" applyFill="1" applyBorder="1" applyAlignment="1">
      <alignment horizontal="right" vertical="center" wrapText="1"/>
    </xf>
    <xf numFmtId="0" fontId="31" fillId="2" borderId="0" xfId="47" applyFont="1" applyFill="1" applyBorder="1" applyAlignment="1">
      <alignment horizontal="right" vertical="center" wrapText="1"/>
    </xf>
    <xf numFmtId="0" fontId="31" fillId="2" borderId="3" xfId="47" applyFont="1" applyFill="1" applyBorder="1" applyAlignment="1">
      <alignment horizontal="center" vertical="center" wrapText="1"/>
    </xf>
    <xf numFmtId="0" fontId="10" fillId="0" borderId="3" xfId="47" applyFill="1" applyBorder="1" applyAlignment="1">
      <alignment vertical="center"/>
    </xf>
    <xf numFmtId="0" fontId="10" fillId="2" borderId="3" xfId="47" applyFill="1" applyBorder="1" applyAlignment="1">
      <alignment vertical="center"/>
    </xf>
    <xf numFmtId="0" fontId="31" fillId="2" borderId="1" xfId="47" applyFont="1" applyFill="1" applyBorder="1" applyAlignment="1">
      <alignment horizontal="right" vertical="center" wrapText="1"/>
    </xf>
    <xf numFmtId="0" fontId="31" fillId="2" borderId="1" xfId="47" applyFont="1" applyFill="1" applyBorder="1" applyAlignment="1">
      <alignment horizontal="right" vertical="center"/>
    </xf>
    <xf numFmtId="0" fontId="10" fillId="2" borderId="1" xfId="47" applyFill="1" applyBorder="1" applyAlignment="1">
      <alignment horizontal="right" vertical="center"/>
    </xf>
    <xf numFmtId="0" fontId="30" fillId="2" borderId="0" xfId="46" applyFont="1" applyFill="1" applyBorder="1" applyAlignment="1">
      <alignment horizontal="left" vertical="center" wrapText="1"/>
    </xf>
    <xf numFmtId="0" fontId="31" fillId="2" borderId="0" xfId="47" applyFont="1" applyFill="1" applyBorder="1" applyAlignment="1">
      <alignment horizontal="left" vertical="center" wrapText="1"/>
    </xf>
    <xf numFmtId="0" fontId="31" fillId="2" borderId="0" xfId="47" applyFont="1" applyFill="1" applyBorder="1" applyAlignment="1">
      <alignment horizontal="center" vertical="center" wrapText="1"/>
    </xf>
    <xf numFmtId="0" fontId="31" fillId="2" borderId="0" xfId="47" applyFont="1" applyFill="1" applyBorder="1" applyAlignment="1">
      <alignment horizontal="center" vertical="center"/>
    </xf>
    <xf numFmtId="0" fontId="31" fillId="2" borderId="0" xfId="47" applyFont="1" applyFill="1" applyBorder="1" applyAlignment="1">
      <alignment horizontal="right" vertical="center"/>
    </xf>
    <xf numFmtId="0" fontId="31" fillId="2" borderId="0" xfId="46" applyFont="1" applyFill="1" applyAlignment="1">
      <alignment vertical="center"/>
    </xf>
    <xf numFmtId="0" fontId="38" fillId="2" borderId="0" xfId="46" applyFont="1" applyFill="1" applyAlignment="1">
      <alignment vertical="center"/>
    </xf>
    <xf numFmtId="0" fontId="10" fillId="2" borderId="0" xfId="46" applyFill="1" applyAlignment="1">
      <alignment vertical="center"/>
    </xf>
    <xf numFmtId="0" fontId="33" fillId="2" borderId="0" xfId="46" applyFont="1" applyFill="1" applyAlignment="1">
      <alignment vertical="center"/>
    </xf>
    <xf numFmtId="165" fontId="28" fillId="2" borderId="1" xfId="48" applyNumberFormat="1" applyFont="1" applyFill="1" applyBorder="1"/>
    <xf numFmtId="167" fontId="28" fillId="2" borderId="1" xfId="48" applyNumberFormat="1" applyFont="1" applyFill="1" applyBorder="1"/>
    <xf numFmtId="167" fontId="28" fillId="5" borderId="1" xfId="46" applyNumberFormat="1" applyFont="1" applyFill="1" applyBorder="1"/>
    <xf numFmtId="167" fontId="28" fillId="2" borderId="1" xfId="47" applyNumberFormat="1" applyFont="1" applyFill="1" applyBorder="1"/>
    <xf numFmtId="0" fontId="10" fillId="2" borderId="0" xfId="47" applyFill="1" applyBorder="1" applyAlignment="1">
      <alignment vertical="center"/>
    </xf>
    <xf numFmtId="0" fontId="30" fillId="2" borderId="0" xfId="47" applyFont="1" applyFill="1" applyBorder="1" applyAlignment="1">
      <alignment horizontal="left" vertical="center"/>
    </xf>
    <xf numFmtId="166" fontId="30" fillId="2" borderId="0" xfId="47" applyNumberFormat="1" applyFont="1" applyFill="1" applyBorder="1" applyAlignment="1">
      <alignment horizontal="right" vertical="center"/>
    </xf>
    <xf numFmtId="166" fontId="30" fillId="2" borderId="0" xfId="47" applyNumberFormat="1" applyFont="1" applyFill="1" applyBorder="1" applyAlignment="1">
      <alignment vertical="center"/>
    </xf>
    <xf numFmtId="167" fontId="30" fillId="2" borderId="0" xfId="47" applyNumberFormat="1" applyFont="1" applyFill="1" applyBorder="1" applyAlignment="1">
      <alignment vertical="center"/>
    </xf>
    <xf numFmtId="0" fontId="54" fillId="2" borderId="0" xfId="50" applyFont="1" applyFill="1" applyAlignment="1">
      <alignment horizontal="left" vertical="center"/>
    </xf>
    <xf numFmtId="0" fontId="36" fillId="0" borderId="0" xfId="50" applyFont="1" applyFill="1" applyAlignment="1">
      <alignment horizontal="left" vertical="center"/>
    </xf>
    <xf numFmtId="0" fontId="54" fillId="2" borderId="0" xfId="50" applyFont="1" applyFill="1" applyAlignment="1">
      <alignment vertical="center"/>
    </xf>
    <xf numFmtId="0" fontId="36" fillId="0" borderId="0" xfId="49" applyFont="1"/>
    <xf numFmtId="0" fontId="9" fillId="2" borderId="1" xfId="50" applyFill="1" applyBorder="1" applyAlignment="1">
      <alignment vertical="center"/>
    </xf>
    <xf numFmtId="0" fontId="28" fillId="2" borderId="0" xfId="50" applyFont="1" applyFill="1" applyBorder="1" applyAlignment="1">
      <alignment horizontal="right" vertical="top" wrapText="1"/>
    </xf>
    <xf numFmtId="0" fontId="9" fillId="2" borderId="0" xfId="50" applyFill="1" applyAlignment="1">
      <alignment vertical="center"/>
    </xf>
    <xf numFmtId="0" fontId="31" fillId="2" borderId="3" xfId="50" applyFont="1" applyFill="1" applyBorder="1" applyAlignment="1">
      <alignment horizontal="right" vertical="center" wrapText="1"/>
    </xf>
    <xf numFmtId="0" fontId="31" fillId="2" borderId="0" xfId="50" applyFont="1" applyFill="1" applyBorder="1" applyAlignment="1">
      <alignment horizontal="right" vertical="center" wrapText="1"/>
    </xf>
    <xf numFmtId="0" fontId="31" fillId="2" borderId="3" xfId="50" applyFont="1" applyFill="1" applyBorder="1" applyAlignment="1">
      <alignment horizontal="center" vertical="center" wrapText="1"/>
    </xf>
    <xf numFmtId="0" fontId="9" fillId="0" borderId="3" xfId="50" applyFill="1" applyBorder="1" applyAlignment="1">
      <alignment vertical="center"/>
    </xf>
    <xf numFmtId="0" fontId="9" fillId="2" borderId="3" xfId="50" applyFill="1" applyBorder="1" applyAlignment="1">
      <alignment vertical="center"/>
    </xf>
    <xf numFmtId="0" fontId="31" fillId="2" borderId="1" xfId="50" applyFont="1" applyFill="1" applyBorder="1" applyAlignment="1">
      <alignment horizontal="right" vertical="center" wrapText="1"/>
    </xf>
    <xf numFmtId="0" fontId="31" fillId="2" borderId="1" xfId="50" applyFont="1" applyFill="1" applyBorder="1" applyAlignment="1">
      <alignment horizontal="right" vertical="center"/>
    </xf>
    <xf numFmtId="0" fontId="9" fillId="2" borderId="1" xfId="50" applyFill="1" applyBorder="1" applyAlignment="1">
      <alignment horizontal="right" vertical="center"/>
    </xf>
    <xf numFmtId="0" fontId="30" fillId="2" borderId="0" xfId="49" applyFont="1" applyFill="1" applyBorder="1" applyAlignment="1">
      <alignment horizontal="left" vertical="center" wrapText="1"/>
    </xf>
    <xf numFmtId="0" fontId="31" fillId="2" borderId="0" xfId="50" applyFont="1" applyFill="1" applyBorder="1" applyAlignment="1">
      <alignment horizontal="left" vertical="center" wrapText="1"/>
    </xf>
    <xf numFmtId="0" fontId="31" fillId="2" borderId="0" xfId="50" applyFont="1" applyFill="1" applyBorder="1" applyAlignment="1">
      <alignment horizontal="center" vertical="center" wrapText="1"/>
    </xf>
    <xf numFmtId="0" fontId="31" fillId="2" borderId="0" xfId="50" applyFont="1" applyFill="1" applyBorder="1" applyAlignment="1">
      <alignment horizontal="center" vertical="center"/>
    </xf>
    <xf numFmtId="0" fontId="31" fillId="2" borderId="0" xfId="50" applyFont="1" applyFill="1" applyBorder="1" applyAlignment="1">
      <alignment horizontal="right" vertical="center"/>
    </xf>
    <xf numFmtId="0" fontId="31" fillId="2" borderId="0" xfId="49" applyFont="1" applyFill="1" applyAlignment="1">
      <alignment vertical="center"/>
    </xf>
    <xf numFmtId="0" fontId="38" fillId="2" borderId="0" xfId="49" applyFont="1" applyFill="1" applyAlignment="1">
      <alignment vertical="center"/>
    </xf>
    <xf numFmtId="0" fontId="34" fillId="2" borderId="0" xfId="50" applyFont="1" applyFill="1" applyAlignment="1">
      <alignment vertical="center"/>
    </xf>
    <xf numFmtId="0" fontId="9" fillId="2" borderId="0" xfId="49" applyFill="1" applyAlignment="1">
      <alignment vertical="center"/>
    </xf>
    <xf numFmtId="0" fontId="33" fillId="2" borderId="0" xfId="49" applyFont="1" applyFill="1" applyAlignment="1">
      <alignment vertical="center"/>
    </xf>
    <xf numFmtId="165" fontId="28" fillId="2" borderId="1" xfId="51" applyNumberFormat="1" applyFont="1" applyFill="1" applyBorder="1"/>
    <xf numFmtId="167" fontId="28" fillId="2" borderId="1" xfId="51" applyNumberFormat="1" applyFont="1" applyFill="1" applyBorder="1"/>
    <xf numFmtId="167" fontId="28" fillId="5" borderId="1" xfId="49" applyNumberFormat="1" applyFont="1" applyFill="1" applyBorder="1"/>
    <xf numFmtId="167" fontId="28" fillId="2" borderId="1" xfId="50" applyNumberFormat="1" applyFont="1" applyFill="1" applyBorder="1"/>
    <xf numFmtId="0" fontId="9" fillId="2" borderId="0" xfId="50" applyFill="1" applyBorder="1" applyAlignment="1">
      <alignment vertical="center"/>
    </xf>
    <xf numFmtId="0" fontId="30" fillId="2" borderId="0" xfId="50" applyFont="1" applyFill="1" applyBorder="1" applyAlignment="1">
      <alignment horizontal="left" vertical="center"/>
    </xf>
    <xf numFmtId="166" fontId="30" fillId="2" borderId="0" xfId="50" applyNumberFormat="1" applyFont="1" applyFill="1" applyBorder="1" applyAlignment="1">
      <alignment horizontal="right" vertical="center"/>
    </xf>
    <xf numFmtId="166" fontId="30" fillId="2" borderId="0" xfId="50" applyNumberFormat="1" applyFont="1" applyFill="1" applyBorder="1" applyAlignment="1">
      <alignment vertical="center"/>
    </xf>
    <xf numFmtId="167" fontId="30" fillId="2" borderId="0" xfId="50" applyNumberFormat="1" applyFont="1" applyFill="1" applyBorder="1" applyAlignment="1">
      <alignment vertical="center"/>
    </xf>
    <xf numFmtId="0" fontId="9" fillId="2" borderId="0" xfId="50" applyFill="1" applyAlignment="1">
      <alignment horizontal="left" vertical="center"/>
    </xf>
    <xf numFmtId="0" fontId="54" fillId="2" borderId="0" xfId="56" applyFont="1" applyFill="1" applyAlignment="1">
      <alignment horizontal="left" vertical="center"/>
    </xf>
    <xf numFmtId="0" fontId="36" fillId="0" borderId="0" xfId="56" applyFont="1" applyFill="1" applyAlignment="1">
      <alignment horizontal="left" vertical="center"/>
    </xf>
    <xf numFmtId="0" fontId="54" fillId="2" borderId="0" xfId="56" applyFont="1" applyFill="1" applyAlignment="1">
      <alignment vertical="center"/>
    </xf>
    <xf numFmtId="0" fontId="36" fillId="0" borderId="0" xfId="55" applyFont="1"/>
    <xf numFmtId="0" fontId="7" fillId="2" borderId="1" xfId="56" applyFill="1" applyBorder="1" applyAlignment="1">
      <alignment vertical="center"/>
    </xf>
    <xf numFmtId="0" fontId="28" fillId="2" borderId="0" xfId="56" applyFont="1" applyFill="1" applyBorder="1" applyAlignment="1">
      <alignment horizontal="right" vertical="top" wrapText="1"/>
    </xf>
    <xf numFmtId="0" fontId="7" fillId="2" borderId="0" xfId="56" applyFill="1" applyAlignment="1">
      <alignment vertical="center"/>
    </xf>
    <xf numFmtId="0" fontId="31" fillId="2" borderId="3" xfId="56" applyFont="1" applyFill="1" applyBorder="1" applyAlignment="1">
      <alignment horizontal="right" vertical="center" wrapText="1"/>
    </xf>
    <xf numFmtId="0" fontId="31" fillId="2" borderId="0" xfId="56" applyFont="1" applyFill="1" applyBorder="1" applyAlignment="1">
      <alignment horizontal="right" vertical="center" wrapText="1"/>
    </xf>
    <xf numFmtId="0" fontId="31" fillId="2" borderId="3" xfId="56" applyFont="1" applyFill="1" applyBorder="1" applyAlignment="1">
      <alignment horizontal="center" vertical="center" wrapText="1"/>
    </xf>
    <xf numFmtId="0" fontId="7" fillId="0" borderId="3" xfId="56" applyFill="1" applyBorder="1" applyAlignment="1">
      <alignment vertical="center"/>
    </xf>
    <xf numFmtId="0" fontId="7" fillId="2" borderId="3" xfId="56" applyFill="1" applyBorder="1" applyAlignment="1">
      <alignment vertical="center"/>
    </xf>
    <xf numFmtId="0" fontId="31" fillId="2" borderId="1" xfId="56" applyFont="1" applyFill="1" applyBorder="1" applyAlignment="1">
      <alignment horizontal="right" vertical="center" wrapText="1"/>
    </xf>
    <xf numFmtId="0" fontId="31" fillId="2" borderId="1" xfId="56" applyFont="1" applyFill="1" applyBorder="1" applyAlignment="1">
      <alignment horizontal="right" vertical="center"/>
    </xf>
    <xf numFmtId="0" fontId="7" fillId="2" borderId="1" xfId="56" applyFill="1" applyBorder="1" applyAlignment="1">
      <alignment horizontal="right" vertical="center"/>
    </xf>
    <xf numFmtId="0" fontId="30" fillId="2" borderId="0" xfId="55" applyFont="1" applyFill="1" applyBorder="1" applyAlignment="1">
      <alignment horizontal="left" vertical="center" wrapText="1"/>
    </xf>
    <xf numFmtId="0" fontId="31" fillId="2" borderId="0" xfId="56" applyFont="1" applyFill="1" applyBorder="1" applyAlignment="1">
      <alignment horizontal="left" vertical="center" wrapText="1"/>
    </xf>
    <xf numFmtId="0" fontId="31" fillId="2" borderId="0" xfId="56" applyFont="1" applyFill="1" applyBorder="1" applyAlignment="1">
      <alignment horizontal="center" vertical="center" wrapText="1"/>
    </xf>
    <xf numFmtId="0" fontId="31" fillId="2" borderId="0" xfId="56" applyFont="1" applyFill="1" applyBorder="1" applyAlignment="1">
      <alignment horizontal="center" vertical="center"/>
    </xf>
    <xf numFmtId="0" fontId="31" fillId="2" borderId="0" xfId="56" applyFont="1" applyFill="1" applyBorder="1" applyAlignment="1">
      <alignment horizontal="right" vertical="center"/>
    </xf>
    <xf numFmtId="0" fontId="31" fillId="2" borderId="0" xfId="55" applyFont="1" applyFill="1" applyAlignment="1">
      <alignment vertical="center"/>
    </xf>
    <xf numFmtId="0" fontId="38" fillId="2" borderId="0" xfId="55" applyFont="1" applyFill="1" applyAlignment="1">
      <alignment vertical="center"/>
    </xf>
    <xf numFmtId="0" fontId="34" fillId="2" borderId="0" xfId="56" applyFont="1" applyFill="1" applyAlignment="1">
      <alignment vertical="center"/>
    </xf>
    <xf numFmtId="0" fontId="7" fillId="2" borderId="0" xfId="55" applyFill="1" applyAlignment="1">
      <alignment vertical="center"/>
    </xf>
    <xf numFmtId="0" fontId="33" fillId="2" borderId="0" xfId="55" applyFont="1" applyFill="1" applyAlignment="1">
      <alignment vertical="center"/>
    </xf>
    <xf numFmtId="165" fontId="28" fillId="2" borderId="1" xfId="57" applyNumberFormat="1" applyFont="1" applyFill="1" applyBorder="1"/>
    <xf numFmtId="167" fontId="28" fillId="2" borderId="1" xfId="57" applyNumberFormat="1" applyFont="1" applyFill="1" applyBorder="1"/>
    <xf numFmtId="167" fontId="28" fillId="5" borderId="1" xfId="55" applyNumberFormat="1" applyFont="1" applyFill="1" applyBorder="1"/>
    <xf numFmtId="167" fontId="28" fillId="2" borderId="1" xfId="56" applyNumberFormat="1" applyFont="1" applyFill="1" applyBorder="1"/>
    <xf numFmtId="0" fontId="7" fillId="2" borderId="0" xfId="56" applyFill="1" applyBorder="1" applyAlignment="1">
      <alignment vertical="center"/>
    </xf>
    <xf numFmtId="0" fontId="30" fillId="2" borderId="0" xfId="56" applyFont="1" applyFill="1" applyBorder="1" applyAlignment="1">
      <alignment horizontal="left" vertical="center"/>
    </xf>
    <xf numFmtId="166" fontId="30" fillId="2" borderId="0" xfId="56" applyNumberFormat="1" applyFont="1" applyFill="1" applyBorder="1" applyAlignment="1">
      <alignment horizontal="right" vertical="center"/>
    </xf>
    <xf numFmtId="166" fontId="30" fillId="2" borderId="0" xfId="56" applyNumberFormat="1" applyFont="1" applyFill="1" applyBorder="1" applyAlignment="1">
      <alignment vertical="center"/>
    </xf>
    <xf numFmtId="167" fontId="30" fillId="2" borderId="0" xfId="56" applyNumberFormat="1" applyFont="1" applyFill="1" applyBorder="1" applyAlignment="1">
      <alignment vertical="center"/>
    </xf>
    <xf numFmtId="0" fontId="7" fillId="2" borderId="0" xfId="56" applyFill="1" applyAlignment="1">
      <alignment horizontal="left" vertical="center"/>
    </xf>
    <xf numFmtId="0" fontId="54" fillId="2" borderId="0" xfId="59" applyFont="1" applyFill="1" applyAlignment="1">
      <alignment vertical="center"/>
    </xf>
    <xf numFmtId="0" fontId="36" fillId="0" borderId="0" xfId="58" applyFont="1"/>
    <xf numFmtId="0" fontId="54" fillId="2" borderId="0" xfId="59" applyFont="1" applyFill="1" applyAlignment="1">
      <alignment horizontal="left" vertical="center"/>
    </xf>
    <xf numFmtId="0" fontId="67" fillId="2" borderId="1" xfId="59" applyFont="1" applyFill="1" applyBorder="1" applyAlignment="1">
      <alignment vertical="center"/>
    </xf>
    <xf numFmtId="0" fontId="70" fillId="2" borderId="1" xfId="59" applyFont="1" applyFill="1" applyBorder="1" applyAlignment="1">
      <alignment vertical="center" wrapText="1"/>
    </xf>
    <xf numFmtId="0" fontId="32" fillId="2" borderId="1" xfId="59" applyFont="1" applyFill="1" applyBorder="1" applyAlignment="1">
      <alignment vertical="center" wrapText="1"/>
    </xf>
    <xf numFmtId="0" fontId="28" fillId="2" borderId="3" xfId="59" applyFont="1" applyFill="1" applyBorder="1" applyAlignment="1">
      <alignment horizontal="right" vertical="center" wrapText="1"/>
    </xf>
    <xf numFmtId="0" fontId="32" fillId="2" borderId="3" xfId="59" applyFont="1" applyFill="1" applyBorder="1" applyAlignment="1">
      <alignment vertical="center"/>
    </xf>
    <xf numFmtId="0" fontId="28" fillId="2" borderId="0" xfId="59" applyFont="1" applyFill="1" applyBorder="1" applyAlignment="1">
      <alignment horizontal="right" vertical="center" wrapText="1"/>
    </xf>
    <xf numFmtId="0" fontId="32" fillId="2" borderId="1" xfId="59" applyFont="1" applyFill="1" applyBorder="1" applyAlignment="1">
      <alignment vertical="center"/>
    </xf>
    <xf numFmtId="0" fontId="28" fillId="2" borderId="1" xfId="59" applyFont="1" applyFill="1" applyBorder="1" applyAlignment="1">
      <alignment horizontal="right" vertical="center" wrapText="1"/>
    </xf>
    <xf numFmtId="0" fontId="32" fillId="2" borderId="1" xfId="60" applyFont="1" applyFill="1" applyBorder="1" applyAlignment="1">
      <alignment horizontal="right" vertical="center" wrapText="1"/>
    </xf>
    <xf numFmtId="0" fontId="28" fillId="2" borderId="0" xfId="58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center" vertical="center" wrapText="1"/>
    </xf>
    <xf numFmtId="0" fontId="32" fillId="2" borderId="0" xfId="59" applyFont="1" applyFill="1" applyBorder="1" applyAlignment="1">
      <alignment horizontal="center" vertical="center"/>
    </xf>
    <xf numFmtId="0" fontId="32" fillId="2" borderId="0" xfId="59" applyFont="1" applyFill="1" applyBorder="1" applyAlignment="1">
      <alignment horizontal="right" vertical="center"/>
    </xf>
    <xf numFmtId="0" fontId="32" fillId="2" borderId="3" xfId="59" applyFont="1" applyFill="1" applyBorder="1" applyAlignment="1">
      <alignment horizontal="right" vertical="center"/>
    </xf>
    <xf numFmtId="0" fontId="32" fillId="2" borderId="0" xfId="59" applyFont="1" applyFill="1" applyAlignment="1">
      <alignment horizontal="right" vertical="center"/>
    </xf>
    <xf numFmtId="0" fontId="71" fillId="2" borderId="0" xfId="59" applyFont="1" applyFill="1" applyAlignment="1">
      <alignment vertical="center"/>
    </xf>
    <xf numFmtId="0" fontId="69" fillId="2" borderId="0" xfId="58" applyFont="1" applyFill="1" applyAlignment="1">
      <alignment vertical="center"/>
    </xf>
    <xf numFmtId="0" fontId="67" fillId="2" borderId="0" xfId="59" applyFont="1" applyFill="1" applyAlignment="1">
      <alignment vertical="center"/>
    </xf>
    <xf numFmtId="0" fontId="37" fillId="2" borderId="0" xfId="58" applyFont="1" applyFill="1" applyAlignment="1">
      <alignment vertical="center"/>
    </xf>
    <xf numFmtId="165" fontId="28" fillId="2" borderId="1" xfId="59" applyNumberFormat="1" applyFont="1" applyFill="1" applyBorder="1"/>
    <xf numFmtId="167" fontId="28" fillId="2" borderId="1" xfId="59" applyNumberFormat="1" applyFont="1" applyFill="1" applyBorder="1"/>
    <xf numFmtId="0" fontId="67" fillId="2" borderId="0" xfId="59" applyFont="1" applyFill="1" applyBorder="1" applyAlignment="1">
      <alignment vertical="center"/>
    </xf>
    <xf numFmtId="0" fontId="28" fillId="2" borderId="0" xfId="59" applyFont="1" applyFill="1" applyBorder="1" applyAlignment="1">
      <alignment vertical="center"/>
    </xf>
    <xf numFmtId="166" fontId="28" fillId="2" borderId="0" xfId="59" applyNumberFormat="1" applyFont="1" applyFill="1" applyBorder="1" applyAlignment="1">
      <alignment horizontal="right" vertical="center"/>
    </xf>
    <xf numFmtId="166" fontId="28" fillId="2" borderId="0" xfId="59" applyNumberFormat="1" applyFont="1" applyFill="1" applyBorder="1" applyAlignment="1">
      <alignment vertical="center"/>
    </xf>
    <xf numFmtId="0" fontId="54" fillId="2" borderId="0" xfId="62" applyFont="1" applyFill="1" applyAlignment="1">
      <alignment horizontal="left" vertical="center"/>
    </xf>
    <xf numFmtId="0" fontId="36" fillId="0" borderId="0" xfId="62" applyFont="1" applyAlignment="1">
      <alignment horizontal="left" vertical="center"/>
    </xf>
    <xf numFmtId="0" fontId="54" fillId="2" borderId="0" xfId="62" applyFont="1" applyFill="1" applyAlignment="1">
      <alignment vertical="center"/>
    </xf>
    <xf numFmtId="0" fontId="55" fillId="0" borderId="0" xfId="63" applyFont="1"/>
    <xf numFmtId="0" fontId="55" fillId="2" borderId="0" xfId="62" applyFont="1" applyFill="1" applyAlignment="1">
      <alignment vertical="center"/>
    </xf>
    <xf numFmtId="0" fontId="55" fillId="2" borderId="0" xfId="62" applyFont="1" applyFill="1" applyAlignment="1">
      <alignment horizontal="left" vertical="center"/>
    </xf>
    <xf numFmtId="164" fontId="55" fillId="2" borderId="0" xfId="65" applyFont="1" applyFill="1" applyBorder="1" applyAlignment="1">
      <alignment horizontal="right" vertical="top"/>
    </xf>
    <xf numFmtId="0" fontId="55" fillId="2" borderId="0" xfId="64" applyFont="1" applyFill="1" applyAlignment="1">
      <alignment vertical="center"/>
    </xf>
    <xf numFmtId="0" fontId="67" fillId="2" borderId="1" xfId="62" applyFont="1" applyFill="1" applyBorder="1" applyAlignment="1">
      <alignment vertical="center"/>
    </xf>
    <xf numFmtId="0" fontId="28" fillId="2" borderId="0" xfId="62" applyFont="1" applyFill="1" applyAlignment="1">
      <alignment horizontal="right" vertical="top" wrapText="1"/>
    </xf>
    <xf numFmtId="0" fontId="67" fillId="2" borderId="0" xfId="62" applyFont="1" applyFill="1" applyAlignment="1">
      <alignment vertical="center"/>
    </xf>
    <xf numFmtId="0" fontId="32" fillId="2" borderId="3" xfId="62" applyFont="1" applyFill="1" applyBorder="1" applyAlignment="1">
      <alignment horizontal="right" vertical="center" wrapText="1"/>
    </xf>
    <xf numFmtId="0" fontId="32" fillId="2" borderId="0" xfId="62" applyFont="1" applyFill="1" applyBorder="1" applyAlignment="1">
      <alignment vertical="center" wrapText="1"/>
    </xf>
    <xf numFmtId="0" fontId="32" fillId="2" borderId="0" xfId="62" applyFont="1" applyFill="1" applyAlignment="1">
      <alignment horizontal="right" vertical="center" wrapText="1"/>
    </xf>
    <xf numFmtId="0" fontId="32" fillId="2" borderId="3" xfId="62" applyFont="1" applyFill="1" applyBorder="1" applyAlignment="1">
      <alignment horizontal="center" vertical="center" wrapText="1"/>
    </xf>
    <xf numFmtId="0" fontId="67" fillId="0" borderId="3" xfId="62" applyFont="1" applyBorder="1" applyAlignment="1">
      <alignment vertical="center"/>
    </xf>
    <xf numFmtId="0" fontId="67" fillId="2" borderId="3" xfId="62" applyFont="1" applyFill="1" applyBorder="1" applyAlignment="1">
      <alignment vertical="center"/>
    </xf>
    <xf numFmtId="0" fontId="67" fillId="2" borderId="0" xfId="62" applyFont="1" applyFill="1" applyBorder="1" applyAlignment="1">
      <alignment vertical="center"/>
    </xf>
    <xf numFmtId="0" fontId="32" fillId="2" borderId="1" xfId="62" applyFont="1" applyFill="1" applyBorder="1" applyAlignment="1">
      <alignment horizontal="right" vertical="center" wrapText="1"/>
    </xf>
    <xf numFmtId="0" fontId="32" fillId="2" borderId="1" xfId="62" applyFont="1" applyFill="1" applyBorder="1" applyAlignment="1">
      <alignment horizontal="right" vertical="center"/>
    </xf>
    <xf numFmtId="0" fontId="67" fillId="2" borderId="1" xfId="62" applyFont="1" applyFill="1" applyBorder="1" applyAlignment="1">
      <alignment horizontal="right" vertical="center"/>
    </xf>
    <xf numFmtId="0" fontId="28" fillId="2" borderId="0" xfId="63" applyFont="1" applyFill="1" applyAlignment="1">
      <alignment horizontal="left" vertical="center" wrapText="1"/>
    </xf>
    <xf numFmtId="0" fontId="32" fillId="2" borderId="0" xfId="62" applyFont="1" applyFill="1" applyAlignment="1">
      <alignment horizontal="left" vertical="center" wrapText="1"/>
    </xf>
    <xf numFmtId="0" fontId="32" fillId="2" borderId="0" xfId="62" applyFont="1" applyFill="1" applyAlignment="1">
      <alignment horizontal="center" vertical="center" wrapText="1"/>
    </xf>
    <xf numFmtId="0" fontId="32" fillId="2" borderId="0" xfId="62" applyFont="1" applyFill="1" applyAlignment="1">
      <alignment horizontal="center" vertical="center"/>
    </xf>
    <xf numFmtId="0" fontId="32" fillId="2" borderId="0" xfId="62" applyFont="1" applyFill="1" applyAlignment="1">
      <alignment horizontal="right" vertical="center"/>
    </xf>
    <xf numFmtId="0" fontId="32" fillId="2" borderId="0" xfId="63" applyFont="1" applyFill="1" applyAlignment="1">
      <alignment vertical="center"/>
    </xf>
    <xf numFmtId="0" fontId="69" fillId="2" borderId="0" xfId="61" applyFont="1" applyFill="1" applyAlignment="1">
      <alignment vertical="center"/>
    </xf>
    <xf numFmtId="0" fontId="71" fillId="2" borderId="0" xfId="62" applyFont="1" applyFill="1" applyAlignment="1">
      <alignment vertical="center"/>
    </xf>
    <xf numFmtId="0" fontId="67" fillId="2" borderId="0" xfId="63" applyFont="1" applyFill="1" applyAlignment="1">
      <alignment vertical="center"/>
    </xf>
    <xf numFmtId="0" fontId="37" fillId="2" borderId="0" xfId="61" applyFont="1" applyFill="1" applyAlignment="1">
      <alignment vertical="center"/>
    </xf>
    <xf numFmtId="0" fontId="28" fillId="2" borderId="1" xfId="62" applyFont="1" applyFill="1" applyBorder="1" applyAlignment="1">
      <alignment horizontal="left" vertical="center"/>
    </xf>
    <xf numFmtId="166" fontId="28" fillId="2" borderId="1" xfId="62" applyNumberFormat="1" applyFont="1" applyFill="1" applyBorder="1" applyAlignment="1">
      <alignment horizontal="right" vertical="center"/>
    </xf>
    <xf numFmtId="166" fontId="28" fillId="2" borderId="1" xfId="62" applyNumberFormat="1" applyFont="1" applyFill="1" applyBorder="1" applyAlignment="1">
      <alignment vertical="center"/>
    </xf>
    <xf numFmtId="167" fontId="28" fillId="2" borderId="1" xfId="62" applyNumberFormat="1" applyFont="1" applyFill="1" applyBorder="1" applyAlignment="1">
      <alignment vertical="center"/>
    </xf>
    <xf numFmtId="0" fontId="28" fillId="2" borderId="0" xfId="62" applyFont="1" applyFill="1" applyAlignment="1">
      <alignment horizontal="left" vertical="center"/>
    </xf>
    <xf numFmtId="166" fontId="28" fillId="2" borderId="0" xfId="62" applyNumberFormat="1" applyFont="1" applyFill="1" applyAlignment="1">
      <alignment horizontal="right" vertical="center"/>
    </xf>
    <xf numFmtId="166" fontId="28" fillId="2" borderId="0" xfId="62" applyNumberFormat="1" applyFont="1" applyFill="1" applyAlignment="1">
      <alignment vertical="center"/>
    </xf>
    <xf numFmtId="167" fontId="28" fillId="2" borderId="0" xfId="62" applyNumberFormat="1" applyFont="1" applyFill="1" applyAlignment="1">
      <alignment vertical="center"/>
    </xf>
    <xf numFmtId="0" fontId="68" fillId="2" borderId="0" xfId="62" applyFont="1" applyFill="1" applyAlignment="1">
      <alignment vertical="center"/>
    </xf>
    <xf numFmtId="0" fontId="28" fillId="2" borderId="0" xfId="66" applyFont="1" applyFill="1" applyAlignment="1">
      <alignment horizontal="left" vertical="center"/>
    </xf>
    <xf numFmtId="166" fontId="28" fillId="2" borderId="0" xfId="66" applyNumberFormat="1" applyFont="1" applyFill="1" applyAlignment="1">
      <alignment horizontal="right" vertical="center"/>
    </xf>
    <xf numFmtId="166" fontId="28" fillId="2" borderId="0" xfId="66" applyNumberFormat="1" applyFont="1" applyFill="1" applyAlignment="1">
      <alignment vertical="center"/>
    </xf>
    <xf numFmtId="0" fontId="68" fillId="2" borderId="0" xfId="66" applyFont="1" applyFill="1" applyAlignment="1">
      <alignment vertical="center"/>
    </xf>
    <xf numFmtId="167" fontId="28" fillId="2" borderId="0" xfId="66" applyNumberFormat="1" applyFont="1" applyFill="1" applyAlignment="1">
      <alignment vertical="center"/>
    </xf>
    <xf numFmtId="0" fontId="5" fillId="2" borderId="0" xfId="62" applyFill="1" applyAlignment="1">
      <alignment vertical="center"/>
    </xf>
    <xf numFmtId="0" fontId="5" fillId="2" borderId="0" xfId="62" applyFill="1" applyAlignment="1">
      <alignment horizontal="left" vertical="center"/>
    </xf>
    <xf numFmtId="0" fontId="54" fillId="2" borderId="0" xfId="68" applyFont="1" applyFill="1" applyAlignment="1">
      <alignment horizontal="left" vertical="center"/>
    </xf>
    <xf numFmtId="0" fontId="36" fillId="2" borderId="0" xfId="68" applyFont="1" applyFill="1" applyAlignment="1">
      <alignment horizontal="left" vertical="center"/>
    </xf>
    <xf numFmtId="0" fontId="54" fillId="2" borderId="0" xfId="68" applyFont="1" applyFill="1" applyAlignment="1">
      <alignment vertical="center"/>
    </xf>
    <xf numFmtId="0" fontId="36" fillId="2" borderId="0" xfId="69" applyFont="1" applyFill="1"/>
    <xf numFmtId="164" fontId="55" fillId="2" borderId="0" xfId="71" applyFont="1" applyFill="1" applyBorder="1" applyAlignment="1">
      <alignment horizontal="right" vertical="top"/>
    </xf>
    <xf numFmtId="0" fontId="55" fillId="2" borderId="0" xfId="70" applyFont="1" applyFill="1" applyAlignment="1">
      <alignment vertical="center"/>
    </xf>
    <xf numFmtId="0" fontId="55" fillId="2" borderId="0" xfId="68" applyFont="1" applyFill="1" applyAlignment="1">
      <alignment vertical="center"/>
    </xf>
    <xf numFmtId="0" fontId="67" fillId="2" borderId="1" xfId="68" applyFont="1" applyFill="1" applyBorder="1" applyAlignment="1">
      <alignment vertical="center"/>
    </xf>
    <xf numFmtId="0" fontId="28" fillId="2" borderId="0" xfId="68" applyFont="1" applyFill="1" applyAlignment="1">
      <alignment horizontal="right" vertical="top" wrapText="1"/>
    </xf>
    <xf numFmtId="0" fontId="67" fillId="2" borderId="0" xfId="68" applyFont="1" applyFill="1" applyAlignment="1">
      <alignment vertical="center"/>
    </xf>
    <xf numFmtId="0" fontId="32" fillId="2" borderId="3" xfId="68" applyFont="1" applyFill="1" applyBorder="1" applyAlignment="1">
      <alignment horizontal="right" vertical="center" wrapText="1"/>
    </xf>
    <xf numFmtId="0" fontId="32" fillId="2" borderId="0" xfId="68" applyFont="1" applyFill="1" applyBorder="1" applyAlignment="1">
      <alignment vertical="center" wrapText="1"/>
    </xf>
    <xf numFmtId="0" fontId="32" fillId="2" borderId="0" xfId="68" applyFont="1" applyFill="1" applyAlignment="1">
      <alignment horizontal="right" vertical="center" wrapText="1"/>
    </xf>
    <xf numFmtId="0" fontId="32" fillId="2" borderId="3" xfId="68" applyFont="1" applyFill="1" applyBorder="1" applyAlignment="1">
      <alignment horizontal="center" vertical="center" wrapText="1"/>
    </xf>
    <xf numFmtId="0" fontId="67" fillId="0" borderId="3" xfId="68" applyFont="1" applyBorder="1" applyAlignment="1">
      <alignment vertical="center"/>
    </xf>
    <xf numFmtId="0" fontId="67" fillId="2" borderId="3" xfId="68" applyFont="1" applyFill="1" applyBorder="1" applyAlignment="1">
      <alignment vertical="center"/>
    </xf>
    <xf numFmtId="0" fontId="67" fillId="2" borderId="0" xfId="68" applyFont="1" applyFill="1" applyBorder="1" applyAlignment="1">
      <alignment vertical="center"/>
    </xf>
    <xf numFmtId="0" fontId="32" fillId="2" borderId="1" xfId="68" applyFont="1" applyFill="1" applyBorder="1" applyAlignment="1">
      <alignment horizontal="right" vertical="center" wrapText="1"/>
    </xf>
    <xf numFmtId="0" fontId="32" fillId="2" borderId="1" xfId="68" applyFont="1" applyFill="1" applyBorder="1" applyAlignment="1">
      <alignment horizontal="right" vertical="center"/>
    </xf>
    <xf numFmtId="0" fontId="67" fillId="2" borderId="1" xfId="68" applyFont="1" applyFill="1" applyBorder="1" applyAlignment="1">
      <alignment horizontal="right" vertical="center"/>
    </xf>
    <xf numFmtId="0" fontId="67" fillId="2" borderId="0" xfId="68" applyFont="1" applyFill="1" applyAlignment="1">
      <alignment horizontal="right" vertical="center"/>
    </xf>
    <xf numFmtId="0" fontId="28" fillId="2" borderId="0" xfId="69" applyFont="1" applyFill="1" applyAlignment="1">
      <alignment horizontal="left" vertical="center" wrapText="1"/>
    </xf>
    <xf numFmtId="0" fontId="32" fillId="2" borderId="0" xfId="68" applyFont="1" applyFill="1" applyAlignment="1">
      <alignment horizontal="left" vertical="center" wrapText="1"/>
    </xf>
    <xf numFmtId="0" fontId="32" fillId="2" borderId="0" xfId="68" applyFont="1" applyFill="1" applyAlignment="1">
      <alignment horizontal="center" vertical="center" wrapText="1"/>
    </xf>
    <xf numFmtId="0" fontId="32" fillId="2" borderId="0" xfId="68" applyFont="1" applyFill="1" applyAlignment="1">
      <alignment horizontal="center" vertical="center"/>
    </xf>
    <xf numFmtId="0" fontId="32" fillId="2" borderId="0" xfId="68" applyFont="1" applyFill="1" applyAlignment="1">
      <alignment horizontal="right" vertical="center"/>
    </xf>
    <xf numFmtId="0" fontId="32" fillId="2" borderId="0" xfId="69" applyFont="1" applyFill="1" applyAlignment="1">
      <alignment vertical="center"/>
    </xf>
    <xf numFmtId="0" fontId="69" fillId="2" borderId="0" xfId="67" applyFont="1" applyFill="1" applyAlignment="1">
      <alignment vertical="center"/>
    </xf>
    <xf numFmtId="0" fontId="71" fillId="2" borderId="0" xfId="68" applyFont="1" applyFill="1" applyAlignment="1">
      <alignment vertical="center"/>
    </xf>
    <xf numFmtId="0" fontId="67" fillId="2" borderId="0" xfId="69" applyFont="1" applyFill="1" applyAlignment="1">
      <alignment vertical="center"/>
    </xf>
    <xf numFmtId="0" fontId="37" fillId="2" borderId="0" xfId="67" applyFont="1" applyFill="1" applyAlignment="1">
      <alignment vertical="center"/>
    </xf>
    <xf numFmtId="165" fontId="28" fillId="2" borderId="1" xfId="70" applyNumberFormat="1" applyFont="1" applyFill="1" applyBorder="1"/>
    <xf numFmtId="167" fontId="28" fillId="2" borderId="1" xfId="70" applyNumberFormat="1" applyFont="1" applyFill="1" applyBorder="1"/>
    <xf numFmtId="167" fontId="28" fillId="5" borderId="1" xfId="69" applyNumberFormat="1" applyFont="1" applyFill="1" applyBorder="1"/>
    <xf numFmtId="167" fontId="28" fillId="2" borderId="1" xfId="68" applyNumberFormat="1" applyFont="1" applyFill="1" applyBorder="1"/>
    <xf numFmtId="0" fontId="28" fillId="2" borderId="0" xfId="68" applyFont="1" applyFill="1" applyAlignment="1">
      <alignment horizontal="left" vertical="center"/>
    </xf>
    <xf numFmtId="166" fontId="28" fillId="2" borderId="0" xfId="68" applyNumberFormat="1" applyFont="1" applyFill="1" applyAlignment="1">
      <alignment horizontal="right" vertical="center"/>
    </xf>
    <xf numFmtId="166" fontId="28" fillId="2" borderId="0" xfId="68" applyNumberFormat="1" applyFont="1" applyFill="1" applyAlignment="1">
      <alignment vertical="center"/>
    </xf>
    <xf numFmtId="167" fontId="28" fillId="2" borderId="0" xfId="68" applyNumberFormat="1" applyFont="1" applyFill="1" applyAlignment="1">
      <alignment vertical="center"/>
    </xf>
    <xf numFmtId="0" fontId="68" fillId="2" borderId="0" xfId="68" applyFont="1" applyFill="1" applyAlignment="1">
      <alignment vertical="center"/>
    </xf>
    <xf numFmtId="0" fontId="28" fillId="2" borderId="0" xfId="72" applyFont="1" applyFill="1" applyAlignment="1">
      <alignment horizontal="left" vertical="center"/>
    </xf>
    <xf numFmtId="166" fontId="28" fillId="2" borderId="0" xfId="72" applyNumberFormat="1" applyFont="1" applyFill="1" applyAlignment="1">
      <alignment horizontal="right" vertical="center"/>
    </xf>
    <xf numFmtId="166" fontId="28" fillId="2" borderId="0" xfId="72" applyNumberFormat="1" applyFont="1" applyFill="1" applyAlignment="1">
      <alignment vertical="center"/>
    </xf>
    <xf numFmtId="0" fontId="68" fillId="2" borderId="0" xfId="72" applyFont="1" applyFill="1" applyAlignment="1">
      <alignment vertical="center"/>
    </xf>
    <xf numFmtId="167" fontId="28" fillId="2" borderId="0" xfId="72" applyNumberFormat="1" applyFont="1" applyFill="1" applyAlignment="1">
      <alignment vertical="center"/>
    </xf>
    <xf numFmtId="0" fontId="4" fillId="2" borderId="0" xfId="68" applyFill="1" applyAlignment="1">
      <alignment vertical="center"/>
    </xf>
    <xf numFmtId="0" fontId="4" fillId="2" borderId="0" xfId="68" applyFill="1" applyBorder="1" applyAlignment="1">
      <alignment vertical="center"/>
    </xf>
    <xf numFmtId="0" fontId="4" fillId="2" borderId="0" xfId="69" applyFill="1" applyBorder="1" applyAlignment="1">
      <alignment vertical="center"/>
    </xf>
    <xf numFmtId="0" fontId="4" fillId="2" borderId="0" xfId="69" applyFill="1" applyAlignment="1">
      <alignment vertical="center"/>
    </xf>
    <xf numFmtId="0" fontId="37" fillId="2" borderId="0" xfId="68" applyFont="1" applyFill="1" applyAlignment="1">
      <alignment vertical="top"/>
    </xf>
    <xf numFmtId="0" fontId="44" fillId="0" borderId="3" xfId="18" applyFont="1" applyBorder="1" applyAlignment="1">
      <alignment horizontal="left" vertical="center" wrapText="1"/>
    </xf>
    <xf numFmtId="0" fontId="44" fillId="0" borderId="1" xfId="18" applyFont="1" applyBorder="1" applyAlignment="1">
      <alignment horizontal="left" vertical="center" wrapText="1"/>
    </xf>
    <xf numFmtId="0" fontId="36" fillId="0" borderId="0" xfId="74" applyFont="1"/>
    <xf numFmtId="0" fontId="54" fillId="2" borderId="0" xfId="76" applyFont="1" applyFill="1" applyAlignment="1">
      <alignment horizontal="left" vertical="center"/>
    </xf>
    <xf numFmtId="0" fontId="36" fillId="0" borderId="0" xfId="76" applyFont="1" applyFill="1" applyAlignment="1">
      <alignment horizontal="left" vertical="center"/>
    </xf>
    <xf numFmtId="0" fontId="54" fillId="2" borderId="0" xfId="76" applyFont="1" applyFill="1" applyAlignment="1">
      <alignment vertical="center"/>
    </xf>
    <xf numFmtId="0" fontId="36" fillId="0" borderId="0" xfId="75" applyFont="1"/>
    <xf numFmtId="164" fontId="54" fillId="2" borderId="0" xfId="78" applyFont="1" applyFill="1" applyBorder="1" applyAlignment="1">
      <alignment horizontal="right" vertical="top"/>
    </xf>
    <xf numFmtId="0" fontId="54" fillId="2" borderId="0" xfId="77" applyFont="1" applyFill="1" applyAlignment="1">
      <alignment vertical="center"/>
    </xf>
    <xf numFmtId="0" fontId="1" fillId="2" borderId="1" xfId="76" applyFill="1" applyBorder="1" applyAlignment="1">
      <alignment vertical="center"/>
    </xf>
    <xf numFmtId="0" fontId="28" fillId="2" borderId="0" xfId="76" applyFont="1" applyFill="1" applyBorder="1" applyAlignment="1">
      <alignment horizontal="right" vertical="top" wrapText="1"/>
    </xf>
    <xf numFmtId="0" fontId="1" fillId="2" borderId="0" xfId="76" applyFill="1" applyAlignment="1">
      <alignment vertical="center"/>
    </xf>
    <xf numFmtId="0" fontId="31" fillId="2" borderId="3" xfId="76" applyFont="1" applyFill="1" applyBorder="1" applyAlignment="1">
      <alignment horizontal="right" vertical="center" wrapText="1"/>
    </xf>
    <xf numFmtId="0" fontId="31" fillId="2" borderId="0" xfId="76" applyFont="1" applyFill="1" applyBorder="1" applyAlignment="1">
      <alignment horizontal="right" vertical="center" wrapText="1"/>
    </xf>
    <xf numFmtId="0" fontId="31" fillId="2" borderId="3" xfId="76" applyFont="1" applyFill="1" applyBorder="1" applyAlignment="1">
      <alignment horizontal="center" vertical="center" wrapText="1"/>
    </xf>
    <xf numFmtId="0" fontId="1" fillId="0" borderId="3" xfId="76" applyFill="1" applyBorder="1" applyAlignment="1">
      <alignment vertical="center"/>
    </xf>
    <xf numFmtId="0" fontId="1" fillId="2" borderId="3" xfId="76" applyFill="1" applyBorder="1" applyAlignment="1">
      <alignment vertical="center"/>
    </xf>
    <xf numFmtId="0" fontId="31" fillId="2" borderId="1" xfId="76" applyFont="1" applyFill="1" applyBorder="1" applyAlignment="1">
      <alignment horizontal="right" vertical="center" wrapText="1"/>
    </xf>
    <xf numFmtId="0" fontId="31" fillId="2" borderId="1" xfId="76" applyFont="1" applyFill="1" applyBorder="1" applyAlignment="1">
      <alignment horizontal="right" vertical="center"/>
    </xf>
    <xf numFmtId="0" fontId="1" fillId="2" borderId="1" xfId="76" applyFill="1" applyBorder="1" applyAlignment="1">
      <alignment horizontal="right" vertical="center"/>
    </xf>
    <xf numFmtId="0" fontId="30" fillId="2" borderId="0" xfId="75" applyFont="1" applyFill="1" applyBorder="1" applyAlignment="1">
      <alignment horizontal="left" vertical="center" wrapText="1"/>
    </xf>
    <xf numFmtId="0" fontId="31" fillId="2" borderId="0" xfId="76" applyFont="1" applyFill="1" applyBorder="1" applyAlignment="1">
      <alignment horizontal="left" vertical="center" wrapText="1"/>
    </xf>
    <xf numFmtId="0" fontId="31" fillId="2" borderId="0" xfId="76" applyFont="1" applyFill="1" applyBorder="1" applyAlignment="1">
      <alignment horizontal="center" vertical="center" wrapText="1"/>
    </xf>
    <xf numFmtId="0" fontId="31" fillId="2" borderId="0" xfId="76" applyFont="1" applyFill="1" applyBorder="1" applyAlignment="1">
      <alignment horizontal="center" vertical="center"/>
    </xf>
    <xf numFmtId="0" fontId="31" fillId="2" borderId="0" xfId="76" applyFont="1" applyFill="1" applyBorder="1" applyAlignment="1">
      <alignment horizontal="right" vertical="center"/>
    </xf>
    <xf numFmtId="0" fontId="31" fillId="2" borderId="0" xfId="75" applyFont="1" applyFill="1" applyAlignment="1">
      <alignment vertical="center"/>
    </xf>
    <xf numFmtId="0" fontId="38" fillId="2" borderId="0" xfId="75" applyFont="1" applyFill="1" applyAlignment="1">
      <alignment vertical="center"/>
    </xf>
    <xf numFmtId="0" fontId="33" fillId="2" borderId="0" xfId="75" applyFont="1" applyFill="1" applyAlignment="1">
      <alignment vertical="center"/>
    </xf>
    <xf numFmtId="0" fontId="27" fillId="0" borderId="0" xfId="0" applyFont="1" applyAlignment="1">
      <alignment vertical="center"/>
    </xf>
    <xf numFmtId="0" fontId="37" fillId="0" borderId="21" xfId="32" applyFont="1" applyBorder="1" applyAlignment="1">
      <alignment horizontal="left" vertical="center" wrapText="1" indent="1"/>
    </xf>
    <xf numFmtId="0" fontId="37" fillId="0" borderId="20" xfId="32" applyFont="1" applyBorder="1" applyAlignment="1">
      <alignment horizontal="left" vertical="center" wrapText="1" indent="1"/>
    </xf>
    <xf numFmtId="0" fontId="37" fillId="0" borderId="22" xfId="32" applyFont="1" applyBorder="1" applyAlignment="1">
      <alignment horizontal="left" vertical="center" wrapText="1" indent="1"/>
    </xf>
    <xf numFmtId="0" fontId="37" fillId="0" borderId="17" xfId="32" applyFont="1" applyBorder="1" applyAlignment="1">
      <alignment horizontal="left" vertical="center" wrapText="1" indent="1"/>
    </xf>
    <xf numFmtId="0" fontId="37" fillId="0" borderId="16" xfId="32" applyFont="1" applyBorder="1" applyAlignment="1">
      <alignment horizontal="left" vertical="center" wrapText="1" indent="1"/>
    </xf>
    <xf numFmtId="0" fontId="37" fillId="0" borderId="18" xfId="32" applyFont="1" applyBorder="1" applyAlignment="1">
      <alignment horizontal="left" vertical="center" wrapText="1" indent="1"/>
    </xf>
    <xf numFmtId="0" fontId="62" fillId="0" borderId="10" xfId="14" applyFont="1" applyFill="1" applyBorder="1" applyAlignment="1">
      <alignment horizontal="center" vertical="center" wrapText="1"/>
    </xf>
    <xf numFmtId="0" fontId="63" fillId="0" borderId="15" xfId="14" applyFont="1" applyFill="1" applyBorder="1" applyAlignment="1">
      <alignment horizontal="center" vertical="center" wrapText="1"/>
    </xf>
    <xf numFmtId="0" fontId="63" fillId="0" borderId="19" xfId="14" applyFont="1" applyFill="1" applyBorder="1" applyAlignment="1">
      <alignment horizontal="center" vertical="center" wrapText="1"/>
    </xf>
    <xf numFmtId="0" fontId="37" fillId="0" borderId="12" xfId="32" applyFont="1" applyBorder="1" applyAlignment="1">
      <alignment horizontal="left" vertical="center" wrapText="1" indent="1"/>
    </xf>
    <xf numFmtId="0" fontId="37" fillId="0" borderId="13" xfId="32" applyFont="1" applyBorder="1" applyAlignment="1">
      <alignment horizontal="left" vertical="center" wrapText="1" indent="1"/>
    </xf>
    <xf numFmtId="0" fontId="37" fillId="0" borderId="14" xfId="32" applyFont="1" applyBorder="1" applyAlignment="1">
      <alignment horizontal="left" vertical="center" wrapText="1" indent="1"/>
    </xf>
    <xf numFmtId="0" fontId="61" fillId="9" borderId="8" xfId="32" applyFont="1" applyFill="1" applyBorder="1" applyAlignment="1">
      <alignment horizontal="center" vertical="center"/>
    </xf>
    <xf numFmtId="0" fontId="61" fillId="9" borderId="9" xfId="32" applyFont="1" applyFill="1" applyBorder="1" applyAlignment="1">
      <alignment horizontal="center" vertical="center"/>
    </xf>
    <xf numFmtId="0" fontId="60" fillId="0" borderId="0" xfId="32" applyFont="1" applyAlignment="1">
      <alignment horizontal="center" vertical="center"/>
    </xf>
    <xf numFmtId="0" fontId="65" fillId="0" borderId="0" xfId="32" applyFont="1" applyAlignment="1">
      <alignment horizontal="center" vertical="center"/>
    </xf>
    <xf numFmtId="0" fontId="61" fillId="8" borderId="0" xfId="32" applyFont="1" applyFill="1" applyAlignment="1">
      <alignment horizontal="center" vertical="center"/>
    </xf>
    <xf numFmtId="0" fontId="27" fillId="0" borderId="0" xfId="18" applyFont="1" applyAlignment="1">
      <alignment horizontal="center" vertical="center"/>
    </xf>
    <xf numFmtId="0" fontId="27" fillId="0" borderId="0" xfId="32" applyFont="1" applyAlignment="1">
      <alignment horizontal="right"/>
    </xf>
    <xf numFmtId="0" fontId="58" fillId="0" borderId="0" xfId="18" applyFont="1" applyBorder="1" applyAlignment="1">
      <alignment horizontal="left" vertical="center" wrapText="1"/>
    </xf>
    <xf numFmtId="0" fontId="44" fillId="0" borderId="3" xfId="18" applyFont="1" applyBorder="1" applyAlignment="1">
      <alignment horizontal="left" vertical="center" wrapText="1"/>
    </xf>
    <xf numFmtId="0" fontId="44" fillId="0" borderId="1" xfId="18" applyFont="1" applyBorder="1" applyAlignment="1">
      <alignment horizontal="left" vertical="center" wrapText="1"/>
    </xf>
    <xf numFmtId="0" fontId="44" fillId="0" borderId="3" xfId="18" applyFont="1" applyBorder="1" applyAlignment="1">
      <alignment horizontal="right" vertical="center" wrapText="1"/>
    </xf>
    <xf numFmtId="0" fontId="44" fillId="0" borderId="1" xfId="18" applyFont="1" applyBorder="1" applyAlignment="1">
      <alignment horizontal="right" vertical="center" wrapText="1"/>
    </xf>
    <xf numFmtId="0" fontId="31" fillId="0" borderId="3" xfId="18" applyFont="1" applyBorder="1" applyAlignment="1">
      <alignment horizontal="right" vertical="center" wrapText="1"/>
    </xf>
    <xf numFmtId="0" fontId="31" fillId="0" borderId="1" xfId="18" applyFont="1" applyBorder="1" applyAlignment="1">
      <alignment horizontal="right" vertical="center" wrapText="1"/>
    </xf>
    <xf numFmtId="0" fontId="32" fillId="0" borderId="3" xfId="18" applyFont="1" applyFill="1" applyBorder="1" applyAlignment="1">
      <alignment horizontal="right" vertical="center" wrapText="1"/>
    </xf>
    <xf numFmtId="0" fontId="32" fillId="0" borderId="1" xfId="18" applyFont="1" applyFill="1" applyBorder="1" applyAlignment="1">
      <alignment horizontal="right" vertical="center" wrapText="1"/>
    </xf>
    <xf numFmtId="0" fontId="39" fillId="2" borderId="0" xfId="0" applyFont="1" applyFill="1" applyAlignment="1">
      <alignment horizontal="left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9" fillId="2" borderId="0" xfId="38" applyFont="1" applyFill="1" applyAlignment="1">
      <alignment horizontal="left" vertical="center" wrapText="1"/>
    </xf>
    <xf numFmtId="0" fontId="32" fillId="2" borderId="3" xfId="38" applyFont="1" applyFill="1" applyBorder="1" applyAlignment="1">
      <alignment horizontal="left" vertical="center" wrapText="1"/>
    </xf>
    <xf numFmtId="0" fontId="32" fillId="2" borderId="0" xfId="38" applyFont="1" applyFill="1" applyBorder="1" applyAlignment="1">
      <alignment horizontal="left" vertical="center" wrapText="1"/>
    </xf>
    <xf numFmtId="0" fontId="32" fillId="2" borderId="1" xfId="38" applyFont="1" applyFill="1" applyBorder="1" applyAlignment="1">
      <alignment horizontal="left" vertical="center" wrapText="1"/>
    </xf>
    <xf numFmtId="0" fontId="32" fillId="0" borderId="3" xfId="37" applyFont="1" applyFill="1" applyBorder="1" applyAlignment="1">
      <alignment horizontal="right" vertical="center" wrapText="1"/>
    </xf>
    <xf numFmtId="0" fontId="32" fillId="0" borderId="0" xfId="37" applyFont="1" applyFill="1" applyBorder="1" applyAlignment="1">
      <alignment horizontal="right" vertical="center" wrapText="1"/>
    </xf>
    <xf numFmtId="0" fontId="32" fillId="0" borderId="1" xfId="37" applyFont="1" applyFill="1" applyBorder="1" applyAlignment="1">
      <alignment horizontal="right" vertical="center" wrapText="1"/>
    </xf>
    <xf numFmtId="0" fontId="32" fillId="2" borderId="2" xfId="37" applyFont="1" applyFill="1" applyBorder="1" applyAlignment="1">
      <alignment horizontal="center" vertical="center"/>
    </xf>
    <xf numFmtId="0" fontId="32" fillId="2" borderId="2" xfId="38" applyFont="1" applyFill="1" applyBorder="1" applyAlignment="1">
      <alignment horizontal="center" vertical="center" wrapText="1"/>
    </xf>
    <xf numFmtId="0" fontId="32" fillId="2" borderId="2" xfId="37" applyFont="1" applyFill="1" applyBorder="1" applyAlignment="1">
      <alignment horizontal="center" vertical="center" wrapText="1"/>
    </xf>
    <xf numFmtId="0" fontId="32" fillId="0" borderId="2" xfId="37" applyFont="1" applyFill="1" applyBorder="1" applyAlignment="1">
      <alignment horizontal="center" vertical="center" wrapText="1"/>
    </xf>
    <xf numFmtId="0" fontId="31" fillId="2" borderId="2" xfId="41" applyFont="1" applyFill="1" applyBorder="1" applyAlignment="1">
      <alignment horizontal="center" vertical="center" wrapText="1"/>
    </xf>
    <xf numFmtId="0" fontId="56" fillId="2" borderId="0" xfId="42" applyFont="1" applyFill="1" applyAlignment="1">
      <alignment horizontal="left" vertical="center" wrapText="1"/>
    </xf>
    <xf numFmtId="0" fontId="39" fillId="2" borderId="1" xfId="41" applyFont="1" applyFill="1" applyBorder="1" applyAlignment="1">
      <alignment horizontal="justify" vertical="top" wrapText="1"/>
    </xf>
    <xf numFmtId="0" fontId="39" fillId="2" borderId="0" xfId="41" applyFont="1" applyFill="1" applyBorder="1" applyAlignment="1">
      <alignment horizontal="justify" vertical="top" wrapText="1"/>
    </xf>
    <xf numFmtId="0" fontId="12" fillId="2" borderId="0" xfId="41" applyFill="1" applyBorder="1" applyAlignment="1">
      <alignment vertical="top" wrapText="1"/>
    </xf>
    <xf numFmtId="0" fontId="47" fillId="6" borderId="3" xfId="0" applyFont="1" applyFill="1" applyBorder="1" applyAlignment="1">
      <alignment horizontal="left" vertical="center" wrapText="1"/>
    </xf>
    <xf numFmtId="0" fontId="47" fillId="6" borderId="0" xfId="0" applyFont="1" applyFill="1" applyBorder="1" applyAlignment="1">
      <alignment horizontal="left" vertical="center" wrapText="1"/>
    </xf>
    <xf numFmtId="0" fontId="47" fillId="6" borderId="1" xfId="0" applyFont="1" applyFill="1" applyBorder="1" applyAlignment="1">
      <alignment horizontal="left" vertical="center" wrapText="1"/>
    </xf>
    <xf numFmtId="0" fontId="31" fillId="2" borderId="3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center" vertical="center" wrapText="1"/>
    </xf>
    <xf numFmtId="0" fontId="31" fillId="2" borderId="2" xfId="44" applyFont="1" applyFill="1" applyBorder="1" applyAlignment="1">
      <alignment horizontal="center" vertical="center" wrapText="1"/>
    </xf>
    <xf numFmtId="0" fontId="56" fillId="2" borderId="0" xfId="45" applyFont="1" applyFill="1" applyAlignment="1">
      <alignment horizontal="left" vertical="center" wrapText="1"/>
    </xf>
    <xf numFmtId="0" fontId="39" fillId="2" borderId="1" xfId="44" applyFont="1" applyFill="1" applyBorder="1" applyAlignment="1">
      <alignment horizontal="justify" vertical="top" wrapText="1"/>
    </xf>
    <xf numFmtId="0" fontId="39" fillId="2" borderId="0" xfId="44" applyFont="1" applyFill="1" applyBorder="1" applyAlignment="1">
      <alignment horizontal="justify" vertical="top" wrapText="1"/>
    </xf>
    <xf numFmtId="0" fontId="11" fillId="2" borderId="0" xfId="44" applyFill="1" applyBorder="1" applyAlignment="1">
      <alignment vertical="top" wrapText="1"/>
    </xf>
    <xf numFmtId="0" fontId="47" fillId="7" borderId="3" xfId="0" applyFont="1" applyFill="1" applyBorder="1" applyAlignment="1">
      <alignment horizontal="left" vertical="center" wrapText="1"/>
    </xf>
    <xf numFmtId="0" fontId="47" fillId="7" borderId="0" xfId="0" applyFont="1" applyFill="1" applyBorder="1" applyAlignment="1">
      <alignment horizontal="left" vertical="center" wrapText="1"/>
    </xf>
    <xf numFmtId="0" fontId="47" fillId="7" borderId="1" xfId="0" applyFont="1" applyFill="1" applyBorder="1" applyAlignment="1">
      <alignment horizontal="left" vertical="center" wrapText="1"/>
    </xf>
    <xf numFmtId="0" fontId="31" fillId="2" borderId="3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center" vertical="center" wrapText="1"/>
    </xf>
    <xf numFmtId="0" fontId="31" fillId="2" borderId="2" xfId="47" applyFont="1" applyFill="1" applyBorder="1" applyAlignment="1">
      <alignment horizontal="center" vertical="center" wrapText="1"/>
    </xf>
    <xf numFmtId="0" fontId="56" fillId="2" borderId="0" xfId="48" applyFont="1" applyFill="1" applyAlignment="1">
      <alignment horizontal="left" vertical="center" wrapText="1"/>
    </xf>
    <xf numFmtId="0" fontId="39" fillId="2" borderId="1" xfId="47" applyFont="1" applyFill="1" applyBorder="1" applyAlignment="1">
      <alignment horizontal="justify" vertical="top" wrapText="1"/>
    </xf>
    <xf numFmtId="0" fontId="39" fillId="2" borderId="0" xfId="47" applyFont="1" applyFill="1" applyBorder="1" applyAlignment="1">
      <alignment horizontal="justify" vertical="top" wrapText="1"/>
    </xf>
    <xf numFmtId="0" fontId="10" fillId="2" borderId="0" xfId="47" applyFill="1" applyBorder="1" applyAlignment="1">
      <alignment vertical="top" wrapText="1"/>
    </xf>
    <xf numFmtId="0" fontId="31" fillId="2" borderId="3" xfId="47" applyFont="1" applyFill="1" applyBorder="1" applyAlignment="1">
      <alignment horizontal="right" vertical="center" wrapText="1"/>
    </xf>
    <xf numFmtId="0" fontId="31" fillId="2" borderId="0" xfId="47" applyFont="1" applyFill="1" applyBorder="1" applyAlignment="1">
      <alignment horizontal="right" vertical="center" wrapText="1"/>
    </xf>
    <xf numFmtId="0" fontId="31" fillId="2" borderId="1" xfId="47" applyFont="1" applyFill="1" applyBorder="1" applyAlignment="1">
      <alignment horizontal="right" vertical="center" wrapText="1"/>
    </xf>
    <xf numFmtId="0" fontId="31" fillId="2" borderId="2" xfId="50" applyFont="1" applyFill="1" applyBorder="1" applyAlignment="1">
      <alignment horizontal="center" vertical="center" wrapText="1"/>
    </xf>
    <xf numFmtId="0" fontId="56" fillId="2" borderId="0" xfId="51" applyFont="1" applyFill="1" applyAlignment="1">
      <alignment horizontal="left" vertical="center" wrapText="1"/>
    </xf>
    <xf numFmtId="0" fontId="39" fillId="2" borderId="1" xfId="50" applyFont="1" applyFill="1" applyBorder="1" applyAlignment="1">
      <alignment horizontal="justify" vertical="top" wrapText="1"/>
    </xf>
    <xf numFmtId="0" fontId="39" fillId="2" borderId="0" xfId="50" applyFont="1" applyFill="1" applyBorder="1" applyAlignment="1">
      <alignment horizontal="justify" vertical="top" wrapText="1"/>
    </xf>
    <xf numFmtId="0" fontId="9" fillId="2" borderId="0" xfId="50" applyFill="1" applyBorder="1" applyAlignment="1">
      <alignment vertical="top" wrapText="1"/>
    </xf>
    <xf numFmtId="0" fontId="31" fillId="2" borderId="3" xfId="50" applyFont="1" applyFill="1" applyBorder="1" applyAlignment="1">
      <alignment horizontal="right" vertical="center" wrapText="1"/>
    </xf>
    <xf numFmtId="0" fontId="31" fillId="2" borderId="0" xfId="50" applyFont="1" applyFill="1" applyBorder="1" applyAlignment="1">
      <alignment horizontal="right" vertical="center" wrapText="1"/>
    </xf>
    <xf numFmtId="0" fontId="31" fillId="2" borderId="1" xfId="50" applyFont="1" applyFill="1" applyBorder="1" applyAlignment="1">
      <alignment horizontal="right" vertical="center" wrapText="1"/>
    </xf>
    <xf numFmtId="0" fontId="31" fillId="2" borderId="2" xfId="56" applyFont="1" applyFill="1" applyBorder="1" applyAlignment="1">
      <alignment horizontal="center" vertical="center" wrapText="1"/>
    </xf>
    <xf numFmtId="0" fontId="56" fillId="2" borderId="0" xfId="57" applyFont="1" applyFill="1" applyAlignment="1">
      <alignment horizontal="left" vertical="center" wrapText="1"/>
    </xf>
    <xf numFmtId="0" fontId="39" fillId="2" borderId="1" xfId="56" applyFont="1" applyFill="1" applyBorder="1" applyAlignment="1">
      <alignment horizontal="justify" vertical="top" wrapText="1"/>
    </xf>
    <xf numFmtId="0" fontId="39" fillId="2" borderId="0" xfId="56" applyFont="1" applyFill="1" applyBorder="1" applyAlignment="1">
      <alignment horizontal="justify" vertical="top" wrapText="1"/>
    </xf>
    <xf numFmtId="0" fontId="7" fillId="2" borderId="0" xfId="56" applyFill="1" applyBorder="1" applyAlignment="1">
      <alignment vertical="top" wrapText="1"/>
    </xf>
    <xf numFmtId="0" fontId="31" fillId="2" borderId="3" xfId="56" applyFont="1" applyFill="1" applyBorder="1" applyAlignment="1">
      <alignment horizontal="right" vertical="center" wrapText="1"/>
    </xf>
    <xf numFmtId="0" fontId="31" fillId="2" borderId="0" xfId="56" applyFont="1" applyFill="1" applyBorder="1" applyAlignment="1">
      <alignment horizontal="right" vertical="center" wrapText="1"/>
    </xf>
    <xf numFmtId="0" fontId="31" fillId="2" borderId="1" xfId="56" applyFont="1" applyFill="1" applyBorder="1" applyAlignment="1">
      <alignment horizontal="right" vertical="center" wrapText="1"/>
    </xf>
    <xf numFmtId="0" fontId="31" fillId="2" borderId="2" xfId="76" applyFont="1" applyFill="1" applyBorder="1" applyAlignment="1">
      <alignment horizontal="center" vertical="center" wrapText="1"/>
    </xf>
    <xf numFmtId="0" fontId="56" fillId="2" borderId="0" xfId="77" applyFont="1" applyFill="1" applyAlignment="1">
      <alignment horizontal="left" vertical="top" wrapText="1"/>
    </xf>
    <xf numFmtId="0" fontId="39" fillId="2" borderId="1" xfId="76" applyFont="1" applyFill="1" applyBorder="1" applyAlignment="1">
      <alignment horizontal="justify" vertical="top" wrapText="1"/>
    </xf>
    <xf numFmtId="0" fontId="39" fillId="2" borderId="0" xfId="76" applyFont="1" applyFill="1" applyBorder="1" applyAlignment="1">
      <alignment horizontal="justify" vertical="top" wrapText="1"/>
    </xf>
    <xf numFmtId="0" fontId="1" fillId="2" borderId="0" xfId="76" applyFill="1" applyBorder="1" applyAlignment="1">
      <alignment vertical="top" wrapText="1"/>
    </xf>
    <xf numFmtId="0" fontId="31" fillId="2" borderId="3" xfId="76" applyFont="1" applyFill="1" applyBorder="1" applyAlignment="1">
      <alignment horizontal="right" wrapText="1"/>
    </xf>
    <xf numFmtId="0" fontId="31" fillId="2" borderId="0" xfId="76" applyFont="1" applyFill="1" applyBorder="1" applyAlignment="1">
      <alignment horizontal="right" wrapText="1"/>
    </xf>
    <xf numFmtId="0" fontId="31" fillId="2" borderId="1" xfId="76" applyFont="1" applyFill="1" applyBorder="1" applyAlignment="1">
      <alignment horizontal="right" wrapText="1"/>
    </xf>
    <xf numFmtId="0" fontId="32" fillId="2" borderId="3" xfId="59" applyFont="1" applyFill="1" applyBorder="1" applyAlignment="1">
      <alignment horizontal="center" vertical="center" wrapText="1"/>
    </xf>
    <xf numFmtId="0" fontId="32" fillId="2" borderId="1" xfId="59" applyFont="1" applyFill="1" applyBorder="1" applyAlignment="1">
      <alignment horizontal="center" vertical="center" wrapText="1"/>
    </xf>
    <xf numFmtId="0" fontId="39" fillId="2" borderId="0" xfId="59" applyFont="1" applyFill="1" applyAlignment="1">
      <alignment horizontal="left" vertical="top" wrapText="1"/>
    </xf>
    <xf numFmtId="0" fontId="32" fillId="2" borderId="3" xfId="59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left" vertical="center" wrapText="1"/>
    </xf>
    <xf numFmtId="0" fontId="32" fillId="2" borderId="1" xfId="59" applyFont="1" applyFill="1" applyBorder="1" applyAlignment="1">
      <alignment horizontal="left" vertical="center" wrapText="1"/>
    </xf>
    <xf numFmtId="0" fontId="32" fillId="2" borderId="3" xfId="60" applyFont="1" applyFill="1" applyBorder="1" applyAlignment="1">
      <alignment horizontal="right" vertical="center" wrapText="1"/>
    </xf>
    <xf numFmtId="0" fontId="32" fillId="2" borderId="0" xfId="60" applyFont="1" applyFill="1" applyBorder="1" applyAlignment="1">
      <alignment horizontal="right" vertical="center" wrapText="1"/>
    </xf>
    <xf numFmtId="0" fontId="32" fillId="2" borderId="1" xfId="60" applyFont="1" applyFill="1" applyBorder="1" applyAlignment="1">
      <alignment horizontal="right" vertical="center" wrapText="1"/>
    </xf>
    <xf numFmtId="0" fontId="32" fillId="2" borderId="3" xfId="59" applyFont="1" applyFill="1" applyBorder="1" applyAlignment="1">
      <alignment horizontal="center" vertical="center"/>
    </xf>
    <xf numFmtId="0" fontId="32" fillId="2" borderId="1" xfId="59" applyFont="1" applyFill="1" applyBorder="1" applyAlignment="1">
      <alignment horizontal="center" vertical="center"/>
    </xf>
    <xf numFmtId="0" fontId="39" fillId="2" borderId="0" xfId="64" applyFont="1" applyFill="1" applyAlignment="1">
      <alignment horizontal="left" vertical="center" wrapText="1"/>
    </xf>
    <xf numFmtId="0" fontId="39" fillId="2" borderId="1" xfId="62" applyFont="1" applyFill="1" applyBorder="1" applyAlignment="1">
      <alignment horizontal="justify" vertical="top" wrapText="1"/>
    </xf>
    <xf numFmtId="0" fontId="39" fillId="2" borderId="0" xfId="62" applyFont="1" applyFill="1" applyAlignment="1">
      <alignment horizontal="justify" vertical="top" wrapText="1"/>
    </xf>
    <xf numFmtId="0" fontId="67" fillId="2" borderId="0" xfId="62" applyFont="1" applyFill="1" applyAlignment="1">
      <alignment vertical="top" wrapText="1"/>
    </xf>
    <xf numFmtId="0" fontId="32" fillId="6" borderId="3" xfId="0" applyFont="1" applyFill="1" applyBorder="1" applyAlignment="1">
      <alignment horizontal="left" vertical="center" wrapText="1"/>
    </xf>
    <xf numFmtId="0" fontId="32" fillId="6" borderId="0" xfId="0" applyFont="1" applyFill="1" applyAlignment="1">
      <alignment horizontal="left"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32" fillId="2" borderId="3" xfId="62" applyFont="1" applyFill="1" applyBorder="1" applyAlignment="1">
      <alignment horizontal="right" vertical="center" wrapText="1"/>
    </xf>
    <xf numFmtId="0" fontId="32" fillId="2" borderId="0" xfId="62" applyFont="1" applyFill="1" applyAlignment="1">
      <alignment horizontal="right" vertical="center" wrapText="1"/>
    </xf>
    <xf numFmtId="0" fontId="32" fillId="2" borderId="1" xfId="62" applyFont="1" applyFill="1" applyBorder="1" applyAlignment="1">
      <alignment horizontal="right" vertical="center" wrapText="1"/>
    </xf>
    <xf numFmtId="0" fontId="32" fillId="2" borderId="2" xfId="62" applyFont="1" applyFill="1" applyBorder="1" applyAlignment="1">
      <alignment horizontal="center" vertical="center" wrapText="1"/>
    </xf>
    <xf numFmtId="0" fontId="32" fillId="2" borderId="3" xfId="68" applyFont="1" applyFill="1" applyBorder="1" applyAlignment="1">
      <alignment horizontal="right" vertical="center" wrapText="1"/>
    </xf>
    <xf numFmtId="0" fontId="32" fillId="2" borderId="1" xfId="68" applyFont="1" applyFill="1" applyBorder="1" applyAlignment="1">
      <alignment horizontal="right" vertical="center" wrapText="1"/>
    </xf>
    <xf numFmtId="0" fontId="32" fillId="2" borderId="2" xfId="68" applyFont="1" applyFill="1" applyBorder="1" applyAlignment="1">
      <alignment horizontal="center" vertical="center" wrapText="1"/>
    </xf>
    <xf numFmtId="0" fontId="39" fillId="2" borderId="0" xfId="70" applyFont="1" applyFill="1" applyAlignment="1">
      <alignment horizontal="left" vertical="center" wrapText="1"/>
    </xf>
    <xf numFmtId="0" fontId="39" fillId="2" borderId="1" xfId="68" applyFont="1" applyFill="1" applyBorder="1" applyAlignment="1">
      <alignment horizontal="justify" vertical="top" wrapText="1"/>
    </xf>
    <xf numFmtId="0" fontId="39" fillId="2" borderId="0" xfId="68" applyFont="1" applyFill="1" applyAlignment="1">
      <alignment horizontal="justify" vertical="top" wrapText="1"/>
    </xf>
    <xf numFmtId="0" fontId="67" fillId="2" borderId="0" xfId="68" applyFont="1" applyFill="1" applyAlignment="1">
      <alignment vertical="top" wrapText="1"/>
    </xf>
    <xf numFmtId="0" fontId="32" fillId="7" borderId="3" xfId="0" applyFont="1" applyFill="1" applyBorder="1" applyAlignment="1">
      <alignment horizontal="left" vertical="center" wrapText="1"/>
    </xf>
    <xf numFmtId="0" fontId="32" fillId="7" borderId="0" xfId="0" applyFont="1" applyFill="1" applyAlignment="1">
      <alignment horizontal="left" vertical="center" wrapText="1"/>
    </xf>
    <xf numFmtId="0" fontId="32" fillId="7" borderId="1" xfId="0" applyFont="1" applyFill="1" applyBorder="1" applyAlignment="1">
      <alignment horizontal="left" vertical="center" wrapText="1"/>
    </xf>
    <xf numFmtId="0" fontId="32" fillId="2" borderId="0" xfId="68" applyFont="1" applyFill="1" applyAlignment="1">
      <alignment horizontal="right" vertical="center" wrapText="1"/>
    </xf>
  </cellXfs>
  <cellStyles count="79">
    <cellStyle name="Hipervínculo" xfId="30" builtinId="8"/>
    <cellStyle name="Hipervínculo 2" xfId="14" xr:uid="{00000000-0005-0000-0000-000000000000}"/>
    <cellStyle name="Hipervínculo 2 2" xfId="8" xr:uid="{00000000-0005-0000-0000-000001000000}"/>
    <cellStyle name="Millares 2" xfId="2" xr:uid="{00000000-0005-0000-0000-000002000000}"/>
    <cellStyle name="Millares 2 2" xfId="12" xr:uid="{00000000-0005-0000-0000-000003000000}"/>
    <cellStyle name="Millares 3" xfId="7" xr:uid="{00000000-0005-0000-0000-000004000000}"/>
    <cellStyle name="Millares 3 2" xfId="29" xr:uid="{4D05132F-AA51-441C-92E7-AE2D0525667B}"/>
    <cellStyle name="Millares 3 2 2" xfId="65" xr:uid="{F09886DA-2738-4F31-9C40-CCF582E7B00B}"/>
    <cellStyle name="Millares 3 2 3" xfId="71" xr:uid="{18238364-FE6B-4937-B875-CF56021CDF57}"/>
    <cellStyle name="Millares 3 3" xfId="78" xr:uid="{7FFFEDC8-5173-4ABE-9CD7-FE46CA8ECD8A}"/>
    <cellStyle name="Millares 4" xfId="19" xr:uid="{00000000-0005-0000-0000-000005000000}"/>
    <cellStyle name="Normal" xfId="0" builtinId="0"/>
    <cellStyle name="Normal 10" xfId="16" xr:uid="{00000000-0005-0000-0000-000007000000}"/>
    <cellStyle name="Normal 10 2" xfId="26" xr:uid="{6F15F46B-B912-4429-B51E-CCB4F1741EDA}"/>
    <cellStyle name="Normal 2" xfId="1" xr:uid="{00000000-0005-0000-0000-000008000000}"/>
    <cellStyle name="Normal 2 2" xfId="6" xr:uid="{00000000-0005-0000-0000-000009000000}"/>
    <cellStyle name="Normal 2 2 10" xfId="57" xr:uid="{1658325C-C0CC-4120-B83B-674D6AFEF135}"/>
    <cellStyle name="Normal 2 2 11" xfId="59" xr:uid="{0A1A1FDA-8064-46E5-9951-D15C3A3B4A71}"/>
    <cellStyle name="Normal 2 2 12" xfId="77" xr:uid="{34939060-C34B-4FAA-9219-8712C7A93EAD}"/>
    <cellStyle name="Normal 2 2 2" xfId="9" xr:uid="{00000000-0005-0000-0000-00000A000000}"/>
    <cellStyle name="Normal 2 2 3" xfId="27" xr:uid="{80B387E1-6104-4759-B172-E889F1033F4F}"/>
    <cellStyle name="Normal 2 2 3 2" xfId="64" xr:uid="{22016458-4601-41EE-9DDB-A79AA5A4205D}"/>
    <cellStyle name="Normal 2 2 3 3" xfId="70" xr:uid="{07E24572-AEAC-43E7-8674-8BC36EF3FCB5}"/>
    <cellStyle name="Normal 2 2 4" xfId="38" xr:uid="{13E65273-B307-49C7-8F68-7F877C8512E5}"/>
    <cellStyle name="Normal 2 2 5" xfId="42" xr:uid="{6AD0614C-D498-4951-AFD1-0553FC690365}"/>
    <cellStyle name="Normal 2 2 6" xfId="45" xr:uid="{F47EA301-8DA9-4DB8-8BCD-8B0B15E6C9EE}"/>
    <cellStyle name="Normal 2 2 7" xfId="48" xr:uid="{38E2B4DC-C7F7-476E-91F8-A2363AE2D02A}"/>
    <cellStyle name="Normal 2 2 8" xfId="51" xr:uid="{2601196C-2FC0-434A-8398-FF74000C5977}"/>
    <cellStyle name="Normal 2 2 9" xfId="54" xr:uid="{493F989F-E237-493C-899C-F60C667992DB}"/>
    <cellStyle name="Normal 2 3" xfId="20" xr:uid="{8911C9B8-9030-4820-8303-BA258F57877B}"/>
    <cellStyle name="Normal 2 4" xfId="21" xr:uid="{38DDF550-B697-4764-AAAF-2FF1A14F6127}"/>
    <cellStyle name="Normal 3" xfId="5" xr:uid="{00000000-0005-0000-0000-00000B000000}"/>
    <cellStyle name="Normal 3 2" xfId="17" xr:uid="{00000000-0005-0000-0000-00000C000000}"/>
    <cellStyle name="Normal 3 2 10" xfId="52" xr:uid="{9A27EE73-676D-402C-BFAC-6BA287A35DD3}"/>
    <cellStyle name="Normal 3 2 11" xfId="55" xr:uid="{7667EE0F-FF2A-48E7-8B8C-240727462DF8}"/>
    <cellStyle name="Normal 3 2 12" xfId="58" xr:uid="{75F4AFF7-7449-4409-88DD-3DE42ED91E99}"/>
    <cellStyle name="Normal 3 2 13" xfId="61" xr:uid="{CA60ED2B-B98C-41D0-BAAB-E70D7B785D05}"/>
    <cellStyle name="Normal 3 2 14" xfId="67" xr:uid="{0431F237-8893-41EB-8771-D5022678FABB}"/>
    <cellStyle name="Normal 3 2 15" xfId="73" xr:uid="{CCD3BFA6-0363-4F95-836F-2666F1E51468}"/>
    <cellStyle name="Normal 3 2 16" xfId="74" xr:uid="{FBD31CE7-A97B-45D2-998A-49A9AA503D73}"/>
    <cellStyle name="Normal 3 2 17" xfId="75" xr:uid="{C7BD81EF-6DE8-48FD-ADA3-9B922DC90D5E}"/>
    <cellStyle name="Normal 3 2 2" xfId="23" xr:uid="{4665E5CF-3A08-410E-8DBC-F177E1289EB8}"/>
    <cellStyle name="Normal 3 2 3" xfId="25" xr:uid="{194844DE-447D-4746-AA1D-15CA18684C23}"/>
    <cellStyle name="Normal 3 2 3 2" xfId="69" xr:uid="{125257E0-AF8B-4FAD-982D-D8B89CBD1A0B}"/>
    <cellStyle name="Normal 3 2 4" xfId="36" xr:uid="{690ADEE6-4AFD-4045-950F-C2EA0030BA60}"/>
    <cellStyle name="Normal 3 2 5" xfId="37" xr:uid="{3EEA7CC9-9C92-4A93-8D9D-A44535D6060D}"/>
    <cellStyle name="Normal 3 2 6" xfId="40" xr:uid="{E1B6E046-AC55-47F2-9CE6-D95F33887B2C}"/>
    <cellStyle name="Normal 3 2 7" xfId="43" xr:uid="{55271F04-2FDB-4442-9CA7-A73A0BC64AD9}"/>
    <cellStyle name="Normal 3 2 8" xfId="46" xr:uid="{0BC7EA89-C86B-4A13-BFBD-A2DF242369E7}"/>
    <cellStyle name="Normal 3 2 9" xfId="49" xr:uid="{5CD23A99-0F68-4F9D-8992-9B80E007BC29}"/>
    <cellStyle name="Normal 3 3" xfId="22" xr:uid="{921933FC-7972-4BF0-9107-66AA8ED931A7}"/>
    <cellStyle name="Normal 3 4" xfId="28" xr:uid="{2CEE30AB-3928-4137-9D98-9DDB11C74292}"/>
    <cellStyle name="Normal 3 4 2" xfId="63" xr:uid="{3119CC5E-916D-4DE0-A7B0-D6924EBE1EF6}"/>
    <cellStyle name="Normal 4" xfId="11" xr:uid="{00000000-0005-0000-0000-00000D000000}"/>
    <cellStyle name="Normal 4 10" xfId="60" xr:uid="{F773437D-6060-4AD9-99EC-A1FCE984771D}"/>
    <cellStyle name="Normal 4 11" xfId="76" xr:uid="{C29B3A4C-86C0-4F4D-A5DE-4AFD6E250AF9}"/>
    <cellStyle name="Normal 4 2" xfId="24" xr:uid="{960762D1-FDBD-4B69-82BB-778AAF0EF7ED}"/>
    <cellStyle name="Normal 4 2 2" xfId="62" xr:uid="{4457B73D-C84F-40BD-B454-E9B1F80E9867}"/>
    <cellStyle name="Normal 4 2 3" xfId="35" xr:uid="{5C0DADC7-8369-44E8-812A-1C8E251FBB1D}"/>
    <cellStyle name="Normal 4 2 3 2" xfId="66" xr:uid="{C7EA9A82-4F89-4C07-B549-1FDB6BEF3A01}"/>
    <cellStyle name="Normal 4 2 3 3" xfId="72" xr:uid="{307D2725-E989-4DA2-BAF3-B5350E02A49D}"/>
    <cellStyle name="Normal 4 2 4" xfId="68" xr:uid="{8ECEDC15-6559-4919-89BA-C71EF4EA4EC7}"/>
    <cellStyle name="Normal 4 3" xfId="39" xr:uid="{02275114-C6F3-469A-862E-CA6935D70B75}"/>
    <cellStyle name="Normal 4 4" xfId="41" xr:uid="{02A3F6B4-FA94-451D-A8B2-35F6B81074CE}"/>
    <cellStyle name="Normal 4 5" xfId="44" xr:uid="{20D8828E-870D-466B-AAF2-DBEF01BB7E0A}"/>
    <cellStyle name="Normal 4 6" xfId="47" xr:uid="{4819D010-FA46-4F9F-B8D1-707D813F35C4}"/>
    <cellStyle name="Normal 4 7" xfId="50" xr:uid="{F124B988-6915-435B-AA06-6ED32376DC8F}"/>
    <cellStyle name="Normal 4 8" xfId="53" xr:uid="{72C259F3-51D4-48F4-9AAD-FF5418A49D27}"/>
    <cellStyle name="Normal 4 9" xfId="56" xr:uid="{281F9E11-E5D4-4292-A4AD-41C24E15C665}"/>
    <cellStyle name="Normal 5" xfId="13" xr:uid="{00000000-0005-0000-0000-00000E000000}"/>
    <cellStyle name="Normal 6" xfId="18" xr:uid="{00000000-0005-0000-0000-00000F000000}"/>
    <cellStyle name="Normal 7" xfId="31" xr:uid="{C7E7F07F-230F-440B-A4B9-5B3E08F3C9EC}"/>
    <cellStyle name="Normal 7 2" xfId="32" xr:uid="{0AA4F219-A708-4A4E-9BBF-9AFE1D2298C5}"/>
    <cellStyle name="Normal 8" xfId="4" xr:uid="{00000000-0005-0000-0000-000010000000}"/>
    <cellStyle name="Normal 9" xfId="3" xr:uid="{00000000-0005-0000-0000-000011000000}"/>
    <cellStyle name="Normal 9 2" xfId="34" xr:uid="{8AED9811-F237-4573-9CD2-DEE2BC86037E}"/>
    <cellStyle name="Normal 9 3" xfId="33" xr:uid="{583E1943-83E2-433B-A618-A722CE3FD3A7}"/>
    <cellStyle name="Normal_1.8" xfId="15" xr:uid="{00000000-0005-0000-0000-000012000000}"/>
    <cellStyle name="Notas 2" xfId="10" xr:uid="{00000000-0005-0000-0000-000013000000}"/>
  </cellStyles>
  <dxfs count="0"/>
  <tableStyles count="0" defaultTableStyle="TableStyleMedium2" defaultPivotStyle="PivotStyleLight16"/>
  <colors>
    <mruColors>
      <color rgb="FF0033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479604AD-5EC0-4731-BDF6-AB709C293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0C8E5E93-E493-4AFB-80D8-C355684F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956505DB-E00B-4CCB-A75C-9AC8CEC32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85A70879-6B56-4E3A-9E54-73C58295F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65CD-1D75-4FBF-B264-AA213D78BCA1}">
  <dimension ref="A1:O31"/>
  <sheetViews>
    <sheetView showGridLines="0" tabSelected="1" zoomScaleNormal="100" workbookViewId="0"/>
  </sheetViews>
  <sheetFormatPr baseColWidth="10" defaultRowHeight="14.25" x14ac:dyDescent="0.2"/>
  <cols>
    <col min="1" max="1" width="1.7109375" style="76" customWidth="1"/>
    <col min="2" max="2" width="20.28515625" style="76" customWidth="1"/>
    <col min="3" max="3" width="17.42578125" style="76" customWidth="1"/>
    <col min="4" max="14" width="11.42578125" style="76"/>
    <col min="15" max="15" width="1.7109375" style="76" customWidth="1"/>
    <col min="16" max="16384" width="11.42578125" style="76"/>
  </cols>
  <sheetData>
    <row r="1" spans="1:15" x14ac:dyDescent="0.2">
      <c r="B1" s="82"/>
      <c r="C1" s="82"/>
    </row>
    <row r="2" spans="1:15" ht="19.5" customHeight="1" x14ac:dyDescent="0.2">
      <c r="B2" s="500" t="s">
        <v>124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</row>
    <row r="3" spans="1:15" ht="19.5" customHeight="1" x14ac:dyDescent="0.2">
      <c r="B3" s="501" t="s">
        <v>119</v>
      </c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</row>
    <row r="4" spans="1:15" ht="16.5" customHeight="1" x14ac:dyDescent="0.2">
      <c r="A4" s="502" t="s">
        <v>142</v>
      </c>
      <c r="B4" s="502"/>
      <c r="C4" s="502"/>
      <c r="D4" s="502"/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2"/>
    </row>
    <row r="5" spans="1:15" s="81" customFormat="1" ht="6.95" customHeight="1" x14ac:dyDescent="0.2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3"/>
    </row>
    <row r="6" spans="1:15" s="81" customFormat="1" ht="16.5" customHeight="1" x14ac:dyDescent="0.2">
      <c r="A6" s="83"/>
      <c r="B6" s="503" t="s">
        <v>120</v>
      </c>
      <c r="C6" s="503"/>
      <c r="D6" s="503"/>
      <c r="E6" s="503"/>
      <c r="F6" s="503"/>
      <c r="G6" s="503"/>
      <c r="H6" s="503"/>
      <c r="I6" s="503"/>
      <c r="J6" s="503"/>
      <c r="K6" s="503"/>
      <c r="L6" s="503"/>
      <c r="M6" s="503"/>
      <c r="N6" s="503"/>
      <c r="O6" s="83"/>
    </row>
    <row r="7" spans="1:15" ht="19.5" customHeight="1" x14ac:dyDescent="0.2">
      <c r="B7" s="80" t="s">
        <v>141</v>
      </c>
      <c r="C7" s="80"/>
      <c r="D7" s="77"/>
      <c r="E7" s="77"/>
      <c r="F7" s="77"/>
      <c r="G7" s="77"/>
      <c r="H7" s="77"/>
      <c r="I7" s="77"/>
      <c r="J7" s="77"/>
      <c r="K7" s="77"/>
      <c r="L7" s="77"/>
      <c r="M7" s="504" t="str">
        <f>CONCATENATE("Total de tabulados: ", COUNTIF(D10:D29,"&lt;&gt;"))</f>
        <v>Total de tabulados: 12</v>
      </c>
      <c r="N7" s="504"/>
    </row>
    <row r="8" spans="1:15" ht="6.95" customHeight="1" thickBot="1" x14ac:dyDescent="0.25"/>
    <row r="9" spans="1:15" ht="18.75" customHeight="1" thickBot="1" x14ac:dyDescent="0.25">
      <c r="B9" s="79" t="s">
        <v>121</v>
      </c>
      <c r="C9" s="78" t="s">
        <v>122</v>
      </c>
      <c r="D9" s="498" t="s">
        <v>123</v>
      </c>
      <c r="E9" s="498"/>
      <c r="F9" s="498"/>
      <c r="G9" s="498"/>
      <c r="H9" s="498"/>
      <c r="I9" s="498"/>
      <c r="J9" s="498"/>
      <c r="K9" s="498"/>
      <c r="L9" s="498"/>
      <c r="M9" s="498"/>
      <c r="N9" s="499"/>
    </row>
    <row r="10" spans="1:15" ht="39.950000000000003" customHeight="1" x14ac:dyDescent="0.2">
      <c r="B10" s="492" t="s">
        <v>125</v>
      </c>
      <c r="C10" s="72" t="s">
        <v>87</v>
      </c>
      <c r="D10" s="495" t="s">
        <v>0</v>
      </c>
      <c r="E10" s="496"/>
      <c r="F10" s="496"/>
      <c r="G10" s="496"/>
      <c r="H10" s="496"/>
      <c r="I10" s="496"/>
      <c r="J10" s="496"/>
      <c r="K10" s="496"/>
      <c r="L10" s="496"/>
      <c r="M10" s="496"/>
      <c r="N10" s="497"/>
    </row>
    <row r="11" spans="1:15" ht="39.950000000000003" customHeight="1" x14ac:dyDescent="0.2">
      <c r="B11" s="493"/>
      <c r="C11" s="73" t="s">
        <v>88</v>
      </c>
      <c r="D11" s="489" t="s">
        <v>10</v>
      </c>
      <c r="E11" s="490"/>
      <c r="F11" s="490"/>
      <c r="G11" s="490"/>
      <c r="H11" s="490"/>
      <c r="I11" s="490"/>
      <c r="J11" s="490"/>
      <c r="K11" s="490"/>
      <c r="L11" s="490"/>
      <c r="M11" s="490"/>
      <c r="N11" s="491"/>
    </row>
    <row r="12" spans="1:15" ht="51.75" customHeight="1" x14ac:dyDescent="0.2">
      <c r="B12" s="493"/>
      <c r="C12" s="73" t="s">
        <v>89</v>
      </c>
      <c r="D12" s="489" t="s">
        <v>21</v>
      </c>
      <c r="E12" s="490"/>
      <c r="F12" s="490"/>
      <c r="G12" s="490"/>
      <c r="H12" s="490"/>
      <c r="I12" s="490"/>
      <c r="J12" s="490"/>
      <c r="K12" s="490"/>
      <c r="L12" s="490"/>
      <c r="M12" s="490"/>
      <c r="N12" s="491"/>
    </row>
    <row r="13" spans="1:15" ht="39.950000000000003" customHeight="1" x14ac:dyDescent="0.2">
      <c r="B13" s="493"/>
      <c r="C13" s="73" t="s">
        <v>90</v>
      </c>
      <c r="D13" s="489" t="s">
        <v>58</v>
      </c>
      <c r="E13" s="490"/>
      <c r="F13" s="490"/>
      <c r="G13" s="490"/>
      <c r="H13" s="490"/>
      <c r="I13" s="490"/>
      <c r="J13" s="490"/>
      <c r="K13" s="490"/>
      <c r="L13" s="490"/>
      <c r="M13" s="490"/>
      <c r="N13" s="491"/>
    </row>
    <row r="14" spans="1:15" ht="39.950000000000003" customHeight="1" x14ac:dyDescent="0.2">
      <c r="B14" s="493"/>
      <c r="C14" s="73" t="s">
        <v>91</v>
      </c>
      <c r="D14" s="489" t="s">
        <v>63</v>
      </c>
      <c r="E14" s="490"/>
      <c r="F14" s="490"/>
      <c r="G14" s="490"/>
      <c r="H14" s="490"/>
      <c r="I14" s="490"/>
      <c r="J14" s="490"/>
      <c r="K14" s="490"/>
      <c r="L14" s="490"/>
      <c r="M14" s="490"/>
      <c r="N14" s="491"/>
    </row>
    <row r="15" spans="1:15" ht="39.950000000000003" customHeight="1" x14ac:dyDescent="0.2">
      <c r="B15" s="493"/>
      <c r="C15" s="73" t="s">
        <v>92</v>
      </c>
      <c r="D15" s="489" t="s">
        <v>64</v>
      </c>
      <c r="E15" s="490"/>
      <c r="F15" s="490"/>
      <c r="G15" s="490"/>
      <c r="H15" s="490"/>
      <c r="I15" s="490"/>
      <c r="J15" s="490"/>
      <c r="K15" s="490"/>
      <c r="L15" s="490"/>
      <c r="M15" s="490"/>
      <c r="N15" s="491"/>
    </row>
    <row r="16" spans="1:15" ht="39.950000000000003" customHeight="1" x14ac:dyDescent="0.2">
      <c r="B16" s="493"/>
      <c r="C16" s="73" t="s">
        <v>93</v>
      </c>
      <c r="D16" s="489" t="s">
        <v>69</v>
      </c>
      <c r="E16" s="490"/>
      <c r="F16" s="490"/>
      <c r="G16" s="490"/>
      <c r="H16" s="490"/>
      <c r="I16" s="490"/>
      <c r="J16" s="490"/>
      <c r="K16" s="490"/>
      <c r="L16" s="490"/>
      <c r="M16" s="490"/>
      <c r="N16" s="491"/>
    </row>
    <row r="17" spans="2:14" ht="39.950000000000003" customHeight="1" x14ac:dyDescent="0.2">
      <c r="B17" s="493"/>
      <c r="C17" s="73" t="s">
        <v>94</v>
      </c>
      <c r="D17" s="489" t="s">
        <v>70</v>
      </c>
      <c r="E17" s="490"/>
      <c r="F17" s="490"/>
      <c r="G17" s="490"/>
      <c r="H17" s="490"/>
      <c r="I17" s="490"/>
      <c r="J17" s="490"/>
      <c r="K17" s="490"/>
      <c r="L17" s="490"/>
      <c r="M17" s="490"/>
      <c r="N17" s="491"/>
    </row>
    <row r="18" spans="2:14" ht="39.950000000000003" customHeight="1" x14ac:dyDescent="0.2">
      <c r="B18" s="493"/>
      <c r="C18" s="73" t="s">
        <v>95</v>
      </c>
      <c r="D18" s="489" t="s">
        <v>74</v>
      </c>
      <c r="E18" s="490"/>
      <c r="F18" s="490"/>
      <c r="G18" s="490"/>
      <c r="H18" s="490"/>
      <c r="I18" s="490"/>
      <c r="J18" s="490"/>
      <c r="K18" s="490"/>
      <c r="L18" s="490"/>
      <c r="M18" s="490"/>
      <c r="N18" s="491"/>
    </row>
    <row r="19" spans="2:14" ht="39.950000000000003" customHeight="1" x14ac:dyDescent="0.2">
      <c r="B19" s="493"/>
      <c r="C19" s="73" t="s">
        <v>96</v>
      </c>
      <c r="D19" s="489" t="s">
        <v>75</v>
      </c>
      <c r="E19" s="490"/>
      <c r="F19" s="490"/>
      <c r="G19" s="490"/>
      <c r="H19" s="490"/>
      <c r="I19" s="490"/>
      <c r="J19" s="490"/>
      <c r="K19" s="490"/>
      <c r="L19" s="490"/>
      <c r="M19" s="490"/>
      <c r="N19" s="491"/>
    </row>
    <row r="20" spans="2:14" ht="39.950000000000003" customHeight="1" x14ac:dyDescent="0.2">
      <c r="B20" s="493"/>
      <c r="C20" s="73" t="s">
        <v>113</v>
      </c>
      <c r="D20" s="489" t="s">
        <v>111</v>
      </c>
      <c r="E20" s="490"/>
      <c r="F20" s="490"/>
      <c r="G20" s="490"/>
      <c r="H20" s="490"/>
      <c r="I20" s="490"/>
      <c r="J20" s="490"/>
      <c r="K20" s="490"/>
      <c r="L20" s="490"/>
      <c r="M20" s="490"/>
      <c r="N20" s="491"/>
    </row>
    <row r="21" spans="2:14" ht="39.950000000000003" customHeight="1" thickBot="1" x14ac:dyDescent="0.25">
      <c r="B21" s="494"/>
      <c r="C21" s="74" t="s">
        <v>114</v>
      </c>
      <c r="D21" s="486" t="s">
        <v>112</v>
      </c>
      <c r="E21" s="487"/>
      <c r="F21" s="487"/>
      <c r="G21" s="487"/>
      <c r="H21" s="487"/>
      <c r="I21" s="487"/>
      <c r="J21" s="487"/>
      <c r="K21" s="487"/>
      <c r="L21" s="487"/>
      <c r="M21" s="487"/>
      <c r="N21" s="488"/>
    </row>
    <row r="22" spans="2:14" ht="6.95" customHeight="1" x14ac:dyDescent="0.2"/>
    <row r="31" spans="2:14" ht="14.25" customHeight="1" x14ac:dyDescent="0.2"/>
  </sheetData>
  <mergeCells count="19">
    <mergeCell ref="D9:N9"/>
    <mergeCell ref="B2:N2"/>
    <mergeCell ref="B3:N3"/>
    <mergeCell ref="A4:O4"/>
    <mergeCell ref="B6:N6"/>
    <mergeCell ref="M7:N7"/>
    <mergeCell ref="D21:N21"/>
    <mergeCell ref="D18:N18"/>
    <mergeCell ref="D19:N19"/>
    <mergeCell ref="B10:B21"/>
    <mergeCell ref="D10:N10"/>
    <mergeCell ref="D11:N11"/>
    <mergeCell ref="D12:N12"/>
    <mergeCell ref="D13:N13"/>
    <mergeCell ref="D14:N14"/>
    <mergeCell ref="D15:N15"/>
    <mergeCell ref="D16:N16"/>
    <mergeCell ref="D17:N17"/>
    <mergeCell ref="D20:N20"/>
  </mergeCells>
  <hyperlinks>
    <hyperlink ref="C10" location="'Cuadro 1.1'!A1" tooltip="Cuadro 1.1" display="Cuadro 1.1" xr:uid="{DEB6EF70-5257-45C3-9CDC-058B1346749A}"/>
    <hyperlink ref="C11" location="'Cuadro 1.2'!A1" tooltip="Cuadro 1.2" display="Cuadro 1.2" xr:uid="{7601872B-529D-4337-B575-E486D6B9B464}"/>
    <hyperlink ref="C21" location="'Cuadro 1.12'!A1" tooltip="Ir a Cuadro 1.12" display="Cuadro 1.12" xr:uid="{9F2A273B-3388-4FAD-8CCD-D3E99401CFD8}"/>
    <hyperlink ref="C12" location="'Cuadro 1.3'!A1" tooltip="Cuadro 1.3" display="Cuadro 1.3" xr:uid="{7CEDBD5C-7E4C-445C-8E94-DD9A97C2074E}"/>
    <hyperlink ref="C13" location="'Cuadro 1.4'!A1" tooltip="Cuadro 1.4" display="Cuadro 1.4" xr:uid="{3A21A1C7-6A6B-49D3-824F-4D0E8E7AA77C}"/>
    <hyperlink ref="C14" location="'Cuadro 1.5'!A1" tooltip="Cuadro 1.5" display="Cuadro 1.5" xr:uid="{1E0D5813-7D3B-48B9-8931-5075AF6B761C}"/>
    <hyperlink ref="C15" location="'Cuadro 1.6'!A1" tooltip="Cuadro 1.6" display="Cuadro 1.6" xr:uid="{5125EE74-2880-44EC-8456-119D095BA2BE}"/>
    <hyperlink ref="C16" location="'Cuadro 1.7'!A1" tooltip="Cuadro 1.7" display="Cuadro 1.7" xr:uid="{464C8323-EDC1-4893-9BFD-046523330ABD}"/>
    <hyperlink ref="C17" location="'Cuadro 1.8'!A1" tooltip="Cuadro 1.8" display="Cuadro 1.8" xr:uid="{2A382C57-4434-439C-977D-5FE3090E2EBD}"/>
    <hyperlink ref="C20" location="'Cuadro 1.11'!A1" tooltip="Ir a Cuadro 1.11" display="Cuadro 1.11" xr:uid="{7AF1C668-4441-4362-A00E-9E7E0D41F999}"/>
    <hyperlink ref="C18" location="'Cuadro 1.9'!A1" tooltip="Ir a Cuadro 1.9" display="Cuadro 1.9" xr:uid="{0DB84DC2-2ECA-4080-8A8C-835AFC88F858}"/>
    <hyperlink ref="C19" location="'Cuadro 1.10'!A1" tooltip="Ir a Cuadro 1.10" display="Cuadro 1.10" xr:uid="{0562AE30-B614-45D7-9118-A776E81DA00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732C-5911-4005-A443-DDB82C323DCE}">
  <dimension ref="A1:G18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3.85546875" style="5" customWidth="1"/>
    <col min="3" max="3" width="1.7109375" style="5" customWidth="1"/>
    <col min="4" max="6" width="20" style="5" customWidth="1"/>
    <col min="7" max="16384" width="9.140625" style="5"/>
  </cols>
  <sheetData>
    <row r="1" spans="1:7" s="66" customFormat="1" ht="14.1" customHeight="1" x14ac:dyDescent="0.2">
      <c r="B1" s="485" t="s">
        <v>144</v>
      </c>
      <c r="C1" s="459"/>
      <c r="F1" s="85" t="s">
        <v>118</v>
      </c>
    </row>
    <row r="2" spans="1:7" s="66" customFormat="1" ht="6.95" customHeight="1" x14ac:dyDescent="0.2">
      <c r="B2" s="485"/>
      <c r="C2" s="459"/>
    </row>
    <row r="3" spans="1:7" s="66" customFormat="1" ht="14.1" customHeight="1" x14ac:dyDescent="0.2">
      <c r="B3" s="485" t="s">
        <v>142</v>
      </c>
      <c r="C3" s="459"/>
      <c r="D3" s="459"/>
      <c r="E3" s="459"/>
      <c r="F3" s="459"/>
      <c r="G3" s="459"/>
    </row>
    <row r="4" spans="1:7" s="66" customFormat="1" ht="6.95" customHeight="1" x14ac:dyDescent="0.2"/>
    <row r="5" spans="1:7" s="66" customFormat="1" ht="20.100000000000001" customHeight="1" x14ac:dyDescent="0.2">
      <c r="B5" s="505" t="s">
        <v>0</v>
      </c>
      <c r="C5" s="505"/>
      <c r="D5" s="505"/>
      <c r="E5" s="505"/>
      <c r="F5" s="75" t="s">
        <v>87</v>
      </c>
    </row>
    <row r="6" spans="1:7" ht="6" customHeight="1" x14ac:dyDescent="0.2">
      <c r="A6" s="66"/>
      <c r="B6" s="7"/>
      <c r="C6" s="7"/>
      <c r="D6" s="8"/>
      <c r="E6" s="8"/>
      <c r="F6" s="6"/>
    </row>
    <row r="7" spans="1:7" ht="16.5" customHeight="1" x14ac:dyDescent="0.2">
      <c r="A7" s="66"/>
      <c r="B7" s="506" t="s">
        <v>1</v>
      </c>
      <c r="C7" s="457"/>
      <c r="D7" s="508" t="s">
        <v>2</v>
      </c>
      <c r="E7" s="510" t="s">
        <v>3</v>
      </c>
      <c r="F7" s="512" t="s">
        <v>4</v>
      </c>
    </row>
    <row r="8" spans="1:7" s="9" customFormat="1" ht="23.25" customHeight="1" x14ac:dyDescent="0.2">
      <c r="A8" s="66"/>
      <c r="B8" s="507"/>
      <c r="C8" s="458"/>
      <c r="D8" s="509"/>
      <c r="E8" s="511"/>
      <c r="F8" s="513"/>
    </row>
    <row r="9" spans="1:7" s="18" customFormat="1" ht="6" customHeight="1" x14ac:dyDescent="0.2">
      <c r="A9" s="12"/>
      <c r="B9" s="15"/>
      <c r="C9" s="15"/>
      <c r="D9" s="16"/>
      <c r="E9" s="16"/>
      <c r="F9" s="16"/>
      <c r="G9" s="17"/>
    </row>
    <row r="10" spans="1:7" s="11" customFormat="1" ht="11.25" x14ac:dyDescent="0.2">
      <c r="A10" s="67"/>
      <c r="B10" s="10" t="s">
        <v>5</v>
      </c>
      <c r="C10" s="41"/>
      <c r="D10" s="90">
        <v>55147</v>
      </c>
      <c r="E10" s="90">
        <v>53942</v>
      </c>
      <c r="F10" s="90">
        <v>1205</v>
      </c>
    </row>
    <row r="11" spans="1:7" s="11" customFormat="1" ht="9" customHeight="1" x14ac:dyDescent="0.2">
      <c r="A11" s="17"/>
      <c r="B11" s="41"/>
      <c r="C11" s="41"/>
      <c r="D11" s="91"/>
      <c r="E11" s="91"/>
      <c r="F11" s="91"/>
    </row>
    <row r="12" spans="1:7" s="11" customFormat="1" ht="15" customHeight="1" x14ac:dyDescent="0.2">
      <c r="B12" s="22" t="s">
        <v>6</v>
      </c>
      <c r="C12" s="22"/>
      <c r="D12" s="91">
        <v>12727</v>
      </c>
      <c r="E12" s="92">
        <v>12490</v>
      </c>
      <c r="F12" s="91">
        <v>237</v>
      </c>
    </row>
    <row r="13" spans="1:7" s="12" customFormat="1" ht="15" customHeight="1" x14ac:dyDescent="0.2">
      <c r="A13" s="11"/>
      <c r="B13" s="22" t="s">
        <v>7</v>
      </c>
      <c r="C13" s="22"/>
      <c r="D13" s="91">
        <v>8875</v>
      </c>
      <c r="E13" s="91">
        <v>8653</v>
      </c>
      <c r="F13" s="91">
        <v>222</v>
      </c>
    </row>
    <row r="14" spans="1:7" s="12" customFormat="1" ht="15" customHeight="1" x14ac:dyDescent="0.2">
      <c r="A14" s="11"/>
      <c r="B14" s="23" t="s">
        <v>8</v>
      </c>
      <c r="C14" s="23"/>
      <c r="D14" s="91">
        <v>8735</v>
      </c>
      <c r="E14" s="91">
        <v>8505</v>
      </c>
      <c r="F14" s="91">
        <v>230</v>
      </c>
    </row>
    <row r="15" spans="1:7" s="12" customFormat="1" ht="15" customHeight="1" x14ac:dyDescent="0.2">
      <c r="B15" s="23" t="s">
        <v>76</v>
      </c>
      <c r="C15" s="23"/>
      <c r="D15" s="91">
        <v>24810</v>
      </c>
      <c r="E15" s="91">
        <v>24294</v>
      </c>
      <c r="F15" s="91">
        <v>516</v>
      </c>
    </row>
    <row r="16" spans="1:7" s="21" customFormat="1" ht="6" customHeight="1" x14ac:dyDescent="0.2">
      <c r="A16" s="12"/>
      <c r="B16" s="26"/>
      <c r="C16" s="42"/>
      <c r="D16" s="19"/>
      <c r="E16" s="19"/>
      <c r="F16" s="19"/>
      <c r="G16" s="20"/>
    </row>
    <row r="17" spans="1:7" s="21" customFormat="1" ht="6" customHeight="1" x14ac:dyDescent="0.2">
      <c r="A17" s="12"/>
      <c r="B17" s="15"/>
      <c r="C17" s="15"/>
      <c r="D17" s="16"/>
      <c r="E17" s="16"/>
      <c r="F17" s="16"/>
      <c r="G17" s="20"/>
    </row>
    <row r="18" spans="1:7" x14ac:dyDescent="0.2">
      <c r="B18" s="24" t="s">
        <v>9</v>
      </c>
    </row>
  </sheetData>
  <mergeCells count="5">
    <mergeCell ref="B5:E5"/>
    <mergeCell ref="B7:B8"/>
    <mergeCell ref="D7:D8"/>
    <mergeCell ref="E7:E8"/>
    <mergeCell ref="F7:F8"/>
  </mergeCells>
  <hyperlinks>
    <hyperlink ref="F1" location="Índice!A1" tooltip="Ir a ÍNDICE" display="INDICE" xr:uid="{75738419-D3AF-4682-ACAB-53BA41A34E12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835F-C1C4-4B4F-9EC7-A64E58DF4FF4}">
  <dimension ref="A1:Y755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7.5703125" customWidth="1"/>
    <col min="3" max="3" width="1.7109375" customWidth="1"/>
    <col min="4" max="5" width="28.42578125" customWidth="1"/>
  </cols>
  <sheetData>
    <row r="1" spans="1:25" s="69" customFormat="1" ht="14.1" customHeight="1" x14ac:dyDescent="0.2">
      <c r="A1" s="66"/>
      <c r="B1" s="485" t="s">
        <v>144</v>
      </c>
      <c r="C1" s="134"/>
      <c r="D1" s="68"/>
      <c r="E1" s="85" t="s">
        <v>118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 spans="1:25" s="69" customFormat="1" ht="6.95" customHeight="1" x14ac:dyDescent="0.2">
      <c r="A2" s="66"/>
      <c r="B2" s="485"/>
      <c r="C2" s="134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s="69" customFormat="1" ht="14.1" customHeight="1" x14ac:dyDescent="0.2">
      <c r="A3" s="66"/>
      <c r="B3" s="485" t="s">
        <v>142</v>
      </c>
      <c r="C3" s="134"/>
      <c r="D3" s="134"/>
      <c r="E3" s="134"/>
      <c r="F3" s="134"/>
      <c r="G3" s="134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1:25" s="69" customFormat="1" ht="6.95" customHeight="1" x14ac:dyDescent="0.2">
      <c r="A4" s="66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5" s="69" customFormat="1" ht="30" customHeight="1" x14ac:dyDescent="0.2">
      <c r="A5" s="66"/>
      <c r="B5" s="514" t="s">
        <v>10</v>
      </c>
      <c r="C5" s="514"/>
      <c r="D5" s="514"/>
      <c r="E5" s="75" t="s">
        <v>88</v>
      </c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25" ht="6" customHeight="1" x14ac:dyDescent="0.2">
      <c r="A6" s="66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2.75" x14ac:dyDescent="0.2">
      <c r="A7" s="66"/>
      <c r="B7" s="515" t="s">
        <v>11</v>
      </c>
      <c r="C7" s="131"/>
      <c r="D7" s="518" t="s">
        <v>12</v>
      </c>
      <c r="E7" s="51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2.75" x14ac:dyDescent="0.2">
      <c r="A8" s="12"/>
      <c r="B8" s="516"/>
      <c r="C8" s="132"/>
      <c r="D8" s="519"/>
      <c r="E8" s="51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2.75" x14ac:dyDescent="0.2">
      <c r="A9" s="67"/>
      <c r="B9" s="517"/>
      <c r="C9" s="133"/>
      <c r="D9" s="62" t="s">
        <v>13</v>
      </c>
      <c r="E9" s="62" t="s">
        <v>14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6" customHeight="1" x14ac:dyDescent="0.2">
      <c r="A10" s="17"/>
      <c r="B10" s="29"/>
      <c r="C10" s="29"/>
      <c r="D10" s="55"/>
      <c r="E10" s="5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2.75" x14ac:dyDescent="0.2">
      <c r="A11" s="11"/>
      <c r="B11" s="27" t="s">
        <v>15</v>
      </c>
      <c r="C11" s="27"/>
      <c r="D11" s="93">
        <v>55147</v>
      </c>
      <c r="E11" s="96">
        <v>100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6" customHeight="1" x14ac:dyDescent="0.2">
      <c r="A12" s="11"/>
      <c r="B12" s="27"/>
      <c r="C12" s="27"/>
      <c r="D12" s="93"/>
      <c r="E12" s="9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7.25" customHeight="1" x14ac:dyDescent="0.2">
      <c r="A13" s="11"/>
      <c r="B13" s="132" t="s">
        <v>104</v>
      </c>
      <c r="C13" s="132"/>
      <c r="D13" s="93">
        <v>3399</v>
      </c>
      <c r="E13" s="96">
        <v>6.1635265743999996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2.75" x14ac:dyDescent="0.2">
      <c r="A14" s="12"/>
      <c r="B14" s="28" t="s">
        <v>16</v>
      </c>
      <c r="C14" s="28"/>
      <c r="D14" s="94">
        <v>2946</v>
      </c>
      <c r="E14" s="97">
        <v>86.672550750200003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2.75" x14ac:dyDescent="0.2">
      <c r="A15" s="12"/>
      <c r="B15" s="28" t="s">
        <v>17</v>
      </c>
      <c r="C15" s="28"/>
      <c r="D15" s="94">
        <v>896</v>
      </c>
      <c r="E15" s="97">
        <v>26.360694321899999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2.75" x14ac:dyDescent="0.2">
      <c r="A16" s="12"/>
      <c r="B16" s="28" t="s">
        <v>18</v>
      </c>
      <c r="C16" s="28"/>
      <c r="D16" s="94">
        <v>561</v>
      </c>
      <c r="E16" s="97">
        <v>16.504854368899998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">
      <c r="A17" s="21"/>
      <c r="B17" s="29" t="s">
        <v>98</v>
      </c>
      <c r="C17" s="28"/>
      <c r="D17" s="93">
        <v>51748</v>
      </c>
      <c r="E17" s="96">
        <v>93.836473425600005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6" customHeight="1" x14ac:dyDescent="0.2">
      <c r="A18" s="21"/>
      <c r="B18" s="29"/>
      <c r="C18" s="29"/>
      <c r="D18" s="95"/>
      <c r="E18" s="9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3.5" customHeight="1" x14ac:dyDescent="0.2">
      <c r="B19" s="132" t="s">
        <v>105</v>
      </c>
      <c r="C19" s="29"/>
      <c r="D19" s="93">
        <v>661</v>
      </c>
      <c r="E19" s="96">
        <v>1.1986146119000001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3.5" customHeight="1" x14ac:dyDescent="0.2">
      <c r="B20" s="28" t="s">
        <v>16</v>
      </c>
      <c r="C20" s="29"/>
      <c r="D20" s="94">
        <v>359</v>
      </c>
      <c r="E20" s="97">
        <v>54.311649016600001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3.5" customHeight="1" x14ac:dyDescent="0.2">
      <c r="B21" s="28" t="s">
        <v>17</v>
      </c>
      <c r="C21" s="29"/>
      <c r="D21" s="94">
        <v>275</v>
      </c>
      <c r="E21" s="97">
        <v>41.603630862300001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3.5" customHeight="1" x14ac:dyDescent="0.2">
      <c r="B22" s="28" t="s">
        <v>18</v>
      </c>
      <c r="C22" s="29"/>
      <c r="D22" s="94">
        <v>307</v>
      </c>
      <c r="E22" s="97">
        <v>46.444780635400001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3.5" customHeight="1" x14ac:dyDescent="0.2">
      <c r="B23" s="28" t="s">
        <v>20</v>
      </c>
      <c r="C23" s="29"/>
      <c r="D23" s="94">
        <v>163</v>
      </c>
      <c r="E23" s="97">
        <v>24.659606656600001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3.5" customHeight="1" x14ac:dyDescent="0.2">
      <c r="B24" s="29" t="s">
        <v>99</v>
      </c>
      <c r="C24" s="29"/>
      <c r="D24" s="93">
        <v>54486</v>
      </c>
      <c r="E24" s="96">
        <v>98.801385388100002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6" customHeight="1" x14ac:dyDescent="0.2">
      <c r="B25" s="56"/>
      <c r="C25" s="133"/>
      <c r="D25" s="33"/>
      <c r="E25" s="3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6" customHeight="1" x14ac:dyDescent="0.2">
      <c r="B26" s="29"/>
      <c r="C26" s="29"/>
      <c r="D26" s="30"/>
      <c r="E26" s="3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s="87" customFormat="1" ht="11.25" x14ac:dyDescent="0.2">
      <c r="A27" s="12"/>
      <c r="B27" s="50" t="s">
        <v>102</v>
      </c>
      <c r="C27" s="29"/>
      <c r="D27" s="30"/>
      <c r="E27" s="3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spans="1:25" s="87" customFormat="1" ht="11.25" x14ac:dyDescent="0.2">
      <c r="A28" s="12"/>
      <c r="B28" s="50" t="s">
        <v>100</v>
      </c>
      <c r="C28" s="29"/>
      <c r="D28" s="30"/>
      <c r="E28" s="31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spans="1:25" s="87" customFormat="1" ht="11.25" x14ac:dyDescent="0.2">
      <c r="A29" s="12"/>
      <c r="B29" s="50" t="s">
        <v>103</v>
      </c>
      <c r="C29" s="29"/>
      <c r="D29" s="30"/>
      <c r="E29" s="31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spans="1:25" s="87" customFormat="1" ht="11.25" x14ac:dyDescent="0.2">
      <c r="A30" s="12"/>
      <c r="B30" s="50" t="s">
        <v>101</v>
      </c>
      <c r="C30" s="29"/>
      <c r="D30" s="30"/>
      <c r="E30" s="31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spans="1:25" s="87" customFormat="1" ht="11.25" x14ac:dyDescent="0.2">
      <c r="A31" s="12"/>
      <c r="B31" s="24" t="s">
        <v>9</v>
      </c>
      <c r="C31" s="25"/>
      <c r="D31" s="25"/>
      <c r="E31" s="25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13.5" customHeight="1" x14ac:dyDescent="0.2">
      <c r="B32" s="24"/>
      <c r="C32" s="25"/>
      <c r="D32" s="25"/>
      <c r="E32" s="2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2:25" ht="13.5" customHeight="1" x14ac:dyDescent="0.2">
      <c r="B33" s="35"/>
      <c r="C33" s="36"/>
      <c r="D33" s="36"/>
      <c r="E33" s="3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2:25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2:25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2:25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2:25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2:25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2:25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2:25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2:25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2:25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2:25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2:25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2:25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2:25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2:25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2:25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2:25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2:25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2:25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2:25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2:25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2:25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2:25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2:25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2:25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2:25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2:25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2:25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2:25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2:25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2:25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2:25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2:25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2:25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2:25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2:25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2:25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2:25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2:25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2:25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2:25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2:25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2:25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2:25" x14ac:dyDescent="0.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2:25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2:25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2:25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2:25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2:25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2:25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2:25" x14ac:dyDescent="0.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2:25" x14ac:dyDescent="0.2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2:25" x14ac:dyDescent="0.2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2:25" x14ac:dyDescent="0.2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2:25" x14ac:dyDescent="0.2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2:25" x14ac:dyDescent="0.2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2:25" x14ac:dyDescent="0.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2:25" x14ac:dyDescent="0.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2:25" x14ac:dyDescent="0.2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2:25" x14ac:dyDescent="0.2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2:25" x14ac:dyDescent="0.2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2:25" x14ac:dyDescent="0.2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2:25" x14ac:dyDescent="0.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2:25" x14ac:dyDescent="0.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2:25" x14ac:dyDescent="0.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2:25" x14ac:dyDescent="0.2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2:25" x14ac:dyDescent="0.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2:25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2:25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2:25" x14ac:dyDescent="0.2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2:25" x14ac:dyDescent="0.2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2:25" x14ac:dyDescent="0.2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2:25" x14ac:dyDescent="0.2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2:25" x14ac:dyDescent="0.2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2:25" x14ac:dyDescent="0.2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2:25" x14ac:dyDescent="0.2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2:25" x14ac:dyDescent="0.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2:25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2:25" x14ac:dyDescent="0.2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2:25" x14ac:dyDescent="0.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2:25" x14ac:dyDescent="0.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2:25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2:25" x14ac:dyDescent="0.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2:25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2:25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2:25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2:25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2:25" x14ac:dyDescent="0.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2:25" x14ac:dyDescent="0.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2:25" x14ac:dyDescent="0.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2:25" x14ac:dyDescent="0.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2:25" x14ac:dyDescent="0.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2:25" x14ac:dyDescent="0.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2:25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2:25" x14ac:dyDescent="0.2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2:25" x14ac:dyDescent="0.2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2:25" x14ac:dyDescent="0.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2:25" x14ac:dyDescent="0.2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2:25" x14ac:dyDescent="0.2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2:25" x14ac:dyDescent="0.2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2:25" x14ac:dyDescent="0.2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2:25" x14ac:dyDescent="0.2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2:25" x14ac:dyDescent="0.2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2:25" x14ac:dyDescent="0.2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2:25" x14ac:dyDescent="0.2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2:25" x14ac:dyDescent="0.2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2:25" x14ac:dyDescent="0.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2:25" x14ac:dyDescent="0.2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2:25" x14ac:dyDescent="0.2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2:25" x14ac:dyDescent="0.2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2:25" x14ac:dyDescent="0.2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2:25" x14ac:dyDescent="0.2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2:25" x14ac:dyDescent="0.2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2:25" x14ac:dyDescent="0.2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2:25" x14ac:dyDescent="0.2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2:25" x14ac:dyDescent="0.2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2:25" x14ac:dyDescent="0.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2:25" x14ac:dyDescent="0.2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2:25" x14ac:dyDescent="0.2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2:25" x14ac:dyDescent="0.2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2:25" x14ac:dyDescent="0.2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2:25" x14ac:dyDescent="0.2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2:25" x14ac:dyDescent="0.2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2:25" x14ac:dyDescent="0.2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2:25" x14ac:dyDescent="0.2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2:25" x14ac:dyDescent="0.2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2:25" x14ac:dyDescent="0.2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2:25" x14ac:dyDescent="0.2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2:25" x14ac:dyDescent="0.2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2:25" x14ac:dyDescent="0.2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2:25" x14ac:dyDescent="0.2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2:25" x14ac:dyDescent="0.2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2:25" x14ac:dyDescent="0.2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2:25" x14ac:dyDescent="0.2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2:25" x14ac:dyDescent="0.2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2:25" x14ac:dyDescent="0.2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2:25" x14ac:dyDescent="0.2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2:25" x14ac:dyDescent="0.2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2:25" x14ac:dyDescent="0.2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2:25" x14ac:dyDescent="0.2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2:25" x14ac:dyDescent="0.2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2:25" x14ac:dyDescent="0.2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2:25" x14ac:dyDescent="0.2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2:25" x14ac:dyDescent="0.2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2:25" x14ac:dyDescent="0.2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2:25" x14ac:dyDescent="0.2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2:25" x14ac:dyDescent="0.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2:25" x14ac:dyDescent="0.2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2:25" x14ac:dyDescent="0.2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2:25" x14ac:dyDescent="0.2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2:25" x14ac:dyDescent="0.2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2:25" x14ac:dyDescent="0.2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2:25" x14ac:dyDescent="0.2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2:25" x14ac:dyDescent="0.2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2:25" x14ac:dyDescent="0.2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2:25" x14ac:dyDescent="0.2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2:25" x14ac:dyDescent="0.2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2:25" x14ac:dyDescent="0.2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2:25" x14ac:dyDescent="0.2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2:25" x14ac:dyDescent="0.2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2:25" x14ac:dyDescent="0.2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2:25" x14ac:dyDescent="0.2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2:25" x14ac:dyDescent="0.2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2:25" x14ac:dyDescent="0.2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2:25" x14ac:dyDescent="0.2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2:25" x14ac:dyDescent="0.2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2:25" x14ac:dyDescent="0.2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2:25" x14ac:dyDescent="0.2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2:25" x14ac:dyDescent="0.2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2:25" x14ac:dyDescent="0.2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2:25" x14ac:dyDescent="0.2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2:25" x14ac:dyDescent="0.2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2:25" x14ac:dyDescent="0.2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2:25" x14ac:dyDescent="0.2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2:25" x14ac:dyDescent="0.2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2:25" x14ac:dyDescent="0.2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2:25" x14ac:dyDescent="0.2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2:25" x14ac:dyDescent="0.2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2:25" x14ac:dyDescent="0.2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2:25" x14ac:dyDescent="0.2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2:25" x14ac:dyDescent="0.2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2:25" x14ac:dyDescent="0.2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2:25" x14ac:dyDescent="0.2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2:25" x14ac:dyDescent="0.2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2:25" x14ac:dyDescent="0.2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2:25" x14ac:dyDescent="0.2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2:25" x14ac:dyDescent="0.2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2:25" x14ac:dyDescent="0.2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2:25" x14ac:dyDescent="0.2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2:25" x14ac:dyDescent="0.2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x14ac:dyDescent="0.2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x14ac:dyDescent="0.2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x14ac:dyDescent="0.2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x14ac:dyDescent="0.2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x14ac:dyDescent="0.2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x14ac:dyDescent="0.2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x14ac:dyDescent="0.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x14ac:dyDescent="0.2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x14ac:dyDescent="0.2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x14ac:dyDescent="0.2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x14ac:dyDescent="0.2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x14ac:dyDescent="0.2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x14ac:dyDescent="0.2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x14ac:dyDescent="0.2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x14ac:dyDescent="0.2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x14ac:dyDescent="0.2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x14ac:dyDescent="0.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x14ac:dyDescent="0.2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x14ac:dyDescent="0.2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x14ac:dyDescent="0.2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x14ac:dyDescent="0.2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x14ac:dyDescent="0.2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x14ac:dyDescent="0.2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x14ac:dyDescent="0.2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x14ac:dyDescent="0.2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x14ac:dyDescent="0.2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x14ac:dyDescent="0.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x14ac:dyDescent="0.2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x14ac:dyDescent="0.2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x14ac:dyDescent="0.2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x14ac:dyDescent="0.2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x14ac:dyDescent="0.2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x14ac:dyDescent="0.2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x14ac:dyDescent="0.2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x14ac:dyDescent="0.2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x14ac:dyDescent="0.2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x14ac:dyDescent="0.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x14ac:dyDescent="0.2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x14ac:dyDescent="0.2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x14ac:dyDescent="0.2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x14ac:dyDescent="0.2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x14ac:dyDescent="0.2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x14ac:dyDescent="0.2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x14ac:dyDescent="0.2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x14ac:dyDescent="0.2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x14ac:dyDescent="0.2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x14ac:dyDescent="0.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x14ac:dyDescent="0.2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x14ac:dyDescent="0.2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x14ac:dyDescent="0.2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x14ac:dyDescent="0.2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x14ac:dyDescent="0.2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x14ac:dyDescent="0.2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x14ac:dyDescent="0.2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x14ac:dyDescent="0.2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x14ac:dyDescent="0.2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x14ac:dyDescent="0.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x14ac:dyDescent="0.2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x14ac:dyDescent="0.2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x14ac:dyDescent="0.2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x14ac:dyDescent="0.2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x14ac:dyDescent="0.2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x14ac:dyDescent="0.2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x14ac:dyDescent="0.2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x14ac:dyDescent="0.2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x14ac:dyDescent="0.2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x14ac:dyDescent="0.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x14ac:dyDescent="0.2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x14ac:dyDescent="0.2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x14ac:dyDescent="0.2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x14ac:dyDescent="0.2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x14ac:dyDescent="0.2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x14ac:dyDescent="0.2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x14ac:dyDescent="0.2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x14ac:dyDescent="0.2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x14ac:dyDescent="0.2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x14ac:dyDescent="0.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x14ac:dyDescent="0.2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x14ac:dyDescent="0.2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x14ac:dyDescent="0.2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x14ac:dyDescent="0.2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x14ac:dyDescent="0.2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x14ac:dyDescent="0.2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x14ac:dyDescent="0.2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x14ac:dyDescent="0.2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x14ac:dyDescent="0.2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x14ac:dyDescent="0.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x14ac:dyDescent="0.2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x14ac:dyDescent="0.2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x14ac:dyDescent="0.2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x14ac:dyDescent="0.2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x14ac:dyDescent="0.2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x14ac:dyDescent="0.2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x14ac:dyDescent="0.2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x14ac:dyDescent="0.2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x14ac:dyDescent="0.2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x14ac:dyDescent="0.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x14ac:dyDescent="0.2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x14ac:dyDescent="0.2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x14ac:dyDescent="0.2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x14ac:dyDescent="0.2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x14ac:dyDescent="0.2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x14ac:dyDescent="0.2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x14ac:dyDescent="0.2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x14ac:dyDescent="0.2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x14ac:dyDescent="0.2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x14ac:dyDescent="0.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x14ac:dyDescent="0.2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x14ac:dyDescent="0.2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x14ac:dyDescent="0.2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2:25" x14ac:dyDescent="0.2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2:25" x14ac:dyDescent="0.2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2:25" x14ac:dyDescent="0.2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2:25" x14ac:dyDescent="0.2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2:25" x14ac:dyDescent="0.2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2:25" x14ac:dyDescent="0.2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2:25" x14ac:dyDescent="0.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2:25" x14ac:dyDescent="0.2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2:25" x14ac:dyDescent="0.2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2:25" x14ac:dyDescent="0.2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2:25" x14ac:dyDescent="0.2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2:25" x14ac:dyDescent="0.2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2:25" x14ac:dyDescent="0.2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2:25" x14ac:dyDescent="0.2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2:25" x14ac:dyDescent="0.2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2:25" x14ac:dyDescent="0.2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2:25" x14ac:dyDescent="0.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2:25" x14ac:dyDescent="0.2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2:25" x14ac:dyDescent="0.2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2:25" x14ac:dyDescent="0.2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2:25" x14ac:dyDescent="0.2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2:25" x14ac:dyDescent="0.2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2:25" x14ac:dyDescent="0.2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2:25" x14ac:dyDescent="0.2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2:25" x14ac:dyDescent="0.2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2:25" x14ac:dyDescent="0.2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2:25" x14ac:dyDescent="0.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2:25" x14ac:dyDescent="0.2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2:25" x14ac:dyDescent="0.2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2:25" x14ac:dyDescent="0.2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2:25" x14ac:dyDescent="0.2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2:25" x14ac:dyDescent="0.2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2:25" x14ac:dyDescent="0.2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2:25" x14ac:dyDescent="0.2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2:25" x14ac:dyDescent="0.2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2:25" x14ac:dyDescent="0.2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2:25" x14ac:dyDescent="0.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2:25" x14ac:dyDescent="0.2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2:25" x14ac:dyDescent="0.2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2:25" x14ac:dyDescent="0.2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2:25" x14ac:dyDescent="0.2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2:25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2:25" x14ac:dyDescent="0.2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2:25" x14ac:dyDescent="0.2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2:25" x14ac:dyDescent="0.2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2:25" x14ac:dyDescent="0.2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2:25" x14ac:dyDescent="0.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2:25" x14ac:dyDescent="0.2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2:25" x14ac:dyDescent="0.2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2:25" x14ac:dyDescent="0.2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2:25" x14ac:dyDescent="0.2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2:25" x14ac:dyDescent="0.2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2:25" x14ac:dyDescent="0.2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2:25" x14ac:dyDescent="0.2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2:25" x14ac:dyDescent="0.2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2:25" x14ac:dyDescent="0.2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2:25" x14ac:dyDescent="0.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2:25" x14ac:dyDescent="0.2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2:25" x14ac:dyDescent="0.2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2:25" x14ac:dyDescent="0.2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2:25" x14ac:dyDescent="0.2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2:25" x14ac:dyDescent="0.2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2:25" x14ac:dyDescent="0.2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2:25" x14ac:dyDescent="0.2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2:25" x14ac:dyDescent="0.2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2:25" x14ac:dyDescent="0.2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2:25" x14ac:dyDescent="0.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2:25" x14ac:dyDescent="0.2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2:25" x14ac:dyDescent="0.2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2:25" x14ac:dyDescent="0.2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2:25" x14ac:dyDescent="0.2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2:25" x14ac:dyDescent="0.2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2:25" x14ac:dyDescent="0.2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2:25" x14ac:dyDescent="0.2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2:25" x14ac:dyDescent="0.2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2:25" x14ac:dyDescent="0.2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2:25" x14ac:dyDescent="0.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2:25" x14ac:dyDescent="0.2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2:25" x14ac:dyDescent="0.2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2:25" x14ac:dyDescent="0.2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2:25" x14ac:dyDescent="0.2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2:25" x14ac:dyDescent="0.2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2:25" x14ac:dyDescent="0.2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2:25" x14ac:dyDescent="0.2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2:25" x14ac:dyDescent="0.2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2:25" x14ac:dyDescent="0.2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2:25" x14ac:dyDescent="0.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2:25" x14ac:dyDescent="0.2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2:25" x14ac:dyDescent="0.2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2:25" x14ac:dyDescent="0.2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2:25" x14ac:dyDescent="0.2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2:25" x14ac:dyDescent="0.2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2:25" x14ac:dyDescent="0.2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2:25" x14ac:dyDescent="0.2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2:25" x14ac:dyDescent="0.2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2:25" x14ac:dyDescent="0.2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2:25" x14ac:dyDescent="0.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2:25" x14ac:dyDescent="0.2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2:25" x14ac:dyDescent="0.2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2:25" x14ac:dyDescent="0.2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2:25" x14ac:dyDescent="0.2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2:25" x14ac:dyDescent="0.2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2:25" x14ac:dyDescent="0.2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2:25" x14ac:dyDescent="0.2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2:25" x14ac:dyDescent="0.2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2:25" x14ac:dyDescent="0.2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2:25" x14ac:dyDescent="0.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2:25" x14ac:dyDescent="0.2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2:25" x14ac:dyDescent="0.2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2:25" x14ac:dyDescent="0.2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2:25" x14ac:dyDescent="0.2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2:25" x14ac:dyDescent="0.2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2:25" x14ac:dyDescent="0.2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2:25" x14ac:dyDescent="0.2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2:25" x14ac:dyDescent="0.2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2:25" x14ac:dyDescent="0.2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2:25" x14ac:dyDescent="0.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2:25" x14ac:dyDescent="0.2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2:25" x14ac:dyDescent="0.2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2:25" x14ac:dyDescent="0.2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2:25" x14ac:dyDescent="0.2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2:25" x14ac:dyDescent="0.2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2:25" x14ac:dyDescent="0.2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2:25" x14ac:dyDescent="0.2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2:25" x14ac:dyDescent="0.2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2:25" x14ac:dyDescent="0.2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2:25" x14ac:dyDescent="0.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2:25" x14ac:dyDescent="0.2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2:25" x14ac:dyDescent="0.2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2:25" x14ac:dyDescent="0.2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2:25" x14ac:dyDescent="0.2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2:25" x14ac:dyDescent="0.2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2:25" x14ac:dyDescent="0.2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2:25" x14ac:dyDescent="0.2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2:25" x14ac:dyDescent="0.2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2:25" x14ac:dyDescent="0.2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2:25" x14ac:dyDescent="0.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2:25" x14ac:dyDescent="0.2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2:25" x14ac:dyDescent="0.2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2:25" x14ac:dyDescent="0.2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2:25" x14ac:dyDescent="0.2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2:25" x14ac:dyDescent="0.2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2:25" x14ac:dyDescent="0.2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2:25" x14ac:dyDescent="0.2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2:25" x14ac:dyDescent="0.2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2:25" x14ac:dyDescent="0.2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2:25" x14ac:dyDescent="0.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2:25" x14ac:dyDescent="0.2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2:25" x14ac:dyDescent="0.2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2:25" x14ac:dyDescent="0.2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2:25" x14ac:dyDescent="0.2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2:25" x14ac:dyDescent="0.2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2:25" x14ac:dyDescent="0.2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2:25" x14ac:dyDescent="0.2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2:25" x14ac:dyDescent="0.2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2:25" x14ac:dyDescent="0.2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2:25" x14ac:dyDescent="0.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2:25" x14ac:dyDescent="0.2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2:25" x14ac:dyDescent="0.2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2:25" x14ac:dyDescent="0.2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2:25" x14ac:dyDescent="0.2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2:25" x14ac:dyDescent="0.2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2:25" x14ac:dyDescent="0.2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2:25" x14ac:dyDescent="0.2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2:25" x14ac:dyDescent="0.2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2:25" x14ac:dyDescent="0.2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2:25" x14ac:dyDescent="0.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2:25" x14ac:dyDescent="0.2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2:25" x14ac:dyDescent="0.2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2:25" x14ac:dyDescent="0.2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2:25" x14ac:dyDescent="0.2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2:25" x14ac:dyDescent="0.2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2:25" x14ac:dyDescent="0.2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2:25" x14ac:dyDescent="0.2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2:25" x14ac:dyDescent="0.2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2:25" x14ac:dyDescent="0.2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2:25" x14ac:dyDescent="0.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2:25" x14ac:dyDescent="0.2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2:25" x14ac:dyDescent="0.2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2:25" x14ac:dyDescent="0.2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2:25" x14ac:dyDescent="0.2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2:25" x14ac:dyDescent="0.2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2:25" x14ac:dyDescent="0.2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2:25" x14ac:dyDescent="0.2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2:25" x14ac:dyDescent="0.2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2:25" x14ac:dyDescent="0.2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2:25" x14ac:dyDescent="0.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2:25" x14ac:dyDescent="0.2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2:25" x14ac:dyDescent="0.2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2:25" x14ac:dyDescent="0.2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2:25" x14ac:dyDescent="0.2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2:25" x14ac:dyDescent="0.2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2:25" x14ac:dyDescent="0.2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2:25" x14ac:dyDescent="0.2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2:25" x14ac:dyDescent="0.2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2:25" x14ac:dyDescent="0.2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2:25" x14ac:dyDescent="0.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2:25" x14ac:dyDescent="0.2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2:25" x14ac:dyDescent="0.2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2:25" x14ac:dyDescent="0.2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2:25" x14ac:dyDescent="0.2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2:25" x14ac:dyDescent="0.2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2:25" x14ac:dyDescent="0.2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2:25" x14ac:dyDescent="0.2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2:25" x14ac:dyDescent="0.2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2:25" x14ac:dyDescent="0.2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2:25" x14ac:dyDescent="0.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2:25" x14ac:dyDescent="0.2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2:25" x14ac:dyDescent="0.2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2:25" x14ac:dyDescent="0.2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2:25" x14ac:dyDescent="0.2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2:25" x14ac:dyDescent="0.2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2:25" x14ac:dyDescent="0.2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2:25" x14ac:dyDescent="0.2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2:25" x14ac:dyDescent="0.2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2:25" x14ac:dyDescent="0.2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2:25" x14ac:dyDescent="0.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2:25" x14ac:dyDescent="0.2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2:25" x14ac:dyDescent="0.2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2:25" x14ac:dyDescent="0.2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2:25" x14ac:dyDescent="0.2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2:25" x14ac:dyDescent="0.2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2:25" x14ac:dyDescent="0.2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2:25" x14ac:dyDescent="0.2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2:25" x14ac:dyDescent="0.2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2:25" x14ac:dyDescent="0.2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2:25" x14ac:dyDescent="0.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2:25" x14ac:dyDescent="0.2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2:25" x14ac:dyDescent="0.2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2:25" x14ac:dyDescent="0.2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2:25" x14ac:dyDescent="0.2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2:25" x14ac:dyDescent="0.2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2:25" x14ac:dyDescent="0.2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2:25" x14ac:dyDescent="0.2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2:25" x14ac:dyDescent="0.2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2:25" x14ac:dyDescent="0.2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2:25" x14ac:dyDescent="0.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2:25" x14ac:dyDescent="0.2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2:25" x14ac:dyDescent="0.2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2:25" x14ac:dyDescent="0.2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2:25" x14ac:dyDescent="0.2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2:25" x14ac:dyDescent="0.2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2:25" x14ac:dyDescent="0.2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2:25" x14ac:dyDescent="0.2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2:25" x14ac:dyDescent="0.2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2:25" x14ac:dyDescent="0.2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2:25" x14ac:dyDescent="0.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2:25" x14ac:dyDescent="0.2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2:25" x14ac:dyDescent="0.2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2:25" x14ac:dyDescent="0.2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2:25" x14ac:dyDescent="0.2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2:25" x14ac:dyDescent="0.2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2:25" x14ac:dyDescent="0.2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2:25" x14ac:dyDescent="0.2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2:25" x14ac:dyDescent="0.2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2:25" x14ac:dyDescent="0.2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2:25" x14ac:dyDescent="0.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2:25" x14ac:dyDescent="0.2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2:25" x14ac:dyDescent="0.2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2:25" x14ac:dyDescent="0.2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2:25" x14ac:dyDescent="0.2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2:25" x14ac:dyDescent="0.2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2:25" x14ac:dyDescent="0.2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2:25" x14ac:dyDescent="0.2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2:25" x14ac:dyDescent="0.2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2:25" x14ac:dyDescent="0.2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2:25" x14ac:dyDescent="0.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2:25" x14ac:dyDescent="0.2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2:25" x14ac:dyDescent="0.2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2:25" x14ac:dyDescent="0.2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2:25" x14ac:dyDescent="0.2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2:25" x14ac:dyDescent="0.2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2:25" x14ac:dyDescent="0.2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2:25" x14ac:dyDescent="0.2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2:25" x14ac:dyDescent="0.2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2:25" x14ac:dyDescent="0.2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2:25" x14ac:dyDescent="0.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2:25" x14ac:dyDescent="0.2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2:25" x14ac:dyDescent="0.2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2:25" x14ac:dyDescent="0.2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2:25" x14ac:dyDescent="0.2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2:25" x14ac:dyDescent="0.2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2:25" x14ac:dyDescent="0.2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2:25" x14ac:dyDescent="0.2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2:25" x14ac:dyDescent="0.2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2:25" x14ac:dyDescent="0.2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2:25" x14ac:dyDescent="0.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2:25" x14ac:dyDescent="0.2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2:25" x14ac:dyDescent="0.2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2:25" x14ac:dyDescent="0.2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2:25" x14ac:dyDescent="0.2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2:25" x14ac:dyDescent="0.2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2:25" x14ac:dyDescent="0.2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2:25" x14ac:dyDescent="0.2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2:25" x14ac:dyDescent="0.2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2:25" x14ac:dyDescent="0.2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2:25" x14ac:dyDescent="0.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2:25" x14ac:dyDescent="0.2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2:25" x14ac:dyDescent="0.2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2:25" x14ac:dyDescent="0.2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2:25" x14ac:dyDescent="0.2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2:25" x14ac:dyDescent="0.2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2:25" x14ac:dyDescent="0.2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2:25" x14ac:dyDescent="0.2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2:25" x14ac:dyDescent="0.2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2:25" x14ac:dyDescent="0.2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2:25" x14ac:dyDescent="0.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2:25" x14ac:dyDescent="0.2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2:25" x14ac:dyDescent="0.2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2:25" x14ac:dyDescent="0.2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2:25" x14ac:dyDescent="0.2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2:25" x14ac:dyDescent="0.2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2:25" x14ac:dyDescent="0.2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2:25" x14ac:dyDescent="0.2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2:25" x14ac:dyDescent="0.2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2:25" x14ac:dyDescent="0.2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2:25" x14ac:dyDescent="0.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2:25" x14ac:dyDescent="0.2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2:25" x14ac:dyDescent="0.2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2:25" x14ac:dyDescent="0.2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2:25" x14ac:dyDescent="0.2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2:25" x14ac:dyDescent="0.2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2:25" x14ac:dyDescent="0.2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2:25" x14ac:dyDescent="0.2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2:25" x14ac:dyDescent="0.2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2:25" x14ac:dyDescent="0.2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2:25" x14ac:dyDescent="0.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2:25" x14ac:dyDescent="0.2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2:25" x14ac:dyDescent="0.2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2:25" x14ac:dyDescent="0.2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2:25" x14ac:dyDescent="0.2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2:25" x14ac:dyDescent="0.2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2:25" x14ac:dyDescent="0.2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2:25" x14ac:dyDescent="0.2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2:25" x14ac:dyDescent="0.2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2:25" x14ac:dyDescent="0.2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2:25" x14ac:dyDescent="0.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2:25" x14ac:dyDescent="0.2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2:25" x14ac:dyDescent="0.2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2:25" x14ac:dyDescent="0.2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2:25" x14ac:dyDescent="0.2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2:25" x14ac:dyDescent="0.2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2:25" x14ac:dyDescent="0.2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2:25" x14ac:dyDescent="0.2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2:25" x14ac:dyDescent="0.2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2:25" x14ac:dyDescent="0.2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2:25" x14ac:dyDescent="0.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2:25" x14ac:dyDescent="0.2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2:25" x14ac:dyDescent="0.2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2:25" x14ac:dyDescent="0.2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2:25" x14ac:dyDescent="0.2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2:25" x14ac:dyDescent="0.2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2:25" x14ac:dyDescent="0.2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2:25" x14ac:dyDescent="0.2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2:25" x14ac:dyDescent="0.2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2:25" x14ac:dyDescent="0.2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2:25" x14ac:dyDescent="0.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2:25" x14ac:dyDescent="0.2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2:25" x14ac:dyDescent="0.2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2:25" x14ac:dyDescent="0.2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2:25" x14ac:dyDescent="0.2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2:25" x14ac:dyDescent="0.2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2:25" x14ac:dyDescent="0.2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2:25" x14ac:dyDescent="0.2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2:25" x14ac:dyDescent="0.2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2:25" x14ac:dyDescent="0.2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2:25" x14ac:dyDescent="0.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2:25" x14ac:dyDescent="0.2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2:25" x14ac:dyDescent="0.2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2:25" x14ac:dyDescent="0.2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2:25" x14ac:dyDescent="0.2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2:25" x14ac:dyDescent="0.2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2:25" x14ac:dyDescent="0.2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2:25" x14ac:dyDescent="0.2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2:25" x14ac:dyDescent="0.2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2:25" x14ac:dyDescent="0.2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2:25" x14ac:dyDescent="0.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2:25" x14ac:dyDescent="0.2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2:25" x14ac:dyDescent="0.2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2:25" x14ac:dyDescent="0.2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2:25" x14ac:dyDescent="0.2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2:25" x14ac:dyDescent="0.2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2:25" x14ac:dyDescent="0.2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2:25" x14ac:dyDescent="0.2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2:25" x14ac:dyDescent="0.2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2:25" x14ac:dyDescent="0.2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2:25" x14ac:dyDescent="0.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2:25" x14ac:dyDescent="0.2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2:25" x14ac:dyDescent="0.2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2:25" x14ac:dyDescent="0.2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2:25" x14ac:dyDescent="0.2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2:25" x14ac:dyDescent="0.2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2:25" x14ac:dyDescent="0.2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2:25" x14ac:dyDescent="0.2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2:25" x14ac:dyDescent="0.2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2:25" x14ac:dyDescent="0.2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2:25" x14ac:dyDescent="0.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2:25" x14ac:dyDescent="0.2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2:25" x14ac:dyDescent="0.2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2:25" x14ac:dyDescent="0.2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2:25" x14ac:dyDescent="0.2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2:25" x14ac:dyDescent="0.2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2:25" x14ac:dyDescent="0.2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2:25" x14ac:dyDescent="0.2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2:25" x14ac:dyDescent="0.2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2:25" x14ac:dyDescent="0.2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2:25" x14ac:dyDescent="0.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2:25" x14ac:dyDescent="0.2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2:25" x14ac:dyDescent="0.2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2:25" x14ac:dyDescent="0.2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2:25" x14ac:dyDescent="0.2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2:25" x14ac:dyDescent="0.2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2:25" x14ac:dyDescent="0.2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2:25" x14ac:dyDescent="0.2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2:25" x14ac:dyDescent="0.2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2:25" x14ac:dyDescent="0.2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2:25" x14ac:dyDescent="0.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2:25" x14ac:dyDescent="0.2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2:25" x14ac:dyDescent="0.2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2:25" x14ac:dyDescent="0.2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</sheetData>
  <mergeCells count="3">
    <mergeCell ref="B5:D5"/>
    <mergeCell ref="B7:B9"/>
    <mergeCell ref="D7:E8"/>
  </mergeCells>
  <hyperlinks>
    <hyperlink ref="E1" location="Índice!A1" tooltip="Ir a ÍNDICE" display="INDICE" xr:uid="{9F35988F-EFAE-47A9-B5DC-F41D78D812BE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5EB4-2535-46CC-A5F3-0F1A573405B5}">
  <sheetPr>
    <pageSetUpPr fitToPage="1"/>
  </sheetPr>
  <dimension ref="A1:AA53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1.140625" style="147" customWidth="1"/>
    <col min="3" max="3" width="1.7109375" style="163" customWidth="1" collapsed="1"/>
    <col min="4" max="4" width="18.7109375" style="147" customWidth="1" collapsed="1"/>
    <col min="5" max="5" width="1.7109375" style="147" customWidth="1" collapsed="1"/>
    <col min="6" max="7" width="11.42578125" style="147" customWidth="1" collapsed="1"/>
    <col min="8" max="8" width="1.7109375" style="147" customWidth="1" collapsed="1"/>
    <col min="9" max="10" width="11.42578125" style="147" customWidth="1" collapsed="1"/>
    <col min="11" max="11" width="1.7109375" style="147" customWidth="1" collapsed="1"/>
    <col min="12" max="13" width="11.42578125" style="147" customWidth="1" collapsed="1"/>
    <col min="14" max="14" width="1.7109375" style="147" customWidth="1" collapsed="1"/>
    <col min="15" max="15" width="11.42578125" style="147" customWidth="1" collapsed="1"/>
    <col min="16" max="16" width="11.42578125" style="147"/>
    <col min="17" max="17" width="1.7109375" style="147" customWidth="1"/>
    <col min="18" max="18" width="16.42578125" style="147" customWidth="1"/>
    <col min="19" max="27" width="11.42578125" style="147"/>
    <col min="28" max="16384" width="11.42578125" style="147" collapsed="1"/>
  </cols>
  <sheetData>
    <row r="1" spans="1:19" s="136" customFormat="1" ht="14.1" customHeight="1" x14ac:dyDescent="0.2">
      <c r="A1" s="66"/>
      <c r="B1" s="485" t="s">
        <v>144</v>
      </c>
      <c r="C1" s="135"/>
      <c r="S1" s="85" t="s">
        <v>118</v>
      </c>
    </row>
    <row r="2" spans="1:19" s="136" customFormat="1" ht="6.95" customHeight="1" x14ac:dyDescent="0.2">
      <c r="A2" s="66"/>
      <c r="B2" s="485"/>
      <c r="C2" s="135"/>
    </row>
    <row r="3" spans="1:19" s="136" customFormat="1" ht="14.1" customHeight="1" x14ac:dyDescent="0.2">
      <c r="A3" s="66"/>
      <c r="B3" s="485" t="s">
        <v>142</v>
      </c>
      <c r="C3" s="137"/>
      <c r="D3" s="137"/>
      <c r="E3" s="137"/>
      <c r="F3" s="137"/>
      <c r="G3" s="137"/>
    </row>
    <row r="4" spans="1:19" s="136" customFormat="1" ht="6.95" customHeight="1" x14ac:dyDescent="0.2">
      <c r="A4" s="66"/>
      <c r="C4" s="135"/>
    </row>
    <row r="5" spans="1:19" s="139" customFormat="1" ht="20.100000000000001" customHeight="1" x14ac:dyDescent="0.2">
      <c r="A5" s="66"/>
      <c r="B5" s="520" t="s">
        <v>21</v>
      </c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138"/>
      <c r="S5" s="75" t="s">
        <v>89</v>
      </c>
    </row>
    <row r="6" spans="1:19" s="145" customFormat="1" ht="6" customHeight="1" x14ac:dyDescent="0.2">
      <c r="A6" s="66"/>
      <c r="B6" s="140"/>
      <c r="C6" s="141"/>
      <c r="D6" s="142"/>
      <c r="E6" s="142"/>
      <c r="F6" s="142"/>
      <c r="G6" s="143"/>
      <c r="H6" s="143"/>
      <c r="I6" s="143"/>
      <c r="J6" s="144"/>
      <c r="K6" s="144"/>
      <c r="L6" s="144"/>
      <c r="M6" s="144"/>
      <c r="N6" s="144"/>
      <c r="O6" s="144"/>
      <c r="P6" s="144"/>
      <c r="Q6" s="144"/>
      <c r="R6" s="144"/>
      <c r="S6" s="144"/>
    </row>
    <row r="7" spans="1:19" ht="15" customHeight="1" x14ac:dyDescent="0.2">
      <c r="A7" s="66"/>
      <c r="B7" s="521" t="s">
        <v>22</v>
      </c>
      <c r="C7" s="521"/>
      <c r="D7" s="524" t="s">
        <v>23</v>
      </c>
      <c r="E7" s="146"/>
      <c r="F7" s="527" t="s">
        <v>128</v>
      </c>
      <c r="G7" s="527"/>
      <c r="H7" s="527"/>
      <c r="I7" s="527"/>
      <c r="J7" s="527"/>
      <c r="K7" s="527"/>
      <c r="L7" s="527"/>
      <c r="M7" s="527"/>
      <c r="N7" s="527"/>
      <c r="O7" s="527"/>
      <c r="P7" s="527"/>
      <c r="Q7" s="527"/>
      <c r="R7" s="527"/>
      <c r="S7" s="527"/>
    </row>
    <row r="8" spans="1:19" ht="21.75" customHeight="1" x14ac:dyDescent="0.2">
      <c r="A8" s="66"/>
      <c r="B8" s="522"/>
      <c r="C8" s="522"/>
      <c r="D8" s="525"/>
      <c r="E8" s="148"/>
      <c r="F8" s="528" t="s">
        <v>24</v>
      </c>
      <c r="G8" s="528"/>
      <c r="H8" s="149"/>
      <c r="I8" s="529" t="s">
        <v>129</v>
      </c>
      <c r="J8" s="529"/>
      <c r="K8" s="149"/>
      <c r="L8" s="529" t="s">
        <v>130</v>
      </c>
      <c r="M8" s="529"/>
      <c r="N8" s="150"/>
      <c r="O8" s="529" t="s">
        <v>25</v>
      </c>
      <c r="P8" s="529"/>
      <c r="Q8" s="151"/>
      <c r="R8" s="530" t="s">
        <v>97</v>
      </c>
      <c r="S8" s="530"/>
    </row>
    <row r="9" spans="1:19" ht="15" customHeight="1" x14ac:dyDescent="0.2">
      <c r="A9" s="12"/>
      <c r="B9" s="523"/>
      <c r="C9" s="523"/>
      <c r="D9" s="526"/>
      <c r="E9" s="152"/>
      <c r="F9" s="113" t="s">
        <v>13</v>
      </c>
      <c r="G9" s="113" t="s">
        <v>14</v>
      </c>
      <c r="H9" s="153"/>
      <c r="I9" s="113" t="s">
        <v>13</v>
      </c>
      <c r="J9" s="113" t="s">
        <v>14</v>
      </c>
      <c r="K9" s="154"/>
      <c r="L9" s="113" t="s">
        <v>13</v>
      </c>
      <c r="M9" s="113" t="s">
        <v>14</v>
      </c>
      <c r="N9" s="154"/>
      <c r="O9" s="113" t="s">
        <v>13</v>
      </c>
      <c r="P9" s="113" t="s">
        <v>14</v>
      </c>
      <c r="Q9" s="155"/>
      <c r="R9" s="113" t="s">
        <v>13</v>
      </c>
      <c r="S9" s="113" t="s">
        <v>14</v>
      </c>
    </row>
    <row r="10" spans="1:19" s="145" customFormat="1" ht="6" customHeight="1" x14ac:dyDescent="0.2">
      <c r="A10" s="67"/>
      <c r="B10" s="156"/>
      <c r="C10" s="156"/>
      <c r="D10" s="142"/>
      <c r="E10" s="142"/>
      <c r="F10" s="142"/>
      <c r="G10" s="143"/>
      <c r="H10" s="143"/>
      <c r="I10" s="143"/>
      <c r="J10" s="144"/>
      <c r="K10" s="144"/>
      <c r="L10" s="144"/>
      <c r="M10" s="144"/>
      <c r="N10" s="144"/>
      <c r="O10" s="144"/>
      <c r="P10" s="144"/>
      <c r="Q10" s="144"/>
      <c r="R10" s="144"/>
      <c r="S10" s="144"/>
    </row>
    <row r="11" spans="1:19" s="159" customFormat="1" ht="15" x14ac:dyDescent="0.2">
      <c r="A11" s="17"/>
      <c r="B11" s="114" t="s">
        <v>5</v>
      </c>
      <c r="C11" s="157"/>
      <c r="D11" s="99">
        <v>55147</v>
      </c>
      <c r="E11" s="158"/>
      <c r="F11" s="99">
        <v>53768</v>
      </c>
      <c r="G11" s="102">
        <v>97.499410666000003</v>
      </c>
      <c r="H11" s="158"/>
      <c r="I11" s="99">
        <v>53440</v>
      </c>
      <c r="J11" s="102">
        <v>96.904636698299996</v>
      </c>
      <c r="K11" s="50"/>
      <c r="L11" s="99">
        <v>53247</v>
      </c>
      <c r="M11" s="102">
        <v>96.554662991599997</v>
      </c>
      <c r="N11" s="158"/>
      <c r="O11" s="99">
        <v>54712</v>
      </c>
      <c r="P11" s="102">
        <v>99.211199158599996</v>
      </c>
      <c r="Q11" s="158"/>
      <c r="R11" s="99">
        <v>47</v>
      </c>
      <c r="S11" s="102">
        <v>8.5226757599999994E-2</v>
      </c>
    </row>
    <row r="12" spans="1:19" s="159" customFormat="1" ht="6" customHeight="1" x14ac:dyDescent="0.2">
      <c r="A12" s="11"/>
      <c r="B12" s="115"/>
      <c r="C12" s="157"/>
      <c r="D12" s="100"/>
      <c r="E12" s="158"/>
      <c r="F12" s="100"/>
      <c r="G12" s="103"/>
      <c r="H12" s="158"/>
      <c r="I12" s="100"/>
      <c r="J12" s="103"/>
      <c r="K12" s="50"/>
      <c r="L12" s="100"/>
      <c r="M12" s="103"/>
      <c r="N12" s="158"/>
      <c r="O12" s="100"/>
      <c r="P12" s="103"/>
      <c r="Q12" s="158"/>
      <c r="R12" s="100"/>
      <c r="S12" s="103"/>
    </row>
    <row r="13" spans="1:19" ht="12.75" customHeight="1" x14ac:dyDescent="0.2">
      <c r="A13" s="11"/>
      <c r="B13" s="13" t="s">
        <v>26</v>
      </c>
      <c r="C13" s="160"/>
      <c r="D13" s="101">
        <v>1783</v>
      </c>
      <c r="E13" s="161"/>
      <c r="F13" s="101">
        <v>1774</v>
      </c>
      <c r="G13" s="104">
        <v>99.495232753799996</v>
      </c>
      <c r="H13" s="161"/>
      <c r="I13" s="101">
        <v>1777</v>
      </c>
      <c r="J13" s="104">
        <v>99.663488502500002</v>
      </c>
      <c r="K13" s="50"/>
      <c r="L13" s="101">
        <v>1777</v>
      </c>
      <c r="M13" s="104">
        <v>99.663488502500002</v>
      </c>
      <c r="N13" s="161"/>
      <c r="O13" s="101">
        <v>1774</v>
      </c>
      <c r="P13" s="104">
        <v>99.495232753799996</v>
      </c>
      <c r="Q13" s="161"/>
      <c r="R13" s="101">
        <v>0</v>
      </c>
      <c r="S13" s="104">
        <v>0</v>
      </c>
    </row>
    <row r="14" spans="1:19" ht="12.75" customHeight="1" x14ac:dyDescent="0.2">
      <c r="A14" s="11"/>
      <c r="B14" s="13" t="s">
        <v>27</v>
      </c>
      <c r="C14" s="160"/>
      <c r="D14" s="101">
        <v>1750</v>
      </c>
      <c r="E14" s="161"/>
      <c r="F14" s="101">
        <v>1731</v>
      </c>
      <c r="G14" s="104">
        <v>98.914285714299993</v>
      </c>
      <c r="H14" s="161"/>
      <c r="I14" s="101">
        <v>1715</v>
      </c>
      <c r="J14" s="104">
        <v>98</v>
      </c>
      <c r="K14" s="50"/>
      <c r="L14" s="101">
        <v>1707</v>
      </c>
      <c r="M14" s="104">
        <v>97.542857142900004</v>
      </c>
      <c r="N14" s="161"/>
      <c r="O14" s="101">
        <v>1732</v>
      </c>
      <c r="P14" s="104">
        <v>98.971428571399997</v>
      </c>
      <c r="Q14" s="161"/>
      <c r="R14" s="101">
        <v>2</v>
      </c>
      <c r="S14" s="104">
        <v>0.11428571429999999</v>
      </c>
    </row>
    <row r="15" spans="1:19" ht="12.75" customHeight="1" x14ac:dyDescent="0.2">
      <c r="A15" s="12"/>
      <c r="B15" s="13" t="s">
        <v>28</v>
      </c>
      <c r="C15" s="160"/>
      <c r="D15" s="101">
        <v>1639</v>
      </c>
      <c r="E15" s="161"/>
      <c r="F15" s="101">
        <v>1627</v>
      </c>
      <c r="G15" s="104">
        <v>99.267846247700007</v>
      </c>
      <c r="H15" s="161"/>
      <c r="I15" s="101">
        <v>1573</v>
      </c>
      <c r="J15" s="104">
        <v>95.973154362399995</v>
      </c>
      <c r="K15" s="50"/>
      <c r="L15" s="101">
        <v>1622</v>
      </c>
      <c r="M15" s="104">
        <v>98.962782184299996</v>
      </c>
      <c r="N15" s="161"/>
      <c r="O15" s="101">
        <v>1615</v>
      </c>
      <c r="P15" s="104">
        <v>98.535692495399999</v>
      </c>
      <c r="Q15" s="161"/>
      <c r="R15" s="101">
        <v>0</v>
      </c>
      <c r="S15" s="104">
        <v>0</v>
      </c>
    </row>
    <row r="16" spans="1:19" ht="12.75" customHeight="1" x14ac:dyDescent="0.2">
      <c r="A16" s="12"/>
      <c r="B16" s="13" t="s">
        <v>29</v>
      </c>
      <c r="C16" s="160"/>
      <c r="D16" s="101">
        <v>1723</v>
      </c>
      <c r="E16" s="161"/>
      <c r="F16" s="101">
        <v>1637</v>
      </c>
      <c r="G16" s="104">
        <v>95.0087057458</v>
      </c>
      <c r="H16" s="161"/>
      <c r="I16" s="101">
        <v>1687</v>
      </c>
      <c r="J16" s="104">
        <v>97.910621009899998</v>
      </c>
      <c r="K16" s="50"/>
      <c r="L16" s="101">
        <v>1612</v>
      </c>
      <c r="M16" s="104">
        <v>93.557748113800002</v>
      </c>
      <c r="N16" s="161"/>
      <c r="O16" s="101">
        <v>1711</v>
      </c>
      <c r="P16" s="104">
        <v>99.303540336599994</v>
      </c>
      <c r="Q16" s="161"/>
      <c r="R16" s="101">
        <v>1</v>
      </c>
      <c r="S16" s="104">
        <v>5.8038305300000002E-2</v>
      </c>
    </row>
    <row r="17" spans="1:19" ht="12.75" customHeight="1" x14ac:dyDescent="0.2">
      <c r="A17" s="12"/>
      <c r="B17" s="13" t="s">
        <v>30</v>
      </c>
      <c r="C17" s="160"/>
      <c r="D17" s="94">
        <v>1654</v>
      </c>
      <c r="E17" s="161"/>
      <c r="F17" s="94">
        <v>1645</v>
      </c>
      <c r="G17" s="97">
        <v>99.455864570700001</v>
      </c>
      <c r="H17" s="161"/>
      <c r="I17" s="94">
        <v>1641</v>
      </c>
      <c r="J17" s="97">
        <v>99.214026602199993</v>
      </c>
      <c r="K17" s="50"/>
      <c r="L17" s="94">
        <v>1630</v>
      </c>
      <c r="M17" s="97">
        <v>98.548972188600004</v>
      </c>
      <c r="N17" s="161"/>
      <c r="O17" s="94">
        <v>1648</v>
      </c>
      <c r="P17" s="97">
        <v>99.637243047200002</v>
      </c>
      <c r="Q17" s="161"/>
      <c r="R17" s="94">
        <v>0</v>
      </c>
      <c r="S17" s="97">
        <v>0</v>
      </c>
    </row>
    <row r="18" spans="1:19" ht="12.75" customHeight="1" x14ac:dyDescent="0.2">
      <c r="A18" s="21"/>
      <c r="B18" s="13" t="s">
        <v>31</v>
      </c>
      <c r="C18" s="160"/>
      <c r="D18" s="94">
        <v>1696</v>
      </c>
      <c r="E18" s="161"/>
      <c r="F18" s="94">
        <v>1679</v>
      </c>
      <c r="G18" s="97">
        <v>98.997641509399998</v>
      </c>
      <c r="H18" s="161"/>
      <c r="I18" s="94">
        <v>1682</v>
      </c>
      <c r="J18" s="97">
        <v>99.174528301899997</v>
      </c>
      <c r="K18" s="50"/>
      <c r="L18" s="94">
        <v>1691</v>
      </c>
      <c r="M18" s="97">
        <v>99.705188679200006</v>
      </c>
      <c r="N18" s="161"/>
      <c r="O18" s="94">
        <v>1674</v>
      </c>
      <c r="P18" s="97">
        <v>98.702830188700005</v>
      </c>
      <c r="Q18" s="161"/>
      <c r="R18" s="94">
        <v>2</v>
      </c>
      <c r="S18" s="97">
        <v>0.1179245283</v>
      </c>
    </row>
    <row r="19" spans="1:19" ht="12.75" customHeight="1" x14ac:dyDescent="0.2">
      <c r="A19" s="21"/>
      <c r="B19" s="13" t="s">
        <v>32</v>
      </c>
      <c r="C19" s="160"/>
      <c r="D19" s="101">
        <v>1795</v>
      </c>
      <c r="E19" s="161"/>
      <c r="F19" s="101">
        <v>1717</v>
      </c>
      <c r="G19" s="104">
        <v>95.654596100299997</v>
      </c>
      <c r="H19" s="161"/>
      <c r="I19" s="101">
        <v>1684</v>
      </c>
      <c r="J19" s="104">
        <v>93.816155988899993</v>
      </c>
      <c r="K19" s="50"/>
      <c r="L19" s="101">
        <v>1677</v>
      </c>
      <c r="M19" s="104">
        <v>93.426183843999993</v>
      </c>
      <c r="N19" s="161"/>
      <c r="O19" s="101">
        <v>1768</v>
      </c>
      <c r="P19" s="104">
        <v>98.495821727000006</v>
      </c>
      <c r="Q19" s="161"/>
      <c r="R19" s="101">
        <v>4</v>
      </c>
      <c r="S19" s="104">
        <v>0.2228412256</v>
      </c>
    </row>
    <row r="20" spans="1:19" ht="12.75" customHeight="1" x14ac:dyDescent="0.2">
      <c r="B20" s="13" t="s">
        <v>33</v>
      </c>
      <c r="C20" s="160"/>
      <c r="D20" s="101">
        <v>1721</v>
      </c>
      <c r="E20" s="161"/>
      <c r="F20" s="101">
        <v>1691</v>
      </c>
      <c r="G20" s="104">
        <v>98.256827425899999</v>
      </c>
      <c r="H20" s="161"/>
      <c r="I20" s="101">
        <v>1702</v>
      </c>
      <c r="J20" s="104">
        <v>98.895990703099997</v>
      </c>
      <c r="K20" s="50"/>
      <c r="L20" s="101">
        <v>1700</v>
      </c>
      <c r="M20" s="104">
        <v>98.779779198100002</v>
      </c>
      <c r="N20" s="161"/>
      <c r="O20" s="101">
        <v>1700</v>
      </c>
      <c r="P20" s="104">
        <v>98.779779198100002</v>
      </c>
      <c r="Q20" s="161"/>
      <c r="R20" s="101">
        <v>2</v>
      </c>
      <c r="S20" s="104">
        <v>0.1162115049</v>
      </c>
    </row>
    <row r="21" spans="1:19" ht="12.75" customHeight="1" x14ac:dyDescent="0.2">
      <c r="B21" s="13" t="s">
        <v>34</v>
      </c>
      <c r="C21" s="160"/>
      <c r="D21" s="101">
        <v>1667</v>
      </c>
      <c r="E21" s="161"/>
      <c r="F21" s="101">
        <v>1637</v>
      </c>
      <c r="G21" s="104">
        <v>98.200359927999997</v>
      </c>
      <c r="H21" s="161"/>
      <c r="I21" s="101">
        <v>1663</v>
      </c>
      <c r="J21" s="104">
        <v>99.760047990399997</v>
      </c>
      <c r="K21" s="50"/>
      <c r="L21" s="101">
        <v>1660</v>
      </c>
      <c r="M21" s="104">
        <v>99.580083983199998</v>
      </c>
      <c r="N21" s="161"/>
      <c r="O21" s="101">
        <v>1662</v>
      </c>
      <c r="P21" s="104">
        <v>99.700059988000007</v>
      </c>
      <c r="Q21" s="161"/>
      <c r="R21" s="101">
        <v>0</v>
      </c>
      <c r="S21" s="104">
        <v>0</v>
      </c>
    </row>
    <row r="22" spans="1:19" ht="12.75" customHeight="1" x14ac:dyDescent="0.2">
      <c r="B22" s="13" t="s">
        <v>35</v>
      </c>
      <c r="C22" s="160"/>
      <c r="D22" s="101">
        <v>1688</v>
      </c>
      <c r="E22" s="161"/>
      <c r="F22" s="101">
        <v>1645</v>
      </c>
      <c r="G22" s="104">
        <v>97.452606635099997</v>
      </c>
      <c r="H22" s="161"/>
      <c r="I22" s="101">
        <v>1651</v>
      </c>
      <c r="J22" s="104">
        <v>97.808056871999995</v>
      </c>
      <c r="K22" s="50"/>
      <c r="L22" s="101">
        <v>1644</v>
      </c>
      <c r="M22" s="104">
        <v>97.393364928899999</v>
      </c>
      <c r="N22" s="161"/>
      <c r="O22" s="101">
        <v>1680</v>
      </c>
      <c r="P22" s="104">
        <v>99.526066350700006</v>
      </c>
      <c r="Q22" s="161"/>
      <c r="R22" s="101">
        <v>1</v>
      </c>
      <c r="S22" s="104">
        <v>5.9241706200000001E-2</v>
      </c>
    </row>
    <row r="23" spans="1:19" ht="12.75" customHeight="1" x14ac:dyDescent="0.2">
      <c r="B23" s="13" t="s">
        <v>36</v>
      </c>
      <c r="C23" s="160"/>
      <c r="D23" s="101">
        <v>1780</v>
      </c>
      <c r="E23" s="161"/>
      <c r="F23" s="101">
        <v>1719</v>
      </c>
      <c r="G23" s="104">
        <v>96.573033707899995</v>
      </c>
      <c r="H23" s="161"/>
      <c r="I23" s="101">
        <v>1732</v>
      </c>
      <c r="J23" s="104">
        <v>97.303370786499997</v>
      </c>
      <c r="K23" s="50"/>
      <c r="L23" s="101">
        <v>1728</v>
      </c>
      <c r="M23" s="104">
        <v>97.078651685400004</v>
      </c>
      <c r="N23" s="161"/>
      <c r="O23" s="101">
        <v>1760</v>
      </c>
      <c r="P23" s="104">
        <v>98.876404494400006</v>
      </c>
      <c r="Q23" s="161"/>
      <c r="R23" s="101">
        <v>4</v>
      </c>
      <c r="S23" s="104">
        <v>0.22471910110000001</v>
      </c>
    </row>
    <row r="24" spans="1:19" ht="12.75" customHeight="1" x14ac:dyDescent="0.2">
      <c r="B24" s="13" t="s">
        <v>37</v>
      </c>
      <c r="C24" s="160"/>
      <c r="D24" s="101">
        <v>1688</v>
      </c>
      <c r="E24" s="161"/>
      <c r="F24" s="101">
        <v>1531</v>
      </c>
      <c r="G24" s="104">
        <v>90.699052132700004</v>
      </c>
      <c r="H24" s="161"/>
      <c r="I24" s="101">
        <v>1485</v>
      </c>
      <c r="J24" s="104">
        <v>87.973933649299994</v>
      </c>
      <c r="K24" s="50"/>
      <c r="L24" s="101">
        <v>1507</v>
      </c>
      <c r="M24" s="104">
        <v>89.277251184799994</v>
      </c>
      <c r="N24" s="161"/>
      <c r="O24" s="101">
        <v>1668</v>
      </c>
      <c r="P24" s="104">
        <v>98.815165876799995</v>
      </c>
      <c r="Q24" s="161"/>
      <c r="R24" s="101">
        <v>5</v>
      </c>
      <c r="S24" s="104">
        <v>0.29620853079999998</v>
      </c>
    </row>
    <row r="25" spans="1:19" ht="12.75" customHeight="1" x14ac:dyDescent="0.2">
      <c r="B25" s="13" t="s">
        <v>38</v>
      </c>
      <c r="C25" s="160"/>
      <c r="D25" s="101">
        <v>1700</v>
      </c>
      <c r="E25" s="161"/>
      <c r="F25" s="101">
        <v>1655</v>
      </c>
      <c r="G25" s="104">
        <v>97.352941176499996</v>
      </c>
      <c r="H25" s="161"/>
      <c r="I25" s="101">
        <v>1654</v>
      </c>
      <c r="J25" s="104">
        <v>97.294117647099995</v>
      </c>
      <c r="K25" s="50"/>
      <c r="L25" s="101">
        <v>1649</v>
      </c>
      <c r="M25" s="104">
        <v>97</v>
      </c>
      <c r="N25" s="161"/>
      <c r="O25" s="101">
        <v>1688</v>
      </c>
      <c r="P25" s="104">
        <v>99.294117647099995</v>
      </c>
      <c r="Q25" s="161"/>
      <c r="R25" s="101">
        <v>1</v>
      </c>
      <c r="S25" s="104">
        <v>5.8823529399999998E-2</v>
      </c>
    </row>
    <row r="26" spans="1:19" ht="12.75" customHeight="1" x14ac:dyDescent="0.2">
      <c r="B26" s="13" t="s">
        <v>39</v>
      </c>
      <c r="C26" s="160"/>
      <c r="D26" s="101">
        <v>1697</v>
      </c>
      <c r="E26" s="161"/>
      <c r="F26" s="101">
        <v>1677</v>
      </c>
      <c r="G26" s="104">
        <v>98.821449616999999</v>
      </c>
      <c r="H26" s="161"/>
      <c r="I26" s="101">
        <v>1680</v>
      </c>
      <c r="J26" s="104">
        <v>98.998232174400002</v>
      </c>
      <c r="K26" s="50"/>
      <c r="L26" s="101">
        <v>1682</v>
      </c>
      <c r="M26" s="104">
        <v>99.116087212699995</v>
      </c>
      <c r="N26" s="161"/>
      <c r="O26" s="101">
        <v>1692</v>
      </c>
      <c r="P26" s="104">
        <v>99.705362404200002</v>
      </c>
      <c r="Q26" s="161"/>
      <c r="R26" s="101">
        <v>0</v>
      </c>
      <c r="S26" s="104">
        <v>0</v>
      </c>
    </row>
    <row r="27" spans="1:19" ht="12.75" customHeight="1" x14ac:dyDescent="0.2">
      <c r="B27" s="13" t="s">
        <v>40</v>
      </c>
      <c r="C27" s="160"/>
      <c r="D27" s="101">
        <v>1730</v>
      </c>
      <c r="E27" s="161"/>
      <c r="F27" s="101">
        <v>1689</v>
      </c>
      <c r="G27" s="104">
        <v>97.630057803499994</v>
      </c>
      <c r="H27" s="161"/>
      <c r="I27" s="101">
        <v>1687</v>
      </c>
      <c r="J27" s="104">
        <v>97.514450867099995</v>
      </c>
      <c r="K27" s="50"/>
      <c r="L27" s="101">
        <v>1696</v>
      </c>
      <c r="M27" s="104">
        <v>98.034682080899998</v>
      </c>
      <c r="N27" s="161"/>
      <c r="O27" s="101">
        <v>1725</v>
      </c>
      <c r="P27" s="104">
        <v>99.710982658999995</v>
      </c>
      <c r="Q27" s="161"/>
      <c r="R27" s="101">
        <v>1</v>
      </c>
      <c r="S27" s="104">
        <v>5.7803468199999999E-2</v>
      </c>
    </row>
    <row r="28" spans="1:19" ht="12.75" customHeight="1" x14ac:dyDescent="0.2">
      <c r="B28" s="13" t="s">
        <v>41</v>
      </c>
      <c r="C28" s="160"/>
      <c r="D28" s="101">
        <v>1812</v>
      </c>
      <c r="E28" s="161"/>
      <c r="F28" s="101">
        <v>1765</v>
      </c>
      <c r="G28" s="104">
        <v>97.406181015499996</v>
      </c>
      <c r="H28" s="161"/>
      <c r="I28" s="101">
        <v>1742</v>
      </c>
      <c r="J28" s="104">
        <v>96.136865342199997</v>
      </c>
      <c r="K28" s="50"/>
      <c r="L28" s="101">
        <v>1733</v>
      </c>
      <c r="M28" s="104">
        <v>95.640176600399997</v>
      </c>
      <c r="N28" s="161"/>
      <c r="O28" s="101">
        <v>1802</v>
      </c>
      <c r="P28" s="104">
        <v>99.448123620299995</v>
      </c>
      <c r="Q28" s="161"/>
      <c r="R28" s="101">
        <v>2</v>
      </c>
      <c r="S28" s="104">
        <v>0.1103752759</v>
      </c>
    </row>
    <row r="29" spans="1:19" ht="12.75" customHeight="1" x14ac:dyDescent="0.2">
      <c r="B29" s="13" t="s">
        <v>42</v>
      </c>
      <c r="C29" s="160"/>
      <c r="D29" s="101">
        <v>1693</v>
      </c>
      <c r="E29" s="161"/>
      <c r="F29" s="101">
        <v>1663</v>
      </c>
      <c r="G29" s="104">
        <v>98.227997637300007</v>
      </c>
      <c r="H29" s="161"/>
      <c r="I29" s="101">
        <v>1639</v>
      </c>
      <c r="J29" s="104">
        <v>96.810395747200005</v>
      </c>
      <c r="K29" s="50"/>
      <c r="L29" s="101">
        <v>1674</v>
      </c>
      <c r="M29" s="104">
        <v>98.877731836999999</v>
      </c>
      <c r="N29" s="161"/>
      <c r="O29" s="101">
        <v>1687</v>
      </c>
      <c r="P29" s="104">
        <v>99.645599527499996</v>
      </c>
      <c r="Q29" s="161"/>
      <c r="R29" s="101">
        <v>2</v>
      </c>
      <c r="S29" s="104">
        <v>0.1181334908</v>
      </c>
    </row>
    <row r="30" spans="1:19" ht="12.75" customHeight="1" x14ac:dyDescent="0.2">
      <c r="B30" s="13" t="s">
        <v>43</v>
      </c>
      <c r="C30" s="160"/>
      <c r="D30" s="101">
        <v>1751</v>
      </c>
      <c r="E30" s="161"/>
      <c r="F30" s="101">
        <v>1702</v>
      </c>
      <c r="G30" s="104">
        <v>97.201599086200005</v>
      </c>
      <c r="H30" s="161"/>
      <c r="I30" s="101">
        <v>1729</v>
      </c>
      <c r="J30" s="104">
        <v>98.743575099899999</v>
      </c>
      <c r="K30" s="50"/>
      <c r="L30" s="101">
        <v>1716</v>
      </c>
      <c r="M30" s="104">
        <v>98.001142204499999</v>
      </c>
      <c r="N30" s="161"/>
      <c r="O30" s="101">
        <v>1737</v>
      </c>
      <c r="P30" s="104">
        <v>99.200456881799994</v>
      </c>
      <c r="Q30" s="161"/>
      <c r="R30" s="101">
        <v>2</v>
      </c>
      <c r="S30" s="104">
        <v>0.1142204455</v>
      </c>
    </row>
    <row r="31" spans="1:19" ht="12.75" customHeight="1" x14ac:dyDescent="0.2">
      <c r="B31" s="13" t="s">
        <v>44</v>
      </c>
      <c r="C31" s="160"/>
      <c r="D31" s="101">
        <v>1728</v>
      </c>
      <c r="E31" s="161"/>
      <c r="F31" s="101">
        <v>1718</v>
      </c>
      <c r="G31" s="104">
        <v>99.4212962963</v>
      </c>
      <c r="H31" s="161"/>
      <c r="I31" s="101">
        <v>1719</v>
      </c>
      <c r="J31" s="104">
        <v>99.479166666699996</v>
      </c>
      <c r="K31" s="50"/>
      <c r="L31" s="101">
        <v>1719</v>
      </c>
      <c r="M31" s="104">
        <v>99.479166666699996</v>
      </c>
      <c r="N31" s="161"/>
      <c r="O31" s="101">
        <v>1727</v>
      </c>
      <c r="P31" s="104">
        <v>99.942129629600004</v>
      </c>
      <c r="Q31" s="161"/>
      <c r="R31" s="101">
        <v>0</v>
      </c>
      <c r="S31" s="104">
        <v>0</v>
      </c>
    </row>
    <row r="32" spans="1:19" ht="12.75" customHeight="1" x14ac:dyDescent="0.2">
      <c r="B32" s="13" t="s">
        <v>45</v>
      </c>
      <c r="C32" s="160"/>
      <c r="D32" s="101">
        <v>1733</v>
      </c>
      <c r="E32" s="161"/>
      <c r="F32" s="101">
        <v>1696</v>
      </c>
      <c r="G32" s="104">
        <v>97.864974033500005</v>
      </c>
      <c r="H32" s="161"/>
      <c r="I32" s="101">
        <v>1592</v>
      </c>
      <c r="J32" s="104">
        <v>91.863819965399998</v>
      </c>
      <c r="K32" s="50"/>
      <c r="L32" s="101">
        <v>1553</v>
      </c>
      <c r="M32" s="104">
        <v>89.613387189799994</v>
      </c>
      <c r="N32" s="161"/>
      <c r="O32" s="101">
        <v>1703</v>
      </c>
      <c r="P32" s="104">
        <v>98.268897865</v>
      </c>
      <c r="Q32" s="161"/>
      <c r="R32" s="101">
        <v>3</v>
      </c>
      <c r="S32" s="104">
        <v>0.1731102135</v>
      </c>
    </row>
    <row r="33" spans="1:19" ht="12.75" customHeight="1" x14ac:dyDescent="0.2">
      <c r="B33" s="13" t="s">
        <v>46</v>
      </c>
      <c r="C33" s="160"/>
      <c r="D33" s="101">
        <v>1740</v>
      </c>
      <c r="E33" s="161"/>
      <c r="F33" s="101">
        <v>1688</v>
      </c>
      <c r="G33" s="104">
        <v>97.011494252899993</v>
      </c>
      <c r="H33" s="161"/>
      <c r="I33" s="101">
        <v>1684</v>
      </c>
      <c r="J33" s="104">
        <v>96.781609195399994</v>
      </c>
      <c r="K33" s="50"/>
      <c r="L33" s="101">
        <v>1685</v>
      </c>
      <c r="M33" s="104">
        <v>96.839080459800002</v>
      </c>
      <c r="N33" s="161"/>
      <c r="O33" s="101">
        <v>1731</v>
      </c>
      <c r="P33" s="104">
        <v>99.482758620699997</v>
      </c>
      <c r="Q33" s="161"/>
      <c r="R33" s="101">
        <v>1</v>
      </c>
      <c r="S33" s="104">
        <v>5.7471264399999999E-2</v>
      </c>
    </row>
    <row r="34" spans="1:19" ht="12.75" customHeight="1" x14ac:dyDescent="0.2">
      <c r="B34" s="13" t="s">
        <v>47</v>
      </c>
      <c r="C34" s="160"/>
      <c r="D34" s="101">
        <v>1706</v>
      </c>
      <c r="E34" s="161"/>
      <c r="F34" s="101">
        <v>1669</v>
      </c>
      <c r="G34" s="104">
        <v>97.831184056300003</v>
      </c>
      <c r="H34" s="161"/>
      <c r="I34" s="101">
        <v>1675</v>
      </c>
      <c r="J34" s="104">
        <v>98.182883939000007</v>
      </c>
      <c r="K34" s="50"/>
      <c r="L34" s="101">
        <v>1676</v>
      </c>
      <c r="M34" s="104">
        <v>98.241500586200004</v>
      </c>
      <c r="N34" s="161"/>
      <c r="O34" s="101">
        <v>1702</v>
      </c>
      <c r="P34" s="104">
        <v>99.765533411500002</v>
      </c>
      <c r="Q34" s="161"/>
      <c r="R34" s="101">
        <v>1</v>
      </c>
      <c r="S34" s="104">
        <v>5.8616647100000002E-2</v>
      </c>
    </row>
    <row r="35" spans="1:19" ht="12.75" customHeight="1" x14ac:dyDescent="0.2">
      <c r="B35" s="13" t="s">
        <v>48</v>
      </c>
      <c r="C35" s="160"/>
      <c r="D35" s="101">
        <v>1664</v>
      </c>
      <c r="E35" s="161"/>
      <c r="F35" s="101">
        <v>1631</v>
      </c>
      <c r="G35" s="104">
        <v>98.016826923099998</v>
      </c>
      <c r="H35" s="161"/>
      <c r="I35" s="101">
        <v>1641</v>
      </c>
      <c r="J35" s="104">
        <v>98.617788461499998</v>
      </c>
      <c r="K35" s="50"/>
      <c r="L35" s="101">
        <v>1634</v>
      </c>
      <c r="M35" s="104">
        <v>98.197115384599996</v>
      </c>
      <c r="N35" s="161"/>
      <c r="O35" s="101">
        <v>1650</v>
      </c>
      <c r="P35" s="104">
        <v>99.158653846199996</v>
      </c>
      <c r="Q35" s="161"/>
      <c r="R35" s="101">
        <v>0</v>
      </c>
      <c r="S35" s="104">
        <v>0</v>
      </c>
    </row>
    <row r="36" spans="1:19" ht="12.75" customHeight="1" x14ac:dyDescent="0.2">
      <c r="B36" s="13" t="s">
        <v>49</v>
      </c>
      <c r="C36" s="160"/>
      <c r="D36" s="101">
        <v>1734</v>
      </c>
      <c r="E36" s="161"/>
      <c r="F36" s="101">
        <v>1693</v>
      </c>
      <c r="G36" s="104">
        <v>97.635524798199995</v>
      </c>
      <c r="H36" s="161"/>
      <c r="I36" s="101">
        <v>1592</v>
      </c>
      <c r="J36" s="104">
        <v>91.810841983900005</v>
      </c>
      <c r="K36" s="50"/>
      <c r="L36" s="101">
        <v>1558</v>
      </c>
      <c r="M36" s="104">
        <v>89.8500576701</v>
      </c>
      <c r="N36" s="161"/>
      <c r="O36" s="101">
        <v>1707</v>
      </c>
      <c r="P36" s="104">
        <v>98.442906574399998</v>
      </c>
      <c r="Q36" s="161"/>
      <c r="R36" s="101">
        <v>5</v>
      </c>
      <c r="S36" s="104">
        <v>0.28835063440000003</v>
      </c>
    </row>
    <row r="37" spans="1:19" ht="12.75" customHeight="1" x14ac:dyDescent="0.2">
      <c r="B37" s="13" t="s">
        <v>50</v>
      </c>
      <c r="C37" s="160"/>
      <c r="D37" s="101">
        <v>1770</v>
      </c>
      <c r="E37" s="161"/>
      <c r="F37" s="101">
        <v>1725</v>
      </c>
      <c r="G37" s="104">
        <v>97.457627118600001</v>
      </c>
      <c r="H37" s="161"/>
      <c r="I37" s="101">
        <v>1725</v>
      </c>
      <c r="J37" s="104">
        <v>97.457627118600001</v>
      </c>
      <c r="K37" s="50"/>
      <c r="L37" s="101">
        <v>1710</v>
      </c>
      <c r="M37" s="104">
        <v>96.610169491500002</v>
      </c>
      <c r="N37" s="161"/>
      <c r="O37" s="101">
        <v>1759</v>
      </c>
      <c r="P37" s="104">
        <v>99.378531073399998</v>
      </c>
      <c r="Q37" s="161"/>
      <c r="R37" s="101">
        <v>1</v>
      </c>
      <c r="S37" s="104">
        <v>5.6497175099999998E-2</v>
      </c>
    </row>
    <row r="38" spans="1:19" ht="12.75" customHeight="1" x14ac:dyDescent="0.2">
      <c r="B38" s="13" t="s">
        <v>51</v>
      </c>
      <c r="C38" s="160"/>
      <c r="D38" s="101">
        <v>1778</v>
      </c>
      <c r="E38" s="161"/>
      <c r="F38" s="101">
        <v>1737</v>
      </c>
      <c r="G38" s="104">
        <v>97.694038245200005</v>
      </c>
      <c r="H38" s="161"/>
      <c r="I38" s="101">
        <v>1755</v>
      </c>
      <c r="J38" s="104">
        <v>98.706411698500006</v>
      </c>
      <c r="K38" s="50"/>
      <c r="L38" s="101">
        <v>1685</v>
      </c>
      <c r="M38" s="104">
        <v>94.769403824500003</v>
      </c>
      <c r="N38" s="161"/>
      <c r="O38" s="101">
        <v>1768</v>
      </c>
      <c r="P38" s="104">
        <v>99.437570303699999</v>
      </c>
      <c r="Q38" s="52"/>
      <c r="R38" s="101">
        <v>0</v>
      </c>
      <c r="S38" s="104">
        <v>0</v>
      </c>
    </row>
    <row r="39" spans="1:19" ht="12.75" customHeight="1" x14ac:dyDescent="0.2">
      <c r="B39" s="13" t="s">
        <v>52</v>
      </c>
      <c r="C39" s="160"/>
      <c r="D39" s="101">
        <v>1739</v>
      </c>
      <c r="E39" s="161"/>
      <c r="F39" s="101">
        <v>1665</v>
      </c>
      <c r="G39" s="104">
        <v>95.7446808511</v>
      </c>
      <c r="H39" s="161"/>
      <c r="I39" s="101">
        <v>1585</v>
      </c>
      <c r="J39" s="104">
        <v>91.144335825200002</v>
      </c>
      <c r="K39" s="50"/>
      <c r="L39" s="101">
        <v>1699</v>
      </c>
      <c r="M39" s="104">
        <v>97.699827487099995</v>
      </c>
      <c r="N39" s="161"/>
      <c r="O39" s="101">
        <v>1719</v>
      </c>
      <c r="P39" s="104">
        <v>98.849913743499997</v>
      </c>
      <c r="Q39" s="161"/>
      <c r="R39" s="101">
        <v>3</v>
      </c>
      <c r="S39" s="104">
        <v>0.17251293849999999</v>
      </c>
    </row>
    <row r="40" spans="1:19" ht="12.75" customHeight="1" x14ac:dyDescent="0.2">
      <c r="B40" s="13" t="s">
        <v>53</v>
      </c>
      <c r="C40" s="160"/>
      <c r="D40" s="101">
        <v>1649</v>
      </c>
      <c r="E40" s="161"/>
      <c r="F40" s="101">
        <v>1632</v>
      </c>
      <c r="G40" s="104">
        <v>98.969072164899998</v>
      </c>
      <c r="H40" s="161"/>
      <c r="I40" s="101">
        <v>1599</v>
      </c>
      <c r="J40" s="104">
        <v>96.9678593087</v>
      </c>
      <c r="K40" s="50"/>
      <c r="L40" s="101">
        <v>1550</v>
      </c>
      <c r="M40" s="104">
        <v>93.9963614312</v>
      </c>
      <c r="N40" s="161"/>
      <c r="O40" s="101">
        <v>1627</v>
      </c>
      <c r="P40" s="104">
        <v>98.665858095800004</v>
      </c>
      <c r="Q40" s="161"/>
      <c r="R40" s="101">
        <v>0</v>
      </c>
      <c r="S40" s="104">
        <v>0</v>
      </c>
    </row>
    <row r="41" spans="1:19" ht="12.75" customHeight="1" x14ac:dyDescent="0.2">
      <c r="B41" s="13" t="s">
        <v>54</v>
      </c>
      <c r="C41" s="160"/>
      <c r="D41" s="101">
        <v>1784</v>
      </c>
      <c r="E41" s="161"/>
      <c r="F41" s="101">
        <v>1744</v>
      </c>
      <c r="G41" s="104">
        <v>97.7578475336</v>
      </c>
      <c r="H41" s="161"/>
      <c r="I41" s="101">
        <v>1775</v>
      </c>
      <c r="J41" s="104">
        <v>99.495515695099996</v>
      </c>
      <c r="K41" s="50"/>
      <c r="L41" s="101">
        <v>1760</v>
      </c>
      <c r="M41" s="104">
        <v>98.654708520200003</v>
      </c>
      <c r="N41" s="161"/>
      <c r="O41" s="101">
        <v>1776</v>
      </c>
      <c r="P41" s="104">
        <v>99.551569506700005</v>
      </c>
      <c r="Q41" s="161"/>
      <c r="R41" s="101">
        <v>1</v>
      </c>
      <c r="S41" s="104">
        <v>5.6053811699999997E-2</v>
      </c>
    </row>
    <row r="42" spans="1:19" ht="12.75" customHeight="1" x14ac:dyDescent="0.2">
      <c r="B42" s="13" t="s">
        <v>55</v>
      </c>
      <c r="C42" s="160"/>
      <c r="D42" s="101">
        <v>1714</v>
      </c>
      <c r="E42" s="161"/>
      <c r="F42" s="101">
        <v>1665</v>
      </c>
      <c r="G42" s="104">
        <v>97.141190198399997</v>
      </c>
      <c r="H42" s="161"/>
      <c r="I42" s="101">
        <v>1592</v>
      </c>
      <c r="J42" s="104">
        <v>92.8821470245</v>
      </c>
      <c r="K42" s="50"/>
      <c r="L42" s="101">
        <v>1604</v>
      </c>
      <c r="M42" s="104">
        <v>93.582263710600003</v>
      </c>
      <c r="N42" s="161"/>
      <c r="O42" s="101">
        <v>1699</v>
      </c>
      <c r="P42" s="104">
        <v>99.124854142399997</v>
      </c>
      <c r="Q42" s="161"/>
      <c r="R42" s="101">
        <v>2</v>
      </c>
      <c r="S42" s="104">
        <v>0.1166861144</v>
      </c>
    </row>
    <row r="43" spans="1:19" ht="12.75" customHeight="1" x14ac:dyDescent="0.2">
      <c r="B43" s="13" t="s">
        <v>56</v>
      </c>
      <c r="C43" s="160"/>
      <c r="D43" s="101">
        <v>1745</v>
      </c>
      <c r="E43" s="161"/>
      <c r="F43" s="101">
        <v>1663</v>
      </c>
      <c r="G43" s="104">
        <v>95.300859598900004</v>
      </c>
      <c r="H43" s="161"/>
      <c r="I43" s="101">
        <v>1727</v>
      </c>
      <c r="J43" s="104">
        <v>98.968481375400003</v>
      </c>
      <c r="K43" s="50"/>
      <c r="L43" s="101">
        <v>1639</v>
      </c>
      <c r="M43" s="104">
        <v>93.925501432700003</v>
      </c>
      <c r="N43" s="161"/>
      <c r="O43" s="101">
        <v>1732</v>
      </c>
      <c r="P43" s="104">
        <v>99.255014326600005</v>
      </c>
      <c r="Q43" s="161"/>
      <c r="R43" s="101">
        <v>0</v>
      </c>
      <c r="S43" s="104">
        <v>0</v>
      </c>
    </row>
    <row r="44" spans="1:19" ht="12.75" customHeight="1" x14ac:dyDescent="0.2">
      <c r="B44" s="13" t="s">
        <v>57</v>
      </c>
      <c r="C44" s="160"/>
      <c r="D44" s="101">
        <v>1696</v>
      </c>
      <c r="E44" s="161"/>
      <c r="F44" s="101">
        <v>1658</v>
      </c>
      <c r="G44" s="104">
        <v>97.759433962299994</v>
      </c>
      <c r="H44" s="161"/>
      <c r="I44" s="101">
        <v>1656</v>
      </c>
      <c r="J44" s="104">
        <v>97.641509434</v>
      </c>
      <c r="K44" s="50"/>
      <c r="L44" s="101">
        <v>1670</v>
      </c>
      <c r="M44" s="104">
        <v>98.466981132100003</v>
      </c>
      <c r="N44" s="161"/>
      <c r="O44" s="101">
        <v>1689</v>
      </c>
      <c r="P44" s="104">
        <v>99.587264150899998</v>
      </c>
      <c r="Q44" s="161"/>
      <c r="R44" s="101">
        <v>1</v>
      </c>
      <c r="S44" s="104">
        <v>5.8962264200000003E-2</v>
      </c>
    </row>
    <row r="45" spans="1:19" ht="6" customHeight="1" x14ac:dyDescent="0.2">
      <c r="B45" s="14"/>
      <c r="C45" s="14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</row>
    <row r="46" spans="1:19" s="145" customFormat="1" ht="6" customHeight="1" x14ac:dyDescent="0.2">
      <c r="A46" s="5"/>
      <c r="B46" s="143"/>
      <c r="C46" s="141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</row>
    <row r="47" spans="1:19" s="145" customFormat="1" ht="11.25" x14ac:dyDescent="0.2">
      <c r="A47" s="12"/>
      <c r="B47" s="143" t="s">
        <v>131</v>
      </c>
      <c r="C47" s="141"/>
      <c r="D47" s="142"/>
      <c r="E47" s="142"/>
      <c r="F47" s="142"/>
      <c r="G47" s="143"/>
      <c r="H47" s="143"/>
      <c r="I47" s="143"/>
      <c r="J47" s="143"/>
      <c r="K47" s="143"/>
      <c r="L47" s="143"/>
      <c r="M47" s="143"/>
      <c r="N47" s="143"/>
      <c r="O47" s="144"/>
      <c r="P47" s="144"/>
      <c r="Q47" s="144"/>
      <c r="R47" s="144"/>
      <c r="S47" s="144"/>
    </row>
    <row r="48" spans="1:19" s="145" customFormat="1" ht="11.25" x14ac:dyDescent="0.2">
      <c r="A48" s="12"/>
      <c r="B48" s="143" t="s">
        <v>132</v>
      </c>
      <c r="C48" s="141"/>
      <c r="D48" s="142"/>
      <c r="E48" s="142"/>
      <c r="F48" s="142"/>
      <c r="G48" s="143"/>
      <c r="H48" s="143"/>
      <c r="I48" s="143"/>
      <c r="J48" s="143"/>
      <c r="K48" s="143"/>
      <c r="L48" s="143"/>
      <c r="M48" s="143"/>
      <c r="N48" s="143"/>
      <c r="O48" s="144"/>
      <c r="P48" s="144"/>
      <c r="Q48" s="144"/>
      <c r="R48" s="144"/>
      <c r="S48" s="144"/>
    </row>
    <row r="49" spans="1:19" s="145" customFormat="1" ht="11.25" x14ac:dyDescent="0.2">
      <c r="A49" s="12"/>
      <c r="B49" s="143" t="s">
        <v>133</v>
      </c>
      <c r="C49" s="141"/>
      <c r="D49" s="142"/>
      <c r="E49" s="142"/>
      <c r="F49" s="142"/>
      <c r="G49" s="143"/>
      <c r="H49" s="143"/>
      <c r="I49" s="143"/>
      <c r="J49" s="143"/>
      <c r="K49" s="143"/>
      <c r="L49" s="143"/>
      <c r="M49" s="143"/>
      <c r="N49" s="143"/>
      <c r="O49" s="144"/>
      <c r="P49" s="144"/>
      <c r="Q49" s="144"/>
      <c r="R49" s="144"/>
      <c r="S49" s="144"/>
    </row>
    <row r="50" spans="1:19" s="145" customFormat="1" ht="11.25" x14ac:dyDescent="0.2">
      <c r="A50" s="12"/>
      <c r="B50" s="143" t="s">
        <v>143</v>
      </c>
      <c r="C50" s="141"/>
      <c r="D50" s="142"/>
      <c r="E50" s="142"/>
      <c r="F50" s="142"/>
      <c r="G50" s="143"/>
      <c r="H50" s="143"/>
      <c r="I50" s="143"/>
      <c r="J50" s="143"/>
      <c r="K50" s="143"/>
      <c r="L50" s="143"/>
      <c r="M50" s="143"/>
      <c r="N50" s="143"/>
      <c r="O50" s="144"/>
      <c r="P50" s="144"/>
      <c r="Q50" s="144"/>
      <c r="R50" s="144"/>
      <c r="S50" s="144"/>
    </row>
    <row r="51" spans="1:19" s="89" customFormat="1" ht="11.25" customHeight="1" x14ac:dyDescent="0.2">
      <c r="B51" s="116" t="s">
        <v>134</v>
      </c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</row>
    <row r="52" spans="1:19" s="89" customFormat="1" ht="11.25" customHeight="1" x14ac:dyDescent="0.2"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</row>
    <row r="53" spans="1:19" s="89" customFormat="1" ht="11.25" customHeight="1" x14ac:dyDescent="0.2"/>
  </sheetData>
  <mergeCells count="9">
    <mergeCell ref="B5:Q5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A566987E-350F-412E-8D3D-FF584780CF7E}"/>
  </hyperlinks>
  <pageMargins left="0.70866141732283472" right="0.70866141732283472" top="0.74803149606299213" bottom="0.74803149606299213" header="0.31496062992125984" footer="0.31496062992125984"/>
  <pageSetup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B648-915D-4F3E-B256-C031D8CA600D}">
  <sheetPr>
    <pageSetUpPr fitToPage="1"/>
  </sheetPr>
  <dimension ref="A1:AJ97"/>
  <sheetViews>
    <sheetView showGridLines="0" zoomScaleNormal="100" zoomScaleSheetLayoutView="4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31.28515625" style="170" customWidth="1"/>
    <col min="3" max="3" width="1.7109375" style="196" customWidth="1" collapsed="1"/>
    <col min="4" max="4" width="18.7109375" style="196" customWidth="1" collapsed="1"/>
    <col min="5" max="5" width="1.7109375" style="196" customWidth="1"/>
    <col min="6" max="6" width="13.42578125" style="196" customWidth="1" collapsed="1"/>
    <col min="7" max="7" width="12.42578125" style="170" customWidth="1" collapsed="1"/>
    <col min="8" max="8" width="1.7109375" style="170" customWidth="1" collapsed="1"/>
    <col min="9" max="9" width="15.5703125" style="170" customWidth="1" collapsed="1"/>
    <col min="10" max="10" width="11.42578125" style="170" customWidth="1" collapsed="1"/>
    <col min="11" max="11" width="1.7109375" style="170" customWidth="1" collapsed="1"/>
    <col min="12" max="12" width="15.42578125" style="170" customWidth="1" collapsed="1"/>
    <col min="13" max="13" width="11.42578125" style="170" customWidth="1" collapsed="1"/>
    <col min="14" max="14" width="1.7109375" style="170" customWidth="1" collapsed="1"/>
    <col min="15" max="15" width="16.5703125" style="170" customWidth="1" collapsed="1"/>
    <col min="16" max="16" width="11.42578125" style="170" customWidth="1" collapsed="1"/>
    <col min="17" max="17" width="1.7109375" style="170" customWidth="1" collapsed="1"/>
    <col min="18" max="18" width="16.85546875" style="170" customWidth="1"/>
    <col min="19" max="19" width="11.42578125" style="170" customWidth="1"/>
    <col min="20" max="20" width="1.7109375" style="170" customWidth="1"/>
    <col min="21" max="21" width="16.28515625" style="170" customWidth="1" collapsed="1"/>
    <col min="22" max="33" width="11.42578125" style="170"/>
    <col min="34" max="34" width="11.42578125" style="170" collapsed="1"/>
    <col min="35" max="36" width="11.42578125" style="170"/>
    <col min="37" max="16384" width="11.42578125" style="170" collapsed="1"/>
  </cols>
  <sheetData>
    <row r="1" spans="1:22" s="166" customFormat="1" ht="14.1" customHeight="1" x14ac:dyDescent="0.2">
      <c r="A1" s="66"/>
      <c r="B1" s="485" t="s">
        <v>144</v>
      </c>
      <c r="C1" s="164"/>
      <c r="D1" s="165"/>
      <c r="E1" s="165"/>
      <c r="F1" s="165"/>
      <c r="V1" s="85" t="s">
        <v>118</v>
      </c>
    </row>
    <row r="2" spans="1:22" s="166" customFormat="1" ht="6.95" customHeight="1" x14ac:dyDescent="0.2">
      <c r="A2" s="66"/>
      <c r="B2" s="485"/>
      <c r="C2" s="164"/>
      <c r="D2" s="165"/>
      <c r="E2" s="165"/>
      <c r="F2" s="165"/>
    </row>
    <row r="3" spans="1:22" s="166" customFormat="1" ht="14.1" customHeight="1" x14ac:dyDescent="0.2">
      <c r="A3" s="66"/>
      <c r="B3" s="485" t="s">
        <v>142</v>
      </c>
      <c r="C3" s="167"/>
      <c r="D3" s="167"/>
      <c r="E3" s="167"/>
      <c r="F3" s="167"/>
      <c r="G3" s="167"/>
    </row>
    <row r="4" spans="1:22" s="166" customFormat="1" ht="6.95" customHeight="1" x14ac:dyDescent="0.2">
      <c r="A4" s="66"/>
      <c r="C4" s="164"/>
      <c r="D4" s="164"/>
      <c r="E4" s="164"/>
      <c r="F4" s="164"/>
    </row>
    <row r="5" spans="1:22" s="166" customFormat="1" ht="20.100000000000001" customHeight="1" x14ac:dyDescent="0.2">
      <c r="A5" s="66"/>
      <c r="B5" s="532" t="s">
        <v>58</v>
      </c>
      <c r="C5" s="532"/>
      <c r="D5" s="532"/>
      <c r="E5" s="532"/>
      <c r="F5" s="532"/>
      <c r="G5" s="532"/>
      <c r="H5" s="532"/>
      <c r="I5" s="532"/>
      <c r="J5" s="532"/>
      <c r="K5" s="532"/>
      <c r="L5" s="532"/>
      <c r="M5" s="532"/>
      <c r="N5" s="532"/>
      <c r="O5" s="532"/>
      <c r="P5" s="532"/>
      <c r="Q5" s="532"/>
      <c r="R5" s="532"/>
      <c r="S5" s="532"/>
      <c r="T5" s="532"/>
      <c r="U5" s="70"/>
      <c r="V5" s="75" t="s">
        <v>90</v>
      </c>
    </row>
    <row r="6" spans="1:22" ht="6" customHeight="1" x14ac:dyDescent="0.2">
      <c r="A6" s="66"/>
      <c r="B6" s="168"/>
      <c r="C6" s="533"/>
      <c r="D6" s="533"/>
      <c r="E6" s="533"/>
      <c r="F6" s="534"/>
      <c r="G6" s="534"/>
      <c r="H6" s="534"/>
      <c r="I6" s="534"/>
      <c r="J6" s="534"/>
      <c r="K6" s="534"/>
      <c r="L6" s="534"/>
      <c r="M6" s="535"/>
      <c r="N6" s="535"/>
      <c r="O6" s="535"/>
      <c r="P6" s="169"/>
    </row>
    <row r="7" spans="1:22" ht="15" customHeight="1" x14ac:dyDescent="0.2">
      <c r="A7" s="66"/>
      <c r="B7" s="536" t="s">
        <v>22</v>
      </c>
      <c r="C7" s="536"/>
      <c r="D7" s="539" t="s">
        <v>23</v>
      </c>
      <c r="E7" s="171"/>
      <c r="F7" s="531" t="s">
        <v>59</v>
      </c>
      <c r="G7" s="531"/>
      <c r="H7" s="531"/>
      <c r="I7" s="531"/>
      <c r="J7" s="531"/>
      <c r="K7" s="531"/>
      <c r="L7" s="531"/>
      <c r="M7" s="531"/>
      <c r="N7" s="531"/>
      <c r="O7" s="531"/>
      <c r="P7" s="531"/>
      <c r="Q7" s="531"/>
      <c r="R7" s="531"/>
      <c r="S7" s="531"/>
      <c r="T7" s="531"/>
      <c r="U7" s="531"/>
      <c r="V7" s="531"/>
    </row>
    <row r="8" spans="1:22" ht="27" customHeight="1" x14ac:dyDescent="0.2">
      <c r="A8" s="66"/>
      <c r="B8" s="537"/>
      <c r="C8" s="537"/>
      <c r="D8" s="540"/>
      <c r="E8" s="172"/>
      <c r="F8" s="542" t="s">
        <v>60</v>
      </c>
      <c r="G8" s="542"/>
      <c r="H8" s="172"/>
      <c r="I8" s="542" t="s">
        <v>61</v>
      </c>
      <c r="J8" s="542"/>
      <c r="K8" s="173"/>
      <c r="L8" s="542" t="s">
        <v>77</v>
      </c>
      <c r="M8" s="542"/>
      <c r="N8" s="173"/>
      <c r="O8" s="531" t="s">
        <v>78</v>
      </c>
      <c r="P8" s="531"/>
      <c r="Q8" s="174"/>
      <c r="R8" s="531" t="s">
        <v>62</v>
      </c>
      <c r="S8" s="531"/>
      <c r="T8" s="174"/>
      <c r="U8" s="531" t="s">
        <v>19</v>
      </c>
      <c r="V8" s="531"/>
    </row>
    <row r="9" spans="1:22" ht="15" customHeight="1" x14ac:dyDescent="0.2">
      <c r="A9" s="12"/>
      <c r="B9" s="538"/>
      <c r="C9" s="538"/>
      <c r="D9" s="541"/>
      <c r="E9" s="175"/>
      <c r="F9" s="63" t="s">
        <v>13</v>
      </c>
      <c r="G9" s="63" t="s">
        <v>14</v>
      </c>
      <c r="H9" s="175"/>
      <c r="I9" s="63" t="s">
        <v>13</v>
      </c>
      <c r="J9" s="63" t="s">
        <v>14</v>
      </c>
      <c r="K9" s="176"/>
      <c r="L9" s="63" t="s">
        <v>13</v>
      </c>
      <c r="M9" s="63" t="s">
        <v>14</v>
      </c>
      <c r="N9" s="176"/>
      <c r="O9" s="63" t="s">
        <v>13</v>
      </c>
      <c r="P9" s="63" t="s">
        <v>14</v>
      </c>
      <c r="Q9" s="177"/>
      <c r="R9" s="63" t="s">
        <v>13</v>
      </c>
      <c r="S9" s="63" t="s">
        <v>14</v>
      </c>
      <c r="T9" s="177"/>
      <c r="U9" s="63" t="s">
        <v>13</v>
      </c>
      <c r="V9" s="63" t="s">
        <v>14</v>
      </c>
    </row>
    <row r="10" spans="1:22" ht="6" customHeight="1" x14ac:dyDescent="0.2">
      <c r="A10" s="67"/>
      <c r="B10" s="178"/>
      <c r="C10" s="178"/>
      <c r="D10" s="179"/>
      <c r="E10" s="179"/>
      <c r="F10" s="179"/>
      <c r="G10" s="173"/>
      <c r="H10" s="173"/>
      <c r="I10" s="180"/>
      <c r="J10" s="181"/>
      <c r="K10" s="181"/>
      <c r="L10" s="181"/>
      <c r="M10" s="181"/>
      <c r="N10" s="181"/>
      <c r="O10" s="181"/>
      <c r="P10" s="181"/>
    </row>
    <row r="11" spans="1:22" s="184" customFormat="1" ht="15" x14ac:dyDescent="0.2">
      <c r="A11" s="17"/>
      <c r="B11" s="10" t="s">
        <v>5</v>
      </c>
      <c r="C11" s="182"/>
      <c r="D11" s="99">
        <v>55147</v>
      </c>
      <c r="E11" s="183"/>
      <c r="F11" s="99">
        <v>4904</v>
      </c>
      <c r="G11" s="102">
        <v>8.8925961520999994</v>
      </c>
      <c r="H11" s="183"/>
      <c r="I11" s="99">
        <v>7431</v>
      </c>
      <c r="J11" s="102">
        <v>13.4748943732</v>
      </c>
      <c r="K11" s="50"/>
      <c r="L11" s="99">
        <v>16221</v>
      </c>
      <c r="M11" s="102">
        <v>29.414111375099999</v>
      </c>
      <c r="N11" s="183"/>
      <c r="O11" s="99">
        <v>11400</v>
      </c>
      <c r="P11" s="102">
        <v>20.672022050199999</v>
      </c>
      <c r="Q11" s="183"/>
      <c r="R11" s="99">
        <v>13350</v>
      </c>
      <c r="S11" s="102">
        <v>24.208025821900002</v>
      </c>
      <c r="T11" s="51"/>
      <c r="U11" s="99">
        <v>1841</v>
      </c>
      <c r="V11" s="102">
        <v>3.3383502275999999</v>
      </c>
    </row>
    <row r="12" spans="1:22" s="184" customFormat="1" ht="6" customHeight="1" x14ac:dyDescent="0.2">
      <c r="A12" s="11"/>
      <c r="B12" s="41"/>
      <c r="C12" s="182"/>
      <c r="D12" s="100"/>
      <c r="E12" s="183"/>
      <c r="F12" s="100"/>
      <c r="G12" s="103"/>
      <c r="H12" s="183"/>
      <c r="I12" s="100"/>
      <c r="J12" s="103"/>
      <c r="K12" s="50"/>
      <c r="L12" s="100"/>
      <c r="M12" s="103"/>
      <c r="N12" s="183"/>
      <c r="O12" s="100"/>
      <c r="P12" s="103"/>
      <c r="Q12" s="183"/>
      <c r="R12" s="100"/>
      <c r="S12" s="103"/>
      <c r="T12" s="50"/>
      <c r="U12" s="100"/>
      <c r="V12" s="103"/>
    </row>
    <row r="13" spans="1:22" ht="12.75" customHeight="1" x14ac:dyDescent="0.2">
      <c r="A13" s="11"/>
      <c r="B13" s="13" t="s">
        <v>26</v>
      </c>
      <c r="C13" s="185"/>
      <c r="D13" s="101">
        <v>1783</v>
      </c>
      <c r="E13" s="186"/>
      <c r="F13" s="101">
        <v>123</v>
      </c>
      <c r="G13" s="104">
        <v>6.8984856983</v>
      </c>
      <c r="H13" s="186"/>
      <c r="I13" s="101">
        <v>179</v>
      </c>
      <c r="J13" s="104">
        <v>10.0392596747</v>
      </c>
      <c r="K13" s="50"/>
      <c r="L13" s="101">
        <v>557</v>
      </c>
      <c r="M13" s="104">
        <v>31.2394840157</v>
      </c>
      <c r="N13" s="186"/>
      <c r="O13" s="101">
        <v>364</v>
      </c>
      <c r="P13" s="104">
        <v>20.415030846899999</v>
      </c>
      <c r="Q13" s="186"/>
      <c r="R13" s="101">
        <v>435</v>
      </c>
      <c r="S13" s="104">
        <v>24.397083566999999</v>
      </c>
      <c r="T13" s="52"/>
      <c r="U13" s="101">
        <v>125</v>
      </c>
      <c r="V13" s="104">
        <v>7.0106561974000003</v>
      </c>
    </row>
    <row r="14" spans="1:22" ht="12.75" customHeight="1" x14ac:dyDescent="0.2">
      <c r="A14" s="11"/>
      <c r="B14" s="13" t="s">
        <v>27</v>
      </c>
      <c r="C14" s="185"/>
      <c r="D14" s="101">
        <v>1750</v>
      </c>
      <c r="E14" s="186"/>
      <c r="F14" s="101">
        <v>111</v>
      </c>
      <c r="G14" s="104">
        <v>6.3428571428999998</v>
      </c>
      <c r="H14" s="186"/>
      <c r="I14" s="101">
        <v>229</v>
      </c>
      <c r="J14" s="104">
        <v>13.0857142857</v>
      </c>
      <c r="K14" s="50"/>
      <c r="L14" s="101">
        <v>648</v>
      </c>
      <c r="M14" s="104">
        <v>37.028571428600003</v>
      </c>
      <c r="N14" s="186"/>
      <c r="O14" s="101">
        <v>368</v>
      </c>
      <c r="P14" s="104">
        <v>21.028571428599999</v>
      </c>
      <c r="Q14" s="186"/>
      <c r="R14" s="101">
        <v>373</v>
      </c>
      <c r="S14" s="104">
        <v>21.314285714299999</v>
      </c>
      <c r="T14" s="52"/>
      <c r="U14" s="101">
        <v>21</v>
      </c>
      <c r="V14" s="104">
        <v>1.2</v>
      </c>
    </row>
    <row r="15" spans="1:22" ht="12.75" customHeight="1" x14ac:dyDescent="0.2">
      <c r="A15" s="12"/>
      <c r="B15" s="13" t="s">
        <v>28</v>
      </c>
      <c r="C15" s="185"/>
      <c r="D15" s="101">
        <v>1639</v>
      </c>
      <c r="E15" s="186"/>
      <c r="F15" s="101">
        <v>233</v>
      </c>
      <c r="G15" s="104">
        <v>14.215985356899999</v>
      </c>
      <c r="H15" s="186"/>
      <c r="I15" s="101">
        <v>309</v>
      </c>
      <c r="J15" s="104">
        <v>18.852959121400001</v>
      </c>
      <c r="K15" s="50"/>
      <c r="L15" s="101">
        <v>532</v>
      </c>
      <c r="M15" s="104">
        <v>32.458816351400003</v>
      </c>
      <c r="N15" s="186"/>
      <c r="O15" s="101">
        <v>241</v>
      </c>
      <c r="P15" s="104">
        <v>14.704087858499999</v>
      </c>
      <c r="Q15" s="186"/>
      <c r="R15" s="101">
        <v>238</v>
      </c>
      <c r="S15" s="104">
        <v>14.521049420400001</v>
      </c>
      <c r="T15" s="52"/>
      <c r="U15" s="101">
        <v>86</v>
      </c>
      <c r="V15" s="104">
        <v>5.2471018913999998</v>
      </c>
    </row>
    <row r="16" spans="1:22" ht="12.75" customHeight="1" x14ac:dyDescent="0.2">
      <c r="A16" s="12"/>
      <c r="B16" s="13" t="s">
        <v>29</v>
      </c>
      <c r="C16" s="185"/>
      <c r="D16" s="101">
        <v>1723</v>
      </c>
      <c r="E16" s="186"/>
      <c r="F16" s="101">
        <v>198</v>
      </c>
      <c r="G16" s="104">
        <v>11.491584445699999</v>
      </c>
      <c r="H16" s="186"/>
      <c r="I16" s="101">
        <v>311</v>
      </c>
      <c r="J16" s="104">
        <v>18.049912942500001</v>
      </c>
      <c r="K16" s="50"/>
      <c r="L16" s="101">
        <v>473</v>
      </c>
      <c r="M16" s="104">
        <v>27.452118398100001</v>
      </c>
      <c r="N16" s="186"/>
      <c r="O16" s="101">
        <v>323</v>
      </c>
      <c r="P16" s="104">
        <v>18.7463726059</v>
      </c>
      <c r="Q16" s="186"/>
      <c r="R16" s="101">
        <v>356</v>
      </c>
      <c r="S16" s="104">
        <v>20.661636680200001</v>
      </c>
      <c r="T16" s="52"/>
      <c r="U16" s="101">
        <v>62</v>
      </c>
      <c r="V16" s="104">
        <v>3.5983749275000001</v>
      </c>
    </row>
    <row r="17" spans="1:22" ht="12.75" customHeight="1" x14ac:dyDescent="0.2">
      <c r="A17" s="12"/>
      <c r="B17" s="13" t="s">
        <v>30</v>
      </c>
      <c r="C17" s="185"/>
      <c r="D17" s="94">
        <v>1654</v>
      </c>
      <c r="E17" s="186"/>
      <c r="F17" s="94">
        <v>131</v>
      </c>
      <c r="G17" s="97">
        <v>7.9201934704000001</v>
      </c>
      <c r="H17" s="186"/>
      <c r="I17" s="94">
        <v>173</v>
      </c>
      <c r="J17" s="97">
        <v>10.4594921403</v>
      </c>
      <c r="K17" s="50"/>
      <c r="L17" s="94">
        <v>464</v>
      </c>
      <c r="M17" s="97">
        <v>28.0532043531</v>
      </c>
      <c r="N17" s="186"/>
      <c r="O17" s="94">
        <v>340</v>
      </c>
      <c r="P17" s="97">
        <v>20.5562273277</v>
      </c>
      <c r="Q17" s="186"/>
      <c r="R17" s="94">
        <v>451</v>
      </c>
      <c r="S17" s="97">
        <v>27.267230955300001</v>
      </c>
      <c r="T17" s="53"/>
      <c r="U17" s="94">
        <v>95</v>
      </c>
      <c r="V17" s="97">
        <v>5.7436517533</v>
      </c>
    </row>
    <row r="18" spans="1:22" ht="12.75" customHeight="1" x14ac:dyDescent="0.2">
      <c r="A18" s="21"/>
      <c r="B18" s="13" t="s">
        <v>31</v>
      </c>
      <c r="C18" s="185"/>
      <c r="D18" s="94">
        <v>1696</v>
      </c>
      <c r="E18" s="186"/>
      <c r="F18" s="94">
        <v>155</v>
      </c>
      <c r="G18" s="97">
        <v>9.1391509434000007</v>
      </c>
      <c r="H18" s="186"/>
      <c r="I18" s="94">
        <v>220</v>
      </c>
      <c r="J18" s="97">
        <v>12.9716981132</v>
      </c>
      <c r="K18" s="50"/>
      <c r="L18" s="94">
        <v>552</v>
      </c>
      <c r="M18" s="97">
        <v>32.547169811300002</v>
      </c>
      <c r="N18" s="186"/>
      <c r="O18" s="94">
        <v>355</v>
      </c>
      <c r="P18" s="97">
        <v>20.931603773599999</v>
      </c>
      <c r="Q18" s="186"/>
      <c r="R18" s="94">
        <v>328</v>
      </c>
      <c r="S18" s="97">
        <v>19.3396226415</v>
      </c>
      <c r="T18" s="53"/>
      <c r="U18" s="94">
        <v>86</v>
      </c>
      <c r="V18" s="97">
        <v>5.0707547169999998</v>
      </c>
    </row>
    <row r="19" spans="1:22" ht="12.75" customHeight="1" x14ac:dyDescent="0.2">
      <c r="A19" s="21"/>
      <c r="B19" s="13" t="s">
        <v>32</v>
      </c>
      <c r="C19" s="185"/>
      <c r="D19" s="101">
        <v>1795</v>
      </c>
      <c r="E19" s="186"/>
      <c r="F19" s="101">
        <v>261</v>
      </c>
      <c r="G19" s="104">
        <v>14.5403899721</v>
      </c>
      <c r="H19" s="186"/>
      <c r="I19" s="101">
        <v>350</v>
      </c>
      <c r="J19" s="104">
        <v>19.4986072423</v>
      </c>
      <c r="K19" s="50"/>
      <c r="L19" s="101">
        <v>535</v>
      </c>
      <c r="M19" s="104">
        <v>29.805013927600001</v>
      </c>
      <c r="N19" s="186"/>
      <c r="O19" s="101">
        <v>320</v>
      </c>
      <c r="P19" s="104">
        <v>17.827298050100001</v>
      </c>
      <c r="Q19" s="186"/>
      <c r="R19" s="101">
        <v>277</v>
      </c>
      <c r="S19" s="104">
        <v>15.431754874699999</v>
      </c>
      <c r="T19" s="52"/>
      <c r="U19" s="101">
        <v>52</v>
      </c>
      <c r="V19" s="104">
        <v>2.8969359331</v>
      </c>
    </row>
    <row r="20" spans="1:22" ht="12.75" customHeight="1" x14ac:dyDescent="0.2">
      <c r="B20" s="13" t="s">
        <v>33</v>
      </c>
      <c r="C20" s="185"/>
      <c r="D20" s="101">
        <v>1721</v>
      </c>
      <c r="E20" s="186"/>
      <c r="F20" s="101">
        <v>95</v>
      </c>
      <c r="G20" s="104">
        <v>5.5200464845999999</v>
      </c>
      <c r="H20" s="186"/>
      <c r="I20" s="101">
        <v>175</v>
      </c>
      <c r="J20" s="104">
        <v>10.1685066822</v>
      </c>
      <c r="K20" s="50"/>
      <c r="L20" s="101">
        <v>542</v>
      </c>
      <c r="M20" s="104">
        <v>31.493317838500001</v>
      </c>
      <c r="N20" s="186"/>
      <c r="O20" s="101">
        <v>391</v>
      </c>
      <c r="P20" s="104">
        <v>22.719349215600001</v>
      </c>
      <c r="Q20" s="186"/>
      <c r="R20" s="101">
        <v>462</v>
      </c>
      <c r="S20" s="104">
        <v>26.844857640899999</v>
      </c>
      <c r="T20" s="52"/>
      <c r="U20" s="101">
        <v>56</v>
      </c>
      <c r="V20" s="104">
        <v>3.2539221383000001</v>
      </c>
    </row>
    <row r="21" spans="1:22" ht="12.75" customHeight="1" x14ac:dyDescent="0.2">
      <c r="B21" s="13" t="s">
        <v>34</v>
      </c>
      <c r="C21" s="185"/>
      <c r="D21" s="101">
        <v>1667</v>
      </c>
      <c r="E21" s="186"/>
      <c r="F21" s="101">
        <v>98</v>
      </c>
      <c r="G21" s="104">
        <v>5.8788242351999997</v>
      </c>
      <c r="H21" s="186"/>
      <c r="I21" s="101">
        <v>159</v>
      </c>
      <c r="J21" s="104">
        <v>9.5380923815000003</v>
      </c>
      <c r="K21" s="50"/>
      <c r="L21" s="101">
        <v>333</v>
      </c>
      <c r="M21" s="104">
        <v>19.976004798999998</v>
      </c>
      <c r="N21" s="186"/>
      <c r="O21" s="101">
        <v>315</v>
      </c>
      <c r="P21" s="104">
        <v>18.896220755800002</v>
      </c>
      <c r="Q21" s="186"/>
      <c r="R21" s="101">
        <v>660</v>
      </c>
      <c r="S21" s="104">
        <v>39.592081583700001</v>
      </c>
      <c r="T21" s="52"/>
      <c r="U21" s="101">
        <v>102</v>
      </c>
      <c r="V21" s="104">
        <v>6.1187762448000003</v>
      </c>
    </row>
    <row r="22" spans="1:22" ht="12.75" customHeight="1" x14ac:dyDescent="0.2">
      <c r="B22" s="13" t="s">
        <v>35</v>
      </c>
      <c r="C22" s="185"/>
      <c r="D22" s="101">
        <v>1688</v>
      </c>
      <c r="E22" s="186"/>
      <c r="F22" s="101">
        <v>132</v>
      </c>
      <c r="G22" s="104">
        <v>7.8199052133000002</v>
      </c>
      <c r="H22" s="186"/>
      <c r="I22" s="101">
        <v>179</v>
      </c>
      <c r="J22" s="104">
        <v>10.604265402799999</v>
      </c>
      <c r="K22" s="50"/>
      <c r="L22" s="101">
        <v>433</v>
      </c>
      <c r="M22" s="104">
        <v>25.651658767800001</v>
      </c>
      <c r="N22" s="186"/>
      <c r="O22" s="101">
        <v>359</v>
      </c>
      <c r="P22" s="104">
        <v>21.267772511800001</v>
      </c>
      <c r="Q22" s="186"/>
      <c r="R22" s="101">
        <v>533</v>
      </c>
      <c r="S22" s="104">
        <v>31.5758293839</v>
      </c>
      <c r="T22" s="52"/>
      <c r="U22" s="101">
        <v>52</v>
      </c>
      <c r="V22" s="104">
        <v>3.0805687204000001</v>
      </c>
    </row>
    <row r="23" spans="1:22" ht="12.75" customHeight="1" x14ac:dyDescent="0.2">
      <c r="B23" s="13" t="s">
        <v>36</v>
      </c>
      <c r="C23" s="185"/>
      <c r="D23" s="101">
        <v>1780</v>
      </c>
      <c r="E23" s="186"/>
      <c r="F23" s="101">
        <v>154</v>
      </c>
      <c r="G23" s="104">
        <v>8.6516853932999993</v>
      </c>
      <c r="H23" s="186"/>
      <c r="I23" s="101">
        <v>212</v>
      </c>
      <c r="J23" s="104">
        <v>11.910112359599999</v>
      </c>
      <c r="K23" s="50"/>
      <c r="L23" s="101">
        <v>529</v>
      </c>
      <c r="M23" s="104">
        <v>29.719101123600002</v>
      </c>
      <c r="N23" s="186"/>
      <c r="O23" s="101">
        <v>382</v>
      </c>
      <c r="P23" s="104">
        <v>21.460674157300001</v>
      </c>
      <c r="Q23" s="186"/>
      <c r="R23" s="101">
        <v>447</v>
      </c>
      <c r="S23" s="104">
        <v>25.112359550600001</v>
      </c>
      <c r="T23" s="52"/>
      <c r="U23" s="101">
        <v>56</v>
      </c>
      <c r="V23" s="104">
        <v>3.1460674157000001</v>
      </c>
    </row>
    <row r="24" spans="1:22" ht="12.75" customHeight="1" x14ac:dyDescent="0.2">
      <c r="B24" s="13" t="s">
        <v>37</v>
      </c>
      <c r="C24" s="185"/>
      <c r="D24" s="101">
        <v>1688</v>
      </c>
      <c r="E24" s="186"/>
      <c r="F24" s="101">
        <v>209</v>
      </c>
      <c r="G24" s="104">
        <v>12.3815165877</v>
      </c>
      <c r="H24" s="186"/>
      <c r="I24" s="101">
        <v>284</v>
      </c>
      <c r="J24" s="104">
        <v>16.824644549799999</v>
      </c>
      <c r="K24" s="50"/>
      <c r="L24" s="101">
        <v>459</v>
      </c>
      <c r="M24" s="104">
        <v>27.191943127999998</v>
      </c>
      <c r="N24" s="186"/>
      <c r="O24" s="101">
        <v>350</v>
      </c>
      <c r="P24" s="104">
        <v>20.7345971564</v>
      </c>
      <c r="Q24" s="186"/>
      <c r="R24" s="101">
        <v>344</v>
      </c>
      <c r="S24" s="104">
        <v>20.3791469194</v>
      </c>
      <c r="T24" s="52"/>
      <c r="U24" s="101">
        <v>42</v>
      </c>
      <c r="V24" s="104">
        <v>2.4881516588000001</v>
      </c>
    </row>
    <row r="25" spans="1:22" ht="12.75" customHeight="1" x14ac:dyDescent="0.2">
      <c r="B25" s="13" t="s">
        <v>38</v>
      </c>
      <c r="C25" s="185"/>
      <c r="D25" s="101">
        <v>1700</v>
      </c>
      <c r="E25" s="186"/>
      <c r="F25" s="101">
        <v>175</v>
      </c>
      <c r="G25" s="104">
        <v>10.2941176471</v>
      </c>
      <c r="H25" s="186"/>
      <c r="I25" s="101">
        <v>220</v>
      </c>
      <c r="J25" s="104">
        <v>12.9411764706</v>
      </c>
      <c r="K25" s="50"/>
      <c r="L25" s="101">
        <v>496</v>
      </c>
      <c r="M25" s="104">
        <v>29.176470588200001</v>
      </c>
      <c r="N25" s="186"/>
      <c r="O25" s="101">
        <v>372</v>
      </c>
      <c r="P25" s="104">
        <v>21.882352941200001</v>
      </c>
      <c r="Q25" s="186"/>
      <c r="R25" s="101">
        <v>377</v>
      </c>
      <c r="S25" s="104">
        <v>22.176470588200001</v>
      </c>
      <c r="T25" s="52"/>
      <c r="U25" s="101">
        <v>60</v>
      </c>
      <c r="V25" s="104">
        <v>3.5294117646999998</v>
      </c>
    </row>
    <row r="26" spans="1:22" ht="12.75" customHeight="1" x14ac:dyDescent="0.2">
      <c r="B26" s="13" t="s">
        <v>39</v>
      </c>
      <c r="C26" s="185"/>
      <c r="D26" s="101">
        <v>1697</v>
      </c>
      <c r="E26" s="186"/>
      <c r="F26" s="101">
        <v>68</v>
      </c>
      <c r="G26" s="104">
        <v>4.0070713023</v>
      </c>
      <c r="H26" s="186"/>
      <c r="I26" s="101">
        <v>208</v>
      </c>
      <c r="J26" s="104">
        <v>12.2569239835</v>
      </c>
      <c r="K26" s="50"/>
      <c r="L26" s="101">
        <v>524</v>
      </c>
      <c r="M26" s="104">
        <v>30.878020035399999</v>
      </c>
      <c r="N26" s="186"/>
      <c r="O26" s="101">
        <v>345</v>
      </c>
      <c r="P26" s="104">
        <v>20.329994107200001</v>
      </c>
      <c r="Q26" s="186"/>
      <c r="R26" s="101">
        <v>522</v>
      </c>
      <c r="S26" s="104">
        <v>30.760164997099999</v>
      </c>
      <c r="T26" s="52"/>
      <c r="U26" s="101">
        <v>30</v>
      </c>
      <c r="V26" s="104">
        <v>1.7678255745</v>
      </c>
    </row>
    <row r="27" spans="1:22" ht="12.75" customHeight="1" x14ac:dyDescent="0.2">
      <c r="B27" s="13" t="s">
        <v>40</v>
      </c>
      <c r="C27" s="185"/>
      <c r="D27" s="101">
        <v>1730</v>
      </c>
      <c r="E27" s="186"/>
      <c r="F27" s="101">
        <v>150</v>
      </c>
      <c r="G27" s="104">
        <v>8.6705202311999994</v>
      </c>
      <c r="H27" s="186"/>
      <c r="I27" s="101">
        <v>201</v>
      </c>
      <c r="J27" s="104">
        <v>11.6184971098</v>
      </c>
      <c r="K27" s="50"/>
      <c r="L27" s="101">
        <v>447</v>
      </c>
      <c r="M27" s="104">
        <v>25.838150289000001</v>
      </c>
      <c r="N27" s="186"/>
      <c r="O27" s="101">
        <v>391</v>
      </c>
      <c r="P27" s="104">
        <v>22.601156069400002</v>
      </c>
      <c r="Q27" s="186"/>
      <c r="R27" s="101">
        <v>413</v>
      </c>
      <c r="S27" s="104">
        <v>23.872832369899999</v>
      </c>
      <c r="T27" s="52"/>
      <c r="U27" s="101">
        <v>128</v>
      </c>
      <c r="V27" s="104">
        <v>7.3988439306</v>
      </c>
    </row>
    <row r="28" spans="1:22" ht="12.75" customHeight="1" x14ac:dyDescent="0.2">
      <c r="B28" s="13" t="s">
        <v>41</v>
      </c>
      <c r="C28" s="185"/>
      <c r="D28" s="101">
        <v>1812</v>
      </c>
      <c r="E28" s="186"/>
      <c r="F28" s="101">
        <v>166</v>
      </c>
      <c r="G28" s="104">
        <v>9.1611479028999998</v>
      </c>
      <c r="H28" s="186"/>
      <c r="I28" s="101">
        <v>282</v>
      </c>
      <c r="J28" s="104">
        <v>15.5629139073</v>
      </c>
      <c r="K28" s="50"/>
      <c r="L28" s="101">
        <v>514</v>
      </c>
      <c r="M28" s="104">
        <v>28.366445916100002</v>
      </c>
      <c r="N28" s="186"/>
      <c r="O28" s="101">
        <v>359</v>
      </c>
      <c r="P28" s="104">
        <v>19.812362030900001</v>
      </c>
      <c r="Q28" s="186"/>
      <c r="R28" s="101">
        <v>466</v>
      </c>
      <c r="S28" s="104">
        <v>25.717439293599998</v>
      </c>
      <c r="T28" s="52"/>
      <c r="U28" s="101">
        <v>25</v>
      </c>
      <c r="V28" s="104">
        <v>1.3796909492</v>
      </c>
    </row>
    <row r="29" spans="1:22" ht="12.75" customHeight="1" x14ac:dyDescent="0.2">
      <c r="B29" s="13" t="s">
        <v>42</v>
      </c>
      <c r="C29" s="185"/>
      <c r="D29" s="101">
        <v>1693</v>
      </c>
      <c r="E29" s="186"/>
      <c r="F29" s="101">
        <v>115</v>
      </c>
      <c r="G29" s="104">
        <v>6.7926757236000004</v>
      </c>
      <c r="H29" s="186"/>
      <c r="I29" s="101">
        <v>233</v>
      </c>
      <c r="J29" s="104">
        <v>13.7625516834</v>
      </c>
      <c r="K29" s="50"/>
      <c r="L29" s="101">
        <v>410</v>
      </c>
      <c r="M29" s="104">
        <v>24.217365623199999</v>
      </c>
      <c r="N29" s="186"/>
      <c r="O29" s="101">
        <v>375</v>
      </c>
      <c r="P29" s="104">
        <v>22.150029533400001</v>
      </c>
      <c r="Q29" s="186"/>
      <c r="R29" s="101">
        <v>482</v>
      </c>
      <c r="S29" s="104">
        <v>28.4701712936</v>
      </c>
      <c r="T29" s="52"/>
      <c r="U29" s="101">
        <v>78</v>
      </c>
      <c r="V29" s="104">
        <v>4.6072061429</v>
      </c>
    </row>
    <row r="30" spans="1:22" ht="12.75" customHeight="1" x14ac:dyDescent="0.2">
      <c r="B30" s="13" t="s">
        <v>43</v>
      </c>
      <c r="C30" s="185"/>
      <c r="D30" s="101">
        <v>1751</v>
      </c>
      <c r="E30" s="186"/>
      <c r="F30" s="101">
        <v>150</v>
      </c>
      <c r="G30" s="104">
        <v>8.5665334094999999</v>
      </c>
      <c r="H30" s="186"/>
      <c r="I30" s="101">
        <v>246</v>
      </c>
      <c r="J30" s="104">
        <v>14.049114791499999</v>
      </c>
      <c r="K30" s="50"/>
      <c r="L30" s="101">
        <v>466</v>
      </c>
      <c r="M30" s="104">
        <v>26.613363792099999</v>
      </c>
      <c r="N30" s="186"/>
      <c r="O30" s="101">
        <v>359</v>
      </c>
      <c r="P30" s="104">
        <v>20.502569959999999</v>
      </c>
      <c r="Q30" s="186"/>
      <c r="R30" s="101">
        <v>474</v>
      </c>
      <c r="S30" s="104">
        <v>27.070245574000001</v>
      </c>
      <c r="T30" s="52"/>
      <c r="U30" s="101">
        <v>56</v>
      </c>
      <c r="V30" s="104">
        <v>3.1981724729000001</v>
      </c>
    </row>
    <row r="31" spans="1:22" ht="12.75" customHeight="1" x14ac:dyDescent="0.2">
      <c r="B31" s="13" t="s">
        <v>44</v>
      </c>
      <c r="C31" s="185"/>
      <c r="D31" s="101">
        <v>1728</v>
      </c>
      <c r="E31" s="186"/>
      <c r="F31" s="101">
        <v>90</v>
      </c>
      <c r="G31" s="104">
        <v>5.2083333332999997</v>
      </c>
      <c r="H31" s="186"/>
      <c r="I31" s="101">
        <v>174</v>
      </c>
      <c r="J31" s="104">
        <v>10.0694444444</v>
      </c>
      <c r="K31" s="50"/>
      <c r="L31" s="101">
        <v>483</v>
      </c>
      <c r="M31" s="104">
        <v>27.951388888899999</v>
      </c>
      <c r="N31" s="186"/>
      <c r="O31" s="101">
        <v>407</v>
      </c>
      <c r="P31" s="104">
        <v>23.553240740700002</v>
      </c>
      <c r="Q31" s="186"/>
      <c r="R31" s="101">
        <v>536</v>
      </c>
      <c r="S31" s="104">
        <v>31.018518518499999</v>
      </c>
      <c r="T31" s="52"/>
      <c r="U31" s="101">
        <v>38</v>
      </c>
      <c r="V31" s="104">
        <v>2.1990740740999999</v>
      </c>
    </row>
    <row r="32" spans="1:22" ht="12.75" customHeight="1" x14ac:dyDescent="0.2">
      <c r="B32" s="13" t="s">
        <v>45</v>
      </c>
      <c r="C32" s="185"/>
      <c r="D32" s="101">
        <v>1733</v>
      </c>
      <c r="E32" s="186"/>
      <c r="F32" s="101">
        <v>220</v>
      </c>
      <c r="G32" s="104">
        <v>12.694748990200001</v>
      </c>
      <c r="H32" s="186"/>
      <c r="I32" s="101">
        <v>291</v>
      </c>
      <c r="J32" s="104">
        <v>16.791690709800001</v>
      </c>
      <c r="K32" s="50"/>
      <c r="L32" s="101">
        <v>520</v>
      </c>
      <c r="M32" s="104">
        <v>30.0057703405</v>
      </c>
      <c r="N32" s="186"/>
      <c r="O32" s="101">
        <v>318</v>
      </c>
      <c r="P32" s="104">
        <v>18.349682631299999</v>
      </c>
      <c r="Q32" s="186"/>
      <c r="R32" s="101">
        <v>330</v>
      </c>
      <c r="S32" s="104">
        <v>19.042123485299999</v>
      </c>
      <c r="T32" s="52"/>
      <c r="U32" s="101">
        <v>54</v>
      </c>
      <c r="V32" s="104">
        <v>3.115983843</v>
      </c>
    </row>
    <row r="33" spans="2:22" ht="12.75" customHeight="1" x14ac:dyDescent="0.2">
      <c r="B33" s="13" t="s">
        <v>46</v>
      </c>
      <c r="C33" s="185"/>
      <c r="D33" s="101">
        <v>1740</v>
      </c>
      <c r="E33" s="186"/>
      <c r="F33" s="101">
        <v>178</v>
      </c>
      <c r="G33" s="104">
        <v>10.229885057500001</v>
      </c>
      <c r="H33" s="186"/>
      <c r="I33" s="101">
        <v>277</v>
      </c>
      <c r="J33" s="104">
        <v>15.919540229900001</v>
      </c>
      <c r="K33" s="50"/>
      <c r="L33" s="101">
        <v>543</v>
      </c>
      <c r="M33" s="104">
        <v>31.206896551700002</v>
      </c>
      <c r="N33" s="186"/>
      <c r="O33" s="101">
        <v>347</v>
      </c>
      <c r="P33" s="104">
        <v>19.9425287356</v>
      </c>
      <c r="Q33" s="186"/>
      <c r="R33" s="101">
        <v>357</v>
      </c>
      <c r="S33" s="104">
        <v>20.5172413793</v>
      </c>
      <c r="T33" s="52"/>
      <c r="U33" s="101">
        <v>38</v>
      </c>
      <c r="V33" s="104">
        <v>2.183908046</v>
      </c>
    </row>
    <row r="34" spans="2:22" ht="12.75" customHeight="1" x14ac:dyDescent="0.2">
      <c r="B34" s="13" t="s">
        <v>47</v>
      </c>
      <c r="C34" s="185"/>
      <c r="D34" s="101">
        <v>1706</v>
      </c>
      <c r="E34" s="186"/>
      <c r="F34" s="101">
        <v>145</v>
      </c>
      <c r="G34" s="104">
        <v>8.4994138335000002</v>
      </c>
      <c r="H34" s="186"/>
      <c r="I34" s="101">
        <v>237</v>
      </c>
      <c r="J34" s="104">
        <v>13.8921453693</v>
      </c>
      <c r="K34" s="50"/>
      <c r="L34" s="101">
        <v>555</v>
      </c>
      <c r="M34" s="104">
        <v>32.532239155900001</v>
      </c>
      <c r="N34" s="186"/>
      <c r="O34" s="101">
        <v>374</v>
      </c>
      <c r="P34" s="104">
        <v>21.9226260258</v>
      </c>
      <c r="Q34" s="186"/>
      <c r="R34" s="101">
        <v>352</v>
      </c>
      <c r="S34" s="104">
        <v>20.633059789000001</v>
      </c>
      <c r="T34" s="52"/>
      <c r="U34" s="101">
        <v>43</v>
      </c>
      <c r="V34" s="104">
        <v>2.5205158265000001</v>
      </c>
    </row>
    <row r="35" spans="2:22" ht="12.75" customHeight="1" x14ac:dyDescent="0.2">
      <c r="B35" s="13" t="s">
        <v>48</v>
      </c>
      <c r="C35" s="185"/>
      <c r="D35" s="101">
        <v>1664</v>
      </c>
      <c r="E35" s="186"/>
      <c r="F35" s="101">
        <v>149</v>
      </c>
      <c r="G35" s="104">
        <v>8.9543269231</v>
      </c>
      <c r="H35" s="186"/>
      <c r="I35" s="101">
        <v>274</v>
      </c>
      <c r="J35" s="104">
        <v>16.4663461538</v>
      </c>
      <c r="K35" s="50"/>
      <c r="L35" s="101">
        <v>614</v>
      </c>
      <c r="M35" s="104">
        <v>36.899038461499998</v>
      </c>
      <c r="N35" s="186"/>
      <c r="O35" s="101">
        <v>341</v>
      </c>
      <c r="P35" s="104">
        <v>20.492788461500002</v>
      </c>
      <c r="Q35" s="186"/>
      <c r="R35" s="101">
        <v>169</v>
      </c>
      <c r="S35" s="104">
        <v>10.15625</v>
      </c>
      <c r="T35" s="54"/>
      <c r="U35" s="101">
        <v>117</v>
      </c>
      <c r="V35" s="104">
        <v>7.03125</v>
      </c>
    </row>
    <row r="36" spans="2:22" ht="12.75" customHeight="1" x14ac:dyDescent="0.2">
      <c r="B36" s="13" t="s">
        <v>49</v>
      </c>
      <c r="C36" s="185"/>
      <c r="D36" s="101">
        <v>1734</v>
      </c>
      <c r="E36" s="186"/>
      <c r="F36" s="101">
        <v>109</v>
      </c>
      <c r="G36" s="104">
        <v>6.2860438292999996</v>
      </c>
      <c r="H36" s="186"/>
      <c r="I36" s="101">
        <v>186</v>
      </c>
      <c r="J36" s="104">
        <v>10.726643598600001</v>
      </c>
      <c r="K36" s="50"/>
      <c r="L36" s="101">
        <v>539</v>
      </c>
      <c r="M36" s="104">
        <v>31.084198385200001</v>
      </c>
      <c r="N36" s="186"/>
      <c r="O36" s="101">
        <v>373</v>
      </c>
      <c r="P36" s="104">
        <v>21.510957324100001</v>
      </c>
      <c r="Q36" s="186"/>
      <c r="R36" s="101">
        <v>511</v>
      </c>
      <c r="S36" s="104">
        <v>29.469434832800001</v>
      </c>
      <c r="T36" s="52"/>
      <c r="U36" s="101">
        <v>16</v>
      </c>
      <c r="V36" s="104">
        <v>0.92272202999999997</v>
      </c>
    </row>
    <row r="37" spans="2:22" ht="12.75" customHeight="1" x14ac:dyDescent="0.2">
      <c r="B37" s="13" t="s">
        <v>50</v>
      </c>
      <c r="C37" s="185"/>
      <c r="D37" s="101">
        <v>1770</v>
      </c>
      <c r="E37" s="186"/>
      <c r="F37" s="101">
        <v>123</v>
      </c>
      <c r="G37" s="104">
        <v>6.9491525424000002</v>
      </c>
      <c r="H37" s="186"/>
      <c r="I37" s="101">
        <v>206</v>
      </c>
      <c r="J37" s="104">
        <v>11.638418079099999</v>
      </c>
      <c r="K37" s="50"/>
      <c r="L37" s="101">
        <v>495</v>
      </c>
      <c r="M37" s="104">
        <v>27.966101694900001</v>
      </c>
      <c r="N37" s="186"/>
      <c r="O37" s="101">
        <v>432</v>
      </c>
      <c r="P37" s="104">
        <v>24.406779661000002</v>
      </c>
      <c r="Q37" s="186"/>
      <c r="R37" s="101">
        <v>467</v>
      </c>
      <c r="S37" s="104">
        <v>26.384180790999999</v>
      </c>
      <c r="T37" s="52"/>
      <c r="U37" s="101">
        <v>47</v>
      </c>
      <c r="V37" s="104">
        <v>2.6553672316000001</v>
      </c>
    </row>
    <row r="38" spans="2:22" ht="12.75" customHeight="1" x14ac:dyDescent="0.2">
      <c r="B38" s="13" t="s">
        <v>51</v>
      </c>
      <c r="C38" s="185"/>
      <c r="D38" s="101">
        <v>1778</v>
      </c>
      <c r="E38" s="186"/>
      <c r="F38" s="101">
        <v>142</v>
      </c>
      <c r="G38" s="104">
        <v>7.9865016872999997</v>
      </c>
      <c r="H38" s="186"/>
      <c r="I38" s="101">
        <v>199</v>
      </c>
      <c r="J38" s="104">
        <v>11.1923509561</v>
      </c>
      <c r="K38" s="50"/>
      <c r="L38" s="101">
        <v>503</v>
      </c>
      <c r="M38" s="104">
        <v>28.290213723299999</v>
      </c>
      <c r="N38" s="186"/>
      <c r="O38" s="101">
        <v>404</v>
      </c>
      <c r="P38" s="104">
        <v>22.722159730000001</v>
      </c>
      <c r="Q38" s="52"/>
      <c r="R38" s="101">
        <v>513</v>
      </c>
      <c r="S38" s="104">
        <v>28.8526434196</v>
      </c>
      <c r="T38" s="52"/>
      <c r="U38" s="101">
        <v>17</v>
      </c>
      <c r="V38" s="104">
        <v>0.95613048369999998</v>
      </c>
    </row>
    <row r="39" spans="2:22" ht="12.75" customHeight="1" x14ac:dyDescent="0.2">
      <c r="B39" s="13" t="s">
        <v>52</v>
      </c>
      <c r="C39" s="185"/>
      <c r="D39" s="101">
        <v>1739</v>
      </c>
      <c r="E39" s="186"/>
      <c r="F39" s="101">
        <v>216</v>
      </c>
      <c r="G39" s="104">
        <v>12.4209315699</v>
      </c>
      <c r="H39" s="186"/>
      <c r="I39" s="101">
        <v>273</v>
      </c>
      <c r="J39" s="104">
        <v>15.698677400799999</v>
      </c>
      <c r="K39" s="50"/>
      <c r="L39" s="101">
        <v>486</v>
      </c>
      <c r="M39" s="104">
        <v>27.947096032200001</v>
      </c>
      <c r="N39" s="186"/>
      <c r="O39" s="101">
        <v>370</v>
      </c>
      <c r="P39" s="104">
        <v>21.2765957447</v>
      </c>
      <c r="Q39" s="186"/>
      <c r="R39" s="101">
        <v>366</v>
      </c>
      <c r="S39" s="104">
        <v>21.046578493399998</v>
      </c>
      <c r="T39" s="52"/>
      <c r="U39" s="101">
        <v>28</v>
      </c>
      <c r="V39" s="104">
        <v>1.6101207591</v>
      </c>
    </row>
    <row r="40" spans="2:22" ht="12.75" customHeight="1" x14ac:dyDescent="0.2">
      <c r="B40" s="13" t="s">
        <v>53</v>
      </c>
      <c r="C40" s="185"/>
      <c r="D40" s="101">
        <v>1649</v>
      </c>
      <c r="E40" s="186"/>
      <c r="F40" s="101">
        <v>172</v>
      </c>
      <c r="G40" s="104">
        <v>10.4305639782</v>
      </c>
      <c r="H40" s="186"/>
      <c r="I40" s="101">
        <v>185</v>
      </c>
      <c r="J40" s="104">
        <v>11.218920557900001</v>
      </c>
      <c r="K40" s="50"/>
      <c r="L40" s="101">
        <v>567</v>
      </c>
      <c r="M40" s="104">
        <v>34.384475439699997</v>
      </c>
      <c r="N40" s="186"/>
      <c r="O40" s="101">
        <v>336</v>
      </c>
      <c r="P40" s="104">
        <v>20.3759854457</v>
      </c>
      <c r="Q40" s="186"/>
      <c r="R40" s="101">
        <v>318</v>
      </c>
      <c r="S40" s="104">
        <v>19.2844147968</v>
      </c>
      <c r="T40" s="52"/>
      <c r="U40" s="101">
        <v>71</v>
      </c>
      <c r="V40" s="104">
        <v>4.3056397817000001</v>
      </c>
    </row>
    <row r="41" spans="2:22" ht="12.75" customHeight="1" x14ac:dyDescent="0.2">
      <c r="B41" s="13" t="s">
        <v>54</v>
      </c>
      <c r="C41" s="185"/>
      <c r="D41" s="101">
        <v>1784</v>
      </c>
      <c r="E41" s="186"/>
      <c r="F41" s="101">
        <v>150</v>
      </c>
      <c r="G41" s="104">
        <v>8.4080717488999994</v>
      </c>
      <c r="H41" s="186"/>
      <c r="I41" s="101">
        <v>271</v>
      </c>
      <c r="J41" s="104">
        <v>15.1905829596</v>
      </c>
      <c r="K41" s="50"/>
      <c r="L41" s="101">
        <v>517</v>
      </c>
      <c r="M41" s="104">
        <v>28.979820627799999</v>
      </c>
      <c r="N41" s="186"/>
      <c r="O41" s="101">
        <v>358</v>
      </c>
      <c r="P41" s="104">
        <v>20.067264573999999</v>
      </c>
      <c r="Q41" s="186"/>
      <c r="R41" s="101">
        <v>447</v>
      </c>
      <c r="S41" s="104">
        <v>25.0560538117</v>
      </c>
      <c r="T41" s="52"/>
      <c r="U41" s="101">
        <v>41</v>
      </c>
      <c r="V41" s="104">
        <v>2.2982062779999999</v>
      </c>
    </row>
    <row r="42" spans="2:22" ht="12.75" customHeight="1" x14ac:dyDescent="0.2">
      <c r="B42" s="13" t="s">
        <v>55</v>
      </c>
      <c r="C42" s="185"/>
      <c r="D42" s="101">
        <v>1714</v>
      </c>
      <c r="E42" s="186"/>
      <c r="F42" s="101">
        <v>185</v>
      </c>
      <c r="G42" s="104">
        <v>10.793465577599999</v>
      </c>
      <c r="H42" s="186"/>
      <c r="I42" s="101">
        <v>266</v>
      </c>
      <c r="J42" s="104">
        <v>15.5192532089</v>
      </c>
      <c r="K42" s="50"/>
      <c r="L42" s="101">
        <v>540</v>
      </c>
      <c r="M42" s="104">
        <v>31.5052508751</v>
      </c>
      <c r="N42" s="186"/>
      <c r="O42" s="101">
        <v>322</v>
      </c>
      <c r="P42" s="104">
        <v>18.786464410699999</v>
      </c>
      <c r="Q42" s="186"/>
      <c r="R42" s="101">
        <v>364</v>
      </c>
      <c r="S42" s="104">
        <v>21.2368728121</v>
      </c>
      <c r="T42" s="52"/>
      <c r="U42" s="101">
        <v>37</v>
      </c>
      <c r="V42" s="104">
        <v>2.1586931155000002</v>
      </c>
    </row>
    <row r="43" spans="2:22" ht="12.75" customHeight="1" x14ac:dyDescent="0.2">
      <c r="B43" s="13" t="s">
        <v>56</v>
      </c>
      <c r="C43" s="185"/>
      <c r="D43" s="101">
        <v>1745</v>
      </c>
      <c r="E43" s="186"/>
      <c r="F43" s="101">
        <v>148</v>
      </c>
      <c r="G43" s="104">
        <v>8.4813753581999993</v>
      </c>
      <c r="H43" s="186"/>
      <c r="I43" s="101">
        <v>234</v>
      </c>
      <c r="J43" s="104">
        <v>13.409742120300001</v>
      </c>
      <c r="K43" s="50"/>
      <c r="L43" s="101">
        <v>524</v>
      </c>
      <c r="M43" s="104">
        <v>30.0286532951</v>
      </c>
      <c r="N43" s="186"/>
      <c r="O43" s="101">
        <v>378</v>
      </c>
      <c r="P43" s="104">
        <v>21.661891117500002</v>
      </c>
      <c r="Q43" s="186"/>
      <c r="R43" s="101">
        <v>419</v>
      </c>
      <c r="S43" s="104">
        <v>24.0114613181</v>
      </c>
      <c r="T43" s="52"/>
      <c r="U43" s="101">
        <v>42</v>
      </c>
      <c r="V43" s="104">
        <v>2.4068767908000002</v>
      </c>
    </row>
    <row r="44" spans="2:22" ht="12.75" customHeight="1" x14ac:dyDescent="0.2">
      <c r="B44" s="13" t="s">
        <v>57</v>
      </c>
      <c r="C44" s="185"/>
      <c r="D44" s="101">
        <v>1696</v>
      </c>
      <c r="E44" s="186"/>
      <c r="F44" s="101">
        <v>153</v>
      </c>
      <c r="G44" s="104">
        <v>9.0212264150999992</v>
      </c>
      <c r="H44" s="186"/>
      <c r="I44" s="101">
        <v>188</v>
      </c>
      <c r="J44" s="104">
        <v>11.0849056604</v>
      </c>
      <c r="K44" s="50"/>
      <c r="L44" s="101">
        <v>421</v>
      </c>
      <c r="M44" s="104">
        <v>24.8231132075</v>
      </c>
      <c r="N44" s="186"/>
      <c r="O44" s="101">
        <v>331</v>
      </c>
      <c r="P44" s="104">
        <v>19.516509434</v>
      </c>
      <c r="Q44" s="186"/>
      <c r="R44" s="101">
        <v>563</v>
      </c>
      <c r="S44" s="104">
        <v>33.195754717</v>
      </c>
      <c r="T44" s="52"/>
      <c r="U44" s="101">
        <v>40</v>
      </c>
      <c r="V44" s="104">
        <v>2.358490566</v>
      </c>
    </row>
    <row r="45" spans="2:22" ht="6" customHeight="1" x14ac:dyDescent="0.2">
      <c r="B45" s="14"/>
      <c r="C45" s="14"/>
      <c r="D45" s="4"/>
      <c r="E45" s="187"/>
      <c r="F45" s="4"/>
      <c r="G45" s="188"/>
      <c r="H45" s="188"/>
      <c r="I45" s="4"/>
      <c r="J45" s="188"/>
      <c r="K45" s="189"/>
      <c r="L45" s="4"/>
      <c r="M45" s="188"/>
      <c r="N45" s="190"/>
      <c r="O45" s="4"/>
      <c r="P45" s="188"/>
      <c r="Q45" s="188"/>
      <c r="R45" s="188"/>
      <c r="S45" s="188"/>
      <c r="T45" s="188"/>
      <c r="U45" s="188"/>
      <c r="V45" s="188"/>
    </row>
    <row r="46" spans="2:22" ht="6" customHeight="1" x14ac:dyDescent="0.2">
      <c r="B46" s="191"/>
      <c r="C46" s="192"/>
      <c r="D46" s="192"/>
      <c r="E46" s="192"/>
      <c r="F46" s="192"/>
      <c r="G46" s="193"/>
      <c r="H46" s="193"/>
      <c r="I46" s="193"/>
      <c r="J46" s="194"/>
      <c r="K46" s="194"/>
      <c r="L46" s="193"/>
      <c r="M46" s="194"/>
      <c r="N46" s="194"/>
      <c r="O46" s="191"/>
      <c r="P46" s="195"/>
      <c r="V46" s="1"/>
    </row>
    <row r="47" spans="2:22" s="89" customFormat="1" ht="11.25" customHeight="1" x14ac:dyDescent="0.2">
      <c r="B47" s="24" t="s">
        <v>9</v>
      </c>
    </row>
    <row r="48" spans="2:22" ht="12.75" customHeight="1" x14ac:dyDescent="0.2">
      <c r="V48" s="1"/>
    </row>
    <row r="49" spans="22:22" ht="12.75" customHeight="1" x14ac:dyDescent="0.2">
      <c r="V49" s="1"/>
    </row>
    <row r="50" spans="22:22" ht="12.75" customHeight="1" x14ac:dyDescent="0.2">
      <c r="V50" s="1"/>
    </row>
    <row r="51" spans="22:22" ht="12.75" customHeight="1" x14ac:dyDescent="0.2">
      <c r="V51" s="1"/>
    </row>
    <row r="52" spans="22:22" ht="12.75" customHeight="1" x14ac:dyDescent="0.2">
      <c r="V52" s="1"/>
    </row>
    <row r="53" spans="22:22" ht="12.75" customHeight="1" x14ac:dyDescent="0.2">
      <c r="V53" s="1"/>
    </row>
    <row r="54" spans="22:22" ht="12.75" customHeight="1" x14ac:dyDescent="0.2">
      <c r="V54" s="1"/>
    </row>
    <row r="55" spans="22:22" ht="12.75" customHeight="1" x14ac:dyDescent="0.2">
      <c r="V55" s="1"/>
    </row>
    <row r="56" spans="22:22" ht="12.75" customHeight="1" x14ac:dyDescent="0.2">
      <c r="V56" s="1"/>
    </row>
    <row r="57" spans="22:22" ht="12.75" customHeight="1" x14ac:dyDescent="0.2">
      <c r="V57" s="1"/>
    </row>
    <row r="58" spans="22:22" ht="12.75" customHeight="1" x14ac:dyDescent="0.2">
      <c r="V58" s="1"/>
    </row>
    <row r="59" spans="22:22" ht="12.75" customHeight="1" x14ac:dyDescent="0.2">
      <c r="V59" s="1"/>
    </row>
    <row r="60" spans="22:22" ht="12.75" customHeight="1" x14ac:dyDescent="0.2">
      <c r="V60" s="1"/>
    </row>
    <row r="61" spans="22:22" ht="12.75" customHeight="1" x14ac:dyDescent="0.2">
      <c r="V61" s="1"/>
    </row>
    <row r="62" spans="22:22" ht="12.75" customHeight="1" x14ac:dyDescent="0.2">
      <c r="V62" s="1"/>
    </row>
    <row r="63" spans="22:22" ht="12.75" customHeight="1" x14ac:dyDescent="0.2">
      <c r="V63" s="1"/>
    </row>
    <row r="64" spans="22:22" ht="12.75" customHeight="1" x14ac:dyDescent="0.2">
      <c r="V64" s="1"/>
    </row>
    <row r="65" spans="22:22" ht="12.75" customHeight="1" x14ac:dyDescent="0.2">
      <c r="V65" s="1"/>
    </row>
    <row r="66" spans="22:22" ht="12.75" customHeight="1" x14ac:dyDescent="0.2">
      <c r="V66" s="1"/>
    </row>
    <row r="67" spans="22:22" ht="12.75" customHeight="1" x14ac:dyDescent="0.2">
      <c r="V67" s="1"/>
    </row>
    <row r="68" spans="22:22" ht="12.75" customHeight="1" x14ac:dyDescent="0.2">
      <c r="V68" s="1"/>
    </row>
    <row r="69" spans="22:22" ht="12.75" customHeight="1" x14ac:dyDescent="0.2">
      <c r="V69" s="1"/>
    </row>
    <row r="70" spans="22:22" ht="12.75" customHeight="1" x14ac:dyDescent="0.2">
      <c r="V70" s="1"/>
    </row>
    <row r="71" spans="22:22" ht="12.75" customHeight="1" x14ac:dyDescent="0.2">
      <c r="V71" s="1"/>
    </row>
    <row r="72" spans="22:22" ht="12.75" customHeight="1" x14ac:dyDescent="0.2">
      <c r="V72" s="1"/>
    </row>
    <row r="73" spans="22:22" ht="12.75" customHeight="1" x14ac:dyDescent="0.2">
      <c r="V73" s="1"/>
    </row>
    <row r="74" spans="22:22" ht="12.75" customHeight="1" x14ac:dyDescent="0.2">
      <c r="V74" s="1"/>
    </row>
    <row r="75" spans="22:22" ht="12.75" customHeight="1" x14ac:dyDescent="0.2">
      <c r="V75" s="1"/>
    </row>
    <row r="76" spans="22:22" ht="12.75" customHeight="1" x14ac:dyDescent="0.2">
      <c r="V76" s="1"/>
    </row>
    <row r="77" spans="22:22" ht="12.75" customHeight="1" x14ac:dyDescent="0.2">
      <c r="V77" s="1"/>
    </row>
    <row r="78" spans="22:22" ht="12.75" customHeight="1" x14ac:dyDescent="0.2">
      <c r="V78" s="1"/>
    </row>
    <row r="79" spans="22:22" ht="12.75" customHeight="1" x14ac:dyDescent="0.2">
      <c r="V79" s="1"/>
    </row>
    <row r="80" spans="22:22" ht="12.75" customHeight="1" x14ac:dyDescent="0.2">
      <c r="V80" s="1"/>
    </row>
    <row r="81" spans="22:22" ht="12.75" customHeight="1" x14ac:dyDescent="0.2">
      <c r="V81" s="1"/>
    </row>
    <row r="82" spans="22:22" ht="12.75" customHeight="1" x14ac:dyDescent="0.2">
      <c r="V82" s="1"/>
    </row>
    <row r="83" spans="22:22" ht="12.75" customHeight="1" x14ac:dyDescent="0.2">
      <c r="V83" s="1"/>
    </row>
    <row r="84" spans="22:22" ht="12.75" customHeight="1" x14ac:dyDescent="0.2">
      <c r="V84" s="1"/>
    </row>
    <row r="85" spans="22:22" ht="12.75" customHeight="1" x14ac:dyDescent="0.2">
      <c r="V85" s="1"/>
    </row>
    <row r="86" spans="22:22" ht="12.75" customHeight="1" x14ac:dyDescent="0.2">
      <c r="V86" s="1"/>
    </row>
    <row r="87" spans="22:22" ht="12.75" customHeight="1" x14ac:dyDescent="0.2">
      <c r="V87" s="1"/>
    </row>
    <row r="88" spans="22:22" ht="12.75" customHeight="1" x14ac:dyDescent="0.2">
      <c r="V88" s="1"/>
    </row>
    <row r="89" spans="22:22" ht="12.75" customHeight="1" x14ac:dyDescent="0.2">
      <c r="V89" s="1"/>
    </row>
    <row r="90" spans="22:22" ht="12.75" customHeight="1" x14ac:dyDescent="0.2">
      <c r="V90" s="1"/>
    </row>
    <row r="91" spans="22:22" ht="12.75" customHeight="1" x14ac:dyDescent="0.2">
      <c r="V91" s="1"/>
    </row>
    <row r="92" spans="22:22" ht="12.75" customHeight="1" x14ac:dyDescent="0.2">
      <c r="V92" s="1"/>
    </row>
    <row r="93" spans="22:22" ht="12.75" customHeight="1" x14ac:dyDescent="0.2">
      <c r="V93" s="1"/>
    </row>
    <row r="94" spans="22:22" ht="12.75" customHeight="1" x14ac:dyDescent="0.2">
      <c r="V94" s="1"/>
    </row>
    <row r="95" spans="22:22" ht="12.75" customHeight="1" x14ac:dyDescent="0.2">
      <c r="V95" s="1"/>
    </row>
    <row r="96" spans="22:22" ht="12.75" customHeight="1" x14ac:dyDescent="0.2">
      <c r="V96" s="1"/>
    </row>
    <row r="97" spans="22:22" ht="12.75" customHeight="1" x14ac:dyDescent="0.2">
      <c r="V97" s="1"/>
    </row>
  </sheetData>
  <mergeCells count="11">
    <mergeCell ref="U8:V8"/>
    <mergeCell ref="B5:T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69147BA2-FF68-4495-AF43-F5A9F0DA5E50}"/>
  </hyperlinks>
  <pageMargins left="0.70866141732283472" right="0.70866141732283472" top="0.59055118110236227" bottom="0.59055118110236227" header="0.23622047244094491" footer="0.23622047244094491"/>
  <pageSetup scale="55" orientation="landscape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EE81-591C-4D59-B29E-45BB6E5FF3EC}">
  <dimension ref="A1:AH40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3.140625" customWidth="1"/>
    <col min="3" max="3" width="1.7109375" customWidth="1"/>
    <col min="4" max="4" width="19" customWidth="1"/>
    <col min="5" max="5" width="1.7109375" customWidth="1"/>
    <col min="6" max="6" width="14.140625" customWidth="1"/>
    <col min="8" max="8" width="1.7109375" customWidth="1"/>
    <col min="9" max="9" width="14.7109375" customWidth="1"/>
    <col min="11" max="11" width="1.7109375" customWidth="1"/>
    <col min="12" max="12" width="15.5703125" customWidth="1"/>
    <col min="14" max="14" width="1.7109375" customWidth="1"/>
    <col min="15" max="15" width="15.85546875" customWidth="1"/>
    <col min="16" max="16" width="11.42578125" customWidth="1"/>
    <col min="17" max="17" width="1.7109375" customWidth="1"/>
    <col min="18" max="18" width="17.5703125" customWidth="1"/>
    <col min="20" max="20" width="1.7109375" customWidth="1"/>
    <col min="21" max="21" width="14.42578125" customWidth="1"/>
  </cols>
  <sheetData>
    <row r="1" spans="1:34" s="69" customFormat="1" ht="14.1" customHeight="1" x14ac:dyDescent="0.2">
      <c r="A1" s="66"/>
      <c r="B1" s="485" t="s">
        <v>144</v>
      </c>
      <c r="C1" s="197"/>
      <c r="D1" s="198"/>
      <c r="E1" s="198"/>
      <c r="F1" s="198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85" t="s">
        <v>118</v>
      </c>
      <c r="W1" s="68"/>
      <c r="X1" s="68"/>
      <c r="Y1" s="68"/>
      <c r="Z1" s="68"/>
      <c r="AA1" s="68"/>
      <c r="AC1" s="68"/>
      <c r="AD1" s="68"/>
      <c r="AE1" s="68"/>
      <c r="AF1" s="68"/>
      <c r="AG1" s="68"/>
      <c r="AH1" s="68"/>
    </row>
    <row r="2" spans="1:34" s="69" customFormat="1" ht="6.95" customHeight="1" x14ac:dyDescent="0.2">
      <c r="A2" s="66"/>
      <c r="B2" s="485"/>
      <c r="C2" s="197"/>
      <c r="D2" s="198"/>
      <c r="E2" s="198"/>
      <c r="F2" s="198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</row>
    <row r="3" spans="1:34" s="69" customFormat="1" ht="14.1" customHeight="1" x14ac:dyDescent="0.2">
      <c r="A3" s="66"/>
      <c r="B3" s="485" t="s">
        <v>142</v>
      </c>
      <c r="C3" s="200"/>
      <c r="D3" s="200"/>
      <c r="E3" s="200"/>
      <c r="F3" s="200"/>
      <c r="G3" s="200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</row>
    <row r="4" spans="1:34" s="69" customFormat="1" ht="6.95" customHeight="1" x14ac:dyDescent="0.2">
      <c r="A4" s="66"/>
      <c r="B4" s="199"/>
      <c r="C4" s="197"/>
      <c r="D4" s="197"/>
      <c r="E4" s="197"/>
      <c r="F4" s="197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</row>
    <row r="5" spans="1:34" s="69" customFormat="1" ht="20.100000000000001" customHeight="1" x14ac:dyDescent="0.2">
      <c r="A5" s="66"/>
      <c r="B5" s="544" t="s">
        <v>63</v>
      </c>
      <c r="C5" s="544"/>
      <c r="D5" s="544"/>
      <c r="E5" s="544"/>
      <c r="F5" s="544"/>
      <c r="G5" s="544"/>
      <c r="H5" s="544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70"/>
      <c r="V5" s="75" t="s">
        <v>91</v>
      </c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</row>
    <row r="6" spans="1:34" ht="6" customHeight="1" x14ac:dyDescent="0.2">
      <c r="A6" s="66"/>
      <c r="B6" s="201"/>
      <c r="C6" s="545"/>
      <c r="D6" s="545"/>
      <c r="E6" s="545"/>
      <c r="F6" s="546"/>
      <c r="G6" s="546"/>
      <c r="H6" s="546"/>
      <c r="I6" s="546"/>
      <c r="J6" s="546"/>
      <c r="K6" s="546"/>
      <c r="L6" s="546"/>
      <c r="M6" s="547"/>
      <c r="N6" s="547"/>
      <c r="O6" s="547"/>
      <c r="P6" s="547"/>
      <c r="Q6" s="547"/>
      <c r="R6" s="547"/>
      <c r="S6" s="202"/>
      <c r="T6" s="203"/>
      <c r="U6" s="203"/>
      <c r="V6" s="20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.75" customHeight="1" x14ac:dyDescent="0.2">
      <c r="A7" s="66"/>
      <c r="B7" s="548" t="s">
        <v>1</v>
      </c>
      <c r="C7" s="548"/>
      <c r="D7" s="551" t="s">
        <v>23</v>
      </c>
      <c r="E7" s="204"/>
      <c r="F7" s="543" t="s">
        <v>59</v>
      </c>
      <c r="G7" s="543"/>
      <c r="H7" s="543"/>
      <c r="I7" s="543"/>
      <c r="J7" s="543"/>
      <c r="K7" s="543"/>
      <c r="L7" s="543"/>
      <c r="M7" s="543"/>
      <c r="N7" s="543"/>
      <c r="O7" s="543"/>
      <c r="P7" s="543"/>
      <c r="Q7" s="543"/>
      <c r="R7" s="543"/>
      <c r="S7" s="543"/>
      <c r="T7" s="543"/>
      <c r="U7" s="543"/>
      <c r="V7" s="54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7.75" customHeight="1" x14ac:dyDescent="0.2">
      <c r="A8" s="66"/>
      <c r="B8" s="549"/>
      <c r="C8" s="549"/>
      <c r="D8" s="552"/>
      <c r="E8" s="205"/>
      <c r="F8" s="554" t="s">
        <v>60</v>
      </c>
      <c r="G8" s="554"/>
      <c r="H8" s="205"/>
      <c r="I8" s="554" t="s">
        <v>61</v>
      </c>
      <c r="J8" s="554"/>
      <c r="K8" s="206"/>
      <c r="L8" s="554" t="s">
        <v>77</v>
      </c>
      <c r="M8" s="554"/>
      <c r="N8" s="206"/>
      <c r="O8" s="543" t="s">
        <v>78</v>
      </c>
      <c r="P8" s="543"/>
      <c r="Q8" s="206"/>
      <c r="R8" s="543" t="s">
        <v>62</v>
      </c>
      <c r="S8" s="543"/>
      <c r="T8" s="207"/>
      <c r="U8" s="543" t="s">
        <v>19</v>
      </c>
      <c r="V8" s="54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15.75" customHeight="1" x14ac:dyDescent="0.2">
      <c r="A9" s="12"/>
      <c r="B9" s="550"/>
      <c r="C9" s="550"/>
      <c r="D9" s="553"/>
      <c r="E9" s="208"/>
      <c r="F9" s="64" t="s">
        <v>13</v>
      </c>
      <c r="G9" s="64" t="s">
        <v>14</v>
      </c>
      <c r="H9" s="208"/>
      <c r="I9" s="64" t="s">
        <v>13</v>
      </c>
      <c r="J9" s="64" t="s">
        <v>14</v>
      </c>
      <c r="K9" s="209"/>
      <c r="L9" s="64" t="s">
        <v>13</v>
      </c>
      <c r="M9" s="64" t="s">
        <v>14</v>
      </c>
      <c r="N9" s="209"/>
      <c r="O9" s="64" t="s">
        <v>13</v>
      </c>
      <c r="P9" s="64" t="s">
        <v>14</v>
      </c>
      <c r="Q9" s="209"/>
      <c r="R9" s="64" t="s">
        <v>13</v>
      </c>
      <c r="S9" s="64" t="s">
        <v>14</v>
      </c>
      <c r="T9" s="210"/>
      <c r="U9" s="64" t="s">
        <v>13</v>
      </c>
      <c r="V9" s="64" t="s">
        <v>14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6" customHeight="1" x14ac:dyDescent="0.2">
      <c r="A10" s="67"/>
      <c r="B10" s="211"/>
      <c r="C10" s="211"/>
      <c r="D10" s="212"/>
      <c r="E10" s="212"/>
      <c r="F10" s="212"/>
      <c r="G10" s="206"/>
      <c r="H10" s="206"/>
      <c r="I10" s="213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03"/>
      <c r="U10" s="203"/>
      <c r="V10" s="20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15" x14ac:dyDescent="0.2">
      <c r="A11" s="17"/>
      <c r="B11" s="37" t="s">
        <v>5</v>
      </c>
      <c r="C11" s="215"/>
      <c r="D11" s="99">
        <v>55147</v>
      </c>
      <c r="E11" s="216"/>
      <c r="F11" s="99">
        <v>4904</v>
      </c>
      <c r="G11" s="102">
        <v>8.8925961520999994</v>
      </c>
      <c r="H11" s="216"/>
      <c r="I11" s="99">
        <v>7431</v>
      </c>
      <c r="J11" s="102">
        <v>13.4748943732</v>
      </c>
      <c r="K11" s="50"/>
      <c r="L11" s="99">
        <v>16221</v>
      </c>
      <c r="M11" s="102">
        <v>29.414111375099999</v>
      </c>
      <c r="N11" s="216"/>
      <c r="O11" s="99">
        <v>11400</v>
      </c>
      <c r="P11" s="102">
        <v>20.672022050199999</v>
      </c>
      <c r="Q11" s="216"/>
      <c r="R11" s="99">
        <v>13350</v>
      </c>
      <c r="S11" s="102">
        <v>24.208025821900002</v>
      </c>
      <c r="T11" s="51"/>
      <c r="U11" s="99">
        <v>1841</v>
      </c>
      <c r="V11" s="102">
        <v>3.3383502275999999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9" customHeight="1" x14ac:dyDescent="0.2">
      <c r="A12" s="11"/>
      <c r="B12" s="38"/>
      <c r="C12" s="215"/>
      <c r="D12" s="100"/>
      <c r="E12" s="216"/>
      <c r="F12" s="100"/>
      <c r="G12" s="103"/>
      <c r="H12" s="216"/>
      <c r="I12" s="100"/>
      <c r="J12" s="103"/>
      <c r="K12" s="50"/>
      <c r="L12" s="100"/>
      <c r="M12" s="103"/>
      <c r="N12" s="216"/>
      <c r="O12" s="100"/>
      <c r="P12" s="103"/>
      <c r="Q12" s="216"/>
      <c r="R12" s="100"/>
      <c r="S12" s="103"/>
      <c r="T12" s="50"/>
      <c r="U12" s="100"/>
      <c r="V12" s="10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12.75" customHeight="1" x14ac:dyDescent="0.2">
      <c r="A13" s="11"/>
      <c r="B13" s="22" t="s">
        <v>6</v>
      </c>
      <c r="C13" s="217"/>
      <c r="D13" s="101">
        <v>12727</v>
      </c>
      <c r="E13" s="218"/>
      <c r="F13" s="101">
        <v>1388</v>
      </c>
      <c r="G13" s="104">
        <v>10.905947984599999</v>
      </c>
      <c r="H13" s="218"/>
      <c r="I13" s="101">
        <v>2048</v>
      </c>
      <c r="J13" s="104">
        <v>16.091773395099999</v>
      </c>
      <c r="K13" s="50"/>
      <c r="L13" s="101">
        <v>3797</v>
      </c>
      <c r="M13" s="104">
        <v>29.834210733100001</v>
      </c>
      <c r="N13" s="218"/>
      <c r="O13" s="101">
        <v>2289</v>
      </c>
      <c r="P13" s="104">
        <v>17.9853854011</v>
      </c>
      <c r="Q13" s="218"/>
      <c r="R13" s="101">
        <v>3043</v>
      </c>
      <c r="S13" s="104">
        <v>23.909798067099999</v>
      </c>
      <c r="T13" s="52"/>
      <c r="U13" s="101">
        <v>162</v>
      </c>
      <c r="V13" s="104">
        <v>1.2728844189999999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2" customHeight="1" x14ac:dyDescent="0.2">
      <c r="A14" s="11"/>
      <c r="B14" s="22" t="s">
        <v>7</v>
      </c>
      <c r="C14" s="217"/>
      <c r="D14" s="101">
        <v>8875</v>
      </c>
      <c r="E14" s="218"/>
      <c r="F14" s="101">
        <v>926</v>
      </c>
      <c r="G14" s="104">
        <v>10.4338028169</v>
      </c>
      <c r="H14" s="218"/>
      <c r="I14" s="101">
        <v>1364</v>
      </c>
      <c r="J14" s="104">
        <v>15.3690140845</v>
      </c>
      <c r="K14" s="50"/>
      <c r="L14" s="101">
        <v>2647</v>
      </c>
      <c r="M14" s="104">
        <v>29.825352112699999</v>
      </c>
      <c r="N14" s="218"/>
      <c r="O14" s="101">
        <v>1628</v>
      </c>
      <c r="P14" s="104">
        <v>18.3436619718</v>
      </c>
      <c r="Q14" s="218"/>
      <c r="R14" s="101">
        <v>2093</v>
      </c>
      <c r="S14" s="104">
        <v>23.583098591500001</v>
      </c>
      <c r="T14" s="52"/>
      <c r="U14" s="101">
        <v>217</v>
      </c>
      <c r="V14" s="104">
        <v>2.4450704225000002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15" x14ac:dyDescent="0.2">
      <c r="A15" s="12"/>
      <c r="B15" s="22" t="s">
        <v>8</v>
      </c>
      <c r="C15" s="217"/>
      <c r="D15" s="101">
        <v>8735</v>
      </c>
      <c r="E15" s="218"/>
      <c r="F15" s="101">
        <v>813</v>
      </c>
      <c r="G15" s="104">
        <v>9.3073840870000009</v>
      </c>
      <c r="H15" s="218"/>
      <c r="I15" s="101">
        <v>1322</v>
      </c>
      <c r="J15" s="104">
        <v>15.134516313700001</v>
      </c>
      <c r="K15" s="50"/>
      <c r="L15" s="101">
        <v>2561</v>
      </c>
      <c r="M15" s="104">
        <v>29.318832283900001</v>
      </c>
      <c r="N15" s="218"/>
      <c r="O15" s="101">
        <v>1792</v>
      </c>
      <c r="P15" s="104">
        <v>20.515168860900001</v>
      </c>
      <c r="Q15" s="218"/>
      <c r="R15" s="101">
        <v>1908</v>
      </c>
      <c r="S15" s="104">
        <v>21.843159702299999</v>
      </c>
      <c r="T15" s="52"/>
      <c r="U15" s="101">
        <v>339</v>
      </c>
      <c r="V15" s="104">
        <v>3.8809387521000001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15" x14ac:dyDescent="0.2">
      <c r="A16" s="12"/>
      <c r="B16" s="22" t="s">
        <v>79</v>
      </c>
      <c r="C16" s="217"/>
      <c r="D16" s="101">
        <v>24810</v>
      </c>
      <c r="E16" s="218"/>
      <c r="F16" s="101">
        <v>1777</v>
      </c>
      <c r="G16" s="104">
        <v>7.1624345022</v>
      </c>
      <c r="H16" s="218"/>
      <c r="I16" s="101">
        <v>2697</v>
      </c>
      <c r="J16" s="104">
        <v>10.8706166868</v>
      </c>
      <c r="K16" s="50"/>
      <c r="L16" s="101">
        <v>7216</v>
      </c>
      <c r="M16" s="104">
        <v>29.085046352300001</v>
      </c>
      <c r="N16" s="218"/>
      <c r="O16" s="101">
        <v>5691</v>
      </c>
      <c r="P16" s="104">
        <v>22.938331317999999</v>
      </c>
      <c r="Q16" s="218"/>
      <c r="R16" s="101">
        <v>6306</v>
      </c>
      <c r="S16" s="104">
        <v>25.417170495800001</v>
      </c>
      <c r="T16" s="52"/>
      <c r="U16" s="101">
        <v>1123</v>
      </c>
      <c r="V16" s="104">
        <v>4.5264006448999998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6" customHeight="1" x14ac:dyDescent="0.2">
      <c r="A17" s="12"/>
      <c r="B17" s="45"/>
      <c r="C17" s="45"/>
      <c r="D17" s="4"/>
      <c r="E17" s="219"/>
      <c r="F17" s="4"/>
      <c r="G17" s="220"/>
      <c r="H17" s="220"/>
      <c r="I17" s="4"/>
      <c r="J17" s="220"/>
      <c r="K17" s="221"/>
      <c r="L17" s="4"/>
      <c r="M17" s="220"/>
      <c r="N17" s="222"/>
      <c r="O17" s="222"/>
      <c r="P17" s="222"/>
      <c r="Q17" s="222"/>
      <c r="R17" s="4"/>
      <c r="S17" s="220"/>
      <c r="T17" s="201"/>
      <c r="U17" s="201"/>
      <c r="V17" s="49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6" customHeight="1" x14ac:dyDescent="0.2">
      <c r="A18" s="21"/>
      <c r="B18" s="223"/>
      <c r="C18" s="224"/>
      <c r="D18" s="224"/>
      <c r="E18" s="224"/>
      <c r="F18" s="224"/>
      <c r="G18" s="225"/>
      <c r="H18" s="225"/>
      <c r="I18" s="225"/>
      <c r="J18" s="226"/>
      <c r="K18" s="226"/>
      <c r="L18" s="225"/>
      <c r="M18" s="226"/>
      <c r="N18" s="226"/>
      <c r="O18" s="226"/>
      <c r="P18" s="226"/>
      <c r="Q18" s="226"/>
      <c r="R18" s="223"/>
      <c r="S18" s="227"/>
      <c r="T18" s="203"/>
      <c r="U18" s="203"/>
      <c r="V18" s="4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s="89" customFormat="1" ht="11.25" customHeight="1" x14ac:dyDescent="0.2">
      <c r="B19" s="24" t="s">
        <v>9</v>
      </c>
    </row>
    <row r="20" spans="1:34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2:34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2:34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2:34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2:34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2:34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2:34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2:34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</sheetData>
  <mergeCells count="11">
    <mergeCell ref="U8:V8"/>
    <mergeCell ref="B5:T5"/>
    <mergeCell ref="C6:R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08751CC9-E2C4-4C0B-83D2-40206175B461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B160-BFFC-4A1B-BE10-4A604C8F1A89}">
  <dimension ref="A1:DB645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29.5703125" customWidth="1"/>
    <col min="3" max="3" width="1.7109375" customWidth="1"/>
    <col min="4" max="4" width="20" customWidth="1"/>
    <col min="5" max="5" width="1.7109375" customWidth="1"/>
    <col min="6" max="6" width="14.42578125" customWidth="1"/>
    <col min="8" max="8" width="1.7109375" customWidth="1"/>
    <col min="9" max="9" width="18.140625" customWidth="1"/>
    <col min="11" max="11" width="1.7109375" customWidth="1"/>
    <col min="12" max="12" width="17.140625" customWidth="1"/>
    <col min="14" max="14" width="1.7109375" customWidth="1"/>
    <col min="15" max="15" width="16.5703125" customWidth="1"/>
    <col min="17" max="17" width="1.7109375" customWidth="1"/>
    <col min="18" max="18" width="16.85546875" customWidth="1"/>
    <col min="19" max="19" width="11.42578125" customWidth="1"/>
    <col min="20" max="20" width="1.7109375" customWidth="1"/>
    <col min="21" max="21" width="16.28515625" customWidth="1"/>
    <col min="22" max="22" width="11.42578125" customWidth="1"/>
    <col min="23" max="23" width="1.7109375" customWidth="1"/>
    <col min="24" max="24" width="16.5703125" customWidth="1"/>
    <col min="26" max="26" width="1.7109375" customWidth="1"/>
    <col min="27" max="27" width="16.85546875" customWidth="1"/>
    <col min="29" max="106" width="11.42578125" style="3"/>
  </cols>
  <sheetData>
    <row r="1" spans="1:106" s="69" customFormat="1" ht="14.1" customHeight="1" x14ac:dyDescent="0.2">
      <c r="A1" s="66"/>
      <c r="B1" s="485" t="s">
        <v>144</v>
      </c>
      <c r="C1" s="228"/>
      <c r="D1" s="229"/>
      <c r="E1" s="229"/>
      <c r="F1" s="229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85" t="s">
        <v>118</v>
      </c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</row>
    <row r="2" spans="1:106" s="69" customFormat="1" ht="6.95" customHeight="1" x14ac:dyDescent="0.2">
      <c r="A2" s="66"/>
      <c r="B2" s="485"/>
      <c r="C2" s="228"/>
      <c r="D2" s="229"/>
      <c r="E2" s="229"/>
      <c r="F2" s="229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</row>
    <row r="3" spans="1:106" s="69" customFormat="1" ht="14.1" customHeight="1" x14ac:dyDescent="0.2">
      <c r="A3" s="66"/>
      <c r="B3" s="485" t="s">
        <v>142</v>
      </c>
      <c r="C3" s="231"/>
      <c r="D3" s="231"/>
      <c r="E3" s="231"/>
      <c r="F3" s="231"/>
      <c r="G3" s="231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</row>
    <row r="4" spans="1:106" s="69" customFormat="1" ht="6.95" customHeight="1" x14ac:dyDescent="0.2">
      <c r="A4" s="66"/>
      <c r="B4" s="230"/>
      <c r="C4" s="228"/>
      <c r="D4" s="228"/>
      <c r="E4" s="228"/>
      <c r="F4" s="228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</row>
    <row r="5" spans="1:106" s="69" customFormat="1" ht="20.100000000000001" customHeight="1" x14ac:dyDescent="0.2">
      <c r="A5" s="66"/>
      <c r="B5" s="556" t="s">
        <v>64</v>
      </c>
      <c r="C5" s="556"/>
      <c r="D5" s="556"/>
      <c r="E5" s="556"/>
      <c r="F5" s="556"/>
      <c r="G5" s="556"/>
      <c r="H5" s="556"/>
      <c r="I5" s="556"/>
      <c r="J5" s="556"/>
      <c r="K5" s="556"/>
      <c r="L5" s="556"/>
      <c r="M5" s="556"/>
      <c r="N5" s="556"/>
      <c r="O5" s="556"/>
      <c r="P5" s="556"/>
      <c r="Q5" s="556"/>
      <c r="R5" s="556"/>
      <c r="S5" s="556"/>
      <c r="T5" s="556"/>
      <c r="U5" s="556"/>
      <c r="V5" s="556"/>
      <c r="W5" s="556"/>
      <c r="X5" s="556"/>
      <c r="Y5" s="556"/>
      <c r="Z5" s="556"/>
      <c r="AA5" s="230"/>
      <c r="AB5" s="75" t="s">
        <v>92</v>
      </c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</row>
    <row r="6" spans="1:106" ht="6" customHeight="1" x14ac:dyDescent="0.2">
      <c r="A6" s="66"/>
      <c r="B6" s="232"/>
      <c r="C6" s="557"/>
      <c r="D6" s="557"/>
      <c r="E6" s="557"/>
      <c r="F6" s="558"/>
      <c r="G6" s="558"/>
      <c r="H6" s="558"/>
      <c r="I6" s="558"/>
      <c r="J6" s="558"/>
      <c r="K6" s="558"/>
      <c r="L6" s="558"/>
      <c r="M6" s="559"/>
      <c r="N6" s="559"/>
      <c r="O6" s="559"/>
      <c r="P6" s="233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</row>
    <row r="7" spans="1:106" ht="12.75" x14ac:dyDescent="0.2">
      <c r="A7" s="66"/>
      <c r="B7" s="536" t="s">
        <v>22</v>
      </c>
      <c r="C7" s="536"/>
      <c r="D7" s="560" t="s">
        <v>23</v>
      </c>
      <c r="E7" s="235"/>
      <c r="F7" s="555" t="s">
        <v>65</v>
      </c>
      <c r="G7" s="555"/>
      <c r="H7" s="555"/>
      <c r="I7" s="555"/>
      <c r="J7" s="555"/>
      <c r="K7" s="555"/>
      <c r="L7" s="555"/>
      <c r="M7" s="555"/>
      <c r="N7" s="555"/>
      <c r="O7" s="555"/>
      <c r="P7" s="555"/>
      <c r="Q7" s="555"/>
      <c r="R7" s="555"/>
      <c r="S7" s="555"/>
      <c r="T7" s="555"/>
      <c r="U7" s="555"/>
      <c r="V7" s="555"/>
      <c r="W7" s="555"/>
      <c r="X7" s="555"/>
      <c r="Y7" s="555"/>
      <c r="Z7" s="555"/>
      <c r="AA7" s="555"/>
      <c r="AB7" s="555"/>
    </row>
    <row r="8" spans="1:106" ht="21" customHeight="1" x14ac:dyDescent="0.2">
      <c r="A8" s="66"/>
      <c r="B8" s="537"/>
      <c r="C8" s="537"/>
      <c r="D8" s="561"/>
      <c r="E8" s="236"/>
      <c r="F8" s="555" t="s">
        <v>66</v>
      </c>
      <c r="G8" s="555"/>
      <c r="H8" s="235"/>
      <c r="I8" s="555" t="s">
        <v>67</v>
      </c>
      <c r="J8" s="555"/>
      <c r="K8" s="237"/>
      <c r="L8" s="555" t="s">
        <v>68</v>
      </c>
      <c r="M8" s="555"/>
      <c r="N8" s="237"/>
      <c r="O8" s="555" t="s">
        <v>80</v>
      </c>
      <c r="P8" s="555"/>
      <c r="Q8" s="238"/>
      <c r="R8" s="555" t="s">
        <v>81</v>
      </c>
      <c r="S8" s="555"/>
      <c r="T8" s="237"/>
      <c r="U8" s="555" t="s">
        <v>82</v>
      </c>
      <c r="V8" s="555"/>
      <c r="W8" s="238"/>
      <c r="X8" s="555" t="s">
        <v>83</v>
      </c>
      <c r="Y8" s="555"/>
      <c r="Z8" s="239"/>
      <c r="AA8" s="555" t="s">
        <v>19</v>
      </c>
      <c r="AB8" s="555"/>
    </row>
    <row r="9" spans="1:106" ht="15" x14ac:dyDescent="0.2">
      <c r="A9" s="12"/>
      <c r="B9" s="538"/>
      <c r="C9" s="538"/>
      <c r="D9" s="562"/>
      <c r="E9" s="240"/>
      <c r="F9" s="65" t="s">
        <v>13</v>
      </c>
      <c r="G9" s="65" t="s">
        <v>14</v>
      </c>
      <c r="H9" s="240"/>
      <c r="I9" s="65" t="s">
        <v>13</v>
      </c>
      <c r="J9" s="65" t="s">
        <v>14</v>
      </c>
      <c r="K9" s="241"/>
      <c r="L9" s="65" t="s">
        <v>13</v>
      </c>
      <c r="M9" s="65" t="s">
        <v>14</v>
      </c>
      <c r="N9" s="241"/>
      <c r="O9" s="65" t="s">
        <v>13</v>
      </c>
      <c r="P9" s="65" t="s">
        <v>14</v>
      </c>
      <c r="Q9" s="242"/>
      <c r="R9" s="65" t="s">
        <v>13</v>
      </c>
      <c r="S9" s="65" t="s">
        <v>14</v>
      </c>
      <c r="T9" s="242"/>
      <c r="U9" s="65" t="s">
        <v>13</v>
      </c>
      <c r="V9" s="65" t="s">
        <v>14</v>
      </c>
      <c r="W9" s="242"/>
      <c r="X9" s="65" t="s">
        <v>13</v>
      </c>
      <c r="Y9" s="65" t="s">
        <v>14</v>
      </c>
      <c r="Z9" s="242"/>
      <c r="AA9" s="65" t="s">
        <v>13</v>
      </c>
      <c r="AB9" s="65" t="s">
        <v>14</v>
      </c>
    </row>
    <row r="10" spans="1:106" ht="6" customHeight="1" x14ac:dyDescent="0.2">
      <c r="A10" s="67"/>
      <c r="B10" s="243"/>
      <c r="C10" s="243"/>
      <c r="D10" s="244"/>
      <c r="E10" s="244"/>
      <c r="F10" s="244"/>
      <c r="G10" s="245"/>
      <c r="H10" s="245"/>
      <c r="I10" s="246"/>
      <c r="J10" s="247"/>
      <c r="K10" s="247"/>
      <c r="L10" s="247"/>
      <c r="M10" s="247"/>
      <c r="N10" s="247"/>
      <c r="O10" s="247"/>
      <c r="P10" s="247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</row>
    <row r="11" spans="1:106" ht="15" x14ac:dyDescent="0.2">
      <c r="A11" s="17"/>
      <c r="B11" s="37" t="s">
        <v>5</v>
      </c>
      <c r="C11" s="248"/>
      <c r="D11" s="99">
        <v>55147</v>
      </c>
      <c r="E11" s="249"/>
      <c r="F11" s="99">
        <v>5140</v>
      </c>
      <c r="G11" s="102">
        <v>9.3205432752000004</v>
      </c>
      <c r="H11" s="249"/>
      <c r="I11" s="99">
        <v>6544</v>
      </c>
      <c r="J11" s="102">
        <v>11.8664659909</v>
      </c>
      <c r="K11" s="50"/>
      <c r="L11" s="99">
        <v>8923</v>
      </c>
      <c r="M11" s="102">
        <v>16.180390592399998</v>
      </c>
      <c r="N11" s="249"/>
      <c r="O11" s="99">
        <v>7424</v>
      </c>
      <c r="P11" s="102">
        <v>13.462201026300001</v>
      </c>
      <c r="Q11" s="249"/>
      <c r="R11" s="99">
        <v>7304</v>
      </c>
      <c r="S11" s="102">
        <v>13.2446007942</v>
      </c>
      <c r="T11" s="51"/>
      <c r="U11" s="99">
        <v>6733</v>
      </c>
      <c r="V11" s="102">
        <v>12.2091863565</v>
      </c>
      <c r="W11" s="3"/>
      <c r="X11" s="99">
        <v>11239</v>
      </c>
      <c r="Y11" s="102">
        <v>20.380075072099999</v>
      </c>
      <c r="Z11" s="3"/>
      <c r="AA11" s="99">
        <v>1840</v>
      </c>
      <c r="AB11" s="102">
        <v>3.3365368922999998</v>
      </c>
    </row>
    <row r="12" spans="1:106" ht="6" customHeight="1" x14ac:dyDescent="0.2">
      <c r="A12" s="11"/>
      <c r="B12" s="38"/>
      <c r="C12" s="248"/>
      <c r="D12" s="100"/>
      <c r="E12" s="249"/>
      <c r="F12" s="100"/>
      <c r="G12" s="103"/>
      <c r="H12" s="249"/>
      <c r="I12" s="100"/>
      <c r="J12" s="103"/>
      <c r="K12" s="50"/>
      <c r="L12" s="100"/>
      <c r="M12" s="103"/>
      <c r="N12" s="249"/>
      <c r="O12" s="100"/>
      <c r="P12" s="103"/>
      <c r="Q12" s="249"/>
      <c r="R12" s="100"/>
      <c r="S12" s="103"/>
      <c r="T12" s="50"/>
      <c r="U12" s="100"/>
      <c r="V12" s="103"/>
      <c r="W12" s="3"/>
      <c r="X12" s="100"/>
      <c r="Y12" s="103"/>
      <c r="Z12" s="3"/>
      <c r="AA12" s="100"/>
      <c r="AB12" s="103"/>
    </row>
    <row r="13" spans="1:106" ht="13.5" customHeight="1" x14ac:dyDescent="0.2">
      <c r="A13" s="11"/>
      <c r="B13" s="44" t="s">
        <v>26</v>
      </c>
      <c r="C13" s="250"/>
      <c r="D13" s="101">
        <v>1783</v>
      </c>
      <c r="E13" s="251"/>
      <c r="F13" s="101">
        <v>88</v>
      </c>
      <c r="G13" s="104">
        <v>4.9355019630000001</v>
      </c>
      <c r="H13" s="251"/>
      <c r="I13" s="101">
        <v>534</v>
      </c>
      <c r="J13" s="104">
        <v>29.949523275400001</v>
      </c>
      <c r="K13" s="50"/>
      <c r="L13" s="101">
        <v>357</v>
      </c>
      <c r="M13" s="104">
        <v>20.022434099800002</v>
      </c>
      <c r="N13" s="251"/>
      <c r="O13" s="101">
        <v>231</v>
      </c>
      <c r="P13" s="104">
        <v>12.9556926528</v>
      </c>
      <c r="Q13" s="251"/>
      <c r="R13" s="101">
        <v>212</v>
      </c>
      <c r="S13" s="104">
        <v>11.890072910800001</v>
      </c>
      <c r="T13" s="52"/>
      <c r="U13" s="101">
        <v>126</v>
      </c>
      <c r="V13" s="104">
        <v>7.0667414470000001</v>
      </c>
      <c r="W13" s="3"/>
      <c r="X13" s="101">
        <v>119</v>
      </c>
      <c r="Y13" s="104">
        <v>6.6741446999000003</v>
      </c>
      <c r="Z13" s="3"/>
      <c r="AA13" s="101">
        <v>116</v>
      </c>
      <c r="AB13" s="104">
        <v>6.5058889512000002</v>
      </c>
    </row>
    <row r="14" spans="1:106" ht="15" x14ac:dyDescent="0.2">
      <c r="A14" s="11"/>
      <c r="B14" s="13" t="s">
        <v>27</v>
      </c>
      <c r="C14" s="250"/>
      <c r="D14" s="101">
        <v>1750</v>
      </c>
      <c r="E14" s="251"/>
      <c r="F14" s="101">
        <v>118</v>
      </c>
      <c r="G14" s="104">
        <v>6.7428571429000002</v>
      </c>
      <c r="H14" s="251"/>
      <c r="I14" s="101">
        <v>94</v>
      </c>
      <c r="J14" s="104">
        <v>5.3714285714000001</v>
      </c>
      <c r="K14" s="50"/>
      <c r="L14" s="101">
        <v>196</v>
      </c>
      <c r="M14" s="104">
        <v>11.2</v>
      </c>
      <c r="N14" s="251"/>
      <c r="O14" s="101">
        <v>295</v>
      </c>
      <c r="P14" s="104">
        <v>16.857142857100001</v>
      </c>
      <c r="Q14" s="251"/>
      <c r="R14" s="101">
        <v>369</v>
      </c>
      <c r="S14" s="104">
        <v>21.0857142857</v>
      </c>
      <c r="T14" s="52"/>
      <c r="U14" s="101">
        <v>326</v>
      </c>
      <c r="V14" s="104">
        <v>18.628571428600001</v>
      </c>
      <c r="W14" s="3"/>
      <c r="X14" s="101">
        <v>330</v>
      </c>
      <c r="Y14" s="104">
        <v>18.857142857100001</v>
      </c>
      <c r="Z14" s="3"/>
      <c r="AA14" s="101">
        <v>22</v>
      </c>
      <c r="AB14" s="104">
        <v>1.2571428571000001</v>
      </c>
    </row>
    <row r="15" spans="1:106" ht="15" x14ac:dyDescent="0.2">
      <c r="A15" s="12"/>
      <c r="B15" s="13" t="s">
        <v>28</v>
      </c>
      <c r="C15" s="250"/>
      <c r="D15" s="101">
        <v>1639</v>
      </c>
      <c r="E15" s="251"/>
      <c r="F15" s="101">
        <v>75</v>
      </c>
      <c r="G15" s="104">
        <v>4.5759609518</v>
      </c>
      <c r="H15" s="251"/>
      <c r="I15" s="101">
        <v>60</v>
      </c>
      <c r="J15" s="104">
        <v>3.6607687614</v>
      </c>
      <c r="K15" s="50"/>
      <c r="L15" s="101">
        <v>92</v>
      </c>
      <c r="M15" s="104">
        <v>5.6131787675</v>
      </c>
      <c r="N15" s="251"/>
      <c r="O15" s="101">
        <v>265</v>
      </c>
      <c r="P15" s="104">
        <v>16.168395362999998</v>
      </c>
      <c r="Q15" s="251"/>
      <c r="R15" s="101">
        <v>371</v>
      </c>
      <c r="S15" s="104">
        <v>22.635753508200001</v>
      </c>
      <c r="T15" s="52"/>
      <c r="U15" s="101">
        <v>248</v>
      </c>
      <c r="V15" s="104">
        <v>15.1311775473</v>
      </c>
      <c r="W15" s="3"/>
      <c r="X15" s="101">
        <v>415</v>
      </c>
      <c r="Y15" s="104">
        <v>25.3203172666</v>
      </c>
      <c r="Z15" s="3"/>
      <c r="AA15" s="101">
        <v>113</v>
      </c>
      <c r="AB15" s="104">
        <v>6.8944478340000002</v>
      </c>
    </row>
    <row r="16" spans="1:106" ht="15" x14ac:dyDescent="0.2">
      <c r="A16" s="12"/>
      <c r="B16" s="13" t="s">
        <v>29</v>
      </c>
      <c r="C16" s="250"/>
      <c r="D16" s="101">
        <v>1723</v>
      </c>
      <c r="E16" s="251"/>
      <c r="F16" s="101">
        <v>121</v>
      </c>
      <c r="G16" s="104">
        <v>7.0226349390999996</v>
      </c>
      <c r="H16" s="251"/>
      <c r="I16" s="101">
        <v>115</v>
      </c>
      <c r="J16" s="104">
        <v>6.6744051074000001</v>
      </c>
      <c r="K16" s="50"/>
      <c r="L16" s="101">
        <v>184</v>
      </c>
      <c r="M16" s="104">
        <v>10.6790481718</v>
      </c>
      <c r="N16" s="251"/>
      <c r="O16" s="101">
        <v>207</v>
      </c>
      <c r="P16" s="104">
        <v>12.013929193299999</v>
      </c>
      <c r="Q16" s="251"/>
      <c r="R16" s="101">
        <v>199</v>
      </c>
      <c r="S16" s="104">
        <v>11.549622750999999</v>
      </c>
      <c r="T16" s="52"/>
      <c r="U16" s="101">
        <v>219</v>
      </c>
      <c r="V16" s="104">
        <v>12.7103888566</v>
      </c>
      <c r="W16" s="3"/>
      <c r="X16" s="101">
        <v>563</v>
      </c>
      <c r="Y16" s="104">
        <v>32.675565873499998</v>
      </c>
      <c r="Z16" s="3"/>
      <c r="AA16" s="101">
        <v>115</v>
      </c>
      <c r="AB16" s="104">
        <v>6.6744051074000001</v>
      </c>
    </row>
    <row r="17" spans="1:28" ht="15" x14ac:dyDescent="0.2">
      <c r="A17" s="12"/>
      <c r="B17" s="13" t="s">
        <v>30</v>
      </c>
      <c r="C17" s="250"/>
      <c r="D17" s="94">
        <v>1654</v>
      </c>
      <c r="E17" s="251"/>
      <c r="F17" s="94">
        <v>59</v>
      </c>
      <c r="G17" s="97">
        <v>3.5671100362999999</v>
      </c>
      <c r="H17" s="251"/>
      <c r="I17" s="94">
        <v>131</v>
      </c>
      <c r="J17" s="97">
        <v>7.9201934704000001</v>
      </c>
      <c r="K17" s="50"/>
      <c r="L17" s="94">
        <v>359</v>
      </c>
      <c r="M17" s="97">
        <v>21.7049576784</v>
      </c>
      <c r="N17" s="251"/>
      <c r="O17" s="94">
        <v>303</v>
      </c>
      <c r="P17" s="97">
        <v>18.319226118500001</v>
      </c>
      <c r="Q17" s="251"/>
      <c r="R17" s="94">
        <v>191</v>
      </c>
      <c r="S17" s="97">
        <v>11.5477629988</v>
      </c>
      <c r="T17" s="53"/>
      <c r="U17" s="94">
        <v>239</v>
      </c>
      <c r="V17" s="97">
        <v>14.4498186215</v>
      </c>
      <c r="W17" s="3"/>
      <c r="X17" s="94">
        <v>249</v>
      </c>
      <c r="Y17" s="97">
        <v>15.054413542900001</v>
      </c>
      <c r="Z17" s="3"/>
      <c r="AA17" s="94">
        <v>123</v>
      </c>
      <c r="AB17" s="97">
        <v>7.4365175333</v>
      </c>
    </row>
    <row r="18" spans="1:28" ht="15" x14ac:dyDescent="0.2">
      <c r="A18" s="21"/>
      <c r="B18" s="13" t="s">
        <v>31</v>
      </c>
      <c r="C18" s="250"/>
      <c r="D18" s="94">
        <v>1696</v>
      </c>
      <c r="E18" s="251"/>
      <c r="F18" s="94">
        <v>149</v>
      </c>
      <c r="G18" s="97">
        <v>8.7853773584999999</v>
      </c>
      <c r="H18" s="251"/>
      <c r="I18" s="94">
        <v>228</v>
      </c>
      <c r="J18" s="97">
        <v>13.443396226400001</v>
      </c>
      <c r="K18" s="50"/>
      <c r="L18" s="94">
        <v>356</v>
      </c>
      <c r="M18" s="97">
        <v>20.990566037699999</v>
      </c>
      <c r="N18" s="251"/>
      <c r="O18" s="94">
        <v>340</v>
      </c>
      <c r="P18" s="97">
        <v>20.047169811300002</v>
      </c>
      <c r="Q18" s="251"/>
      <c r="R18" s="94">
        <v>193</v>
      </c>
      <c r="S18" s="97">
        <v>11.3797169811</v>
      </c>
      <c r="T18" s="53"/>
      <c r="U18" s="94">
        <v>202</v>
      </c>
      <c r="V18" s="97">
        <v>11.9103773585</v>
      </c>
      <c r="W18" s="3"/>
      <c r="X18" s="94">
        <v>191</v>
      </c>
      <c r="Y18" s="97">
        <v>11.2617924528</v>
      </c>
      <c r="Z18" s="3"/>
      <c r="AA18" s="94">
        <v>37</v>
      </c>
      <c r="AB18" s="97">
        <v>2.1816037736</v>
      </c>
    </row>
    <row r="19" spans="1:28" ht="15" x14ac:dyDescent="0.2">
      <c r="A19" s="21"/>
      <c r="B19" s="13" t="s">
        <v>32</v>
      </c>
      <c r="C19" s="250"/>
      <c r="D19" s="101">
        <v>1795</v>
      </c>
      <c r="E19" s="251"/>
      <c r="F19" s="101">
        <v>207</v>
      </c>
      <c r="G19" s="104">
        <v>11.5320334262</v>
      </c>
      <c r="H19" s="251"/>
      <c r="I19" s="101">
        <v>152</v>
      </c>
      <c r="J19" s="104">
        <v>8.4679665738000001</v>
      </c>
      <c r="K19" s="50"/>
      <c r="L19" s="101">
        <v>184</v>
      </c>
      <c r="M19" s="104">
        <v>10.250696378800001</v>
      </c>
      <c r="N19" s="251"/>
      <c r="O19" s="101">
        <v>139</v>
      </c>
      <c r="P19" s="104">
        <v>7.7437325904999996</v>
      </c>
      <c r="Q19" s="251"/>
      <c r="R19" s="101">
        <v>332</v>
      </c>
      <c r="S19" s="104">
        <v>18.495821726999999</v>
      </c>
      <c r="T19" s="52"/>
      <c r="U19" s="101">
        <v>188</v>
      </c>
      <c r="V19" s="104">
        <v>10.473537604500001</v>
      </c>
      <c r="W19" s="3"/>
      <c r="X19" s="101">
        <v>566</v>
      </c>
      <c r="Y19" s="104">
        <v>31.532033426200002</v>
      </c>
      <c r="Z19" s="3"/>
      <c r="AA19" s="101">
        <v>27</v>
      </c>
      <c r="AB19" s="104">
        <v>1.504178273</v>
      </c>
    </row>
    <row r="20" spans="1:28" ht="15" x14ac:dyDescent="0.2">
      <c r="B20" s="13" t="s">
        <v>33</v>
      </c>
      <c r="C20" s="250"/>
      <c r="D20" s="101">
        <v>1721</v>
      </c>
      <c r="E20" s="251"/>
      <c r="F20" s="101">
        <v>56</v>
      </c>
      <c r="G20" s="104">
        <v>3.2539221383000001</v>
      </c>
      <c r="H20" s="251"/>
      <c r="I20" s="101">
        <v>77</v>
      </c>
      <c r="J20" s="104">
        <v>4.4741429402000001</v>
      </c>
      <c r="K20" s="50"/>
      <c r="L20" s="101">
        <v>342</v>
      </c>
      <c r="M20" s="104">
        <v>19.872167344600001</v>
      </c>
      <c r="N20" s="251"/>
      <c r="O20" s="101">
        <v>300</v>
      </c>
      <c r="P20" s="104">
        <v>17.431725740800001</v>
      </c>
      <c r="Q20" s="251"/>
      <c r="R20" s="101">
        <v>366</v>
      </c>
      <c r="S20" s="104">
        <v>21.2667054038</v>
      </c>
      <c r="T20" s="52"/>
      <c r="U20" s="101">
        <v>221</v>
      </c>
      <c r="V20" s="104">
        <v>12.8413712958</v>
      </c>
      <c r="W20" s="3"/>
      <c r="X20" s="101">
        <v>274</v>
      </c>
      <c r="Y20" s="104">
        <v>15.9209761766</v>
      </c>
      <c r="Z20" s="3"/>
      <c r="AA20" s="101">
        <v>85</v>
      </c>
      <c r="AB20" s="104">
        <v>4.9389889598999996</v>
      </c>
    </row>
    <row r="21" spans="1:28" ht="15" x14ac:dyDescent="0.2">
      <c r="B21" s="13" t="s">
        <v>34</v>
      </c>
      <c r="C21" s="250"/>
      <c r="D21" s="101">
        <v>1667</v>
      </c>
      <c r="E21" s="251"/>
      <c r="F21" s="101">
        <v>504</v>
      </c>
      <c r="G21" s="104">
        <v>30.233953209399999</v>
      </c>
      <c r="H21" s="251"/>
      <c r="I21" s="101">
        <v>302</v>
      </c>
      <c r="J21" s="104">
        <v>18.1163767247</v>
      </c>
      <c r="K21" s="50"/>
      <c r="L21" s="101">
        <v>258</v>
      </c>
      <c r="M21" s="104">
        <v>15.476904619100001</v>
      </c>
      <c r="N21" s="251"/>
      <c r="O21" s="101">
        <v>170</v>
      </c>
      <c r="P21" s="104">
        <v>10.1979604079</v>
      </c>
      <c r="Q21" s="251"/>
      <c r="R21" s="101">
        <v>167</v>
      </c>
      <c r="S21" s="104">
        <v>10.0179964007</v>
      </c>
      <c r="T21" s="52"/>
      <c r="U21" s="101">
        <v>112</v>
      </c>
      <c r="V21" s="104">
        <v>6.7186562687000002</v>
      </c>
      <c r="W21" s="3"/>
      <c r="X21" s="101">
        <v>65</v>
      </c>
      <c r="Y21" s="104">
        <v>3.8992201560000002</v>
      </c>
      <c r="Z21" s="3"/>
      <c r="AA21" s="101">
        <v>89</v>
      </c>
      <c r="AB21" s="104">
        <v>5.3389322135999997</v>
      </c>
    </row>
    <row r="22" spans="1:28" ht="15" x14ac:dyDescent="0.2">
      <c r="B22" s="13" t="s">
        <v>35</v>
      </c>
      <c r="C22" s="250"/>
      <c r="D22" s="101">
        <v>1688</v>
      </c>
      <c r="E22" s="251"/>
      <c r="F22" s="101">
        <v>55</v>
      </c>
      <c r="G22" s="104">
        <v>3.2582938388999998</v>
      </c>
      <c r="H22" s="251"/>
      <c r="I22" s="101">
        <v>129</v>
      </c>
      <c r="J22" s="104">
        <v>7.6421800947999996</v>
      </c>
      <c r="K22" s="50"/>
      <c r="L22" s="101">
        <v>241</v>
      </c>
      <c r="M22" s="104">
        <v>14.277251184800001</v>
      </c>
      <c r="N22" s="251"/>
      <c r="O22" s="101">
        <v>253</v>
      </c>
      <c r="P22" s="104">
        <v>14.9881516588</v>
      </c>
      <c r="Q22" s="251"/>
      <c r="R22" s="101">
        <v>308</v>
      </c>
      <c r="S22" s="104">
        <v>18.2464454976</v>
      </c>
      <c r="T22" s="52"/>
      <c r="U22" s="101">
        <v>151</v>
      </c>
      <c r="V22" s="104">
        <v>8.9454976303000002</v>
      </c>
      <c r="W22" s="3"/>
      <c r="X22" s="101">
        <v>446</v>
      </c>
      <c r="Y22" s="104">
        <v>26.4218009479</v>
      </c>
      <c r="Z22" s="3"/>
      <c r="AA22" s="101">
        <v>105</v>
      </c>
      <c r="AB22" s="104">
        <v>6.2203791469</v>
      </c>
    </row>
    <row r="23" spans="1:28" ht="15" x14ac:dyDescent="0.2">
      <c r="B23" s="13" t="s">
        <v>36</v>
      </c>
      <c r="C23" s="250"/>
      <c r="D23" s="101">
        <v>1780</v>
      </c>
      <c r="E23" s="251"/>
      <c r="F23" s="101">
        <v>204</v>
      </c>
      <c r="G23" s="104">
        <v>11.4606741573</v>
      </c>
      <c r="H23" s="251"/>
      <c r="I23" s="101">
        <v>352</v>
      </c>
      <c r="J23" s="104">
        <v>19.7752808989</v>
      </c>
      <c r="K23" s="50"/>
      <c r="L23" s="101">
        <v>328</v>
      </c>
      <c r="M23" s="104">
        <v>18.426966292100001</v>
      </c>
      <c r="N23" s="251"/>
      <c r="O23" s="101">
        <v>233</v>
      </c>
      <c r="P23" s="104">
        <v>13.089887640400001</v>
      </c>
      <c r="Q23" s="251"/>
      <c r="R23" s="101">
        <v>181</v>
      </c>
      <c r="S23" s="104">
        <v>10.168539325799999</v>
      </c>
      <c r="T23" s="52"/>
      <c r="U23" s="101">
        <v>225</v>
      </c>
      <c r="V23" s="104">
        <v>12.640449438199999</v>
      </c>
      <c r="W23" s="3"/>
      <c r="X23" s="101">
        <v>195</v>
      </c>
      <c r="Y23" s="104">
        <v>10.9550561798</v>
      </c>
      <c r="Z23" s="3"/>
      <c r="AA23" s="101">
        <v>62</v>
      </c>
      <c r="AB23" s="104">
        <v>3.4831460673999999</v>
      </c>
    </row>
    <row r="24" spans="1:28" ht="15" x14ac:dyDescent="0.2">
      <c r="B24" s="13" t="s">
        <v>37</v>
      </c>
      <c r="C24" s="250"/>
      <c r="D24" s="101">
        <v>1688</v>
      </c>
      <c r="E24" s="251"/>
      <c r="F24" s="101">
        <v>172</v>
      </c>
      <c r="G24" s="104">
        <v>10.1895734597</v>
      </c>
      <c r="H24" s="251"/>
      <c r="I24" s="101">
        <v>167</v>
      </c>
      <c r="J24" s="104">
        <v>9.8933649289000005</v>
      </c>
      <c r="K24" s="50"/>
      <c r="L24" s="101">
        <v>305</v>
      </c>
      <c r="M24" s="104">
        <v>18.0687203791</v>
      </c>
      <c r="N24" s="251"/>
      <c r="O24" s="101">
        <v>223</v>
      </c>
      <c r="P24" s="104">
        <v>13.210900473900001</v>
      </c>
      <c r="Q24" s="251"/>
      <c r="R24" s="101">
        <v>168</v>
      </c>
      <c r="S24" s="104">
        <v>9.9526066351000004</v>
      </c>
      <c r="T24" s="52"/>
      <c r="U24" s="101">
        <v>225</v>
      </c>
      <c r="V24" s="104">
        <v>13.3293838863</v>
      </c>
      <c r="W24" s="3"/>
      <c r="X24" s="101">
        <v>338</v>
      </c>
      <c r="Y24" s="104">
        <v>20.023696682499999</v>
      </c>
      <c r="Z24" s="3"/>
      <c r="AA24" s="101">
        <v>90</v>
      </c>
      <c r="AB24" s="104">
        <v>5.3317535544999997</v>
      </c>
    </row>
    <row r="25" spans="1:28" ht="15" x14ac:dyDescent="0.2">
      <c r="B25" s="13" t="s">
        <v>38</v>
      </c>
      <c r="C25" s="250"/>
      <c r="D25" s="101">
        <v>1700</v>
      </c>
      <c r="E25" s="251"/>
      <c r="F25" s="101">
        <v>206</v>
      </c>
      <c r="G25" s="104">
        <v>12.117647058799999</v>
      </c>
      <c r="H25" s="251"/>
      <c r="I25" s="101">
        <v>266</v>
      </c>
      <c r="J25" s="104">
        <v>15.6470588235</v>
      </c>
      <c r="K25" s="50"/>
      <c r="L25" s="101">
        <v>327</v>
      </c>
      <c r="M25" s="104">
        <v>19.235294117599999</v>
      </c>
      <c r="N25" s="251"/>
      <c r="O25" s="101">
        <v>161</v>
      </c>
      <c r="P25" s="104">
        <v>9.4705882352999993</v>
      </c>
      <c r="Q25" s="251"/>
      <c r="R25" s="101">
        <v>165</v>
      </c>
      <c r="S25" s="104">
        <v>9.7058823528999998</v>
      </c>
      <c r="T25" s="52"/>
      <c r="U25" s="101">
        <v>187</v>
      </c>
      <c r="V25" s="104">
        <v>11</v>
      </c>
      <c r="W25" s="3"/>
      <c r="X25" s="101">
        <v>345</v>
      </c>
      <c r="Y25" s="104">
        <v>20.294117647099998</v>
      </c>
      <c r="Z25" s="3"/>
      <c r="AA25" s="101">
        <v>43</v>
      </c>
      <c r="AB25" s="104">
        <v>2.5294117646999998</v>
      </c>
    </row>
    <row r="26" spans="1:28" ht="15" x14ac:dyDescent="0.2">
      <c r="B26" s="13" t="s">
        <v>39</v>
      </c>
      <c r="C26" s="250"/>
      <c r="D26" s="101">
        <v>1697</v>
      </c>
      <c r="E26" s="251"/>
      <c r="F26" s="101">
        <v>282</v>
      </c>
      <c r="G26" s="104">
        <v>16.6175604007</v>
      </c>
      <c r="H26" s="251"/>
      <c r="I26" s="101">
        <v>477</v>
      </c>
      <c r="J26" s="104">
        <v>28.108426635200001</v>
      </c>
      <c r="K26" s="50"/>
      <c r="L26" s="101">
        <v>312</v>
      </c>
      <c r="M26" s="104">
        <v>18.3853859753</v>
      </c>
      <c r="N26" s="251"/>
      <c r="O26" s="101">
        <v>204</v>
      </c>
      <c r="P26" s="104">
        <v>12.0212139069</v>
      </c>
      <c r="Q26" s="251"/>
      <c r="R26" s="101">
        <v>152</v>
      </c>
      <c r="S26" s="104">
        <v>8.9569829110000008</v>
      </c>
      <c r="T26" s="52"/>
      <c r="U26" s="101">
        <v>139</v>
      </c>
      <c r="V26" s="104">
        <v>8.1909251620999992</v>
      </c>
      <c r="W26" s="3"/>
      <c r="X26" s="101">
        <v>112</v>
      </c>
      <c r="Y26" s="104">
        <v>6.5998821449999996</v>
      </c>
      <c r="Z26" s="3"/>
      <c r="AA26" s="101">
        <v>19</v>
      </c>
      <c r="AB26" s="104">
        <v>1.1196228639000001</v>
      </c>
    </row>
    <row r="27" spans="1:28" ht="15" x14ac:dyDescent="0.2">
      <c r="B27" s="13" t="s">
        <v>40</v>
      </c>
      <c r="C27" s="250"/>
      <c r="D27" s="101">
        <v>1730</v>
      </c>
      <c r="E27" s="251"/>
      <c r="F27" s="101">
        <v>275</v>
      </c>
      <c r="G27" s="104">
        <v>15.895953757199999</v>
      </c>
      <c r="H27" s="251"/>
      <c r="I27" s="101">
        <v>176</v>
      </c>
      <c r="J27" s="104">
        <v>10.1734104046</v>
      </c>
      <c r="K27" s="50"/>
      <c r="L27" s="101">
        <v>421</v>
      </c>
      <c r="M27" s="104">
        <v>24.335260115600001</v>
      </c>
      <c r="N27" s="251"/>
      <c r="O27" s="101">
        <v>191</v>
      </c>
      <c r="P27" s="104">
        <v>11.0404624277</v>
      </c>
      <c r="Q27" s="251"/>
      <c r="R27" s="101">
        <v>221</v>
      </c>
      <c r="S27" s="104">
        <v>12.774566474</v>
      </c>
      <c r="T27" s="52"/>
      <c r="U27" s="101">
        <v>177</v>
      </c>
      <c r="V27" s="104">
        <v>10.2312138728</v>
      </c>
      <c r="W27" s="3"/>
      <c r="X27" s="101">
        <v>156</v>
      </c>
      <c r="Y27" s="104">
        <v>9.0173410404999998</v>
      </c>
      <c r="Z27" s="3"/>
      <c r="AA27" s="101">
        <v>113</v>
      </c>
      <c r="AB27" s="104">
        <v>6.5317919074999997</v>
      </c>
    </row>
    <row r="28" spans="1:28" ht="15" x14ac:dyDescent="0.2">
      <c r="B28" s="13" t="s">
        <v>41</v>
      </c>
      <c r="C28" s="250"/>
      <c r="D28" s="101">
        <v>1812</v>
      </c>
      <c r="E28" s="251"/>
      <c r="F28" s="101">
        <v>229</v>
      </c>
      <c r="G28" s="104">
        <v>12.637969094900001</v>
      </c>
      <c r="H28" s="251"/>
      <c r="I28" s="101">
        <v>244</v>
      </c>
      <c r="J28" s="104">
        <v>13.4657836645</v>
      </c>
      <c r="K28" s="50"/>
      <c r="L28" s="101">
        <v>329</v>
      </c>
      <c r="M28" s="104">
        <v>18.156732891800001</v>
      </c>
      <c r="N28" s="251"/>
      <c r="O28" s="101">
        <v>275</v>
      </c>
      <c r="P28" s="104">
        <v>15.1766004415</v>
      </c>
      <c r="Q28" s="251"/>
      <c r="R28" s="101">
        <v>181</v>
      </c>
      <c r="S28" s="104">
        <v>9.9889624724000008</v>
      </c>
      <c r="T28" s="52"/>
      <c r="U28" s="101">
        <v>219</v>
      </c>
      <c r="V28" s="104">
        <v>12.0860927152</v>
      </c>
      <c r="W28" s="3"/>
      <c r="X28" s="101">
        <v>289</v>
      </c>
      <c r="Y28" s="104">
        <v>15.949227373099999</v>
      </c>
      <c r="Z28" s="3"/>
      <c r="AA28" s="101">
        <v>46</v>
      </c>
      <c r="AB28" s="104">
        <v>2.5386313465999999</v>
      </c>
    </row>
    <row r="29" spans="1:28" ht="15" x14ac:dyDescent="0.2">
      <c r="B29" s="13" t="s">
        <v>42</v>
      </c>
      <c r="C29" s="250"/>
      <c r="D29" s="101">
        <v>1693</v>
      </c>
      <c r="E29" s="251"/>
      <c r="F29" s="101">
        <v>157</v>
      </c>
      <c r="G29" s="104">
        <v>9.2734790313000008</v>
      </c>
      <c r="H29" s="251"/>
      <c r="I29" s="101">
        <v>165</v>
      </c>
      <c r="J29" s="104">
        <v>9.7460129946999992</v>
      </c>
      <c r="K29" s="50"/>
      <c r="L29" s="101">
        <v>206</v>
      </c>
      <c r="M29" s="104">
        <v>12.167749557</v>
      </c>
      <c r="N29" s="251"/>
      <c r="O29" s="101">
        <v>155</v>
      </c>
      <c r="P29" s="104">
        <v>9.1553455405000008</v>
      </c>
      <c r="Q29" s="251"/>
      <c r="R29" s="101">
        <v>298</v>
      </c>
      <c r="S29" s="104">
        <v>17.6018901359</v>
      </c>
      <c r="T29" s="52"/>
      <c r="U29" s="101">
        <v>271</v>
      </c>
      <c r="V29" s="104">
        <v>16.007088009499999</v>
      </c>
      <c r="W29" s="3"/>
      <c r="X29" s="101">
        <v>344</v>
      </c>
      <c r="Y29" s="104">
        <v>20.318960425299998</v>
      </c>
      <c r="Z29" s="3"/>
      <c r="AA29" s="101">
        <v>97</v>
      </c>
      <c r="AB29" s="104">
        <v>5.7294743060000002</v>
      </c>
    </row>
    <row r="30" spans="1:28" ht="15" x14ac:dyDescent="0.2">
      <c r="B30" s="13" t="s">
        <v>43</v>
      </c>
      <c r="C30" s="250"/>
      <c r="D30" s="101">
        <v>1751</v>
      </c>
      <c r="E30" s="251"/>
      <c r="F30" s="101">
        <v>149</v>
      </c>
      <c r="G30" s="104">
        <v>8.5094231867999994</v>
      </c>
      <c r="H30" s="251"/>
      <c r="I30" s="101">
        <v>214</v>
      </c>
      <c r="J30" s="104">
        <v>12.221587664199999</v>
      </c>
      <c r="K30" s="50"/>
      <c r="L30" s="101">
        <v>314</v>
      </c>
      <c r="M30" s="104">
        <v>17.932609937199999</v>
      </c>
      <c r="N30" s="251"/>
      <c r="O30" s="101">
        <v>299</v>
      </c>
      <c r="P30" s="104">
        <v>17.075956596200001</v>
      </c>
      <c r="Q30" s="251"/>
      <c r="R30" s="101">
        <v>178</v>
      </c>
      <c r="S30" s="104">
        <v>10.1656196459</v>
      </c>
      <c r="T30" s="52"/>
      <c r="U30" s="101">
        <v>186</v>
      </c>
      <c r="V30" s="104">
        <v>10.6225014278</v>
      </c>
      <c r="W30" s="3"/>
      <c r="X30" s="101">
        <v>357</v>
      </c>
      <c r="Y30" s="104">
        <v>20.388349514600002</v>
      </c>
      <c r="Z30" s="3"/>
      <c r="AA30" s="101">
        <v>54</v>
      </c>
      <c r="AB30" s="104">
        <v>3.0839520274000001</v>
      </c>
    </row>
    <row r="31" spans="1:28" ht="15" x14ac:dyDescent="0.2">
      <c r="B31" s="13" t="s">
        <v>44</v>
      </c>
      <c r="C31" s="250"/>
      <c r="D31" s="101">
        <v>1728</v>
      </c>
      <c r="E31" s="251"/>
      <c r="F31" s="101">
        <v>82</v>
      </c>
      <c r="G31" s="104">
        <v>4.7453703703999999</v>
      </c>
      <c r="H31" s="251"/>
      <c r="I31" s="101">
        <v>331</v>
      </c>
      <c r="J31" s="104">
        <v>19.155092592599999</v>
      </c>
      <c r="K31" s="50"/>
      <c r="L31" s="101">
        <v>628</v>
      </c>
      <c r="M31" s="104">
        <v>36.342592592599999</v>
      </c>
      <c r="N31" s="251"/>
      <c r="O31" s="101">
        <v>285</v>
      </c>
      <c r="P31" s="104">
        <v>16.493055555600002</v>
      </c>
      <c r="Q31" s="251"/>
      <c r="R31" s="101">
        <v>131</v>
      </c>
      <c r="S31" s="104">
        <v>7.5810185184999996</v>
      </c>
      <c r="T31" s="52"/>
      <c r="U31" s="101">
        <v>113</v>
      </c>
      <c r="V31" s="104">
        <v>6.5393518519000002</v>
      </c>
      <c r="W31" s="3"/>
      <c r="X31" s="101">
        <v>139</v>
      </c>
      <c r="Y31" s="104">
        <v>8.0439814814999995</v>
      </c>
      <c r="Z31" s="3"/>
      <c r="AA31" s="101">
        <v>19</v>
      </c>
      <c r="AB31" s="104">
        <v>1.0995370369999999</v>
      </c>
    </row>
    <row r="32" spans="1:28" ht="15" x14ac:dyDescent="0.2">
      <c r="B32" s="13" t="s">
        <v>45</v>
      </c>
      <c r="C32" s="250"/>
      <c r="D32" s="101">
        <v>1733</v>
      </c>
      <c r="E32" s="251"/>
      <c r="F32" s="101">
        <v>106</v>
      </c>
      <c r="G32" s="104">
        <v>6.1165608771000004</v>
      </c>
      <c r="H32" s="251"/>
      <c r="I32" s="101">
        <v>89</v>
      </c>
      <c r="J32" s="104">
        <v>5.1356030005999997</v>
      </c>
      <c r="K32" s="50"/>
      <c r="L32" s="101">
        <v>141</v>
      </c>
      <c r="M32" s="104">
        <v>8.1361800346000006</v>
      </c>
      <c r="N32" s="251"/>
      <c r="O32" s="101">
        <v>147</v>
      </c>
      <c r="P32" s="104">
        <v>8.4824004615999993</v>
      </c>
      <c r="Q32" s="251"/>
      <c r="R32" s="101">
        <v>246</v>
      </c>
      <c r="S32" s="104">
        <v>14.1950375072</v>
      </c>
      <c r="T32" s="52"/>
      <c r="U32" s="101">
        <v>283</v>
      </c>
      <c r="V32" s="104">
        <v>16.330063473700001</v>
      </c>
      <c r="W32" s="3"/>
      <c r="X32" s="101">
        <v>679</v>
      </c>
      <c r="Y32" s="104">
        <v>39.180611656099998</v>
      </c>
      <c r="Z32" s="3"/>
      <c r="AA32" s="101">
        <v>42</v>
      </c>
      <c r="AB32" s="104">
        <v>2.423542989</v>
      </c>
    </row>
    <row r="33" spans="1:28" ht="15" x14ac:dyDescent="0.2">
      <c r="B33" s="13" t="s">
        <v>46</v>
      </c>
      <c r="C33" s="250"/>
      <c r="D33" s="101">
        <v>1740</v>
      </c>
      <c r="E33" s="251"/>
      <c r="F33" s="101">
        <v>310</v>
      </c>
      <c r="G33" s="104">
        <v>17.816091954000001</v>
      </c>
      <c r="H33" s="251"/>
      <c r="I33" s="101">
        <v>240</v>
      </c>
      <c r="J33" s="104">
        <v>13.7931034483</v>
      </c>
      <c r="K33" s="50"/>
      <c r="L33" s="101">
        <v>201</v>
      </c>
      <c r="M33" s="104">
        <v>11.551724137900001</v>
      </c>
      <c r="N33" s="251"/>
      <c r="O33" s="101">
        <v>163</v>
      </c>
      <c r="P33" s="104">
        <v>9.367816092</v>
      </c>
      <c r="Q33" s="251"/>
      <c r="R33" s="101">
        <v>246</v>
      </c>
      <c r="S33" s="104">
        <v>14.137931034499999</v>
      </c>
      <c r="T33" s="52"/>
      <c r="U33" s="101">
        <v>182</v>
      </c>
      <c r="V33" s="104">
        <v>10.4597701149</v>
      </c>
      <c r="W33" s="3"/>
      <c r="X33" s="101">
        <v>360</v>
      </c>
      <c r="Y33" s="104">
        <v>20.689655172399998</v>
      </c>
      <c r="Z33" s="3"/>
      <c r="AA33" s="101">
        <v>38</v>
      </c>
      <c r="AB33" s="104">
        <v>2.183908046</v>
      </c>
    </row>
    <row r="34" spans="1:28" ht="15" x14ac:dyDescent="0.2">
      <c r="B34" s="13" t="s">
        <v>47</v>
      </c>
      <c r="C34" s="250"/>
      <c r="D34" s="101">
        <v>1706</v>
      </c>
      <c r="E34" s="251"/>
      <c r="F34" s="101">
        <v>187</v>
      </c>
      <c r="G34" s="104">
        <v>10.9613130129</v>
      </c>
      <c r="H34" s="251"/>
      <c r="I34" s="101">
        <v>271</v>
      </c>
      <c r="J34" s="104">
        <v>15.885111371600001</v>
      </c>
      <c r="K34" s="50"/>
      <c r="L34" s="101">
        <v>354</v>
      </c>
      <c r="M34" s="104">
        <v>20.750293083199999</v>
      </c>
      <c r="N34" s="251"/>
      <c r="O34" s="101">
        <v>205</v>
      </c>
      <c r="P34" s="104">
        <v>12.0164126612</v>
      </c>
      <c r="Q34" s="251"/>
      <c r="R34" s="101">
        <v>219</v>
      </c>
      <c r="S34" s="104">
        <v>12.837045721000001</v>
      </c>
      <c r="T34" s="52"/>
      <c r="U34" s="101">
        <v>226</v>
      </c>
      <c r="V34" s="104">
        <v>13.2473622509</v>
      </c>
      <c r="W34" s="3"/>
      <c r="X34" s="101">
        <v>213</v>
      </c>
      <c r="Y34" s="104">
        <v>12.485345838200001</v>
      </c>
      <c r="Z34" s="3"/>
      <c r="AA34" s="101">
        <v>31</v>
      </c>
      <c r="AB34" s="104">
        <v>1.8171160609999999</v>
      </c>
    </row>
    <row r="35" spans="1:28" ht="15" x14ac:dyDescent="0.2">
      <c r="B35" s="13" t="s">
        <v>48</v>
      </c>
      <c r="C35" s="250"/>
      <c r="D35" s="101">
        <v>1664</v>
      </c>
      <c r="E35" s="251"/>
      <c r="F35" s="101">
        <v>165</v>
      </c>
      <c r="G35" s="104">
        <v>9.9158653846</v>
      </c>
      <c r="H35" s="251"/>
      <c r="I35" s="101">
        <v>219</v>
      </c>
      <c r="J35" s="104">
        <v>13.1610576923</v>
      </c>
      <c r="K35" s="50"/>
      <c r="L35" s="101">
        <v>233</v>
      </c>
      <c r="M35" s="104">
        <v>14.0024038462</v>
      </c>
      <c r="N35" s="251"/>
      <c r="O35" s="101">
        <v>350</v>
      </c>
      <c r="P35" s="104">
        <v>21.0336538462</v>
      </c>
      <c r="Q35" s="251"/>
      <c r="R35" s="101">
        <v>165</v>
      </c>
      <c r="S35" s="104">
        <v>9.9158653846</v>
      </c>
      <c r="T35" s="54"/>
      <c r="U35" s="101">
        <v>177</v>
      </c>
      <c r="V35" s="104">
        <v>10.6370192308</v>
      </c>
      <c r="W35" s="3"/>
      <c r="X35" s="101">
        <v>256</v>
      </c>
      <c r="Y35" s="104">
        <v>15.3846153846</v>
      </c>
      <c r="Z35" s="3"/>
      <c r="AA35" s="101">
        <v>99</v>
      </c>
      <c r="AB35" s="104">
        <v>5.9495192308</v>
      </c>
    </row>
    <row r="36" spans="1:28" ht="15" x14ac:dyDescent="0.2">
      <c r="B36" s="13" t="s">
        <v>49</v>
      </c>
      <c r="C36" s="250"/>
      <c r="D36" s="101">
        <v>1734</v>
      </c>
      <c r="E36" s="251"/>
      <c r="F36" s="101">
        <v>93</v>
      </c>
      <c r="G36" s="104">
        <v>5.3633217993000004</v>
      </c>
      <c r="H36" s="251"/>
      <c r="I36" s="101">
        <v>332</v>
      </c>
      <c r="J36" s="104">
        <v>19.1464821223</v>
      </c>
      <c r="K36" s="50"/>
      <c r="L36" s="101">
        <v>315</v>
      </c>
      <c r="M36" s="104">
        <v>18.166089965400001</v>
      </c>
      <c r="N36" s="251"/>
      <c r="O36" s="101">
        <v>183</v>
      </c>
      <c r="P36" s="104">
        <v>10.553633218</v>
      </c>
      <c r="Q36" s="251"/>
      <c r="R36" s="101">
        <v>154</v>
      </c>
      <c r="S36" s="104">
        <v>8.8811995386000007</v>
      </c>
      <c r="T36" s="52"/>
      <c r="U36" s="101">
        <v>171</v>
      </c>
      <c r="V36" s="104">
        <v>9.8615916954999996</v>
      </c>
      <c r="W36" s="3"/>
      <c r="X36" s="101">
        <v>460</v>
      </c>
      <c r="Y36" s="104">
        <v>26.528258362199999</v>
      </c>
      <c r="Z36" s="3"/>
      <c r="AA36" s="101">
        <v>26</v>
      </c>
      <c r="AB36" s="104">
        <v>1.4994232987</v>
      </c>
    </row>
    <row r="37" spans="1:28" ht="15" x14ac:dyDescent="0.2">
      <c r="B37" s="13" t="s">
        <v>50</v>
      </c>
      <c r="C37" s="250"/>
      <c r="D37" s="101">
        <v>1770</v>
      </c>
      <c r="E37" s="251"/>
      <c r="F37" s="101">
        <v>64</v>
      </c>
      <c r="G37" s="104">
        <v>3.6158192090000001</v>
      </c>
      <c r="H37" s="251"/>
      <c r="I37" s="101">
        <v>114</v>
      </c>
      <c r="J37" s="104">
        <v>6.4406779661</v>
      </c>
      <c r="K37" s="50"/>
      <c r="L37" s="101">
        <v>295</v>
      </c>
      <c r="M37" s="104">
        <v>16.666666666699999</v>
      </c>
      <c r="N37" s="251"/>
      <c r="O37" s="101">
        <v>371</v>
      </c>
      <c r="P37" s="104">
        <v>20.960451977400002</v>
      </c>
      <c r="Q37" s="251"/>
      <c r="R37" s="101">
        <v>205</v>
      </c>
      <c r="S37" s="104">
        <v>11.581920904</v>
      </c>
      <c r="T37" s="52"/>
      <c r="U37" s="101">
        <v>221</v>
      </c>
      <c r="V37" s="104">
        <v>12.4858757062</v>
      </c>
      <c r="W37" s="3"/>
      <c r="X37" s="101">
        <v>470</v>
      </c>
      <c r="Y37" s="104">
        <v>26.5536723164</v>
      </c>
      <c r="Z37" s="3"/>
      <c r="AA37" s="101">
        <v>30</v>
      </c>
      <c r="AB37" s="104">
        <v>1.6949152542000001</v>
      </c>
    </row>
    <row r="38" spans="1:28" ht="15" x14ac:dyDescent="0.2">
      <c r="B38" s="13" t="s">
        <v>51</v>
      </c>
      <c r="C38" s="250"/>
      <c r="D38" s="101">
        <v>1778</v>
      </c>
      <c r="E38" s="251"/>
      <c r="F38" s="101">
        <v>98</v>
      </c>
      <c r="G38" s="104">
        <v>5.5118110236</v>
      </c>
      <c r="H38" s="251"/>
      <c r="I38" s="101">
        <v>144</v>
      </c>
      <c r="J38" s="104">
        <v>8.0989876264999996</v>
      </c>
      <c r="K38" s="50"/>
      <c r="L38" s="101">
        <v>213</v>
      </c>
      <c r="M38" s="104">
        <v>11.979752530900001</v>
      </c>
      <c r="N38" s="251"/>
      <c r="O38" s="101">
        <v>258</v>
      </c>
      <c r="P38" s="104">
        <v>14.510686164199999</v>
      </c>
      <c r="Q38" s="52"/>
      <c r="R38" s="101">
        <v>308</v>
      </c>
      <c r="S38" s="104">
        <v>17.322834645699999</v>
      </c>
      <c r="T38" s="52"/>
      <c r="U38" s="101">
        <v>263</v>
      </c>
      <c r="V38" s="104">
        <v>14.7919010124</v>
      </c>
      <c r="W38" s="3"/>
      <c r="X38" s="101">
        <v>484</v>
      </c>
      <c r="Y38" s="104">
        <v>27.221597300300001</v>
      </c>
      <c r="Z38" s="3"/>
      <c r="AA38" s="101">
        <v>10</v>
      </c>
      <c r="AB38" s="104">
        <v>0.56242969629999995</v>
      </c>
    </row>
    <row r="39" spans="1:28" ht="15" x14ac:dyDescent="0.2">
      <c r="B39" s="13" t="s">
        <v>52</v>
      </c>
      <c r="C39" s="250"/>
      <c r="D39" s="101">
        <v>1739</v>
      </c>
      <c r="E39" s="251"/>
      <c r="F39" s="101">
        <v>207</v>
      </c>
      <c r="G39" s="104">
        <v>11.9033927545</v>
      </c>
      <c r="H39" s="251"/>
      <c r="I39" s="101">
        <v>157</v>
      </c>
      <c r="J39" s="104">
        <v>9.0281771132999999</v>
      </c>
      <c r="K39" s="50"/>
      <c r="L39" s="101">
        <v>221</v>
      </c>
      <c r="M39" s="104">
        <v>12.708453134000001</v>
      </c>
      <c r="N39" s="251"/>
      <c r="O39" s="101">
        <v>152</v>
      </c>
      <c r="P39" s="104">
        <v>8.7406555491999995</v>
      </c>
      <c r="Q39" s="251"/>
      <c r="R39" s="101">
        <v>165</v>
      </c>
      <c r="S39" s="104">
        <v>9.4882116158999992</v>
      </c>
      <c r="T39" s="52"/>
      <c r="U39" s="101">
        <v>214</v>
      </c>
      <c r="V39" s="104">
        <v>12.305922944200001</v>
      </c>
      <c r="W39" s="3"/>
      <c r="X39" s="101">
        <v>587</v>
      </c>
      <c r="Y39" s="104">
        <v>33.755031627400001</v>
      </c>
      <c r="Z39" s="3"/>
      <c r="AA39" s="101">
        <v>36</v>
      </c>
      <c r="AB39" s="104">
        <v>2.0701552616000001</v>
      </c>
    </row>
    <row r="40" spans="1:28" ht="15" x14ac:dyDescent="0.2">
      <c r="B40" s="13" t="s">
        <v>53</v>
      </c>
      <c r="C40" s="250"/>
      <c r="D40" s="101">
        <v>1649</v>
      </c>
      <c r="E40" s="251"/>
      <c r="F40" s="101">
        <v>72</v>
      </c>
      <c r="G40" s="104">
        <v>4.3662825955000004</v>
      </c>
      <c r="H40" s="251"/>
      <c r="I40" s="101">
        <v>136</v>
      </c>
      <c r="J40" s="104">
        <v>8.2474226803999997</v>
      </c>
      <c r="K40" s="50"/>
      <c r="L40" s="101">
        <v>281</v>
      </c>
      <c r="M40" s="104">
        <v>17.040630685299998</v>
      </c>
      <c r="N40" s="251"/>
      <c r="O40" s="101">
        <v>223</v>
      </c>
      <c r="P40" s="104">
        <v>13.5233474833</v>
      </c>
      <c r="Q40" s="251"/>
      <c r="R40" s="101">
        <v>343</v>
      </c>
      <c r="S40" s="104">
        <v>20.800485142500001</v>
      </c>
      <c r="T40" s="52"/>
      <c r="U40" s="101">
        <v>217</v>
      </c>
      <c r="V40" s="104">
        <v>13.1594906004</v>
      </c>
      <c r="W40" s="3"/>
      <c r="X40" s="101">
        <v>332</v>
      </c>
      <c r="Y40" s="104">
        <v>20.1334141904</v>
      </c>
      <c r="Z40" s="3"/>
      <c r="AA40" s="101">
        <v>45</v>
      </c>
      <c r="AB40" s="104">
        <v>2.7289266221999999</v>
      </c>
    </row>
    <row r="41" spans="1:28" ht="15" x14ac:dyDescent="0.2">
      <c r="B41" s="13" t="s">
        <v>54</v>
      </c>
      <c r="C41" s="250"/>
      <c r="D41" s="101">
        <v>1784</v>
      </c>
      <c r="E41" s="251"/>
      <c r="F41" s="101">
        <v>231</v>
      </c>
      <c r="G41" s="104">
        <v>12.9484304933</v>
      </c>
      <c r="H41" s="251"/>
      <c r="I41" s="101">
        <v>203</v>
      </c>
      <c r="J41" s="104">
        <v>11.3789237668</v>
      </c>
      <c r="K41" s="50"/>
      <c r="L41" s="101">
        <v>291</v>
      </c>
      <c r="M41" s="104">
        <v>16.311659192800001</v>
      </c>
      <c r="N41" s="251"/>
      <c r="O41" s="101">
        <v>197</v>
      </c>
      <c r="P41" s="104">
        <v>11.0426008969</v>
      </c>
      <c r="Q41" s="251"/>
      <c r="R41" s="101">
        <v>213</v>
      </c>
      <c r="S41" s="104">
        <v>11.9394618834</v>
      </c>
      <c r="T41" s="52"/>
      <c r="U41" s="101">
        <v>277</v>
      </c>
      <c r="V41" s="104">
        <v>15.5269058296</v>
      </c>
      <c r="W41" s="3"/>
      <c r="X41" s="101">
        <v>361</v>
      </c>
      <c r="Y41" s="104">
        <v>20.235426009000001</v>
      </c>
      <c r="Z41" s="3"/>
      <c r="AA41" s="101">
        <v>11</v>
      </c>
      <c r="AB41" s="104">
        <v>0.61659192829999998</v>
      </c>
    </row>
    <row r="42" spans="1:28" ht="15" x14ac:dyDescent="0.2">
      <c r="B42" s="13" t="s">
        <v>55</v>
      </c>
      <c r="C42" s="250"/>
      <c r="D42" s="101">
        <v>1714</v>
      </c>
      <c r="E42" s="251"/>
      <c r="F42" s="101">
        <v>226</v>
      </c>
      <c r="G42" s="104">
        <v>13.1855309218</v>
      </c>
      <c r="H42" s="251"/>
      <c r="I42" s="101">
        <v>172</v>
      </c>
      <c r="J42" s="104">
        <v>10.0350058343</v>
      </c>
      <c r="K42" s="50"/>
      <c r="L42" s="101">
        <v>208</v>
      </c>
      <c r="M42" s="104">
        <v>12.1353558926</v>
      </c>
      <c r="N42" s="251"/>
      <c r="O42" s="101">
        <v>161</v>
      </c>
      <c r="P42" s="104">
        <v>9.3932322054000004</v>
      </c>
      <c r="Q42" s="251"/>
      <c r="R42" s="101">
        <v>227</v>
      </c>
      <c r="S42" s="104">
        <v>13.243873979</v>
      </c>
      <c r="T42" s="52"/>
      <c r="U42" s="101">
        <v>209</v>
      </c>
      <c r="V42" s="104">
        <v>12.1936989498</v>
      </c>
      <c r="W42" s="3"/>
      <c r="X42" s="101">
        <v>495</v>
      </c>
      <c r="Y42" s="104">
        <v>28.879813302199999</v>
      </c>
      <c r="Z42" s="3"/>
      <c r="AA42" s="101">
        <v>16</v>
      </c>
      <c r="AB42" s="104">
        <v>0.93348891479999996</v>
      </c>
    </row>
    <row r="43" spans="1:28" ht="15" x14ac:dyDescent="0.2">
      <c r="B43" s="46" t="s">
        <v>56</v>
      </c>
      <c r="C43" s="250"/>
      <c r="D43" s="101">
        <v>1745</v>
      </c>
      <c r="E43" s="251"/>
      <c r="F43" s="101">
        <v>49</v>
      </c>
      <c r="G43" s="104">
        <v>2.8080229226000002</v>
      </c>
      <c r="H43" s="251"/>
      <c r="I43" s="101">
        <v>57</v>
      </c>
      <c r="J43" s="104">
        <v>3.2664756446999998</v>
      </c>
      <c r="K43" s="50"/>
      <c r="L43" s="101">
        <v>104</v>
      </c>
      <c r="M43" s="104">
        <v>5.9598853867999999</v>
      </c>
      <c r="N43" s="251"/>
      <c r="O43" s="101">
        <v>265</v>
      </c>
      <c r="P43" s="104">
        <v>15.1862464183</v>
      </c>
      <c r="Q43" s="251"/>
      <c r="R43" s="101">
        <v>227</v>
      </c>
      <c r="S43" s="104">
        <v>13.0085959885</v>
      </c>
      <c r="T43" s="52"/>
      <c r="U43" s="101">
        <v>300</v>
      </c>
      <c r="V43" s="104">
        <v>17.191977077400001</v>
      </c>
      <c r="W43" s="3"/>
      <c r="X43" s="101">
        <v>687</v>
      </c>
      <c r="Y43" s="104">
        <v>39.369627507200001</v>
      </c>
      <c r="Z43" s="3"/>
      <c r="AA43" s="101">
        <v>56</v>
      </c>
      <c r="AB43" s="104">
        <v>3.2091690544000002</v>
      </c>
    </row>
    <row r="44" spans="1:28" ht="15" x14ac:dyDescent="0.2">
      <c r="B44" s="46" t="s">
        <v>57</v>
      </c>
      <c r="C44" s="250"/>
      <c r="D44" s="101">
        <v>1696</v>
      </c>
      <c r="E44" s="251"/>
      <c r="F44" s="101">
        <v>144</v>
      </c>
      <c r="G44" s="104">
        <v>8.4905660377000007</v>
      </c>
      <c r="H44" s="251"/>
      <c r="I44" s="101">
        <v>196</v>
      </c>
      <c r="J44" s="104">
        <v>11.556603773599999</v>
      </c>
      <c r="K44" s="50"/>
      <c r="L44" s="101">
        <v>327</v>
      </c>
      <c r="M44" s="104">
        <v>19.2806603774</v>
      </c>
      <c r="N44" s="251"/>
      <c r="O44" s="101">
        <v>220</v>
      </c>
      <c r="P44" s="104">
        <v>12.9716981132</v>
      </c>
      <c r="Q44" s="251"/>
      <c r="R44" s="101">
        <v>203</v>
      </c>
      <c r="S44" s="104">
        <v>11.9693396226</v>
      </c>
      <c r="T44" s="52"/>
      <c r="U44" s="101">
        <v>219</v>
      </c>
      <c r="V44" s="104">
        <v>12.912735849100001</v>
      </c>
      <c r="W44" s="3"/>
      <c r="X44" s="101">
        <v>362</v>
      </c>
      <c r="Y44" s="104">
        <v>21.3443396226</v>
      </c>
      <c r="Z44" s="3"/>
      <c r="AA44" s="101">
        <v>25</v>
      </c>
      <c r="AB44" s="104">
        <v>1.4740566038</v>
      </c>
    </row>
    <row r="45" spans="1:28" ht="6" customHeight="1" x14ac:dyDescent="0.2">
      <c r="B45" s="32"/>
      <c r="C45" s="14"/>
      <c r="D45" s="4"/>
      <c r="E45" s="252"/>
      <c r="F45" s="4"/>
      <c r="G45" s="253"/>
      <c r="H45" s="253"/>
      <c r="I45" s="4"/>
      <c r="J45" s="253"/>
      <c r="K45" s="254"/>
      <c r="L45" s="4"/>
      <c r="M45" s="253"/>
      <c r="N45" s="255"/>
      <c r="O45" s="4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  <c r="AA45" s="253"/>
      <c r="AB45" s="253"/>
    </row>
    <row r="46" spans="1:28" ht="6" customHeight="1" x14ac:dyDescent="0.2">
      <c r="B46" s="256"/>
      <c r="C46" s="257"/>
      <c r="D46" s="257"/>
      <c r="E46" s="257"/>
      <c r="F46" s="257"/>
      <c r="G46" s="258"/>
      <c r="H46" s="258"/>
      <c r="I46" s="258"/>
      <c r="J46" s="259"/>
      <c r="K46" s="259"/>
      <c r="L46" s="258"/>
      <c r="M46" s="259"/>
      <c r="N46" s="259"/>
      <c r="O46" s="256"/>
      <c r="P46" s="260"/>
      <c r="Q46" s="234"/>
      <c r="R46" s="234"/>
      <c r="S46" s="234"/>
      <c r="T46" s="234"/>
      <c r="U46" s="234"/>
      <c r="V46" s="234"/>
      <c r="W46" s="234"/>
      <c r="X46" s="234"/>
      <c r="Y46" s="43"/>
      <c r="Z46" s="234"/>
      <c r="AA46" s="234"/>
      <c r="AB46" s="234"/>
    </row>
    <row r="47" spans="1:28" s="89" customFormat="1" ht="11.25" customHeight="1" x14ac:dyDescent="0.2">
      <c r="B47" s="24" t="s">
        <v>9</v>
      </c>
    </row>
    <row r="48" spans="1:28" s="3" customFormat="1" x14ac:dyDescent="0.2">
      <c r="A48" s="5"/>
    </row>
    <row r="49" spans="1:1" s="3" customFormat="1" x14ac:dyDescent="0.2">
      <c r="A49" s="5"/>
    </row>
    <row r="50" spans="1:1" s="3" customFormat="1" x14ac:dyDescent="0.2">
      <c r="A50" s="5"/>
    </row>
    <row r="51" spans="1:1" s="3" customFormat="1" x14ac:dyDescent="0.2">
      <c r="A51" s="5"/>
    </row>
    <row r="52" spans="1:1" s="3" customFormat="1" x14ac:dyDescent="0.2">
      <c r="A52" s="5"/>
    </row>
    <row r="53" spans="1:1" s="3" customFormat="1" x14ac:dyDescent="0.2">
      <c r="A53" s="5"/>
    </row>
    <row r="54" spans="1:1" s="3" customFormat="1" x14ac:dyDescent="0.2">
      <c r="A54" s="5"/>
    </row>
    <row r="55" spans="1:1" s="3" customFormat="1" x14ac:dyDescent="0.2">
      <c r="A55" s="5"/>
    </row>
    <row r="56" spans="1:1" s="3" customFormat="1" x14ac:dyDescent="0.2">
      <c r="A56" s="5"/>
    </row>
    <row r="57" spans="1:1" s="3" customFormat="1" x14ac:dyDescent="0.2">
      <c r="A57" s="5"/>
    </row>
    <row r="58" spans="1:1" s="3" customFormat="1" x14ac:dyDescent="0.2">
      <c r="A58" s="5"/>
    </row>
    <row r="59" spans="1:1" s="3" customFormat="1" x14ac:dyDescent="0.2">
      <c r="A59" s="5"/>
    </row>
    <row r="60" spans="1:1" s="3" customFormat="1" x14ac:dyDescent="0.2">
      <c r="A60" s="5"/>
    </row>
    <row r="61" spans="1:1" s="3" customFormat="1" x14ac:dyDescent="0.2">
      <c r="A61" s="5"/>
    </row>
    <row r="62" spans="1:1" s="3" customFormat="1" x14ac:dyDescent="0.2">
      <c r="A62" s="5"/>
    </row>
    <row r="63" spans="1:1" s="3" customFormat="1" x14ac:dyDescent="0.2">
      <c r="A63" s="5"/>
    </row>
    <row r="64" spans="1:1" s="3" customFormat="1" x14ac:dyDescent="0.2">
      <c r="A64" s="5"/>
    </row>
    <row r="65" spans="1:1" s="3" customFormat="1" x14ac:dyDescent="0.2">
      <c r="A65" s="5"/>
    </row>
    <row r="66" spans="1:1" s="3" customFormat="1" x14ac:dyDescent="0.2">
      <c r="A66" s="5"/>
    </row>
    <row r="67" spans="1:1" s="3" customFormat="1" x14ac:dyDescent="0.2">
      <c r="A67" s="5"/>
    </row>
    <row r="68" spans="1:1" s="3" customFormat="1" x14ac:dyDescent="0.2">
      <c r="A68" s="5"/>
    </row>
    <row r="69" spans="1:1" s="3" customFormat="1" x14ac:dyDescent="0.2">
      <c r="A69" s="5"/>
    </row>
    <row r="70" spans="1:1" s="3" customFormat="1" x14ac:dyDescent="0.2">
      <c r="A70" s="5"/>
    </row>
    <row r="71" spans="1:1" s="3" customFormat="1" x14ac:dyDescent="0.2">
      <c r="A71" s="5"/>
    </row>
    <row r="72" spans="1:1" s="3" customFormat="1" x14ac:dyDescent="0.2">
      <c r="A72" s="5"/>
    </row>
    <row r="73" spans="1:1" s="3" customFormat="1" x14ac:dyDescent="0.2">
      <c r="A73" s="5"/>
    </row>
    <row r="74" spans="1:1" s="3" customFormat="1" x14ac:dyDescent="0.2">
      <c r="A74" s="5"/>
    </row>
    <row r="75" spans="1:1" s="3" customFormat="1" x14ac:dyDescent="0.2">
      <c r="A75" s="5"/>
    </row>
    <row r="76" spans="1:1" s="3" customFormat="1" x14ac:dyDescent="0.2">
      <c r="A76" s="5"/>
    </row>
    <row r="77" spans="1:1" s="3" customFormat="1" x14ac:dyDescent="0.2">
      <c r="A77" s="5"/>
    </row>
    <row r="78" spans="1:1" s="3" customFormat="1" x14ac:dyDescent="0.2">
      <c r="A78" s="5"/>
    </row>
    <row r="79" spans="1:1" s="3" customFormat="1" x14ac:dyDescent="0.2">
      <c r="A79" s="5"/>
    </row>
    <row r="80" spans="1:1" s="3" customFormat="1" x14ac:dyDescent="0.2">
      <c r="A80" s="5"/>
    </row>
    <row r="81" spans="1:1" s="3" customFormat="1" x14ac:dyDescent="0.2">
      <c r="A81" s="5"/>
    </row>
    <row r="82" spans="1:1" s="3" customFormat="1" x14ac:dyDescent="0.2">
      <c r="A82" s="5"/>
    </row>
    <row r="83" spans="1:1" s="3" customFormat="1" x14ac:dyDescent="0.2">
      <c r="A83" s="5"/>
    </row>
    <row r="84" spans="1:1" s="3" customFormat="1" x14ac:dyDescent="0.2">
      <c r="A84" s="5"/>
    </row>
    <row r="85" spans="1:1" s="3" customFormat="1" x14ac:dyDescent="0.2">
      <c r="A85" s="5"/>
    </row>
    <row r="86" spans="1:1" s="3" customFormat="1" x14ac:dyDescent="0.2">
      <c r="A86" s="5"/>
    </row>
    <row r="87" spans="1:1" s="3" customFormat="1" x14ac:dyDescent="0.2">
      <c r="A87" s="5"/>
    </row>
    <row r="88" spans="1:1" s="3" customFormat="1" x14ac:dyDescent="0.2">
      <c r="A88" s="5"/>
    </row>
    <row r="89" spans="1:1" s="3" customFormat="1" x14ac:dyDescent="0.2">
      <c r="A89" s="5"/>
    </row>
    <row r="90" spans="1:1" s="3" customFormat="1" x14ac:dyDescent="0.2">
      <c r="A90" s="5"/>
    </row>
    <row r="91" spans="1:1" s="3" customFormat="1" x14ac:dyDescent="0.2">
      <c r="A91" s="5"/>
    </row>
    <row r="92" spans="1:1" s="3" customFormat="1" x14ac:dyDescent="0.2">
      <c r="A92" s="5"/>
    </row>
    <row r="93" spans="1:1" s="3" customFormat="1" x14ac:dyDescent="0.2">
      <c r="A93" s="5"/>
    </row>
    <row r="94" spans="1:1" s="3" customFormat="1" x14ac:dyDescent="0.2">
      <c r="A94" s="5"/>
    </row>
    <row r="95" spans="1:1" s="3" customFormat="1" x14ac:dyDescent="0.2">
      <c r="A95" s="5"/>
    </row>
    <row r="96" spans="1:1" s="3" customFormat="1" x14ac:dyDescent="0.2">
      <c r="A96" s="5"/>
    </row>
    <row r="97" spans="1:1" s="3" customFormat="1" x14ac:dyDescent="0.2">
      <c r="A97" s="5"/>
    </row>
    <row r="98" spans="1:1" s="3" customFormat="1" x14ac:dyDescent="0.2">
      <c r="A98" s="5"/>
    </row>
    <row r="99" spans="1:1" s="3" customFormat="1" x14ac:dyDescent="0.2">
      <c r="A99" s="5"/>
    </row>
    <row r="100" spans="1:1" s="3" customFormat="1" x14ac:dyDescent="0.2">
      <c r="A100" s="5"/>
    </row>
    <row r="101" spans="1:1" s="3" customFormat="1" x14ac:dyDescent="0.2">
      <c r="A101" s="5"/>
    </row>
    <row r="102" spans="1:1" s="3" customFormat="1" x14ac:dyDescent="0.2">
      <c r="A102" s="5"/>
    </row>
    <row r="103" spans="1:1" s="3" customFormat="1" x14ac:dyDescent="0.2">
      <c r="A103" s="5"/>
    </row>
    <row r="104" spans="1:1" s="3" customFormat="1" x14ac:dyDescent="0.2">
      <c r="A104" s="5"/>
    </row>
    <row r="105" spans="1:1" s="3" customFormat="1" x14ac:dyDescent="0.2">
      <c r="A105" s="5"/>
    </row>
    <row r="106" spans="1:1" s="3" customFormat="1" x14ac:dyDescent="0.2">
      <c r="A106" s="5"/>
    </row>
    <row r="107" spans="1:1" s="3" customFormat="1" x14ac:dyDescent="0.2">
      <c r="A107" s="5"/>
    </row>
    <row r="108" spans="1:1" s="3" customFormat="1" x14ac:dyDescent="0.2">
      <c r="A108" s="5"/>
    </row>
    <row r="109" spans="1:1" s="3" customFormat="1" x14ac:dyDescent="0.2">
      <c r="A109" s="5"/>
    </row>
    <row r="110" spans="1:1" s="3" customFormat="1" x14ac:dyDescent="0.2">
      <c r="A110" s="5"/>
    </row>
    <row r="111" spans="1:1" s="3" customFormat="1" x14ac:dyDescent="0.2">
      <c r="A111" s="5"/>
    </row>
    <row r="112" spans="1:1" s="3" customFormat="1" x14ac:dyDescent="0.2">
      <c r="A112" s="5"/>
    </row>
    <row r="113" spans="1:1" s="3" customFormat="1" x14ac:dyDescent="0.2">
      <c r="A113" s="5"/>
    </row>
    <row r="114" spans="1:1" s="3" customFormat="1" x14ac:dyDescent="0.2">
      <c r="A114" s="5"/>
    </row>
    <row r="115" spans="1:1" s="3" customFormat="1" x14ac:dyDescent="0.2">
      <c r="A115" s="5"/>
    </row>
    <row r="116" spans="1:1" s="3" customFormat="1" x14ac:dyDescent="0.2">
      <c r="A116" s="5"/>
    </row>
    <row r="117" spans="1:1" s="3" customFormat="1" x14ac:dyDescent="0.2">
      <c r="A117" s="5"/>
    </row>
    <row r="118" spans="1:1" s="3" customFormat="1" x14ac:dyDescent="0.2">
      <c r="A118" s="5"/>
    </row>
    <row r="119" spans="1:1" s="3" customFormat="1" x14ac:dyDescent="0.2">
      <c r="A119" s="5"/>
    </row>
    <row r="120" spans="1:1" s="3" customFormat="1" x14ac:dyDescent="0.2">
      <c r="A120" s="5"/>
    </row>
    <row r="121" spans="1:1" s="3" customFormat="1" x14ac:dyDescent="0.2">
      <c r="A121" s="5"/>
    </row>
    <row r="122" spans="1:1" s="3" customFormat="1" x14ac:dyDescent="0.2">
      <c r="A122" s="5"/>
    </row>
    <row r="123" spans="1:1" s="3" customFormat="1" x14ac:dyDescent="0.2">
      <c r="A123" s="5"/>
    </row>
    <row r="124" spans="1:1" s="3" customFormat="1" x14ac:dyDescent="0.2">
      <c r="A124" s="5"/>
    </row>
    <row r="125" spans="1:1" s="3" customFormat="1" x14ac:dyDescent="0.2">
      <c r="A125" s="5"/>
    </row>
    <row r="126" spans="1:1" s="3" customFormat="1" x14ac:dyDescent="0.2">
      <c r="A126" s="5"/>
    </row>
    <row r="127" spans="1:1" s="3" customFormat="1" x14ac:dyDescent="0.2">
      <c r="A127" s="5"/>
    </row>
    <row r="128" spans="1:1" s="3" customFormat="1" x14ac:dyDescent="0.2">
      <c r="A128" s="5"/>
    </row>
    <row r="129" spans="1:1" s="3" customFormat="1" x14ac:dyDescent="0.2">
      <c r="A129" s="5"/>
    </row>
    <row r="130" spans="1:1" s="3" customFormat="1" x14ac:dyDescent="0.2">
      <c r="A130" s="5"/>
    </row>
    <row r="131" spans="1:1" s="3" customFormat="1" x14ac:dyDescent="0.2">
      <c r="A131" s="5"/>
    </row>
    <row r="132" spans="1:1" s="3" customFormat="1" x14ac:dyDescent="0.2">
      <c r="A132" s="5"/>
    </row>
    <row r="133" spans="1:1" s="3" customFormat="1" x14ac:dyDescent="0.2">
      <c r="A133" s="5"/>
    </row>
    <row r="134" spans="1:1" s="3" customFormat="1" x14ac:dyDescent="0.2">
      <c r="A134" s="5"/>
    </row>
    <row r="135" spans="1:1" s="3" customFormat="1" x14ac:dyDescent="0.2">
      <c r="A135" s="5"/>
    </row>
    <row r="136" spans="1:1" s="3" customFormat="1" x14ac:dyDescent="0.2">
      <c r="A136" s="5"/>
    </row>
    <row r="137" spans="1:1" s="3" customFormat="1" x14ac:dyDescent="0.2">
      <c r="A137" s="5"/>
    </row>
    <row r="138" spans="1:1" s="3" customFormat="1" x14ac:dyDescent="0.2">
      <c r="A138" s="5"/>
    </row>
    <row r="139" spans="1:1" s="3" customFormat="1" x14ac:dyDescent="0.2">
      <c r="A139" s="5"/>
    </row>
    <row r="140" spans="1:1" s="3" customFormat="1" x14ac:dyDescent="0.2">
      <c r="A140" s="5"/>
    </row>
    <row r="141" spans="1:1" s="3" customFormat="1" x14ac:dyDescent="0.2">
      <c r="A141" s="5"/>
    </row>
    <row r="142" spans="1:1" s="3" customFormat="1" x14ac:dyDescent="0.2">
      <c r="A142" s="5"/>
    </row>
    <row r="143" spans="1:1" s="3" customFormat="1" x14ac:dyDescent="0.2">
      <c r="A143" s="5"/>
    </row>
    <row r="144" spans="1:1" s="3" customFormat="1" x14ac:dyDescent="0.2">
      <c r="A144" s="5"/>
    </row>
    <row r="145" spans="1:1" s="3" customFormat="1" x14ac:dyDescent="0.2">
      <c r="A145" s="5"/>
    </row>
    <row r="146" spans="1:1" s="3" customFormat="1" x14ac:dyDescent="0.2">
      <c r="A146" s="5"/>
    </row>
    <row r="147" spans="1:1" s="3" customFormat="1" x14ac:dyDescent="0.2">
      <c r="A147" s="5"/>
    </row>
    <row r="148" spans="1:1" s="3" customFormat="1" x14ac:dyDescent="0.2">
      <c r="A148" s="5"/>
    </row>
    <row r="149" spans="1:1" s="3" customFormat="1" x14ac:dyDescent="0.2">
      <c r="A149" s="5"/>
    </row>
    <row r="150" spans="1:1" s="3" customFormat="1" x14ac:dyDescent="0.2">
      <c r="A150" s="5"/>
    </row>
    <row r="151" spans="1:1" s="3" customFormat="1" x14ac:dyDescent="0.2">
      <c r="A151" s="5"/>
    </row>
    <row r="152" spans="1:1" s="3" customFormat="1" x14ac:dyDescent="0.2">
      <c r="A152" s="5"/>
    </row>
    <row r="153" spans="1:1" s="3" customFormat="1" x14ac:dyDescent="0.2">
      <c r="A153" s="5"/>
    </row>
    <row r="154" spans="1:1" s="3" customFormat="1" x14ac:dyDescent="0.2">
      <c r="A154" s="5"/>
    </row>
    <row r="155" spans="1:1" s="3" customFormat="1" x14ac:dyDescent="0.2">
      <c r="A155" s="5"/>
    </row>
    <row r="156" spans="1:1" s="3" customFormat="1" x14ac:dyDescent="0.2">
      <c r="A156" s="5"/>
    </row>
    <row r="157" spans="1:1" s="3" customFormat="1" x14ac:dyDescent="0.2">
      <c r="A157" s="5"/>
    </row>
    <row r="158" spans="1:1" s="3" customFormat="1" x14ac:dyDescent="0.2">
      <c r="A158" s="5"/>
    </row>
    <row r="159" spans="1:1" s="3" customFormat="1" x14ac:dyDescent="0.2">
      <c r="A159" s="5"/>
    </row>
    <row r="160" spans="1:1" s="3" customFormat="1" x14ac:dyDescent="0.2">
      <c r="A160" s="5"/>
    </row>
    <row r="161" spans="1:1" s="3" customFormat="1" x14ac:dyDescent="0.2">
      <c r="A161" s="5"/>
    </row>
    <row r="162" spans="1:1" s="3" customFormat="1" x14ac:dyDescent="0.2">
      <c r="A162" s="5"/>
    </row>
    <row r="163" spans="1:1" s="3" customFormat="1" x14ac:dyDescent="0.2">
      <c r="A163" s="5"/>
    </row>
    <row r="164" spans="1:1" s="3" customFormat="1" x14ac:dyDescent="0.2">
      <c r="A164" s="5"/>
    </row>
    <row r="165" spans="1:1" s="3" customFormat="1" x14ac:dyDescent="0.2">
      <c r="A165" s="5"/>
    </row>
    <row r="166" spans="1:1" s="3" customFormat="1" x14ac:dyDescent="0.2">
      <c r="A166" s="5"/>
    </row>
    <row r="167" spans="1:1" s="3" customFormat="1" x14ac:dyDescent="0.2">
      <c r="A167" s="5"/>
    </row>
    <row r="168" spans="1:1" s="3" customFormat="1" x14ac:dyDescent="0.2">
      <c r="A168" s="5"/>
    </row>
    <row r="169" spans="1:1" s="3" customFormat="1" x14ac:dyDescent="0.2">
      <c r="A169" s="5"/>
    </row>
    <row r="170" spans="1:1" s="3" customFormat="1" x14ac:dyDescent="0.2">
      <c r="A170" s="5"/>
    </row>
    <row r="171" spans="1:1" s="3" customFormat="1" x14ac:dyDescent="0.2">
      <c r="A171" s="5"/>
    </row>
    <row r="172" spans="1:1" s="3" customFormat="1" x14ac:dyDescent="0.2">
      <c r="A172" s="5"/>
    </row>
    <row r="173" spans="1:1" s="3" customFormat="1" x14ac:dyDescent="0.2">
      <c r="A173" s="5"/>
    </row>
    <row r="174" spans="1:1" s="3" customFormat="1" x14ac:dyDescent="0.2">
      <c r="A174" s="5"/>
    </row>
    <row r="175" spans="1:1" s="3" customFormat="1" x14ac:dyDescent="0.2">
      <c r="A175" s="5"/>
    </row>
    <row r="176" spans="1:1" s="3" customFormat="1" x14ac:dyDescent="0.2">
      <c r="A176" s="5"/>
    </row>
    <row r="177" spans="1:1" s="3" customFormat="1" x14ac:dyDescent="0.2">
      <c r="A177" s="5"/>
    </row>
    <row r="178" spans="1:1" s="3" customFormat="1" x14ac:dyDescent="0.2">
      <c r="A178" s="5"/>
    </row>
    <row r="179" spans="1:1" s="3" customFormat="1" x14ac:dyDescent="0.2">
      <c r="A179" s="5"/>
    </row>
    <row r="180" spans="1:1" s="3" customFormat="1" x14ac:dyDescent="0.2">
      <c r="A180" s="5"/>
    </row>
    <row r="181" spans="1:1" s="3" customFormat="1" x14ac:dyDescent="0.2">
      <c r="A181" s="5"/>
    </row>
    <row r="182" spans="1:1" s="3" customFormat="1" x14ac:dyDescent="0.2">
      <c r="A182" s="5"/>
    </row>
    <row r="183" spans="1:1" s="3" customFormat="1" x14ac:dyDescent="0.2">
      <c r="A183" s="5"/>
    </row>
    <row r="184" spans="1:1" s="3" customFormat="1" x14ac:dyDescent="0.2">
      <c r="A184" s="5"/>
    </row>
    <row r="185" spans="1:1" s="3" customFormat="1" x14ac:dyDescent="0.2">
      <c r="A185" s="5"/>
    </row>
    <row r="186" spans="1:1" s="3" customFormat="1" x14ac:dyDescent="0.2">
      <c r="A186" s="5"/>
    </row>
    <row r="187" spans="1:1" s="3" customFormat="1" x14ac:dyDescent="0.2">
      <c r="A187" s="5"/>
    </row>
    <row r="188" spans="1:1" s="3" customFormat="1" x14ac:dyDescent="0.2">
      <c r="A188" s="5"/>
    </row>
    <row r="189" spans="1:1" s="3" customFormat="1" x14ac:dyDescent="0.2">
      <c r="A189" s="5"/>
    </row>
    <row r="190" spans="1:1" s="3" customFormat="1" x14ac:dyDescent="0.2">
      <c r="A190" s="5"/>
    </row>
    <row r="191" spans="1:1" s="3" customFormat="1" x14ac:dyDescent="0.2">
      <c r="A191" s="5"/>
    </row>
    <row r="192" spans="1:1" s="3" customFormat="1" x14ac:dyDescent="0.2">
      <c r="A192" s="5"/>
    </row>
    <row r="193" spans="1:1" s="3" customFormat="1" x14ac:dyDescent="0.2">
      <c r="A193" s="5"/>
    </row>
    <row r="194" spans="1:1" s="3" customFormat="1" x14ac:dyDescent="0.2">
      <c r="A194" s="5"/>
    </row>
    <row r="195" spans="1:1" s="3" customFormat="1" x14ac:dyDescent="0.2">
      <c r="A195" s="5"/>
    </row>
    <row r="196" spans="1:1" s="3" customFormat="1" x14ac:dyDescent="0.2">
      <c r="A196" s="5"/>
    </row>
    <row r="197" spans="1:1" s="3" customFormat="1" x14ac:dyDescent="0.2">
      <c r="A197" s="5"/>
    </row>
    <row r="198" spans="1:1" s="3" customFormat="1" x14ac:dyDescent="0.2">
      <c r="A198" s="5"/>
    </row>
    <row r="199" spans="1:1" s="3" customFormat="1" x14ac:dyDescent="0.2">
      <c r="A199" s="5"/>
    </row>
    <row r="200" spans="1:1" s="3" customFormat="1" x14ac:dyDescent="0.2">
      <c r="A200" s="5"/>
    </row>
    <row r="201" spans="1:1" s="3" customFormat="1" x14ac:dyDescent="0.2">
      <c r="A201" s="5"/>
    </row>
    <row r="202" spans="1:1" s="3" customFormat="1" x14ac:dyDescent="0.2">
      <c r="A202" s="5"/>
    </row>
    <row r="203" spans="1:1" s="3" customFormat="1" x14ac:dyDescent="0.2">
      <c r="A203" s="5"/>
    </row>
    <row r="204" spans="1:1" s="3" customFormat="1" x14ac:dyDescent="0.2">
      <c r="A204" s="5"/>
    </row>
    <row r="205" spans="1:1" s="3" customFormat="1" x14ac:dyDescent="0.2">
      <c r="A205" s="5"/>
    </row>
    <row r="206" spans="1:1" s="3" customFormat="1" x14ac:dyDescent="0.2">
      <c r="A206" s="5"/>
    </row>
    <row r="207" spans="1:1" s="3" customFormat="1" x14ac:dyDescent="0.2">
      <c r="A207" s="5"/>
    </row>
    <row r="208" spans="1:1" s="3" customFormat="1" x14ac:dyDescent="0.2">
      <c r="A208" s="5"/>
    </row>
    <row r="209" spans="1:1" s="3" customFormat="1" x14ac:dyDescent="0.2">
      <c r="A209" s="5"/>
    </row>
    <row r="210" spans="1:1" s="3" customFormat="1" x14ac:dyDescent="0.2">
      <c r="A210" s="5"/>
    </row>
    <row r="211" spans="1:1" s="3" customFormat="1" x14ac:dyDescent="0.2">
      <c r="A211" s="5"/>
    </row>
    <row r="212" spans="1:1" s="3" customFormat="1" x14ac:dyDescent="0.2">
      <c r="A212" s="5"/>
    </row>
    <row r="213" spans="1:1" s="3" customFormat="1" x14ac:dyDescent="0.2">
      <c r="A213" s="5"/>
    </row>
    <row r="214" spans="1:1" s="3" customFormat="1" x14ac:dyDescent="0.2">
      <c r="A214" s="5"/>
    </row>
    <row r="215" spans="1:1" s="3" customFormat="1" x14ac:dyDescent="0.2">
      <c r="A215" s="5"/>
    </row>
    <row r="216" spans="1:1" s="3" customFormat="1" x14ac:dyDescent="0.2">
      <c r="A216" s="5"/>
    </row>
    <row r="217" spans="1:1" s="3" customFormat="1" x14ac:dyDescent="0.2">
      <c r="A217" s="5"/>
    </row>
    <row r="218" spans="1:1" s="3" customFormat="1" x14ac:dyDescent="0.2">
      <c r="A218" s="5"/>
    </row>
    <row r="219" spans="1:1" s="3" customFormat="1" x14ac:dyDescent="0.2">
      <c r="A219" s="5"/>
    </row>
    <row r="220" spans="1:1" s="3" customFormat="1" x14ac:dyDescent="0.2">
      <c r="A220" s="5"/>
    </row>
    <row r="221" spans="1:1" s="3" customFormat="1" x14ac:dyDescent="0.2">
      <c r="A221" s="5"/>
    </row>
    <row r="222" spans="1:1" s="3" customFormat="1" x14ac:dyDescent="0.2">
      <c r="A222" s="5"/>
    </row>
    <row r="223" spans="1:1" s="3" customFormat="1" x14ac:dyDescent="0.2">
      <c r="A223" s="5"/>
    </row>
    <row r="224" spans="1:1" s="3" customFormat="1" x14ac:dyDescent="0.2">
      <c r="A224" s="5"/>
    </row>
    <row r="225" spans="1:1" s="3" customFormat="1" x14ac:dyDescent="0.2">
      <c r="A225" s="5"/>
    </row>
    <row r="226" spans="1:1" s="3" customFormat="1" x14ac:dyDescent="0.2">
      <c r="A226" s="5"/>
    </row>
    <row r="227" spans="1:1" s="3" customFormat="1" x14ac:dyDescent="0.2">
      <c r="A227" s="5"/>
    </row>
    <row r="228" spans="1:1" s="3" customFormat="1" x14ac:dyDescent="0.2">
      <c r="A228" s="5"/>
    </row>
    <row r="229" spans="1:1" s="3" customFormat="1" x14ac:dyDescent="0.2">
      <c r="A229" s="5"/>
    </row>
    <row r="230" spans="1:1" s="3" customFormat="1" x14ac:dyDescent="0.2">
      <c r="A230" s="5"/>
    </row>
    <row r="231" spans="1:1" s="3" customFormat="1" x14ac:dyDescent="0.2">
      <c r="A231" s="5"/>
    </row>
    <row r="232" spans="1:1" s="3" customFormat="1" x14ac:dyDescent="0.2">
      <c r="A232" s="5"/>
    </row>
    <row r="233" spans="1:1" s="3" customFormat="1" x14ac:dyDescent="0.2">
      <c r="A233" s="5"/>
    </row>
    <row r="234" spans="1:1" s="3" customFormat="1" x14ac:dyDescent="0.2">
      <c r="A234" s="5"/>
    </row>
    <row r="235" spans="1:1" s="3" customFormat="1" x14ac:dyDescent="0.2">
      <c r="A235" s="5"/>
    </row>
    <row r="236" spans="1:1" s="3" customFormat="1" x14ac:dyDescent="0.2">
      <c r="A236" s="5"/>
    </row>
    <row r="237" spans="1:1" s="3" customFormat="1" x14ac:dyDescent="0.2">
      <c r="A237" s="5"/>
    </row>
    <row r="238" spans="1:1" s="3" customFormat="1" x14ac:dyDescent="0.2">
      <c r="A238" s="5"/>
    </row>
    <row r="239" spans="1:1" s="3" customFormat="1" x14ac:dyDescent="0.2">
      <c r="A239" s="5"/>
    </row>
    <row r="240" spans="1:1" s="3" customFormat="1" x14ac:dyDescent="0.2">
      <c r="A240" s="5"/>
    </row>
    <row r="241" spans="1:1" s="3" customFormat="1" x14ac:dyDescent="0.2">
      <c r="A241" s="5"/>
    </row>
    <row r="242" spans="1:1" s="3" customFormat="1" x14ac:dyDescent="0.2">
      <c r="A242" s="5"/>
    </row>
    <row r="243" spans="1:1" s="3" customFormat="1" x14ac:dyDescent="0.2">
      <c r="A243" s="5"/>
    </row>
    <row r="244" spans="1:1" s="3" customFormat="1" x14ac:dyDescent="0.2">
      <c r="A244" s="5"/>
    </row>
    <row r="245" spans="1:1" s="3" customFormat="1" x14ac:dyDescent="0.2">
      <c r="A245" s="5"/>
    </row>
    <row r="246" spans="1:1" s="3" customFormat="1" x14ac:dyDescent="0.2">
      <c r="A246" s="5"/>
    </row>
    <row r="247" spans="1:1" s="3" customFormat="1" x14ac:dyDescent="0.2">
      <c r="A247" s="5"/>
    </row>
    <row r="248" spans="1:1" s="3" customFormat="1" x14ac:dyDescent="0.2">
      <c r="A248" s="5"/>
    </row>
    <row r="249" spans="1:1" s="3" customFormat="1" x14ac:dyDescent="0.2">
      <c r="A249" s="5"/>
    </row>
    <row r="250" spans="1:1" s="3" customFormat="1" x14ac:dyDescent="0.2">
      <c r="A250" s="5"/>
    </row>
    <row r="251" spans="1:1" s="3" customFormat="1" x14ac:dyDescent="0.2">
      <c r="A251" s="5"/>
    </row>
    <row r="252" spans="1:1" s="3" customFormat="1" x14ac:dyDescent="0.2">
      <c r="A252" s="5"/>
    </row>
    <row r="253" spans="1:1" s="3" customFormat="1" x14ac:dyDescent="0.2">
      <c r="A253" s="5"/>
    </row>
    <row r="254" spans="1:1" s="3" customFormat="1" x14ac:dyDescent="0.2">
      <c r="A254" s="5"/>
    </row>
    <row r="255" spans="1:1" s="3" customFormat="1" x14ac:dyDescent="0.2">
      <c r="A255" s="5"/>
    </row>
    <row r="256" spans="1:1" s="3" customFormat="1" x14ac:dyDescent="0.2">
      <c r="A256" s="5"/>
    </row>
    <row r="257" spans="1:1" s="3" customFormat="1" x14ac:dyDescent="0.2">
      <c r="A257" s="5"/>
    </row>
    <row r="258" spans="1:1" s="3" customFormat="1" x14ac:dyDescent="0.2">
      <c r="A258" s="5"/>
    </row>
    <row r="259" spans="1:1" s="3" customFormat="1" x14ac:dyDescent="0.2">
      <c r="A259" s="5"/>
    </row>
    <row r="260" spans="1:1" s="3" customFormat="1" x14ac:dyDescent="0.2">
      <c r="A260" s="5"/>
    </row>
    <row r="261" spans="1:1" s="3" customFormat="1" x14ac:dyDescent="0.2">
      <c r="A261" s="5"/>
    </row>
    <row r="262" spans="1:1" s="3" customFormat="1" x14ac:dyDescent="0.2">
      <c r="A262" s="5"/>
    </row>
    <row r="263" spans="1:1" s="3" customFormat="1" x14ac:dyDescent="0.2">
      <c r="A263" s="5"/>
    </row>
    <row r="264" spans="1:1" s="3" customFormat="1" x14ac:dyDescent="0.2">
      <c r="A264" s="5"/>
    </row>
    <row r="265" spans="1:1" s="3" customFormat="1" x14ac:dyDescent="0.2">
      <c r="A265" s="5"/>
    </row>
    <row r="266" spans="1:1" s="3" customFormat="1" x14ac:dyDescent="0.2">
      <c r="A266" s="5"/>
    </row>
    <row r="267" spans="1:1" s="3" customFormat="1" x14ac:dyDescent="0.2">
      <c r="A267" s="5"/>
    </row>
    <row r="268" spans="1:1" s="3" customFormat="1" x14ac:dyDescent="0.2">
      <c r="A268" s="5"/>
    </row>
    <row r="269" spans="1:1" s="3" customFormat="1" x14ac:dyDescent="0.2">
      <c r="A269" s="5"/>
    </row>
    <row r="270" spans="1:1" s="3" customFormat="1" x14ac:dyDescent="0.2">
      <c r="A270" s="5"/>
    </row>
    <row r="271" spans="1:1" s="3" customFormat="1" x14ac:dyDescent="0.2">
      <c r="A271" s="5"/>
    </row>
    <row r="272" spans="1:1" s="3" customFormat="1" x14ac:dyDescent="0.2">
      <c r="A272" s="5"/>
    </row>
    <row r="273" spans="1:1" s="3" customFormat="1" x14ac:dyDescent="0.2">
      <c r="A273" s="5"/>
    </row>
    <row r="274" spans="1:1" s="3" customFormat="1" x14ac:dyDescent="0.2">
      <c r="A274" s="5"/>
    </row>
    <row r="275" spans="1:1" s="3" customFormat="1" x14ac:dyDescent="0.2">
      <c r="A275" s="5"/>
    </row>
    <row r="276" spans="1:1" s="3" customFormat="1" x14ac:dyDescent="0.2">
      <c r="A276" s="5"/>
    </row>
    <row r="277" spans="1:1" s="3" customFormat="1" x14ac:dyDescent="0.2">
      <c r="A277" s="5"/>
    </row>
    <row r="278" spans="1:1" s="3" customFormat="1" x14ac:dyDescent="0.2">
      <c r="A278" s="5"/>
    </row>
    <row r="279" spans="1:1" s="3" customFormat="1" x14ac:dyDescent="0.2">
      <c r="A279" s="5"/>
    </row>
    <row r="280" spans="1:1" s="3" customFormat="1" x14ac:dyDescent="0.2">
      <c r="A280" s="5"/>
    </row>
    <row r="281" spans="1:1" s="3" customFormat="1" x14ac:dyDescent="0.2">
      <c r="A281" s="5"/>
    </row>
    <row r="282" spans="1:1" s="3" customFormat="1" x14ac:dyDescent="0.2">
      <c r="A282" s="5"/>
    </row>
    <row r="283" spans="1:1" s="3" customFormat="1" x14ac:dyDescent="0.2">
      <c r="A283" s="5"/>
    </row>
    <row r="284" spans="1:1" s="3" customFormat="1" x14ac:dyDescent="0.2">
      <c r="A284" s="5"/>
    </row>
    <row r="285" spans="1:1" s="3" customFormat="1" x14ac:dyDescent="0.2">
      <c r="A285" s="5"/>
    </row>
    <row r="286" spans="1:1" s="3" customFormat="1" x14ac:dyDescent="0.2">
      <c r="A286" s="5"/>
    </row>
    <row r="287" spans="1:1" s="3" customFormat="1" x14ac:dyDescent="0.2">
      <c r="A287" s="5"/>
    </row>
    <row r="288" spans="1:1" s="3" customFormat="1" x14ac:dyDescent="0.2">
      <c r="A288" s="5"/>
    </row>
    <row r="289" spans="1:1" s="3" customFormat="1" x14ac:dyDescent="0.2">
      <c r="A289" s="5"/>
    </row>
    <row r="290" spans="1:1" s="3" customFormat="1" x14ac:dyDescent="0.2">
      <c r="A290" s="5"/>
    </row>
    <row r="291" spans="1:1" s="3" customFormat="1" x14ac:dyDescent="0.2">
      <c r="A291" s="5"/>
    </row>
    <row r="292" spans="1:1" s="3" customFormat="1" x14ac:dyDescent="0.2">
      <c r="A292" s="5"/>
    </row>
    <row r="293" spans="1:1" s="3" customFormat="1" x14ac:dyDescent="0.2">
      <c r="A293" s="5"/>
    </row>
    <row r="294" spans="1:1" s="3" customFormat="1" x14ac:dyDescent="0.2">
      <c r="A294" s="5"/>
    </row>
    <row r="295" spans="1:1" s="3" customFormat="1" x14ac:dyDescent="0.2">
      <c r="A295" s="5"/>
    </row>
    <row r="296" spans="1:1" s="3" customFormat="1" x14ac:dyDescent="0.2">
      <c r="A296" s="5"/>
    </row>
    <row r="297" spans="1:1" s="3" customFormat="1" x14ac:dyDescent="0.2">
      <c r="A297" s="5"/>
    </row>
    <row r="298" spans="1:1" s="3" customFormat="1" x14ac:dyDescent="0.2">
      <c r="A298" s="5"/>
    </row>
    <row r="299" spans="1:1" s="3" customFormat="1" x14ac:dyDescent="0.2">
      <c r="A299" s="5"/>
    </row>
    <row r="300" spans="1:1" s="3" customFormat="1" x14ac:dyDescent="0.2">
      <c r="A300" s="5"/>
    </row>
    <row r="301" spans="1:1" s="3" customFormat="1" x14ac:dyDescent="0.2">
      <c r="A301" s="5"/>
    </row>
    <row r="302" spans="1:1" s="3" customFormat="1" x14ac:dyDescent="0.2">
      <c r="A302" s="5"/>
    </row>
    <row r="303" spans="1:1" s="3" customFormat="1" x14ac:dyDescent="0.2">
      <c r="A303" s="5"/>
    </row>
    <row r="304" spans="1:1" s="3" customFormat="1" x14ac:dyDescent="0.2">
      <c r="A304" s="5"/>
    </row>
    <row r="305" spans="1:1" s="3" customFormat="1" x14ac:dyDescent="0.2">
      <c r="A305" s="5"/>
    </row>
    <row r="306" spans="1:1" s="3" customFormat="1" x14ac:dyDescent="0.2">
      <c r="A306" s="5"/>
    </row>
    <row r="307" spans="1:1" s="3" customFormat="1" x14ac:dyDescent="0.2">
      <c r="A307" s="5"/>
    </row>
    <row r="308" spans="1:1" s="3" customFormat="1" x14ac:dyDescent="0.2">
      <c r="A308" s="5"/>
    </row>
    <row r="309" spans="1:1" s="3" customFormat="1" x14ac:dyDescent="0.2">
      <c r="A309" s="5"/>
    </row>
    <row r="310" spans="1:1" s="3" customFormat="1" x14ac:dyDescent="0.2">
      <c r="A310" s="5"/>
    </row>
    <row r="311" spans="1:1" s="3" customFormat="1" x14ac:dyDescent="0.2">
      <c r="A311" s="5"/>
    </row>
    <row r="312" spans="1:1" s="3" customFormat="1" x14ac:dyDescent="0.2">
      <c r="A312" s="5"/>
    </row>
    <row r="313" spans="1:1" s="3" customFormat="1" x14ac:dyDescent="0.2">
      <c r="A313" s="5"/>
    </row>
    <row r="314" spans="1:1" s="3" customFormat="1" x14ac:dyDescent="0.2">
      <c r="A314" s="5"/>
    </row>
    <row r="315" spans="1:1" s="3" customFormat="1" x14ac:dyDescent="0.2">
      <c r="A315" s="5"/>
    </row>
    <row r="316" spans="1:1" s="3" customFormat="1" x14ac:dyDescent="0.2">
      <c r="A316" s="5"/>
    </row>
    <row r="317" spans="1:1" s="3" customFormat="1" x14ac:dyDescent="0.2">
      <c r="A317" s="5"/>
    </row>
    <row r="318" spans="1:1" s="3" customFormat="1" x14ac:dyDescent="0.2">
      <c r="A318" s="5"/>
    </row>
    <row r="319" spans="1:1" s="3" customFormat="1" x14ac:dyDescent="0.2">
      <c r="A319" s="5"/>
    </row>
    <row r="320" spans="1:1" s="3" customFormat="1" x14ac:dyDescent="0.2">
      <c r="A320" s="5"/>
    </row>
    <row r="321" spans="1:1" s="3" customFormat="1" x14ac:dyDescent="0.2">
      <c r="A321" s="5"/>
    </row>
    <row r="322" spans="1:1" s="3" customFormat="1" x14ac:dyDescent="0.2">
      <c r="A322" s="5"/>
    </row>
    <row r="323" spans="1:1" s="3" customFormat="1" x14ac:dyDescent="0.2">
      <c r="A323" s="5"/>
    </row>
    <row r="324" spans="1:1" s="3" customFormat="1" x14ac:dyDescent="0.2">
      <c r="A324" s="5"/>
    </row>
    <row r="325" spans="1:1" s="3" customFormat="1" x14ac:dyDescent="0.2">
      <c r="A325" s="5"/>
    </row>
    <row r="326" spans="1:1" s="3" customFormat="1" x14ac:dyDescent="0.2">
      <c r="A326" s="5"/>
    </row>
    <row r="327" spans="1:1" s="3" customFormat="1" x14ac:dyDescent="0.2">
      <c r="A327" s="5"/>
    </row>
    <row r="328" spans="1:1" s="3" customFormat="1" x14ac:dyDescent="0.2">
      <c r="A328" s="5"/>
    </row>
    <row r="329" spans="1:1" s="3" customFormat="1" x14ac:dyDescent="0.2">
      <c r="A329" s="5"/>
    </row>
    <row r="330" spans="1:1" s="3" customFormat="1" x14ac:dyDescent="0.2">
      <c r="A330" s="5"/>
    </row>
    <row r="331" spans="1:1" s="3" customFormat="1" x14ac:dyDescent="0.2">
      <c r="A331" s="5"/>
    </row>
    <row r="332" spans="1:1" s="3" customFormat="1" x14ac:dyDescent="0.2">
      <c r="A332" s="5"/>
    </row>
    <row r="333" spans="1:1" s="3" customFormat="1" x14ac:dyDescent="0.2">
      <c r="A333" s="5"/>
    </row>
    <row r="334" spans="1:1" s="3" customFormat="1" x14ac:dyDescent="0.2">
      <c r="A334" s="5"/>
    </row>
    <row r="335" spans="1:1" s="3" customFormat="1" x14ac:dyDescent="0.2">
      <c r="A335" s="5"/>
    </row>
    <row r="336" spans="1:1" s="3" customFormat="1" x14ac:dyDescent="0.2">
      <c r="A336" s="5"/>
    </row>
    <row r="337" spans="1:1" s="3" customFormat="1" x14ac:dyDescent="0.2">
      <c r="A337" s="5"/>
    </row>
    <row r="338" spans="1:1" s="3" customFormat="1" x14ac:dyDescent="0.2">
      <c r="A338" s="5"/>
    </row>
    <row r="339" spans="1:1" s="3" customFormat="1" x14ac:dyDescent="0.2">
      <c r="A339" s="5"/>
    </row>
    <row r="340" spans="1:1" s="3" customFormat="1" x14ac:dyDescent="0.2">
      <c r="A340" s="5"/>
    </row>
    <row r="341" spans="1:1" s="3" customFormat="1" x14ac:dyDescent="0.2">
      <c r="A341" s="5"/>
    </row>
    <row r="342" spans="1:1" s="3" customFormat="1" x14ac:dyDescent="0.2">
      <c r="A342" s="5"/>
    </row>
    <row r="343" spans="1:1" s="3" customFormat="1" x14ac:dyDescent="0.2">
      <c r="A343" s="5"/>
    </row>
    <row r="344" spans="1:1" s="3" customFormat="1" x14ac:dyDescent="0.2">
      <c r="A344" s="5"/>
    </row>
    <row r="345" spans="1:1" s="3" customFormat="1" x14ac:dyDescent="0.2">
      <c r="A345" s="5"/>
    </row>
    <row r="346" spans="1:1" s="3" customFormat="1" x14ac:dyDescent="0.2">
      <c r="A346" s="5"/>
    </row>
    <row r="347" spans="1:1" s="3" customFormat="1" x14ac:dyDescent="0.2">
      <c r="A347" s="5"/>
    </row>
    <row r="348" spans="1:1" s="3" customFormat="1" x14ac:dyDescent="0.2">
      <c r="A348" s="5"/>
    </row>
    <row r="349" spans="1:1" s="3" customFormat="1" x14ac:dyDescent="0.2">
      <c r="A349" s="5"/>
    </row>
    <row r="350" spans="1:1" s="3" customFormat="1" x14ac:dyDescent="0.2">
      <c r="A350" s="5"/>
    </row>
    <row r="351" spans="1:1" s="3" customFormat="1" x14ac:dyDescent="0.2">
      <c r="A351" s="5"/>
    </row>
    <row r="352" spans="1:1" s="3" customFormat="1" x14ac:dyDescent="0.2">
      <c r="A352" s="5"/>
    </row>
    <row r="353" spans="1:1" s="3" customFormat="1" x14ac:dyDescent="0.2">
      <c r="A353" s="5"/>
    </row>
    <row r="354" spans="1:1" s="3" customFormat="1" x14ac:dyDescent="0.2">
      <c r="A354" s="5"/>
    </row>
    <row r="355" spans="1:1" s="3" customFormat="1" x14ac:dyDescent="0.2">
      <c r="A355" s="5"/>
    </row>
    <row r="356" spans="1:1" s="3" customFormat="1" x14ac:dyDescent="0.2">
      <c r="A356" s="5"/>
    </row>
    <row r="357" spans="1:1" s="3" customFormat="1" x14ac:dyDescent="0.2">
      <c r="A357" s="5"/>
    </row>
    <row r="358" spans="1:1" s="3" customFormat="1" x14ac:dyDescent="0.2">
      <c r="A358" s="5"/>
    </row>
    <row r="359" spans="1:1" s="3" customFormat="1" x14ac:dyDescent="0.2">
      <c r="A359" s="5"/>
    </row>
    <row r="360" spans="1:1" s="3" customFormat="1" x14ac:dyDescent="0.2">
      <c r="A360" s="5"/>
    </row>
    <row r="361" spans="1:1" s="3" customFormat="1" x14ac:dyDescent="0.2">
      <c r="A361" s="5"/>
    </row>
    <row r="362" spans="1:1" s="3" customFormat="1" x14ac:dyDescent="0.2">
      <c r="A362" s="5"/>
    </row>
    <row r="363" spans="1:1" s="3" customFormat="1" x14ac:dyDescent="0.2">
      <c r="A363" s="5"/>
    </row>
    <row r="364" spans="1:1" s="3" customFormat="1" x14ac:dyDescent="0.2">
      <c r="A364" s="5"/>
    </row>
    <row r="365" spans="1:1" s="3" customFormat="1" x14ac:dyDescent="0.2">
      <c r="A365" s="5"/>
    </row>
    <row r="366" spans="1:1" s="3" customFormat="1" x14ac:dyDescent="0.2">
      <c r="A366" s="5"/>
    </row>
    <row r="367" spans="1:1" s="3" customFormat="1" x14ac:dyDescent="0.2">
      <c r="A367" s="5"/>
    </row>
    <row r="368" spans="1:1" s="3" customFormat="1" x14ac:dyDescent="0.2">
      <c r="A368" s="5"/>
    </row>
    <row r="369" spans="1:1" s="3" customFormat="1" x14ac:dyDescent="0.2">
      <c r="A369" s="5"/>
    </row>
    <row r="370" spans="1:1" s="3" customFormat="1" x14ac:dyDescent="0.2">
      <c r="A370" s="5"/>
    </row>
    <row r="371" spans="1:1" s="3" customFormat="1" x14ac:dyDescent="0.2">
      <c r="A371" s="5"/>
    </row>
    <row r="372" spans="1:1" s="3" customFormat="1" x14ac:dyDescent="0.2">
      <c r="A372" s="5"/>
    </row>
    <row r="373" spans="1:1" s="3" customFormat="1" x14ac:dyDescent="0.2">
      <c r="A373" s="5"/>
    </row>
    <row r="374" spans="1:1" s="3" customFormat="1" x14ac:dyDescent="0.2">
      <c r="A374" s="5"/>
    </row>
    <row r="375" spans="1:1" s="3" customFormat="1" x14ac:dyDescent="0.2">
      <c r="A375" s="5"/>
    </row>
    <row r="376" spans="1:1" s="3" customFormat="1" x14ac:dyDescent="0.2">
      <c r="A376" s="5"/>
    </row>
    <row r="377" spans="1:1" s="3" customFormat="1" x14ac:dyDescent="0.2">
      <c r="A377" s="5"/>
    </row>
    <row r="378" spans="1:1" s="3" customFormat="1" x14ac:dyDescent="0.2">
      <c r="A378" s="5"/>
    </row>
    <row r="379" spans="1:1" s="3" customFormat="1" x14ac:dyDescent="0.2">
      <c r="A379" s="5"/>
    </row>
    <row r="380" spans="1:1" s="3" customFormat="1" x14ac:dyDescent="0.2">
      <c r="A380" s="5"/>
    </row>
    <row r="381" spans="1:1" s="3" customFormat="1" x14ac:dyDescent="0.2">
      <c r="A381" s="5"/>
    </row>
    <row r="382" spans="1:1" s="3" customFormat="1" x14ac:dyDescent="0.2">
      <c r="A382" s="5"/>
    </row>
    <row r="383" spans="1:1" s="3" customFormat="1" x14ac:dyDescent="0.2">
      <c r="A383" s="5"/>
    </row>
    <row r="384" spans="1:1" s="3" customFormat="1" x14ac:dyDescent="0.2">
      <c r="A384" s="5"/>
    </row>
    <row r="385" spans="1:1" s="3" customFormat="1" x14ac:dyDescent="0.2">
      <c r="A385" s="5"/>
    </row>
    <row r="386" spans="1:1" s="3" customFormat="1" x14ac:dyDescent="0.2">
      <c r="A386" s="5"/>
    </row>
    <row r="387" spans="1:1" s="3" customFormat="1" x14ac:dyDescent="0.2">
      <c r="A387" s="5"/>
    </row>
    <row r="388" spans="1:1" s="3" customFormat="1" x14ac:dyDescent="0.2">
      <c r="A388" s="5"/>
    </row>
    <row r="389" spans="1:1" s="3" customFormat="1" x14ac:dyDescent="0.2">
      <c r="A389" s="5"/>
    </row>
    <row r="390" spans="1:1" s="3" customFormat="1" x14ac:dyDescent="0.2">
      <c r="A390" s="5"/>
    </row>
    <row r="391" spans="1:1" s="3" customFormat="1" x14ac:dyDescent="0.2">
      <c r="A391" s="5"/>
    </row>
    <row r="392" spans="1:1" s="3" customFormat="1" x14ac:dyDescent="0.2">
      <c r="A392" s="5"/>
    </row>
    <row r="393" spans="1:1" s="3" customFormat="1" x14ac:dyDescent="0.2">
      <c r="A393" s="5"/>
    </row>
    <row r="394" spans="1:1" s="3" customFormat="1" x14ac:dyDescent="0.2">
      <c r="A394" s="5"/>
    </row>
    <row r="395" spans="1:1" s="3" customFormat="1" x14ac:dyDescent="0.2">
      <c r="A395" s="5"/>
    </row>
    <row r="396" spans="1:1" s="3" customFormat="1" x14ac:dyDescent="0.2">
      <c r="A396" s="5"/>
    </row>
    <row r="397" spans="1:1" s="3" customFormat="1" x14ac:dyDescent="0.2">
      <c r="A397" s="5"/>
    </row>
    <row r="398" spans="1:1" s="3" customFormat="1" x14ac:dyDescent="0.2">
      <c r="A398" s="5"/>
    </row>
    <row r="399" spans="1:1" s="3" customFormat="1" x14ac:dyDescent="0.2">
      <c r="A399" s="5"/>
    </row>
    <row r="400" spans="1:1" s="3" customFormat="1" x14ac:dyDescent="0.2">
      <c r="A400" s="5"/>
    </row>
    <row r="401" spans="1:1" s="3" customFormat="1" x14ac:dyDescent="0.2">
      <c r="A401" s="5"/>
    </row>
    <row r="402" spans="1:1" s="3" customFormat="1" x14ac:dyDescent="0.2">
      <c r="A402" s="5"/>
    </row>
    <row r="403" spans="1:1" s="3" customFormat="1" x14ac:dyDescent="0.2">
      <c r="A403" s="5"/>
    </row>
    <row r="404" spans="1:1" s="3" customFormat="1" x14ac:dyDescent="0.2">
      <c r="A404" s="5"/>
    </row>
    <row r="405" spans="1:1" s="3" customFormat="1" x14ac:dyDescent="0.2">
      <c r="A405" s="5"/>
    </row>
    <row r="406" spans="1:1" s="3" customFormat="1" x14ac:dyDescent="0.2">
      <c r="A406" s="5"/>
    </row>
    <row r="407" spans="1:1" s="3" customFormat="1" x14ac:dyDescent="0.2">
      <c r="A407" s="5"/>
    </row>
    <row r="408" spans="1:1" s="3" customFormat="1" x14ac:dyDescent="0.2">
      <c r="A408" s="5"/>
    </row>
    <row r="409" spans="1:1" s="3" customFormat="1" x14ac:dyDescent="0.2">
      <c r="A409" s="5"/>
    </row>
    <row r="410" spans="1:1" s="3" customFormat="1" x14ac:dyDescent="0.2">
      <c r="A410" s="5"/>
    </row>
    <row r="411" spans="1:1" s="3" customFormat="1" x14ac:dyDescent="0.2">
      <c r="A411" s="5"/>
    </row>
    <row r="412" spans="1:1" s="3" customFormat="1" x14ac:dyDescent="0.2">
      <c r="A412" s="5"/>
    </row>
    <row r="413" spans="1:1" s="3" customFormat="1" x14ac:dyDescent="0.2">
      <c r="A413" s="5"/>
    </row>
    <row r="414" spans="1:1" s="3" customFormat="1" x14ac:dyDescent="0.2">
      <c r="A414" s="5"/>
    </row>
    <row r="415" spans="1:1" s="3" customFormat="1" x14ac:dyDescent="0.2">
      <c r="A415" s="5"/>
    </row>
    <row r="416" spans="1:1" s="3" customFormat="1" x14ac:dyDescent="0.2">
      <c r="A416" s="5"/>
    </row>
    <row r="417" spans="1:1" s="3" customFormat="1" x14ac:dyDescent="0.2">
      <c r="A417" s="5"/>
    </row>
    <row r="418" spans="1:1" s="3" customFormat="1" x14ac:dyDescent="0.2">
      <c r="A418" s="5"/>
    </row>
    <row r="419" spans="1:1" s="3" customFormat="1" x14ac:dyDescent="0.2">
      <c r="A419" s="5"/>
    </row>
    <row r="420" spans="1:1" s="3" customFormat="1" x14ac:dyDescent="0.2">
      <c r="A420" s="5"/>
    </row>
    <row r="421" spans="1:1" s="3" customFormat="1" x14ac:dyDescent="0.2">
      <c r="A421" s="5"/>
    </row>
    <row r="422" spans="1:1" s="3" customFormat="1" x14ac:dyDescent="0.2">
      <c r="A422" s="5"/>
    </row>
    <row r="423" spans="1:1" s="3" customFormat="1" x14ac:dyDescent="0.2">
      <c r="A423" s="5"/>
    </row>
    <row r="424" spans="1:1" s="3" customFormat="1" x14ac:dyDescent="0.2">
      <c r="A424" s="5"/>
    </row>
    <row r="425" spans="1:1" s="3" customFormat="1" x14ac:dyDescent="0.2">
      <c r="A425" s="5"/>
    </row>
    <row r="426" spans="1:1" s="3" customFormat="1" x14ac:dyDescent="0.2">
      <c r="A426" s="5"/>
    </row>
    <row r="427" spans="1:1" s="3" customFormat="1" x14ac:dyDescent="0.2">
      <c r="A427" s="5"/>
    </row>
    <row r="428" spans="1:1" s="3" customFormat="1" x14ac:dyDescent="0.2">
      <c r="A428" s="5"/>
    </row>
    <row r="429" spans="1:1" s="3" customFormat="1" x14ac:dyDescent="0.2">
      <c r="A429" s="5"/>
    </row>
    <row r="430" spans="1:1" s="3" customFormat="1" x14ac:dyDescent="0.2">
      <c r="A430" s="5"/>
    </row>
    <row r="431" spans="1:1" s="3" customFormat="1" x14ac:dyDescent="0.2">
      <c r="A431" s="5"/>
    </row>
    <row r="432" spans="1:1" s="3" customFormat="1" x14ac:dyDescent="0.2">
      <c r="A432" s="5"/>
    </row>
    <row r="433" spans="1:1" s="3" customFormat="1" x14ac:dyDescent="0.2">
      <c r="A433" s="5"/>
    </row>
    <row r="434" spans="1:1" s="3" customFormat="1" x14ac:dyDescent="0.2">
      <c r="A434" s="5"/>
    </row>
    <row r="435" spans="1:1" s="3" customFormat="1" x14ac:dyDescent="0.2">
      <c r="A435" s="5"/>
    </row>
    <row r="436" spans="1:1" s="3" customFormat="1" x14ac:dyDescent="0.2">
      <c r="A436" s="5"/>
    </row>
    <row r="437" spans="1:1" s="3" customFormat="1" x14ac:dyDescent="0.2">
      <c r="A437" s="5"/>
    </row>
    <row r="438" spans="1:1" s="3" customFormat="1" x14ac:dyDescent="0.2">
      <c r="A438" s="5"/>
    </row>
    <row r="439" spans="1:1" s="3" customFormat="1" x14ac:dyDescent="0.2">
      <c r="A439" s="5"/>
    </row>
    <row r="440" spans="1:1" s="3" customFormat="1" x14ac:dyDescent="0.2">
      <c r="A440" s="5"/>
    </row>
    <row r="441" spans="1:1" s="3" customFormat="1" x14ac:dyDescent="0.2">
      <c r="A441" s="5"/>
    </row>
    <row r="442" spans="1:1" s="3" customFormat="1" x14ac:dyDescent="0.2">
      <c r="A442" s="5"/>
    </row>
    <row r="443" spans="1:1" s="3" customFormat="1" x14ac:dyDescent="0.2">
      <c r="A443" s="5"/>
    </row>
    <row r="444" spans="1:1" s="3" customFormat="1" x14ac:dyDescent="0.2">
      <c r="A444" s="5"/>
    </row>
    <row r="445" spans="1:1" s="3" customFormat="1" x14ac:dyDescent="0.2">
      <c r="A445" s="5"/>
    </row>
    <row r="446" spans="1:1" s="3" customFormat="1" x14ac:dyDescent="0.2">
      <c r="A446" s="5"/>
    </row>
    <row r="447" spans="1:1" s="3" customFormat="1" x14ac:dyDescent="0.2">
      <c r="A447" s="5"/>
    </row>
    <row r="448" spans="1:1" s="3" customFormat="1" x14ac:dyDescent="0.2">
      <c r="A448" s="5"/>
    </row>
    <row r="449" spans="1:1" s="3" customFormat="1" x14ac:dyDescent="0.2">
      <c r="A449" s="5"/>
    </row>
    <row r="450" spans="1:1" s="3" customFormat="1" x14ac:dyDescent="0.2">
      <c r="A450" s="5"/>
    </row>
    <row r="451" spans="1:1" s="3" customFormat="1" x14ac:dyDescent="0.2">
      <c r="A451" s="5"/>
    </row>
    <row r="452" spans="1:1" s="3" customFormat="1" x14ac:dyDescent="0.2">
      <c r="A452" s="5"/>
    </row>
    <row r="453" spans="1:1" s="3" customFormat="1" x14ac:dyDescent="0.2">
      <c r="A453" s="5"/>
    </row>
    <row r="454" spans="1:1" s="3" customFormat="1" x14ac:dyDescent="0.2">
      <c r="A454" s="5"/>
    </row>
    <row r="455" spans="1:1" s="3" customFormat="1" x14ac:dyDescent="0.2">
      <c r="A455" s="5"/>
    </row>
    <row r="456" spans="1:1" s="3" customFormat="1" x14ac:dyDescent="0.2">
      <c r="A456" s="5"/>
    </row>
    <row r="457" spans="1:1" s="3" customFormat="1" x14ac:dyDescent="0.2">
      <c r="A457" s="5"/>
    </row>
    <row r="458" spans="1:1" s="3" customFormat="1" x14ac:dyDescent="0.2">
      <c r="A458" s="5"/>
    </row>
    <row r="459" spans="1:1" s="3" customFormat="1" x14ac:dyDescent="0.2">
      <c r="A459" s="5"/>
    </row>
    <row r="460" spans="1:1" s="3" customFormat="1" x14ac:dyDescent="0.2">
      <c r="A460" s="5"/>
    </row>
    <row r="461" spans="1:1" s="3" customFormat="1" x14ac:dyDescent="0.2">
      <c r="A461" s="5"/>
    </row>
    <row r="462" spans="1:1" s="3" customFormat="1" x14ac:dyDescent="0.2">
      <c r="A462" s="5"/>
    </row>
    <row r="463" spans="1:1" s="3" customFormat="1" x14ac:dyDescent="0.2">
      <c r="A463" s="5"/>
    </row>
    <row r="464" spans="1:1" s="3" customFormat="1" x14ac:dyDescent="0.2">
      <c r="A464" s="5"/>
    </row>
    <row r="465" spans="1:1" s="3" customFormat="1" x14ac:dyDescent="0.2">
      <c r="A465" s="5"/>
    </row>
    <row r="466" spans="1:1" s="3" customFormat="1" x14ac:dyDescent="0.2">
      <c r="A466" s="5"/>
    </row>
    <row r="467" spans="1:1" s="3" customFormat="1" x14ac:dyDescent="0.2">
      <c r="A467" s="5"/>
    </row>
    <row r="468" spans="1:1" s="3" customFormat="1" x14ac:dyDescent="0.2">
      <c r="A468" s="5"/>
    </row>
    <row r="469" spans="1:1" s="3" customFormat="1" x14ac:dyDescent="0.2">
      <c r="A469" s="5"/>
    </row>
    <row r="470" spans="1:1" s="3" customFormat="1" x14ac:dyDescent="0.2">
      <c r="A470" s="5"/>
    </row>
    <row r="471" spans="1:1" s="3" customFormat="1" x14ac:dyDescent="0.2">
      <c r="A471" s="5"/>
    </row>
    <row r="472" spans="1:1" s="3" customFormat="1" x14ac:dyDescent="0.2">
      <c r="A472" s="5"/>
    </row>
    <row r="473" spans="1:1" s="3" customFormat="1" x14ac:dyDescent="0.2">
      <c r="A473" s="5"/>
    </row>
    <row r="474" spans="1:1" s="3" customFormat="1" x14ac:dyDescent="0.2">
      <c r="A474" s="5"/>
    </row>
    <row r="475" spans="1:1" s="3" customFormat="1" x14ac:dyDescent="0.2">
      <c r="A475" s="5"/>
    </row>
    <row r="476" spans="1:1" s="3" customFormat="1" x14ac:dyDescent="0.2">
      <c r="A476" s="5"/>
    </row>
    <row r="477" spans="1:1" s="3" customFormat="1" x14ac:dyDescent="0.2">
      <c r="A477" s="5"/>
    </row>
    <row r="478" spans="1:1" s="3" customFormat="1" x14ac:dyDescent="0.2">
      <c r="A478" s="5"/>
    </row>
    <row r="479" spans="1:1" s="3" customFormat="1" x14ac:dyDescent="0.2">
      <c r="A479" s="5"/>
    </row>
    <row r="480" spans="1:1" s="3" customFormat="1" x14ac:dyDescent="0.2">
      <c r="A480" s="5"/>
    </row>
    <row r="481" spans="1:1" s="3" customFormat="1" x14ac:dyDescent="0.2">
      <c r="A481" s="5"/>
    </row>
    <row r="482" spans="1:1" s="3" customFormat="1" x14ac:dyDescent="0.2">
      <c r="A482" s="5"/>
    </row>
    <row r="483" spans="1:1" s="3" customFormat="1" x14ac:dyDescent="0.2">
      <c r="A483" s="5"/>
    </row>
    <row r="484" spans="1:1" s="3" customFormat="1" x14ac:dyDescent="0.2">
      <c r="A484" s="5"/>
    </row>
    <row r="485" spans="1:1" s="3" customFormat="1" x14ac:dyDescent="0.2">
      <c r="A485" s="5"/>
    </row>
    <row r="486" spans="1:1" s="3" customFormat="1" x14ac:dyDescent="0.2">
      <c r="A486" s="5"/>
    </row>
    <row r="487" spans="1:1" s="3" customFormat="1" x14ac:dyDescent="0.2">
      <c r="A487" s="5"/>
    </row>
    <row r="488" spans="1:1" s="3" customFormat="1" x14ac:dyDescent="0.2">
      <c r="A488" s="5"/>
    </row>
    <row r="489" spans="1:1" s="3" customFormat="1" x14ac:dyDescent="0.2">
      <c r="A489" s="5"/>
    </row>
    <row r="490" spans="1:1" s="3" customFormat="1" x14ac:dyDescent="0.2">
      <c r="A490" s="5"/>
    </row>
    <row r="491" spans="1:1" s="3" customFormat="1" x14ac:dyDescent="0.2">
      <c r="A491" s="5"/>
    </row>
    <row r="492" spans="1:1" s="3" customFormat="1" x14ac:dyDescent="0.2">
      <c r="A492" s="5"/>
    </row>
    <row r="493" spans="1:1" s="3" customFormat="1" x14ac:dyDescent="0.2">
      <c r="A493" s="5"/>
    </row>
    <row r="494" spans="1:1" s="3" customFormat="1" x14ac:dyDescent="0.2">
      <c r="A494" s="5"/>
    </row>
    <row r="495" spans="1:1" s="3" customFormat="1" x14ac:dyDescent="0.2">
      <c r="A495" s="5"/>
    </row>
    <row r="496" spans="1:1" s="3" customFormat="1" x14ac:dyDescent="0.2">
      <c r="A496" s="5"/>
    </row>
    <row r="497" spans="1:1" s="3" customFormat="1" x14ac:dyDescent="0.2">
      <c r="A497" s="5"/>
    </row>
    <row r="498" spans="1:1" s="3" customFormat="1" x14ac:dyDescent="0.2">
      <c r="A498" s="5"/>
    </row>
    <row r="499" spans="1:1" s="3" customFormat="1" x14ac:dyDescent="0.2">
      <c r="A499" s="5"/>
    </row>
    <row r="500" spans="1:1" s="3" customFormat="1" x14ac:dyDescent="0.2">
      <c r="A500" s="5"/>
    </row>
    <row r="501" spans="1:1" s="3" customFormat="1" x14ac:dyDescent="0.2">
      <c r="A501" s="5"/>
    </row>
    <row r="502" spans="1:1" s="3" customFormat="1" x14ac:dyDescent="0.2">
      <c r="A502" s="5"/>
    </row>
    <row r="503" spans="1:1" s="3" customFormat="1" x14ac:dyDescent="0.2">
      <c r="A503" s="5"/>
    </row>
    <row r="504" spans="1:1" s="3" customFormat="1" x14ac:dyDescent="0.2">
      <c r="A504" s="5"/>
    </row>
    <row r="505" spans="1:1" s="3" customFormat="1" x14ac:dyDescent="0.2">
      <c r="A505" s="5"/>
    </row>
    <row r="506" spans="1:1" s="3" customFormat="1" x14ac:dyDescent="0.2">
      <c r="A506" s="5"/>
    </row>
    <row r="507" spans="1:1" s="3" customFormat="1" x14ac:dyDescent="0.2">
      <c r="A507" s="5"/>
    </row>
    <row r="508" spans="1:1" s="3" customFormat="1" x14ac:dyDescent="0.2">
      <c r="A508" s="5"/>
    </row>
    <row r="509" spans="1:1" s="3" customFormat="1" x14ac:dyDescent="0.2">
      <c r="A509" s="5"/>
    </row>
    <row r="510" spans="1:1" s="3" customFormat="1" x14ac:dyDescent="0.2">
      <c r="A510" s="5"/>
    </row>
    <row r="511" spans="1:1" s="3" customFormat="1" x14ac:dyDescent="0.2">
      <c r="A511" s="5"/>
    </row>
    <row r="512" spans="1:1" s="3" customFormat="1" x14ac:dyDescent="0.2">
      <c r="A512" s="5"/>
    </row>
    <row r="513" spans="1:1" s="3" customFormat="1" x14ac:dyDescent="0.2">
      <c r="A513" s="5"/>
    </row>
    <row r="514" spans="1:1" s="3" customFormat="1" x14ac:dyDescent="0.2">
      <c r="A514" s="5"/>
    </row>
    <row r="515" spans="1:1" s="3" customFormat="1" x14ac:dyDescent="0.2">
      <c r="A515" s="5"/>
    </row>
    <row r="516" spans="1:1" s="3" customFormat="1" x14ac:dyDescent="0.2">
      <c r="A516" s="5"/>
    </row>
    <row r="517" spans="1:1" s="3" customFormat="1" x14ac:dyDescent="0.2">
      <c r="A517" s="5"/>
    </row>
    <row r="518" spans="1:1" s="3" customFormat="1" x14ac:dyDescent="0.2">
      <c r="A518" s="5"/>
    </row>
    <row r="519" spans="1:1" s="3" customFormat="1" x14ac:dyDescent="0.2">
      <c r="A519" s="5"/>
    </row>
    <row r="520" spans="1:1" s="3" customFormat="1" x14ac:dyDescent="0.2">
      <c r="A520" s="5"/>
    </row>
    <row r="521" spans="1:1" s="3" customFormat="1" x14ac:dyDescent="0.2">
      <c r="A521" s="5"/>
    </row>
    <row r="522" spans="1:1" s="3" customFormat="1" x14ac:dyDescent="0.2">
      <c r="A522" s="5"/>
    </row>
    <row r="523" spans="1:1" s="3" customFormat="1" x14ac:dyDescent="0.2">
      <c r="A523" s="5"/>
    </row>
    <row r="524" spans="1:1" s="3" customFormat="1" x14ac:dyDescent="0.2">
      <c r="A524" s="5"/>
    </row>
    <row r="525" spans="1:1" s="3" customFormat="1" x14ac:dyDescent="0.2">
      <c r="A525" s="5"/>
    </row>
    <row r="526" spans="1:1" s="3" customFormat="1" x14ac:dyDescent="0.2">
      <c r="A526" s="5"/>
    </row>
    <row r="527" spans="1:1" s="3" customFormat="1" x14ac:dyDescent="0.2">
      <c r="A527" s="5"/>
    </row>
    <row r="528" spans="1:1" s="3" customFormat="1" x14ac:dyDescent="0.2">
      <c r="A528" s="5"/>
    </row>
    <row r="529" spans="1:1" s="3" customFormat="1" x14ac:dyDescent="0.2">
      <c r="A529" s="5"/>
    </row>
    <row r="530" spans="1:1" s="3" customFormat="1" x14ac:dyDescent="0.2">
      <c r="A530" s="5"/>
    </row>
    <row r="531" spans="1:1" s="3" customFormat="1" x14ac:dyDescent="0.2">
      <c r="A531" s="5"/>
    </row>
    <row r="532" spans="1:1" s="3" customFormat="1" x14ac:dyDescent="0.2">
      <c r="A532" s="5"/>
    </row>
    <row r="533" spans="1:1" s="3" customFormat="1" x14ac:dyDescent="0.2">
      <c r="A533" s="5"/>
    </row>
    <row r="534" spans="1:1" s="3" customFormat="1" x14ac:dyDescent="0.2">
      <c r="A534" s="5"/>
    </row>
    <row r="535" spans="1:1" s="3" customFormat="1" x14ac:dyDescent="0.2">
      <c r="A535" s="5"/>
    </row>
    <row r="536" spans="1:1" s="3" customFormat="1" x14ac:dyDescent="0.2">
      <c r="A536" s="5"/>
    </row>
    <row r="537" spans="1:1" s="3" customFormat="1" x14ac:dyDescent="0.2">
      <c r="A537" s="5"/>
    </row>
    <row r="538" spans="1:1" s="3" customFormat="1" x14ac:dyDescent="0.2">
      <c r="A538" s="5"/>
    </row>
    <row r="539" spans="1:1" s="3" customFormat="1" x14ac:dyDescent="0.2">
      <c r="A539" s="5"/>
    </row>
    <row r="540" spans="1:1" s="3" customFormat="1" x14ac:dyDescent="0.2">
      <c r="A540" s="5"/>
    </row>
    <row r="541" spans="1:1" s="3" customFormat="1" x14ac:dyDescent="0.2">
      <c r="A541" s="5"/>
    </row>
    <row r="542" spans="1:1" s="3" customFormat="1" x14ac:dyDescent="0.2">
      <c r="A542" s="5"/>
    </row>
    <row r="543" spans="1:1" s="3" customFormat="1" x14ac:dyDescent="0.2">
      <c r="A543" s="5"/>
    </row>
    <row r="544" spans="1:1" s="3" customFormat="1" x14ac:dyDescent="0.2">
      <c r="A544" s="5"/>
    </row>
    <row r="545" spans="1:1" s="3" customFormat="1" x14ac:dyDescent="0.2">
      <c r="A545" s="5"/>
    </row>
    <row r="546" spans="1:1" s="3" customFormat="1" x14ac:dyDescent="0.2">
      <c r="A546" s="5"/>
    </row>
    <row r="547" spans="1:1" s="3" customFormat="1" x14ac:dyDescent="0.2">
      <c r="A547" s="5"/>
    </row>
    <row r="548" spans="1:1" s="3" customFormat="1" x14ac:dyDescent="0.2">
      <c r="A548" s="5"/>
    </row>
    <row r="549" spans="1:1" s="3" customFormat="1" x14ac:dyDescent="0.2">
      <c r="A549" s="5"/>
    </row>
    <row r="550" spans="1:1" s="3" customFormat="1" x14ac:dyDescent="0.2">
      <c r="A550" s="5"/>
    </row>
    <row r="551" spans="1:1" s="3" customFormat="1" x14ac:dyDescent="0.2">
      <c r="A551" s="5"/>
    </row>
    <row r="552" spans="1:1" s="3" customFormat="1" x14ac:dyDescent="0.2">
      <c r="A552" s="5"/>
    </row>
    <row r="553" spans="1:1" s="3" customFormat="1" x14ac:dyDescent="0.2">
      <c r="A553" s="5"/>
    </row>
    <row r="554" spans="1:1" s="3" customFormat="1" x14ac:dyDescent="0.2">
      <c r="A554" s="5"/>
    </row>
    <row r="555" spans="1:1" s="3" customFormat="1" x14ac:dyDescent="0.2">
      <c r="A555" s="5"/>
    </row>
    <row r="556" spans="1:1" s="3" customFormat="1" x14ac:dyDescent="0.2">
      <c r="A556" s="5"/>
    </row>
    <row r="557" spans="1:1" s="3" customFormat="1" x14ac:dyDescent="0.2">
      <c r="A557" s="5"/>
    </row>
    <row r="558" spans="1:1" s="3" customFormat="1" x14ac:dyDescent="0.2">
      <c r="A558" s="5"/>
    </row>
    <row r="559" spans="1:1" s="3" customFormat="1" x14ac:dyDescent="0.2">
      <c r="A559" s="5"/>
    </row>
    <row r="560" spans="1:1" s="3" customFormat="1" x14ac:dyDescent="0.2">
      <c r="A560" s="5"/>
    </row>
    <row r="561" spans="1:1" s="3" customFormat="1" x14ac:dyDescent="0.2">
      <c r="A561" s="5"/>
    </row>
    <row r="562" spans="1:1" s="3" customFormat="1" x14ac:dyDescent="0.2">
      <c r="A562" s="5"/>
    </row>
    <row r="563" spans="1:1" s="3" customFormat="1" x14ac:dyDescent="0.2">
      <c r="A563" s="5"/>
    </row>
    <row r="564" spans="1:1" s="3" customFormat="1" x14ac:dyDescent="0.2">
      <c r="A564" s="5"/>
    </row>
    <row r="565" spans="1:1" s="3" customFormat="1" x14ac:dyDescent="0.2">
      <c r="A565" s="5"/>
    </row>
    <row r="566" spans="1:1" s="3" customFormat="1" x14ac:dyDescent="0.2">
      <c r="A566" s="5"/>
    </row>
    <row r="567" spans="1:1" s="3" customFormat="1" x14ac:dyDescent="0.2">
      <c r="A567" s="5"/>
    </row>
    <row r="568" spans="1:1" s="3" customFormat="1" x14ac:dyDescent="0.2">
      <c r="A568" s="5"/>
    </row>
    <row r="569" spans="1:1" s="3" customFormat="1" x14ac:dyDescent="0.2">
      <c r="A569" s="5"/>
    </row>
    <row r="570" spans="1:1" s="3" customFormat="1" x14ac:dyDescent="0.2">
      <c r="A570" s="5"/>
    </row>
    <row r="571" spans="1:1" s="3" customFormat="1" x14ac:dyDescent="0.2">
      <c r="A571" s="5"/>
    </row>
    <row r="572" spans="1:1" s="3" customFormat="1" x14ac:dyDescent="0.2">
      <c r="A572" s="5"/>
    </row>
    <row r="573" spans="1:1" s="3" customFormat="1" x14ac:dyDescent="0.2">
      <c r="A573" s="5"/>
    </row>
    <row r="574" spans="1:1" s="3" customFormat="1" x14ac:dyDescent="0.2">
      <c r="A574" s="5"/>
    </row>
    <row r="575" spans="1:1" s="3" customFormat="1" x14ac:dyDescent="0.2">
      <c r="A575" s="5"/>
    </row>
    <row r="576" spans="1:1" s="3" customFormat="1" x14ac:dyDescent="0.2">
      <c r="A576" s="5"/>
    </row>
    <row r="577" spans="1:1" s="3" customFormat="1" x14ac:dyDescent="0.2">
      <c r="A577" s="5"/>
    </row>
    <row r="578" spans="1:1" s="3" customFormat="1" x14ac:dyDescent="0.2">
      <c r="A578" s="5"/>
    </row>
    <row r="579" spans="1:1" s="3" customFormat="1" x14ac:dyDescent="0.2">
      <c r="A579" s="5"/>
    </row>
    <row r="580" spans="1:1" s="3" customFormat="1" x14ac:dyDescent="0.2">
      <c r="A580" s="5"/>
    </row>
    <row r="581" spans="1:1" s="3" customFormat="1" x14ac:dyDescent="0.2">
      <c r="A581" s="5"/>
    </row>
    <row r="582" spans="1:1" s="3" customFormat="1" x14ac:dyDescent="0.2">
      <c r="A582" s="5"/>
    </row>
    <row r="583" spans="1:1" s="3" customFormat="1" x14ac:dyDescent="0.2">
      <c r="A583" s="5"/>
    </row>
    <row r="584" spans="1:1" s="3" customFormat="1" x14ac:dyDescent="0.2">
      <c r="A584" s="5"/>
    </row>
    <row r="585" spans="1:1" s="3" customFormat="1" x14ac:dyDescent="0.2">
      <c r="A585" s="5"/>
    </row>
    <row r="586" spans="1:1" s="3" customFormat="1" x14ac:dyDescent="0.2">
      <c r="A586" s="5"/>
    </row>
    <row r="587" spans="1:1" s="3" customFormat="1" x14ac:dyDescent="0.2">
      <c r="A587" s="5"/>
    </row>
    <row r="588" spans="1:1" s="3" customFormat="1" x14ac:dyDescent="0.2">
      <c r="A588" s="5"/>
    </row>
    <row r="589" spans="1:1" s="3" customFormat="1" x14ac:dyDescent="0.2">
      <c r="A589" s="5"/>
    </row>
    <row r="590" spans="1:1" s="3" customFormat="1" x14ac:dyDescent="0.2">
      <c r="A590" s="5"/>
    </row>
    <row r="591" spans="1:1" s="3" customFormat="1" x14ac:dyDescent="0.2">
      <c r="A591" s="5"/>
    </row>
    <row r="592" spans="1:1" s="3" customFormat="1" x14ac:dyDescent="0.2">
      <c r="A592" s="5"/>
    </row>
    <row r="593" spans="1:1" s="3" customFormat="1" x14ac:dyDescent="0.2">
      <c r="A593" s="5"/>
    </row>
    <row r="594" spans="1:1" s="3" customFormat="1" x14ac:dyDescent="0.2">
      <c r="A594" s="5"/>
    </row>
    <row r="595" spans="1:1" s="3" customFormat="1" x14ac:dyDescent="0.2">
      <c r="A595" s="5"/>
    </row>
    <row r="596" spans="1:1" s="3" customFormat="1" x14ac:dyDescent="0.2">
      <c r="A596" s="5"/>
    </row>
    <row r="597" spans="1:1" s="3" customFormat="1" x14ac:dyDescent="0.2">
      <c r="A597" s="5"/>
    </row>
    <row r="598" spans="1:1" s="3" customFormat="1" x14ac:dyDescent="0.2">
      <c r="A598" s="5"/>
    </row>
    <row r="599" spans="1:1" s="3" customFormat="1" x14ac:dyDescent="0.2">
      <c r="A599" s="5"/>
    </row>
    <row r="600" spans="1:1" s="3" customFormat="1" x14ac:dyDescent="0.2">
      <c r="A600" s="5"/>
    </row>
    <row r="601" spans="1:1" s="3" customFormat="1" x14ac:dyDescent="0.2">
      <c r="A601" s="5"/>
    </row>
    <row r="602" spans="1:1" s="3" customFormat="1" x14ac:dyDescent="0.2">
      <c r="A602" s="5"/>
    </row>
    <row r="603" spans="1:1" s="3" customFormat="1" x14ac:dyDescent="0.2">
      <c r="A603" s="5"/>
    </row>
    <row r="604" spans="1:1" s="3" customFormat="1" x14ac:dyDescent="0.2">
      <c r="A604" s="5"/>
    </row>
    <row r="605" spans="1:1" s="3" customFormat="1" x14ac:dyDescent="0.2">
      <c r="A605" s="5"/>
    </row>
    <row r="606" spans="1:1" s="3" customFormat="1" x14ac:dyDescent="0.2">
      <c r="A606" s="5"/>
    </row>
    <row r="607" spans="1:1" s="3" customFormat="1" x14ac:dyDescent="0.2">
      <c r="A607" s="5"/>
    </row>
    <row r="608" spans="1:1" s="3" customFormat="1" x14ac:dyDescent="0.2">
      <c r="A608" s="5"/>
    </row>
    <row r="609" spans="1:1" s="3" customFormat="1" x14ac:dyDescent="0.2">
      <c r="A609" s="5"/>
    </row>
    <row r="610" spans="1:1" s="3" customFormat="1" x14ac:dyDescent="0.2">
      <c r="A610" s="5"/>
    </row>
    <row r="611" spans="1:1" s="3" customFormat="1" x14ac:dyDescent="0.2">
      <c r="A611" s="5"/>
    </row>
    <row r="612" spans="1:1" s="3" customFormat="1" x14ac:dyDescent="0.2">
      <c r="A612" s="5"/>
    </row>
    <row r="613" spans="1:1" s="3" customFormat="1" x14ac:dyDescent="0.2">
      <c r="A613" s="5"/>
    </row>
    <row r="614" spans="1:1" s="3" customFormat="1" x14ac:dyDescent="0.2">
      <c r="A614" s="5"/>
    </row>
    <row r="615" spans="1:1" s="3" customFormat="1" x14ac:dyDescent="0.2">
      <c r="A615" s="5"/>
    </row>
    <row r="616" spans="1:1" s="3" customFormat="1" x14ac:dyDescent="0.2">
      <c r="A616" s="5"/>
    </row>
    <row r="617" spans="1:1" s="3" customFormat="1" x14ac:dyDescent="0.2">
      <c r="A617" s="5"/>
    </row>
    <row r="618" spans="1:1" s="3" customFormat="1" x14ac:dyDescent="0.2">
      <c r="A618" s="5"/>
    </row>
    <row r="619" spans="1:1" s="3" customFormat="1" x14ac:dyDescent="0.2">
      <c r="A619" s="5"/>
    </row>
    <row r="620" spans="1:1" s="3" customFormat="1" x14ac:dyDescent="0.2">
      <c r="A620" s="5"/>
    </row>
    <row r="621" spans="1:1" s="3" customFormat="1" x14ac:dyDescent="0.2">
      <c r="A621" s="5"/>
    </row>
    <row r="622" spans="1:1" s="3" customFormat="1" x14ac:dyDescent="0.2">
      <c r="A622" s="5"/>
    </row>
    <row r="623" spans="1:1" s="3" customFormat="1" x14ac:dyDescent="0.2">
      <c r="A623" s="5"/>
    </row>
    <row r="624" spans="1:1" s="3" customFormat="1" x14ac:dyDescent="0.2">
      <c r="A624" s="5"/>
    </row>
    <row r="625" spans="1:1" s="3" customFormat="1" x14ac:dyDescent="0.2">
      <c r="A625" s="5"/>
    </row>
    <row r="626" spans="1:1" s="3" customFormat="1" x14ac:dyDescent="0.2">
      <c r="A626" s="5"/>
    </row>
    <row r="627" spans="1:1" s="3" customFormat="1" x14ac:dyDescent="0.2">
      <c r="A627" s="5"/>
    </row>
    <row r="628" spans="1:1" s="3" customFormat="1" x14ac:dyDescent="0.2">
      <c r="A628" s="5"/>
    </row>
    <row r="629" spans="1:1" s="3" customFormat="1" x14ac:dyDescent="0.2">
      <c r="A629" s="5"/>
    </row>
    <row r="630" spans="1:1" s="3" customFormat="1" x14ac:dyDescent="0.2">
      <c r="A630" s="5"/>
    </row>
    <row r="631" spans="1:1" s="3" customFormat="1" x14ac:dyDescent="0.2">
      <c r="A631" s="5"/>
    </row>
    <row r="632" spans="1:1" s="3" customFormat="1" x14ac:dyDescent="0.2">
      <c r="A632" s="5"/>
    </row>
    <row r="633" spans="1:1" s="3" customFormat="1" x14ac:dyDescent="0.2">
      <c r="A633" s="5"/>
    </row>
    <row r="634" spans="1:1" s="3" customFormat="1" x14ac:dyDescent="0.2">
      <c r="A634" s="5"/>
    </row>
    <row r="635" spans="1:1" s="3" customFormat="1" x14ac:dyDescent="0.2">
      <c r="A635" s="5"/>
    </row>
    <row r="636" spans="1:1" s="3" customFormat="1" x14ac:dyDescent="0.2">
      <c r="A636" s="5"/>
    </row>
    <row r="637" spans="1:1" s="3" customFormat="1" x14ac:dyDescent="0.2">
      <c r="A637" s="5"/>
    </row>
    <row r="638" spans="1:1" s="3" customFormat="1" x14ac:dyDescent="0.2">
      <c r="A638" s="5"/>
    </row>
    <row r="639" spans="1:1" s="3" customFormat="1" x14ac:dyDescent="0.2">
      <c r="A639" s="5"/>
    </row>
    <row r="640" spans="1:1" s="3" customFormat="1" x14ac:dyDescent="0.2">
      <c r="A640" s="5"/>
    </row>
    <row r="641" spans="1:1" s="3" customFormat="1" x14ac:dyDescent="0.2">
      <c r="A641" s="5"/>
    </row>
    <row r="642" spans="1:1" s="3" customFormat="1" x14ac:dyDescent="0.2">
      <c r="A642" s="5"/>
    </row>
    <row r="643" spans="1:1" s="3" customFormat="1" x14ac:dyDescent="0.2">
      <c r="A643" s="5"/>
    </row>
    <row r="644" spans="1:1" s="3" customFormat="1" x14ac:dyDescent="0.2">
      <c r="A644" s="5"/>
    </row>
    <row r="645" spans="1:1" s="3" customFormat="1" x14ac:dyDescent="0.2">
      <c r="A645" s="5"/>
    </row>
  </sheetData>
  <mergeCells count="13">
    <mergeCell ref="U8:V8"/>
    <mergeCell ref="X8:Y8"/>
    <mergeCell ref="AA8:AB8"/>
    <mergeCell ref="B5:Z5"/>
    <mergeCell ref="C6:O6"/>
    <mergeCell ref="B7:C9"/>
    <mergeCell ref="D7:D9"/>
    <mergeCell ref="F7:AB7"/>
    <mergeCell ref="F8:G8"/>
    <mergeCell ref="I8:J8"/>
    <mergeCell ref="L8:M8"/>
    <mergeCell ref="O8:P8"/>
    <mergeCell ref="R8:S8"/>
  </mergeCells>
  <hyperlinks>
    <hyperlink ref="AB1" location="Índice!A1" tooltip="Ir a ÍNDICE" display="INDICE" xr:uid="{7297B7CD-E7C1-4CF8-8305-76BF82D896F7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D1D5-4400-402B-BC67-9AEFC5B6F497}">
  <sheetPr>
    <pageSetUpPr fitToPage="1"/>
  </sheetPr>
  <dimension ref="A1:AG69"/>
  <sheetViews>
    <sheetView showGridLines="0" zoomScaleNormal="10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27.85546875" style="267" customWidth="1"/>
    <col min="3" max="3" width="1.7109375" style="295" customWidth="1" collapsed="1"/>
    <col min="4" max="4" width="18.7109375" style="295" customWidth="1" collapsed="1"/>
    <col min="5" max="5" width="1.7109375" style="295" customWidth="1"/>
    <col min="6" max="6" width="14.85546875" style="295" customWidth="1" collapsed="1"/>
    <col min="7" max="7" width="11.42578125" style="267" customWidth="1" collapsed="1"/>
    <col min="8" max="8" width="1.7109375" style="267" customWidth="1" collapsed="1"/>
    <col min="9" max="9" width="16.42578125" style="267" customWidth="1" collapsed="1"/>
    <col min="10" max="10" width="11.42578125" style="267" customWidth="1" collapsed="1"/>
    <col min="11" max="11" width="1.7109375" style="267" customWidth="1" collapsed="1"/>
    <col min="12" max="12" width="16.28515625" style="267" customWidth="1" collapsed="1"/>
    <col min="13" max="13" width="11.42578125" style="267" customWidth="1" collapsed="1"/>
    <col min="14" max="14" width="1.7109375" style="267" customWidth="1" collapsed="1"/>
    <col min="15" max="15" width="17.28515625" style="267" customWidth="1" collapsed="1"/>
    <col min="16" max="16" width="10.85546875" style="267" customWidth="1" collapsed="1"/>
    <col min="17" max="17" width="1.7109375" style="267" customWidth="1" collapsed="1"/>
    <col min="18" max="18" width="16.42578125" style="267" customWidth="1" collapsed="1"/>
    <col min="19" max="19" width="11.42578125" style="267"/>
    <col min="20" max="20" width="1.7109375" style="267" customWidth="1"/>
    <col min="21" max="21" width="18.5703125" style="267" customWidth="1"/>
    <col min="22" max="22" width="11.42578125" style="267"/>
    <col min="23" max="23" width="1.7109375" style="267" customWidth="1"/>
    <col min="24" max="24" width="18.140625" style="267" customWidth="1"/>
    <col min="25" max="25" width="11.42578125" style="267"/>
    <col min="26" max="26" width="1.7109375" style="267" customWidth="1"/>
    <col min="27" max="27" width="17.140625" style="267" customWidth="1"/>
    <col min="28" max="30" width="11.42578125" style="267"/>
    <col min="31" max="31" width="11.42578125" style="267" collapsed="1"/>
    <col min="32" max="33" width="11.42578125" style="267"/>
    <col min="34" max="16384" width="11.42578125" style="267" collapsed="1"/>
  </cols>
  <sheetData>
    <row r="1" spans="1:28" s="263" customFormat="1" ht="14.1" customHeight="1" x14ac:dyDescent="0.2">
      <c r="A1" s="66"/>
      <c r="B1" s="485" t="s">
        <v>144</v>
      </c>
      <c r="C1" s="261"/>
      <c r="D1" s="262"/>
      <c r="E1" s="262"/>
      <c r="F1" s="262"/>
      <c r="AB1" s="85" t="s">
        <v>118</v>
      </c>
    </row>
    <row r="2" spans="1:28" s="263" customFormat="1" ht="6.95" customHeight="1" x14ac:dyDescent="0.2">
      <c r="A2" s="66"/>
      <c r="B2" s="485"/>
      <c r="C2" s="261"/>
      <c r="D2" s="262"/>
      <c r="E2" s="262"/>
      <c r="F2" s="262"/>
    </row>
    <row r="3" spans="1:28" s="263" customFormat="1" ht="14.1" customHeight="1" x14ac:dyDescent="0.2">
      <c r="A3" s="66"/>
      <c r="B3" s="485" t="s">
        <v>142</v>
      </c>
      <c r="C3" s="264"/>
      <c r="D3" s="264"/>
      <c r="E3" s="264"/>
      <c r="F3" s="264"/>
      <c r="G3" s="264"/>
    </row>
    <row r="4" spans="1:28" s="263" customFormat="1" ht="6.95" customHeight="1" x14ac:dyDescent="0.2">
      <c r="A4" s="66"/>
      <c r="C4" s="261"/>
      <c r="D4" s="261"/>
      <c r="E4" s="261"/>
      <c r="F4" s="261"/>
    </row>
    <row r="5" spans="1:28" s="263" customFormat="1" ht="20.100000000000001" customHeight="1" x14ac:dyDescent="0.2">
      <c r="A5" s="66"/>
      <c r="B5" s="564" t="s">
        <v>69</v>
      </c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564"/>
      <c r="O5" s="564"/>
      <c r="P5" s="564"/>
      <c r="Q5" s="564"/>
      <c r="R5" s="564"/>
      <c r="AB5" s="75" t="s">
        <v>93</v>
      </c>
    </row>
    <row r="6" spans="1:28" ht="6" customHeight="1" x14ac:dyDescent="0.2">
      <c r="A6" s="66"/>
      <c r="B6" s="265"/>
      <c r="C6" s="565"/>
      <c r="D6" s="565"/>
      <c r="E6" s="565"/>
      <c r="F6" s="566"/>
      <c r="G6" s="566"/>
      <c r="H6" s="566"/>
      <c r="I6" s="566"/>
      <c r="J6" s="566"/>
      <c r="K6" s="566"/>
      <c r="L6" s="566"/>
      <c r="M6" s="567"/>
      <c r="N6" s="567"/>
      <c r="O6" s="567"/>
      <c r="P6" s="266"/>
    </row>
    <row r="7" spans="1:28" ht="15" customHeight="1" x14ac:dyDescent="0.2">
      <c r="A7" s="66"/>
      <c r="B7" s="536" t="s">
        <v>1</v>
      </c>
      <c r="C7" s="536"/>
      <c r="D7" s="568" t="s">
        <v>23</v>
      </c>
      <c r="E7" s="268"/>
      <c r="F7" s="563" t="s">
        <v>65</v>
      </c>
      <c r="G7" s="563"/>
      <c r="H7" s="563"/>
      <c r="I7" s="563"/>
      <c r="J7" s="563"/>
      <c r="K7" s="563"/>
      <c r="L7" s="563"/>
      <c r="M7" s="563"/>
      <c r="N7" s="563"/>
      <c r="O7" s="563"/>
      <c r="P7" s="563"/>
      <c r="Q7" s="563"/>
      <c r="R7" s="563"/>
      <c r="S7" s="563"/>
      <c r="T7" s="563"/>
      <c r="U7" s="563"/>
      <c r="V7" s="563"/>
      <c r="W7" s="563"/>
      <c r="X7" s="563"/>
      <c r="Y7" s="563"/>
      <c r="Z7" s="563"/>
      <c r="AA7" s="563"/>
      <c r="AB7" s="563"/>
    </row>
    <row r="8" spans="1:28" ht="27" customHeight="1" x14ac:dyDescent="0.2">
      <c r="A8" s="66"/>
      <c r="B8" s="537"/>
      <c r="C8" s="537"/>
      <c r="D8" s="569"/>
      <c r="E8" s="269"/>
      <c r="F8" s="563" t="s">
        <v>66</v>
      </c>
      <c r="G8" s="563"/>
      <c r="H8" s="268"/>
      <c r="I8" s="563" t="s">
        <v>67</v>
      </c>
      <c r="J8" s="563"/>
      <c r="K8" s="270"/>
      <c r="L8" s="563" t="s">
        <v>68</v>
      </c>
      <c r="M8" s="563"/>
      <c r="N8" s="270"/>
      <c r="O8" s="563" t="s">
        <v>80</v>
      </c>
      <c r="P8" s="563"/>
      <c r="Q8" s="271"/>
      <c r="R8" s="563" t="s">
        <v>81</v>
      </c>
      <c r="S8" s="563"/>
      <c r="T8" s="270"/>
      <c r="U8" s="563" t="s">
        <v>82</v>
      </c>
      <c r="V8" s="563"/>
      <c r="W8" s="271"/>
      <c r="X8" s="563" t="s">
        <v>83</v>
      </c>
      <c r="Y8" s="563"/>
      <c r="Z8" s="272"/>
      <c r="AA8" s="563" t="s">
        <v>19</v>
      </c>
      <c r="AB8" s="563"/>
    </row>
    <row r="9" spans="1:28" ht="15" customHeight="1" x14ac:dyDescent="0.2">
      <c r="A9" s="12"/>
      <c r="B9" s="538"/>
      <c r="C9" s="538"/>
      <c r="D9" s="570"/>
      <c r="E9" s="273"/>
      <c r="F9" s="65" t="s">
        <v>13</v>
      </c>
      <c r="G9" s="65" t="s">
        <v>14</v>
      </c>
      <c r="H9" s="273"/>
      <c r="I9" s="65" t="s">
        <v>13</v>
      </c>
      <c r="J9" s="65" t="s">
        <v>14</v>
      </c>
      <c r="K9" s="274"/>
      <c r="L9" s="65" t="s">
        <v>13</v>
      </c>
      <c r="M9" s="65" t="s">
        <v>14</v>
      </c>
      <c r="N9" s="274"/>
      <c r="O9" s="65" t="s">
        <v>13</v>
      </c>
      <c r="P9" s="65" t="s">
        <v>14</v>
      </c>
      <c r="Q9" s="275"/>
      <c r="R9" s="65" t="s">
        <v>13</v>
      </c>
      <c r="S9" s="65" t="s">
        <v>14</v>
      </c>
      <c r="T9" s="275"/>
      <c r="U9" s="65" t="s">
        <v>13</v>
      </c>
      <c r="V9" s="65" t="s">
        <v>14</v>
      </c>
      <c r="W9" s="275"/>
      <c r="X9" s="65" t="s">
        <v>13</v>
      </c>
      <c r="Y9" s="65" t="s">
        <v>14</v>
      </c>
      <c r="Z9" s="275"/>
      <c r="AA9" s="65" t="s">
        <v>13</v>
      </c>
      <c r="AB9" s="65" t="s">
        <v>14</v>
      </c>
    </row>
    <row r="10" spans="1:28" ht="6" customHeight="1" x14ac:dyDescent="0.2">
      <c r="A10" s="67"/>
      <c r="B10" s="276"/>
      <c r="C10" s="276"/>
      <c r="D10" s="277"/>
      <c r="E10" s="277"/>
      <c r="F10" s="277"/>
      <c r="G10" s="278"/>
      <c r="H10" s="278"/>
      <c r="I10" s="279"/>
      <c r="J10" s="280"/>
      <c r="K10" s="280"/>
      <c r="L10" s="280"/>
      <c r="M10" s="280"/>
      <c r="N10" s="280"/>
      <c r="O10" s="280"/>
      <c r="P10" s="280"/>
    </row>
    <row r="11" spans="1:28" s="283" customFormat="1" ht="15" x14ac:dyDescent="0.2">
      <c r="A11" s="17"/>
      <c r="B11" s="10" t="s">
        <v>5</v>
      </c>
      <c r="C11" s="281"/>
      <c r="D11" s="99">
        <v>55147</v>
      </c>
      <c r="E11" s="282"/>
      <c r="F11" s="99">
        <v>5140</v>
      </c>
      <c r="G11" s="102">
        <v>9.3205432752000004</v>
      </c>
      <c r="H11" s="282"/>
      <c r="I11" s="99">
        <v>6544</v>
      </c>
      <c r="J11" s="102">
        <v>11.8664659909</v>
      </c>
      <c r="K11" s="50"/>
      <c r="L11" s="99">
        <v>8923</v>
      </c>
      <c r="M11" s="102">
        <v>16.180390592399998</v>
      </c>
      <c r="N11" s="282"/>
      <c r="O11" s="99">
        <v>7424</v>
      </c>
      <c r="P11" s="102">
        <v>13.462201026300001</v>
      </c>
      <c r="Q11" s="282"/>
      <c r="R11" s="99">
        <v>7304</v>
      </c>
      <c r="S11" s="102">
        <v>13.2446007942</v>
      </c>
      <c r="T11" s="51"/>
      <c r="U11" s="99">
        <v>6733</v>
      </c>
      <c r="V11" s="102">
        <v>12.2091863565</v>
      </c>
      <c r="X11" s="99">
        <v>11239</v>
      </c>
      <c r="Y11" s="102">
        <v>20.380075072099999</v>
      </c>
      <c r="AA11" s="99">
        <v>1840</v>
      </c>
      <c r="AB11" s="102">
        <v>3.3365368922999998</v>
      </c>
    </row>
    <row r="12" spans="1:28" ht="6" customHeight="1" x14ac:dyDescent="0.2">
      <c r="A12" s="11"/>
      <c r="B12" s="13"/>
      <c r="C12" s="284"/>
      <c r="D12" s="100"/>
      <c r="E12" s="282"/>
      <c r="F12" s="100"/>
      <c r="G12" s="103"/>
      <c r="H12" s="282"/>
      <c r="I12" s="100"/>
      <c r="J12" s="103"/>
      <c r="K12" s="50"/>
      <c r="L12" s="100"/>
      <c r="M12" s="103"/>
      <c r="N12" s="282"/>
      <c r="O12" s="100"/>
      <c r="P12" s="103"/>
      <c r="Q12" s="282"/>
      <c r="R12" s="100"/>
      <c r="S12" s="103"/>
      <c r="T12" s="50"/>
      <c r="U12" s="100"/>
      <c r="V12" s="103"/>
      <c r="X12" s="100"/>
      <c r="Y12" s="103"/>
      <c r="AA12" s="100"/>
      <c r="AB12" s="103"/>
    </row>
    <row r="13" spans="1:28" ht="12.75" customHeight="1" x14ac:dyDescent="0.2">
      <c r="A13" s="11"/>
      <c r="B13" s="22" t="s">
        <v>6</v>
      </c>
      <c r="C13" s="284"/>
      <c r="D13" s="101">
        <v>12727</v>
      </c>
      <c r="E13" s="285"/>
      <c r="F13" s="101">
        <v>944</v>
      </c>
      <c r="G13" s="104">
        <v>7.4173017992999997</v>
      </c>
      <c r="H13" s="285"/>
      <c r="I13" s="101">
        <v>779</v>
      </c>
      <c r="J13" s="104">
        <v>6.1208454466999997</v>
      </c>
      <c r="K13" s="50"/>
      <c r="L13" s="101">
        <v>1159</v>
      </c>
      <c r="M13" s="104">
        <v>9.1066237133999994</v>
      </c>
      <c r="N13" s="285"/>
      <c r="O13" s="101">
        <v>949</v>
      </c>
      <c r="P13" s="104">
        <v>7.4565883555000001</v>
      </c>
      <c r="Q13" s="285"/>
      <c r="R13" s="101">
        <v>1273</v>
      </c>
      <c r="S13" s="104">
        <v>10.0023571934</v>
      </c>
      <c r="T13" s="52"/>
      <c r="U13" s="101">
        <v>1716</v>
      </c>
      <c r="V13" s="104">
        <v>13.4831460674</v>
      </c>
      <c r="X13" s="101">
        <v>5589</v>
      </c>
      <c r="Y13" s="104">
        <v>43.9145124538</v>
      </c>
      <c r="AA13" s="101">
        <v>318</v>
      </c>
      <c r="AB13" s="104">
        <v>2.4986249704999999</v>
      </c>
    </row>
    <row r="14" spans="1:28" ht="12.75" customHeight="1" x14ac:dyDescent="0.2">
      <c r="A14" s="11"/>
      <c r="B14" s="22" t="s">
        <v>7</v>
      </c>
      <c r="C14" s="284"/>
      <c r="D14" s="101">
        <v>8875</v>
      </c>
      <c r="E14" s="285"/>
      <c r="F14" s="101">
        <v>780</v>
      </c>
      <c r="G14" s="104">
        <v>8.7887323944000002</v>
      </c>
      <c r="H14" s="285"/>
      <c r="I14" s="101">
        <v>856</v>
      </c>
      <c r="J14" s="104">
        <v>9.6450704224999999</v>
      </c>
      <c r="K14" s="50"/>
      <c r="L14" s="101">
        <v>1115</v>
      </c>
      <c r="M14" s="104">
        <v>12.563380281700001</v>
      </c>
      <c r="N14" s="285"/>
      <c r="O14" s="101">
        <v>943</v>
      </c>
      <c r="P14" s="104">
        <v>10.6253521127</v>
      </c>
      <c r="Q14" s="285"/>
      <c r="R14" s="101">
        <v>1134</v>
      </c>
      <c r="S14" s="104">
        <v>12.7774647887</v>
      </c>
      <c r="T14" s="52"/>
      <c r="U14" s="101">
        <v>1366</v>
      </c>
      <c r="V14" s="104">
        <v>15.391549295800001</v>
      </c>
      <c r="X14" s="101">
        <v>2436</v>
      </c>
      <c r="Y14" s="104">
        <v>27.447887323900002</v>
      </c>
      <c r="AA14" s="101">
        <v>245</v>
      </c>
      <c r="AB14" s="104">
        <v>2.7605633802999998</v>
      </c>
    </row>
    <row r="15" spans="1:28" ht="12.75" customHeight="1" x14ac:dyDescent="0.2">
      <c r="A15" s="12"/>
      <c r="B15" s="22" t="s">
        <v>8</v>
      </c>
      <c r="C15" s="284"/>
      <c r="D15" s="101">
        <v>8735</v>
      </c>
      <c r="E15" s="285"/>
      <c r="F15" s="101">
        <v>790</v>
      </c>
      <c r="G15" s="104">
        <v>9.0440755580999994</v>
      </c>
      <c r="H15" s="285"/>
      <c r="I15" s="101">
        <v>1019</v>
      </c>
      <c r="J15" s="104">
        <v>11.6657126503</v>
      </c>
      <c r="K15" s="50"/>
      <c r="L15" s="101">
        <v>1397</v>
      </c>
      <c r="M15" s="104">
        <v>15.9931310819</v>
      </c>
      <c r="N15" s="285"/>
      <c r="O15" s="101">
        <v>1249</v>
      </c>
      <c r="P15" s="104">
        <v>14.2987979393</v>
      </c>
      <c r="Q15" s="285"/>
      <c r="R15" s="101">
        <v>1438</v>
      </c>
      <c r="S15" s="104">
        <v>16.462507155099999</v>
      </c>
      <c r="T15" s="52"/>
      <c r="U15" s="101">
        <v>1201</v>
      </c>
      <c r="V15" s="104">
        <v>13.749284487700001</v>
      </c>
      <c r="X15" s="101">
        <v>1392</v>
      </c>
      <c r="Y15" s="104">
        <v>15.9358900973</v>
      </c>
      <c r="AA15" s="101">
        <v>249</v>
      </c>
      <c r="AB15" s="104">
        <v>2.8506010303</v>
      </c>
    </row>
    <row r="16" spans="1:28" ht="12.75" customHeight="1" x14ac:dyDescent="0.2">
      <c r="A16" s="12"/>
      <c r="B16" s="22" t="s">
        <v>79</v>
      </c>
      <c r="C16" s="284"/>
      <c r="D16" s="101">
        <v>24810</v>
      </c>
      <c r="E16" s="285"/>
      <c r="F16" s="101">
        <v>2626</v>
      </c>
      <c r="G16" s="104">
        <v>10.5844417574</v>
      </c>
      <c r="H16" s="285"/>
      <c r="I16" s="101">
        <v>3890</v>
      </c>
      <c r="J16" s="104">
        <v>15.679161628399999</v>
      </c>
      <c r="K16" s="50"/>
      <c r="L16" s="101">
        <v>5252</v>
      </c>
      <c r="M16" s="104">
        <v>21.168883514699999</v>
      </c>
      <c r="N16" s="285"/>
      <c r="O16" s="101">
        <v>4283</v>
      </c>
      <c r="P16" s="104">
        <v>17.263200322500001</v>
      </c>
      <c r="Q16" s="285"/>
      <c r="R16" s="101">
        <v>3459</v>
      </c>
      <c r="S16" s="104">
        <v>13.9419588875</v>
      </c>
      <c r="T16" s="52"/>
      <c r="U16" s="101">
        <v>2450</v>
      </c>
      <c r="V16" s="104">
        <v>9.8750503828999996</v>
      </c>
      <c r="X16" s="101">
        <v>1822</v>
      </c>
      <c r="Y16" s="104">
        <v>7.3438129785999999</v>
      </c>
      <c r="AA16" s="101">
        <v>1028</v>
      </c>
      <c r="AB16" s="104">
        <v>4.1434905280000001</v>
      </c>
    </row>
    <row r="17" spans="1:28" ht="6" customHeight="1" x14ac:dyDescent="0.2">
      <c r="A17" s="12"/>
      <c r="B17" s="14"/>
      <c r="C17" s="14"/>
      <c r="D17" s="4"/>
      <c r="E17" s="286"/>
      <c r="F17" s="4"/>
      <c r="G17" s="287"/>
      <c r="H17" s="287"/>
      <c r="I17" s="4"/>
      <c r="J17" s="287"/>
      <c r="K17" s="288"/>
      <c r="L17" s="4"/>
      <c r="M17" s="287"/>
      <c r="N17" s="289"/>
      <c r="O17" s="4"/>
      <c r="P17" s="287"/>
      <c r="Q17" s="287"/>
      <c r="R17" s="287"/>
      <c r="S17" s="287"/>
      <c r="T17" s="287"/>
      <c r="U17" s="287"/>
      <c r="V17" s="287"/>
      <c r="W17" s="265"/>
      <c r="X17" s="265"/>
      <c r="Y17" s="265"/>
      <c r="Z17" s="265"/>
      <c r="AA17" s="265"/>
      <c r="AB17" s="265"/>
    </row>
    <row r="18" spans="1:28" ht="6" customHeight="1" x14ac:dyDescent="0.2">
      <c r="A18" s="21"/>
      <c r="B18" s="290"/>
      <c r="C18" s="291"/>
      <c r="D18" s="291"/>
      <c r="E18" s="291"/>
      <c r="F18" s="291"/>
      <c r="G18" s="292"/>
      <c r="H18" s="292"/>
      <c r="I18" s="292"/>
      <c r="J18" s="293"/>
      <c r="K18" s="293"/>
      <c r="L18" s="292"/>
      <c r="M18" s="293"/>
      <c r="N18" s="293"/>
      <c r="O18" s="290"/>
      <c r="P18" s="294"/>
      <c r="S18" s="1"/>
    </row>
    <row r="19" spans="1:28" s="89" customFormat="1" ht="11.25" customHeight="1" x14ac:dyDescent="0.2">
      <c r="B19" s="24" t="s">
        <v>9</v>
      </c>
    </row>
    <row r="20" spans="1:28" ht="12.75" customHeight="1" x14ac:dyDescent="0.2">
      <c r="S20" s="1"/>
    </row>
    <row r="21" spans="1:28" ht="12.75" customHeight="1" x14ac:dyDescent="0.2">
      <c r="S21" s="1"/>
    </row>
    <row r="22" spans="1:28" ht="12.75" customHeight="1" x14ac:dyDescent="0.2">
      <c r="S22" s="1"/>
    </row>
    <row r="23" spans="1:28" ht="12.75" customHeight="1" x14ac:dyDescent="0.2">
      <c r="S23" s="1"/>
    </row>
    <row r="24" spans="1:28" ht="12.75" customHeight="1" x14ac:dyDescent="0.2">
      <c r="S24" s="1"/>
    </row>
    <row r="25" spans="1:28" ht="12.75" customHeight="1" x14ac:dyDescent="0.2">
      <c r="S25" s="1"/>
    </row>
    <row r="26" spans="1:28" ht="12.75" customHeight="1" x14ac:dyDescent="0.2">
      <c r="S26" s="1"/>
    </row>
    <row r="27" spans="1:28" ht="12.75" customHeight="1" x14ac:dyDescent="0.2">
      <c r="S27" s="1"/>
    </row>
    <row r="28" spans="1:28" ht="12.75" customHeight="1" x14ac:dyDescent="0.2">
      <c r="S28" s="1"/>
    </row>
    <row r="29" spans="1:28" ht="12.75" customHeight="1" x14ac:dyDescent="0.2">
      <c r="S29" s="1"/>
    </row>
    <row r="30" spans="1:28" ht="12.75" customHeight="1" x14ac:dyDescent="0.2">
      <c r="S30" s="1"/>
    </row>
    <row r="31" spans="1:28" ht="12.75" customHeight="1" x14ac:dyDescent="0.2">
      <c r="S31" s="1"/>
    </row>
    <row r="32" spans="1:28" ht="12.75" customHeight="1" x14ac:dyDescent="0.2">
      <c r="S32" s="1"/>
    </row>
    <row r="33" spans="19:19" ht="12.75" customHeight="1" x14ac:dyDescent="0.2">
      <c r="S33" s="1"/>
    </row>
    <row r="34" spans="19:19" ht="12.75" customHeight="1" x14ac:dyDescent="0.2">
      <c r="S34" s="1"/>
    </row>
    <row r="35" spans="19:19" ht="12.75" customHeight="1" x14ac:dyDescent="0.2">
      <c r="S35" s="1"/>
    </row>
    <row r="36" spans="19:19" ht="12.75" customHeight="1" x14ac:dyDescent="0.2">
      <c r="S36" s="1"/>
    </row>
    <row r="37" spans="19:19" ht="12.75" customHeight="1" x14ac:dyDescent="0.2">
      <c r="S37" s="1"/>
    </row>
    <row r="38" spans="19:19" ht="12.75" customHeight="1" x14ac:dyDescent="0.2">
      <c r="S38" s="1"/>
    </row>
    <row r="39" spans="19:19" ht="12.75" customHeight="1" x14ac:dyDescent="0.2">
      <c r="S39" s="1"/>
    </row>
    <row r="40" spans="19:19" ht="12.75" customHeight="1" x14ac:dyDescent="0.2">
      <c r="S40" s="1"/>
    </row>
    <row r="41" spans="19:19" ht="12.75" customHeight="1" x14ac:dyDescent="0.2">
      <c r="S41" s="1"/>
    </row>
    <row r="42" spans="19:19" ht="12.75" customHeight="1" x14ac:dyDescent="0.2">
      <c r="S42" s="1"/>
    </row>
    <row r="43" spans="19:19" ht="12.75" customHeight="1" x14ac:dyDescent="0.2">
      <c r="S43" s="1"/>
    </row>
    <row r="44" spans="19:19" ht="12.75" customHeight="1" x14ac:dyDescent="0.2">
      <c r="S44" s="1"/>
    </row>
    <row r="45" spans="19:19" ht="12.75" customHeight="1" x14ac:dyDescent="0.2">
      <c r="S45" s="1"/>
    </row>
    <row r="46" spans="19:19" ht="12.75" customHeight="1" x14ac:dyDescent="0.2">
      <c r="S46" s="1"/>
    </row>
    <row r="47" spans="19:19" ht="12.75" customHeight="1" x14ac:dyDescent="0.2">
      <c r="S47" s="1"/>
    </row>
    <row r="48" spans="19:19" ht="12.75" customHeight="1" x14ac:dyDescent="0.2">
      <c r="S48" s="1"/>
    </row>
    <row r="49" spans="19:19" ht="12.75" customHeight="1" x14ac:dyDescent="0.2">
      <c r="S49" s="1"/>
    </row>
    <row r="50" spans="19:19" ht="12.75" customHeight="1" x14ac:dyDescent="0.2">
      <c r="S50" s="1"/>
    </row>
    <row r="51" spans="19:19" ht="12.75" customHeight="1" x14ac:dyDescent="0.2">
      <c r="S51" s="1"/>
    </row>
    <row r="52" spans="19:19" ht="12.75" customHeight="1" x14ac:dyDescent="0.2">
      <c r="S52" s="1"/>
    </row>
    <row r="53" spans="19:19" ht="12.75" customHeight="1" x14ac:dyDescent="0.2">
      <c r="S53" s="1"/>
    </row>
    <row r="54" spans="19:19" ht="12.75" customHeight="1" x14ac:dyDescent="0.2">
      <c r="S54" s="1"/>
    </row>
    <row r="55" spans="19:19" ht="12.75" customHeight="1" x14ac:dyDescent="0.2">
      <c r="S55" s="1"/>
    </row>
    <row r="56" spans="19:19" ht="12.75" customHeight="1" x14ac:dyDescent="0.2">
      <c r="S56" s="1"/>
    </row>
    <row r="57" spans="19:19" ht="12.75" customHeight="1" x14ac:dyDescent="0.2">
      <c r="S57" s="1"/>
    </row>
    <row r="58" spans="19:19" ht="12.75" customHeight="1" x14ac:dyDescent="0.2">
      <c r="S58" s="1"/>
    </row>
    <row r="59" spans="19:19" ht="12.75" customHeight="1" x14ac:dyDescent="0.2">
      <c r="S59" s="1"/>
    </row>
    <row r="60" spans="19:19" ht="12.75" customHeight="1" x14ac:dyDescent="0.2">
      <c r="S60" s="1"/>
    </row>
    <row r="61" spans="19:19" ht="12.75" customHeight="1" x14ac:dyDescent="0.2">
      <c r="S61" s="1"/>
    </row>
    <row r="62" spans="19:19" ht="12.75" customHeight="1" x14ac:dyDescent="0.2">
      <c r="S62" s="1"/>
    </row>
    <row r="63" spans="19:19" ht="12.75" customHeight="1" x14ac:dyDescent="0.2">
      <c r="S63" s="1"/>
    </row>
    <row r="64" spans="19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</sheetData>
  <mergeCells count="13">
    <mergeCell ref="U8:V8"/>
    <mergeCell ref="X8:Y8"/>
    <mergeCell ref="AA8:AB8"/>
    <mergeCell ref="B5:R5"/>
    <mergeCell ref="C6:O6"/>
    <mergeCell ref="B7:C9"/>
    <mergeCell ref="D7:D9"/>
    <mergeCell ref="F7:AB7"/>
    <mergeCell ref="F8:G8"/>
    <mergeCell ref="I8:J8"/>
    <mergeCell ref="L8:M8"/>
    <mergeCell ref="O8:P8"/>
    <mergeCell ref="R8:S8"/>
  </mergeCells>
  <hyperlinks>
    <hyperlink ref="AB1" location="Índice!A1" tooltip="Ir a ÍNDICE" display="INDICE" xr:uid="{0011ACDC-5FE2-41FE-A8FC-0A70992CC75A}"/>
  </hyperlinks>
  <pageMargins left="0.70866141732283472" right="0.70866141732283472" top="0.59055118110236227" bottom="0.59055118110236227" header="0.23622047244094491" footer="0.23622047244094491"/>
  <pageSetup scale="43" orientation="landscape" r:id="rId1"/>
  <colBreaks count="1" manualBreakCount="1">
    <brk id="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2330-8D5B-48CA-8A33-5B7DD6F5F8A5}">
  <sheetPr>
    <pageSetUpPr fitToPage="1"/>
  </sheetPr>
  <dimension ref="A1:AG96"/>
  <sheetViews>
    <sheetView showGridLines="0" zoomScaleNormal="100" zoomScaleSheetLayoutView="4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31" style="302" customWidth="1"/>
    <col min="3" max="3" width="1.7109375" style="330" customWidth="1" collapsed="1"/>
    <col min="4" max="4" width="18.7109375" style="330" customWidth="1" collapsed="1"/>
    <col min="5" max="5" width="1.7109375" style="330" customWidth="1"/>
    <col min="6" max="6" width="14.7109375" style="330" customWidth="1" collapsed="1"/>
    <col min="7" max="7" width="12.7109375" style="302" customWidth="1" collapsed="1"/>
    <col min="8" max="8" width="1.7109375" style="302" customWidth="1" collapsed="1"/>
    <col min="9" max="9" width="16.7109375" style="302" customWidth="1" collapsed="1"/>
    <col min="10" max="10" width="12.7109375" style="302" customWidth="1" collapsed="1"/>
    <col min="11" max="11" width="1.7109375" style="302" customWidth="1" collapsed="1"/>
    <col min="12" max="12" width="16.28515625" style="302" customWidth="1" collapsed="1"/>
    <col min="13" max="13" width="12.7109375" style="302" customWidth="1" collapsed="1"/>
    <col min="14" max="14" width="1.7109375" style="302" customWidth="1" collapsed="1"/>
    <col min="15" max="15" width="17.140625" style="302" customWidth="1" collapsed="1"/>
    <col min="16" max="16" width="12.7109375" style="302" customWidth="1" collapsed="1"/>
    <col min="17" max="17" width="1.7109375" style="302" customWidth="1" collapsed="1"/>
    <col min="18" max="18" width="18" style="302" customWidth="1" collapsed="1"/>
    <col min="19" max="19" width="11.42578125" style="302"/>
    <col min="20" max="20" width="1.7109375" style="302" customWidth="1"/>
    <col min="21" max="21" width="16.140625" style="302" customWidth="1"/>
    <col min="22" max="33" width="11.42578125" style="302"/>
    <col min="34" max="16384" width="11.42578125" style="302" collapsed="1"/>
  </cols>
  <sheetData>
    <row r="1" spans="1:22" s="298" customFormat="1" ht="14.1" customHeight="1" x14ac:dyDescent="0.2">
      <c r="A1" s="66"/>
      <c r="B1" s="485" t="s">
        <v>144</v>
      </c>
      <c r="C1" s="296"/>
      <c r="D1" s="297"/>
      <c r="E1" s="297"/>
      <c r="F1" s="297"/>
      <c r="V1" s="85" t="s">
        <v>118</v>
      </c>
    </row>
    <row r="2" spans="1:22" s="298" customFormat="1" ht="6.95" customHeight="1" x14ac:dyDescent="0.2">
      <c r="A2" s="66"/>
      <c r="B2" s="485"/>
      <c r="C2" s="296"/>
      <c r="D2" s="297"/>
      <c r="E2" s="297"/>
      <c r="F2" s="297"/>
    </row>
    <row r="3" spans="1:22" s="298" customFormat="1" ht="14.1" customHeight="1" x14ac:dyDescent="0.2">
      <c r="A3" s="66"/>
      <c r="B3" s="485" t="s">
        <v>142</v>
      </c>
      <c r="C3" s="299"/>
      <c r="D3" s="299"/>
      <c r="E3" s="299"/>
      <c r="F3" s="299"/>
      <c r="G3" s="299"/>
    </row>
    <row r="4" spans="1:22" s="298" customFormat="1" ht="6.95" customHeight="1" x14ac:dyDescent="0.2">
      <c r="A4" s="66"/>
      <c r="C4" s="296"/>
      <c r="D4" s="296"/>
      <c r="E4" s="296"/>
      <c r="F4" s="296"/>
    </row>
    <row r="5" spans="1:22" s="298" customFormat="1" ht="20.100000000000001" customHeight="1" x14ac:dyDescent="0.2">
      <c r="A5" s="66"/>
      <c r="B5" s="572" t="s">
        <v>70</v>
      </c>
      <c r="C5" s="572"/>
      <c r="D5" s="572"/>
      <c r="E5" s="572"/>
      <c r="F5" s="572"/>
      <c r="G5" s="572"/>
      <c r="H5" s="572"/>
      <c r="I5" s="572"/>
      <c r="J5" s="572"/>
      <c r="K5" s="572"/>
      <c r="L5" s="572"/>
      <c r="M5" s="572"/>
      <c r="N5" s="572"/>
      <c r="O5" s="572"/>
      <c r="P5" s="572"/>
      <c r="Q5" s="572"/>
      <c r="R5" s="572"/>
      <c r="V5" s="75" t="s">
        <v>94</v>
      </c>
    </row>
    <row r="6" spans="1:22" ht="6" customHeight="1" x14ac:dyDescent="0.2">
      <c r="A6" s="66"/>
      <c r="B6" s="300"/>
      <c r="C6" s="573"/>
      <c r="D6" s="573"/>
      <c r="E6" s="573"/>
      <c r="F6" s="574"/>
      <c r="G6" s="574"/>
      <c r="H6" s="574"/>
      <c r="I6" s="574"/>
      <c r="J6" s="574"/>
      <c r="K6" s="574"/>
      <c r="L6" s="574"/>
      <c r="M6" s="575"/>
      <c r="N6" s="575"/>
      <c r="O6" s="575"/>
      <c r="P6" s="301"/>
    </row>
    <row r="7" spans="1:22" ht="15" customHeight="1" x14ac:dyDescent="0.2">
      <c r="A7" s="66"/>
      <c r="B7" s="536" t="s">
        <v>22</v>
      </c>
      <c r="C7" s="536"/>
      <c r="D7" s="576" t="s">
        <v>23</v>
      </c>
      <c r="E7" s="303"/>
      <c r="F7" s="571" t="s">
        <v>71</v>
      </c>
      <c r="G7" s="571"/>
      <c r="H7" s="571"/>
      <c r="I7" s="571"/>
      <c r="J7" s="571"/>
      <c r="K7" s="571"/>
      <c r="L7" s="571"/>
      <c r="M7" s="571"/>
      <c r="N7" s="571"/>
      <c r="O7" s="571"/>
      <c r="P7" s="571"/>
      <c r="Q7" s="571"/>
      <c r="R7" s="571"/>
      <c r="S7" s="571"/>
      <c r="T7" s="571"/>
      <c r="U7" s="571"/>
      <c r="V7" s="571"/>
    </row>
    <row r="8" spans="1:22" ht="27" customHeight="1" x14ac:dyDescent="0.2">
      <c r="A8" s="66"/>
      <c r="B8" s="537"/>
      <c r="C8" s="537"/>
      <c r="D8" s="577"/>
      <c r="E8" s="304"/>
      <c r="F8" s="571" t="s">
        <v>84</v>
      </c>
      <c r="G8" s="571"/>
      <c r="H8" s="303"/>
      <c r="I8" s="571" t="s">
        <v>72</v>
      </c>
      <c r="J8" s="571"/>
      <c r="K8" s="305"/>
      <c r="L8" s="571" t="s">
        <v>85</v>
      </c>
      <c r="M8" s="571"/>
      <c r="N8" s="305"/>
      <c r="O8" s="571" t="s">
        <v>86</v>
      </c>
      <c r="P8" s="571"/>
      <c r="Q8" s="306"/>
      <c r="R8" s="571" t="s">
        <v>73</v>
      </c>
      <c r="S8" s="571"/>
      <c r="T8" s="307"/>
      <c r="U8" s="571" t="s">
        <v>19</v>
      </c>
      <c r="V8" s="571"/>
    </row>
    <row r="9" spans="1:22" ht="15" customHeight="1" x14ac:dyDescent="0.2">
      <c r="A9" s="12"/>
      <c r="B9" s="538"/>
      <c r="C9" s="538"/>
      <c r="D9" s="578"/>
      <c r="E9" s="308"/>
      <c r="F9" s="65" t="s">
        <v>13</v>
      </c>
      <c r="G9" s="65" t="s">
        <v>14</v>
      </c>
      <c r="H9" s="308"/>
      <c r="I9" s="65" t="s">
        <v>13</v>
      </c>
      <c r="J9" s="65" t="s">
        <v>14</v>
      </c>
      <c r="K9" s="309"/>
      <c r="L9" s="65" t="s">
        <v>13</v>
      </c>
      <c r="M9" s="65" t="s">
        <v>14</v>
      </c>
      <c r="N9" s="309"/>
      <c r="O9" s="65" t="s">
        <v>13</v>
      </c>
      <c r="P9" s="65" t="s">
        <v>14</v>
      </c>
      <c r="Q9" s="310"/>
      <c r="R9" s="65" t="s">
        <v>13</v>
      </c>
      <c r="S9" s="65" t="s">
        <v>14</v>
      </c>
      <c r="T9" s="310"/>
      <c r="U9" s="65" t="s">
        <v>13</v>
      </c>
      <c r="V9" s="65" t="s">
        <v>14</v>
      </c>
    </row>
    <row r="10" spans="1:22" ht="6" customHeight="1" x14ac:dyDescent="0.2">
      <c r="A10" s="67"/>
      <c r="B10" s="311"/>
      <c r="C10" s="311"/>
      <c r="D10" s="312"/>
      <c r="E10" s="312"/>
      <c r="F10" s="312"/>
      <c r="G10" s="313"/>
      <c r="H10" s="313"/>
      <c r="I10" s="314"/>
      <c r="J10" s="315"/>
      <c r="K10" s="315"/>
      <c r="L10" s="315"/>
      <c r="M10" s="315"/>
      <c r="N10" s="315"/>
      <c r="O10" s="315"/>
      <c r="P10" s="315"/>
    </row>
    <row r="11" spans="1:22" s="318" customFormat="1" ht="15" x14ac:dyDescent="0.2">
      <c r="A11" s="17"/>
      <c r="B11" s="10" t="s">
        <v>5</v>
      </c>
      <c r="C11" s="316"/>
      <c r="D11" s="99">
        <v>55147</v>
      </c>
      <c r="E11" s="317"/>
      <c r="F11" s="99">
        <v>9822</v>
      </c>
      <c r="G11" s="102">
        <v>17.810578998</v>
      </c>
      <c r="H11" s="317"/>
      <c r="I11" s="99">
        <v>14062</v>
      </c>
      <c r="J11" s="102">
        <v>25.499120532399999</v>
      </c>
      <c r="K11" s="50"/>
      <c r="L11" s="99">
        <v>12462</v>
      </c>
      <c r="M11" s="102">
        <v>22.597784104300001</v>
      </c>
      <c r="N11" s="317"/>
      <c r="O11" s="99">
        <v>8595</v>
      </c>
      <c r="P11" s="102">
        <v>15.5856166247</v>
      </c>
      <c r="Q11" s="317"/>
      <c r="R11" s="99">
        <v>8259</v>
      </c>
      <c r="S11" s="102">
        <v>14.9763359748</v>
      </c>
      <c r="T11" s="51"/>
      <c r="U11" s="99">
        <v>1947</v>
      </c>
      <c r="V11" s="102">
        <v>3.5305637659000002</v>
      </c>
    </row>
    <row r="12" spans="1:22" s="318" customFormat="1" ht="6" customHeight="1" x14ac:dyDescent="0.2">
      <c r="A12" s="11"/>
      <c r="B12" s="41"/>
      <c r="C12" s="316"/>
      <c r="D12" s="100"/>
      <c r="E12" s="317"/>
      <c r="F12" s="100"/>
      <c r="G12" s="103"/>
      <c r="H12" s="317"/>
      <c r="I12" s="100"/>
      <c r="J12" s="103"/>
      <c r="K12" s="50"/>
      <c r="L12" s="100"/>
      <c r="M12" s="103"/>
      <c r="N12" s="317"/>
      <c r="O12" s="100"/>
      <c r="P12" s="103"/>
      <c r="Q12" s="317"/>
      <c r="R12" s="100"/>
      <c r="S12" s="103"/>
      <c r="T12" s="50"/>
      <c r="U12" s="100"/>
      <c r="V12" s="103"/>
    </row>
    <row r="13" spans="1:22" ht="12.75" customHeight="1" x14ac:dyDescent="0.2">
      <c r="A13" s="11"/>
      <c r="B13" s="13" t="s">
        <v>26</v>
      </c>
      <c r="C13" s="319"/>
      <c r="D13" s="101">
        <v>1783</v>
      </c>
      <c r="E13" s="320"/>
      <c r="F13" s="101">
        <v>75</v>
      </c>
      <c r="G13" s="104">
        <v>4.2063937185000002</v>
      </c>
      <c r="H13" s="320"/>
      <c r="I13" s="101">
        <v>347</v>
      </c>
      <c r="J13" s="104">
        <v>19.461581603999999</v>
      </c>
      <c r="K13" s="50"/>
      <c r="L13" s="101">
        <v>514</v>
      </c>
      <c r="M13" s="104">
        <v>28.827818283799999</v>
      </c>
      <c r="N13" s="320"/>
      <c r="O13" s="101">
        <v>348</v>
      </c>
      <c r="P13" s="104">
        <v>19.517666853600002</v>
      </c>
      <c r="Q13" s="320"/>
      <c r="R13" s="101">
        <v>365</v>
      </c>
      <c r="S13" s="104">
        <v>20.471116096500001</v>
      </c>
      <c r="T13" s="52"/>
      <c r="U13" s="101">
        <v>134</v>
      </c>
      <c r="V13" s="104">
        <v>7.5154234435999996</v>
      </c>
    </row>
    <row r="14" spans="1:22" ht="12.75" customHeight="1" x14ac:dyDescent="0.2">
      <c r="A14" s="11"/>
      <c r="B14" s="13" t="s">
        <v>27</v>
      </c>
      <c r="C14" s="319"/>
      <c r="D14" s="101">
        <v>1750</v>
      </c>
      <c r="E14" s="320"/>
      <c r="F14" s="101">
        <v>247</v>
      </c>
      <c r="G14" s="104">
        <v>14.114285714299999</v>
      </c>
      <c r="H14" s="320"/>
      <c r="I14" s="101">
        <v>447</v>
      </c>
      <c r="J14" s="104">
        <v>25.542857142900001</v>
      </c>
      <c r="K14" s="50"/>
      <c r="L14" s="101">
        <v>503</v>
      </c>
      <c r="M14" s="104">
        <v>28.7428571429</v>
      </c>
      <c r="N14" s="320"/>
      <c r="O14" s="101">
        <v>319</v>
      </c>
      <c r="P14" s="104">
        <v>18.228571428599999</v>
      </c>
      <c r="Q14" s="320"/>
      <c r="R14" s="101">
        <v>204</v>
      </c>
      <c r="S14" s="104">
        <v>11.6571428571</v>
      </c>
      <c r="T14" s="52"/>
      <c r="U14" s="101">
        <v>30</v>
      </c>
      <c r="V14" s="104">
        <v>1.7142857143000001</v>
      </c>
    </row>
    <row r="15" spans="1:22" ht="12.75" customHeight="1" x14ac:dyDescent="0.2">
      <c r="A15" s="12"/>
      <c r="B15" s="13" t="s">
        <v>28</v>
      </c>
      <c r="C15" s="319"/>
      <c r="D15" s="101">
        <v>1639</v>
      </c>
      <c r="E15" s="320"/>
      <c r="F15" s="101">
        <v>404</v>
      </c>
      <c r="G15" s="104">
        <v>24.649176326999999</v>
      </c>
      <c r="H15" s="320"/>
      <c r="I15" s="101">
        <v>442</v>
      </c>
      <c r="J15" s="104">
        <v>26.967663209299999</v>
      </c>
      <c r="K15" s="50"/>
      <c r="L15" s="101">
        <v>365</v>
      </c>
      <c r="M15" s="104">
        <v>22.269676632100001</v>
      </c>
      <c r="N15" s="320"/>
      <c r="O15" s="101">
        <v>176</v>
      </c>
      <c r="P15" s="104">
        <v>10.7382550336</v>
      </c>
      <c r="Q15" s="320"/>
      <c r="R15" s="101">
        <v>127</v>
      </c>
      <c r="S15" s="104">
        <v>7.7486272116999997</v>
      </c>
      <c r="T15" s="52"/>
      <c r="U15" s="101">
        <v>125</v>
      </c>
      <c r="V15" s="104">
        <v>7.6266015862999996</v>
      </c>
    </row>
    <row r="16" spans="1:22" ht="12.75" customHeight="1" x14ac:dyDescent="0.2">
      <c r="A16" s="12"/>
      <c r="B16" s="13" t="s">
        <v>29</v>
      </c>
      <c r="C16" s="319"/>
      <c r="D16" s="101">
        <v>1723</v>
      </c>
      <c r="E16" s="320"/>
      <c r="F16" s="101">
        <v>533</v>
      </c>
      <c r="G16" s="104">
        <v>30.934416715000001</v>
      </c>
      <c r="H16" s="320"/>
      <c r="I16" s="101">
        <v>452</v>
      </c>
      <c r="J16" s="104">
        <v>26.233313987199999</v>
      </c>
      <c r="K16" s="50"/>
      <c r="L16" s="101">
        <v>271</v>
      </c>
      <c r="M16" s="104">
        <v>15.7283807313</v>
      </c>
      <c r="N16" s="320"/>
      <c r="O16" s="101">
        <v>161</v>
      </c>
      <c r="P16" s="104">
        <v>9.3441671503000006</v>
      </c>
      <c r="Q16" s="320"/>
      <c r="R16" s="101">
        <v>163</v>
      </c>
      <c r="S16" s="104">
        <v>9.4602437608999992</v>
      </c>
      <c r="T16" s="52"/>
      <c r="U16" s="101">
        <v>143</v>
      </c>
      <c r="V16" s="104">
        <v>8.2994776553000005</v>
      </c>
    </row>
    <row r="17" spans="1:22" ht="12.75" customHeight="1" x14ac:dyDescent="0.2">
      <c r="A17" s="12"/>
      <c r="B17" s="13" t="s">
        <v>30</v>
      </c>
      <c r="C17" s="319"/>
      <c r="D17" s="94">
        <v>1654</v>
      </c>
      <c r="E17" s="320"/>
      <c r="F17" s="94">
        <v>111</v>
      </c>
      <c r="G17" s="97">
        <v>6.7110036276000002</v>
      </c>
      <c r="H17" s="320"/>
      <c r="I17" s="94">
        <v>331</v>
      </c>
      <c r="J17" s="97">
        <v>20.012091898400001</v>
      </c>
      <c r="K17" s="50"/>
      <c r="L17" s="94">
        <v>423</v>
      </c>
      <c r="M17" s="97">
        <v>25.574365175299999</v>
      </c>
      <c r="N17" s="320"/>
      <c r="O17" s="94">
        <v>347</v>
      </c>
      <c r="P17" s="97">
        <v>20.979443772700002</v>
      </c>
      <c r="Q17" s="320"/>
      <c r="R17" s="94">
        <v>283</v>
      </c>
      <c r="S17" s="97">
        <v>17.110036275700001</v>
      </c>
      <c r="T17" s="53"/>
      <c r="U17" s="94">
        <v>159</v>
      </c>
      <c r="V17" s="97">
        <v>9.6130592502999992</v>
      </c>
    </row>
    <row r="18" spans="1:22" ht="12.75" customHeight="1" x14ac:dyDescent="0.2">
      <c r="A18" s="21"/>
      <c r="B18" s="13" t="s">
        <v>31</v>
      </c>
      <c r="C18" s="319"/>
      <c r="D18" s="94">
        <v>1696</v>
      </c>
      <c r="E18" s="320"/>
      <c r="F18" s="94">
        <v>203</v>
      </c>
      <c r="G18" s="97">
        <v>11.9693396226</v>
      </c>
      <c r="H18" s="320"/>
      <c r="I18" s="94">
        <v>348</v>
      </c>
      <c r="J18" s="97">
        <v>20.5188679245</v>
      </c>
      <c r="K18" s="50"/>
      <c r="L18" s="94">
        <v>463</v>
      </c>
      <c r="M18" s="97">
        <v>27.299528301900001</v>
      </c>
      <c r="N18" s="320"/>
      <c r="O18" s="94">
        <v>345</v>
      </c>
      <c r="P18" s="97">
        <v>20.341981132099999</v>
      </c>
      <c r="Q18" s="320"/>
      <c r="R18" s="94">
        <v>287</v>
      </c>
      <c r="S18" s="97">
        <v>16.922169811300002</v>
      </c>
      <c r="T18" s="53"/>
      <c r="U18" s="94">
        <v>50</v>
      </c>
      <c r="V18" s="97">
        <v>2.9481132075000001</v>
      </c>
    </row>
    <row r="19" spans="1:22" ht="12.75" customHeight="1" x14ac:dyDescent="0.2">
      <c r="A19" s="21"/>
      <c r="B19" s="13" t="s">
        <v>32</v>
      </c>
      <c r="C19" s="319"/>
      <c r="D19" s="101">
        <v>1795</v>
      </c>
      <c r="E19" s="320"/>
      <c r="F19" s="101">
        <v>579</v>
      </c>
      <c r="G19" s="104">
        <v>32.256267409499998</v>
      </c>
      <c r="H19" s="320"/>
      <c r="I19" s="101">
        <v>511</v>
      </c>
      <c r="J19" s="104">
        <v>28.467966573799998</v>
      </c>
      <c r="K19" s="50"/>
      <c r="L19" s="101">
        <v>324</v>
      </c>
      <c r="M19" s="104">
        <v>18.050139275799999</v>
      </c>
      <c r="N19" s="320"/>
      <c r="O19" s="101">
        <v>196</v>
      </c>
      <c r="P19" s="104">
        <v>10.9192200557</v>
      </c>
      <c r="Q19" s="320"/>
      <c r="R19" s="101">
        <v>170</v>
      </c>
      <c r="S19" s="104">
        <v>9.4707520890999994</v>
      </c>
      <c r="T19" s="52"/>
      <c r="U19" s="101">
        <v>15</v>
      </c>
      <c r="V19" s="104">
        <v>0.83565459610000004</v>
      </c>
    </row>
    <row r="20" spans="1:22" ht="12.75" customHeight="1" x14ac:dyDescent="0.2">
      <c r="B20" s="13" t="s">
        <v>33</v>
      </c>
      <c r="C20" s="319"/>
      <c r="D20" s="101">
        <v>1721</v>
      </c>
      <c r="E20" s="320"/>
      <c r="F20" s="101">
        <v>256</v>
      </c>
      <c r="G20" s="104">
        <v>14.8750726322</v>
      </c>
      <c r="H20" s="320"/>
      <c r="I20" s="101">
        <v>400</v>
      </c>
      <c r="J20" s="104">
        <v>23.2423009878</v>
      </c>
      <c r="K20" s="50"/>
      <c r="L20" s="101">
        <v>434</v>
      </c>
      <c r="M20" s="104">
        <v>25.217896571800001</v>
      </c>
      <c r="N20" s="320"/>
      <c r="O20" s="101">
        <v>270</v>
      </c>
      <c r="P20" s="104">
        <v>15.6885531668</v>
      </c>
      <c r="Q20" s="320"/>
      <c r="R20" s="101">
        <v>237</v>
      </c>
      <c r="S20" s="104">
        <v>13.771063335299999</v>
      </c>
      <c r="T20" s="52"/>
      <c r="U20" s="101">
        <v>124</v>
      </c>
      <c r="V20" s="104">
        <v>7.2051133062000003</v>
      </c>
    </row>
    <row r="21" spans="1:22" ht="12.75" customHeight="1" x14ac:dyDescent="0.2">
      <c r="B21" s="13" t="s">
        <v>34</v>
      </c>
      <c r="C21" s="319"/>
      <c r="D21" s="101">
        <v>1667</v>
      </c>
      <c r="E21" s="320"/>
      <c r="F21" s="101">
        <v>381</v>
      </c>
      <c r="G21" s="104">
        <v>22.855428914200001</v>
      </c>
      <c r="H21" s="320"/>
      <c r="I21" s="101">
        <v>546</v>
      </c>
      <c r="J21" s="104">
        <v>32.753449310100002</v>
      </c>
      <c r="K21" s="50"/>
      <c r="L21" s="101">
        <v>283</v>
      </c>
      <c r="M21" s="104">
        <v>16.976604679099999</v>
      </c>
      <c r="N21" s="320"/>
      <c r="O21" s="101">
        <v>183</v>
      </c>
      <c r="P21" s="104">
        <v>10.9778044391</v>
      </c>
      <c r="Q21" s="320"/>
      <c r="R21" s="101">
        <v>181</v>
      </c>
      <c r="S21" s="104">
        <v>10.8578284343</v>
      </c>
      <c r="T21" s="52"/>
      <c r="U21" s="101">
        <v>93</v>
      </c>
      <c r="V21" s="104">
        <v>5.5788842232000002</v>
      </c>
    </row>
    <row r="22" spans="1:22" ht="12.75" customHeight="1" x14ac:dyDescent="0.2">
      <c r="B22" s="13" t="s">
        <v>35</v>
      </c>
      <c r="C22" s="319"/>
      <c r="D22" s="101">
        <v>1688</v>
      </c>
      <c r="E22" s="320"/>
      <c r="F22" s="101">
        <v>159</v>
      </c>
      <c r="G22" s="104">
        <v>9.4194312795999995</v>
      </c>
      <c r="H22" s="320"/>
      <c r="I22" s="101">
        <v>357</v>
      </c>
      <c r="J22" s="104">
        <v>21.149289099499999</v>
      </c>
      <c r="K22" s="50"/>
      <c r="L22" s="101">
        <v>434</v>
      </c>
      <c r="M22" s="104">
        <v>25.710900473900001</v>
      </c>
      <c r="N22" s="320"/>
      <c r="O22" s="101">
        <v>289</v>
      </c>
      <c r="P22" s="104">
        <v>17.1208530806</v>
      </c>
      <c r="Q22" s="320"/>
      <c r="R22" s="101">
        <v>327</v>
      </c>
      <c r="S22" s="104">
        <v>19.372037914700002</v>
      </c>
      <c r="T22" s="52"/>
      <c r="U22" s="101">
        <v>122</v>
      </c>
      <c r="V22" s="104">
        <v>7.2274881517000003</v>
      </c>
    </row>
    <row r="23" spans="1:22" ht="12.75" customHeight="1" x14ac:dyDescent="0.2">
      <c r="B23" s="13" t="s">
        <v>36</v>
      </c>
      <c r="C23" s="319"/>
      <c r="D23" s="101">
        <v>1780</v>
      </c>
      <c r="E23" s="320"/>
      <c r="F23" s="101">
        <v>186</v>
      </c>
      <c r="G23" s="104">
        <v>10.4494382022</v>
      </c>
      <c r="H23" s="320"/>
      <c r="I23" s="101">
        <v>395</v>
      </c>
      <c r="J23" s="104">
        <v>22.191011236000001</v>
      </c>
      <c r="K23" s="50"/>
      <c r="L23" s="101">
        <v>438</v>
      </c>
      <c r="M23" s="104">
        <v>24.606741573000001</v>
      </c>
      <c r="N23" s="320"/>
      <c r="O23" s="101">
        <v>317</v>
      </c>
      <c r="P23" s="104">
        <v>17.808988763999999</v>
      </c>
      <c r="Q23" s="320"/>
      <c r="R23" s="101">
        <v>392</v>
      </c>
      <c r="S23" s="104">
        <v>22.022471910099998</v>
      </c>
      <c r="T23" s="52"/>
      <c r="U23" s="101">
        <v>52</v>
      </c>
      <c r="V23" s="104">
        <v>2.9213483145999999</v>
      </c>
    </row>
    <row r="24" spans="1:22" ht="12.75" customHeight="1" x14ac:dyDescent="0.2">
      <c r="B24" s="13" t="s">
        <v>37</v>
      </c>
      <c r="C24" s="319"/>
      <c r="D24" s="101">
        <v>1688</v>
      </c>
      <c r="E24" s="320"/>
      <c r="F24" s="101">
        <v>408</v>
      </c>
      <c r="G24" s="104">
        <v>24.1706161137</v>
      </c>
      <c r="H24" s="320"/>
      <c r="I24" s="101">
        <v>460</v>
      </c>
      <c r="J24" s="104">
        <v>27.251184834099998</v>
      </c>
      <c r="K24" s="50"/>
      <c r="L24" s="101">
        <v>379</v>
      </c>
      <c r="M24" s="104">
        <v>22.4526066351</v>
      </c>
      <c r="N24" s="320"/>
      <c r="O24" s="101">
        <v>224</v>
      </c>
      <c r="P24" s="104">
        <v>13.270142180100001</v>
      </c>
      <c r="Q24" s="320"/>
      <c r="R24" s="101">
        <v>142</v>
      </c>
      <c r="S24" s="104">
        <v>8.4123222748999993</v>
      </c>
      <c r="T24" s="52"/>
      <c r="U24" s="101">
        <v>75</v>
      </c>
      <c r="V24" s="104">
        <v>4.4431279621000002</v>
      </c>
    </row>
    <row r="25" spans="1:22" ht="12.75" customHeight="1" x14ac:dyDescent="0.2">
      <c r="B25" s="13" t="s">
        <v>38</v>
      </c>
      <c r="C25" s="319"/>
      <c r="D25" s="101">
        <v>1700</v>
      </c>
      <c r="E25" s="320"/>
      <c r="F25" s="101">
        <v>383</v>
      </c>
      <c r="G25" s="104">
        <v>22.529411764700001</v>
      </c>
      <c r="H25" s="320"/>
      <c r="I25" s="101">
        <v>432</v>
      </c>
      <c r="J25" s="104">
        <v>25.411764705900001</v>
      </c>
      <c r="K25" s="50"/>
      <c r="L25" s="101">
        <v>372</v>
      </c>
      <c r="M25" s="104">
        <v>21.882352941200001</v>
      </c>
      <c r="N25" s="320"/>
      <c r="O25" s="101">
        <v>231</v>
      </c>
      <c r="P25" s="104">
        <v>13.5882352941</v>
      </c>
      <c r="Q25" s="320"/>
      <c r="R25" s="101">
        <v>231</v>
      </c>
      <c r="S25" s="104">
        <v>13.5882352941</v>
      </c>
      <c r="T25" s="52"/>
      <c r="U25" s="101">
        <v>51</v>
      </c>
      <c r="V25" s="104">
        <v>3</v>
      </c>
    </row>
    <row r="26" spans="1:22" ht="12.75" customHeight="1" x14ac:dyDescent="0.2">
      <c r="B26" s="13" t="s">
        <v>39</v>
      </c>
      <c r="C26" s="319"/>
      <c r="D26" s="101">
        <v>1697</v>
      </c>
      <c r="E26" s="320"/>
      <c r="F26" s="101">
        <v>203</v>
      </c>
      <c r="G26" s="104">
        <v>11.962286387700001</v>
      </c>
      <c r="H26" s="320"/>
      <c r="I26" s="101">
        <v>532</v>
      </c>
      <c r="J26" s="104">
        <v>31.349440188599999</v>
      </c>
      <c r="K26" s="50"/>
      <c r="L26" s="101">
        <v>354</v>
      </c>
      <c r="M26" s="104">
        <v>20.860341779599999</v>
      </c>
      <c r="N26" s="320"/>
      <c r="O26" s="101">
        <v>306</v>
      </c>
      <c r="P26" s="104">
        <v>18.031820860300002</v>
      </c>
      <c r="Q26" s="320"/>
      <c r="R26" s="101">
        <v>277</v>
      </c>
      <c r="S26" s="104">
        <v>16.322922804899999</v>
      </c>
      <c r="T26" s="52"/>
      <c r="U26" s="101">
        <v>25</v>
      </c>
      <c r="V26" s="104">
        <v>1.4731879788</v>
      </c>
    </row>
    <row r="27" spans="1:22" ht="12.75" customHeight="1" x14ac:dyDescent="0.2">
      <c r="B27" s="13" t="s">
        <v>40</v>
      </c>
      <c r="C27" s="319"/>
      <c r="D27" s="101">
        <v>1730</v>
      </c>
      <c r="E27" s="320"/>
      <c r="F27" s="101">
        <v>340</v>
      </c>
      <c r="G27" s="104">
        <v>19.6531791908</v>
      </c>
      <c r="H27" s="320"/>
      <c r="I27" s="101">
        <v>420</v>
      </c>
      <c r="J27" s="104">
        <v>24.277456647400001</v>
      </c>
      <c r="K27" s="50"/>
      <c r="L27" s="101">
        <v>392</v>
      </c>
      <c r="M27" s="104">
        <v>22.658959537600001</v>
      </c>
      <c r="N27" s="320"/>
      <c r="O27" s="101">
        <v>217</v>
      </c>
      <c r="P27" s="104">
        <v>12.543352601200001</v>
      </c>
      <c r="Q27" s="320"/>
      <c r="R27" s="101">
        <v>252</v>
      </c>
      <c r="S27" s="104">
        <v>14.5664739884</v>
      </c>
      <c r="T27" s="52"/>
      <c r="U27" s="101">
        <v>109</v>
      </c>
      <c r="V27" s="104">
        <v>6.3005780347</v>
      </c>
    </row>
    <row r="28" spans="1:22" ht="12.75" customHeight="1" x14ac:dyDescent="0.2">
      <c r="B28" s="13" t="s">
        <v>41</v>
      </c>
      <c r="C28" s="319"/>
      <c r="D28" s="101">
        <v>1812</v>
      </c>
      <c r="E28" s="320"/>
      <c r="F28" s="101">
        <v>268</v>
      </c>
      <c r="G28" s="104">
        <v>14.790286975700001</v>
      </c>
      <c r="H28" s="320"/>
      <c r="I28" s="101">
        <v>426</v>
      </c>
      <c r="J28" s="104">
        <v>23.5099337748</v>
      </c>
      <c r="K28" s="50"/>
      <c r="L28" s="101">
        <v>323</v>
      </c>
      <c r="M28" s="104">
        <v>17.825607064</v>
      </c>
      <c r="N28" s="320"/>
      <c r="O28" s="101">
        <v>327</v>
      </c>
      <c r="P28" s="104">
        <v>18.0463576159</v>
      </c>
      <c r="Q28" s="320"/>
      <c r="R28" s="101">
        <v>427</v>
      </c>
      <c r="S28" s="104">
        <v>23.5651214128</v>
      </c>
      <c r="T28" s="52"/>
      <c r="U28" s="101">
        <v>41</v>
      </c>
      <c r="V28" s="104">
        <v>2.2626931567000002</v>
      </c>
    </row>
    <row r="29" spans="1:22" ht="12.75" customHeight="1" x14ac:dyDescent="0.2">
      <c r="B29" s="13" t="s">
        <v>42</v>
      </c>
      <c r="C29" s="319"/>
      <c r="D29" s="101">
        <v>1693</v>
      </c>
      <c r="E29" s="320"/>
      <c r="F29" s="101">
        <v>326</v>
      </c>
      <c r="G29" s="104">
        <v>19.2557590077</v>
      </c>
      <c r="H29" s="320"/>
      <c r="I29" s="101">
        <v>518</v>
      </c>
      <c r="J29" s="104">
        <v>30.5965741288</v>
      </c>
      <c r="K29" s="50"/>
      <c r="L29" s="101">
        <v>428</v>
      </c>
      <c r="M29" s="104">
        <v>25.280567040800001</v>
      </c>
      <c r="N29" s="320"/>
      <c r="O29" s="101">
        <v>203</v>
      </c>
      <c r="P29" s="104">
        <v>11.9905493207</v>
      </c>
      <c r="Q29" s="320"/>
      <c r="R29" s="101">
        <v>150</v>
      </c>
      <c r="S29" s="104">
        <v>8.8600118132999999</v>
      </c>
      <c r="T29" s="52"/>
      <c r="U29" s="101">
        <v>68</v>
      </c>
      <c r="V29" s="104">
        <v>4.0165386886999999</v>
      </c>
    </row>
    <row r="30" spans="1:22" ht="12.75" customHeight="1" x14ac:dyDescent="0.2">
      <c r="B30" s="13" t="s">
        <v>43</v>
      </c>
      <c r="C30" s="319"/>
      <c r="D30" s="101">
        <v>1751</v>
      </c>
      <c r="E30" s="320"/>
      <c r="F30" s="101">
        <v>263</v>
      </c>
      <c r="G30" s="104">
        <v>15.019988578</v>
      </c>
      <c r="H30" s="320"/>
      <c r="I30" s="101">
        <v>422</v>
      </c>
      <c r="J30" s="104">
        <v>24.100513992</v>
      </c>
      <c r="K30" s="50"/>
      <c r="L30" s="101">
        <v>416</v>
      </c>
      <c r="M30" s="104">
        <v>23.757852655600001</v>
      </c>
      <c r="N30" s="320"/>
      <c r="O30" s="101">
        <v>319</v>
      </c>
      <c r="P30" s="104">
        <v>18.218161050799999</v>
      </c>
      <c r="Q30" s="320"/>
      <c r="R30" s="101">
        <v>279</v>
      </c>
      <c r="S30" s="104">
        <v>15.933752141599999</v>
      </c>
      <c r="T30" s="52"/>
      <c r="U30" s="101">
        <v>52</v>
      </c>
      <c r="V30" s="104">
        <v>2.9697315820000001</v>
      </c>
    </row>
    <row r="31" spans="1:22" ht="12.75" customHeight="1" x14ac:dyDescent="0.2">
      <c r="B31" s="13" t="s">
        <v>44</v>
      </c>
      <c r="C31" s="319"/>
      <c r="D31" s="101">
        <v>1728</v>
      </c>
      <c r="E31" s="320"/>
      <c r="F31" s="101">
        <v>169</v>
      </c>
      <c r="G31" s="104">
        <v>9.7800925926000009</v>
      </c>
      <c r="H31" s="320"/>
      <c r="I31" s="101">
        <v>405</v>
      </c>
      <c r="J31" s="104">
        <v>23.4375</v>
      </c>
      <c r="K31" s="50"/>
      <c r="L31" s="101">
        <v>462</v>
      </c>
      <c r="M31" s="104">
        <v>26.736111111100001</v>
      </c>
      <c r="N31" s="320"/>
      <c r="O31" s="101">
        <v>367</v>
      </c>
      <c r="P31" s="104">
        <v>21.2384259259</v>
      </c>
      <c r="Q31" s="320"/>
      <c r="R31" s="101">
        <v>303</v>
      </c>
      <c r="S31" s="104">
        <v>17.534722222199999</v>
      </c>
      <c r="T31" s="52"/>
      <c r="U31" s="101">
        <v>22</v>
      </c>
      <c r="V31" s="104">
        <v>1.2731481481</v>
      </c>
    </row>
    <row r="32" spans="1:22" ht="12.75" customHeight="1" x14ac:dyDescent="0.2">
      <c r="B32" s="13" t="s">
        <v>45</v>
      </c>
      <c r="C32" s="319"/>
      <c r="D32" s="101">
        <v>1733</v>
      </c>
      <c r="E32" s="320"/>
      <c r="F32" s="101">
        <v>368</v>
      </c>
      <c r="G32" s="104">
        <v>21.234852856300002</v>
      </c>
      <c r="H32" s="320"/>
      <c r="I32" s="101">
        <v>492</v>
      </c>
      <c r="J32" s="104">
        <v>28.390075014400001</v>
      </c>
      <c r="K32" s="50"/>
      <c r="L32" s="101">
        <v>381</v>
      </c>
      <c r="M32" s="104">
        <v>21.984997114799999</v>
      </c>
      <c r="N32" s="320"/>
      <c r="O32" s="101">
        <v>246</v>
      </c>
      <c r="P32" s="104">
        <v>14.1950375072</v>
      </c>
      <c r="Q32" s="320"/>
      <c r="R32" s="101">
        <v>220</v>
      </c>
      <c r="S32" s="104">
        <v>12.694748990200001</v>
      </c>
      <c r="T32" s="52"/>
      <c r="U32" s="101">
        <v>26</v>
      </c>
      <c r="V32" s="104">
        <v>1.500288517</v>
      </c>
    </row>
    <row r="33" spans="2:22" ht="12.75" customHeight="1" x14ac:dyDescent="0.2">
      <c r="B33" s="13" t="s">
        <v>46</v>
      </c>
      <c r="C33" s="319"/>
      <c r="D33" s="101">
        <v>1740</v>
      </c>
      <c r="E33" s="320"/>
      <c r="F33" s="101">
        <v>431</v>
      </c>
      <c r="G33" s="104">
        <v>24.770114942500001</v>
      </c>
      <c r="H33" s="320"/>
      <c r="I33" s="101">
        <v>484</v>
      </c>
      <c r="J33" s="104">
        <v>27.816091954000001</v>
      </c>
      <c r="K33" s="50"/>
      <c r="L33" s="101">
        <v>341</v>
      </c>
      <c r="M33" s="104">
        <v>19.597701149399999</v>
      </c>
      <c r="N33" s="320"/>
      <c r="O33" s="101">
        <v>242</v>
      </c>
      <c r="P33" s="104">
        <v>13.908045977</v>
      </c>
      <c r="Q33" s="320"/>
      <c r="R33" s="101">
        <v>213</v>
      </c>
      <c r="S33" s="104">
        <v>12.241379310299999</v>
      </c>
      <c r="T33" s="52"/>
      <c r="U33" s="101">
        <v>29</v>
      </c>
      <c r="V33" s="104">
        <v>1.6666666667000001</v>
      </c>
    </row>
    <row r="34" spans="2:22" ht="12.75" customHeight="1" x14ac:dyDescent="0.2">
      <c r="B34" s="13" t="s">
        <v>47</v>
      </c>
      <c r="C34" s="319"/>
      <c r="D34" s="101">
        <v>1706</v>
      </c>
      <c r="E34" s="320"/>
      <c r="F34" s="101">
        <v>235</v>
      </c>
      <c r="G34" s="104">
        <v>13.774912075</v>
      </c>
      <c r="H34" s="320"/>
      <c r="I34" s="101">
        <v>426</v>
      </c>
      <c r="J34" s="104">
        <v>24.970691676400001</v>
      </c>
      <c r="K34" s="50"/>
      <c r="L34" s="101">
        <v>424</v>
      </c>
      <c r="M34" s="104">
        <v>24.853458382199999</v>
      </c>
      <c r="N34" s="320"/>
      <c r="O34" s="101">
        <v>286</v>
      </c>
      <c r="P34" s="104">
        <v>16.764361078499999</v>
      </c>
      <c r="Q34" s="320"/>
      <c r="R34" s="101">
        <v>301</v>
      </c>
      <c r="S34" s="104">
        <v>17.643610785500002</v>
      </c>
      <c r="T34" s="52"/>
      <c r="U34" s="101">
        <v>34</v>
      </c>
      <c r="V34" s="104">
        <v>1.9929660023</v>
      </c>
    </row>
    <row r="35" spans="2:22" ht="12.75" customHeight="1" x14ac:dyDescent="0.2">
      <c r="B35" s="13" t="s">
        <v>48</v>
      </c>
      <c r="C35" s="319"/>
      <c r="D35" s="101">
        <v>1664</v>
      </c>
      <c r="E35" s="320"/>
      <c r="F35" s="101">
        <v>500</v>
      </c>
      <c r="G35" s="104">
        <v>30.048076923099998</v>
      </c>
      <c r="H35" s="320"/>
      <c r="I35" s="101">
        <v>416</v>
      </c>
      <c r="J35" s="104">
        <v>25</v>
      </c>
      <c r="K35" s="50"/>
      <c r="L35" s="101">
        <v>309</v>
      </c>
      <c r="M35" s="104">
        <v>18.569711538499998</v>
      </c>
      <c r="N35" s="320"/>
      <c r="O35" s="101">
        <v>179</v>
      </c>
      <c r="P35" s="104">
        <v>10.7572115385</v>
      </c>
      <c r="Q35" s="320"/>
      <c r="R35" s="101">
        <v>162</v>
      </c>
      <c r="S35" s="104">
        <v>9.7355769231</v>
      </c>
      <c r="T35" s="54"/>
      <c r="U35" s="101">
        <v>98</v>
      </c>
      <c r="V35" s="104">
        <v>5.8894230769</v>
      </c>
    </row>
    <row r="36" spans="2:22" ht="12.75" customHeight="1" x14ac:dyDescent="0.2">
      <c r="B36" s="13" t="s">
        <v>49</v>
      </c>
      <c r="C36" s="319"/>
      <c r="D36" s="101">
        <v>1734</v>
      </c>
      <c r="E36" s="320"/>
      <c r="F36" s="101">
        <v>197</v>
      </c>
      <c r="G36" s="104">
        <v>11.3610149942</v>
      </c>
      <c r="H36" s="320"/>
      <c r="I36" s="101">
        <v>439</v>
      </c>
      <c r="J36" s="104">
        <v>25.317185697799999</v>
      </c>
      <c r="K36" s="50"/>
      <c r="L36" s="101">
        <v>487</v>
      </c>
      <c r="M36" s="104">
        <v>28.085351787800001</v>
      </c>
      <c r="N36" s="320"/>
      <c r="O36" s="101">
        <v>272</v>
      </c>
      <c r="P36" s="104">
        <v>15.6862745098</v>
      </c>
      <c r="Q36" s="320"/>
      <c r="R36" s="101">
        <v>309</v>
      </c>
      <c r="S36" s="104">
        <v>17.820069204199999</v>
      </c>
      <c r="T36" s="52"/>
      <c r="U36" s="101">
        <v>30</v>
      </c>
      <c r="V36" s="104">
        <v>1.7301038062</v>
      </c>
    </row>
    <row r="37" spans="2:22" ht="12.75" customHeight="1" x14ac:dyDescent="0.2">
      <c r="B37" s="13" t="s">
        <v>50</v>
      </c>
      <c r="C37" s="319"/>
      <c r="D37" s="101">
        <v>1770</v>
      </c>
      <c r="E37" s="320"/>
      <c r="F37" s="101">
        <v>236</v>
      </c>
      <c r="G37" s="104">
        <v>13.333333333300001</v>
      </c>
      <c r="H37" s="320"/>
      <c r="I37" s="101">
        <v>450</v>
      </c>
      <c r="J37" s="104">
        <v>25.4237288136</v>
      </c>
      <c r="K37" s="50"/>
      <c r="L37" s="101">
        <v>435</v>
      </c>
      <c r="M37" s="104">
        <v>24.5762711864</v>
      </c>
      <c r="N37" s="320"/>
      <c r="O37" s="101">
        <v>349</v>
      </c>
      <c r="P37" s="104">
        <v>19.717514124299999</v>
      </c>
      <c r="Q37" s="320"/>
      <c r="R37" s="101">
        <v>269</v>
      </c>
      <c r="S37" s="104">
        <v>15.197740113</v>
      </c>
      <c r="T37" s="52"/>
      <c r="U37" s="101">
        <v>31</v>
      </c>
      <c r="V37" s="104">
        <v>1.7514124294</v>
      </c>
    </row>
    <row r="38" spans="2:22" ht="12.75" customHeight="1" x14ac:dyDescent="0.2">
      <c r="B38" s="13" t="s">
        <v>51</v>
      </c>
      <c r="C38" s="319"/>
      <c r="D38" s="101">
        <v>1778</v>
      </c>
      <c r="E38" s="320"/>
      <c r="F38" s="101">
        <v>306</v>
      </c>
      <c r="G38" s="104">
        <v>17.210348706400001</v>
      </c>
      <c r="H38" s="320"/>
      <c r="I38" s="101">
        <v>483</v>
      </c>
      <c r="J38" s="104">
        <v>27.165354330700001</v>
      </c>
      <c r="K38" s="50"/>
      <c r="L38" s="101">
        <v>362</v>
      </c>
      <c r="M38" s="104">
        <v>20.3599550056</v>
      </c>
      <c r="N38" s="320"/>
      <c r="O38" s="101">
        <v>303</v>
      </c>
      <c r="P38" s="104">
        <v>17.041619797500001</v>
      </c>
      <c r="Q38" s="52"/>
      <c r="R38" s="101">
        <v>312</v>
      </c>
      <c r="S38" s="104">
        <v>17.547806524199999</v>
      </c>
      <c r="T38" s="52"/>
      <c r="U38" s="101">
        <v>12</v>
      </c>
      <c r="V38" s="104">
        <v>0.6749156355</v>
      </c>
    </row>
    <row r="39" spans="2:22" ht="12.75" customHeight="1" x14ac:dyDescent="0.2">
      <c r="B39" s="13" t="s">
        <v>52</v>
      </c>
      <c r="C39" s="319"/>
      <c r="D39" s="101">
        <v>1739</v>
      </c>
      <c r="E39" s="320"/>
      <c r="F39" s="101">
        <v>392</v>
      </c>
      <c r="G39" s="104">
        <v>22.541690626800001</v>
      </c>
      <c r="H39" s="320"/>
      <c r="I39" s="101">
        <v>530</v>
      </c>
      <c r="J39" s="104">
        <v>30.4772857964</v>
      </c>
      <c r="K39" s="50"/>
      <c r="L39" s="101">
        <v>357</v>
      </c>
      <c r="M39" s="104">
        <v>20.529039678</v>
      </c>
      <c r="N39" s="320"/>
      <c r="O39" s="101">
        <v>247</v>
      </c>
      <c r="P39" s="104">
        <v>14.2035652674</v>
      </c>
      <c r="Q39" s="320"/>
      <c r="R39" s="101">
        <v>191</v>
      </c>
      <c r="S39" s="104">
        <v>10.9833237493</v>
      </c>
      <c r="T39" s="52"/>
      <c r="U39" s="101">
        <v>22</v>
      </c>
      <c r="V39" s="104">
        <v>1.2650948821000001</v>
      </c>
    </row>
    <row r="40" spans="2:22" ht="12.75" customHeight="1" x14ac:dyDescent="0.2">
      <c r="B40" s="13" t="s">
        <v>53</v>
      </c>
      <c r="C40" s="319"/>
      <c r="D40" s="101">
        <v>1649</v>
      </c>
      <c r="E40" s="320"/>
      <c r="F40" s="101">
        <v>319</v>
      </c>
      <c r="G40" s="104">
        <v>19.3450576107</v>
      </c>
      <c r="H40" s="320"/>
      <c r="I40" s="101">
        <v>455</v>
      </c>
      <c r="J40" s="104">
        <v>27.592480291099999</v>
      </c>
      <c r="K40" s="50"/>
      <c r="L40" s="101">
        <v>391</v>
      </c>
      <c r="M40" s="104">
        <v>23.711340206199999</v>
      </c>
      <c r="N40" s="320"/>
      <c r="O40" s="101">
        <v>228</v>
      </c>
      <c r="P40" s="104">
        <v>13.826561552499999</v>
      </c>
      <c r="Q40" s="320"/>
      <c r="R40" s="101">
        <v>221</v>
      </c>
      <c r="S40" s="104">
        <v>13.4020618557</v>
      </c>
      <c r="T40" s="52"/>
      <c r="U40" s="101">
        <v>35</v>
      </c>
      <c r="V40" s="104">
        <v>2.1224984838999998</v>
      </c>
    </row>
    <row r="41" spans="2:22" ht="12.75" customHeight="1" x14ac:dyDescent="0.2">
      <c r="B41" s="13" t="s">
        <v>54</v>
      </c>
      <c r="C41" s="319"/>
      <c r="D41" s="101">
        <v>1784</v>
      </c>
      <c r="E41" s="320"/>
      <c r="F41" s="101">
        <v>318</v>
      </c>
      <c r="G41" s="104">
        <v>17.825112107599999</v>
      </c>
      <c r="H41" s="320"/>
      <c r="I41" s="101">
        <v>402</v>
      </c>
      <c r="J41" s="104">
        <v>22.533632287</v>
      </c>
      <c r="K41" s="50"/>
      <c r="L41" s="101">
        <v>420</v>
      </c>
      <c r="M41" s="104">
        <v>23.542600896900002</v>
      </c>
      <c r="N41" s="320"/>
      <c r="O41" s="101">
        <v>268</v>
      </c>
      <c r="P41" s="104">
        <v>15.0224215247</v>
      </c>
      <c r="Q41" s="320"/>
      <c r="R41" s="101">
        <v>366</v>
      </c>
      <c r="S41" s="104">
        <v>20.515695067300001</v>
      </c>
      <c r="T41" s="52"/>
      <c r="U41" s="101">
        <v>10</v>
      </c>
      <c r="V41" s="104">
        <v>0.56053811659999997</v>
      </c>
    </row>
    <row r="42" spans="2:22" ht="12.75" customHeight="1" x14ac:dyDescent="0.2">
      <c r="B42" s="13" t="s">
        <v>55</v>
      </c>
      <c r="C42" s="319"/>
      <c r="D42" s="101">
        <v>1714</v>
      </c>
      <c r="E42" s="320"/>
      <c r="F42" s="101">
        <v>500</v>
      </c>
      <c r="G42" s="104">
        <v>29.171528588099999</v>
      </c>
      <c r="H42" s="320"/>
      <c r="I42" s="101">
        <v>483</v>
      </c>
      <c r="J42" s="104">
        <v>28.179696616099999</v>
      </c>
      <c r="K42" s="50"/>
      <c r="L42" s="101">
        <v>304</v>
      </c>
      <c r="M42" s="104">
        <v>17.736289381599999</v>
      </c>
      <c r="N42" s="320"/>
      <c r="O42" s="101">
        <v>244</v>
      </c>
      <c r="P42" s="104">
        <v>14.235705951</v>
      </c>
      <c r="Q42" s="320"/>
      <c r="R42" s="101">
        <v>169</v>
      </c>
      <c r="S42" s="104">
        <v>9.8599766627999994</v>
      </c>
      <c r="T42" s="52"/>
      <c r="U42" s="101">
        <v>14</v>
      </c>
      <c r="V42" s="104">
        <v>0.81680280049999998</v>
      </c>
    </row>
    <row r="43" spans="2:22" ht="12.75" customHeight="1" x14ac:dyDescent="0.2">
      <c r="B43" s="13" t="s">
        <v>56</v>
      </c>
      <c r="C43" s="319"/>
      <c r="D43" s="101">
        <v>1745</v>
      </c>
      <c r="E43" s="320"/>
      <c r="F43" s="101">
        <v>367</v>
      </c>
      <c r="G43" s="104">
        <v>21.0315186246</v>
      </c>
      <c r="H43" s="320"/>
      <c r="I43" s="101">
        <v>502</v>
      </c>
      <c r="J43" s="104">
        <v>28.767908309500001</v>
      </c>
      <c r="K43" s="50"/>
      <c r="L43" s="101">
        <v>297</v>
      </c>
      <c r="M43" s="104">
        <v>17.020057306599998</v>
      </c>
      <c r="N43" s="320"/>
      <c r="O43" s="101">
        <v>246</v>
      </c>
      <c r="P43" s="104">
        <v>14.0974212034</v>
      </c>
      <c r="Q43" s="320"/>
      <c r="R43" s="101">
        <v>250</v>
      </c>
      <c r="S43" s="104">
        <v>14.3266475645</v>
      </c>
      <c r="T43" s="52"/>
      <c r="U43" s="101">
        <v>83</v>
      </c>
      <c r="V43" s="104">
        <v>4.7564469913999998</v>
      </c>
    </row>
    <row r="44" spans="2:22" ht="12.75" customHeight="1" x14ac:dyDescent="0.2">
      <c r="B44" s="13" t="s">
        <v>57</v>
      </c>
      <c r="C44" s="319"/>
      <c r="D44" s="101">
        <v>1696</v>
      </c>
      <c r="E44" s="320"/>
      <c r="F44" s="101">
        <v>159</v>
      </c>
      <c r="G44" s="104">
        <v>9.375</v>
      </c>
      <c r="H44" s="320"/>
      <c r="I44" s="101">
        <v>309</v>
      </c>
      <c r="J44" s="104">
        <v>18.2193396226</v>
      </c>
      <c r="K44" s="50"/>
      <c r="L44" s="101">
        <v>376</v>
      </c>
      <c r="M44" s="104">
        <v>22.169811320800001</v>
      </c>
      <c r="N44" s="320"/>
      <c r="O44" s="101">
        <v>340</v>
      </c>
      <c r="P44" s="104">
        <v>20.047169811300002</v>
      </c>
      <c r="Q44" s="320"/>
      <c r="R44" s="101">
        <v>479</v>
      </c>
      <c r="S44" s="104">
        <v>28.242924528300001</v>
      </c>
      <c r="T44" s="52"/>
      <c r="U44" s="101">
        <v>33</v>
      </c>
      <c r="V44" s="104">
        <v>1.945754717</v>
      </c>
    </row>
    <row r="45" spans="2:22" ht="6" customHeight="1" x14ac:dyDescent="0.2">
      <c r="B45" s="14"/>
      <c r="C45" s="14"/>
      <c r="D45" s="4"/>
      <c r="E45" s="321"/>
      <c r="F45" s="4"/>
      <c r="G45" s="322"/>
      <c r="H45" s="322"/>
      <c r="I45" s="4"/>
      <c r="J45" s="322"/>
      <c r="K45" s="323"/>
      <c r="L45" s="4"/>
      <c r="M45" s="322"/>
      <c r="N45" s="324"/>
      <c r="O45" s="4"/>
      <c r="P45" s="322"/>
      <c r="Q45" s="322"/>
      <c r="R45" s="322"/>
      <c r="S45" s="322"/>
      <c r="T45" s="322"/>
      <c r="U45" s="322"/>
      <c r="V45" s="322"/>
    </row>
    <row r="46" spans="2:22" ht="6" customHeight="1" x14ac:dyDescent="0.2">
      <c r="B46" s="325"/>
      <c r="C46" s="326"/>
      <c r="D46" s="326"/>
      <c r="E46" s="326"/>
      <c r="F46" s="326"/>
      <c r="G46" s="327"/>
      <c r="H46" s="327"/>
      <c r="I46" s="327"/>
      <c r="J46" s="328"/>
      <c r="K46" s="328"/>
      <c r="L46" s="327"/>
      <c r="M46" s="328"/>
      <c r="N46" s="328"/>
      <c r="O46" s="325"/>
      <c r="P46" s="329"/>
      <c r="S46" s="1"/>
    </row>
    <row r="47" spans="2:22" s="89" customFormat="1" ht="11.25" customHeight="1" x14ac:dyDescent="0.2">
      <c r="B47" s="24" t="s">
        <v>9</v>
      </c>
    </row>
    <row r="48" spans="2:22" ht="12.75" customHeight="1" x14ac:dyDescent="0.2">
      <c r="S48" s="1"/>
    </row>
    <row r="49" spans="19:19" ht="12.75" customHeight="1" x14ac:dyDescent="0.2">
      <c r="S49" s="1"/>
    </row>
    <row r="50" spans="19:19" ht="12.75" customHeight="1" x14ac:dyDescent="0.2">
      <c r="S50" s="1"/>
    </row>
    <row r="51" spans="19:19" ht="12.75" customHeight="1" x14ac:dyDescent="0.2">
      <c r="S51" s="1"/>
    </row>
    <row r="52" spans="19:19" ht="12.75" customHeight="1" x14ac:dyDescent="0.2">
      <c r="S52" s="1"/>
    </row>
    <row r="53" spans="19:19" ht="12.75" customHeight="1" x14ac:dyDescent="0.2">
      <c r="S53" s="1"/>
    </row>
    <row r="54" spans="19:19" ht="12.75" customHeight="1" x14ac:dyDescent="0.2">
      <c r="S54" s="1"/>
    </row>
    <row r="55" spans="19:19" ht="12.75" customHeight="1" x14ac:dyDescent="0.2">
      <c r="S55" s="1"/>
    </row>
    <row r="56" spans="19:19" ht="12.75" customHeight="1" x14ac:dyDescent="0.2">
      <c r="S56" s="1"/>
    </row>
    <row r="57" spans="19:19" ht="12.75" customHeight="1" x14ac:dyDescent="0.2">
      <c r="S57" s="1"/>
    </row>
    <row r="58" spans="19:19" ht="12.75" customHeight="1" x14ac:dyDescent="0.2">
      <c r="S58" s="1"/>
    </row>
    <row r="59" spans="19:19" ht="12.75" customHeight="1" x14ac:dyDescent="0.2">
      <c r="S59" s="1"/>
    </row>
    <row r="60" spans="19:19" ht="12.75" customHeight="1" x14ac:dyDescent="0.2">
      <c r="S60" s="1"/>
    </row>
    <row r="61" spans="19:19" ht="12.75" customHeight="1" x14ac:dyDescent="0.2">
      <c r="S61" s="1"/>
    </row>
    <row r="62" spans="19:19" ht="12.75" customHeight="1" x14ac:dyDescent="0.2">
      <c r="S62" s="1"/>
    </row>
    <row r="63" spans="19:19" ht="12.75" customHeight="1" x14ac:dyDescent="0.2">
      <c r="S63" s="1"/>
    </row>
    <row r="64" spans="19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  <row r="70" spans="19:19" ht="12.75" customHeight="1" x14ac:dyDescent="0.2">
      <c r="S70" s="1"/>
    </row>
    <row r="71" spans="19:19" ht="12.75" customHeight="1" x14ac:dyDescent="0.2">
      <c r="S71" s="1"/>
    </row>
    <row r="72" spans="19:19" ht="12.75" customHeight="1" x14ac:dyDescent="0.2">
      <c r="S72" s="1"/>
    </row>
    <row r="73" spans="19:19" ht="12.75" customHeight="1" x14ac:dyDescent="0.2">
      <c r="S73" s="1"/>
    </row>
    <row r="74" spans="19:19" ht="12.75" customHeight="1" x14ac:dyDescent="0.2">
      <c r="S74" s="1"/>
    </row>
    <row r="75" spans="19:19" ht="12.75" customHeight="1" x14ac:dyDescent="0.2">
      <c r="S75" s="1"/>
    </row>
    <row r="76" spans="19:19" ht="12.75" customHeight="1" x14ac:dyDescent="0.2">
      <c r="S76" s="1"/>
    </row>
    <row r="77" spans="19:19" ht="12.75" customHeight="1" x14ac:dyDescent="0.2">
      <c r="S77" s="1"/>
    </row>
    <row r="78" spans="19:19" ht="12.75" customHeight="1" x14ac:dyDescent="0.2">
      <c r="S78" s="1"/>
    </row>
    <row r="79" spans="19:19" ht="12.75" customHeight="1" x14ac:dyDescent="0.2">
      <c r="S79" s="1"/>
    </row>
    <row r="80" spans="19:19" ht="12.75" customHeight="1" x14ac:dyDescent="0.2">
      <c r="S80" s="1"/>
    </row>
    <row r="81" spans="19:19" ht="12.75" customHeight="1" x14ac:dyDescent="0.2">
      <c r="S81" s="1"/>
    </row>
    <row r="82" spans="19:19" ht="12.75" customHeight="1" x14ac:dyDescent="0.2">
      <c r="S82" s="1"/>
    </row>
    <row r="83" spans="19:19" ht="12.75" customHeight="1" x14ac:dyDescent="0.2">
      <c r="S83" s="1"/>
    </row>
    <row r="84" spans="19:19" ht="12.75" customHeight="1" x14ac:dyDescent="0.2">
      <c r="S84" s="1"/>
    </row>
    <row r="85" spans="19:19" ht="12.75" customHeight="1" x14ac:dyDescent="0.2">
      <c r="S85" s="1"/>
    </row>
    <row r="86" spans="19:19" ht="12.75" customHeight="1" x14ac:dyDescent="0.2">
      <c r="S86" s="1"/>
    </row>
    <row r="87" spans="19:19" ht="12.75" customHeight="1" x14ac:dyDescent="0.2">
      <c r="S87" s="1"/>
    </row>
    <row r="88" spans="19:19" ht="12.75" customHeight="1" x14ac:dyDescent="0.2">
      <c r="S88" s="1"/>
    </row>
    <row r="89" spans="19:19" ht="12.75" customHeight="1" x14ac:dyDescent="0.2">
      <c r="S89" s="1"/>
    </row>
    <row r="90" spans="19:19" ht="12.75" customHeight="1" x14ac:dyDescent="0.2">
      <c r="S90" s="1"/>
    </row>
    <row r="91" spans="19:19" ht="12.75" customHeight="1" x14ac:dyDescent="0.2">
      <c r="S91" s="1"/>
    </row>
    <row r="92" spans="19:19" ht="12.75" customHeight="1" x14ac:dyDescent="0.2">
      <c r="S92" s="1"/>
    </row>
    <row r="93" spans="19:19" ht="12.75" customHeight="1" x14ac:dyDescent="0.2">
      <c r="S93" s="1"/>
    </row>
    <row r="94" spans="19:19" ht="12.75" customHeight="1" x14ac:dyDescent="0.2">
      <c r="S94" s="1"/>
    </row>
    <row r="95" spans="19:19" ht="12.75" customHeight="1" x14ac:dyDescent="0.2">
      <c r="S95" s="1"/>
    </row>
    <row r="96" spans="19:19" ht="12.75" customHeight="1" x14ac:dyDescent="0.2">
      <c r="S96" s="1"/>
    </row>
  </sheetData>
  <mergeCells count="11">
    <mergeCell ref="U8:V8"/>
    <mergeCell ref="B5:R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C7ECB304-6ABA-4F24-922C-4FE8756987FA}"/>
  </hyperlinks>
  <pageMargins left="0.70866141732283472" right="0.70866141732283472" top="0.59055118110236227" bottom="0.59055118110236227" header="0.23622047244094491" footer="0.23622047244094491"/>
  <pageSetup scale="53" orientation="landscape" r:id="rId1"/>
  <colBreaks count="1" manualBreakCount="1">
    <brk id="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F3CE-C46C-4B00-AF11-922A39A88586}">
  <dimension ref="A1:DP78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1" customWidth="1"/>
    <col min="3" max="3" width="1.7109375" customWidth="1"/>
    <col min="4" max="4" width="18.28515625" customWidth="1"/>
    <col min="5" max="5" width="1.7109375" customWidth="1"/>
    <col min="6" max="6" width="14.42578125" customWidth="1"/>
    <col min="8" max="8" width="1.7109375" customWidth="1"/>
    <col min="9" max="9" width="18" customWidth="1"/>
    <col min="11" max="11" width="1.7109375" customWidth="1"/>
    <col min="12" max="12" width="15.42578125" customWidth="1"/>
    <col min="14" max="14" width="1.7109375" customWidth="1"/>
    <col min="15" max="15" width="16.85546875" customWidth="1"/>
    <col min="17" max="17" width="1.7109375" customWidth="1"/>
    <col min="18" max="18" width="16.42578125" customWidth="1"/>
    <col min="20" max="20" width="1.7109375" customWidth="1"/>
    <col min="21" max="21" width="16.85546875" customWidth="1"/>
    <col min="23" max="120" width="11.42578125" style="3"/>
  </cols>
  <sheetData>
    <row r="1" spans="1:120" s="69" customFormat="1" ht="14.1" customHeight="1" x14ac:dyDescent="0.2">
      <c r="A1" s="66"/>
      <c r="B1" s="485" t="s">
        <v>144</v>
      </c>
      <c r="C1" s="460"/>
      <c r="D1" s="461"/>
      <c r="E1" s="461"/>
      <c r="F1" s="461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85" t="s">
        <v>118</v>
      </c>
      <c r="W1" s="68"/>
      <c r="X1" s="68"/>
      <c r="Y1" s="68"/>
      <c r="Z1" s="68"/>
      <c r="AA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</row>
    <row r="2" spans="1:120" s="69" customFormat="1" ht="6.95" customHeight="1" x14ac:dyDescent="0.2">
      <c r="A2" s="66"/>
      <c r="B2" s="485"/>
      <c r="C2" s="460"/>
      <c r="D2" s="461"/>
      <c r="E2" s="461"/>
      <c r="F2" s="461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</row>
    <row r="3" spans="1:120" s="69" customFormat="1" ht="14.1" customHeight="1" x14ac:dyDescent="0.2">
      <c r="A3" s="66"/>
      <c r="B3" s="485" t="s">
        <v>142</v>
      </c>
      <c r="C3" s="463"/>
      <c r="D3" s="463"/>
      <c r="E3" s="463"/>
      <c r="F3" s="463"/>
      <c r="G3" s="463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</row>
    <row r="4" spans="1:120" s="69" customFormat="1" ht="6.95" customHeight="1" x14ac:dyDescent="0.2">
      <c r="A4" s="66"/>
      <c r="B4" s="462"/>
      <c r="C4" s="460"/>
      <c r="D4" s="460"/>
      <c r="E4" s="460"/>
      <c r="F4" s="460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</row>
    <row r="5" spans="1:120" s="69" customFormat="1" ht="12" x14ac:dyDescent="0.2">
      <c r="A5" s="66"/>
      <c r="B5" s="580" t="s">
        <v>74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464"/>
      <c r="Q5" s="465"/>
      <c r="R5" s="70"/>
      <c r="S5" s="462"/>
      <c r="T5" s="462"/>
      <c r="U5" s="462"/>
      <c r="V5" s="75" t="s">
        <v>95</v>
      </c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</row>
    <row r="6" spans="1:120" ht="6" customHeight="1" x14ac:dyDescent="0.2">
      <c r="A6" s="66"/>
      <c r="B6" s="466"/>
      <c r="C6" s="581"/>
      <c r="D6" s="581"/>
      <c r="E6" s="581"/>
      <c r="F6" s="582"/>
      <c r="G6" s="582"/>
      <c r="H6" s="582"/>
      <c r="I6" s="582"/>
      <c r="J6" s="582"/>
      <c r="K6" s="582"/>
      <c r="L6" s="582"/>
      <c r="M6" s="583"/>
      <c r="N6" s="583"/>
      <c r="O6" s="583"/>
      <c r="P6" s="467"/>
      <c r="Q6" s="468"/>
      <c r="R6" s="468"/>
      <c r="S6" s="468"/>
      <c r="T6" s="468"/>
      <c r="U6" s="468"/>
      <c r="V6" s="468"/>
    </row>
    <row r="7" spans="1:120" ht="12.75" x14ac:dyDescent="0.2">
      <c r="A7" s="66"/>
      <c r="B7" s="536" t="s">
        <v>1</v>
      </c>
      <c r="C7" s="536"/>
      <c r="D7" s="584" t="s">
        <v>23</v>
      </c>
      <c r="E7" s="469"/>
      <c r="F7" s="579" t="s">
        <v>71</v>
      </c>
      <c r="G7" s="579"/>
      <c r="H7" s="579"/>
      <c r="I7" s="579"/>
      <c r="J7" s="579"/>
      <c r="K7" s="579"/>
      <c r="L7" s="579"/>
      <c r="M7" s="579"/>
      <c r="N7" s="579"/>
      <c r="O7" s="579"/>
      <c r="P7" s="579"/>
      <c r="Q7" s="579"/>
      <c r="R7" s="579"/>
      <c r="S7" s="579"/>
      <c r="T7" s="579"/>
      <c r="U7" s="579"/>
      <c r="V7" s="579"/>
    </row>
    <row r="8" spans="1:120" ht="18" customHeight="1" x14ac:dyDescent="0.2">
      <c r="A8" s="66"/>
      <c r="B8" s="537"/>
      <c r="C8" s="537"/>
      <c r="D8" s="585"/>
      <c r="E8" s="470"/>
      <c r="F8" s="579" t="s">
        <v>84</v>
      </c>
      <c r="G8" s="579"/>
      <c r="H8" s="469"/>
      <c r="I8" s="579" t="s">
        <v>72</v>
      </c>
      <c r="J8" s="579"/>
      <c r="K8" s="471"/>
      <c r="L8" s="579" t="s">
        <v>85</v>
      </c>
      <c r="M8" s="579"/>
      <c r="N8" s="471"/>
      <c r="O8" s="579" t="s">
        <v>86</v>
      </c>
      <c r="P8" s="579"/>
      <c r="Q8" s="472"/>
      <c r="R8" s="579" t="s">
        <v>73</v>
      </c>
      <c r="S8" s="579"/>
      <c r="T8" s="473"/>
      <c r="U8" s="579" t="s">
        <v>19</v>
      </c>
      <c r="V8" s="579"/>
    </row>
    <row r="9" spans="1:120" ht="15" x14ac:dyDescent="0.2">
      <c r="A9" s="12"/>
      <c r="B9" s="538"/>
      <c r="C9" s="538"/>
      <c r="D9" s="586"/>
      <c r="E9" s="474"/>
      <c r="F9" s="63" t="s">
        <v>13</v>
      </c>
      <c r="G9" s="63" t="s">
        <v>14</v>
      </c>
      <c r="H9" s="474"/>
      <c r="I9" s="63" t="s">
        <v>13</v>
      </c>
      <c r="J9" s="63" t="s">
        <v>14</v>
      </c>
      <c r="K9" s="475"/>
      <c r="L9" s="63" t="s">
        <v>13</v>
      </c>
      <c r="M9" s="63" t="s">
        <v>14</v>
      </c>
      <c r="N9" s="475"/>
      <c r="O9" s="63" t="s">
        <v>13</v>
      </c>
      <c r="P9" s="63" t="s">
        <v>14</v>
      </c>
      <c r="Q9" s="476"/>
      <c r="R9" s="63" t="s">
        <v>13</v>
      </c>
      <c r="S9" s="63" t="s">
        <v>14</v>
      </c>
      <c r="T9" s="476"/>
      <c r="U9" s="63" t="s">
        <v>13</v>
      </c>
      <c r="V9" s="63" t="s">
        <v>14</v>
      </c>
    </row>
    <row r="10" spans="1:120" ht="6" customHeight="1" x14ac:dyDescent="0.2">
      <c r="A10" s="67"/>
      <c r="B10" s="477"/>
      <c r="C10" s="477"/>
      <c r="D10" s="478"/>
      <c r="E10" s="478"/>
      <c r="F10" s="478"/>
      <c r="G10" s="479"/>
      <c r="H10" s="479"/>
      <c r="I10" s="480"/>
      <c r="J10" s="481"/>
      <c r="K10" s="481"/>
      <c r="L10" s="481"/>
      <c r="M10" s="481"/>
      <c r="N10" s="481"/>
      <c r="O10" s="481"/>
      <c r="P10" s="481"/>
      <c r="Q10" s="468"/>
      <c r="R10" s="468"/>
      <c r="S10" s="468"/>
      <c r="T10" s="468"/>
      <c r="U10" s="468"/>
      <c r="V10" s="468"/>
    </row>
    <row r="11" spans="1:120" ht="15" x14ac:dyDescent="0.2">
      <c r="A11" s="17"/>
      <c r="B11" s="37" t="s">
        <v>5</v>
      </c>
      <c r="C11" s="482"/>
      <c r="D11" s="99">
        <v>55147</v>
      </c>
      <c r="E11" s="483"/>
      <c r="F11" s="99">
        <v>9822</v>
      </c>
      <c r="G11" s="102">
        <v>17.810578998</v>
      </c>
      <c r="H11" s="483"/>
      <c r="I11" s="99">
        <v>14062</v>
      </c>
      <c r="J11" s="102">
        <v>25.499120532399999</v>
      </c>
      <c r="K11" s="50"/>
      <c r="L11" s="99">
        <v>12462</v>
      </c>
      <c r="M11" s="102">
        <v>22.597784104300001</v>
      </c>
      <c r="N11" s="483"/>
      <c r="O11" s="99">
        <v>8595</v>
      </c>
      <c r="P11" s="102">
        <v>15.5856166247</v>
      </c>
      <c r="Q11" s="483"/>
      <c r="R11" s="99">
        <v>8259</v>
      </c>
      <c r="S11" s="102">
        <v>14.9763359748</v>
      </c>
      <c r="T11" s="51"/>
      <c r="U11" s="99">
        <v>1947</v>
      </c>
      <c r="V11" s="102">
        <v>3.5305637659000002</v>
      </c>
    </row>
    <row r="12" spans="1:120" ht="6" customHeight="1" x14ac:dyDescent="0.2">
      <c r="A12" s="11"/>
      <c r="B12" s="3"/>
      <c r="C12" s="3"/>
      <c r="D12" s="100"/>
      <c r="E12" s="483"/>
      <c r="F12" s="100"/>
      <c r="G12" s="103"/>
      <c r="H12" s="483"/>
      <c r="I12" s="100"/>
      <c r="J12" s="103"/>
      <c r="K12" s="50"/>
      <c r="L12" s="100"/>
      <c r="M12" s="103"/>
      <c r="N12" s="483"/>
      <c r="O12" s="100"/>
      <c r="P12" s="103"/>
      <c r="Q12" s="483"/>
      <c r="R12" s="100"/>
      <c r="S12" s="103"/>
      <c r="T12" s="50"/>
      <c r="U12" s="100"/>
      <c r="V12" s="103"/>
    </row>
    <row r="13" spans="1:120" x14ac:dyDescent="0.2">
      <c r="A13" s="11"/>
      <c r="B13" s="22" t="s">
        <v>6</v>
      </c>
      <c r="C13" s="3"/>
      <c r="D13" s="101">
        <v>12727</v>
      </c>
      <c r="E13" s="484"/>
      <c r="F13" s="101">
        <v>3055</v>
      </c>
      <c r="G13" s="104">
        <v>24.004085801799999</v>
      </c>
      <c r="H13" s="484"/>
      <c r="I13" s="101">
        <v>3539</v>
      </c>
      <c r="J13" s="104">
        <v>27.807024436199999</v>
      </c>
      <c r="K13" s="50"/>
      <c r="L13" s="101">
        <v>2698</v>
      </c>
      <c r="M13" s="104">
        <v>21.199025693399999</v>
      </c>
      <c r="N13" s="484"/>
      <c r="O13" s="101">
        <v>1615</v>
      </c>
      <c r="P13" s="104">
        <v>12.6895576334</v>
      </c>
      <c r="Q13" s="484"/>
      <c r="R13" s="101">
        <v>1526</v>
      </c>
      <c r="S13" s="104">
        <v>11.9902569341</v>
      </c>
      <c r="T13" s="52"/>
      <c r="U13" s="101">
        <v>294</v>
      </c>
      <c r="V13" s="104">
        <v>2.3100495011</v>
      </c>
    </row>
    <row r="14" spans="1:120" x14ac:dyDescent="0.2">
      <c r="A14" s="11"/>
      <c r="B14" s="22" t="s">
        <v>7</v>
      </c>
      <c r="C14" s="3"/>
      <c r="D14" s="101">
        <v>8875</v>
      </c>
      <c r="E14" s="484"/>
      <c r="F14" s="101">
        <v>1802</v>
      </c>
      <c r="G14" s="104">
        <v>20.304225352100001</v>
      </c>
      <c r="H14" s="484"/>
      <c r="I14" s="101">
        <v>2285</v>
      </c>
      <c r="J14" s="104">
        <v>25.746478873200001</v>
      </c>
      <c r="K14" s="50"/>
      <c r="L14" s="101">
        <v>1945</v>
      </c>
      <c r="M14" s="104">
        <v>21.9154929577</v>
      </c>
      <c r="N14" s="484"/>
      <c r="O14" s="101">
        <v>1301</v>
      </c>
      <c r="P14" s="104">
        <v>14.6591549296</v>
      </c>
      <c r="Q14" s="484"/>
      <c r="R14" s="101">
        <v>1300</v>
      </c>
      <c r="S14" s="104">
        <v>14.647887323899999</v>
      </c>
      <c r="T14" s="52"/>
      <c r="U14" s="101">
        <v>242</v>
      </c>
      <c r="V14" s="104">
        <v>2.7267605634000001</v>
      </c>
    </row>
    <row r="15" spans="1:120" x14ac:dyDescent="0.2">
      <c r="A15" s="12"/>
      <c r="B15" s="22" t="s">
        <v>8</v>
      </c>
      <c r="C15" s="3"/>
      <c r="D15" s="101">
        <v>8735</v>
      </c>
      <c r="E15" s="484"/>
      <c r="F15" s="101">
        <v>1526</v>
      </c>
      <c r="G15" s="104">
        <v>17.469948483100001</v>
      </c>
      <c r="H15" s="484"/>
      <c r="I15" s="101">
        <v>2093</v>
      </c>
      <c r="J15" s="104">
        <v>23.9610761305</v>
      </c>
      <c r="K15" s="50"/>
      <c r="L15" s="101">
        <v>1986</v>
      </c>
      <c r="M15" s="104">
        <v>22.7361190612</v>
      </c>
      <c r="N15" s="484"/>
      <c r="O15" s="101">
        <v>1402</v>
      </c>
      <c r="P15" s="104">
        <v>16.050372066400001</v>
      </c>
      <c r="Q15" s="484"/>
      <c r="R15" s="101">
        <v>1480</v>
      </c>
      <c r="S15" s="104">
        <v>16.943331425299998</v>
      </c>
      <c r="T15" s="52"/>
      <c r="U15" s="101">
        <v>248</v>
      </c>
      <c r="V15" s="104">
        <v>2.8391528334</v>
      </c>
    </row>
    <row r="16" spans="1:120" x14ac:dyDescent="0.2">
      <c r="A16" s="12"/>
      <c r="B16" s="22" t="s">
        <v>79</v>
      </c>
      <c r="C16" s="3"/>
      <c r="D16" s="101">
        <v>24810</v>
      </c>
      <c r="E16" s="484"/>
      <c r="F16" s="101">
        <v>3439</v>
      </c>
      <c r="G16" s="104">
        <v>13.861346231400001</v>
      </c>
      <c r="H16" s="484"/>
      <c r="I16" s="101">
        <v>6145</v>
      </c>
      <c r="J16" s="104">
        <v>24.768238613499999</v>
      </c>
      <c r="K16" s="50"/>
      <c r="L16" s="101">
        <v>5833</v>
      </c>
      <c r="M16" s="104">
        <v>23.5106811769</v>
      </c>
      <c r="N16" s="484"/>
      <c r="O16" s="101">
        <v>4277</v>
      </c>
      <c r="P16" s="104">
        <v>17.2390165256</v>
      </c>
      <c r="Q16" s="484"/>
      <c r="R16" s="101">
        <v>3953</v>
      </c>
      <c r="S16" s="104">
        <v>15.933091495399999</v>
      </c>
      <c r="T16" s="52"/>
      <c r="U16" s="101">
        <v>1163</v>
      </c>
      <c r="V16" s="104">
        <v>4.6876259572999999</v>
      </c>
    </row>
    <row r="17" spans="1:22" ht="6" customHeight="1" x14ac:dyDescent="0.2">
      <c r="A17" s="12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</row>
    <row r="18" spans="1:22" ht="6" customHeight="1" x14ac:dyDescent="0.2">
      <c r="A18" s="2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s="89" customFormat="1" ht="11.25" customHeight="1" x14ac:dyDescent="0.2">
      <c r="B19" s="24" t="s">
        <v>9</v>
      </c>
    </row>
    <row r="20" spans="1:22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2:22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2:22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2:22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2:22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2:22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2:22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2:22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2:22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2:22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2:22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2:22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2:22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2:22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2:22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2:22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2:22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2:22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2:22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2:22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2:22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2:22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2:22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2:22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2:22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2:22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2:22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2:22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2:22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2:22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2:22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2:22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2:22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2:22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2:22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2:22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2:22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2:22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2:22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2:22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2:22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2:22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</sheetData>
  <mergeCells count="11">
    <mergeCell ref="U8:V8"/>
    <mergeCell ref="B5:O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C275D649-B01F-4177-AC06-A76C958954C6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ACB5-6DDB-42CD-AC62-FC2B73E44603}">
  <dimension ref="A1:AN335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1.7109375" customWidth="1"/>
    <col min="3" max="3" width="1.7109375" customWidth="1"/>
    <col min="4" max="4" width="16.7109375" customWidth="1"/>
    <col min="5" max="5" width="1.7109375" customWidth="1"/>
    <col min="6" max="6" width="13.42578125" customWidth="1"/>
    <col min="8" max="8" width="1.7109375" customWidth="1"/>
    <col min="9" max="9" width="13.42578125" customWidth="1"/>
    <col min="10" max="10" width="12.7109375" style="3" customWidth="1"/>
    <col min="11" max="11" width="1.7109375" style="3" customWidth="1"/>
    <col min="12" max="12" width="13.42578125" style="3" customWidth="1"/>
    <col min="13" max="13" width="12.7109375" style="3" customWidth="1"/>
    <col min="14" max="14" width="1.7109375" style="3" customWidth="1"/>
    <col min="15" max="15" width="13.42578125" style="3" customWidth="1"/>
    <col min="16" max="16" width="12.7109375" style="3" customWidth="1"/>
  </cols>
  <sheetData>
    <row r="1" spans="1:40" s="69" customFormat="1" ht="14.1" customHeight="1" x14ac:dyDescent="0.2">
      <c r="A1" s="66"/>
      <c r="B1" s="485" t="s">
        <v>144</v>
      </c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85"/>
      <c r="N1" s="331"/>
      <c r="O1" s="331"/>
      <c r="P1" s="85" t="s">
        <v>118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F1" s="68"/>
      <c r="AG1" s="68"/>
      <c r="AH1" s="68"/>
      <c r="AI1" s="68"/>
      <c r="AJ1" s="68"/>
      <c r="AK1" s="68"/>
      <c r="AL1" s="68"/>
      <c r="AM1" s="68"/>
      <c r="AN1" s="68"/>
    </row>
    <row r="2" spans="1:40" s="69" customFormat="1" ht="6.95" customHeight="1" x14ac:dyDescent="0.2">
      <c r="A2" s="66"/>
      <c r="B2" s="485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</row>
    <row r="3" spans="1:40" s="69" customFormat="1" ht="14.1" customHeight="1" x14ac:dyDescent="0.2">
      <c r="A3" s="66"/>
      <c r="B3" s="485" t="s">
        <v>142</v>
      </c>
      <c r="C3" s="332"/>
      <c r="D3" s="332"/>
      <c r="E3" s="332"/>
      <c r="F3" s="332"/>
      <c r="G3" s="332"/>
      <c r="H3" s="331"/>
      <c r="I3" s="331"/>
      <c r="J3" s="331"/>
      <c r="K3" s="331"/>
      <c r="L3" s="331"/>
      <c r="M3" s="331"/>
      <c r="N3" s="331"/>
      <c r="O3" s="331"/>
      <c r="P3" s="331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</row>
    <row r="4" spans="1:40" s="69" customFormat="1" ht="6.95" customHeight="1" x14ac:dyDescent="0.2">
      <c r="A4" s="66"/>
      <c r="B4" s="331"/>
      <c r="C4" s="333"/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</row>
    <row r="5" spans="1:40" s="69" customFormat="1" ht="30" customHeight="1" x14ac:dyDescent="0.2">
      <c r="A5" s="66"/>
      <c r="B5" s="589" t="s">
        <v>126</v>
      </c>
      <c r="C5" s="589"/>
      <c r="D5" s="589"/>
      <c r="E5" s="589"/>
      <c r="F5" s="589"/>
      <c r="G5" s="589"/>
      <c r="H5" s="589"/>
      <c r="I5" s="589"/>
      <c r="J5" s="589"/>
      <c r="K5" s="589"/>
      <c r="L5" s="589"/>
      <c r="M5" s="589"/>
      <c r="N5" s="589"/>
      <c r="O5" s="71"/>
      <c r="P5" s="75" t="s">
        <v>96</v>
      </c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</row>
    <row r="6" spans="1:40" ht="6" customHeight="1" x14ac:dyDescent="0.2">
      <c r="A6" s="66"/>
      <c r="B6" s="334"/>
      <c r="C6" s="335"/>
      <c r="D6" s="335"/>
      <c r="E6" s="335"/>
      <c r="F6" s="335"/>
      <c r="G6" s="335"/>
      <c r="H6" s="335"/>
      <c r="I6" s="335"/>
      <c r="J6" s="336"/>
      <c r="K6" s="335"/>
      <c r="L6" s="335"/>
      <c r="M6" s="336"/>
      <c r="N6" s="335"/>
      <c r="O6" s="335"/>
      <c r="P6" s="336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6.5" customHeight="1" x14ac:dyDescent="0.2">
      <c r="A7" s="66"/>
      <c r="B7" s="590" t="s">
        <v>22</v>
      </c>
      <c r="C7" s="590"/>
      <c r="D7" s="593" t="s">
        <v>2</v>
      </c>
      <c r="E7" s="337"/>
      <c r="F7" s="596" t="s">
        <v>135</v>
      </c>
      <c r="G7" s="596"/>
      <c r="H7" s="338"/>
      <c r="I7" s="587" t="s">
        <v>136</v>
      </c>
      <c r="J7" s="587"/>
      <c r="K7" s="338"/>
      <c r="L7" s="587" t="s">
        <v>127</v>
      </c>
      <c r="M7" s="587"/>
      <c r="N7" s="338"/>
      <c r="O7" s="587" t="s">
        <v>117</v>
      </c>
      <c r="P7" s="587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21.75" customHeight="1" x14ac:dyDescent="0.2">
      <c r="A8" s="66"/>
      <c r="B8" s="591"/>
      <c r="C8" s="591"/>
      <c r="D8" s="594"/>
      <c r="E8" s="339"/>
      <c r="F8" s="597"/>
      <c r="G8" s="597"/>
      <c r="H8" s="340"/>
      <c r="I8" s="588"/>
      <c r="J8" s="588"/>
      <c r="K8" s="340"/>
      <c r="L8" s="588"/>
      <c r="M8" s="588"/>
      <c r="N8" s="340"/>
      <c r="O8" s="588"/>
      <c r="P8" s="588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.75" customHeight="1" x14ac:dyDescent="0.2">
      <c r="A9" s="12"/>
      <c r="B9" s="592"/>
      <c r="C9" s="592"/>
      <c r="D9" s="595"/>
      <c r="E9" s="341"/>
      <c r="F9" s="118" t="s">
        <v>13</v>
      </c>
      <c r="G9" s="118" t="s">
        <v>14</v>
      </c>
      <c r="H9" s="342"/>
      <c r="I9" s="118" t="s">
        <v>13</v>
      </c>
      <c r="J9" s="118" t="s">
        <v>14</v>
      </c>
      <c r="K9" s="342"/>
      <c r="L9" s="118" t="s">
        <v>13</v>
      </c>
      <c r="M9" s="118" t="s">
        <v>14</v>
      </c>
      <c r="N9" s="342"/>
      <c r="O9" s="118" t="s">
        <v>13</v>
      </c>
      <c r="P9" s="118" t="s">
        <v>14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6" customHeight="1" x14ac:dyDescent="0.2">
      <c r="A10" s="67"/>
      <c r="B10" s="343"/>
      <c r="C10" s="344"/>
      <c r="D10" s="345"/>
      <c r="E10" s="345"/>
      <c r="F10" s="346"/>
      <c r="G10" s="347"/>
      <c r="H10" s="347"/>
      <c r="I10" s="347"/>
      <c r="J10" s="348"/>
      <c r="K10" s="347"/>
      <c r="L10" s="349"/>
      <c r="M10" s="348"/>
      <c r="N10" s="347"/>
      <c r="O10" s="347"/>
      <c r="P10" s="348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x14ac:dyDescent="0.2">
      <c r="A11" s="17"/>
      <c r="B11" s="119" t="s">
        <v>5</v>
      </c>
      <c r="C11" s="350"/>
      <c r="D11" s="99">
        <v>55147</v>
      </c>
      <c r="E11" s="351"/>
      <c r="F11" s="99">
        <v>2344</v>
      </c>
      <c r="G11" s="102">
        <v>4.2504578671999997</v>
      </c>
      <c r="H11" s="351"/>
      <c r="I11" s="99">
        <v>2389</v>
      </c>
      <c r="J11" s="102">
        <v>4.3320579541999997</v>
      </c>
      <c r="K11" s="120"/>
      <c r="L11" s="99">
        <v>626</v>
      </c>
      <c r="M11" s="102">
        <v>1.1351478774999999</v>
      </c>
      <c r="N11" s="120"/>
      <c r="O11" s="99">
        <v>49788</v>
      </c>
      <c r="P11" s="102">
        <v>90.282336301200004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6" customHeight="1" x14ac:dyDescent="0.2">
      <c r="A12" s="11"/>
      <c r="B12" s="121"/>
      <c r="C12" s="350"/>
      <c r="D12" s="100"/>
      <c r="E12" s="351"/>
      <c r="F12" s="100"/>
      <c r="G12" s="103"/>
      <c r="H12" s="351"/>
      <c r="I12" s="100"/>
      <c r="J12" s="103"/>
      <c r="K12" s="120"/>
      <c r="L12" s="100"/>
      <c r="M12" s="103"/>
      <c r="N12" s="120"/>
      <c r="O12" s="100"/>
      <c r="P12" s="10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1.25" customHeight="1" x14ac:dyDescent="0.2">
      <c r="A13" s="11"/>
      <c r="B13" s="39" t="s">
        <v>26</v>
      </c>
      <c r="C13" s="352"/>
      <c r="D13" s="101">
        <v>1783</v>
      </c>
      <c r="E13" s="353"/>
      <c r="F13" s="101">
        <v>103</v>
      </c>
      <c r="G13" s="104">
        <v>5.7767807067000003</v>
      </c>
      <c r="H13" s="353"/>
      <c r="I13" s="101">
        <v>42</v>
      </c>
      <c r="J13" s="104">
        <v>2.3555804823000002</v>
      </c>
      <c r="K13" s="120"/>
      <c r="L13" s="101">
        <v>18</v>
      </c>
      <c r="M13" s="104">
        <v>1.0095344924</v>
      </c>
      <c r="N13" s="120"/>
      <c r="O13" s="101">
        <v>1620</v>
      </c>
      <c r="P13" s="104">
        <v>90.858104318599999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x14ac:dyDescent="0.2">
      <c r="A14" s="11"/>
      <c r="B14" s="39" t="s">
        <v>27</v>
      </c>
      <c r="C14" s="352"/>
      <c r="D14" s="101">
        <v>1750</v>
      </c>
      <c r="E14" s="353"/>
      <c r="F14" s="101">
        <v>46</v>
      </c>
      <c r="G14" s="104">
        <v>2.6285714285999999</v>
      </c>
      <c r="H14" s="353"/>
      <c r="I14" s="101">
        <v>22</v>
      </c>
      <c r="J14" s="104">
        <v>1.2571428571000001</v>
      </c>
      <c r="K14" s="120"/>
      <c r="L14" s="101">
        <v>14</v>
      </c>
      <c r="M14" s="104">
        <v>0.8</v>
      </c>
      <c r="N14" s="120"/>
      <c r="O14" s="101">
        <v>1668</v>
      </c>
      <c r="P14" s="104">
        <v>95.314285714299999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x14ac:dyDescent="0.2">
      <c r="A15" s="12"/>
      <c r="B15" s="39" t="s">
        <v>28</v>
      </c>
      <c r="C15" s="352"/>
      <c r="D15" s="101">
        <v>1639</v>
      </c>
      <c r="E15" s="353"/>
      <c r="F15" s="101">
        <v>44</v>
      </c>
      <c r="G15" s="104">
        <v>2.6845637583999999</v>
      </c>
      <c r="H15" s="353"/>
      <c r="I15" s="101">
        <v>71</v>
      </c>
      <c r="J15" s="104">
        <v>4.3319097009999998</v>
      </c>
      <c r="K15" s="120"/>
      <c r="L15" s="101">
        <v>16</v>
      </c>
      <c r="M15" s="104">
        <v>0.97620500310000002</v>
      </c>
      <c r="N15" s="120"/>
      <c r="O15" s="101">
        <v>1508</v>
      </c>
      <c r="P15" s="104">
        <v>92.007321537500005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15" x14ac:dyDescent="0.2">
      <c r="A16" s="12"/>
      <c r="B16" s="39" t="s">
        <v>29</v>
      </c>
      <c r="C16" s="352"/>
      <c r="D16" s="101">
        <v>1723</v>
      </c>
      <c r="E16" s="353"/>
      <c r="F16" s="101">
        <v>39</v>
      </c>
      <c r="G16" s="104">
        <v>2.2634939059999999</v>
      </c>
      <c r="H16" s="353"/>
      <c r="I16" s="101">
        <v>114</v>
      </c>
      <c r="J16" s="104">
        <v>6.6163668020999999</v>
      </c>
      <c r="K16" s="120"/>
      <c r="L16" s="101">
        <v>21</v>
      </c>
      <c r="M16" s="104">
        <v>1.2188044109</v>
      </c>
      <c r="N16" s="120"/>
      <c r="O16" s="101">
        <v>1549</v>
      </c>
      <c r="P16" s="104">
        <v>89.901334880999997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5" x14ac:dyDescent="0.2">
      <c r="A17" s="12"/>
      <c r="B17" s="39" t="s">
        <v>30</v>
      </c>
      <c r="C17" s="352"/>
      <c r="D17" s="94">
        <v>1654</v>
      </c>
      <c r="E17" s="353"/>
      <c r="F17" s="94">
        <v>34</v>
      </c>
      <c r="G17" s="97">
        <v>2.0556227327999999</v>
      </c>
      <c r="H17" s="353"/>
      <c r="I17" s="94">
        <v>74</v>
      </c>
      <c r="J17" s="97">
        <v>4.4740024183999996</v>
      </c>
      <c r="K17" s="120"/>
      <c r="L17" s="94">
        <v>30</v>
      </c>
      <c r="M17" s="97">
        <v>1.8137847642</v>
      </c>
      <c r="N17" s="120"/>
      <c r="O17" s="94">
        <v>1516</v>
      </c>
      <c r="P17" s="97">
        <v>91.656590084599998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15" x14ac:dyDescent="0.2">
      <c r="A18" s="21"/>
      <c r="B18" s="39" t="s">
        <v>31</v>
      </c>
      <c r="C18" s="352"/>
      <c r="D18" s="94">
        <v>1696</v>
      </c>
      <c r="E18" s="353"/>
      <c r="F18" s="94">
        <v>57</v>
      </c>
      <c r="G18" s="97">
        <v>3.3608490566000002</v>
      </c>
      <c r="H18" s="353"/>
      <c r="I18" s="94">
        <v>83</v>
      </c>
      <c r="J18" s="97">
        <v>4.8938679245000003</v>
      </c>
      <c r="K18" s="120"/>
      <c r="L18" s="94">
        <v>11</v>
      </c>
      <c r="M18" s="97">
        <v>0.64858490570000005</v>
      </c>
      <c r="N18" s="120"/>
      <c r="O18" s="94">
        <v>1545</v>
      </c>
      <c r="P18" s="97">
        <v>91.096698113200006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15" x14ac:dyDescent="0.2">
      <c r="A19" s="21"/>
      <c r="B19" s="39" t="s">
        <v>32</v>
      </c>
      <c r="C19" s="352"/>
      <c r="D19" s="101">
        <v>1795</v>
      </c>
      <c r="E19" s="353"/>
      <c r="F19" s="101">
        <v>36</v>
      </c>
      <c r="G19" s="104">
        <v>2.0055710306000001</v>
      </c>
      <c r="H19" s="353"/>
      <c r="I19" s="101">
        <v>144</v>
      </c>
      <c r="J19" s="104">
        <v>8.0222841226000003</v>
      </c>
      <c r="K19" s="120"/>
      <c r="L19" s="101">
        <v>17</v>
      </c>
      <c r="M19" s="104">
        <v>0.94707520889999997</v>
      </c>
      <c r="N19" s="120"/>
      <c r="O19" s="101">
        <v>1598</v>
      </c>
      <c r="P19" s="104">
        <v>89.025069637900003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5" x14ac:dyDescent="0.2">
      <c r="B20" s="39" t="s">
        <v>33</v>
      </c>
      <c r="C20" s="352"/>
      <c r="D20" s="101">
        <v>1721</v>
      </c>
      <c r="E20" s="353"/>
      <c r="F20" s="101">
        <v>20</v>
      </c>
      <c r="G20" s="104">
        <v>1.1621150494000001</v>
      </c>
      <c r="H20" s="353"/>
      <c r="I20" s="101">
        <v>42</v>
      </c>
      <c r="J20" s="104">
        <v>2.4404416037000001</v>
      </c>
      <c r="K20" s="120"/>
      <c r="L20" s="101">
        <v>22</v>
      </c>
      <c r="M20" s="104">
        <v>1.2783265543</v>
      </c>
      <c r="N20" s="120"/>
      <c r="O20" s="101">
        <v>1637</v>
      </c>
      <c r="P20" s="104">
        <v>95.119116792599996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15" x14ac:dyDescent="0.2">
      <c r="B21" s="39" t="s">
        <v>34</v>
      </c>
      <c r="C21" s="352"/>
      <c r="D21" s="101">
        <v>1667</v>
      </c>
      <c r="E21" s="353"/>
      <c r="F21" s="101">
        <v>58</v>
      </c>
      <c r="G21" s="104">
        <v>3.4793041391999999</v>
      </c>
      <c r="H21" s="353"/>
      <c r="I21" s="101">
        <v>19</v>
      </c>
      <c r="J21" s="104">
        <v>1.1397720456</v>
      </c>
      <c r="K21" s="120"/>
      <c r="L21" s="101">
        <v>5</v>
      </c>
      <c r="M21" s="104">
        <v>0.29994001199999998</v>
      </c>
      <c r="N21" s="120"/>
      <c r="O21" s="101">
        <v>1585</v>
      </c>
      <c r="P21" s="104">
        <v>95.080983803199999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15" x14ac:dyDescent="0.2">
      <c r="B22" s="39" t="s">
        <v>35</v>
      </c>
      <c r="C22" s="352"/>
      <c r="D22" s="101">
        <v>1688</v>
      </c>
      <c r="E22" s="353"/>
      <c r="F22" s="101">
        <v>74</v>
      </c>
      <c r="G22" s="104">
        <v>4.3838862559000003</v>
      </c>
      <c r="H22" s="353"/>
      <c r="I22" s="101">
        <v>75</v>
      </c>
      <c r="J22" s="104">
        <v>4.4431279621000002</v>
      </c>
      <c r="K22" s="120"/>
      <c r="L22" s="101">
        <v>15</v>
      </c>
      <c r="M22" s="104">
        <v>0.88862559240000005</v>
      </c>
      <c r="N22" s="120"/>
      <c r="O22" s="101">
        <v>1524</v>
      </c>
      <c r="P22" s="104">
        <v>90.284360189599994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15" x14ac:dyDescent="0.2">
      <c r="B23" s="39" t="s">
        <v>36</v>
      </c>
      <c r="C23" s="352"/>
      <c r="D23" s="101">
        <v>1780</v>
      </c>
      <c r="E23" s="353"/>
      <c r="F23" s="101">
        <v>100</v>
      </c>
      <c r="G23" s="104">
        <v>5.6179775281</v>
      </c>
      <c r="H23" s="353"/>
      <c r="I23" s="101">
        <v>69</v>
      </c>
      <c r="J23" s="104">
        <v>3.8764044944</v>
      </c>
      <c r="K23" s="120"/>
      <c r="L23" s="101">
        <v>21</v>
      </c>
      <c r="M23" s="104">
        <v>1.1797752808999999</v>
      </c>
      <c r="N23" s="120"/>
      <c r="O23" s="101">
        <v>1590</v>
      </c>
      <c r="P23" s="104">
        <v>89.325842696600006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ht="15" x14ac:dyDescent="0.2">
      <c r="B24" s="39" t="s">
        <v>37</v>
      </c>
      <c r="C24" s="352"/>
      <c r="D24" s="101">
        <v>1688</v>
      </c>
      <c r="E24" s="353"/>
      <c r="F24" s="101">
        <v>63</v>
      </c>
      <c r="G24" s="104">
        <v>3.7322274881999999</v>
      </c>
      <c r="H24" s="353"/>
      <c r="I24" s="101">
        <v>126</v>
      </c>
      <c r="J24" s="104">
        <v>7.4644549762999999</v>
      </c>
      <c r="K24" s="120"/>
      <c r="L24" s="101">
        <v>12</v>
      </c>
      <c r="M24" s="104">
        <v>0.7109004739</v>
      </c>
      <c r="N24" s="120"/>
      <c r="O24" s="101">
        <v>1487</v>
      </c>
      <c r="P24" s="104">
        <v>88.092417061600003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15" x14ac:dyDescent="0.2">
      <c r="B25" s="39" t="s">
        <v>38</v>
      </c>
      <c r="C25" s="352"/>
      <c r="D25" s="101">
        <v>1700</v>
      </c>
      <c r="E25" s="353"/>
      <c r="F25" s="101">
        <v>109</v>
      </c>
      <c r="G25" s="104">
        <v>6.4117647058999996</v>
      </c>
      <c r="H25" s="353"/>
      <c r="I25" s="101">
        <v>45</v>
      </c>
      <c r="J25" s="104">
        <v>2.6470588235000001</v>
      </c>
      <c r="K25" s="120"/>
      <c r="L25" s="101">
        <v>15</v>
      </c>
      <c r="M25" s="104">
        <v>0.88235294119999996</v>
      </c>
      <c r="N25" s="120"/>
      <c r="O25" s="101">
        <v>1531</v>
      </c>
      <c r="P25" s="104">
        <v>90.058823529400001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5" x14ac:dyDescent="0.2">
      <c r="B26" s="39" t="s">
        <v>39</v>
      </c>
      <c r="C26" s="352"/>
      <c r="D26" s="101">
        <v>1697</v>
      </c>
      <c r="E26" s="353"/>
      <c r="F26" s="101">
        <v>48</v>
      </c>
      <c r="G26" s="104">
        <v>2.8285209192999998</v>
      </c>
      <c r="H26" s="353"/>
      <c r="I26" s="101">
        <v>63</v>
      </c>
      <c r="J26" s="104">
        <v>3.7124337065000002</v>
      </c>
      <c r="K26" s="120"/>
      <c r="L26" s="101">
        <v>22</v>
      </c>
      <c r="M26" s="104">
        <v>1.2964054213</v>
      </c>
      <c r="N26" s="120"/>
      <c r="O26" s="101">
        <v>1564</v>
      </c>
      <c r="P26" s="104">
        <v>92.162639952899994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15" x14ac:dyDescent="0.2">
      <c r="B27" s="39" t="s">
        <v>40</v>
      </c>
      <c r="C27" s="352"/>
      <c r="D27" s="101">
        <v>1730</v>
      </c>
      <c r="E27" s="353"/>
      <c r="F27" s="101">
        <v>120</v>
      </c>
      <c r="G27" s="104">
        <v>6.9364161849999997</v>
      </c>
      <c r="H27" s="353"/>
      <c r="I27" s="101">
        <v>61</v>
      </c>
      <c r="J27" s="104">
        <v>3.5260115607000002</v>
      </c>
      <c r="K27" s="120"/>
      <c r="L27" s="101">
        <v>18</v>
      </c>
      <c r="M27" s="104">
        <v>1.0404624277000001</v>
      </c>
      <c r="N27" s="120"/>
      <c r="O27" s="101">
        <v>1531</v>
      </c>
      <c r="P27" s="104">
        <v>88.497109826599996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5" x14ac:dyDescent="0.2">
      <c r="B28" s="39" t="s">
        <v>41</v>
      </c>
      <c r="C28" s="352"/>
      <c r="D28" s="101">
        <v>1812</v>
      </c>
      <c r="E28" s="353"/>
      <c r="F28" s="101">
        <v>139</v>
      </c>
      <c r="G28" s="104">
        <v>7.6710816777000002</v>
      </c>
      <c r="H28" s="353"/>
      <c r="I28" s="101">
        <v>114</v>
      </c>
      <c r="J28" s="104">
        <v>6.2913907284999997</v>
      </c>
      <c r="K28" s="120"/>
      <c r="L28" s="101">
        <v>18</v>
      </c>
      <c r="M28" s="104">
        <v>0.99337748339999998</v>
      </c>
      <c r="N28" s="120"/>
      <c r="O28" s="101">
        <v>1541</v>
      </c>
      <c r="P28" s="104">
        <v>85.044150110399997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5" x14ac:dyDescent="0.2">
      <c r="B29" s="39" t="s">
        <v>42</v>
      </c>
      <c r="C29" s="352"/>
      <c r="D29" s="101">
        <v>1693</v>
      </c>
      <c r="E29" s="353"/>
      <c r="F29" s="101">
        <v>106</v>
      </c>
      <c r="G29" s="104">
        <v>6.2610750148000003</v>
      </c>
      <c r="H29" s="353"/>
      <c r="I29" s="101">
        <v>52</v>
      </c>
      <c r="J29" s="104">
        <v>3.0714707620000001</v>
      </c>
      <c r="K29" s="120"/>
      <c r="L29" s="101">
        <v>55</v>
      </c>
      <c r="M29" s="104">
        <v>3.2486709982000002</v>
      </c>
      <c r="N29" s="120"/>
      <c r="O29" s="101">
        <v>1480</v>
      </c>
      <c r="P29" s="104">
        <v>87.418783224999999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5" x14ac:dyDescent="0.2">
      <c r="B30" s="39" t="s">
        <v>43</v>
      </c>
      <c r="C30" s="352"/>
      <c r="D30" s="101">
        <v>1751</v>
      </c>
      <c r="E30" s="353"/>
      <c r="F30" s="101">
        <v>71</v>
      </c>
      <c r="G30" s="104">
        <v>4.0548258138</v>
      </c>
      <c r="H30" s="353"/>
      <c r="I30" s="101">
        <v>109</v>
      </c>
      <c r="J30" s="104">
        <v>6.2250142775999997</v>
      </c>
      <c r="K30" s="120"/>
      <c r="L30" s="101">
        <v>27</v>
      </c>
      <c r="M30" s="104">
        <v>1.5419760137</v>
      </c>
      <c r="N30" s="120"/>
      <c r="O30" s="101">
        <v>1544</v>
      </c>
      <c r="P30" s="104">
        <v>88.178183894900002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5" x14ac:dyDescent="0.2">
      <c r="B31" s="39" t="s">
        <v>44</v>
      </c>
      <c r="C31" s="352"/>
      <c r="D31" s="101">
        <v>1728</v>
      </c>
      <c r="E31" s="353"/>
      <c r="F31" s="101">
        <v>26</v>
      </c>
      <c r="G31" s="104">
        <v>1.5046296295999999</v>
      </c>
      <c r="H31" s="353"/>
      <c r="I31" s="101">
        <v>52</v>
      </c>
      <c r="J31" s="104">
        <v>3.0092592592999998</v>
      </c>
      <c r="K31" s="120"/>
      <c r="L31" s="101">
        <v>19</v>
      </c>
      <c r="M31" s="104">
        <v>1.0995370369999999</v>
      </c>
      <c r="N31" s="120"/>
      <c r="O31" s="101">
        <v>1631</v>
      </c>
      <c r="P31" s="104">
        <v>94.386574074099997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15" x14ac:dyDescent="0.2">
      <c r="B32" s="39" t="s">
        <v>45</v>
      </c>
      <c r="C32" s="352"/>
      <c r="D32" s="101">
        <v>1733</v>
      </c>
      <c r="E32" s="353"/>
      <c r="F32" s="101">
        <v>117</v>
      </c>
      <c r="G32" s="104">
        <v>6.7512983265999997</v>
      </c>
      <c r="H32" s="353"/>
      <c r="I32" s="101">
        <v>113</v>
      </c>
      <c r="J32" s="104">
        <v>6.5204847085999997</v>
      </c>
      <c r="K32" s="120"/>
      <c r="L32" s="101">
        <v>14</v>
      </c>
      <c r="M32" s="104">
        <v>0.80784766299999999</v>
      </c>
      <c r="N32" s="120"/>
      <c r="O32" s="101">
        <v>1489</v>
      </c>
      <c r="P32" s="104">
        <v>85.920369301799994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2:40" ht="15" x14ac:dyDescent="0.2">
      <c r="B33" s="39" t="s">
        <v>46</v>
      </c>
      <c r="C33" s="352"/>
      <c r="D33" s="101">
        <v>1740</v>
      </c>
      <c r="E33" s="353"/>
      <c r="F33" s="101">
        <v>117</v>
      </c>
      <c r="G33" s="104">
        <v>6.7241379309999996</v>
      </c>
      <c r="H33" s="353"/>
      <c r="I33" s="101">
        <v>89</v>
      </c>
      <c r="J33" s="104">
        <v>5.1149425287000003</v>
      </c>
      <c r="K33" s="120"/>
      <c r="L33" s="101">
        <v>15</v>
      </c>
      <c r="M33" s="104">
        <v>0.86206896550000001</v>
      </c>
      <c r="N33" s="120"/>
      <c r="O33" s="101">
        <v>1519</v>
      </c>
      <c r="P33" s="104">
        <v>87.298850574699998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2:40" ht="15" x14ac:dyDescent="0.2">
      <c r="B34" s="39" t="s">
        <v>47</v>
      </c>
      <c r="C34" s="352"/>
      <c r="D34" s="101">
        <v>1706</v>
      </c>
      <c r="E34" s="353"/>
      <c r="F34" s="101">
        <v>119</v>
      </c>
      <c r="G34" s="104">
        <v>6.9753810082000003</v>
      </c>
      <c r="H34" s="353"/>
      <c r="I34" s="101">
        <v>56</v>
      </c>
      <c r="J34" s="104">
        <v>3.2825322392</v>
      </c>
      <c r="K34" s="120"/>
      <c r="L34" s="101">
        <v>30</v>
      </c>
      <c r="M34" s="104">
        <v>1.7584994138000001</v>
      </c>
      <c r="N34" s="120"/>
      <c r="O34" s="101">
        <v>1501</v>
      </c>
      <c r="P34" s="104">
        <v>87.983587338800007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2:40" ht="15" x14ac:dyDescent="0.2">
      <c r="B35" s="39" t="s">
        <v>48</v>
      </c>
      <c r="C35" s="352"/>
      <c r="D35" s="101">
        <v>1664</v>
      </c>
      <c r="E35" s="353"/>
      <c r="F35" s="101">
        <v>36</v>
      </c>
      <c r="G35" s="104">
        <v>2.1634615385</v>
      </c>
      <c r="H35" s="353"/>
      <c r="I35" s="101">
        <v>56</v>
      </c>
      <c r="J35" s="104">
        <v>3.3653846154</v>
      </c>
      <c r="K35" s="120"/>
      <c r="L35" s="101">
        <v>15</v>
      </c>
      <c r="M35" s="104">
        <v>0.9014423077</v>
      </c>
      <c r="N35" s="120"/>
      <c r="O35" s="101">
        <v>1557</v>
      </c>
      <c r="P35" s="104">
        <v>93.569711538500002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2:40" ht="15" x14ac:dyDescent="0.2">
      <c r="B36" s="39" t="s">
        <v>49</v>
      </c>
      <c r="C36" s="352"/>
      <c r="D36" s="101">
        <v>1734</v>
      </c>
      <c r="E36" s="353"/>
      <c r="F36" s="101">
        <v>97</v>
      </c>
      <c r="G36" s="104">
        <v>5.5940023068000002</v>
      </c>
      <c r="H36" s="353"/>
      <c r="I36" s="101">
        <v>63</v>
      </c>
      <c r="J36" s="104">
        <v>3.6332179931000002</v>
      </c>
      <c r="K36" s="120"/>
      <c r="L36" s="101">
        <v>33</v>
      </c>
      <c r="M36" s="104">
        <v>1.9031141868999999</v>
      </c>
      <c r="N36" s="120"/>
      <c r="O36" s="101">
        <v>1541</v>
      </c>
      <c r="P36" s="104">
        <v>88.869665513300006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2:40" ht="15" x14ac:dyDescent="0.2">
      <c r="B37" s="39" t="s">
        <v>50</v>
      </c>
      <c r="C37" s="352"/>
      <c r="D37" s="101">
        <v>1770</v>
      </c>
      <c r="E37" s="353"/>
      <c r="F37" s="101">
        <v>38</v>
      </c>
      <c r="G37" s="104">
        <v>2.1468926553999998</v>
      </c>
      <c r="H37" s="353"/>
      <c r="I37" s="101">
        <v>68</v>
      </c>
      <c r="J37" s="104">
        <v>3.8418079096</v>
      </c>
      <c r="K37" s="120"/>
      <c r="L37" s="101">
        <v>18</v>
      </c>
      <c r="M37" s="104">
        <v>1.0169491525000001</v>
      </c>
      <c r="N37" s="120"/>
      <c r="O37" s="101">
        <v>1646</v>
      </c>
      <c r="P37" s="104">
        <v>92.994350282499994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2:40" ht="15" x14ac:dyDescent="0.2">
      <c r="B38" s="39" t="s">
        <v>51</v>
      </c>
      <c r="C38" s="352"/>
      <c r="D38" s="101">
        <v>1778</v>
      </c>
      <c r="E38" s="353"/>
      <c r="F38" s="101">
        <v>39</v>
      </c>
      <c r="G38" s="104">
        <v>2.1934758154999998</v>
      </c>
      <c r="H38" s="353"/>
      <c r="I38" s="101">
        <v>75</v>
      </c>
      <c r="J38" s="104">
        <v>4.2182227222000002</v>
      </c>
      <c r="K38" s="120"/>
      <c r="L38" s="101">
        <v>10</v>
      </c>
      <c r="M38" s="104">
        <v>0.56242969629999995</v>
      </c>
      <c r="N38" s="120"/>
      <c r="O38" s="101">
        <v>1654</v>
      </c>
      <c r="P38" s="104">
        <v>93.025871765999995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2:40" ht="15" x14ac:dyDescent="0.2">
      <c r="B39" s="39" t="s">
        <v>52</v>
      </c>
      <c r="C39" s="352"/>
      <c r="D39" s="101">
        <v>1739</v>
      </c>
      <c r="E39" s="353"/>
      <c r="F39" s="101">
        <v>26</v>
      </c>
      <c r="G39" s="104">
        <v>1.4951121333999999</v>
      </c>
      <c r="H39" s="353"/>
      <c r="I39" s="101">
        <v>108</v>
      </c>
      <c r="J39" s="104">
        <v>6.2104657849000002</v>
      </c>
      <c r="K39" s="120"/>
      <c r="L39" s="101">
        <v>14</v>
      </c>
      <c r="M39" s="104">
        <v>0.80506037949999998</v>
      </c>
      <c r="N39" s="120"/>
      <c r="O39" s="101">
        <v>1591</v>
      </c>
      <c r="P39" s="104">
        <v>91.489361702099998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ht="15" x14ac:dyDescent="0.2">
      <c r="B40" s="39" t="s">
        <v>53</v>
      </c>
      <c r="C40" s="352"/>
      <c r="D40" s="101">
        <v>1649</v>
      </c>
      <c r="E40" s="353"/>
      <c r="F40" s="101">
        <v>56</v>
      </c>
      <c r="G40" s="104">
        <v>3.3959975742999999</v>
      </c>
      <c r="H40" s="353"/>
      <c r="I40" s="101">
        <v>56</v>
      </c>
      <c r="J40" s="104">
        <v>3.3959975742999999</v>
      </c>
      <c r="K40" s="120"/>
      <c r="L40" s="101">
        <v>11</v>
      </c>
      <c r="M40" s="104">
        <v>0.6670709521</v>
      </c>
      <c r="N40" s="120"/>
      <c r="O40" s="101">
        <v>1526</v>
      </c>
      <c r="P40" s="104">
        <v>92.540933899300001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ht="15" x14ac:dyDescent="0.2">
      <c r="B41" s="39" t="s">
        <v>54</v>
      </c>
      <c r="C41" s="352"/>
      <c r="D41" s="101">
        <v>1784</v>
      </c>
      <c r="E41" s="353"/>
      <c r="F41" s="101">
        <v>203</v>
      </c>
      <c r="G41" s="104">
        <v>11.3789237668</v>
      </c>
      <c r="H41" s="353"/>
      <c r="I41" s="101">
        <v>100</v>
      </c>
      <c r="J41" s="104">
        <v>5.6053811658999999</v>
      </c>
      <c r="K41" s="120"/>
      <c r="L41" s="101">
        <v>28</v>
      </c>
      <c r="M41" s="104">
        <v>1.5695067265</v>
      </c>
      <c r="N41" s="120"/>
      <c r="O41" s="101">
        <v>1453</v>
      </c>
      <c r="P41" s="104">
        <v>81.446188340800006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2:40" ht="15" x14ac:dyDescent="0.2">
      <c r="B42" s="39" t="s">
        <v>55</v>
      </c>
      <c r="C42" s="352"/>
      <c r="D42" s="101">
        <v>1714</v>
      </c>
      <c r="E42" s="353"/>
      <c r="F42" s="101">
        <v>61</v>
      </c>
      <c r="G42" s="104">
        <v>3.5589264877</v>
      </c>
      <c r="H42" s="353"/>
      <c r="I42" s="101">
        <v>68</v>
      </c>
      <c r="J42" s="104">
        <v>3.9673278879999998</v>
      </c>
      <c r="K42" s="120"/>
      <c r="L42" s="101">
        <v>14</v>
      </c>
      <c r="M42" s="104">
        <v>0.81680280049999998</v>
      </c>
      <c r="N42" s="120"/>
      <c r="O42" s="101">
        <v>1571</v>
      </c>
      <c r="P42" s="104">
        <v>91.656942823799994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2:40" ht="15" x14ac:dyDescent="0.2">
      <c r="B43" s="39" t="s">
        <v>56</v>
      </c>
      <c r="C43" s="352"/>
      <c r="D43" s="101">
        <v>1745</v>
      </c>
      <c r="E43" s="353"/>
      <c r="F43" s="101">
        <v>29</v>
      </c>
      <c r="G43" s="104">
        <v>1.6618911175</v>
      </c>
      <c r="H43" s="353"/>
      <c r="I43" s="101">
        <v>77</v>
      </c>
      <c r="J43" s="104">
        <v>4.4126074499000003</v>
      </c>
      <c r="K43" s="120"/>
      <c r="L43" s="101">
        <v>32</v>
      </c>
      <c r="M43" s="104">
        <v>1.8338108882999999</v>
      </c>
      <c r="N43" s="120"/>
      <c r="O43" s="101">
        <v>1607</v>
      </c>
      <c r="P43" s="104">
        <v>92.091690544399995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pans="2:40" ht="15" x14ac:dyDescent="0.2">
      <c r="B44" s="48" t="s">
        <v>57</v>
      </c>
      <c r="C44" s="352"/>
      <c r="D44" s="101">
        <v>1696</v>
      </c>
      <c r="E44" s="353"/>
      <c r="F44" s="101">
        <v>113</v>
      </c>
      <c r="G44" s="104">
        <v>6.6627358490999997</v>
      </c>
      <c r="H44" s="353"/>
      <c r="I44" s="101">
        <v>83</v>
      </c>
      <c r="J44" s="104">
        <v>4.8938679245000003</v>
      </c>
      <c r="K44" s="120"/>
      <c r="L44" s="101">
        <v>16</v>
      </c>
      <c r="M44" s="104">
        <v>0.94339622639999998</v>
      </c>
      <c r="N44" s="120"/>
      <c r="O44" s="101">
        <v>1484</v>
      </c>
      <c r="P44" s="104">
        <v>87.5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spans="2:40" ht="6" customHeight="1" x14ac:dyDescent="0.2">
      <c r="B45" s="40"/>
      <c r="C45" s="334"/>
      <c r="D45" s="4"/>
      <c r="E45" s="354"/>
      <c r="F45" s="4"/>
      <c r="G45" s="355"/>
      <c r="H45" s="355"/>
      <c r="I45" s="4"/>
      <c r="J45" s="355"/>
      <c r="K45" s="355"/>
      <c r="L45" s="4"/>
      <c r="M45" s="355"/>
      <c r="N45" s="355"/>
      <c r="O45" s="4"/>
      <c r="P45" s="355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spans="2:40" ht="6" customHeight="1" x14ac:dyDescent="0.2">
      <c r="B46" s="356"/>
      <c r="C46" s="357"/>
      <c r="D46" s="358"/>
      <c r="E46" s="358"/>
      <c r="F46" s="358"/>
      <c r="G46" s="359"/>
      <c r="H46" s="359"/>
      <c r="I46" s="358"/>
      <c r="J46" s="359"/>
      <c r="K46" s="359"/>
      <c r="L46" s="358"/>
      <c r="M46" s="359"/>
      <c r="N46" s="359"/>
      <c r="O46" s="358"/>
      <c r="P46" s="359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spans="2:40" s="89" customFormat="1" ht="11.25" customHeight="1" x14ac:dyDescent="0.2">
      <c r="B47" s="116" t="s">
        <v>134</v>
      </c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</row>
    <row r="48" spans="2:40" x14ac:dyDescent="0.2"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spans="2:40" x14ac:dyDescent="0.2"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spans="2:40" x14ac:dyDescent="0.2"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spans="2:40" x14ac:dyDescent="0.2"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spans="2:40" x14ac:dyDescent="0.2"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pans="2:40" x14ac:dyDescent="0.2"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2:40" x14ac:dyDescent="0.2"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2:40" x14ac:dyDescent="0.2"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2:40" x14ac:dyDescent="0.2"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2:40" x14ac:dyDescent="0.2"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2:40" x14ac:dyDescent="0.2"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2:40" x14ac:dyDescent="0.2"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2:40" x14ac:dyDescent="0.2"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spans="2:40" x14ac:dyDescent="0.2"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2:40" x14ac:dyDescent="0.2"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2:40" x14ac:dyDescent="0.2">
      <c r="B63" s="3"/>
      <c r="C63" s="3"/>
      <c r="D63" s="3"/>
      <c r="E63" s="3"/>
      <c r="F63" s="3"/>
      <c r="G63" s="3"/>
      <c r="H63" s="3"/>
      <c r="I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2:40" x14ac:dyDescent="0.2">
      <c r="B64" s="3"/>
      <c r="C64" s="3"/>
      <c r="D64" s="3"/>
      <c r="E64" s="3"/>
      <c r="F64" s="3"/>
      <c r="G64" s="3"/>
      <c r="H64" s="3"/>
      <c r="I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2:40" x14ac:dyDescent="0.2">
      <c r="B65" s="3"/>
      <c r="C65" s="3"/>
      <c r="D65" s="3"/>
      <c r="E65" s="3"/>
      <c r="F65" s="3"/>
      <c r="G65" s="3"/>
      <c r="H65" s="3"/>
      <c r="I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2:40" x14ac:dyDescent="0.2">
      <c r="B66" s="3"/>
      <c r="C66" s="3"/>
      <c r="D66" s="3"/>
      <c r="E66" s="3"/>
      <c r="F66" s="3"/>
      <c r="G66" s="3"/>
      <c r="H66" s="3"/>
      <c r="I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2:40" x14ac:dyDescent="0.2">
      <c r="B67" s="3"/>
      <c r="C67" s="3"/>
      <c r="D67" s="3"/>
      <c r="E67" s="3"/>
      <c r="F67" s="3"/>
      <c r="G67" s="3"/>
      <c r="H67" s="3"/>
      <c r="I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B68" s="3"/>
      <c r="C68" s="3"/>
      <c r="D68" s="3"/>
      <c r="E68" s="3"/>
      <c r="F68" s="3"/>
      <c r="G68" s="3"/>
      <c r="H68" s="3"/>
      <c r="I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2:40" x14ac:dyDescent="0.2">
      <c r="B69" s="3"/>
      <c r="C69" s="3"/>
      <c r="D69" s="3"/>
      <c r="E69" s="3"/>
      <c r="F69" s="3"/>
      <c r="G69" s="3"/>
      <c r="H69" s="3"/>
      <c r="I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2:40" x14ac:dyDescent="0.2">
      <c r="B70" s="3"/>
      <c r="C70" s="3"/>
      <c r="D70" s="3"/>
      <c r="E70" s="3"/>
      <c r="F70" s="3"/>
      <c r="G70" s="3"/>
      <c r="H70" s="3"/>
      <c r="I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2:40" x14ac:dyDescent="0.2">
      <c r="B71" s="3"/>
      <c r="C71" s="3"/>
      <c r="D71" s="3"/>
      <c r="E71" s="3"/>
      <c r="F71" s="3"/>
      <c r="G71" s="3"/>
      <c r="H71" s="3"/>
      <c r="I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2:40" x14ac:dyDescent="0.2">
      <c r="B72" s="3"/>
      <c r="C72" s="3"/>
      <c r="D72" s="3"/>
      <c r="E72" s="3"/>
      <c r="F72" s="3"/>
      <c r="G72" s="3"/>
      <c r="H72" s="3"/>
      <c r="I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pans="2:40" x14ac:dyDescent="0.2">
      <c r="B73" s="3"/>
      <c r="C73" s="3"/>
      <c r="D73" s="3"/>
      <c r="E73" s="3"/>
      <c r="F73" s="3"/>
      <c r="G73" s="3"/>
      <c r="H73" s="3"/>
      <c r="I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pans="2:40" x14ac:dyDescent="0.2">
      <c r="B74" s="3"/>
      <c r="C74" s="3"/>
      <c r="D74" s="3"/>
      <c r="E74" s="3"/>
      <c r="F74" s="3"/>
      <c r="G74" s="3"/>
      <c r="H74" s="3"/>
      <c r="I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2:40" x14ac:dyDescent="0.2">
      <c r="B75" s="3"/>
      <c r="C75" s="3"/>
      <c r="D75" s="3"/>
      <c r="E75" s="3"/>
      <c r="F75" s="3"/>
      <c r="G75" s="3"/>
      <c r="H75" s="3"/>
      <c r="I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pans="2:40" x14ac:dyDescent="0.2">
      <c r="B76" s="3"/>
      <c r="C76" s="3"/>
      <c r="D76" s="3"/>
      <c r="E76" s="3"/>
      <c r="F76" s="3"/>
      <c r="G76" s="3"/>
      <c r="H76" s="3"/>
      <c r="I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2:40" x14ac:dyDescent="0.2">
      <c r="B77" s="3"/>
      <c r="C77" s="3"/>
      <c r="D77" s="3"/>
      <c r="E77" s="3"/>
      <c r="F77" s="3"/>
      <c r="G77" s="3"/>
      <c r="H77" s="3"/>
      <c r="I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2:40" x14ac:dyDescent="0.2">
      <c r="B78" s="3"/>
      <c r="C78" s="3"/>
      <c r="D78" s="3"/>
      <c r="E78" s="3"/>
      <c r="F78" s="3"/>
      <c r="G78" s="3"/>
      <c r="H78" s="3"/>
      <c r="I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spans="2:40" x14ac:dyDescent="0.2">
      <c r="B79" s="3"/>
      <c r="C79" s="3"/>
      <c r="D79" s="3"/>
      <c r="E79" s="3"/>
      <c r="F79" s="3"/>
      <c r="G79" s="3"/>
      <c r="H79" s="3"/>
      <c r="I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pans="2:40" x14ac:dyDescent="0.2">
      <c r="B80" s="3"/>
      <c r="C80" s="3"/>
      <c r="D80" s="3"/>
      <c r="E80" s="3"/>
      <c r="F80" s="3"/>
      <c r="G80" s="3"/>
      <c r="H80" s="3"/>
      <c r="I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spans="2:40" x14ac:dyDescent="0.2">
      <c r="B81" s="3"/>
      <c r="C81" s="3"/>
      <c r="D81" s="3"/>
      <c r="E81" s="3"/>
      <c r="F81" s="3"/>
      <c r="G81" s="3"/>
      <c r="H81" s="3"/>
      <c r="I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spans="2:40" x14ac:dyDescent="0.2">
      <c r="B82" s="3"/>
      <c r="C82" s="3"/>
      <c r="D82" s="3"/>
      <c r="E82" s="3"/>
      <c r="F82" s="3"/>
      <c r="G82" s="3"/>
      <c r="H82" s="3"/>
      <c r="I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2:40" x14ac:dyDescent="0.2">
      <c r="B83" s="3"/>
      <c r="C83" s="3"/>
      <c r="D83" s="3"/>
      <c r="E83" s="3"/>
      <c r="F83" s="3"/>
      <c r="G83" s="3"/>
      <c r="H83" s="3"/>
      <c r="I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spans="2:40" x14ac:dyDescent="0.2">
      <c r="B84" s="3"/>
      <c r="C84" s="3"/>
      <c r="D84" s="3"/>
      <c r="E84" s="3"/>
      <c r="F84" s="3"/>
      <c r="G84" s="3"/>
      <c r="H84" s="3"/>
      <c r="I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spans="2:40" x14ac:dyDescent="0.2">
      <c r="B85" s="3"/>
      <c r="C85" s="3"/>
      <c r="D85" s="3"/>
      <c r="E85" s="3"/>
      <c r="F85" s="3"/>
      <c r="G85" s="3"/>
      <c r="H85" s="3"/>
      <c r="I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spans="2:40" x14ac:dyDescent="0.2">
      <c r="B86" s="3"/>
      <c r="C86" s="3"/>
      <c r="D86" s="3"/>
      <c r="E86" s="3"/>
      <c r="F86" s="3"/>
      <c r="G86" s="3"/>
      <c r="H86" s="3"/>
      <c r="I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spans="2:40" x14ac:dyDescent="0.2">
      <c r="B87" s="3"/>
      <c r="C87" s="3"/>
      <c r="D87" s="3"/>
      <c r="E87" s="3"/>
      <c r="F87" s="3"/>
      <c r="G87" s="3"/>
      <c r="H87" s="3"/>
      <c r="I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spans="2:40" x14ac:dyDescent="0.2">
      <c r="B88" s="3"/>
      <c r="C88" s="3"/>
      <c r="D88" s="3"/>
      <c r="E88" s="3"/>
      <c r="F88" s="3"/>
      <c r="G88" s="3"/>
      <c r="H88" s="3"/>
      <c r="I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spans="2:40" x14ac:dyDescent="0.2">
      <c r="B89" s="3"/>
      <c r="C89" s="3"/>
      <c r="D89" s="3"/>
      <c r="E89" s="3"/>
      <c r="F89" s="3"/>
      <c r="G89" s="3"/>
      <c r="H89" s="3"/>
      <c r="I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pans="2:40" x14ac:dyDescent="0.2">
      <c r="B90" s="3"/>
      <c r="C90" s="3"/>
      <c r="D90" s="3"/>
      <c r="E90" s="3"/>
      <c r="F90" s="3"/>
      <c r="G90" s="3"/>
      <c r="H90" s="3"/>
      <c r="I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2:40" x14ac:dyDescent="0.2">
      <c r="B91" s="3"/>
      <c r="C91" s="3"/>
      <c r="D91" s="3"/>
      <c r="E91" s="3"/>
      <c r="F91" s="3"/>
      <c r="G91" s="3"/>
      <c r="H91" s="3"/>
      <c r="I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pans="2:40" x14ac:dyDescent="0.2">
      <c r="B92" s="3"/>
      <c r="C92" s="3"/>
      <c r="D92" s="3"/>
      <c r="E92" s="3"/>
      <c r="F92" s="3"/>
      <c r="G92" s="3"/>
      <c r="H92" s="3"/>
      <c r="I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2:40" x14ac:dyDescent="0.2">
      <c r="B93" s="3"/>
      <c r="C93" s="3"/>
      <c r="D93" s="3"/>
      <c r="E93" s="3"/>
      <c r="F93" s="3"/>
      <c r="G93" s="3"/>
      <c r="H93" s="3"/>
      <c r="I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pans="2:40" x14ac:dyDescent="0.2">
      <c r="B94" s="3"/>
      <c r="C94" s="3"/>
      <c r="D94" s="3"/>
      <c r="E94" s="3"/>
      <c r="F94" s="3"/>
      <c r="G94" s="3"/>
      <c r="H94" s="3"/>
      <c r="I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2:40" x14ac:dyDescent="0.2">
      <c r="B95" s="3"/>
      <c r="C95" s="3"/>
      <c r="D95" s="3"/>
      <c r="E95" s="3"/>
      <c r="F95" s="3"/>
      <c r="G95" s="3"/>
      <c r="H95" s="3"/>
      <c r="I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2:40" x14ac:dyDescent="0.2">
      <c r="B96" s="3"/>
      <c r="C96" s="3"/>
      <c r="D96" s="3"/>
      <c r="E96" s="3"/>
      <c r="F96" s="3"/>
      <c r="G96" s="3"/>
      <c r="H96" s="3"/>
      <c r="I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pans="2:40" x14ac:dyDescent="0.2">
      <c r="B97" s="3"/>
      <c r="C97" s="3"/>
      <c r="D97" s="3"/>
      <c r="E97" s="3"/>
      <c r="F97" s="3"/>
      <c r="G97" s="3"/>
      <c r="H97" s="3"/>
      <c r="I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pans="2:40" x14ac:dyDescent="0.2">
      <c r="B98" s="3"/>
      <c r="C98" s="3"/>
      <c r="D98" s="3"/>
      <c r="E98" s="3"/>
      <c r="F98" s="3"/>
      <c r="G98" s="3"/>
      <c r="H98" s="3"/>
      <c r="I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spans="2:40" x14ac:dyDescent="0.2">
      <c r="B99" s="3"/>
      <c r="C99" s="3"/>
      <c r="D99" s="3"/>
      <c r="E99" s="3"/>
      <c r="F99" s="3"/>
      <c r="G99" s="3"/>
      <c r="H99" s="3"/>
      <c r="I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spans="2:40" x14ac:dyDescent="0.2">
      <c r="B100" s="3"/>
      <c r="C100" s="3"/>
      <c r="D100" s="3"/>
      <c r="E100" s="3"/>
      <c r="F100" s="3"/>
      <c r="G100" s="3"/>
      <c r="H100" s="3"/>
      <c r="I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pans="2:40" x14ac:dyDescent="0.2">
      <c r="B101" s="3"/>
      <c r="C101" s="3"/>
      <c r="D101" s="3"/>
      <c r="E101" s="3"/>
      <c r="F101" s="3"/>
      <c r="G101" s="3"/>
      <c r="H101" s="3"/>
      <c r="I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spans="2:40" x14ac:dyDescent="0.2">
      <c r="B102" s="3"/>
      <c r="C102" s="3"/>
      <c r="D102" s="3"/>
      <c r="E102" s="3"/>
      <c r="F102" s="3"/>
      <c r="G102" s="3"/>
      <c r="H102" s="3"/>
      <c r="I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spans="2:40" x14ac:dyDescent="0.2">
      <c r="B103" s="3"/>
      <c r="C103" s="3"/>
      <c r="D103" s="3"/>
      <c r="E103" s="3"/>
      <c r="F103" s="3"/>
      <c r="G103" s="3"/>
      <c r="H103" s="3"/>
      <c r="I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spans="2:40" x14ac:dyDescent="0.2">
      <c r="B104" s="3"/>
      <c r="C104" s="3"/>
      <c r="D104" s="3"/>
      <c r="E104" s="3"/>
      <c r="F104" s="3"/>
      <c r="G104" s="3"/>
      <c r="H104" s="3"/>
      <c r="I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spans="2:40" x14ac:dyDescent="0.2">
      <c r="B105" s="3"/>
      <c r="C105" s="3"/>
      <c r="D105" s="3"/>
      <c r="E105" s="3"/>
      <c r="F105" s="3"/>
      <c r="G105" s="3"/>
      <c r="H105" s="3"/>
      <c r="I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spans="2:40" x14ac:dyDescent="0.2">
      <c r="B106" s="3"/>
      <c r="C106" s="3"/>
      <c r="D106" s="3"/>
      <c r="E106" s="3"/>
      <c r="F106" s="3"/>
      <c r="G106" s="3"/>
      <c r="H106" s="3"/>
      <c r="I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2:40" x14ac:dyDescent="0.2">
      <c r="B107" s="3"/>
      <c r="C107" s="3"/>
      <c r="D107" s="3"/>
      <c r="E107" s="3"/>
      <c r="F107" s="3"/>
      <c r="G107" s="3"/>
      <c r="H107" s="3"/>
      <c r="I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2:40" x14ac:dyDescent="0.2">
      <c r="B108" s="3"/>
      <c r="C108" s="3"/>
      <c r="D108" s="3"/>
      <c r="E108" s="3"/>
      <c r="F108" s="3"/>
      <c r="G108" s="3"/>
      <c r="H108" s="3"/>
      <c r="I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2:40" x14ac:dyDescent="0.2">
      <c r="B109" s="3"/>
      <c r="C109" s="3"/>
      <c r="D109" s="3"/>
      <c r="E109" s="3"/>
      <c r="F109" s="3"/>
      <c r="G109" s="3"/>
      <c r="H109" s="3"/>
      <c r="I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2:40" x14ac:dyDescent="0.2">
      <c r="B110" s="3"/>
      <c r="C110" s="3"/>
      <c r="D110" s="3"/>
      <c r="E110" s="3"/>
      <c r="F110" s="3"/>
      <c r="G110" s="3"/>
      <c r="H110" s="3"/>
      <c r="I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2:40" x14ac:dyDescent="0.2">
      <c r="B111" s="3"/>
      <c r="C111" s="3"/>
      <c r="D111" s="3"/>
      <c r="E111" s="3"/>
      <c r="F111" s="3"/>
      <c r="G111" s="3"/>
      <c r="H111" s="3"/>
      <c r="I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2:40" x14ac:dyDescent="0.2">
      <c r="B112" s="3"/>
      <c r="C112" s="3"/>
      <c r="D112" s="3"/>
      <c r="E112" s="3"/>
      <c r="F112" s="3"/>
      <c r="G112" s="3"/>
      <c r="H112" s="3"/>
      <c r="I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pans="2:40" x14ac:dyDescent="0.2">
      <c r="B113" s="3"/>
      <c r="C113" s="3"/>
      <c r="D113" s="3"/>
      <c r="E113" s="3"/>
      <c r="F113" s="3"/>
      <c r="G113" s="3"/>
      <c r="H113" s="3"/>
      <c r="I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pans="2:40" x14ac:dyDescent="0.2">
      <c r="B114" s="3"/>
      <c r="C114" s="3"/>
      <c r="D114" s="3"/>
      <c r="E114" s="3"/>
      <c r="F114" s="3"/>
      <c r="G114" s="3"/>
      <c r="H114" s="3"/>
      <c r="I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pans="2:40" x14ac:dyDescent="0.2">
      <c r="B115" s="3"/>
      <c r="C115" s="3"/>
      <c r="D115" s="3"/>
      <c r="E115" s="3"/>
      <c r="F115" s="3"/>
      <c r="G115" s="3"/>
      <c r="H115" s="3"/>
      <c r="I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pans="2:40" x14ac:dyDescent="0.2">
      <c r="B116" s="3"/>
      <c r="C116" s="3"/>
      <c r="D116" s="3"/>
      <c r="E116" s="3"/>
      <c r="F116" s="3"/>
      <c r="G116" s="3"/>
      <c r="H116" s="3"/>
      <c r="I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2:40" x14ac:dyDescent="0.2">
      <c r="B117" s="3"/>
      <c r="C117" s="3"/>
      <c r="D117" s="3"/>
      <c r="E117" s="3"/>
      <c r="F117" s="3"/>
      <c r="G117" s="3"/>
      <c r="H117" s="3"/>
      <c r="I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pans="2:40" x14ac:dyDescent="0.2">
      <c r="B118" s="3"/>
      <c r="C118" s="3"/>
      <c r="D118" s="3"/>
      <c r="E118" s="3"/>
      <c r="F118" s="3"/>
      <c r="G118" s="3"/>
      <c r="H118" s="3"/>
      <c r="I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pans="2:40" x14ac:dyDescent="0.2">
      <c r="B119" s="3"/>
      <c r="C119" s="3"/>
      <c r="D119" s="3"/>
      <c r="E119" s="3"/>
      <c r="F119" s="3"/>
      <c r="G119" s="3"/>
      <c r="H119" s="3"/>
      <c r="I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pans="2:40" x14ac:dyDescent="0.2">
      <c r="B120" s="3"/>
      <c r="C120" s="3"/>
      <c r="D120" s="3"/>
      <c r="E120" s="3"/>
      <c r="F120" s="3"/>
      <c r="G120" s="3"/>
      <c r="H120" s="3"/>
      <c r="I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pans="2:40" x14ac:dyDescent="0.2">
      <c r="B121" s="3"/>
      <c r="C121" s="3"/>
      <c r="D121" s="3"/>
      <c r="E121" s="3"/>
      <c r="F121" s="3"/>
      <c r="G121" s="3"/>
      <c r="H121" s="3"/>
      <c r="I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pans="2:40" x14ac:dyDescent="0.2">
      <c r="B122" s="3"/>
      <c r="C122" s="3"/>
      <c r="D122" s="3"/>
      <c r="E122" s="3"/>
      <c r="F122" s="3"/>
      <c r="G122" s="3"/>
      <c r="H122" s="3"/>
      <c r="I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pans="2:40" x14ac:dyDescent="0.2">
      <c r="B123" s="3"/>
      <c r="C123" s="3"/>
      <c r="D123" s="3"/>
      <c r="E123" s="3"/>
      <c r="F123" s="3"/>
      <c r="G123" s="3"/>
      <c r="H123" s="3"/>
      <c r="I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pans="2:40" x14ac:dyDescent="0.2">
      <c r="B124" s="3"/>
      <c r="C124" s="3"/>
      <c r="D124" s="3"/>
      <c r="E124" s="3"/>
      <c r="F124" s="3"/>
      <c r="G124" s="3"/>
      <c r="H124" s="3"/>
      <c r="I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2:40" x14ac:dyDescent="0.2">
      <c r="B125" s="3"/>
      <c r="C125" s="3"/>
      <c r="D125" s="3"/>
      <c r="E125" s="3"/>
      <c r="F125" s="3"/>
      <c r="G125" s="3"/>
      <c r="H125" s="3"/>
      <c r="I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pans="2:40" x14ac:dyDescent="0.2">
      <c r="B126" s="3"/>
      <c r="C126" s="3"/>
      <c r="D126" s="3"/>
      <c r="E126" s="3"/>
      <c r="F126" s="3"/>
      <c r="G126" s="3"/>
      <c r="H126" s="3"/>
      <c r="I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pans="2:40" x14ac:dyDescent="0.2">
      <c r="B127" s="3"/>
      <c r="C127" s="3"/>
      <c r="D127" s="3"/>
      <c r="E127" s="3"/>
      <c r="F127" s="3"/>
      <c r="G127" s="3"/>
      <c r="H127" s="3"/>
      <c r="I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spans="2:40" x14ac:dyDescent="0.2">
      <c r="B128" s="3"/>
      <c r="C128" s="3"/>
      <c r="D128" s="3"/>
      <c r="E128" s="3"/>
      <c r="F128" s="3"/>
      <c r="G128" s="3"/>
      <c r="H128" s="3"/>
      <c r="I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pans="2:40" x14ac:dyDescent="0.2">
      <c r="B129" s="3"/>
      <c r="C129" s="3"/>
      <c r="D129" s="3"/>
      <c r="E129" s="3"/>
      <c r="F129" s="3"/>
      <c r="G129" s="3"/>
      <c r="H129" s="3"/>
      <c r="I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pans="2:40" x14ac:dyDescent="0.2">
      <c r="B130" s="3"/>
      <c r="C130" s="3"/>
      <c r="D130" s="3"/>
      <c r="E130" s="3"/>
      <c r="F130" s="3"/>
      <c r="G130" s="3"/>
      <c r="H130" s="3"/>
      <c r="I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spans="2:40" x14ac:dyDescent="0.2">
      <c r="B131" s="3"/>
      <c r="C131" s="3"/>
      <c r="D131" s="3"/>
      <c r="E131" s="3"/>
      <c r="F131" s="3"/>
      <c r="G131" s="3"/>
      <c r="H131" s="3"/>
      <c r="I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spans="2:40" x14ac:dyDescent="0.2">
      <c r="B132" s="3"/>
      <c r="C132" s="3"/>
      <c r="D132" s="3"/>
      <c r="E132" s="3"/>
      <c r="F132" s="3"/>
      <c r="G132" s="3"/>
      <c r="H132" s="3"/>
      <c r="I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spans="2:40" x14ac:dyDescent="0.2">
      <c r="B133" s="3"/>
      <c r="C133" s="3"/>
      <c r="D133" s="3"/>
      <c r="E133" s="3"/>
      <c r="F133" s="3"/>
      <c r="G133" s="3"/>
      <c r="H133" s="3"/>
      <c r="I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spans="2:40" x14ac:dyDescent="0.2">
      <c r="B134" s="3"/>
      <c r="C134" s="3"/>
      <c r="D134" s="3"/>
      <c r="E134" s="3"/>
      <c r="F134" s="3"/>
      <c r="G134" s="3"/>
      <c r="H134" s="3"/>
      <c r="I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spans="2:40" x14ac:dyDescent="0.2">
      <c r="B135" s="3"/>
      <c r="C135" s="3"/>
      <c r="D135" s="3"/>
      <c r="E135" s="3"/>
      <c r="F135" s="3"/>
      <c r="G135" s="3"/>
      <c r="H135" s="3"/>
      <c r="I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spans="2:40" x14ac:dyDescent="0.2">
      <c r="B136" s="3"/>
      <c r="C136" s="3"/>
      <c r="D136" s="3"/>
      <c r="E136" s="3"/>
      <c r="F136" s="3"/>
      <c r="G136" s="3"/>
      <c r="H136" s="3"/>
      <c r="I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spans="2:40" x14ac:dyDescent="0.2">
      <c r="B137" s="3"/>
      <c r="C137" s="3"/>
      <c r="D137" s="3"/>
      <c r="E137" s="3"/>
      <c r="F137" s="3"/>
      <c r="G137" s="3"/>
      <c r="H137" s="3"/>
      <c r="I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spans="2:40" x14ac:dyDescent="0.2">
      <c r="B138" s="3"/>
      <c r="C138" s="3"/>
      <c r="D138" s="3"/>
      <c r="E138" s="3"/>
      <c r="F138" s="3"/>
      <c r="G138" s="3"/>
      <c r="H138" s="3"/>
      <c r="I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spans="2:40" x14ac:dyDescent="0.2">
      <c r="B139" s="3"/>
      <c r="C139" s="3"/>
      <c r="D139" s="3"/>
      <c r="E139" s="3"/>
      <c r="F139" s="3"/>
      <c r="G139" s="3"/>
      <c r="H139" s="3"/>
      <c r="I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spans="2:40" x14ac:dyDescent="0.2">
      <c r="B140" s="3"/>
      <c r="C140" s="3"/>
      <c r="D140" s="3"/>
      <c r="E140" s="3"/>
      <c r="F140" s="3"/>
      <c r="G140" s="3"/>
      <c r="H140" s="3"/>
      <c r="I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spans="2:40" x14ac:dyDescent="0.2">
      <c r="B141" s="3"/>
      <c r="C141" s="3"/>
      <c r="D141" s="3"/>
      <c r="E141" s="3"/>
      <c r="F141" s="3"/>
      <c r="G141" s="3"/>
      <c r="H141" s="3"/>
      <c r="I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spans="2:40" x14ac:dyDescent="0.2">
      <c r="B142" s="3"/>
      <c r="C142" s="3"/>
      <c r="D142" s="3"/>
      <c r="E142" s="3"/>
      <c r="F142" s="3"/>
      <c r="G142" s="3"/>
      <c r="H142" s="3"/>
      <c r="I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spans="2:40" x14ac:dyDescent="0.2">
      <c r="B143" s="3"/>
      <c r="C143" s="3"/>
      <c r="D143" s="3"/>
      <c r="E143" s="3"/>
      <c r="F143" s="3"/>
      <c r="G143" s="3"/>
      <c r="H143" s="3"/>
      <c r="I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spans="2:40" x14ac:dyDescent="0.2">
      <c r="B144" s="3"/>
      <c r="C144" s="3"/>
      <c r="D144" s="3"/>
      <c r="E144" s="3"/>
      <c r="F144" s="3"/>
      <c r="G144" s="3"/>
      <c r="H144" s="3"/>
      <c r="I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spans="2:40" x14ac:dyDescent="0.2">
      <c r="B145" s="3"/>
      <c r="C145" s="3"/>
      <c r="D145" s="3"/>
      <c r="E145" s="3"/>
      <c r="F145" s="3"/>
      <c r="G145" s="3"/>
      <c r="H145" s="3"/>
      <c r="I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spans="2:40" x14ac:dyDescent="0.2">
      <c r="B146" s="3"/>
      <c r="C146" s="3"/>
      <c r="D146" s="3"/>
      <c r="E146" s="3"/>
      <c r="F146" s="3"/>
      <c r="G146" s="3"/>
      <c r="H146" s="3"/>
      <c r="I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spans="2:40" x14ac:dyDescent="0.2">
      <c r="B147" s="3"/>
      <c r="C147" s="3"/>
      <c r="D147" s="3"/>
      <c r="E147" s="3"/>
      <c r="F147" s="3"/>
      <c r="G147" s="3"/>
      <c r="H147" s="3"/>
      <c r="I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pans="2:40" x14ac:dyDescent="0.2">
      <c r="B148" s="3"/>
      <c r="C148" s="3"/>
      <c r="D148" s="3"/>
      <c r="E148" s="3"/>
      <c r="F148" s="3"/>
      <c r="G148" s="3"/>
      <c r="H148" s="3"/>
      <c r="I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pans="2:40" x14ac:dyDescent="0.2">
      <c r="B149" s="3"/>
      <c r="C149" s="3"/>
      <c r="D149" s="3"/>
      <c r="E149" s="3"/>
      <c r="F149" s="3"/>
      <c r="G149" s="3"/>
      <c r="H149" s="3"/>
      <c r="I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pans="2:40" x14ac:dyDescent="0.2">
      <c r="B150" s="3"/>
      <c r="C150" s="3"/>
      <c r="D150" s="3"/>
      <c r="E150" s="3"/>
      <c r="F150" s="3"/>
      <c r="G150" s="3"/>
      <c r="H150" s="3"/>
      <c r="I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pans="2:40" x14ac:dyDescent="0.2">
      <c r="B151" s="3"/>
      <c r="C151" s="3"/>
      <c r="D151" s="3"/>
      <c r="E151" s="3"/>
      <c r="F151" s="3"/>
      <c r="G151" s="3"/>
      <c r="H151" s="3"/>
      <c r="I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2:40" x14ac:dyDescent="0.2">
      <c r="B152" s="3"/>
      <c r="C152" s="3"/>
      <c r="D152" s="3"/>
      <c r="E152" s="3"/>
      <c r="F152" s="3"/>
      <c r="G152" s="3"/>
      <c r="H152" s="3"/>
      <c r="I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2:40" x14ac:dyDescent="0.2">
      <c r="B153" s="3"/>
      <c r="C153" s="3"/>
      <c r="D153" s="3"/>
      <c r="E153" s="3"/>
      <c r="F153" s="3"/>
      <c r="G153" s="3"/>
      <c r="H153" s="3"/>
      <c r="I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2:40" x14ac:dyDescent="0.2">
      <c r="B154" s="3"/>
      <c r="C154" s="3"/>
      <c r="D154" s="3"/>
      <c r="E154" s="3"/>
      <c r="F154" s="3"/>
      <c r="G154" s="3"/>
      <c r="H154" s="3"/>
      <c r="I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2:40" x14ac:dyDescent="0.2">
      <c r="B155" s="3"/>
      <c r="C155" s="3"/>
      <c r="D155" s="3"/>
      <c r="E155" s="3"/>
      <c r="F155" s="3"/>
      <c r="G155" s="3"/>
      <c r="H155" s="3"/>
      <c r="I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2:40" x14ac:dyDescent="0.2">
      <c r="B156" s="3"/>
      <c r="C156" s="3"/>
      <c r="D156" s="3"/>
      <c r="E156" s="3"/>
      <c r="F156" s="3"/>
      <c r="G156" s="3"/>
      <c r="H156" s="3"/>
      <c r="I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pans="2:40" x14ac:dyDescent="0.2">
      <c r="B157" s="3"/>
      <c r="C157" s="3"/>
      <c r="D157" s="3"/>
      <c r="E157" s="3"/>
      <c r="F157" s="3"/>
      <c r="G157" s="3"/>
      <c r="H157" s="3"/>
      <c r="I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pans="2:40" x14ac:dyDescent="0.2">
      <c r="B158" s="3"/>
      <c r="C158" s="3"/>
      <c r="D158" s="3"/>
      <c r="E158" s="3"/>
      <c r="F158" s="3"/>
      <c r="G158" s="3"/>
      <c r="H158" s="3"/>
      <c r="I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2:40" x14ac:dyDescent="0.2">
      <c r="B159" s="3"/>
      <c r="C159" s="3"/>
      <c r="D159" s="3"/>
      <c r="E159" s="3"/>
      <c r="F159" s="3"/>
      <c r="G159" s="3"/>
      <c r="H159" s="3"/>
      <c r="I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pans="2:40" x14ac:dyDescent="0.2">
      <c r="B160" s="3"/>
      <c r="C160" s="3"/>
      <c r="D160" s="3"/>
      <c r="E160" s="3"/>
      <c r="F160" s="3"/>
      <c r="G160" s="3"/>
      <c r="H160" s="3"/>
      <c r="I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pans="2:40" x14ac:dyDescent="0.2">
      <c r="B161" s="3"/>
      <c r="C161" s="3"/>
      <c r="D161" s="3"/>
      <c r="E161" s="3"/>
      <c r="F161" s="3"/>
      <c r="G161" s="3"/>
      <c r="H161" s="3"/>
      <c r="I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pans="2:40" x14ac:dyDescent="0.2">
      <c r="B162" s="3"/>
      <c r="C162" s="3"/>
      <c r="D162" s="3"/>
      <c r="E162" s="3"/>
      <c r="F162" s="3"/>
      <c r="G162" s="3"/>
      <c r="H162" s="3"/>
      <c r="I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pans="2:40" x14ac:dyDescent="0.2">
      <c r="B163" s="3"/>
      <c r="C163" s="3"/>
      <c r="D163" s="3"/>
      <c r="E163" s="3"/>
      <c r="F163" s="3"/>
      <c r="G163" s="3"/>
      <c r="H163" s="3"/>
      <c r="I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pans="2:40" x14ac:dyDescent="0.2">
      <c r="B164" s="3"/>
      <c r="C164" s="3"/>
      <c r="D164" s="3"/>
      <c r="E164" s="3"/>
      <c r="F164" s="3"/>
      <c r="G164" s="3"/>
      <c r="H164" s="3"/>
      <c r="I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pans="2:40" x14ac:dyDescent="0.2">
      <c r="B165" s="3"/>
      <c r="C165" s="3"/>
      <c r="D165" s="3"/>
      <c r="E165" s="3"/>
      <c r="F165" s="3"/>
      <c r="G165" s="3"/>
      <c r="H165" s="3"/>
      <c r="I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pans="2:40" x14ac:dyDescent="0.2">
      <c r="B166" s="3"/>
      <c r="C166" s="3"/>
      <c r="D166" s="3"/>
      <c r="E166" s="3"/>
      <c r="F166" s="3"/>
      <c r="G166" s="3"/>
      <c r="H166" s="3"/>
      <c r="I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pans="2:40" x14ac:dyDescent="0.2">
      <c r="B167" s="3"/>
      <c r="C167" s="3"/>
      <c r="D167" s="3"/>
      <c r="E167" s="3"/>
      <c r="F167" s="3"/>
      <c r="G167" s="3"/>
      <c r="H167" s="3"/>
      <c r="I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pans="2:40" x14ac:dyDescent="0.2">
      <c r="B168" s="3"/>
      <c r="C168" s="3"/>
      <c r="D168" s="3"/>
      <c r="E168" s="3"/>
      <c r="F168" s="3"/>
      <c r="G168" s="3"/>
      <c r="H168" s="3"/>
      <c r="I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pans="2:40" x14ac:dyDescent="0.2">
      <c r="B169" s="3"/>
      <c r="C169" s="3"/>
      <c r="D169" s="3"/>
      <c r="E169" s="3"/>
      <c r="F169" s="3"/>
      <c r="G169" s="3"/>
      <c r="H169" s="3"/>
      <c r="I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pans="2:40" x14ac:dyDescent="0.2">
      <c r="B170" s="3"/>
      <c r="C170" s="3"/>
      <c r="D170" s="3"/>
      <c r="E170" s="3"/>
      <c r="F170" s="3"/>
      <c r="G170" s="3"/>
      <c r="H170" s="3"/>
      <c r="I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spans="2:40" x14ac:dyDescent="0.2">
      <c r="B171" s="3"/>
      <c r="C171" s="3"/>
      <c r="D171" s="3"/>
      <c r="E171" s="3"/>
      <c r="F171" s="3"/>
      <c r="G171" s="3"/>
      <c r="H171" s="3"/>
      <c r="I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spans="2:40" x14ac:dyDescent="0.2">
      <c r="B172" s="3"/>
      <c r="C172" s="3"/>
      <c r="D172" s="3"/>
      <c r="E172" s="3"/>
      <c r="F172" s="3"/>
      <c r="G172" s="3"/>
      <c r="H172" s="3"/>
      <c r="I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spans="2:40" x14ac:dyDescent="0.2">
      <c r="B173" s="3"/>
      <c r="C173" s="3"/>
      <c r="D173" s="3"/>
      <c r="E173" s="3"/>
      <c r="F173" s="3"/>
      <c r="G173" s="3"/>
      <c r="H173" s="3"/>
      <c r="I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spans="2:40" x14ac:dyDescent="0.2">
      <c r="B174" s="3"/>
      <c r="C174" s="3"/>
      <c r="D174" s="3"/>
      <c r="E174" s="3"/>
      <c r="F174" s="3"/>
      <c r="G174" s="3"/>
      <c r="H174" s="3"/>
      <c r="I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spans="2:40" x14ac:dyDescent="0.2">
      <c r="B175" s="3"/>
      <c r="C175" s="3"/>
      <c r="D175" s="3"/>
      <c r="E175" s="3"/>
      <c r="F175" s="3"/>
      <c r="G175" s="3"/>
      <c r="H175" s="3"/>
      <c r="I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2:40" x14ac:dyDescent="0.2">
      <c r="B176" s="3"/>
      <c r="C176" s="3"/>
      <c r="D176" s="3"/>
      <c r="E176" s="3"/>
      <c r="F176" s="3"/>
      <c r="G176" s="3"/>
      <c r="H176" s="3"/>
      <c r="I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2:40" x14ac:dyDescent="0.2">
      <c r="B177" s="3"/>
      <c r="C177" s="3"/>
      <c r="D177" s="3"/>
      <c r="E177" s="3"/>
      <c r="F177" s="3"/>
      <c r="G177" s="3"/>
      <c r="H177" s="3"/>
      <c r="I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2:40" x14ac:dyDescent="0.2">
      <c r="B178" s="3"/>
      <c r="C178" s="3"/>
      <c r="D178" s="3"/>
      <c r="E178" s="3"/>
      <c r="F178" s="3"/>
      <c r="G178" s="3"/>
      <c r="H178" s="3"/>
      <c r="I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2:40" x14ac:dyDescent="0.2">
      <c r="B179" s="3"/>
      <c r="C179" s="3"/>
      <c r="D179" s="3"/>
      <c r="E179" s="3"/>
      <c r="F179" s="3"/>
      <c r="G179" s="3"/>
      <c r="H179" s="3"/>
      <c r="I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2:40" x14ac:dyDescent="0.2">
      <c r="B180" s="3"/>
      <c r="C180" s="3"/>
      <c r="D180" s="3"/>
      <c r="E180" s="3"/>
      <c r="F180" s="3"/>
      <c r="G180" s="3"/>
      <c r="H180" s="3"/>
      <c r="I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2:40" x14ac:dyDescent="0.2">
      <c r="B181" s="3"/>
      <c r="C181" s="3"/>
      <c r="D181" s="3"/>
      <c r="E181" s="3"/>
      <c r="F181" s="3"/>
      <c r="G181" s="3"/>
      <c r="H181" s="3"/>
      <c r="I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2:40" x14ac:dyDescent="0.2">
      <c r="B182" s="3"/>
      <c r="C182" s="3"/>
      <c r="D182" s="3"/>
      <c r="E182" s="3"/>
      <c r="F182" s="3"/>
      <c r="G182" s="3"/>
      <c r="H182" s="3"/>
      <c r="I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2:40" x14ac:dyDescent="0.2">
      <c r="B183" s="3"/>
      <c r="C183" s="3"/>
      <c r="D183" s="3"/>
      <c r="E183" s="3"/>
      <c r="F183" s="3"/>
      <c r="G183" s="3"/>
      <c r="H183" s="3"/>
      <c r="I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2:40" x14ac:dyDescent="0.2">
      <c r="B184" s="3"/>
      <c r="C184" s="3"/>
      <c r="D184" s="3"/>
      <c r="E184" s="3"/>
      <c r="F184" s="3"/>
      <c r="G184" s="3"/>
      <c r="H184" s="3"/>
      <c r="I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2:40" x14ac:dyDescent="0.2">
      <c r="B185" s="3"/>
      <c r="C185" s="3"/>
      <c r="D185" s="3"/>
      <c r="E185" s="3"/>
      <c r="F185" s="3"/>
      <c r="G185" s="3"/>
      <c r="H185" s="3"/>
      <c r="I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pans="2:40" x14ac:dyDescent="0.2">
      <c r="B186" s="3"/>
      <c r="C186" s="3"/>
      <c r="D186" s="3"/>
      <c r="E186" s="3"/>
      <c r="F186" s="3"/>
      <c r="G186" s="3"/>
      <c r="H186" s="3"/>
      <c r="I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pans="2:40" x14ac:dyDescent="0.2">
      <c r="B187" s="3"/>
      <c r="C187" s="3"/>
      <c r="D187" s="3"/>
      <c r="E187" s="3"/>
      <c r="F187" s="3"/>
      <c r="G187" s="3"/>
      <c r="H187" s="3"/>
      <c r="I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2:40" x14ac:dyDescent="0.2">
      <c r="B188" s="3"/>
      <c r="C188" s="3"/>
      <c r="D188" s="3"/>
      <c r="E188" s="3"/>
      <c r="F188" s="3"/>
      <c r="G188" s="3"/>
      <c r="H188" s="3"/>
      <c r="I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pans="2:40" x14ac:dyDescent="0.2">
      <c r="B189" s="3"/>
      <c r="C189" s="3"/>
      <c r="D189" s="3"/>
      <c r="E189" s="3"/>
      <c r="F189" s="3"/>
      <c r="G189" s="3"/>
      <c r="H189" s="3"/>
      <c r="I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pans="2:40" x14ac:dyDescent="0.2">
      <c r="B190" s="3"/>
      <c r="C190" s="3"/>
      <c r="D190" s="3"/>
      <c r="E190" s="3"/>
      <c r="F190" s="3"/>
      <c r="G190" s="3"/>
      <c r="H190" s="3"/>
      <c r="I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pans="2:40" x14ac:dyDescent="0.2">
      <c r="B191" s="3"/>
      <c r="C191" s="3"/>
      <c r="D191" s="3"/>
      <c r="E191" s="3"/>
      <c r="F191" s="3"/>
      <c r="G191" s="3"/>
      <c r="H191" s="3"/>
      <c r="I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pans="2:40" x14ac:dyDescent="0.2">
      <c r="B192" s="3"/>
      <c r="C192" s="3"/>
      <c r="D192" s="3"/>
      <c r="E192" s="3"/>
      <c r="F192" s="3"/>
      <c r="G192" s="3"/>
      <c r="H192" s="3"/>
      <c r="I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pans="2:40" x14ac:dyDescent="0.2">
      <c r="B193" s="3"/>
      <c r="C193" s="3"/>
      <c r="D193" s="3"/>
      <c r="E193" s="3"/>
      <c r="F193" s="3"/>
      <c r="G193" s="3"/>
      <c r="H193" s="3"/>
      <c r="I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pans="2:40" x14ac:dyDescent="0.2">
      <c r="B194" s="3"/>
      <c r="C194" s="3"/>
      <c r="D194" s="3"/>
      <c r="E194" s="3"/>
      <c r="F194" s="3"/>
      <c r="G194" s="3"/>
      <c r="H194" s="3"/>
      <c r="I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pans="2:40" x14ac:dyDescent="0.2">
      <c r="B195" s="3"/>
      <c r="C195" s="3"/>
      <c r="D195" s="3"/>
      <c r="E195" s="3"/>
      <c r="F195" s="3"/>
      <c r="G195" s="3"/>
      <c r="H195" s="3"/>
      <c r="I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pans="2:40" x14ac:dyDescent="0.2">
      <c r="B196" s="3"/>
      <c r="C196" s="3"/>
      <c r="D196" s="3"/>
      <c r="E196" s="3"/>
      <c r="F196" s="3"/>
      <c r="G196" s="3"/>
      <c r="H196" s="3"/>
      <c r="I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pans="2:40" x14ac:dyDescent="0.2">
      <c r="B197" s="3"/>
      <c r="C197" s="3"/>
      <c r="D197" s="3"/>
      <c r="E197" s="3"/>
      <c r="F197" s="3"/>
      <c r="G197" s="3"/>
      <c r="H197" s="3"/>
      <c r="I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pans="2:40" x14ac:dyDescent="0.2">
      <c r="B198" s="3"/>
      <c r="C198" s="3"/>
      <c r="D198" s="3"/>
      <c r="E198" s="3"/>
      <c r="F198" s="3"/>
      <c r="G198" s="3"/>
      <c r="H198" s="3"/>
      <c r="I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pans="2:40" x14ac:dyDescent="0.2">
      <c r="B199" s="3"/>
      <c r="C199" s="3"/>
      <c r="D199" s="3"/>
      <c r="E199" s="3"/>
      <c r="F199" s="3"/>
      <c r="G199" s="3"/>
      <c r="H199" s="3"/>
      <c r="I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pans="2:40" x14ac:dyDescent="0.2">
      <c r="B200" s="3"/>
      <c r="C200" s="3"/>
      <c r="D200" s="3"/>
      <c r="E200" s="3"/>
      <c r="F200" s="3"/>
      <c r="G200" s="3"/>
      <c r="H200" s="3"/>
      <c r="I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pans="2:40" x14ac:dyDescent="0.2">
      <c r="B201" s="3"/>
      <c r="C201" s="3"/>
      <c r="D201" s="3"/>
      <c r="E201" s="3"/>
      <c r="F201" s="3"/>
      <c r="G201" s="3"/>
      <c r="H201" s="3"/>
      <c r="I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spans="2:40" x14ac:dyDescent="0.2">
      <c r="B202" s="3"/>
      <c r="C202" s="3"/>
      <c r="D202" s="3"/>
      <c r="E202" s="3"/>
      <c r="F202" s="3"/>
      <c r="G202" s="3"/>
      <c r="H202" s="3"/>
      <c r="I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spans="2:40" x14ac:dyDescent="0.2">
      <c r="B203" s="3"/>
      <c r="C203" s="3"/>
      <c r="D203" s="3"/>
      <c r="E203" s="3"/>
      <c r="F203" s="3"/>
      <c r="G203" s="3"/>
      <c r="H203" s="3"/>
      <c r="I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pans="2:40" x14ac:dyDescent="0.2">
      <c r="B204" s="3"/>
      <c r="C204" s="3"/>
      <c r="D204" s="3"/>
      <c r="E204" s="3"/>
      <c r="F204" s="3"/>
      <c r="G204" s="3"/>
      <c r="H204" s="3"/>
      <c r="I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pans="2:40" x14ac:dyDescent="0.2">
      <c r="B205" s="3"/>
      <c r="C205" s="3"/>
      <c r="D205" s="3"/>
      <c r="E205" s="3"/>
      <c r="F205" s="3"/>
      <c r="G205" s="3"/>
      <c r="H205" s="3"/>
      <c r="I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pans="2:40" x14ac:dyDescent="0.2">
      <c r="B206" s="3"/>
      <c r="C206" s="3"/>
      <c r="D206" s="3"/>
      <c r="E206" s="3"/>
      <c r="F206" s="3"/>
      <c r="G206" s="3"/>
      <c r="H206" s="3"/>
      <c r="I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pans="2:40" x14ac:dyDescent="0.2">
      <c r="B207" s="3"/>
      <c r="C207" s="3"/>
      <c r="D207" s="3"/>
      <c r="E207" s="3"/>
      <c r="F207" s="3"/>
      <c r="G207" s="3"/>
      <c r="H207" s="3"/>
      <c r="I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pans="2:40" x14ac:dyDescent="0.2">
      <c r="B208" s="3"/>
      <c r="C208" s="3"/>
      <c r="D208" s="3"/>
      <c r="E208" s="3"/>
      <c r="F208" s="3"/>
      <c r="G208" s="3"/>
      <c r="H208" s="3"/>
      <c r="I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pans="2:40" x14ac:dyDescent="0.2">
      <c r="B209" s="3"/>
      <c r="C209" s="3"/>
      <c r="D209" s="3"/>
      <c r="E209" s="3"/>
      <c r="F209" s="3"/>
      <c r="G209" s="3"/>
      <c r="H209" s="3"/>
      <c r="I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pans="2:40" x14ac:dyDescent="0.2">
      <c r="B210" s="3"/>
      <c r="C210" s="3"/>
      <c r="D210" s="3"/>
      <c r="E210" s="3"/>
      <c r="F210" s="3"/>
      <c r="G210" s="3"/>
      <c r="H210" s="3"/>
      <c r="I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pans="2:40" x14ac:dyDescent="0.2">
      <c r="B211" s="3"/>
      <c r="C211" s="3"/>
      <c r="D211" s="3"/>
      <c r="E211" s="3"/>
      <c r="F211" s="3"/>
      <c r="G211" s="3"/>
      <c r="H211" s="3"/>
      <c r="I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spans="2:40" x14ac:dyDescent="0.2">
      <c r="B212" s="3"/>
      <c r="C212" s="3"/>
      <c r="D212" s="3"/>
      <c r="E212" s="3"/>
      <c r="F212" s="3"/>
      <c r="G212" s="3"/>
      <c r="H212" s="3"/>
      <c r="I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spans="2:40" x14ac:dyDescent="0.2">
      <c r="B213" s="3"/>
      <c r="C213" s="3"/>
      <c r="D213" s="3"/>
      <c r="E213" s="3"/>
      <c r="F213" s="3"/>
      <c r="G213" s="3"/>
      <c r="H213" s="3"/>
      <c r="I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pans="2:40" x14ac:dyDescent="0.2">
      <c r="B214" s="3"/>
      <c r="C214" s="3"/>
      <c r="D214" s="3"/>
      <c r="E214" s="3"/>
      <c r="F214" s="3"/>
      <c r="G214" s="3"/>
      <c r="H214" s="3"/>
      <c r="I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spans="2:40" x14ac:dyDescent="0.2">
      <c r="B215" s="3"/>
      <c r="C215" s="3"/>
      <c r="D215" s="3"/>
      <c r="E215" s="3"/>
      <c r="F215" s="3"/>
      <c r="G215" s="3"/>
      <c r="H215" s="3"/>
      <c r="I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spans="2:40" x14ac:dyDescent="0.2">
      <c r="B216" s="3"/>
      <c r="C216" s="3"/>
      <c r="D216" s="3"/>
      <c r="E216" s="3"/>
      <c r="F216" s="3"/>
      <c r="G216" s="3"/>
      <c r="H216" s="3"/>
      <c r="I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pans="2:40" x14ac:dyDescent="0.2">
      <c r="B217" s="3"/>
      <c r="C217" s="3"/>
      <c r="D217" s="3"/>
      <c r="E217" s="3"/>
      <c r="F217" s="3"/>
      <c r="G217" s="3"/>
      <c r="H217" s="3"/>
      <c r="I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spans="2:40" x14ac:dyDescent="0.2">
      <c r="B218" s="3"/>
      <c r="C218" s="3"/>
      <c r="D218" s="3"/>
      <c r="E218" s="3"/>
      <c r="F218" s="3"/>
      <c r="G218" s="3"/>
      <c r="H218" s="3"/>
      <c r="I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spans="2:40" x14ac:dyDescent="0.2">
      <c r="B219" s="3"/>
      <c r="C219" s="3"/>
      <c r="D219" s="3"/>
      <c r="E219" s="3"/>
      <c r="F219" s="3"/>
      <c r="G219" s="3"/>
      <c r="H219" s="3"/>
      <c r="I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spans="2:40" x14ac:dyDescent="0.2">
      <c r="B220" s="3"/>
      <c r="C220" s="3"/>
      <c r="D220" s="3"/>
      <c r="E220" s="3"/>
      <c r="F220" s="3"/>
      <c r="G220" s="3"/>
      <c r="H220" s="3"/>
      <c r="I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spans="2:40" x14ac:dyDescent="0.2">
      <c r="B221" s="3"/>
      <c r="C221" s="3"/>
      <c r="D221" s="3"/>
      <c r="E221" s="3"/>
      <c r="F221" s="3"/>
      <c r="G221" s="3"/>
      <c r="H221" s="3"/>
      <c r="I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pans="2:40" x14ac:dyDescent="0.2">
      <c r="B222" s="3"/>
      <c r="C222" s="3"/>
      <c r="D222" s="3"/>
      <c r="E222" s="3"/>
      <c r="F222" s="3"/>
      <c r="G222" s="3"/>
      <c r="H222" s="3"/>
      <c r="I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pans="2:40" x14ac:dyDescent="0.2">
      <c r="B223" s="3"/>
      <c r="C223" s="3"/>
      <c r="D223" s="3"/>
      <c r="E223" s="3"/>
      <c r="F223" s="3"/>
      <c r="G223" s="3"/>
      <c r="H223" s="3"/>
      <c r="I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spans="2:40" x14ac:dyDescent="0.2">
      <c r="B224" s="3"/>
      <c r="C224" s="3"/>
      <c r="D224" s="3"/>
      <c r="E224" s="3"/>
      <c r="F224" s="3"/>
      <c r="G224" s="3"/>
      <c r="H224" s="3"/>
      <c r="I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pans="2:25" x14ac:dyDescent="0.2">
      <c r="B225" s="3"/>
      <c r="C225" s="3"/>
      <c r="D225" s="3"/>
      <c r="E225" s="3"/>
      <c r="F225" s="3"/>
      <c r="G225" s="3"/>
      <c r="H225" s="3"/>
      <c r="I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x14ac:dyDescent="0.2">
      <c r="B226" s="3"/>
      <c r="C226" s="3"/>
      <c r="D226" s="3"/>
      <c r="E226" s="3"/>
      <c r="F226" s="3"/>
      <c r="G226" s="3"/>
      <c r="H226" s="3"/>
      <c r="I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x14ac:dyDescent="0.2">
      <c r="B227" s="3"/>
      <c r="C227" s="3"/>
      <c r="D227" s="3"/>
      <c r="E227" s="3"/>
      <c r="F227" s="3"/>
      <c r="G227" s="3"/>
      <c r="H227" s="3"/>
      <c r="I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x14ac:dyDescent="0.2">
      <c r="B228" s="3"/>
      <c r="C228" s="3"/>
      <c r="D228" s="3"/>
      <c r="E228" s="3"/>
      <c r="F228" s="3"/>
      <c r="G228" s="3"/>
      <c r="H228" s="3"/>
      <c r="I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x14ac:dyDescent="0.2">
      <c r="B229" s="3"/>
      <c r="C229" s="3"/>
      <c r="D229" s="3"/>
      <c r="E229" s="3"/>
      <c r="F229" s="3"/>
      <c r="G229" s="3"/>
      <c r="H229" s="3"/>
      <c r="I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x14ac:dyDescent="0.2">
      <c r="B230" s="3"/>
      <c r="C230" s="3"/>
      <c r="D230" s="3"/>
      <c r="E230" s="3"/>
      <c r="F230" s="3"/>
      <c r="G230" s="3"/>
      <c r="H230" s="3"/>
      <c r="I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x14ac:dyDescent="0.2">
      <c r="B231" s="3"/>
      <c r="C231" s="3"/>
      <c r="D231" s="3"/>
      <c r="E231" s="3"/>
      <c r="F231" s="3"/>
      <c r="G231" s="3"/>
      <c r="H231" s="3"/>
      <c r="I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x14ac:dyDescent="0.2">
      <c r="B232" s="3"/>
      <c r="C232" s="3"/>
      <c r="D232" s="3"/>
      <c r="E232" s="3"/>
      <c r="F232" s="3"/>
      <c r="G232" s="3"/>
      <c r="H232" s="3"/>
      <c r="I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x14ac:dyDescent="0.2">
      <c r="B233" s="3"/>
      <c r="C233" s="3"/>
      <c r="D233" s="3"/>
      <c r="E233" s="3"/>
      <c r="F233" s="3"/>
      <c r="G233" s="3"/>
      <c r="H233" s="3"/>
      <c r="I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x14ac:dyDescent="0.2">
      <c r="B234" s="3"/>
      <c r="C234" s="3"/>
      <c r="D234" s="3"/>
      <c r="E234" s="3"/>
      <c r="F234" s="3"/>
      <c r="G234" s="3"/>
      <c r="H234" s="3"/>
      <c r="I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x14ac:dyDescent="0.2">
      <c r="B235" s="3"/>
      <c r="C235" s="3"/>
      <c r="D235" s="3"/>
      <c r="E235" s="3"/>
      <c r="F235" s="3"/>
      <c r="G235" s="3"/>
      <c r="H235" s="3"/>
      <c r="I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x14ac:dyDescent="0.2">
      <c r="B236" s="3"/>
      <c r="C236" s="3"/>
      <c r="D236" s="3"/>
      <c r="E236" s="3"/>
      <c r="F236" s="3"/>
      <c r="G236" s="3"/>
      <c r="H236" s="3"/>
      <c r="I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x14ac:dyDescent="0.2">
      <c r="B237" s="3"/>
      <c r="C237" s="3"/>
      <c r="D237" s="3"/>
      <c r="E237" s="3"/>
      <c r="F237" s="3"/>
      <c r="G237" s="3"/>
      <c r="H237" s="3"/>
      <c r="I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x14ac:dyDescent="0.2">
      <c r="B238" s="3"/>
      <c r="C238" s="3"/>
      <c r="D238" s="3"/>
      <c r="E238" s="3"/>
      <c r="F238" s="3"/>
      <c r="G238" s="3"/>
      <c r="H238" s="3"/>
      <c r="I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x14ac:dyDescent="0.2">
      <c r="B239" s="3"/>
      <c r="C239" s="3"/>
      <c r="D239" s="3"/>
      <c r="E239" s="3"/>
      <c r="F239" s="3"/>
      <c r="G239" s="3"/>
      <c r="H239" s="3"/>
      <c r="I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x14ac:dyDescent="0.2">
      <c r="B240" s="3"/>
      <c r="C240" s="3"/>
      <c r="D240" s="3"/>
      <c r="E240" s="3"/>
      <c r="F240" s="3"/>
      <c r="G240" s="3"/>
      <c r="H240" s="3"/>
      <c r="I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x14ac:dyDescent="0.2">
      <c r="B241" s="3"/>
      <c r="C241" s="3"/>
      <c r="D241" s="3"/>
      <c r="E241" s="3"/>
      <c r="F241" s="3"/>
      <c r="G241" s="3"/>
      <c r="H241" s="3"/>
      <c r="I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x14ac:dyDescent="0.2">
      <c r="B242" s="3"/>
      <c r="C242" s="3"/>
      <c r="D242" s="3"/>
      <c r="E242" s="3"/>
      <c r="F242" s="3"/>
      <c r="G242" s="3"/>
      <c r="H242" s="3"/>
      <c r="I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x14ac:dyDescent="0.2">
      <c r="B243" s="3"/>
      <c r="C243" s="3"/>
      <c r="D243" s="3"/>
      <c r="E243" s="3"/>
      <c r="F243" s="3"/>
      <c r="G243" s="3"/>
      <c r="H243" s="3"/>
      <c r="I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x14ac:dyDescent="0.2">
      <c r="B244" s="3"/>
      <c r="C244" s="3"/>
      <c r="D244" s="3"/>
      <c r="E244" s="3"/>
      <c r="F244" s="3"/>
      <c r="G244" s="3"/>
      <c r="H244" s="3"/>
      <c r="I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x14ac:dyDescent="0.2">
      <c r="B245" s="3"/>
      <c r="C245" s="3"/>
      <c r="D245" s="3"/>
      <c r="E245" s="3"/>
      <c r="F245" s="3"/>
      <c r="G245" s="3"/>
      <c r="H245" s="3"/>
      <c r="I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x14ac:dyDescent="0.2">
      <c r="B246" s="3"/>
      <c r="C246" s="3"/>
      <c r="D246" s="3"/>
      <c r="E246" s="3"/>
      <c r="F246" s="3"/>
      <c r="G246" s="3"/>
      <c r="H246" s="3"/>
      <c r="I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x14ac:dyDescent="0.2">
      <c r="B247" s="3"/>
      <c r="C247" s="3"/>
      <c r="D247" s="3"/>
      <c r="E247" s="3"/>
      <c r="F247" s="3"/>
      <c r="G247" s="3"/>
      <c r="H247" s="3"/>
      <c r="I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x14ac:dyDescent="0.2">
      <c r="B248" s="3"/>
      <c r="C248" s="3"/>
      <c r="D248" s="3"/>
      <c r="E248" s="3"/>
      <c r="F248" s="3"/>
      <c r="G248" s="3"/>
      <c r="H248" s="3"/>
      <c r="I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x14ac:dyDescent="0.2">
      <c r="B249" s="3"/>
      <c r="C249" s="3"/>
      <c r="D249" s="3"/>
      <c r="E249" s="3"/>
      <c r="F249" s="3"/>
      <c r="G249" s="3"/>
      <c r="H249" s="3"/>
      <c r="I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x14ac:dyDescent="0.2">
      <c r="B250" s="3"/>
      <c r="C250" s="3"/>
      <c r="D250" s="3"/>
      <c r="E250" s="3"/>
      <c r="F250" s="3"/>
      <c r="G250" s="3"/>
      <c r="H250" s="3"/>
      <c r="I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x14ac:dyDescent="0.2">
      <c r="B251" s="3"/>
      <c r="C251" s="3"/>
      <c r="D251" s="3"/>
      <c r="E251" s="3"/>
      <c r="F251" s="3"/>
      <c r="G251" s="3"/>
      <c r="H251" s="3"/>
      <c r="I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x14ac:dyDescent="0.2">
      <c r="B252" s="3"/>
      <c r="C252" s="3"/>
      <c r="D252" s="3"/>
      <c r="E252" s="3"/>
      <c r="F252" s="3"/>
      <c r="G252" s="3"/>
      <c r="H252" s="3"/>
      <c r="I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x14ac:dyDescent="0.2">
      <c r="B253" s="3"/>
      <c r="C253" s="3"/>
      <c r="D253" s="3"/>
      <c r="E253" s="3"/>
      <c r="F253" s="3"/>
      <c r="G253" s="3"/>
      <c r="H253" s="3"/>
      <c r="I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x14ac:dyDescent="0.2">
      <c r="B254" s="3"/>
      <c r="C254" s="3"/>
      <c r="D254" s="3"/>
      <c r="E254" s="3"/>
      <c r="F254" s="3"/>
      <c r="G254" s="3"/>
      <c r="H254" s="3"/>
      <c r="I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x14ac:dyDescent="0.2">
      <c r="B255" s="3"/>
      <c r="C255" s="3"/>
      <c r="D255" s="3"/>
      <c r="E255" s="3"/>
      <c r="F255" s="3"/>
      <c r="G255" s="3"/>
      <c r="H255" s="3"/>
      <c r="I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x14ac:dyDescent="0.2">
      <c r="B256" s="3"/>
      <c r="C256" s="3"/>
      <c r="D256" s="3"/>
      <c r="E256" s="3"/>
      <c r="F256" s="3"/>
      <c r="G256" s="3"/>
      <c r="H256" s="3"/>
      <c r="I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x14ac:dyDescent="0.2">
      <c r="B257" s="3"/>
      <c r="C257" s="3"/>
      <c r="D257" s="3"/>
      <c r="E257" s="3"/>
      <c r="F257" s="3"/>
      <c r="G257" s="3"/>
      <c r="H257" s="3"/>
      <c r="I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x14ac:dyDescent="0.2">
      <c r="B258" s="3"/>
      <c r="C258" s="3"/>
      <c r="D258" s="3"/>
      <c r="E258" s="3"/>
      <c r="F258" s="3"/>
      <c r="G258" s="3"/>
      <c r="H258" s="3"/>
      <c r="I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x14ac:dyDescent="0.2">
      <c r="B259" s="3"/>
      <c r="C259" s="3"/>
      <c r="D259" s="3"/>
      <c r="E259" s="3"/>
      <c r="F259" s="3"/>
      <c r="G259" s="3"/>
      <c r="H259" s="3"/>
      <c r="I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x14ac:dyDescent="0.2">
      <c r="B260" s="3"/>
      <c r="C260" s="3"/>
      <c r="D260" s="3"/>
      <c r="E260" s="3"/>
      <c r="F260" s="3"/>
      <c r="G260" s="3"/>
      <c r="H260" s="3"/>
      <c r="I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x14ac:dyDescent="0.2">
      <c r="B261" s="3"/>
      <c r="C261" s="3"/>
      <c r="D261" s="3"/>
      <c r="E261" s="3"/>
      <c r="F261" s="3"/>
      <c r="G261" s="3"/>
      <c r="H261" s="3"/>
      <c r="I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x14ac:dyDescent="0.2">
      <c r="B262" s="3"/>
      <c r="C262" s="3"/>
      <c r="D262" s="3"/>
      <c r="E262" s="3"/>
      <c r="F262" s="3"/>
      <c r="G262" s="3"/>
      <c r="H262" s="3"/>
      <c r="I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x14ac:dyDescent="0.2">
      <c r="B263" s="3"/>
      <c r="C263" s="3"/>
      <c r="D263" s="3"/>
      <c r="E263" s="3"/>
      <c r="F263" s="3"/>
      <c r="G263" s="3"/>
      <c r="H263" s="3"/>
      <c r="I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x14ac:dyDescent="0.2">
      <c r="B264" s="3"/>
      <c r="C264" s="3"/>
      <c r="D264" s="3"/>
      <c r="E264" s="3"/>
      <c r="F264" s="3"/>
      <c r="G264" s="3"/>
      <c r="H264" s="3"/>
      <c r="I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x14ac:dyDescent="0.2">
      <c r="B265" s="3"/>
      <c r="C265" s="3"/>
      <c r="D265" s="3"/>
      <c r="E265" s="3"/>
      <c r="F265" s="3"/>
      <c r="G265" s="3"/>
      <c r="H265" s="3"/>
      <c r="I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x14ac:dyDescent="0.2">
      <c r="B266" s="3"/>
      <c r="C266" s="3"/>
      <c r="D266" s="3"/>
      <c r="E266" s="3"/>
      <c r="F266" s="3"/>
      <c r="G266" s="3"/>
      <c r="H266" s="3"/>
      <c r="I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x14ac:dyDescent="0.2">
      <c r="B267" s="3"/>
      <c r="C267" s="3"/>
      <c r="D267" s="3"/>
      <c r="E267" s="3"/>
      <c r="F267" s="3"/>
      <c r="G267" s="3"/>
      <c r="H267" s="3"/>
      <c r="I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x14ac:dyDescent="0.2">
      <c r="B268" s="3"/>
      <c r="C268" s="3"/>
      <c r="D268" s="3"/>
      <c r="E268" s="3"/>
      <c r="F268" s="3"/>
      <c r="G268" s="3"/>
      <c r="H268" s="3"/>
      <c r="I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x14ac:dyDescent="0.2">
      <c r="B269" s="3"/>
      <c r="C269" s="3"/>
      <c r="D269" s="3"/>
      <c r="E269" s="3"/>
      <c r="F269" s="3"/>
      <c r="G269" s="3"/>
      <c r="H269" s="3"/>
      <c r="I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x14ac:dyDescent="0.2">
      <c r="B270" s="3"/>
      <c r="C270" s="3"/>
      <c r="D270" s="3"/>
      <c r="E270" s="3"/>
      <c r="F270" s="3"/>
      <c r="G270" s="3"/>
      <c r="H270" s="3"/>
      <c r="I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x14ac:dyDescent="0.2">
      <c r="B271" s="3"/>
      <c r="C271" s="3"/>
      <c r="D271" s="3"/>
      <c r="E271" s="3"/>
      <c r="F271" s="3"/>
      <c r="G271" s="3"/>
      <c r="H271" s="3"/>
      <c r="I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x14ac:dyDescent="0.2">
      <c r="B272" s="3"/>
      <c r="C272" s="3"/>
      <c r="D272" s="3"/>
      <c r="E272" s="3"/>
      <c r="F272" s="3"/>
      <c r="G272" s="3"/>
      <c r="H272" s="3"/>
      <c r="I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x14ac:dyDescent="0.2">
      <c r="B273" s="3"/>
      <c r="C273" s="3"/>
      <c r="D273" s="3"/>
      <c r="E273" s="3"/>
      <c r="F273" s="3"/>
      <c r="G273" s="3"/>
      <c r="H273" s="3"/>
      <c r="I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x14ac:dyDescent="0.2">
      <c r="B274" s="3"/>
      <c r="C274" s="3"/>
      <c r="D274" s="3"/>
      <c r="E274" s="3"/>
      <c r="F274" s="3"/>
      <c r="G274" s="3"/>
      <c r="H274" s="3"/>
      <c r="I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x14ac:dyDescent="0.2">
      <c r="B275" s="3"/>
      <c r="C275" s="3"/>
      <c r="D275" s="3"/>
      <c r="E275" s="3"/>
      <c r="F275" s="3"/>
      <c r="G275" s="3"/>
      <c r="H275" s="3"/>
      <c r="I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x14ac:dyDescent="0.2">
      <c r="B276" s="3"/>
      <c r="C276" s="3"/>
      <c r="D276" s="3"/>
      <c r="E276" s="3"/>
      <c r="F276" s="3"/>
      <c r="G276" s="3"/>
      <c r="H276" s="3"/>
      <c r="I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x14ac:dyDescent="0.2">
      <c r="B277" s="3"/>
      <c r="C277" s="3"/>
      <c r="D277" s="3"/>
      <c r="E277" s="3"/>
      <c r="F277" s="3"/>
      <c r="G277" s="3"/>
      <c r="H277" s="3"/>
      <c r="I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x14ac:dyDescent="0.2">
      <c r="B278" s="3"/>
      <c r="C278" s="3"/>
      <c r="D278" s="3"/>
      <c r="E278" s="3"/>
      <c r="F278" s="3"/>
      <c r="G278" s="3"/>
      <c r="H278" s="3"/>
      <c r="I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x14ac:dyDescent="0.2">
      <c r="B279" s="3"/>
      <c r="C279" s="3"/>
      <c r="D279" s="3"/>
      <c r="E279" s="3"/>
      <c r="F279" s="3"/>
      <c r="G279" s="3"/>
      <c r="H279" s="3"/>
      <c r="I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x14ac:dyDescent="0.2">
      <c r="B280" s="3"/>
      <c r="C280" s="3"/>
      <c r="D280" s="3"/>
      <c r="E280" s="3"/>
      <c r="F280" s="3"/>
      <c r="G280" s="3"/>
      <c r="H280" s="3"/>
      <c r="I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x14ac:dyDescent="0.2">
      <c r="B281" s="3"/>
      <c r="C281" s="3"/>
      <c r="D281" s="3"/>
      <c r="E281" s="3"/>
      <c r="F281" s="3"/>
      <c r="G281" s="3"/>
      <c r="H281" s="3"/>
      <c r="I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x14ac:dyDescent="0.2">
      <c r="B282" s="3"/>
      <c r="C282" s="3"/>
      <c r="D282" s="3"/>
      <c r="E282" s="3"/>
      <c r="F282" s="3"/>
      <c r="G282" s="3"/>
      <c r="H282" s="3"/>
      <c r="I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x14ac:dyDescent="0.2">
      <c r="B283" s="3"/>
      <c r="C283" s="3"/>
      <c r="D283" s="3"/>
      <c r="E283" s="3"/>
      <c r="F283" s="3"/>
      <c r="G283" s="3"/>
      <c r="H283" s="3"/>
      <c r="I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x14ac:dyDescent="0.2">
      <c r="B284" s="3"/>
      <c r="C284" s="3"/>
      <c r="D284" s="3"/>
      <c r="E284" s="3"/>
      <c r="F284" s="3"/>
      <c r="G284" s="3"/>
      <c r="H284" s="3"/>
      <c r="I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x14ac:dyDescent="0.2">
      <c r="B285" s="3"/>
      <c r="C285" s="3"/>
      <c r="D285" s="3"/>
      <c r="E285" s="3"/>
      <c r="F285" s="3"/>
      <c r="G285" s="3"/>
      <c r="H285" s="3"/>
      <c r="I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x14ac:dyDescent="0.2">
      <c r="B286" s="3"/>
      <c r="C286" s="3"/>
      <c r="D286" s="3"/>
      <c r="E286" s="3"/>
      <c r="F286" s="3"/>
      <c r="G286" s="3"/>
      <c r="H286" s="3"/>
      <c r="I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x14ac:dyDescent="0.2">
      <c r="B287" s="3"/>
      <c r="C287" s="3"/>
      <c r="D287" s="3"/>
      <c r="E287" s="3"/>
      <c r="F287" s="3"/>
      <c r="G287" s="3"/>
      <c r="H287" s="3"/>
      <c r="I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x14ac:dyDescent="0.2">
      <c r="B288" s="3"/>
      <c r="C288" s="3"/>
      <c r="D288" s="3"/>
      <c r="E288" s="3"/>
      <c r="F288" s="3"/>
      <c r="G288" s="3"/>
      <c r="H288" s="3"/>
      <c r="I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x14ac:dyDescent="0.2">
      <c r="B289" s="3"/>
      <c r="C289" s="3"/>
      <c r="D289" s="3"/>
      <c r="E289" s="3"/>
      <c r="F289" s="3"/>
      <c r="G289" s="3"/>
      <c r="H289" s="3"/>
      <c r="I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x14ac:dyDescent="0.2">
      <c r="B290" s="3"/>
      <c r="C290" s="3"/>
      <c r="D290" s="3"/>
      <c r="E290" s="3"/>
      <c r="F290" s="3"/>
      <c r="G290" s="3"/>
      <c r="H290" s="3"/>
      <c r="I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x14ac:dyDescent="0.2">
      <c r="B291" s="3"/>
      <c r="C291" s="3"/>
      <c r="D291" s="3"/>
      <c r="E291" s="3"/>
      <c r="F291" s="3"/>
      <c r="G291" s="3"/>
      <c r="H291" s="3"/>
      <c r="I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x14ac:dyDescent="0.2">
      <c r="B292" s="3"/>
      <c r="C292" s="3"/>
      <c r="D292" s="3"/>
      <c r="E292" s="3"/>
      <c r="F292" s="3"/>
      <c r="G292" s="3"/>
      <c r="H292" s="3"/>
      <c r="I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x14ac:dyDescent="0.2">
      <c r="B293" s="3"/>
      <c r="C293" s="3"/>
      <c r="D293" s="3"/>
      <c r="E293" s="3"/>
      <c r="F293" s="3"/>
      <c r="G293" s="3"/>
      <c r="H293" s="3"/>
      <c r="I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x14ac:dyDescent="0.2">
      <c r="B294" s="3"/>
      <c r="C294" s="3"/>
      <c r="D294" s="3"/>
      <c r="E294" s="3"/>
      <c r="F294" s="3"/>
      <c r="G294" s="3"/>
      <c r="H294" s="3"/>
      <c r="I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x14ac:dyDescent="0.2">
      <c r="B295" s="3"/>
      <c r="C295" s="3"/>
      <c r="D295" s="3"/>
      <c r="E295" s="3"/>
      <c r="F295" s="3"/>
      <c r="G295" s="3"/>
      <c r="H295" s="3"/>
      <c r="I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x14ac:dyDescent="0.2">
      <c r="B296" s="3"/>
      <c r="C296" s="3"/>
      <c r="D296" s="3"/>
      <c r="E296" s="3"/>
      <c r="F296" s="3"/>
      <c r="G296" s="3"/>
      <c r="H296" s="3"/>
      <c r="I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x14ac:dyDescent="0.2">
      <c r="B297" s="3"/>
      <c r="C297" s="3"/>
      <c r="D297" s="3"/>
      <c r="E297" s="3"/>
      <c r="F297" s="3"/>
      <c r="G297" s="3"/>
      <c r="H297" s="3"/>
      <c r="I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x14ac:dyDescent="0.2">
      <c r="B298" s="3"/>
      <c r="C298" s="3"/>
      <c r="D298" s="3"/>
      <c r="E298" s="3"/>
      <c r="F298" s="3"/>
      <c r="G298" s="3"/>
      <c r="H298" s="3"/>
      <c r="I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x14ac:dyDescent="0.2">
      <c r="B299" s="3"/>
      <c r="C299" s="3"/>
      <c r="D299" s="3"/>
      <c r="E299" s="3"/>
      <c r="F299" s="3"/>
      <c r="G299" s="3"/>
      <c r="H299" s="3"/>
      <c r="I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x14ac:dyDescent="0.2">
      <c r="B300" s="3"/>
      <c r="C300" s="3"/>
      <c r="D300" s="3"/>
      <c r="E300" s="3"/>
      <c r="F300" s="3"/>
      <c r="G300" s="3"/>
      <c r="H300" s="3"/>
      <c r="I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x14ac:dyDescent="0.2">
      <c r="B301" s="3"/>
      <c r="C301" s="3"/>
      <c r="D301" s="3"/>
      <c r="E301" s="3"/>
      <c r="F301" s="3"/>
      <c r="G301" s="3"/>
      <c r="H301" s="3"/>
      <c r="I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x14ac:dyDescent="0.2">
      <c r="B302" s="3"/>
      <c r="C302" s="3"/>
      <c r="D302" s="3"/>
      <c r="E302" s="3"/>
      <c r="F302" s="3"/>
      <c r="G302" s="3"/>
      <c r="H302" s="3"/>
      <c r="I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x14ac:dyDescent="0.2">
      <c r="B303" s="3"/>
      <c r="C303" s="3"/>
      <c r="D303" s="3"/>
      <c r="E303" s="3"/>
      <c r="F303" s="3"/>
      <c r="G303" s="3"/>
      <c r="H303" s="3"/>
      <c r="I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x14ac:dyDescent="0.2">
      <c r="B304" s="3"/>
      <c r="C304" s="3"/>
      <c r="D304" s="3"/>
      <c r="E304" s="3"/>
      <c r="F304" s="3"/>
      <c r="G304" s="3"/>
      <c r="H304" s="3"/>
      <c r="I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x14ac:dyDescent="0.2">
      <c r="B305" s="3"/>
      <c r="C305" s="3"/>
      <c r="D305" s="3"/>
      <c r="E305" s="3"/>
      <c r="F305" s="3"/>
      <c r="G305" s="3"/>
      <c r="H305" s="3"/>
      <c r="I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x14ac:dyDescent="0.2">
      <c r="B306" s="3"/>
      <c r="C306" s="3"/>
      <c r="D306" s="3"/>
      <c r="E306" s="3"/>
      <c r="F306" s="3"/>
      <c r="G306" s="3"/>
      <c r="H306" s="3"/>
      <c r="I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x14ac:dyDescent="0.2">
      <c r="B307" s="3"/>
      <c r="C307" s="3"/>
      <c r="D307" s="3"/>
      <c r="E307" s="3"/>
      <c r="F307" s="3"/>
      <c r="G307" s="3"/>
      <c r="H307" s="3"/>
      <c r="I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x14ac:dyDescent="0.2">
      <c r="B308" s="3"/>
      <c r="C308" s="3"/>
      <c r="D308" s="3"/>
      <c r="E308" s="3"/>
      <c r="F308" s="3"/>
      <c r="G308" s="3"/>
      <c r="H308" s="3"/>
      <c r="I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x14ac:dyDescent="0.2">
      <c r="B309" s="3"/>
      <c r="C309" s="3"/>
      <c r="D309" s="3"/>
      <c r="E309" s="3"/>
      <c r="F309" s="3"/>
      <c r="G309" s="3"/>
      <c r="H309" s="3"/>
      <c r="I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x14ac:dyDescent="0.2">
      <c r="B310" s="3"/>
      <c r="C310" s="3"/>
      <c r="D310" s="3"/>
      <c r="E310" s="3"/>
      <c r="F310" s="3"/>
      <c r="G310" s="3"/>
      <c r="H310" s="3"/>
      <c r="I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x14ac:dyDescent="0.2">
      <c r="B311" s="3"/>
      <c r="C311" s="3"/>
      <c r="D311" s="3"/>
      <c r="E311" s="3"/>
      <c r="F311" s="3"/>
      <c r="G311" s="3"/>
      <c r="H311" s="3"/>
      <c r="I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x14ac:dyDescent="0.2">
      <c r="B312" s="3"/>
      <c r="C312" s="3"/>
      <c r="D312" s="3"/>
      <c r="E312" s="3"/>
      <c r="F312" s="3"/>
      <c r="G312" s="3"/>
      <c r="H312" s="3"/>
      <c r="I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x14ac:dyDescent="0.2">
      <c r="B313" s="3"/>
      <c r="C313" s="3"/>
      <c r="D313" s="3"/>
      <c r="E313" s="3"/>
      <c r="F313" s="3"/>
      <c r="G313" s="3"/>
      <c r="H313" s="3"/>
      <c r="I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x14ac:dyDescent="0.2">
      <c r="B314" s="3"/>
      <c r="C314" s="3"/>
      <c r="D314" s="3"/>
      <c r="E314" s="3"/>
      <c r="F314" s="3"/>
      <c r="G314" s="3"/>
      <c r="H314" s="3"/>
      <c r="I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x14ac:dyDescent="0.2">
      <c r="B315" s="3"/>
      <c r="C315" s="3"/>
      <c r="D315" s="3"/>
      <c r="E315" s="3"/>
      <c r="F315" s="3"/>
      <c r="G315" s="3"/>
      <c r="H315" s="3"/>
      <c r="I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x14ac:dyDescent="0.2">
      <c r="B316" s="3"/>
      <c r="C316" s="3"/>
      <c r="D316" s="3"/>
      <c r="E316" s="3"/>
      <c r="F316" s="3"/>
      <c r="G316" s="3"/>
      <c r="H316" s="3"/>
      <c r="I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x14ac:dyDescent="0.2">
      <c r="B317" s="3"/>
      <c r="C317" s="3"/>
      <c r="D317" s="3"/>
      <c r="E317" s="3"/>
      <c r="F317" s="3"/>
      <c r="G317" s="3"/>
      <c r="H317" s="3"/>
      <c r="I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x14ac:dyDescent="0.2">
      <c r="B318" s="3"/>
      <c r="C318" s="3"/>
      <c r="D318" s="3"/>
      <c r="E318" s="3"/>
      <c r="F318" s="3"/>
      <c r="G318" s="3"/>
      <c r="H318" s="3"/>
      <c r="I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x14ac:dyDescent="0.2">
      <c r="B319" s="3"/>
      <c r="C319" s="3"/>
      <c r="D319" s="3"/>
      <c r="E319" s="3"/>
      <c r="F319" s="3"/>
      <c r="G319" s="3"/>
      <c r="H319" s="3"/>
      <c r="I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x14ac:dyDescent="0.2">
      <c r="B320" s="3"/>
      <c r="C320" s="3"/>
      <c r="D320" s="3"/>
      <c r="E320" s="3"/>
      <c r="F320" s="3"/>
      <c r="G320" s="3"/>
      <c r="H320" s="3"/>
      <c r="I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x14ac:dyDescent="0.2">
      <c r="B321" s="3"/>
      <c r="C321" s="3"/>
      <c r="D321" s="3"/>
      <c r="E321" s="3"/>
      <c r="F321" s="3"/>
      <c r="G321" s="3"/>
      <c r="H321" s="3"/>
      <c r="I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x14ac:dyDescent="0.2">
      <c r="B322" s="3"/>
      <c r="C322" s="3"/>
      <c r="D322" s="3"/>
      <c r="E322" s="3"/>
      <c r="F322" s="3"/>
      <c r="G322" s="3"/>
      <c r="H322" s="3"/>
      <c r="I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x14ac:dyDescent="0.2">
      <c r="B323" s="3"/>
      <c r="C323" s="3"/>
      <c r="D323" s="3"/>
      <c r="E323" s="3"/>
      <c r="F323" s="3"/>
      <c r="G323" s="3"/>
      <c r="H323" s="3"/>
      <c r="I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x14ac:dyDescent="0.2">
      <c r="B324" s="3"/>
      <c r="C324" s="3"/>
      <c r="D324" s="3"/>
      <c r="E324" s="3"/>
      <c r="F324" s="3"/>
      <c r="G324" s="3"/>
      <c r="H324" s="3"/>
      <c r="I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x14ac:dyDescent="0.2">
      <c r="B325" s="3"/>
      <c r="C325" s="3"/>
      <c r="D325" s="3"/>
      <c r="E325" s="3"/>
      <c r="F325" s="3"/>
      <c r="G325" s="3"/>
      <c r="H325" s="3"/>
      <c r="I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x14ac:dyDescent="0.2">
      <c r="B326" s="3"/>
      <c r="C326" s="3"/>
      <c r="D326" s="3"/>
      <c r="E326" s="3"/>
      <c r="F326" s="3"/>
      <c r="G326" s="3"/>
      <c r="H326" s="3"/>
      <c r="I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x14ac:dyDescent="0.2">
      <c r="B327" s="3"/>
      <c r="C327" s="3"/>
      <c r="D327" s="3"/>
      <c r="E327" s="3"/>
      <c r="F327" s="3"/>
      <c r="G327" s="3"/>
      <c r="H327" s="3"/>
      <c r="I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x14ac:dyDescent="0.2">
      <c r="B328" s="3"/>
      <c r="C328" s="3"/>
      <c r="D328" s="3"/>
      <c r="E328" s="3"/>
      <c r="F328" s="3"/>
      <c r="G328" s="3"/>
      <c r="H328" s="3"/>
      <c r="I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x14ac:dyDescent="0.2">
      <c r="B329" s="3"/>
      <c r="C329" s="3"/>
      <c r="D329" s="3"/>
      <c r="E329" s="3"/>
      <c r="F329" s="3"/>
      <c r="G329" s="3"/>
      <c r="H329" s="3"/>
      <c r="I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x14ac:dyDescent="0.2">
      <c r="B330" s="3"/>
      <c r="C330" s="3"/>
      <c r="D330" s="3"/>
      <c r="E330" s="3"/>
      <c r="F330" s="3"/>
      <c r="G330" s="3"/>
      <c r="H330" s="3"/>
      <c r="I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x14ac:dyDescent="0.2">
      <c r="B331" s="3"/>
      <c r="C331" s="3"/>
      <c r="D331" s="3"/>
      <c r="E331" s="3"/>
      <c r="F331" s="3"/>
      <c r="G331" s="3"/>
      <c r="H331" s="3"/>
      <c r="I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x14ac:dyDescent="0.2">
      <c r="B332" s="3"/>
      <c r="C332" s="3"/>
      <c r="D332" s="3"/>
      <c r="E332" s="3"/>
      <c r="F332" s="3"/>
      <c r="G332" s="3"/>
      <c r="H332" s="3"/>
      <c r="I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x14ac:dyDescent="0.2">
      <c r="B333" s="3"/>
      <c r="C333" s="3"/>
      <c r="D333" s="3"/>
      <c r="E333" s="3"/>
      <c r="F333" s="3"/>
      <c r="G333" s="3"/>
      <c r="H333" s="3"/>
      <c r="I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x14ac:dyDescent="0.2">
      <c r="B334" s="3"/>
      <c r="C334" s="3"/>
      <c r="D334" s="3"/>
      <c r="E334" s="3"/>
      <c r="F334" s="3"/>
      <c r="G334" s="3"/>
      <c r="H334" s="3"/>
      <c r="I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x14ac:dyDescent="0.2">
      <c r="B335" s="3"/>
      <c r="C335" s="3"/>
      <c r="D335" s="3"/>
      <c r="E335" s="3"/>
      <c r="F335" s="3"/>
      <c r="G335" s="3"/>
      <c r="H335" s="3"/>
      <c r="I335" s="3"/>
      <c r="Q335" s="3"/>
      <c r="R335" s="3"/>
      <c r="S335" s="3"/>
      <c r="T335" s="3"/>
      <c r="U335" s="3"/>
      <c r="V335" s="3"/>
      <c r="W335" s="3"/>
      <c r="X335" s="3"/>
      <c r="Y335" s="3"/>
    </row>
  </sheetData>
  <mergeCells count="7">
    <mergeCell ref="O7:P8"/>
    <mergeCell ref="B5:N5"/>
    <mergeCell ref="B7:C9"/>
    <mergeCell ref="D7:D9"/>
    <mergeCell ref="F7:G8"/>
    <mergeCell ref="I7:J8"/>
    <mergeCell ref="L7:M8"/>
  </mergeCells>
  <hyperlinks>
    <hyperlink ref="P1" location="Índice!A1" tooltip="Ir a ÍNDICE" display="INDICE" xr:uid="{3601F001-C2A8-43CC-8B70-D2D5A919A027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48C3-F2B1-4CD7-A95A-DE713C5484EC}">
  <sheetPr>
    <pageSetUpPr fitToPage="1"/>
  </sheetPr>
  <dimension ref="A1:AQ99"/>
  <sheetViews>
    <sheetView showGridLines="0" zoomScaleNormal="100" zoomScaleSheetLayoutView="5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24.28515625" style="405" customWidth="1"/>
    <col min="3" max="3" width="0.85546875" style="406" customWidth="1" collapsed="1"/>
    <col min="4" max="4" width="18.7109375" style="406" customWidth="1" collapsed="1"/>
    <col min="5" max="5" width="0.85546875" style="406" customWidth="1"/>
    <col min="6" max="6" width="10.7109375" style="406" customWidth="1" collapsed="1"/>
    <col min="7" max="7" width="10.7109375" style="405" customWidth="1" collapsed="1"/>
    <col min="8" max="8" width="0.85546875" style="405" customWidth="1" collapsed="1"/>
    <col min="9" max="10" width="10.7109375" style="405" customWidth="1" collapsed="1"/>
    <col min="11" max="11" width="0.85546875" style="405" customWidth="1" collapsed="1"/>
    <col min="12" max="13" width="10.7109375" style="405" customWidth="1" collapsed="1"/>
    <col min="14" max="14" width="0.85546875" style="405" customWidth="1" collapsed="1"/>
    <col min="15" max="16" width="10.7109375" style="405" customWidth="1" collapsed="1"/>
    <col min="17" max="17" width="0.85546875" style="405" customWidth="1" collapsed="1"/>
    <col min="18" max="18" width="10.7109375" style="405" customWidth="1" collapsed="1"/>
    <col min="19" max="19" width="10.7109375" style="405" customWidth="1"/>
    <col min="20" max="20" width="0.85546875" style="405" customWidth="1"/>
    <col min="21" max="22" width="10.7109375" style="405" customWidth="1"/>
    <col min="23" max="23" width="0.85546875" style="405" customWidth="1"/>
    <col min="24" max="25" width="10.7109375" style="405" customWidth="1"/>
    <col min="26" max="26" width="11.42578125" style="405"/>
    <col min="27" max="27" width="11.42578125" style="405" collapsed="1"/>
    <col min="28" max="29" width="11.42578125" style="405"/>
    <col min="30" max="30" width="11.42578125" style="405" collapsed="1"/>
    <col min="31" max="31" width="11.42578125" style="405"/>
    <col min="32" max="32" width="11.42578125" style="405" collapsed="1"/>
    <col min="33" max="35" width="11.42578125" style="405"/>
    <col min="36" max="36" width="11.42578125" style="405" collapsed="1"/>
    <col min="37" max="39" width="11.42578125" style="405"/>
    <col min="40" max="40" width="11.42578125" style="405" collapsed="1"/>
    <col min="41" max="43" width="11.42578125" style="405"/>
    <col min="44" max="16384" width="11.42578125" style="405" collapsed="1"/>
  </cols>
  <sheetData>
    <row r="1" spans="1:25" s="362" customFormat="1" ht="14.1" customHeight="1" x14ac:dyDescent="0.2">
      <c r="A1" s="66"/>
      <c r="B1" s="485" t="s">
        <v>144</v>
      </c>
      <c r="C1" s="360"/>
      <c r="D1" s="361"/>
      <c r="E1" s="361"/>
      <c r="F1" s="361"/>
      <c r="Y1" s="85" t="s">
        <v>118</v>
      </c>
    </row>
    <row r="2" spans="1:25" s="362" customFormat="1" ht="6.95" customHeight="1" x14ac:dyDescent="0.2">
      <c r="A2" s="66"/>
      <c r="B2" s="485"/>
      <c r="C2" s="360"/>
      <c r="D2" s="361"/>
      <c r="E2" s="361"/>
      <c r="F2" s="361"/>
    </row>
    <row r="3" spans="1:25" s="364" customFormat="1" ht="14.1" customHeight="1" x14ac:dyDescent="0.2">
      <c r="A3" s="106"/>
      <c r="B3" s="485" t="s">
        <v>142</v>
      </c>
      <c r="C3" s="363"/>
      <c r="D3" s="363"/>
      <c r="E3" s="363"/>
      <c r="F3" s="363"/>
      <c r="G3" s="363"/>
    </row>
    <row r="4" spans="1:25" s="364" customFormat="1" ht="6.95" customHeight="1" x14ac:dyDescent="0.2">
      <c r="A4" s="106"/>
      <c r="C4" s="365"/>
      <c r="D4" s="365"/>
      <c r="E4" s="365"/>
      <c r="F4" s="365"/>
    </row>
    <row r="5" spans="1:25" s="364" customFormat="1" ht="20.100000000000001" customHeight="1" x14ac:dyDescent="0.2">
      <c r="A5" s="106"/>
      <c r="B5" s="598" t="s">
        <v>111</v>
      </c>
      <c r="C5" s="598"/>
      <c r="D5" s="598"/>
      <c r="E5" s="598"/>
      <c r="F5" s="598"/>
      <c r="G5" s="598"/>
      <c r="H5" s="598"/>
      <c r="I5" s="598"/>
      <c r="J5" s="598"/>
      <c r="K5" s="598"/>
      <c r="L5" s="598"/>
      <c r="M5" s="598"/>
      <c r="N5" s="598"/>
      <c r="O5" s="598"/>
      <c r="P5" s="366"/>
      <c r="Q5" s="367"/>
      <c r="R5" s="122"/>
      <c r="Y5" s="75" t="s">
        <v>113</v>
      </c>
    </row>
    <row r="6" spans="1:25" s="370" customFormat="1" ht="6" customHeight="1" x14ac:dyDescent="0.2">
      <c r="A6" s="106"/>
      <c r="B6" s="368"/>
      <c r="C6" s="599"/>
      <c r="D6" s="599"/>
      <c r="E6" s="599"/>
      <c r="F6" s="600"/>
      <c r="G6" s="600"/>
      <c r="H6" s="600"/>
      <c r="I6" s="600"/>
      <c r="J6" s="600"/>
      <c r="K6" s="600"/>
      <c r="L6" s="600"/>
      <c r="M6" s="601"/>
      <c r="N6" s="601"/>
      <c r="O6" s="601"/>
      <c r="P6" s="369"/>
      <c r="W6" s="368"/>
    </row>
    <row r="7" spans="1:25" s="370" customFormat="1" ht="15" customHeight="1" x14ac:dyDescent="0.2">
      <c r="A7" s="106"/>
      <c r="B7" s="602" t="s">
        <v>22</v>
      </c>
      <c r="C7" s="602"/>
      <c r="D7" s="605" t="s">
        <v>23</v>
      </c>
      <c r="E7" s="371"/>
      <c r="F7" s="608" t="s">
        <v>137</v>
      </c>
      <c r="G7" s="608"/>
      <c r="H7" s="608"/>
      <c r="I7" s="608"/>
      <c r="J7" s="608"/>
      <c r="K7" s="608"/>
      <c r="L7" s="608"/>
      <c r="M7" s="608"/>
      <c r="N7" s="608"/>
      <c r="O7" s="608"/>
      <c r="P7" s="608"/>
      <c r="Q7" s="608"/>
      <c r="R7" s="608"/>
      <c r="S7" s="608"/>
      <c r="T7" s="608"/>
      <c r="U7" s="608"/>
      <c r="V7" s="608"/>
      <c r="W7" s="372"/>
      <c r="X7" s="605" t="s">
        <v>138</v>
      </c>
      <c r="Y7" s="605"/>
    </row>
    <row r="8" spans="1:25" s="370" customFormat="1" ht="36" customHeight="1" x14ac:dyDescent="0.2">
      <c r="A8" s="106"/>
      <c r="B8" s="603"/>
      <c r="C8" s="603"/>
      <c r="D8" s="606"/>
      <c r="E8" s="373"/>
      <c r="F8" s="608" t="s">
        <v>110</v>
      </c>
      <c r="G8" s="608"/>
      <c r="H8" s="371"/>
      <c r="I8" s="608" t="s">
        <v>109</v>
      </c>
      <c r="J8" s="608"/>
      <c r="K8" s="374"/>
      <c r="L8" s="608" t="s">
        <v>115</v>
      </c>
      <c r="M8" s="608"/>
      <c r="N8" s="374"/>
      <c r="O8" s="608" t="s">
        <v>116</v>
      </c>
      <c r="P8" s="608"/>
      <c r="Q8" s="375"/>
      <c r="R8" s="608" t="s">
        <v>108</v>
      </c>
      <c r="S8" s="608"/>
      <c r="T8" s="376"/>
      <c r="U8" s="608" t="s">
        <v>107</v>
      </c>
      <c r="V8" s="608"/>
      <c r="W8" s="377"/>
      <c r="X8" s="607"/>
      <c r="Y8" s="607"/>
    </row>
    <row r="9" spans="1:25" s="370" customFormat="1" ht="15" customHeight="1" x14ac:dyDescent="0.2">
      <c r="A9" s="107"/>
      <c r="B9" s="604"/>
      <c r="C9" s="604"/>
      <c r="D9" s="607"/>
      <c r="E9" s="378"/>
      <c r="F9" s="113" t="s">
        <v>13</v>
      </c>
      <c r="G9" s="113" t="s">
        <v>14</v>
      </c>
      <c r="H9" s="378"/>
      <c r="I9" s="113" t="s">
        <v>13</v>
      </c>
      <c r="J9" s="113" t="s">
        <v>14</v>
      </c>
      <c r="K9" s="379"/>
      <c r="L9" s="113" t="s">
        <v>13</v>
      </c>
      <c r="M9" s="113" t="s">
        <v>14</v>
      </c>
      <c r="N9" s="379"/>
      <c r="O9" s="113" t="s">
        <v>13</v>
      </c>
      <c r="P9" s="113" t="s">
        <v>14</v>
      </c>
      <c r="Q9" s="380"/>
      <c r="R9" s="113" t="s">
        <v>13</v>
      </c>
      <c r="S9" s="113" t="s">
        <v>14</v>
      </c>
      <c r="T9" s="380"/>
      <c r="U9" s="113" t="s">
        <v>13</v>
      </c>
      <c r="V9" s="113" t="s">
        <v>14</v>
      </c>
      <c r="W9" s="380"/>
      <c r="X9" s="113" t="s">
        <v>13</v>
      </c>
      <c r="Y9" s="113" t="s">
        <v>14</v>
      </c>
    </row>
    <row r="10" spans="1:25" s="370" customFormat="1" ht="6" customHeight="1" x14ac:dyDescent="0.2">
      <c r="A10" s="108"/>
      <c r="B10" s="381"/>
      <c r="C10" s="381"/>
      <c r="D10" s="382"/>
      <c r="E10" s="382"/>
      <c r="F10" s="382"/>
      <c r="G10" s="383"/>
      <c r="H10" s="383"/>
      <c r="I10" s="384"/>
      <c r="J10" s="385"/>
      <c r="K10" s="385"/>
      <c r="L10" s="385"/>
      <c r="M10" s="385"/>
      <c r="N10" s="385"/>
      <c r="O10" s="385"/>
      <c r="P10" s="385"/>
    </row>
    <row r="11" spans="1:25" s="388" customFormat="1" ht="12.75" customHeight="1" x14ac:dyDescent="0.2">
      <c r="A11" s="109"/>
      <c r="B11" s="114" t="s">
        <v>5</v>
      </c>
      <c r="C11" s="386"/>
      <c r="D11" s="99">
        <v>55147</v>
      </c>
      <c r="E11" s="387"/>
      <c r="F11" s="99">
        <v>23490</v>
      </c>
      <c r="G11" s="102">
        <v>42.595245434900001</v>
      </c>
      <c r="H11" s="387"/>
      <c r="I11" s="99">
        <v>9783</v>
      </c>
      <c r="J11" s="102">
        <v>17.739858922500002</v>
      </c>
      <c r="K11" s="50"/>
      <c r="L11" s="99">
        <v>8650</v>
      </c>
      <c r="M11" s="102">
        <v>15.6853500644</v>
      </c>
      <c r="N11" s="387"/>
      <c r="O11" s="99">
        <v>25796</v>
      </c>
      <c r="P11" s="102">
        <v>46.776796561899999</v>
      </c>
      <c r="Q11" s="387"/>
      <c r="R11" s="99">
        <v>6439</v>
      </c>
      <c r="S11" s="102">
        <v>11.676065787800001</v>
      </c>
      <c r="T11" s="51"/>
      <c r="U11" s="99">
        <v>4570</v>
      </c>
      <c r="V11" s="102">
        <v>8.2869421726999999</v>
      </c>
      <c r="X11" s="99">
        <v>20314</v>
      </c>
      <c r="Y11" s="102">
        <v>36.836092625200003</v>
      </c>
    </row>
    <row r="12" spans="1:25" s="388" customFormat="1" ht="6" customHeight="1" x14ac:dyDescent="0.2">
      <c r="A12" s="110"/>
      <c r="B12" s="115"/>
      <c r="C12" s="386"/>
      <c r="D12" s="100"/>
      <c r="E12" s="387"/>
      <c r="F12" s="100"/>
      <c r="G12" s="103"/>
      <c r="H12" s="387"/>
      <c r="I12" s="100"/>
      <c r="J12" s="103"/>
      <c r="K12" s="50"/>
      <c r="L12" s="100"/>
      <c r="M12" s="103"/>
      <c r="N12" s="387"/>
      <c r="O12" s="100"/>
      <c r="P12" s="103"/>
      <c r="Q12" s="387"/>
      <c r="R12" s="100"/>
      <c r="S12" s="103"/>
      <c r="T12" s="50"/>
      <c r="U12" s="100"/>
      <c r="V12" s="103"/>
      <c r="X12" s="100"/>
      <c r="Y12" s="103"/>
    </row>
    <row r="13" spans="1:25" s="370" customFormat="1" ht="12.75" customHeight="1" x14ac:dyDescent="0.2">
      <c r="A13" s="110"/>
      <c r="B13" s="13" t="s">
        <v>26</v>
      </c>
      <c r="C13" s="389"/>
      <c r="D13" s="101">
        <v>1783</v>
      </c>
      <c r="E13" s="390"/>
      <c r="F13" s="101">
        <v>453</v>
      </c>
      <c r="G13" s="104">
        <v>25.406618059500001</v>
      </c>
      <c r="H13" s="390"/>
      <c r="I13" s="101">
        <v>144</v>
      </c>
      <c r="J13" s="104">
        <v>8.0762759394000003</v>
      </c>
      <c r="K13" s="50"/>
      <c r="L13" s="101">
        <v>126</v>
      </c>
      <c r="M13" s="104">
        <v>7.0667414470000001</v>
      </c>
      <c r="N13" s="390"/>
      <c r="O13" s="101">
        <v>556</v>
      </c>
      <c r="P13" s="104">
        <v>31.183398766100002</v>
      </c>
      <c r="Q13" s="390"/>
      <c r="R13" s="101">
        <v>81</v>
      </c>
      <c r="S13" s="104">
        <v>4.5429052159000003</v>
      </c>
      <c r="T13" s="52"/>
      <c r="U13" s="101">
        <v>103</v>
      </c>
      <c r="V13" s="104">
        <v>5.7767807067000003</v>
      </c>
      <c r="X13" s="101">
        <v>978</v>
      </c>
      <c r="Y13" s="104">
        <v>54.851374088599997</v>
      </c>
    </row>
    <row r="14" spans="1:25" s="370" customFormat="1" ht="12.75" customHeight="1" x14ac:dyDescent="0.2">
      <c r="A14" s="110"/>
      <c r="B14" s="13" t="s">
        <v>27</v>
      </c>
      <c r="C14" s="389"/>
      <c r="D14" s="101">
        <v>1750</v>
      </c>
      <c r="E14" s="390"/>
      <c r="F14" s="101">
        <v>609</v>
      </c>
      <c r="G14" s="104">
        <v>34.799999999999997</v>
      </c>
      <c r="H14" s="390"/>
      <c r="I14" s="101">
        <v>347</v>
      </c>
      <c r="J14" s="104">
        <v>19.8285714286</v>
      </c>
      <c r="K14" s="50"/>
      <c r="L14" s="101">
        <v>304</v>
      </c>
      <c r="M14" s="104">
        <v>17.371428571399999</v>
      </c>
      <c r="N14" s="390"/>
      <c r="O14" s="101">
        <v>538</v>
      </c>
      <c r="P14" s="104">
        <v>30.7428571429</v>
      </c>
      <c r="Q14" s="390"/>
      <c r="R14" s="101">
        <v>193</v>
      </c>
      <c r="S14" s="104">
        <v>11.028571428599999</v>
      </c>
      <c r="T14" s="52"/>
      <c r="U14" s="101">
        <v>180</v>
      </c>
      <c r="V14" s="104">
        <v>10.285714285699999</v>
      </c>
      <c r="X14" s="101">
        <v>829</v>
      </c>
      <c r="Y14" s="104">
        <v>47.371428571400003</v>
      </c>
    </row>
    <row r="15" spans="1:25" s="370" customFormat="1" ht="12.75" customHeight="1" x14ac:dyDescent="0.2">
      <c r="A15" s="107"/>
      <c r="B15" s="13" t="s">
        <v>28</v>
      </c>
      <c r="C15" s="389"/>
      <c r="D15" s="101">
        <v>1639</v>
      </c>
      <c r="E15" s="390"/>
      <c r="F15" s="101">
        <v>593</v>
      </c>
      <c r="G15" s="104">
        <v>36.180597925599997</v>
      </c>
      <c r="H15" s="390"/>
      <c r="I15" s="101">
        <v>235</v>
      </c>
      <c r="J15" s="104">
        <v>14.3380109823</v>
      </c>
      <c r="K15" s="50"/>
      <c r="L15" s="101">
        <v>145</v>
      </c>
      <c r="M15" s="104">
        <v>8.8468578401000002</v>
      </c>
      <c r="N15" s="390"/>
      <c r="O15" s="101">
        <v>608</v>
      </c>
      <c r="P15" s="104">
        <v>37.095790115900002</v>
      </c>
      <c r="Q15" s="390"/>
      <c r="R15" s="101">
        <v>117</v>
      </c>
      <c r="S15" s="104">
        <v>7.1384990848000003</v>
      </c>
      <c r="T15" s="52"/>
      <c r="U15" s="101">
        <v>110</v>
      </c>
      <c r="V15" s="104">
        <v>6.7114093959999996</v>
      </c>
      <c r="X15" s="101">
        <v>767</v>
      </c>
      <c r="Y15" s="104">
        <v>46.796827333700001</v>
      </c>
    </row>
    <row r="16" spans="1:25" s="370" customFormat="1" ht="12.75" customHeight="1" x14ac:dyDescent="0.2">
      <c r="A16" s="107"/>
      <c r="B16" s="13" t="s">
        <v>29</v>
      </c>
      <c r="C16" s="389"/>
      <c r="D16" s="101">
        <v>1723</v>
      </c>
      <c r="E16" s="390"/>
      <c r="F16" s="101">
        <v>880</v>
      </c>
      <c r="G16" s="104">
        <v>51.073708647700002</v>
      </c>
      <c r="H16" s="390"/>
      <c r="I16" s="101">
        <v>554</v>
      </c>
      <c r="J16" s="104">
        <v>32.153221125899996</v>
      </c>
      <c r="K16" s="50"/>
      <c r="L16" s="101">
        <v>462</v>
      </c>
      <c r="M16" s="104">
        <v>26.813697040000001</v>
      </c>
      <c r="N16" s="390"/>
      <c r="O16" s="101">
        <v>1097</v>
      </c>
      <c r="P16" s="104">
        <v>63.668020893799998</v>
      </c>
      <c r="Q16" s="390"/>
      <c r="R16" s="101">
        <v>370</v>
      </c>
      <c r="S16" s="104">
        <v>21.474172954099998</v>
      </c>
      <c r="T16" s="52"/>
      <c r="U16" s="101">
        <v>228</v>
      </c>
      <c r="V16" s="104">
        <v>13.2327336042</v>
      </c>
      <c r="X16" s="101">
        <v>383</v>
      </c>
      <c r="Y16" s="104">
        <v>22.228670922799999</v>
      </c>
    </row>
    <row r="17" spans="1:25" s="370" customFormat="1" ht="12.75" customHeight="1" x14ac:dyDescent="0.2">
      <c r="A17" s="107"/>
      <c r="B17" s="13" t="s">
        <v>30</v>
      </c>
      <c r="C17" s="389"/>
      <c r="D17" s="94">
        <v>1654</v>
      </c>
      <c r="E17" s="390"/>
      <c r="F17" s="94">
        <v>584</v>
      </c>
      <c r="G17" s="97">
        <v>35.308343409899997</v>
      </c>
      <c r="H17" s="390"/>
      <c r="I17" s="94">
        <v>275</v>
      </c>
      <c r="J17" s="97">
        <v>16.626360338600001</v>
      </c>
      <c r="K17" s="50"/>
      <c r="L17" s="94">
        <v>174</v>
      </c>
      <c r="M17" s="97">
        <v>10.5199516324</v>
      </c>
      <c r="N17" s="390"/>
      <c r="O17" s="94">
        <v>603</v>
      </c>
      <c r="P17" s="97">
        <v>36.457073760599997</v>
      </c>
      <c r="Q17" s="390"/>
      <c r="R17" s="94">
        <v>163</v>
      </c>
      <c r="S17" s="97">
        <v>9.8548972188999997</v>
      </c>
      <c r="T17" s="53"/>
      <c r="U17" s="94">
        <v>170</v>
      </c>
      <c r="V17" s="97">
        <v>10.278113663799999</v>
      </c>
      <c r="X17" s="94">
        <v>737</v>
      </c>
      <c r="Y17" s="97">
        <v>44.558645707399997</v>
      </c>
    </row>
    <row r="18" spans="1:25" s="370" customFormat="1" ht="12.75" customHeight="1" x14ac:dyDescent="0.2">
      <c r="A18" s="111"/>
      <c r="B18" s="13" t="s">
        <v>31</v>
      </c>
      <c r="C18" s="389"/>
      <c r="D18" s="94">
        <v>1696</v>
      </c>
      <c r="E18" s="390"/>
      <c r="F18" s="94">
        <v>529</v>
      </c>
      <c r="G18" s="97">
        <v>31.191037735799998</v>
      </c>
      <c r="H18" s="390"/>
      <c r="I18" s="94">
        <v>176</v>
      </c>
      <c r="J18" s="97">
        <v>10.377358490600001</v>
      </c>
      <c r="K18" s="50"/>
      <c r="L18" s="94">
        <v>153</v>
      </c>
      <c r="M18" s="97">
        <v>9.0212264150999992</v>
      </c>
      <c r="N18" s="390"/>
      <c r="O18" s="94">
        <v>678</v>
      </c>
      <c r="P18" s="97">
        <v>39.976415094300002</v>
      </c>
      <c r="Q18" s="390"/>
      <c r="R18" s="94">
        <v>109</v>
      </c>
      <c r="S18" s="97">
        <v>6.4268867925000004</v>
      </c>
      <c r="T18" s="53"/>
      <c r="U18" s="94">
        <v>147</v>
      </c>
      <c r="V18" s="97">
        <v>8.6674528302000002</v>
      </c>
      <c r="X18" s="94">
        <v>774</v>
      </c>
      <c r="Y18" s="97">
        <v>45.636792452800002</v>
      </c>
    </row>
    <row r="19" spans="1:25" s="370" customFormat="1" ht="12.75" customHeight="1" x14ac:dyDescent="0.2">
      <c r="A19" s="111"/>
      <c r="B19" s="13" t="s">
        <v>32</v>
      </c>
      <c r="C19" s="389"/>
      <c r="D19" s="101">
        <v>1795</v>
      </c>
      <c r="E19" s="390"/>
      <c r="F19" s="101">
        <v>945</v>
      </c>
      <c r="G19" s="104">
        <v>52.646239554300003</v>
      </c>
      <c r="H19" s="390"/>
      <c r="I19" s="101">
        <v>480</v>
      </c>
      <c r="J19" s="104">
        <v>26.740947075200001</v>
      </c>
      <c r="K19" s="50"/>
      <c r="L19" s="101">
        <v>481</v>
      </c>
      <c r="M19" s="104">
        <v>26.796657381599999</v>
      </c>
      <c r="N19" s="390"/>
      <c r="O19" s="101">
        <v>1048</v>
      </c>
      <c r="P19" s="104">
        <v>58.384401114200003</v>
      </c>
      <c r="Q19" s="390"/>
      <c r="R19" s="101">
        <v>411</v>
      </c>
      <c r="S19" s="104">
        <v>22.8969359331</v>
      </c>
      <c r="T19" s="52"/>
      <c r="U19" s="101">
        <v>144</v>
      </c>
      <c r="V19" s="104">
        <v>8.0222841226000003</v>
      </c>
      <c r="X19" s="101">
        <v>417</v>
      </c>
      <c r="Y19" s="104">
        <v>23.231197771600002</v>
      </c>
    </row>
    <row r="20" spans="1:25" s="370" customFormat="1" ht="12.75" customHeight="1" x14ac:dyDescent="0.2">
      <c r="A20" s="112"/>
      <c r="B20" s="13" t="s">
        <v>33</v>
      </c>
      <c r="C20" s="389"/>
      <c r="D20" s="101">
        <v>1721</v>
      </c>
      <c r="E20" s="390"/>
      <c r="F20" s="101">
        <v>563</v>
      </c>
      <c r="G20" s="104">
        <v>32.713538640300001</v>
      </c>
      <c r="H20" s="390"/>
      <c r="I20" s="101">
        <v>217</v>
      </c>
      <c r="J20" s="104">
        <v>12.6089482859</v>
      </c>
      <c r="K20" s="50"/>
      <c r="L20" s="101">
        <v>190</v>
      </c>
      <c r="M20" s="104">
        <v>11.0400929692</v>
      </c>
      <c r="N20" s="390"/>
      <c r="O20" s="101">
        <v>461</v>
      </c>
      <c r="P20" s="104">
        <v>26.786751888400001</v>
      </c>
      <c r="Q20" s="390"/>
      <c r="R20" s="101">
        <v>120</v>
      </c>
      <c r="S20" s="104">
        <v>6.9726902962999997</v>
      </c>
      <c r="T20" s="52"/>
      <c r="U20" s="101">
        <v>101</v>
      </c>
      <c r="V20" s="104">
        <v>5.8686809994000004</v>
      </c>
      <c r="X20" s="101">
        <v>900</v>
      </c>
      <c r="Y20" s="104">
        <v>52.295177222500001</v>
      </c>
    </row>
    <row r="21" spans="1:25" s="370" customFormat="1" ht="12.75" customHeight="1" x14ac:dyDescent="0.2">
      <c r="A21" s="112"/>
      <c r="B21" s="13" t="s">
        <v>34</v>
      </c>
      <c r="C21" s="389"/>
      <c r="D21" s="101">
        <v>1667</v>
      </c>
      <c r="E21" s="390"/>
      <c r="F21" s="101">
        <v>496</v>
      </c>
      <c r="G21" s="104">
        <v>29.7540491902</v>
      </c>
      <c r="H21" s="390"/>
      <c r="I21" s="101">
        <v>193</v>
      </c>
      <c r="J21" s="104">
        <v>11.577684463100001</v>
      </c>
      <c r="K21" s="50"/>
      <c r="L21" s="101">
        <v>191</v>
      </c>
      <c r="M21" s="104">
        <v>11.457708458300001</v>
      </c>
      <c r="N21" s="390"/>
      <c r="O21" s="101">
        <v>556</v>
      </c>
      <c r="P21" s="104">
        <v>33.353329334100003</v>
      </c>
      <c r="Q21" s="390"/>
      <c r="R21" s="101">
        <v>115</v>
      </c>
      <c r="S21" s="104">
        <v>6.8986202758999999</v>
      </c>
      <c r="T21" s="52"/>
      <c r="U21" s="101">
        <v>135</v>
      </c>
      <c r="V21" s="104">
        <v>8.0983803239000007</v>
      </c>
      <c r="X21" s="101">
        <v>822</v>
      </c>
      <c r="Y21" s="104">
        <v>49.3101379724</v>
      </c>
    </row>
    <row r="22" spans="1:25" s="370" customFormat="1" ht="12.75" customHeight="1" x14ac:dyDescent="0.2">
      <c r="A22" s="112"/>
      <c r="B22" s="13" t="s">
        <v>35</v>
      </c>
      <c r="C22" s="389"/>
      <c r="D22" s="101">
        <v>1688</v>
      </c>
      <c r="E22" s="390"/>
      <c r="F22" s="101">
        <v>776</v>
      </c>
      <c r="G22" s="104">
        <v>45.971563981000003</v>
      </c>
      <c r="H22" s="390"/>
      <c r="I22" s="101">
        <v>331</v>
      </c>
      <c r="J22" s="104">
        <v>19.609004739300001</v>
      </c>
      <c r="K22" s="50"/>
      <c r="L22" s="101">
        <v>243</v>
      </c>
      <c r="M22" s="104">
        <v>14.395734597200001</v>
      </c>
      <c r="N22" s="390"/>
      <c r="O22" s="101">
        <v>692</v>
      </c>
      <c r="P22" s="104">
        <v>40.995260663499998</v>
      </c>
      <c r="Q22" s="390"/>
      <c r="R22" s="101">
        <v>240</v>
      </c>
      <c r="S22" s="104">
        <v>14.218009478700001</v>
      </c>
      <c r="T22" s="52"/>
      <c r="U22" s="101">
        <v>153</v>
      </c>
      <c r="V22" s="104">
        <v>9.0639810427</v>
      </c>
      <c r="X22" s="101">
        <v>603</v>
      </c>
      <c r="Y22" s="104">
        <v>35.722748815199999</v>
      </c>
    </row>
    <row r="23" spans="1:25" s="370" customFormat="1" ht="12.75" customHeight="1" x14ac:dyDescent="0.2">
      <c r="A23" s="112"/>
      <c r="B23" s="13" t="s">
        <v>36</v>
      </c>
      <c r="C23" s="389"/>
      <c r="D23" s="101">
        <v>1780</v>
      </c>
      <c r="E23" s="390"/>
      <c r="F23" s="101">
        <v>693</v>
      </c>
      <c r="G23" s="104">
        <v>38.932584269700001</v>
      </c>
      <c r="H23" s="390"/>
      <c r="I23" s="101">
        <v>222</v>
      </c>
      <c r="J23" s="104">
        <v>12.4719101124</v>
      </c>
      <c r="K23" s="50"/>
      <c r="L23" s="101">
        <v>264</v>
      </c>
      <c r="M23" s="104">
        <v>14.831460674200001</v>
      </c>
      <c r="N23" s="390"/>
      <c r="O23" s="101">
        <v>726</v>
      </c>
      <c r="P23" s="104">
        <v>40.786516853899997</v>
      </c>
      <c r="Q23" s="390"/>
      <c r="R23" s="101">
        <v>134</v>
      </c>
      <c r="S23" s="104">
        <v>7.5280898876000002</v>
      </c>
      <c r="T23" s="52"/>
      <c r="U23" s="101">
        <v>135</v>
      </c>
      <c r="V23" s="104">
        <v>7.5842696628999997</v>
      </c>
      <c r="X23" s="101">
        <v>750</v>
      </c>
      <c r="Y23" s="104">
        <v>42.134831460699999</v>
      </c>
    </row>
    <row r="24" spans="1:25" s="370" customFormat="1" ht="12.75" customHeight="1" x14ac:dyDescent="0.2">
      <c r="A24" s="112"/>
      <c r="B24" s="13" t="s">
        <v>37</v>
      </c>
      <c r="C24" s="389"/>
      <c r="D24" s="101">
        <v>1688</v>
      </c>
      <c r="E24" s="390"/>
      <c r="F24" s="101">
        <v>769</v>
      </c>
      <c r="G24" s="104">
        <v>45.5568720379</v>
      </c>
      <c r="H24" s="390"/>
      <c r="I24" s="101">
        <v>331</v>
      </c>
      <c r="J24" s="104">
        <v>19.609004739300001</v>
      </c>
      <c r="K24" s="50"/>
      <c r="L24" s="101">
        <v>363</v>
      </c>
      <c r="M24" s="104">
        <v>21.504739336499998</v>
      </c>
      <c r="N24" s="390"/>
      <c r="O24" s="101">
        <v>947</v>
      </c>
      <c r="P24" s="104">
        <v>56.101895734599999</v>
      </c>
      <c r="Q24" s="390"/>
      <c r="R24" s="101">
        <v>222</v>
      </c>
      <c r="S24" s="104">
        <v>13.151658767800001</v>
      </c>
      <c r="T24" s="52"/>
      <c r="U24" s="101">
        <v>106</v>
      </c>
      <c r="V24" s="104">
        <v>6.2796208531</v>
      </c>
      <c r="X24" s="101">
        <v>481</v>
      </c>
      <c r="Y24" s="104">
        <v>28.495260663500002</v>
      </c>
    </row>
    <row r="25" spans="1:25" s="370" customFormat="1" ht="12.75" customHeight="1" x14ac:dyDescent="0.2">
      <c r="A25" s="112"/>
      <c r="B25" s="13" t="s">
        <v>38</v>
      </c>
      <c r="C25" s="389"/>
      <c r="D25" s="101">
        <v>1700</v>
      </c>
      <c r="E25" s="390"/>
      <c r="F25" s="101">
        <v>743</v>
      </c>
      <c r="G25" s="104">
        <v>43.705882352899998</v>
      </c>
      <c r="H25" s="390"/>
      <c r="I25" s="101">
        <v>270</v>
      </c>
      <c r="J25" s="104">
        <v>15.882352941200001</v>
      </c>
      <c r="K25" s="50"/>
      <c r="L25" s="101">
        <v>251</v>
      </c>
      <c r="M25" s="104">
        <v>14.764705882399999</v>
      </c>
      <c r="N25" s="390"/>
      <c r="O25" s="101">
        <v>782</v>
      </c>
      <c r="P25" s="104">
        <v>46</v>
      </c>
      <c r="Q25" s="390"/>
      <c r="R25" s="101">
        <v>163</v>
      </c>
      <c r="S25" s="104">
        <v>9.5882352941000004</v>
      </c>
      <c r="T25" s="52"/>
      <c r="U25" s="101">
        <v>145</v>
      </c>
      <c r="V25" s="104">
        <v>8.5294117647000007</v>
      </c>
      <c r="X25" s="101">
        <v>598</v>
      </c>
      <c r="Y25" s="104">
        <v>35.176470588199997</v>
      </c>
    </row>
    <row r="26" spans="1:25" s="370" customFormat="1" ht="12.75" customHeight="1" x14ac:dyDescent="0.2">
      <c r="A26" s="112"/>
      <c r="B26" s="13" t="s">
        <v>39</v>
      </c>
      <c r="C26" s="389"/>
      <c r="D26" s="101">
        <v>1697</v>
      </c>
      <c r="E26" s="390"/>
      <c r="F26" s="101">
        <v>465</v>
      </c>
      <c r="G26" s="104">
        <v>27.4012964054</v>
      </c>
      <c r="H26" s="390"/>
      <c r="I26" s="101">
        <v>173</v>
      </c>
      <c r="J26" s="104">
        <v>10.194460813199999</v>
      </c>
      <c r="K26" s="50"/>
      <c r="L26" s="101">
        <v>168</v>
      </c>
      <c r="M26" s="104">
        <v>9.8998232173999998</v>
      </c>
      <c r="N26" s="390"/>
      <c r="O26" s="101">
        <v>639</v>
      </c>
      <c r="P26" s="104">
        <v>37.654684737799997</v>
      </c>
      <c r="Q26" s="390"/>
      <c r="R26" s="101">
        <v>105</v>
      </c>
      <c r="S26" s="104">
        <v>6.1873895109000001</v>
      </c>
      <c r="T26" s="52"/>
      <c r="U26" s="101">
        <v>157</v>
      </c>
      <c r="V26" s="104">
        <v>9.2516205068000001</v>
      </c>
      <c r="X26" s="101">
        <v>824</v>
      </c>
      <c r="Y26" s="104">
        <v>48.5562757808</v>
      </c>
    </row>
    <row r="27" spans="1:25" s="370" customFormat="1" ht="12.75" customHeight="1" x14ac:dyDescent="0.2">
      <c r="A27" s="112"/>
      <c r="B27" s="13" t="s">
        <v>40</v>
      </c>
      <c r="C27" s="389"/>
      <c r="D27" s="101">
        <v>1730</v>
      </c>
      <c r="E27" s="390"/>
      <c r="F27" s="101">
        <v>693</v>
      </c>
      <c r="G27" s="104">
        <v>40.057803468199999</v>
      </c>
      <c r="H27" s="390"/>
      <c r="I27" s="101">
        <v>221</v>
      </c>
      <c r="J27" s="104">
        <v>12.774566474</v>
      </c>
      <c r="K27" s="50"/>
      <c r="L27" s="101">
        <v>227</v>
      </c>
      <c r="M27" s="104">
        <v>13.121387283200001</v>
      </c>
      <c r="N27" s="390"/>
      <c r="O27" s="101">
        <v>684</v>
      </c>
      <c r="P27" s="104">
        <v>39.537572254300002</v>
      </c>
      <c r="Q27" s="390"/>
      <c r="R27" s="101">
        <v>126</v>
      </c>
      <c r="S27" s="104">
        <v>7.2832369942000001</v>
      </c>
      <c r="T27" s="52"/>
      <c r="U27" s="101">
        <v>132</v>
      </c>
      <c r="V27" s="104">
        <v>7.6300578034999997</v>
      </c>
      <c r="X27" s="101">
        <v>713</v>
      </c>
      <c r="Y27" s="104">
        <v>41.2138728324</v>
      </c>
    </row>
    <row r="28" spans="1:25" s="370" customFormat="1" ht="12.75" customHeight="1" x14ac:dyDescent="0.2">
      <c r="A28" s="112"/>
      <c r="B28" s="13" t="s">
        <v>41</v>
      </c>
      <c r="C28" s="389"/>
      <c r="D28" s="101">
        <v>1812</v>
      </c>
      <c r="E28" s="390"/>
      <c r="F28" s="101">
        <v>750</v>
      </c>
      <c r="G28" s="104">
        <v>41.3907284768</v>
      </c>
      <c r="H28" s="390"/>
      <c r="I28" s="101">
        <v>279</v>
      </c>
      <c r="J28" s="104">
        <v>15.3973509934</v>
      </c>
      <c r="K28" s="50"/>
      <c r="L28" s="101">
        <v>289</v>
      </c>
      <c r="M28" s="104">
        <v>15.949227373099999</v>
      </c>
      <c r="N28" s="390"/>
      <c r="O28" s="101">
        <v>861</v>
      </c>
      <c r="P28" s="104">
        <v>47.516556291400001</v>
      </c>
      <c r="Q28" s="390"/>
      <c r="R28" s="101">
        <v>170</v>
      </c>
      <c r="S28" s="104">
        <v>9.3818984546999999</v>
      </c>
      <c r="T28" s="52"/>
      <c r="U28" s="101">
        <v>172</v>
      </c>
      <c r="V28" s="104">
        <v>9.4922737306999991</v>
      </c>
      <c r="X28" s="101">
        <v>641</v>
      </c>
      <c r="Y28" s="104">
        <v>35.375275938199998</v>
      </c>
    </row>
    <row r="29" spans="1:25" s="370" customFormat="1" ht="12.75" customHeight="1" x14ac:dyDescent="0.2">
      <c r="A29" s="112"/>
      <c r="B29" s="13" t="s">
        <v>42</v>
      </c>
      <c r="C29" s="389"/>
      <c r="D29" s="101">
        <v>1693</v>
      </c>
      <c r="E29" s="390"/>
      <c r="F29" s="101">
        <v>793</v>
      </c>
      <c r="G29" s="104">
        <v>46.839929119899999</v>
      </c>
      <c r="H29" s="390"/>
      <c r="I29" s="101">
        <v>257</v>
      </c>
      <c r="J29" s="104">
        <v>15.1801535735</v>
      </c>
      <c r="K29" s="50"/>
      <c r="L29" s="101">
        <v>263</v>
      </c>
      <c r="M29" s="104">
        <v>15.5345540461</v>
      </c>
      <c r="N29" s="390"/>
      <c r="O29" s="101">
        <v>859</v>
      </c>
      <c r="P29" s="104">
        <v>50.738334317800003</v>
      </c>
      <c r="Q29" s="390"/>
      <c r="R29" s="101">
        <v>166</v>
      </c>
      <c r="S29" s="104">
        <v>9.8050797401000001</v>
      </c>
      <c r="T29" s="52"/>
      <c r="U29" s="101">
        <v>114</v>
      </c>
      <c r="V29" s="104">
        <v>6.7336089781000004</v>
      </c>
      <c r="X29" s="101">
        <v>582</v>
      </c>
      <c r="Y29" s="104">
        <v>34.376845835799998</v>
      </c>
    </row>
    <row r="30" spans="1:25" s="370" customFormat="1" ht="12.75" customHeight="1" x14ac:dyDescent="0.2">
      <c r="A30" s="112"/>
      <c r="B30" s="13" t="s">
        <v>43</v>
      </c>
      <c r="C30" s="389"/>
      <c r="D30" s="101">
        <v>1751</v>
      </c>
      <c r="E30" s="390"/>
      <c r="F30" s="101">
        <v>634</v>
      </c>
      <c r="G30" s="104">
        <v>36.207881210700002</v>
      </c>
      <c r="H30" s="390"/>
      <c r="I30" s="101">
        <v>282</v>
      </c>
      <c r="J30" s="104">
        <v>16.105082809799999</v>
      </c>
      <c r="K30" s="50"/>
      <c r="L30" s="101">
        <v>218</v>
      </c>
      <c r="M30" s="104">
        <v>12.450028555099999</v>
      </c>
      <c r="N30" s="390"/>
      <c r="O30" s="101">
        <v>792</v>
      </c>
      <c r="P30" s="104">
        <v>45.2312964021</v>
      </c>
      <c r="Q30" s="390"/>
      <c r="R30" s="101">
        <v>156</v>
      </c>
      <c r="S30" s="104">
        <v>8.9091947459000007</v>
      </c>
      <c r="T30" s="52"/>
      <c r="U30" s="101">
        <v>93</v>
      </c>
      <c r="V30" s="104">
        <v>5.3112507138999998</v>
      </c>
      <c r="X30" s="101">
        <v>699</v>
      </c>
      <c r="Y30" s="104">
        <v>39.920045688199998</v>
      </c>
    </row>
    <row r="31" spans="1:25" s="370" customFormat="1" ht="12.75" customHeight="1" x14ac:dyDescent="0.2">
      <c r="A31" s="112"/>
      <c r="B31" s="13" t="s">
        <v>44</v>
      </c>
      <c r="C31" s="389"/>
      <c r="D31" s="101">
        <v>1728</v>
      </c>
      <c r="E31" s="390"/>
      <c r="F31" s="101">
        <v>629</v>
      </c>
      <c r="G31" s="104">
        <v>36.400462963000003</v>
      </c>
      <c r="H31" s="390"/>
      <c r="I31" s="101">
        <v>224</v>
      </c>
      <c r="J31" s="104">
        <v>12.962962963000001</v>
      </c>
      <c r="K31" s="50"/>
      <c r="L31" s="101">
        <v>150</v>
      </c>
      <c r="M31" s="104">
        <v>8.6805555555999998</v>
      </c>
      <c r="N31" s="390"/>
      <c r="O31" s="101">
        <v>653</v>
      </c>
      <c r="P31" s="104">
        <v>37.789351851900001</v>
      </c>
      <c r="Q31" s="390"/>
      <c r="R31" s="101">
        <v>112</v>
      </c>
      <c r="S31" s="104">
        <v>6.4814814815000004</v>
      </c>
      <c r="T31" s="52"/>
      <c r="U31" s="101">
        <v>173</v>
      </c>
      <c r="V31" s="104">
        <v>10.0115740741</v>
      </c>
      <c r="X31" s="101">
        <v>802</v>
      </c>
      <c r="Y31" s="104">
        <v>46.412037036999997</v>
      </c>
    </row>
    <row r="32" spans="1:25" s="370" customFormat="1" ht="12.75" customHeight="1" x14ac:dyDescent="0.2">
      <c r="A32" s="112"/>
      <c r="B32" s="13" t="s">
        <v>45</v>
      </c>
      <c r="C32" s="389"/>
      <c r="D32" s="101">
        <v>1733</v>
      </c>
      <c r="E32" s="390"/>
      <c r="F32" s="101">
        <v>909</v>
      </c>
      <c r="G32" s="104">
        <v>52.4523946913</v>
      </c>
      <c r="H32" s="390"/>
      <c r="I32" s="101">
        <v>380</v>
      </c>
      <c r="J32" s="104">
        <v>21.927293710299999</v>
      </c>
      <c r="K32" s="50"/>
      <c r="L32" s="101">
        <v>388</v>
      </c>
      <c r="M32" s="104">
        <v>22.388920946300001</v>
      </c>
      <c r="N32" s="390"/>
      <c r="O32" s="101">
        <v>910</v>
      </c>
      <c r="P32" s="104">
        <v>52.510098095799997</v>
      </c>
      <c r="Q32" s="390"/>
      <c r="R32" s="101">
        <v>286</v>
      </c>
      <c r="S32" s="104">
        <v>16.5031736872</v>
      </c>
      <c r="T32" s="52"/>
      <c r="U32" s="101">
        <v>78</v>
      </c>
      <c r="V32" s="104">
        <v>4.5008655511000004</v>
      </c>
      <c r="X32" s="101">
        <v>484</v>
      </c>
      <c r="Y32" s="104">
        <v>27.928447778399999</v>
      </c>
    </row>
    <row r="33" spans="1:25" s="370" customFormat="1" ht="12.75" customHeight="1" x14ac:dyDescent="0.2">
      <c r="A33" s="112"/>
      <c r="B33" s="13" t="s">
        <v>46</v>
      </c>
      <c r="C33" s="389"/>
      <c r="D33" s="101">
        <v>1740</v>
      </c>
      <c r="E33" s="390"/>
      <c r="F33" s="101">
        <v>864</v>
      </c>
      <c r="G33" s="104">
        <v>49.655172413800003</v>
      </c>
      <c r="H33" s="390"/>
      <c r="I33" s="101">
        <v>264</v>
      </c>
      <c r="J33" s="104">
        <v>15.1724137931</v>
      </c>
      <c r="K33" s="50"/>
      <c r="L33" s="101">
        <v>233</v>
      </c>
      <c r="M33" s="104">
        <v>13.390804597700001</v>
      </c>
      <c r="N33" s="390"/>
      <c r="O33" s="101">
        <v>904</v>
      </c>
      <c r="P33" s="104">
        <v>51.9540229885</v>
      </c>
      <c r="Q33" s="390"/>
      <c r="R33" s="101">
        <v>206</v>
      </c>
      <c r="S33" s="104">
        <v>11.8390804598</v>
      </c>
      <c r="T33" s="52"/>
      <c r="U33" s="101">
        <v>137</v>
      </c>
      <c r="V33" s="104">
        <v>7.8735632184000002</v>
      </c>
      <c r="X33" s="101">
        <v>545</v>
      </c>
      <c r="Y33" s="104">
        <v>31.321839080499998</v>
      </c>
    </row>
    <row r="34" spans="1:25" s="370" customFormat="1" ht="12.75" customHeight="1" x14ac:dyDescent="0.2">
      <c r="A34" s="112"/>
      <c r="B34" s="13" t="s">
        <v>47</v>
      </c>
      <c r="C34" s="389"/>
      <c r="D34" s="101">
        <v>1706</v>
      </c>
      <c r="E34" s="390"/>
      <c r="F34" s="101">
        <v>574</v>
      </c>
      <c r="G34" s="104">
        <v>33.645955451299997</v>
      </c>
      <c r="H34" s="390"/>
      <c r="I34" s="101">
        <v>201</v>
      </c>
      <c r="J34" s="104">
        <v>11.7819460727</v>
      </c>
      <c r="K34" s="50"/>
      <c r="L34" s="101">
        <v>225</v>
      </c>
      <c r="M34" s="104">
        <v>13.188745603799999</v>
      </c>
      <c r="N34" s="390"/>
      <c r="O34" s="101">
        <v>605</v>
      </c>
      <c r="P34" s="104">
        <v>35.463071512299997</v>
      </c>
      <c r="Q34" s="390"/>
      <c r="R34" s="101">
        <v>122</v>
      </c>
      <c r="S34" s="104">
        <v>7.1512309496000004</v>
      </c>
      <c r="T34" s="52"/>
      <c r="U34" s="101">
        <v>112</v>
      </c>
      <c r="V34" s="104">
        <v>6.5650644783000001</v>
      </c>
      <c r="X34" s="101">
        <v>830</v>
      </c>
      <c r="Y34" s="104">
        <v>48.651817116099998</v>
      </c>
    </row>
    <row r="35" spans="1:25" s="370" customFormat="1" ht="12.75" customHeight="1" x14ac:dyDescent="0.2">
      <c r="A35" s="112"/>
      <c r="B35" s="13" t="s">
        <v>48</v>
      </c>
      <c r="C35" s="389"/>
      <c r="D35" s="101">
        <v>1664</v>
      </c>
      <c r="E35" s="390"/>
      <c r="F35" s="101">
        <v>807</v>
      </c>
      <c r="G35" s="104">
        <v>48.497596153800004</v>
      </c>
      <c r="H35" s="390"/>
      <c r="I35" s="101">
        <v>378</v>
      </c>
      <c r="J35" s="104">
        <v>22.7163461538</v>
      </c>
      <c r="K35" s="50"/>
      <c r="L35" s="101">
        <v>306</v>
      </c>
      <c r="M35" s="104">
        <v>18.389423076900002</v>
      </c>
      <c r="N35" s="390"/>
      <c r="O35" s="101">
        <v>986</v>
      </c>
      <c r="P35" s="104">
        <v>59.254807692299998</v>
      </c>
      <c r="Q35" s="390"/>
      <c r="R35" s="101">
        <v>226</v>
      </c>
      <c r="S35" s="104">
        <v>13.5817307692</v>
      </c>
      <c r="T35" s="54"/>
      <c r="U35" s="101">
        <v>175</v>
      </c>
      <c r="V35" s="104">
        <v>10.5168269231</v>
      </c>
      <c r="X35" s="101">
        <v>475</v>
      </c>
      <c r="Y35" s="104">
        <v>28.545673076900002</v>
      </c>
    </row>
    <row r="36" spans="1:25" s="370" customFormat="1" ht="12.75" customHeight="1" x14ac:dyDescent="0.2">
      <c r="A36" s="112"/>
      <c r="B36" s="13" t="s">
        <v>49</v>
      </c>
      <c r="C36" s="389"/>
      <c r="D36" s="101">
        <v>1734</v>
      </c>
      <c r="E36" s="390"/>
      <c r="F36" s="101">
        <v>655</v>
      </c>
      <c r="G36" s="104">
        <v>37.773933102699999</v>
      </c>
      <c r="H36" s="390"/>
      <c r="I36" s="101">
        <v>281</v>
      </c>
      <c r="J36" s="104">
        <v>16.205305651700002</v>
      </c>
      <c r="K36" s="50"/>
      <c r="L36" s="101">
        <v>239</v>
      </c>
      <c r="M36" s="104">
        <v>13.783160323000001</v>
      </c>
      <c r="N36" s="390"/>
      <c r="O36" s="101">
        <v>744</v>
      </c>
      <c r="P36" s="104">
        <v>42.906574394499998</v>
      </c>
      <c r="Q36" s="390"/>
      <c r="R36" s="101">
        <v>188</v>
      </c>
      <c r="S36" s="104">
        <v>10.8419838524</v>
      </c>
      <c r="T36" s="52"/>
      <c r="U36" s="101">
        <v>108</v>
      </c>
      <c r="V36" s="104">
        <v>6.2283737023999999</v>
      </c>
      <c r="X36" s="101">
        <v>713</v>
      </c>
      <c r="Y36" s="104">
        <v>41.118800461399999</v>
      </c>
    </row>
    <row r="37" spans="1:25" s="370" customFormat="1" ht="12.75" customHeight="1" x14ac:dyDescent="0.2">
      <c r="A37" s="112"/>
      <c r="B37" s="13" t="s">
        <v>50</v>
      </c>
      <c r="C37" s="389"/>
      <c r="D37" s="101">
        <v>1770</v>
      </c>
      <c r="E37" s="390"/>
      <c r="F37" s="101">
        <v>914</v>
      </c>
      <c r="G37" s="104">
        <v>51.638418079099999</v>
      </c>
      <c r="H37" s="390"/>
      <c r="I37" s="101">
        <v>393</v>
      </c>
      <c r="J37" s="104">
        <v>22.203389830500001</v>
      </c>
      <c r="K37" s="50"/>
      <c r="L37" s="101">
        <v>352</v>
      </c>
      <c r="M37" s="104">
        <v>19.887005649700001</v>
      </c>
      <c r="N37" s="390"/>
      <c r="O37" s="101">
        <v>958</v>
      </c>
      <c r="P37" s="104">
        <v>54.124293785299997</v>
      </c>
      <c r="Q37" s="390"/>
      <c r="R37" s="101">
        <v>260</v>
      </c>
      <c r="S37" s="104">
        <v>14.689265536700001</v>
      </c>
      <c r="T37" s="52"/>
      <c r="U37" s="101">
        <v>172</v>
      </c>
      <c r="V37" s="104">
        <v>9.7175141242999992</v>
      </c>
      <c r="X37" s="101">
        <v>506</v>
      </c>
      <c r="Y37" s="104">
        <v>28.587570621499999</v>
      </c>
    </row>
    <row r="38" spans="1:25" s="370" customFormat="1" ht="12.75" customHeight="1" x14ac:dyDescent="0.2">
      <c r="A38" s="112"/>
      <c r="B38" s="13" t="s">
        <v>51</v>
      </c>
      <c r="C38" s="389"/>
      <c r="D38" s="101">
        <v>1778</v>
      </c>
      <c r="E38" s="390"/>
      <c r="F38" s="101">
        <v>667</v>
      </c>
      <c r="G38" s="104">
        <v>37.514060742399998</v>
      </c>
      <c r="H38" s="390"/>
      <c r="I38" s="101">
        <v>303</v>
      </c>
      <c r="J38" s="104">
        <v>17.041619797500001</v>
      </c>
      <c r="K38" s="50"/>
      <c r="L38" s="101">
        <v>179</v>
      </c>
      <c r="M38" s="104">
        <v>10.067491563600001</v>
      </c>
      <c r="N38" s="390"/>
      <c r="O38" s="101">
        <v>650</v>
      </c>
      <c r="P38" s="104">
        <v>36.557930258699997</v>
      </c>
      <c r="Q38" s="52"/>
      <c r="R38" s="101">
        <v>192</v>
      </c>
      <c r="S38" s="104">
        <v>10.7986501687</v>
      </c>
      <c r="T38" s="52"/>
      <c r="U38" s="101">
        <v>165</v>
      </c>
      <c r="V38" s="104">
        <v>9.2800899888000004</v>
      </c>
      <c r="X38" s="101">
        <v>797</v>
      </c>
      <c r="Y38" s="104">
        <v>44.825646794199997</v>
      </c>
    </row>
    <row r="39" spans="1:25" s="370" customFormat="1" ht="12.75" customHeight="1" x14ac:dyDescent="0.2">
      <c r="A39" s="112"/>
      <c r="B39" s="13" t="s">
        <v>52</v>
      </c>
      <c r="C39" s="389"/>
      <c r="D39" s="101">
        <v>1739</v>
      </c>
      <c r="E39" s="390"/>
      <c r="F39" s="101">
        <v>1307</v>
      </c>
      <c r="G39" s="104">
        <v>75.158136860300004</v>
      </c>
      <c r="H39" s="390"/>
      <c r="I39" s="101">
        <v>730</v>
      </c>
      <c r="J39" s="104">
        <v>41.978148361099997</v>
      </c>
      <c r="K39" s="50"/>
      <c r="L39" s="101">
        <v>778</v>
      </c>
      <c r="M39" s="104">
        <v>44.7383553767</v>
      </c>
      <c r="N39" s="390"/>
      <c r="O39" s="101">
        <v>1479</v>
      </c>
      <c r="P39" s="104">
        <v>85.048878665900006</v>
      </c>
      <c r="Q39" s="390"/>
      <c r="R39" s="101">
        <v>581</v>
      </c>
      <c r="S39" s="104">
        <v>33.410005750400003</v>
      </c>
      <c r="T39" s="52"/>
      <c r="U39" s="101">
        <v>244</v>
      </c>
      <c r="V39" s="104">
        <v>14.0310523289</v>
      </c>
      <c r="X39" s="101">
        <v>125</v>
      </c>
      <c r="Y39" s="104">
        <v>7.1880391029000004</v>
      </c>
    </row>
    <row r="40" spans="1:25" s="370" customFormat="1" ht="12.75" customHeight="1" x14ac:dyDescent="0.2">
      <c r="A40" s="112"/>
      <c r="B40" s="13" t="s">
        <v>53</v>
      </c>
      <c r="C40" s="389"/>
      <c r="D40" s="101">
        <v>1649</v>
      </c>
      <c r="E40" s="390"/>
      <c r="F40" s="101">
        <v>770</v>
      </c>
      <c r="G40" s="104">
        <v>46.694966646499999</v>
      </c>
      <c r="H40" s="390"/>
      <c r="I40" s="101">
        <v>362</v>
      </c>
      <c r="J40" s="104">
        <v>21.952698605199998</v>
      </c>
      <c r="K40" s="50"/>
      <c r="L40" s="101">
        <v>294</v>
      </c>
      <c r="M40" s="104">
        <v>17.828987264999999</v>
      </c>
      <c r="N40" s="390"/>
      <c r="O40" s="101">
        <v>750</v>
      </c>
      <c r="P40" s="104">
        <v>45.482110369899999</v>
      </c>
      <c r="Q40" s="390"/>
      <c r="R40" s="101">
        <v>256</v>
      </c>
      <c r="S40" s="104">
        <v>15.524560339600001</v>
      </c>
      <c r="T40" s="52"/>
      <c r="U40" s="101">
        <v>146</v>
      </c>
      <c r="V40" s="104">
        <v>8.8538508186999998</v>
      </c>
      <c r="X40" s="101">
        <v>595</v>
      </c>
      <c r="Y40" s="104">
        <v>36.082474226800002</v>
      </c>
    </row>
    <row r="41" spans="1:25" s="370" customFormat="1" ht="12.75" customHeight="1" x14ac:dyDescent="0.2">
      <c r="A41" s="112"/>
      <c r="B41" s="13" t="s">
        <v>54</v>
      </c>
      <c r="C41" s="389"/>
      <c r="D41" s="101">
        <v>1784</v>
      </c>
      <c r="E41" s="390"/>
      <c r="F41" s="101">
        <v>894</v>
      </c>
      <c r="G41" s="104">
        <v>50.112107623299998</v>
      </c>
      <c r="H41" s="390"/>
      <c r="I41" s="101">
        <v>249</v>
      </c>
      <c r="J41" s="104">
        <v>13.9573991031</v>
      </c>
      <c r="K41" s="50"/>
      <c r="L41" s="101">
        <v>214</v>
      </c>
      <c r="M41" s="104">
        <v>11.9955156951</v>
      </c>
      <c r="N41" s="390"/>
      <c r="O41" s="101">
        <v>944</v>
      </c>
      <c r="P41" s="104">
        <v>52.914798206299999</v>
      </c>
      <c r="Q41" s="390"/>
      <c r="R41" s="101">
        <v>175</v>
      </c>
      <c r="S41" s="104">
        <v>9.8094170403999996</v>
      </c>
      <c r="T41" s="52"/>
      <c r="U41" s="101">
        <v>113</v>
      </c>
      <c r="V41" s="104">
        <v>6.3340807175</v>
      </c>
      <c r="X41" s="101">
        <v>549</v>
      </c>
      <c r="Y41" s="104">
        <v>30.773542600900001</v>
      </c>
    </row>
    <row r="42" spans="1:25" s="370" customFormat="1" ht="12.75" customHeight="1" x14ac:dyDescent="0.2">
      <c r="A42" s="112"/>
      <c r="B42" s="13" t="s">
        <v>55</v>
      </c>
      <c r="C42" s="389"/>
      <c r="D42" s="101">
        <v>1714</v>
      </c>
      <c r="E42" s="390"/>
      <c r="F42" s="101">
        <v>850</v>
      </c>
      <c r="G42" s="104">
        <v>49.591598599800001</v>
      </c>
      <c r="H42" s="390"/>
      <c r="I42" s="101">
        <v>392</v>
      </c>
      <c r="J42" s="104">
        <v>22.870478413099999</v>
      </c>
      <c r="K42" s="50"/>
      <c r="L42" s="101">
        <v>321</v>
      </c>
      <c r="M42" s="104">
        <v>18.728121353599999</v>
      </c>
      <c r="N42" s="390"/>
      <c r="O42" s="101">
        <v>941</v>
      </c>
      <c r="P42" s="104">
        <v>54.900816802800001</v>
      </c>
      <c r="Q42" s="390"/>
      <c r="R42" s="101">
        <v>283</v>
      </c>
      <c r="S42" s="104">
        <v>16.5110851809</v>
      </c>
      <c r="T42" s="52"/>
      <c r="U42" s="101">
        <v>90</v>
      </c>
      <c r="V42" s="104">
        <v>5.2508751459000003</v>
      </c>
      <c r="X42" s="101">
        <v>486</v>
      </c>
      <c r="Y42" s="104">
        <v>28.3547257876</v>
      </c>
    </row>
    <row r="43" spans="1:25" s="370" customFormat="1" ht="12.75" customHeight="1" x14ac:dyDescent="0.2">
      <c r="A43" s="112"/>
      <c r="B43" s="13" t="s">
        <v>56</v>
      </c>
      <c r="C43" s="389"/>
      <c r="D43" s="101">
        <v>1745</v>
      </c>
      <c r="E43" s="390"/>
      <c r="F43" s="101">
        <v>930</v>
      </c>
      <c r="G43" s="104">
        <v>53.295128939800001</v>
      </c>
      <c r="H43" s="390"/>
      <c r="I43" s="101">
        <v>360</v>
      </c>
      <c r="J43" s="104">
        <v>20.630372492799999</v>
      </c>
      <c r="K43" s="50"/>
      <c r="L43" s="101">
        <v>263</v>
      </c>
      <c r="M43" s="104">
        <v>15.0716332378</v>
      </c>
      <c r="N43" s="390"/>
      <c r="O43" s="101">
        <v>1355</v>
      </c>
      <c r="P43" s="104">
        <v>77.650429799400001</v>
      </c>
      <c r="Q43" s="390"/>
      <c r="R43" s="101">
        <v>209</v>
      </c>
      <c r="S43" s="104">
        <v>11.977077363899999</v>
      </c>
      <c r="T43" s="52"/>
      <c r="U43" s="101">
        <v>214</v>
      </c>
      <c r="V43" s="104">
        <v>12.263610315199999</v>
      </c>
      <c r="X43" s="101">
        <v>284</v>
      </c>
      <c r="Y43" s="104">
        <v>16.2750716332</v>
      </c>
    </row>
    <row r="44" spans="1:25" s="370" customFormat="1" ht="12.75" customHeight="1" x14ac:dyDescent="0.2">
      <c r="A44" s="112"/>
      <c r="B44" s="46" t="s">
        <v>57</v>
      </c>
      <c r="C44" s="46"/>
      <c r="D44" s="101">
        <v>1696</v>
      </c>
      <c r="E44" s="390"/>
      <c r="F44" s="101">
        <v>752</v>
      </c>
      <c r="G44" s="104">
        <v>44.3396226415</v>
      </c>
      <c r="H44" s="390"/>
      <c r="I44" s="101">
        <v>279</v>
      </c>
      <c r="J44" s="104">
        <v>16.450471698099999</v>
      </c>
      <c r="K44" s="50"/>
      <c r="L44" s="101">
        <v>196</v>
      </c>
      <c r="M44" s="104">
        <v>11.556603773599999</v>
      </c>
      <c r="N44" s="390"/>
      <c r="O44" s="101">
        <v>790</v>
      </c>
      <c r="P44" s="104">
        <v>46.580188679199999</v>
      </c>
      <c r="Q44" s="390"/>
      <c r="R44" s="101">
        <v>182</v>
      </c>
      <c r="S44" s="104">
        <v>10.7311320755</v>
      </c>
      <c r="T44" s="52"/>
      <c r="U44" s="101">
        <v>118</v>
      </c>
      <c r="V44" s="104">
        <v>6.9575471697999998</v>
      </c>
      <c r="X44" s="101">
        <v>625</v>
      </c>
      <c r="Y44" s="104">
        <v>36.851415094300002</v>
      </c>
    </row>
    <row r="45" spans="1:25" s="370" customFormat="1" ht="6" customHeight="1" x14ac:dyDescent="0.2">
      <c r="A45" s="112"/>
      <c r="B45" s="368"/>
      <c r="C45" s="391"/>
      <c r="D45" s="391"/>
      <c r="E45" s="391"/>
      <c r="F45" s="391"/>
      <c r="G45" s="392"/>
      <c r="H45" s="392"/>
      <c r="I45" s="392"/>
      <c r="J45" s="393"/>
      <c r="K45" s="393"/>
      <c r="L45" s="392"/>
      <c r="M45" s="393"/>
      <c r="N45" s="393"/>
      <c r="O45" s="368"/>
      <c r="P45" s="394"/>
      <c r="Q45" s="368"/>
      <c r="R45" s="368"/>
      <c r="S45" s="129"/>
      <c r="T45" s="368"/>
      <c r="U45" s="368"/>
      <c r="V45" s="368"/>
      <c r="W45" s="368"/>
      <c r="X45" s="368"/>
      <c r="Y45" s="368"/>
    </row>
    <row r="46" spans="1:25" s="370" customFormat="1" ht="6" customHeight="1" x14ac:dyDescent="0.2">
      <c r="A46" s="112"/>
      <c r="C46" s="395"/>
      <c r="D46" s="395"/>
      <c r="E46" s="395"/>
      <c r="F46" s="395"/>
      <c r="G46" s="396"/>
      <c r="H46" s="396"/>
      <c r="I46" s="396"/>
      <c r="J46" s="397"/>
      <c r="K46" s="397"/>
      <c r="L46" s="396"/>
      <c r="M46" s="397"/>
      <c r="N46" s="397"/>
      <c r="P46" s="398"/>
      <c r="S46" s="130"/>
    </row>
    <row r="47" spans="1:25" s="399" customFormat="1" ht="11.25" x14ac:dyDescent="0.2">
      <c r="A47" s="107"/>
      <c r="B47" s="50" t="s">
        <v>106</v>
      </c>
      <c r="C47" s="395"/>
      <c r="D47" s="395"/>
      <c r="E47" s="395"/>
      <c r="F47" s="395"/>
      <c r="G47" s="396"/>
      <c r="H47" s="396"/>
      <c r="I47" s="396"/>
      <c r="J47" s="397"/>
      <c r="K47" s="397"/>
      <c r="L47" s="396"/>
      <c r="M47" s="397"/>
      <c r="N47" s="397"/>
      <c r="P47" s="398"/>
      <c r="S47" s="88"/>
      <c r="X47" s="50"/>
      <c r="Y47" s="50"/>
    </row>
    <row r="48" spans="1:25" s="403" customFormat="1" ht="11.25" x14ac:dyDescent="0.2">
      <c r="A48" s="107"/>
      <c r="B48" s="50" t="s">
        <v>139</v>
      </c>
      <c r="C48" s="400"/>
      <c r="D48" s="400"/>
      <c r="E48" s="400"/>
      <c r="F48" s="400"/>
      <c r="G48" s="401"/>
      <c r="H48" s="401"/>
      <c r="I48" s="401"/>
      <c r="J48" s="402"/>
      <c r="K48" s="402"/>
      <c r="L48" s="401"/>
      <c r="M48" s="402"/>
      <c r="N48" s="402"/>
      <c r="P48" s="404"/>
      <c r="S48" s="88"/>
      <c r="X48" s="50"/>
      <c r="Y48" s="50"/>
    </row>
    <row r="49" spans="1:19" s="399" customFormat="1" ht="11.25" x14ac:dyDescent="0.2">
      <c r="A49" s="107"/>
      <c r="B49" s="58" t="s">
        <v>140</v>
      </c>
      <c r="C49" s="395"/>
      <c r="D49" s="395"/>
      <c r="E49" s="395"/>
      <c r="F49" s="395"/>
      <c r="G49" s="396"/>
      <c r="H49" s="396"/>
      <c r="I49" s="396"/>
      <c r="J49" s="397"/>
      <c r="K49" s="397"/>
      <c r="L49" s="396"/>
      <c r="M49" s="397"/>
      <c r="N49" s="397"/>
      <c r="P49" s="398"/>
      <c r="S49" s="88"/>
    </row>
    <row r="50" spans="1:19" s="89" customFormat="1" ht="11.25" customHeight="1" x14ac:dyDescent="0.2">
      <c r="B50" s="24" t="s">
        <v>9</v>
      </c>
    </row>
    <row r="51" spans="1:19" ht="12.75" customHeight="1" x14ac:dyDescent="0.2">
      <c r="S51" s="1"/>
    </row>
    <row r="52" spans="1:19" ht="12.75" customHeight="1" x14ac:dyDescent="0.2">
      <c r="S52" s="1"/>
    </row>
    <row r="53" spans="1:19" ht="12.75" customHeight="1" x14ac:dyDescent="0.2">
      <c r="S53" s="1"/>
    </row>
    <row r="54" spans="1:19" ht="12.75" customHeight="1" x14ac:dyDescent="0.2">
      <c r="S54" s="1"/>
    </row>
    <row r="55" spans="1:19" ht="12.75" customHeight="1" x14ac:dyDescent="0.2">
      <c r="S55" s="1"/>
    </row>
    <row r="56" spans="1:19" ht="12.75" customHeight="1" x14ac:dyDescent="0.2">
      <c r="S56" s="1"/>
    </row>
    <row r="57" spans="1:19" ht="12.75" customHeight="1" x14ac:dyDescent="0.2">
      <c r="S57" s="1"/>
    </row>
    <row r="58" spans="1:19" ht="12.75" customHeight="1" x14ac:dyDescent="0.2">
      <c r="S58" s="1"/>
    </row>
    <row r="59" spans="1:19" ht="12.75" customHeight="1" x14ac:dyDescent="0.2">
      <c r="S59" s="1"/>
    </row>
    <row r="60" spans="1:19" ht="12.75" customHeight="1" x14ac:dyDescent="0.2">
      <c r="S60" s="1"/>
    </row>
    <row r="61" spans="1:19" ht="12.75" customHeight="1" x14ac:dyDescent="0.2">
      <c r="S61" s="1"/>
    </row>
    <row r="62" spans="1:19" ht="12.75" customHeight="1" x14ac:dyDescent="0.2">
      <c r="S62" s="1"/>
    </row>
    <row r="63" spans="1:19" ht="12.75" customHeight="1" x14ac:dyDescent="0.2">
      <c r="S63" s="1"/>
    </row>
    <row r="64" spans="1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  <row r="70" spans="19:19" ht="12.75" customHeight="1" x14ac:dyDescent="0.2">
      <c r="S70" s="1"/>
    </row>
    <row r="71" spans="19:19" ht="12.75" customHeight="1" x14ac:dyDescent="0.2">
      <c r="S71" s="1"/>
    </row>
    <row r="72" spans="19:19" ht="12.75" customHeight="1" x14ac:dyDescent="0.2">
      <c r="S72" s="1"/>
    </row>
    <row r="73" spans="19:19" ht="12.75" customHeight="1" x14ac:dyDescent="0.2">
      <c r="S73" s="1"/>
    </row>
    <row r="74" spans="19:19" ht="12.75" customHeight="1" x14ac:dyDescent="0.2">
      <c r="S74" s="1"/>
    </row>
    <row r="75" spans="19:19" ht="12.75" customHeight="1" x14ac:dyDescent="0.2">
      <c r="S75" s="1"/>
    </row>
    <row r="76" spans="19:19" ht="12.75" customHeight="1" x14ac:dyDescent="0.2">
      <c r="S76" s="1"/>
    </row>
    <row r="77" spans="19:19" ht="12.75" customHeight="1" x14ac:dyDescent="0.2">
      <c r="S77" s="1"/>
    </row>
    <row r="78" spans="19:19" ht="12.75" customHeight="1" x14ac:dyDescent="0.2">
      <c r="S78" s="1"/>
    </row>
    <row r="79" spans="19:19" ht="12.75" customHeight="1" x14ac:dyDescent="0.2">
      <c r="S79" s="1"/>
    </row>
    <row r="80" spans="19:19" ht="12.75" customHeight="1" x14ac:dyDescent="0.2">
      <c r="S80" s="1"/>
    </row>
    <row r="81" spans="19:19" ht="12.75" customHeight="1" x14ac:dyDescent="0.2">
      <c r="S81" s="1"/>
    </row>
    <row r="82" spans="19:19" ht="12.75" customHeight="1" x14ac:dyDescent="0.2">
      <c r="S82" s="1"/>
    </row>
    <row r="83" spans="19:19" ht="12.75" customHeight="1" x14ac:dyDescent="0.2">
      <c r="S83" s="1"/>
    </row>
    <row r="84" spans="19:19" ht="12.75" customHeight="1" x14ac:dyDescent="0.2">
      <c r="S84" s="1"/>
    </row>
    <row r="85" spans="19:19" ht="12.75" customHeight="1" x14ac:dyDescent="0.2">
      <c r="S85" s="1"/>
    </row>
    <row r="86" spans="19:19" ht="12.75" customHeight="1" x14ac:dyDescent="0.2">
      <c r="S86" s="1"/>
    </row>
    <row r="87" spans="19:19" ht="12.75" customHeight="1" x14ac:dyDescent="0.2">
      <c r="S87" s="1"/>
    </row>
    <row r="88" spans="19:19" ht="12.75" customHeight="1" x14ac:dyDescent="0.2">
      <c r="S88" s="1"/>
    </row>
    <row r="89" spans="19:19" ht="12.75" customHeight="1" x14ac:dyDescent="0.2">
      <c r="S89" s="1"/>
    </row>
    <row r="90" spans="19:19" ht="12.75" customHeight="1" x14ac:dyDescent="0.2">
      <c r="S90" s="1"/>
    </row>
    <row r="91" spans="19:19" ht="12.75" customHeight="1" x14ac:dyDescent="0.2">
      <c r="S91" s="1"/>
    </row>
    <row r="92" spans="19:19" ht="12.75" customHeight="1" x14ac:dyDescent="0.2">
      <c r="S92" s="1"/>
    </row>
    <row r="93" spans="19:19" ht="12.75" customHeight="1" x14ac:dyDescent="0.2">
      <c r="S93" s="1"/>
    </row>
    <row r="94" spans="19:19" ht="12.75" customHeight="1" x14ac:dyDescent="0.2">
      <c r="S94" s="1"/>
    </row>
    <row r="95" spans="19:19" ht="12.75" customHeight="1" x14ac:dyDescent="0.2">
      <c r="S95" s="1"/>
    </row>
    <row r="96" spans="19:19" ht="12.75" customHeight="1" x14ac:dyDescent="0.2">
      <c r="S96" s="1"/>
    </row>
    <row r="97" spans="19:19" ht="12.75" customHeight="1" x14ac:dyDescent="0.2">
      <c r="S97" s="1"/>
    </row>
    <row r="98" spans="19:19" ht="12.75" customHeight="1" x14ac:dyDescent="0.2">
      <c r="S98" s="1"/>
    </row>
    <row r="99" spans="19:19" ht="12.75" customHeight="1" x14ac:dyDescent="0.2">
      <c r="S99" s="1"/>
    </row>
  </sheetData>
  <mergeCells count="12">
    <mergeCell ref="X7:Y8"/>
    <mergeCell ref="F8:G8"/>
    <mergeCell ref="I8:J8"/>
    <mergeCell ref="L8:M8"/>
    <mergeCell ref="O8:P8"/>
    <mergeCell ref="R8:S8"/>
    <mergeCell ref="U8:V8"/>
    <mergeCell ref="B5:O5"/>
    <mergeCell ref="C6:O6"/>
    <mergeCell ref="B7:C9"/>
    <mergeCell ref="D7:D9"/>
    <mergeCell ref="F7:V7"/>
  </mergeCells>
  <hyperlinks>
    <hyperlink ref="Y1" location="Índice!A1" tooltip="Ir a ÍNDICE" display="INDICE" xr:uid="{C8706B01-3BD6-4683-A9DC-93D73C4F629F}"/>
  </hyperlinks>
  <pageMargins left="0.70866141732283472" right="0.70866141732283472" top="0.59055118110236227" bottom="0.59055118110236227" header="0.23622047244094491" footer="0.23622047244094491"/>
  <pageSetup scale="56" orientation="landscape" r:id="rId1"/>
  <colBreaks count="1" manualBreakCount="1">
    <brk id="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6C4D-69E0-40E5-BD2B-74CB87428263}">
  <dimension ref="A1:AE54"/>
  <sheetViews>
    <sheetView showGridLines="0" zoomScaleNormal="100" workbookViewId="0"/>
  </sheetViews>
  <sheetFormatPr baseColWidth="10" defaultColWidth="11.42578125" defaultRowHeight="15" x14ac:dyDescent="0.2"/>
  <cols>
    <col min="1" max="1" width="1.7109375" style="5" customWidth="1"/>
    <col min="2" max="2" width="33.140625" customWidth="1"/>
    <col min="3" max="3" width="1.7109375" customWidth="1"/>
    <col min="4" max="4" width="19" customWidth="1"/>
    <col min="5" max="5" width="1.7109375" customWidth="1"/>
    <col min="6" max="6" width="14.140625" customWidth="1"/>
    <col min="8" max="8" width="1.7109375" customWidth="1"/>
    <col min="9" max="9" width="14.7109375" customWidth="1"/>
    <col min="11" max="11" width="1.7109375" customWidth="1"/>
    <col min="12" max="12" width="15.5703125" customWidth="1"/>
    <col min="14" max="14" width="1.7109375" customWidth="1"/>
    <col min="15" max="15" width="15.85546875" customWidth="1"/>
    <col min="16" max="16" width="11.42578125" customWidth="1"/>
    <col min="17" max="17" width="1.7109375" customWidth="1"/>
    <col min="18" max="18" width="17.5703125" customWidth="1"/>
    <col min="20" max="20" width="1.7109375" customWidth="1"/>
    <col min="21" max="21" width="14.42578125" customWidth="1"/>
    <col min="23" max="23" width="0.85546875" style="452" customWidth="1"/>
    <col min="24" max="25" width="10.7109375" style="452" customWidth="1"/>
  </cols>
  <sheetData>
    <row r="1" spans="1:31" s="69" customFormat="1" ht="14.1" customHeight="1" x14ac:dyDescent="0.2">
      <c r="A1" s="66"/>
      <c r="B1" s="485" t="s">
        <v>144</v>
      </c>
      <c r="C1" s="407"/>
      <c r="D1" s="408"/>
      <c r="E1" s="408"/>
      <c r="F1" s="408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Y1" s="85" t="s">
        <v>118</v>
      </c>
      <c r="Z1" s="68"/>
      <c r="AA1" s="68"/>
      <c r="AB1" s="68"/>
      <c r="AC1" s="68"/>
      <c r="AD1" s="68"/>
      <c r="AE1" s="68"/>
    </row>
    <row r="2" spans="1:31" s="69" customFormat="1" ht="6.95" customHeight="1" x14ac:dyDescent="0.2">
      <c r="A2" s="66"/>
      <c r="B2" s="485"/>
      <c r="C2" s="407"/>
      <c r="D2" s="408"/>
      <c r="E2" s="408"/>
      <c r="F2" s="408"/>
      <c r="G2" s="409"/>
      <c r="H2" s="409"/>
      <c r="I2" s="409"/>
      <c r="J2" s="409"/>
      <c r="K2" s="409"/>
      <c r="L2" s="409"/>
      <c r="M2" s="409"/>
      <c r="N2" s="409"/>
      <c r="O2" s="409"/>
      <c r="P2" s="409"/>
      <c r="Q2" s="409"/>
      <c r="R2" s="409"/>
      <c r="S2" s="409"/>
      <c r="T2" s="409"/>
      <c r="U2" s="409"/>
      <c r="V2" s="409"/>
      <c r="W2" s="409"/>
      <c r="X2" s="409"/>
      <c r="Y2" s="409"/>
      <c r="Z2" s="68"/>
      <c r="AA2" s="68"/>
      <c r="AB2" s="68"/>
      <c r="AC2" s="68"/>
      <c r="AD2" s="68"/>
      <c r="AE2" s="68"/>
    </row>
    <row r="3" spans="1:31" s="69" customFormat="1" ht="14.1" customHeight="1" x14ac:dyDescent="0.2">
      <c r="A3" s="66"/>
      <c r="B3" s="485" t="s">
        <v>142</v>
      </c>
      <c r="C3" s="410"/>
      <c r="D3" s="410"/>
      <c r="E3" s="410"/>
      <c r="F3" s="410"/>
      <c r="G3" s="410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  <c r="S3" s="409"/>
      <c r="T3" s="409"/>
      <c r="U3" s="409"/>
      <c r="V3" s="409"/>
      <c r="W3" s="409"/>
      <c r="X3" s="409"/>
      <c r="Y3" s="409"/>
      <c r="Z3" s="68"/>
      <c r="AA3" s="68"/>
      <c r="AB3" s="68"/>
      <c r="AC3" s="68"/>
      <c r="AD3" s="68"/>
      <c r="AE3" s="68"/>
    </row>
    <row r="4" spans="1:31" s="69" customFormat="1" ht="6.95" customHeight="1" x14ac:dyDescent="0.2">
      <c r="A4" s="66"/>
      <c r="B4" s="409"/>
      <c r="C4" s="407"/>
      <c r="D4" s="407"/>
      <c r="E4" s="407"/>
      <c r="F4" s="407"/>
      <c r="G4" s="409"/>
      <c r="H4" s="409"/>
      <c r="I4" s="409"/>
      <c r="J4" s="409"/>
      <c r="K4" s="409"/>
      <c r="L4" s="409"/>
      <c r="M4" s="409"/>
      <c r="N4" s="409"/>
      <c r="O4" s="409"/>
      <c r="P4" s="409"/>
      <c r="Q4" s="409"/>
      <c r="R4" s="409"/>
      <c r="S4" s="409"/>
      <c r="T4" s="409"/>
      <c r="U4" s="409"/>
      <c r="V4" s="409"/>
      <c r="W4" s="409"/>
      <c r="X4" s="409"/>
      <c r="Y4" s="409"/>
      <c r="Z4" s="68"/>
      <c r="AA4" s="68"/>
      <c r="AB4" s="68"/>
      <c r="AC4" s="68"/>
      <c r="AD4" s="68"/>
      <c r="AE4" s="68"/>
    </row>
    <row r="5" spans="1:31" s="69" customFormat="1" ht="20.100000000000001" customHeight="1" x14ac:dyDescent="0.2">
      <c r="A5" s="106"/>
      <c r="B5" s="612" t="s">
        <v>112</v>
      </c>
      <c r="C5" s="612"/>
      <c r="D5" s="612"/>
      <c r="E5" s="612"/>
      <c r="F5" s="612"/>
      <c r="G5" s="612"/>
      <c r="H5" s="612"/>
      <c r="I5" s="612"/>
      <c r="J5" s="612"/>
      <c r="K5" s="612"/>
      <c r="L5" s="612"/>
      <c r="M5" s="612"/>
      <c r="N5" s="612"/>
      <c r="O5" s="612"/>
      <c r="P5" s="612"/>
      <c r="Q5" s="612"/>
      <c r="R5" s="612"/>
      <c r="S5" s="411"/>
      <c r="T5" s="412"/>
      <c r="U5" s="122"/>
      <c r="V5" s="413"/>
      <c r="W5" s="413"/>
      <c r="X5" s="413"/>
      <c r="Y5" s="75" t="s">
        <v>114</v>
      </c>
      <c r="Z5" s="68"/>
      <c r="AA5" s="68"/>
      <c r="AB5" s="68"/>
      <c r="AC5" s="68"/>
      <c r="AD5" s="68"/>
      <c r="AE5" s="68"/>
    </row>
    <row r="6" spans="1:31" s="124" customFormat="1" ht="6" customHeight="1" x14ac:dyDescent="0.2">
      <c r="A6" s="106"/>
      <c r="B6" s="414"/>
      <c r="C6" s="613"/>
      <c r="D6" s="613"/>
      <c r="E6" s="613"/>
      <c r="F6" s="614"/>
      <c r="G6" s="614"/>
      <c r="H6" s="614"/>
      <c r="I6" s="614"/>
      <c r="J6" s="614"/>
      <c r="K6" s="614"/>
      <c r="L6" s="614"/>
      <c r="M6" s="615"/>
      <c r="N6" s="615"/>
      <c r="O6" s="615"/>
      <c r="P6" s="615"/>
      <c r="Q6" s="615"/>
      <c r="R6" s="615"/>
      <c r="S6" s="415"/>
      <c r="T6" s="416"/>
      <c r="U6" s="416"/>
      <c r="V6" s="416"/>
      <c r="W6" s="414"/>
      <c r="X6" s="416"/>
      <c r="Y6" s="416"/>
      <c r="Z6" s="123"/>
      <c r="AA6" s="123"/>
      <c r="AB6" s="123"/>
      <c r="AC6" s="123"/>
      <c r="AD6" s="123"/>
      <c r="AE6" s="123"/>
    </row>
    <row r="7" spans="1:31" s="124" customFormat="1" ht="15.75" customHeight="1" x14ac:dyDescent="0.2">
      <c r="A7" s="106"/>
      <c r="B7" s="616" t="s">
        <v>1</v>
      </c>
      <c r="C7" s="616"/>
      <c r="D7" s="609" t="s">
        <v>23</v>
      </c>
      <c r="E7" s="417"/>
      <c r="F7" s="611" t="s">
        <v>137</v>
      </c>
      <c r="G7" s="611"/>
      <c r="H7" s="611"/>
      <c r="I7" s="611"/>
      <c r="J7" s="611"/>
      <c r="K7" s="611"/>
      <c r="L7" s="611"/>
      <c r="M7" s="611"/>
      <c r="N7" s="611"/>
      <c r="O7" s="611"/>
      <c r="P7" s="611"/>
      <c r="Q7" s="611"/>
      <c r="R7" s="611"/>
      <c r="S7" s="611"/>
      <c r="T7" s="611"/>
      <c r="U7" s="611"/>
      <c r="V7" s="611"/>
      <c r="W7" s="418"/>
      <c r="X7" s="609" t="s">
        <v>138</v>
      </c>
      <c r="Y7" s="609"/>
      <c r="Z7" s="123"/>
      <c r="AA7" s="123"/>
      <c r="AB7" s="123"/>
      <c r="AC7" s="123"/>
      <c r="AD7" s="123"/>
      <c r="AE7" s="123"/>
    </row>
    <row r="8" spans="1:31" s="124" customFormat="1" ht="46.5" customHeight="1" x14ac:dyDescent="0.2">
      <c r="A8" s="106"/>
      <c r="B8" s="617"/>
      <c r="C8" s="617"/>
      <c r="D8" s="619"/>
      <c r="E8" s="419"/>
      <c r="F8" s="611" t="s">
        <v>110</v>
      </c>
      <c r="G8" s="611"/>
      <c r="H8" s="417"/>
      <c r="I8" s="611" t="s">
        <v>109</v>
      </c>
      <c r="J8" s="611"/>
      <c r="K8" s="420"/>
      <c r="L8" s="611" t="s">
        <v>115</v>
      </c>
      <c r="M8" s="611"/>
      <c r="N8" s="420"/>
      <c r="O8" s="611" t="s">
        <v>116</v>
      </c>
      <c r="P8" s="611"/>
      <c r="Q8" s="421"/>
      <c r="R8" s="611" t="s">
        <v>108</v>
      </c>
      <c r="S8" s="611"/>
      <c r="T8" s="422"/>
      <c r="U8" s="611" t="s">
        <v>107</v>
      </c>
      <c r="V8" s="611"/>
      <c r="W8" s="423"/>
      <c r="X8" s="610"/>
      <c r="Y8" s="610"/>
      <c r="Z8" s="123"/>
      <c r="AA8" s="123"/>
      <c r="AB8" s="123"/>
      <c r="AC8" s="123"/>
      <c r="AD8" s="123"/>
      <c r="AE8" s="123"/>
    </row>
    <row r="9" spans="1:31" s="124" customFormat="1" ht="15.75" customHeight="1" x14ac:dyDescent="0.2">
      <c r="A9" s="107"/>
      <c r="B9" s="618"/>
      <c r="C9" s="618"/>
      <c r="D9" s="610"/>
      <c r="E9" s="424"/>
      <c r="F9" s="113" t="s">
        <v>13</v>
      </c>
      <c r="G9" s="113" t="s">
        <v>14</v>
      </c>
      <c r="H9" s="424"/>
      <c r="I9" s="113" t="s">
        <v>13</v>
      </c>
      <c r="J9" s="113" t="s">
        <v>14</v>
      </c>
      <c r="K9" s="425"/>
      <c r="L9" s="113" t="s">
        <v>13</v>
      </c>
      <c r="M9" s="113" t="s">
        <v>14</v>
      </c>
      <c r="N9" s="425"/>
      <c r="O9" s="113" t="s">
        <v>13</v>
      </c>
      <c r="P9" s="113" t="s">
        <v>14</v>
      </c>
      <c r="Q9" s="426"/>
      <c r="R9" s="113" t="s">
        <v>13</v>
      </c>
      <c r="S9" s="113" t="s">
        <v>14</v>
      </c>
      <c r="T9" s="427"/>
      <c r="U9" s="113" t="s">
        <v>13</v>
      </c>
      <c r="V9" s="113" t="s">
        <v>14</v>
      </c>
      <c r="W9" s="426"/>
      <c r="X9" s="113" t="s">
        <v>13</v>
      </c>
      <c r="Y9" s="113" t="s">
        <v>14</v>
      </c>
      <c r="Z9" s="123"/>
      <c r="AA9" s="123"/>
      <c r="AB9" s="123"/>
      <c r="AC9" s="123"/>
      <c r="AD9" s="123"/>
      <c r="AE9" s="123"/>
    </row>
    <row r="10" spans="1:31" s="124" customFormat="1" ht="6" customHeight="1" x14ac:dyDescent="0.2">
      <c r="A10" s="108"/>
      <c r="B10" s="428"/>
      <c r="C10" s="428"/>
      <c r="D10" s="429"/>
      <c r="E10" s="429"/>
      <c r="F10" s="429"/>
      <c r="G10" s="430"/>
      <c r="H10" s="430"/>
      <c r="I10" s="431"/>
      <c r="J10" s="432"/>
      <c r="K10" s="432"/>
      <c r="L10" s="432"/>
      <c r="M10" s="432"/>
      <c r="N10" s="432"/>
      <c r="O10" s="432"/>
      <c r="P10" s="432"/>
      <c r="Q10" s="432"/>
      <c r="R10" s="432"/>
      <c r="S10" s="432"/>
      <c r="T10" s="416"/>
      <c r="U10" s="416"/>
      <c r="V10" s="416"/>
      <c r="W10" s="416"/>
      <c r="X10" s="416"/>
      <c r="Y10" s="416"/>
      <c r="Z10" s="123"/>
      <c r="AA10" s="123"/>
      <c r="AB10" s="123"/>
      <c r="AC10" s="123"/>
      <c r="AD10" s="123"/>
      <c r="AE10" s="123"/>
    </row>
    <row r="11" spans="1:31" s="124" customFormat="1" x14ac:dyDescent="0.2">
      <c r="A11" s="109"/>
      <c r="B11" s="119" t="s">
        <v>5</v>
      </c>
      <c r="C11" s="433"/>
      <c r="D11" s="99">
        <v>55147</v>
      </c>
      <c r="E11" s="434"/>
      <c r="F11" s="99">
        <v>23490</v>
      </c>
      <c r="G11" s="102">
        <v>42.595245434900001</v>
      </c>
      <c r="H11" s="434"/>
      <c r="I11" s="99">
        <v>9783</v>
      </c>
      <c r="J11" s="102">
        <v>17.739858922500002</v>
      </c>
      <c r="K11" s="50"/>
      <c r="L11" s="99">
        <v>8650</v>
      </c>
      <c r="M11" s="102">
        <v>15.6853500644</v>
      </c>
      <c r="N11" s="434"/>
      <c r="O11" s="99">
        <v>25796</v>
      </c>
      <c r="P11" s="102">
        <v>46.776796561899999</v>
      </c>
      <c r="Q11" s="434"/>
      <c r="R11" s="99">
        <v>6439</v>
      </c>
      <c r="S11" s="102">
        <v>11.676065787800001</v>
      </c>
      <c r="T11" s="51"/>
      <c r="U11" s="99">
        <v>4570</v>
      </c>
      <c r="V11" s="102">
        <v>8.2869421726999999</v>
      </c>
      <c r="W11" s="435"/>
      <c r="X11" s="99">
        <v>20314</v>
      </c>
      <c r="Y11" s="102">
        <v>36.836092625200003</v>
      </c>
      <c r="Z11" s="123"/>
      <c r="AA11" s="123"/>
      <c r="AB11" s="123"/>
      <c r="AC11" s="123"/>
      <c r="AD11" s="123"/>
      <c r="AE11" s="123"/>
    </row>
    <row r="12" spans="1:31" s="124" customFormat="1" ht="9" customHeight="1" x14ac:dyDescent="0.2">
      <c r="A12" s="110"/>
      <c r="B12" s="125"/>
      <c r="C12" s="433"/>
      <c r="D12" s="100"/>
      <c r="E12" s="434"/>
      <c r="F12" s="100"/>
      <c r="G12" s="103"/>
      <c r="H12" s="434"/>
      <c r="I12" s="100"/>
      <c r="J12" s="103"/>
      <c r="K12" s="50"/>
      <c r="L12" s="100"/>
      <c r="M12" s="103"/>
      <c r="N12" s="434"/>
      <c r="O12" s="100"/>
      <c r="P12" s="103"/>
      <c r="Q12" s="434"/>
      <c r="R12" s="100"/>
      <c r="S12" s="103"/>
      <c r="T12" s="50"/>
      <c r="U12" s="100"/>
      <c r="V12" s="103"/>
      <c r="W12" s="435"/>
      <c r="X12" s="100"/>
      <c r="Y12" s="103"/>
      <c r="Z12" s="123"/>
      <c r="AA12" s="123"/>
      <c r="AB12" s="123"/>
      <c r="AC12" s="123"/>
      <c r="AD12" s="123"/>
      <c r="AE12" s="123"/>
    </row>
    <row r="13" spans="1:31" s="124" customFormat="1" ht="12.75" customHeight="1" x14ac:dyDescent="0.2">
      <c r="A13" s="110"/>
      <c r="B13" s="105" t="s">
        <v>6</v>
      </c>
      <c r="C13" s="436"/>
      <c r="D13" s="101">
        <v>12727</v>
      </c>
      <c r="E13" s="437"/>
      <c r="F13" s="101">
        <v>6704</v>
      </c>
      <c r="G13" s="104">
        <v>52.6754144732</v>
      </c>
      <c r="H13" s="437"/>
      <c r="I13" s="101">
        <v>3319</v>
      </c>
      <c r="J13" s="104">
        <v>26.0784159661</v>
      </c>
      <c r="K13" s="50"/>
      <c r="L13" s="101">
        <v>3107</v>
      </c>
      <c r="M13" s="104">
        <v>24.412665985699999</v>
      </c>
      <c r="N13" s="437"/>
      <c r="O13" s="101">
        <v>6981</v>
      </c>
      <c r="P13" s="104">
        <v>54.851889683400003</v>
      </c>
      <c r="Q13" s="437"/>
      <c r="R13" s="101">
        <v>2383</v>
      </c>
      <c r="S13" s="104">
        <v>18.723972656600001</v>
      </c>
      <c r="T13" s="52"/>
      <c r="U13" s="101">
        <v>950</v>
      </c>
      <c r="V13" s="104">
        <v>7.4644456666999996</v>
      </c>
      <c r="W13" s="416"/>
      <c r="X13" s="101">
        <v>3300</v>
      </c>
      <c r="Y13" s="104">
        <v>25.9291270527</v>
      </c>
      <c r="Z13" s="123"/>
      <c r="AA13" s="123"/>
      <c r="AB13" s="123"/>
      <c r="AC13" s="123"/>
      <c r="AD13" s="123"/>
      <c r="AE13" s="123"/>
    </row>
    <row r="14" spans="1:31" s="124" customFormat="1" ht="12" customHeight="1" x14ac:dyDescent="0.2">
      <c r="A14" s="110"/>
      <c r="B14" s="105" t="s">
        <v>7</v>
      </c>
      <c r="C14" s="436"/>
      <c r="D14" s="101">
        <v>8875</v>
      </c>
      <c r="E14" s="437"/>
      <c r="F14" s="101">
        <v>4281</v>
      </c>
      <c r="G14" s="104">
        <v>48.236619718299998</v>
      </c>
      <c r="H14" s="437"/>
      <c r="I14" s="101">
        <v>1753</v>
      </c>
      <c r="J14" s="104">
        <v>19.752112676100001</v>
      </c>
      <c r="K14" s="50"/>
      <c r="L14" s="101">
        <v>1603</v>
      </c>
      <c r="M14" s="104">
        <v>18.061971831000001</v>
      </c>
      <c r="N14" s="437"/>
      <c r="O14" s="101">
        <v>4706</v>
      </c>
      <c r="P14" s="104">
        <v>53.025352112699998</v>
      </c>
      <c r="Q14" s="437"/>
      <c r="R14" s="101">
        <v>1176</v>
      </c>
      <c r="S14" s="104">
        <v>13.2507042254</v>
      </c>
      <c r="T14" s="52"/>
      <c r="U14" s="101">
        <v>761</v>
      </c>
      <c r="V14" s="104">
        <v>8.5746478872999994</v>
      </c>
      <c r="W14" s="416"/>
      <c r="X14" s="101">
        <v>2758</v>
      </c>
      <c r="Y14" s="104">
        <v>31.076056338000001</v>
      </c>
      <c r="Z14" s="123"/>
      <c r="AA14" s="123"/>
      <c r="AB14" s="123"/>
      <c r="AC14" s="123"/>
      <c r="AD14" s="123"/>
      <c r="AE14" s="123"/>
    </row>
    <row r="15" spans="1:31" s="124" customFormat="1" x14ac:dyDescent="0.2">
      <c r="A15" s="107"/>
      <c r="B15" s="105" t="s">
        <v>8</v>
      </c>
      <c r="C15" s="436"/>
      <c r="D15" s="101">
        <v>8735</v>
      </c>
      <c r="E15" s="437"/>
      <c r="F15" s="101">
        <v>3614</v>
      </c>
      <c r="G15" s="104">
        <v>41.373783629099997</v>
      </c>
      <c r="H15" s="437"/>
      <c r="I15" s="101">
        <v>1420</v>
      </c>
      <c r="J15" s="104">
        <v>16.256439610800001</v>
      </c>
      <c r="K15" s="50"/>
      <c r="L15" s="101">
        <v>1195</v>
      </c>
      <c r="M15" s="104">
        <v>13.680595306200001</v>
      </c>
      <c r="N15" s="437"/>
      <c r="O15" s="101">
        <v>4122</v>
      </c>
      <c r="P15" s="104">
        <v>47.189467658799998</v>
      </c>
      <c r="Q15" s="437"/>
      <c r="R15" s="101">
        <v>892</v>
      </c>
      <c r="S15" s="104">
        <v>10.2117916428</v>
      </c>
      <c r="T15" s="52"/>
      <c r="U15" s="101">
        <v>760</v>
      </c>
      <c r="V15" s="104">
        <v>8.7006296507999998</v>
      </c>
      <c r="W15" s="416"/>
      <c r="X15" s="101">
        <v>3257</v>
      </c>
      <c r="Y15" s="104">
        <v>37.286777332600003</v>
      </c>
      <c r="Z15" s="123"/>
      <c r="AA15" s="123"/>
      <c r="AB15" s="123"/>
      <c r="AC15" s="123"/>
      <c r="AD15" s="123"/>
      <c r="AE15" s="123"/>
    </row>
    <row r="16" spans="1:31" s="124" customFormat="1" x14ac:dyDescent="0.2">
      <c r="A16" s="107"/>
      <c r="B16" s="105" t="s">
        <v>79</v>
      </c>
      <c r="C16" s="436"/>
      <c r="D16" s="101">
        <v>24810</v>
      </c>
      <c r="E16" s="437"/>
      <c r="F16" s="101">
        <v>8891</v>
      </c>
      <c r="G16" s="104">
        <v>35.836356307899997</v>
      </c>
      <c r="H16" s="437"/>
      <c r="I16" s="101">
        <v>3291</v>
      </c>
      <c r="J16" s="104">
        <v>13.264812575600001</v>
      </c>
      <c r="K16" s="50"/>
      <c r="L16" s="101">
        <v>2745</v>
      </c>
      <c r="M16" s="104">
        <v>11.0640870617</v>
      </c>
      <c r="N16" s="437"/>
      <c r="O16" s="101">
        <v>9987</v>
      </c>
      <c r="P16" s="104">
        <v>40.253929866999997</v>
      </c>
      <c r="Q16" s="437"/>
      <c r="R16" s="101">
        <v>1988</v>
      </c>
      <c r="S16" s="104">
        <v>8.0128980250000001</v>
      </c>
      <c r="T16" s="52"/>
      <c r="U16" s="101">
        <v>2099</v>
      </c>
      <c r="V16" s="104">
        <v>8.4602982668000006</v>
      </c>
      <c r="W16" s="416"/>
      <c r="X16" s="101">
        <v>10999</v>
      </c>
      <c r="Y16" s="104">
        <v>44.3329302701</v>
      </c>
      <c r="Z16" s="123"/>
      <c r="AA16" s="123"/>
      <c r="AB16" s="123"/>
      <c r="AC16" s="123"/>
      <c r="AD16" s="123"/>
      <c r="AE16" s="123"/>
    </row>
    <row r="17" spans="1:31" s="124" customFormat="1" ht="6" customHeight="1" x14ac:dyDescent="0.2">
      <c r="A17" s="107"/>
      <c r="B17" s="45"/>
      <c r="C17" s="45"/>
      <c r="D17" s="57"/>
      <c r="E17" s="438"/>
      <c r="F17" s="57"/>
      <c r="G17" s="439"/>
      <c r="H17" s="439"/>
      <c r="I17" s="57"/>
      <c r="J17" s="439"/>
      <c r="K17" s="440"/>
      <c r="L17" s="57"/>
      <c r="M17" s="439"/>
      <c r="N17" s="441"/>
      <c r="O17" s="441"/>
      <c r="P17" s="441"/>
      <c r="Q17" s="441"/>
      <c r="R17" s="57"/>
      <c r="S17" s="439"/>
      <c r="T17" s="414"/>
      <c r="U17" s="414"/>
      <c r="V17" s="126"/>
      <c r="W17" s="414"/>
      <c r="X17" s="61"/>
      <c r="Y17" s="61"/>
      <c r="Z17" s="123"/>
      <c r="AA17" s="123"/>
      <c r="AB17" s="123"/>
      <c r="AC17" s="123"/>
      <c r="AD17" s="123"/>
      <c r="AE17" s="123"/>
    </row>
    <row r="18" spans="1:31" s="124" customFormat="1" ht="6" customHeight="1" x14ac:dyDescent="0.2">
      <c r="A18" s="111"/>
      <c r="B18" s="416"/>
      <c r="C18" s="442"/>
      <c r="D18" s="442"/>
      <c r="E18" s="442"/>
      <c r="F18" s="442"/>
      <c r="G18" s="443"/>
      <c r="H18" s="443"/>
      <c r="I18" s="443"/>
      <c r="J18" s="444"/>
      <c r="K18" s="444"/>
      <c r="L18" s="443"/>
      <c r="M18" s="444"/>
      <c r="N18" s="444"/>
      <c r="O18" s="444"/>
      <c r="P18" s="444"/>
      <c r="Q18" s="444"/>
      <c r="R18" s="416"/>
      <c r="S18" s="445"/>
      <c r="T18" s="416"/>
      <c r="U18" s="416"/>
      <c r="V18" s="127"/>
      <c r="W18" s="416"/>
      <c r="X18" s="53"/>
      <c r="Y18" s="53"/>
      <c r="Z18" s="123"/>
      <c r="AA18" s="123"/>
      <c r="AB18" s="123"/>
      <c r="AC18" s="123"/>
      <c r="AD18" s="123"/>
      <c r="AE18" s="123"/>
    </row>
    <row r="19" spans="1:31" s="87" customFormat="1" ht="11.25" x14ac:dyDescent="0.2">
      <c r="A19" s="128"/>
      <c r="B19" s="50" t="s">
        <v>106</v>
      </c>
      <c r="C19" s="442"/>
      <c r="D19" s="442"/>
      <c r="E19" s="442"/>
      <c r="F19" s="442"/>
      <c r="G19" s="443"/>
      <c r="H19" s="443"/>
      <c r="I19" s="443"/>
      <c r="J19" s="444"/>
      <c r="K19" s="444"/>
      <c r="L19" s="443"/>
      <c r="M19" s="444"/>
      <c r="N19" s="444"/>
      <c r="O19" s="444"/>
      <c r="P19" s="444"/>
      <c r="Q19" s="444"/>
      <c r="R19" s="446"/>
      <c r="S19" s="445"/>
      <c r="T19" s="446"/>
      <c r="U19" s="446"/>
      <c r="V19" s="86"/>
      <c r="W19" s="446"/>
      <c r="X19" s="52"/>
      <c r="Y19" s="52"/>
      <c r="Z19" s="50"/>
      <c r="AA19" s="50"/>
      <c r="AB19" s="50"/>
      <c r="AC19" s="50"/>
      <c r="AD19" s="50"/>
      <c r="AE19" s="50"/>
    </row>
    <row r="20" spans="1:31" s="450" customFormat="1" ht="11.25" x14ac:dyDescent="0.2">
      <c r="A20" s="107"/>
      <c r="B20" s="50" t="s">
        <v>139</v>
      </c>
      <c r="C20" s="447"/>
      <c r="D20" s="447"/>
      <c r="E20" s="447"/>
      <c r="F20" s="447"/>
      <c r="G20" s="448"/>
      <c r="H20" s="448"/>
      <c r="I20" s="448"/>
      <c r="J20" s="449"/>
      <c r="K20" s="449"/>
      <c r="L20" s="448"/>
      <c r="M20" s="449"/>
      <c r="N20" s="449"/>
      <c r="P20" s="451"/>
      <c r="S20" s="88"/>
      <c r="X20" s="50"/>
      <c r="Y20" s="50"/>
    </row>
    <row r="21" spans="1:31" s="446" customFormat="1" ht="11.25" x14ac:dyDescent="0.2">
      <c r="A21" s="107"/>
      <c r="B21" s="58" t="s">
        <v>140</v>
      </c>
      <c r="C21" s="442"/>
      <c r="D21" s="442"/>
      <c r="E21" s="442"/>
      <c r="F21" s="442"/>
      <c r="G21" s="443"/>
      <c r="H21" s="443"/>
      <c r="I21" s="443"/>
      <c r="J21" s="444"/>
      <c r="K21" s="444"/>
      <c r="L21" s="443"/>
      <c r="M21" s="444"/>
      <c r="N21" s="444"/>
      <c r="P21" s="445"/>
      <c r="S21" s="88"/>
    </row>
    <row r="22" spans="1:31" s="89" customFormat="1" ht="11.25" customHeight="1" x14ac:dyDescent="0.2">
      <c r="B22" s="24" t="s">
        <v>9</v>
      </c>
    </row>
    <row r="23" spans="1:31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52"/>
      <c r="Y23" s="52"/>
      <c r="Z23" s="3"/>
      <c r="AA23" s="3"/>
      <c r="AB23" s="3"/>
      <c r="AC23" s="3"/>
      <c r="AD23" s="3"/>
      <c r="AE23" s="3"/>
    </row>
    <row r="24" spans="1:31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52"/>
      <c r="Y24" s="52"/>
      <c r="Z24" s="3"/>
      <c r="AA24" s="3"/>
      <c r="AB24" s="3"/>
      <c r="AC24" s="3"/>
      <c r="AD24" s="3"/>
      <c r="AE24" s="3"/>
    </row>
    <row r="25" spans="1:31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52"/>
      <c r="Y25" s="52"/>
      <c r="Z25" s="3"/>
      <c r="AA25" s="3"/>
      <c r="AB25" s="3"/>
      <c r="AC25" s="3"/>
      <c r="AD25" s="3"/>
      <c r="AE25" s="3"/>
    </row>
    <row r="26" spans="1:31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52"/>
      <c r="Y26" s="52"/>
      <c r="Z26" s="3"/>
      <c r="AA26" s="3"/>
      <c r="AB26" s="3"/>
      <c r="AC26" s="3"/>
      <c r="AD26" s="3"/>
      <c r="AE26" s="3"/>
    </row>
    <row r="27" spans="1:31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52"/>
      <c r="Y27" s="52"/>
      <c r="Z27" s="3"/>
      <c r="AA27" s="3"/>
      <c r="AB27" s="3"/>
      <c r="AC27" s="3"/>
      <c r="AD27" s="3"/>
      <c r="AE27" s="3"/>
    </row>
    <row r="28" spans="1:31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52"/>
      <c r="Y28" s="52"/>
      <c r="Z28" s="3"/>
      <c r="AA28" s="3"/>
      <c r="AB28" s="3"/>
      <c r="AC28" s="3"/>
      <c r="AD28" s="3"/>
      <c r="AE28" s="3"/>
    </row>
    <row r="29" spans="1:31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54"/>
      <c r="Y29" s="54"/>
      <c r="Z29" s="3"/>
      <c r="AA29" s="3"/>
      <c r="AB29" s="3"/>
      <c r="AC29" s="3"/>
      <c r="AD29" s="3"/>
      <c r="AE29" s="3"/>
    </row>
    <row r="30" spans="1:31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52"/>
      <c r="Y30" s="52"/>
      <c r="Z30" s="3"/>
      <c r="AA30" s="3"/>
      <c r="AB30" s="3"/>
      <c r="AC30" s="3"/>
      <c r="AD30" s="3"/>
      <c r="AE30" s="3"/>
    </row>
    <row r="31" spans="1:31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52"/>
      <c r="Y31" s="52"/>
      <c r="Z31" s="3"/>
      <c r="AA31" s="3"/>
      <c r="AB31" s="3"/>
      <c r="AC31" s="3"/>
      <c r="AD31" s="3"/>
      <c r="AE31" s="3"/>
    </row>
    <row r="32" spans="1:31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52"/>
      <c r="Y32" s="52"/>
      <c r="Z32" s="3"/>
      <c r="AA32" s="3"/>
      <c r="AB32" s="3"/>
      <c r="AC32" s="3"/>
      <c r="AD32" s="3"/>
      <c r="AE32" s="3"/>
    </row>
    <row r="33" spans="2:31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52"/>
      <c r="Y33" s="52"/>
      <c r="Z33" s="3"/>
      <c r="AA33" s="3"/>
      <c r="AB33" s="3"/>
      <c r="AC33" s="3"/>
      <c r="AD33" s="3"/>
      <c r="AE33" s="3"/>
    </row>
    <row r="34" spans="2:31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52"/>
      <c r="Y34" s="52"/>
      <c r="Z34" s="3"/>
      <c r="AA34" s="3"/>
      <c r="AB34" s="3"/>
      <c r="AC34" s="3"/>
      <c r="AD34" s="3"/>
      <c r="AE34" s="3"/>
    </row>
    <row r="35" spans="2:31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52"/>
      <c r="Y35" s="52"/>
      <c r="Z35" s="3"/>
      <c r="AA35" s="3"/>
      <c r="AB35" s="3"/>
      <c r="AC35" s="3"/>
      <c r="AD35" s="3"/>
      <c r="AE35" s="3"/>
    </row>
    <row r="36" spans="2:31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453"/>
      <c r="X36" s="59"/>
      <c r="Y36" s="59"/>
      <c r="Z36" s="2"/>
      <c r="AA36" s="3"/>
      <c r="AB36" s="3"/>
      <c r="AC36" s="3"/>
      <c r="AD36" s="3"/>
      <c r="AE36" s="3"/>
    </row>
    <row r="37" spans="2:31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453"/>
      <c r="X37" s="59"/>
      <c r="Y37" s="59"/>
      <c r="Z37" s="2"/>
      <c r="AA37" s="3"/>
      <c r="AB37" s="3"/>
      <c r="AC37" s="3"/>
      <c r="AD37" s="3"/>
      <c r="AE37" s="3"/>
    </row>
    <row r="38" spans="2:31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453"/>
      <c r="X38" s="59"/>
      <c r="Y38" s="59"/>
      <c r="Z38" s="2"/>
      <c r="AA38" s="3"/>
      <c r="AB38" s="3"/>
      <c r="AC38" s="3"/>
      <c r="AD38" s="3"/>
      <c r="AE38" s="3"/>
    </row>
    <row r="39" spans="2:31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453"/>
      <c r="X39" s="453"/>
      <c r="Y39" s="453"/>
      <c r="Z39" s="2"/>
      <c r="AA39" s="3"/>
      <c r="AB39" s="3"/>
      <c r="AC39" s="3"/>
      <c r="AD39" s="3"/>
      <c r="AE39" s="3"/>
    </row>
    <row r="40" spans="2:3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53"/>
      <c r="X40" s="453"/>
      <c r="Y40" s="453"/>
      <c r="Z40" s="2"/>
      <c r="AA40" s="3"/>
      <c r="AB40" s="3"/>
      <c r="AC40" s="3"/>
      <c r="AD40" s="3"/>
      <c r="AE40" s="3"/>
    </row>
    <row r="41" spans="2:3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453"/>
      <c r="X41" s="60"/>
      <c r="Y41" s="60"/>
      <c r="Z41" s="2"/>
      <c r="AA41" s="3"/>
      <c r="AB41" s="3"/>
      <c r="AC41" s="3"/>
      <c r="AD41" s="3"/>
      <c r="AE41" s="3"/>
    </row>
    <row r="42" spans="2:3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53"/>
      <c r="X42" s="453"/>
      <c r="Y42" s="453"/>
      <c r="Z42" s="2"/>
      <c r="AA42" s="3"/>
      <c r="AB42" s="3"/>
      <c r="AC42" s="3"/>
      <c r="AD42" s="3"/>
      <c r="AE42" s="3"/>
    </row>
    <row r="43" spans="2:31" ht="14.25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60"/>
      <c r="X43" s="2"/>
      <c r="Y43" s="2"/>
      <c r="Z43" s="2"/>
      <c r="AA43" s="3"/>
      <c r="AB43" s="3"/>
      <c r="AC43" s="3"/>
      <c r="AD43" s="3"/>
      <c r="AE43" s="3"/>
    </row>
    <row r="44" spans="2:31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2"/>
      <c r="X44" s="454"/>
      <c r="Y44" s="454"/>
      <c r="Z44" s="2"/>
      <c r="AA44" s="3"/>
      <c r="AB44" s="3"/>
      <c r="AC44" s="3"/>
      <c r="AD44" s="3"/>
      <c r="AE44" s="3"/>
    </row>
    <row r="45" spans="2:31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55"/>
      <c r="X45" s="455"/>
      <c r="Y45" s="455"/>
      <c r="Z45" s="3"/>
      <c r="AA45" s="3"/>
      <c r="AB45" s="3"/>
      <c r="AC45" s="3"/>
      <c r="AD45" s="3"/>
      <c r="AE45" s="3"/>
    </row>
    <row r="46" spans="2:31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55"/>
      <c r="X46" s="455"/>
      <c r="Y46" s="455"/>
      <c r="Z46" s="3"/>
      <c r="AA46" s="3"/>
      <c r="AB46" s="3"/>
      <c r="AC46" s="3"/>
      <c r="AD46" s="3"/>
      <c r="AE46" s="3"/>
    </row>
    <row r="47" spans="2:31" x14ac:dyDescent="0.2">
      <c r="W47" s="455"/>
      <c r="X47" s="456"/>
      <c r="Y47" s="456"/>
      <c r="Z47" s="3"/>
      <c r="AA47" s="3"/>
      <c r="AB47" s="3"/>
      <c r="AC47" s="3"/>
      <c r="AD47" s="3"/>
      <c r="AE47" s="3"/>
    </row>
    <row r="48" spans="2:31" x14ac:dyDescent="0.2">
      <c r="W48" s="456"/>
      <c r="Z48" s="3"/>
      <c r="AA48" s="3"/>
      <c r="AB48" s="3"/>
      <c r="AC48" s="3"/>
      <c r="AD48" s="3"/>
      <c r="AE48" s="3"/>
    </row>
    <row r="49" spans="26:31" x14ac:dyDescent="0.2">
      <c r="Z49" s="3"/>
      <c r="AA49" s="3"/>
      <c r="AB49" s="3"/>
      <c r="AC49" s="3"/>
      <c r="AD49" s="3"/>
      <c r="AE49" s="3"/>
    </row>
    <row r="50" spans="26:31" x14ac:dyDescent="0.2">
      <c r="Z50" s="3"/>
      <c r="AA50" s="3"/>
      <c r="AB50" s="3"/>
      <c r="AC50" s="3"/>
      <c r="AD50" s="3"/>
      <c r="AE50" s="3"/>
    </row>
    <row r="51" spans="26:31" x14ac:dyDescent="0.2">
      <c r="Z51" s="3"/>
      <c r="AA51" s="3"/>
      <c r="AB51" s="3"/>
      <c r="AC51" s="3"/>
      <c r="AD51" s="3"/>
      <c r="AE51" s="3"/>
    </row>
    <row r="52" spans="26:31" x14ac:dyDescent="0.2">
      <c r="Z52" s="3"/>
      <c r="AA52" s="3"/>
      <c r="AB52" s="3"/>
      <c r="AC52" s="3"/>
      <c r="AD52" s="3"/>
      <c r="AE52" s="3"/>
    </row>
    <row r="53" spans="26:31" x14ac:dyDescent="0.2">
      <c r="Z53" s="3"/>
      <c r="AA53" s="3"/>
      <c r="AB53" s="3"/>
      <c r="AC53" s="3"/>
      <c r="AD53" s="3"/>
      <c r="AE53" s="3"/>
    </row>
    <row r="54" spans="26:31" x14ac:dyDescent="0.2">
      <c r="Z54" s="3"/>
      <c r="AA54" s="3"/>
      <c r="AB54" s="3"/>
      <c r="AC54" s="3"/>
      <c r="AD54" s="3"/>
      <c r="AE54" s="3"/>
    </row>
  </sheetData>
  <mergeCells count="12">
    <mergeCell ref="B5:R5"/>
    <mergeCell ref="C6:R6"/>
    <mergeCell ref="B7:C9"/>
    <mergeCell ref="D7:D9"/>
    <mergeCell ref="F7:V7"/>
    <mergeCell ref="X7:Y8"/>
    <mergeCell ref="F8:G8"/>
    <mergeCell ref="I8:J8"/>
    <mergeCell ref="L8:M8"/>
    <mergeCell ref="O8:P8"/>
    <mergeCell ref="R8:S8"/>
    <mergeCell ref="U8:V8"/>
  </mergeCells>
  <hyperlinks>
    <hyperlink ref="Y1" location="Índice!A1" tooltip="Ir a ÍNDICE" display="INDICE" xr:uid="{4CD1A690-B9BA-4BB5-A3BC-8CA806796242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58CE33-D221-496E-94AD-07C2EB33CC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2BCF33-5307-49D3-8A81-EC3B2FB5C484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e829ce69-67eb-47dd-9407-4f8adfa19fc2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57E91EB-6FAA-485E-994C-07E25722B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11</vt:i4>
      </vt:variant>
    </vt:vector>
  </HeadingPairs>
  <TitlesOfParts>
    <vt:vector size="24" baseType="lpstr">
      <vt:lpstr>Índice</vt:lpstr>
      <vt:lpstr>Cuadro 1.1</vt:lpstr>
      <vt:lpstr>Cuadro 1.2</vt:lpstr>
      <vt:lpstr>Cuadro 1.3</vt:lpstr>
      <vt:lpstr>Cuadro 1.4</vt:lpstr>
      <vt:lpstr>Cuadro 1.5</vt:lpstr>
      <vt:lpstr>Cuadro 1.6</vt:lpstr>
      <vt:lpstr>Cuadro 1.7</vt:lpstr>
      <vt:lpstr>Cuadro 1.8</vt:lpstr>
      <vt:lpstr>Cuadro 1.9</vt:lpstr>
      <vt:lpstr>Cuadro 1.10</vt:lpstr>
      <vt:lpstr>Cuadro 1.11</vt:lpstr>
      <vt:lpstr>Cuadro 1.12</vt:lpstr>
      <vt:lpstr>'Cuadro 1.1'!Área_de_impresión</vt:lpstr>
      <vt:lpstr>'Cuadro 1.10'!Área_de_impresión</vt:lpstr>
      <vt:lpstr>'Cuadro 1.11'!Área_de_impresión</vt:lpstr>
      <vt:lpstr>'Cuadro 1.12'!Área_de_impresión</vt:lpstr>
      <vt:lpstr>'Cuadro 1.2'!Área_de_impresión</vt:lpstr>
      <vt:lpstr>'Cuadro 1.4'!Área_de_impresión</vt:lpstr>
      <vt:lpstr>'Cuadro 1.5'!Área_de_impresión</vt:lpstr>
      <vt:lpstr>'Cuadro 1.6'!Área_de_impresión</vt:lpstr>
      <vt:lpstr>'Cuadro 1.7'!Área_de_impresión</vt:lpstr>
      <vt:lpstr>'Cuadro 1.8'!Área_de_impresión</vt:lpstr>
      <vt:lpstr>'Cuadro 1.9'!Área_de_impresión</vt:lpstr>
    </vt:vector>
  </TitlesOfParts>
  <Manager/>
  <Company>INEGI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>Tabulados de hogares y viviendas</cp:keywords>
  <dc:description>2021</dc:description>
  <cp:lastModifiedBy>INEGI</cp:lastModifiedBy>
  <cp:revision/>
  <dcterms:created xsi:type="dcterms:W3CDTF">2019-05-08T14:05:56Z</dcterms:created>
  <dcterms:modified xsi:type="dcterms:W3CDTF">2021-08-19T16:03:09Z</dcterms:modified>
  <cp:category>ENVI2020; ENIGH 2018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