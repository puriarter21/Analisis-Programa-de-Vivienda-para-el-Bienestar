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0E4E2E24-88E2-4982-B5D6-60817376000C}" xr6:coauthVersionLast="47" xr6:coauthVersionMax="47" xr10:uidLastSave="{00000000-0000-0000-0000-000000000000}"/>
  <bookViews>
    <workbookView xWindow="20370" yWindow="-120" windowWidth="29040" windowHeight="15840" tabRatio="836" xr2:uid="{00000000-000D-0000-FFFF-FFFF00000000}"/>
  </bookViews>
  <sheets>
    <sheet name="Índice" sheetId="16" r:id="rId1"/>
    <sheet name="Cuadro 5.1" sheetId="2" r:id="rId2"/>
    <sheet name="Cuadro 5.2" sheetId="42" r:id="rId3"/>
    <sheet name="Cuadro 5.3" sheetId="44" r:id="rId4"/>
    <sheet name="Cuadro 5.4" sheetId="46" r:id="rId5"/>
    <sheet name="Cuadro 5.5" sheetId="48" r:id="rId6"/>
    <sheet name="Cuadro 5.6" sheetId="50" r:id="rId7"/>
    <sheet name="Cuadro 5.7" sheetId="52" r:id="rId8"/>
    <sheet name="Cuadro 5.8" sheetId="53" r:id="rId9"/>
    <sheet name="Cuadro 5.9" sheetId="54" r:id="rId10"/>
    <sheet name="Cuadro 5.10" sheetId="55" r:id="rId11"/>
  </sheets>
  <externalReferences>
    <externalReference r:id="rId12"/>
  </externalReferences>
  <definedNames>
    <definedName name="\p">#N/A</definedName>
    <definedName name="\s">#N/A</definedName>
    <definedName name="_xlnm._FilterDatabase" localSheetId="1" hidden="1">'Cuadro 5.1'!$D$11:$J$45</definedName>
    <definedName name="_xlnm._FilterDatabase" localSheetId="10" hidden="1">'Cuadro 5.10'!$D$11:$L$44</definedName>
    <definedName name="_xlnm._FilterDatabase" localSheetId="2" hidden="1">'Cuadro 5.2'!$D$11:$L$45</definedName>
    <definedName name="_xlnm._FilterDatabase" localSheetId="4" hidden="1">'Cuadro 5.4'!$D$11:$L$45</definedName>
    <definedName name="_xlnm._FilterDatabase" localSheetId="6" hidden="1">'Cuadro 5.6'!$D$11:$O$45</definedName>
    <definedName name="_xlnm._FilterDatabase" localSheetId="7" hidden="1">'Cuadro 5.7'!$D$11:$I$45</definedName>
    <definedName name="_xlnm._FilterDatabase" localSheetId="8" hidden="1">'Cuadro 5.8'!$D$11:$L$45</definedName>
    <definedName name="_xlnm._FilterDatabase" localSheetId="9" hidden="1">'Cuadro 5.9'!$D$11:$L$45</definedName>
    <definedName name="A_impresión_IM" localSheetId="10">#REF!</definedName>
    <definedName name="A_impresión_IM" localSheetId="2">#REF!</definedName>
    <definedName name="A_impresión_IM" localSheetId="4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0">#REF!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Ir_a_inicio">'[1]Cuadro 1'!#REF!</definedName>
    <definedName name="paso" localSheetId="10">#REF!</definedName>
    <definedName name="paso" localSheetId="2">#REF!</definedName>
    <definedName name="paso" localSheetId="4">#REF!</definedName>
    <definedName name="paso" localSheetId="6">#REF!</definedName>
    <definedName name="paso" localSheetId="7">#REF!</definedName>
    <definedName name="paso" localSheetId="8">#REF!</definedName>
    <definedName name="paso" localSheetId="9">#REF!</definedName>
    <definedName name="paso" localSheetId="0">#REF!</definedName>
    <definedName name="paso">#REF!</definedName>
    <definedName name="prueba" localSheetId="10">#REF!</definedName>
    <definedName name="prueba" localSheetId="2">#REF!</definedName>
    <definedName name="prueba" localSheetId="4">#REF!</definedName>
    <definedName name="prueba" localSheetId="6">#REF!</definedName>
    <definedName name="prueba" localSheetId="7">#REF!</definedName>
    <definedName name="prueba" localSheetId="8">#REF!</definedName>
    <definedName name="prueba" localSheetId="9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6" l="1"/>
</calcChain>
</file>

<file path=xl/sharedStrings.xml><?xml version="1.0" encoding="utf-8"?>
<sst xmlns="http://schemas.openxmlformats.org/spreadsheetml/2006/main" count="546" uniqueCount="130">
  <si>
    <t>Hogares por entidad federativa, según condición de tener necesidad de rentar, comprar o construir una vivienda independiente de la que habitan</t>
  </si>
  <si>
    <t>Entidad federativa</t>
  </si>
  <si>
    <t>Total de hogares</t>
  </si>
  <si>
    <t>Sí</t>
  </si>
  <si>
    <t>No</t>
  </si>
  <si>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</si>
  <si>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</si>
  <si>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</si>
  <si>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</si>
  <si>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</si>
  <si>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</si>
  <si>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</si>
  <si>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</si>
  <si>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</si>
  <si>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</si>
  <si>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</si>
  <si>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</si>
  <si>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</si>
  <si>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</si>
  <si>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</si>
  <si>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</si>
  <si>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</si>
  <si>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</si>
  <si>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</si>
  <si>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</si>
  <si>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</si>
  <si>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</si>
  <si>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</si>
  <si>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</si>
  <si>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</si>
  <si>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</si>
  <si>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</si>
  <si>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</si>
  <si>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</si>
  <si>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</si>
  <si>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</si>
  <si>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</si>
  <si>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</si>
  <si>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</si>
  <si>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</si>
  <si>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1 o 2</t>
  </si>
  <si>
    <t>3 o 4</t>
  </si>
  <si>
    <t>5 o más</t>
  </si>
  <si>
    <t>No especificado</t>
  </si>
  <si>
    <t>1 a 2 499 habitantes</t>
  </si>
  <si>
    <t xml:space="preserve">De 2 500 a 14 999 habitantes </t>
  </si>
  <si>
    <t xml:space="preserve">De 15 000 a 99 999 habitantes </t>
  </si>
  <si>
    <t>Rentar</t>
  </si>
  <si>
    <t>Construir</t>
  </si>
  <si>
    <t>100 000  y más habitantes</t>
  </si>
  <si>
    <t>Tamaño de localidad</t>
  </si>
  <si>
    <t>Condición de necesidad de vivienda</t>
  </si>
  <si>
    <t>Total de viviendas requeridas</t>
  </si>
  <si>
    <t>Cuadro 5.1</t>
  </si>
  <si>
    <t>Cuadro 5.2</t>
  </si>
  <si>
    <t>Cuadro 5.3</t>
  </si>
  <si>
    <t>Cuadro 5.4</t>
  </si>
  <si>
    <t>Cuadro 5.5</t>
  </si>
  <si>
    <t>Cuadro 5.6</t>
  </si>
  <si>
    <t>Cuadro 5.7</t>
  </si>
  <si>
    <t>Cuadro 5.8</t>
  </si>
  <si>
    <t>Cuadro 5.9</t>
  </si>
  <si>
    <t>Cuadro 5.10</t>
  </si>
  <si>
    <t>Hogares que tienen necesidad de rentar, comprar o construir una vivienda independiente de la que habitan y número de viviendas requeridas, por entidad federativa, según número de cuartos para dormir que necesitan en la vivienda</t>
  </si>
  <si>
    <t>Total de hogares que tienen necesidad de rentar, comprar o construir una vivienda independiente de la que habitan</t>
  </si>
  <si>
    <t>Encuesta Nacional de Vivienda (ENVI) 2020</t>
  </si>
  <si>
    <t>TABULADOS BÁSICOS</t>
  </si>
  <si>
    <t>Nivel de confianza del 90%</t>
  </si>
  <si>
    <t>Tema</t>
  </si>
  <si>
    <t>ID Cuadro</t>
  </si>
  <si>
    <t>Título</t>
  </si>
  <si>
    <t>Hogares que tienen necesidad de rentar, comprar o construir una vivienda independiente de la que habitan y número de viviendas requeridas, por tamaño de localidad, según tipo de adquisición proyectada para la vivienda</t>
  </si>
  <si>
    <t>Hogares que tienen necesidad de rentar, comprar o construir una vivienda independiente de la que habitan y número de viviendas requeridas, por entidad federativa, según tipo de adquisición proyectada para la vivienda</t>
  </si>
  <si>
    <t>Hogares que tienen necesidad de rentar, comprar o construir una vivienda independiente de la que habitan y número de viviendas requeridas, por tamaño de localidad, según número de cuartos para dormir que necesitan en la vivienda</t>
  </si>
  <si>
    <t>ÍNDICE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</si>
  <si>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</si>
  <si>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Tema 5. Necesidades de vivienda</t>
  </si>
  <si>
    <r>
      <t>Número de cuartos para dormir que necesitan en la vivienda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</si>
  <si>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de hogares porque un hogar puede requerir más de una vivienda.</t>
    </r>
  </si>
  <si>
    <r>
      <t>Tipo de adquisición proyectada para la vivienda</t>
    </r>
    <r>
      <rPr>
        <b/>
        <vertAlign val="superscript"/>
        <sz val="8"/>
        <rFont val="Arial"/>
        <family val="2"/>
      </rPr>
      <t>1</t>
    </r>
  </si>
  <si>
    <r>
      <t>Comprar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</si>
  <si>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que se quieren comprar nuevas o usadas.</t>
    </r>
  </si>
  <si>
    <t>Hogares que tienen necesidad de comprar o construir una vivienda independiente de la que habitan y disponen del terreno para construir, número de viviendas requeridas para comprar o construir y que disponen de terreno, por entidad federativa, según condición de estar buscando o construyendo la vivienda</t>
  </si>
  <si>
    <t>Hogares que tienen necesidad de comprar o construir una vivienda independiente de la que habitan y número de viviendas requeridas para comprar o construir, por entidad federativa, según motivo principal de adquisición</t>
  </si>
  <si>
    <t>Hogares que tienen necesidad de comprar o construir una vivienda independiente de la que habitan y disponen del terreno para 
construir, número de viviendas requeridas para comprar o construir y que disponen de terreno por entidad federativa, según fuente de financiamiento que planean utilizar</t>
  </si>
  <si>
    <t>Hogares que tienen necesidad de comprar o construir una vivienda independiente de la que habitan y disponen del terreno para construir, número de viviendas requeridas para comprar o construir y que disponen de terreno, por entidad federativa, según monto de inversión que planean utilizar</t>
  </si>
  <si>
    <r>
      <t>Hogares que tienen necesidad de comprar o construir una vivienda independiente de la que habitan y que todavía no están buscando o construyendo la vivienda, número de viviendas requeridas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>, por entidad federativa, según tiempo planeado para empezar la búsqueda de ésta</t>
    </r>
  </si>
  <si>
    <t>Agosto 2021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</si>
  <si>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"Por motivos personales (independizarse, creció en ese lugar, cercanía a familia, etcétera)" y "Para uso vacacional".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</si>
  <si>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Incluye: "Por inversión", "Para aprovechar un crédito" y "Para reducir los costos de la vivienda o servicios".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</si>
  <si>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"Por las vías de acceso y cercanía a servicios", "Por seguridad de la zona" y "Para cambiarse a un mejor entorno (vecinos, medio ambiente)".</t>
    </r>
  </si>
  <si>
    <t>Otro</t>
  </si>
  <si>
    <r>
      <t>Personales</t>
    </r>
    <r>
      <rPr>
        <b/>
        <vertAlign val="superscript"/>
        <sz val="8"/>
        <rFont val="Arial"/>
        <family val="2"/>
      </rPr>
      <t>4</t>
    </r>
  </si>
  <si>
    <r>
      <t>Económicos</t>
    </r>
    <r>
      <rPr>
        <b/>
        <vertAlign val="superscript"/>
        <sz val="8"/>
        <rFont val="Arial"/>
        <family val="2"/>
      </rPr>
      <t>3</t>
    </r>
  </si>
  <si>
    <r>
      <t>Infraestructura de la localidad</t>
    </r>
    <r>
      <rPr>
        <b/>
        <vertAlign val="superscript"/>
        <sz val="8"/>
        <rFont val="Arial"/>
        <family val="2"/>
      </rPr>
      <t>2</t>
    </r>
  </si>
  <si>
    <t>Características de la vivienda</t>
  </si>
  <si>
    <r>
      <t>Motivo principal de adquisición</t>
    </r>
    <r>
      <rPr>
        <b/>
        <vertAlign val="superscript"/>
        <sz val="8"/>
        <rFont val="Arial"/>
        <family val="2"/>
      </rPr>
      <t>1</t>
    </r>
  </si>
  <si>
    <t>Total de viviendas requeridas para comprar o construir</t>
  </si>
  <si>
    <t>Total de hogares que tienen necesidad de comprar o construir una vivienda</t>
  </si>
  <si>
    <t>Hogares que tienen necesidad de comprar o construir una vivienda independiente de la que habitan y número de viviendas requeridas para comprar o construir , por entidad federativa, según motivo principal de adquisición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</si>
  <si>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préstamo de familiares, amistades u otras personas, y recursos propios (ahorros, inversiones, ingresos, venta de otros activos).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</si>
  <si>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viviendas porque se pudo escoger más de una opción de financiamiento.</t>
    </r>
  </si>
  <si>
    <r>
      <t>Préstamo informal o recursos propios</t>
    </r>
    <r>
      <rPr>
        <b/>
        <vertAlign val="superscript"/>
        <sz val="8"/>
        <rFont val="Arial"/>
        <family val="2"/>
      </rPr>
      <t>3</t>
    </r>
  </si>
  <si>
    <t>Crédito de una institución financiera privada</t>
  </si>
  <si>
    <t>Crédito de FOVISSSTE</t>
  </si>
  <si>
    <t>Crédito de INFONAVIT</t>
  </si>
  <si>
    <r>
      <t>Fuentes de financiamiento</t>
    </r>
    <r>
      <rPr>
        <b/>
        <vertAlign val="superscript"/>
        <sz val="8"/>
        <rFont val="Arial"/>
        <family val="2"/>
      </rPr>
      <t>1,2</t>
    </r>
  </si>
  <si>
    <t>Total de viviendas requeridas para comprar o construir y que disponen de terreno</t>
  </si>
  <si>
    <t>Total de hogares que tienen necesidad de comprar o construir una vivienda y disponen del terreno para construir</t>
  </si>
  <si>
    <t>Hogares que tienen necesidad de comprar o construir una vivienda independiente de la que habitan y disponen del terreno para construir, número de viviendas requeridas para comprar o construir y que disponen de terreno por entidad federativa, según fuente de financiamiento que planean utilizar</t>
  </si>
  <si>
    <r>
      <t>Otro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</si>
  <si>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créditos de otra institución pública y subsidios.</t>
    </r>
  </si>
  <si>
    <t>Límite inferior.</t>
  </si>
  <si>
    <t>Más de $700 000</t>
  </si>
  <si>
    <t>De $351 000 a $700 000</t>
  </si>
  <si>
    <t>De $151 000 a $350 000</t>
  </si>
  <si>
    <t>Hasta $150 000</t>
  </si>
  <si>
    <r>
      <t>Monto de inversión</t>
    </r>
    <r>
      <rPr>
        <b/>
        <vertAlign val="superscript"/>
        <sz val="8"/>
        <rFont val="Arial"/>
        <family val="2"/>
      </rPr>
      <t>1</t>
    </r>
  </si>
  <si>
    <t>Hogares que tienen necesidad de comprar o construir una vivienda independiente de la que habitan y disponen del terreno para construir, número de viviendas requeridas para comprar o construir y disponen de terreno, por entidad federativa, según monto de inversión que planean utilizar</t>
  </si>
  <si>
    <r>
      <t>Condición de estar buscando o construyendo la vivienda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</si>
  <si>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mayor al total de hogares porque un hogar puede requerir más de una vivienda.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</si>
  <si>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Total de viviendas requeridas para comprar o construir y que todavía no las están buscando o construyendo.</t>
    </r>
  </si>
  <si>
    <t>4 años o más</t>
  </si>
  <si>
    <t>2 a 3 años</t>
  </si>
  <si>
    <t>1 año o menos</t>
  </si>
  <si>
    <r>
      <t>Tiempo planeado para buscar o construir la vivienda</t>
    </r>
    <r>
      <rPr>
        <b/>
        <vertAlign val="superscript"/>
        <sz val="8"/>
        <rFont val="Arial"/>
        <family val="2"/>
      </rPr>
      <t>2</t>
    </r>
  </si>
  <si>
    <t>Total de viviendas requeridas para comprar o construir y que todavía no las están buscando o construyendo</t>
  </si>
  <si>
    <t>Total de hogares que 
tienen necesidad de 
comprar o construir 
una vivienda y que 
todavía no están 
buscando o 
construyendo 
la vivienda</t>
  </si>
  <si>
    <r>
      <t>Hogares que tienen necesidad de comprar o construir una vivienda independiente de la que habitan y que todavía no están buscando o construyendo la vivienda, número de viviendas requeridas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, por entidad federativa, según tiempo planeado para empezar la búsqueda de ésta</t>
    </r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</si>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</sst>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\ ###\ ##0"/>
    <numFmt numFmtId="166" formatCode="###\ ###\ ##0\ "/>
    <numFmt numFmtId="167" formatCode="###\ ###\ ##0.0"/>
    <numFmt numFmtId="168" formatCode="###\ ###\ ###"/>
    <numFmt numFmtId="169" formatCode="###\ ###\ ##0"/>
    <numFmt numFmtId="170" formatCode="###\ ###\ ###\ ##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00008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u/>
      <sz val="9"/>
      <color rgb="FF003399"/>
      <name val="Arial"/>
      <family val="2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vertAlign val="superscript"/>
      <sz val="11"/>
      <name val="Arial"/>
      <family val="2"/>
    </font>
    <font>
      <u/>
      <sz val="9"/>
      <name val="Arial"/>
      <family val="2"/>
    </font>
    <font>
      <b/>
      <vertAlign val="superscript"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28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</cellStyleXfs>
  <cellXfs count="270">
    <xf numFmtId="0" fontId="0" fillId="0" borderId="0" xfId="0"/>
    <xf numFmtId="0" fontId="1" fillId="2" borderId="0" xfId="1" applyFill="1" applyAlignment="1">
      <alignment vertical="center"/>
    </xf>
    <xf numFmtId="0" fontId="1" fillId="2" borderId="0" xfId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horizontal="right" vertical="center" wrapText="1"/>
    </xf>
    <xf numFmtId="165" fontId="6" fillId="2" borderId="0" xfId="5" applyNumberFormat="1" applyFont="1" applyFill="1" applyBorder="1" applyAlignment="1" applyProtection="1">
      <alignment horizontal="right"/>
    </xf>
    <xf numFmtId="165" fontId="8" fillId="2" borderId="0" xfId="5" applyNumberFormat="1" applyFont="1" applyFill="1" applyBorder="1" applyAlignment="1" applyProtection="1">
      <alignment horizontal="right"/>
    </xf>
    <xf numFmtId="0" fontId="8" fillId="2" borderId="0" xfId="1" applyFont="1" applyFill="1" applyAlignment="1">
      <alignment horizontal="left" vertical="top"/>
    </xf>
    <xf numFmtId="0" fontId="1" fillId="2" borderId="0" xfId="1" applyFill="1" applyAlignment="1">
      <alignment vertical="top"/>
    </xf>
    <xf numFmtId="0" fontId="1" fillId="2" borderId="0" xfId="1" applyFill="1" applyBorder="1" applyAlignment="1">
      <alignment vertical="top"/>
    </xf>
    <xf numFmtId="0" fontId="3" fillId="2" borderId="0" xfId="5" applyFont="1" applyFill="1" applyAlignment="1">
      <alignment horizontal="left" vertical="top" justifyLastLine="1"/>
    </xf>
    <xf numFmtId="0" fontId="3" fillId="2" borderId="0" xfId="5" applyFont="1" applyFill="1" applyBorder="1" applyAlignment="1">
      <alignment horizontal="distributed" vertical="center" wrapText="1"/>
    </xf>
    <xf numFmtId="0" fontId="9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vertical="center"/>
    </xf>
    <xf numFmtId="0" fontId="10" fillId="3" borderId="0" xfId="0" applyFont="1" applyFill="1" applyBorder="1" applyAlignment="1"/>
    <xf numFmtId="0" fontId="8" fillId="4" borderId="0" xfId="1" applyFont="1" applyFill="1" applyAlignment="1">
      <alignment horizontal="left" vertical="top"/>
    </xf>
    <xf numFmtId="0" fontId="1" fillId="4" borderId="0" xfId="1" applyFill="1" applyBorder="1" applyAlignment="1">
      <alignment vertical="center"/>
    </xf>
    <xf numFmtId="0" fontId="1" fillId="4" borderId="0" xfId="1" applyFill="1" applyAlignment="1">
      <alignment vertical="center"/>
    </xf>
    <xf numFmtId="0" fontId="8" fillId="3" borderId="0" xfId="0" applyFont="1" applyFill="1" applyBorder="1" applyAlignment="1">
      <alignment horizontal="left" indent="1"/>
    </xf>
    <xf numFmtId="0" fontId="8" fillId="3" borderId="4" xfId="0" applyFont="1" applyFill="1" applyBorder="1" applyAlignment="1">
      <alignment horizontal="left" indent="1"/>
    </xf>
    <xf numFmtId="0" fontId="8" fillId="3" borderId="0" xfId="0" applyFont="1" applyFill="1" applyBorder="1" applyAlignment="1">
      <alignment wrapText="1"/>
    </xf>
    <xf numFmtId="0" fontId="11" fillId="3" borderId="0" xfId="0" applyFont="1" applyFill="1" applyBorder="1" applyAlignment="1">
      <alignment horizontal="left" indent="1"/>
    </xf>
    <xf numFmtId="0" fontId="0" fillId="2" borderId="0" xfId="0" applyFill="1"/>
    <xf numFmtId="0" fontId="8" fillId="0" borderId="0" xfId="0" applyFont="1" applyFill="1" applyBorder="1" applyAlignment="1">
      <alignment horizontal="left" indent="1"/>
    </xf>
    <xf numFmtId="0" fontId="5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15" fillId="2" borderId="0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right" vertical="center"/>
    </xf>
    <xf numFmtId="0" fontId="15" fillId="2" borderId="1" xfId="1" applyFont="1" applyFill="1" applyBorder="1" applyAlignment="1">
      <alignment vertical="center"/>
    </xf>
    <xf numFmtId="0" fontId="15" fillId="2" borderId="0" xfId="1" applyFont="1" applyFill="1" applyAlignment="1">
      <alignment vertical="center"/>
    </xf>
    <xf numFmtId="0" fontId="15" fillId="4" borderId="0" xfId="1" applyFont="1" applyFill="1" applyBorder="1" applyAlignment="1">
      <alignment vertical="center"/>
    </xf>
    <xf numFmtId="0" fontId="15" fillId="4" borderId="0" xfId="1" applyFont="1" applyFill="1" applyAlignment="1">
      <alignment vertical="center"/>
    </xf>
    <xf numFmtId="0" fontId="8" fillId="2" borderId="0" xfId="1" applyFont="1" applyFill="1" applyBorder="1" applyAlignment="1">
      <alignment horizontal="right" vertical="center" wrapText="1"/>
    </xf>
    <xf numFmtId="0" fontId="8" fillId="2" borderId="2" xfId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right" vertical="center" wrapText="1"/>
    </xf>
    <xf numFmtId="0" fontId="6" fillId="4" borderId="0" xfId="1" applyFont="1" applyFill="1" applyBorder="1" applyAlignment="1">
      <alignment horizontal="left" vertical="center" wrapText="1"/>
    </xf>
    <xf numFmtId="0" fontId="6" fillId="3" borderId="0" xfId="0" applyFont="1" applyFill="1" applyBorder="1" applyAlignment="1"/>
    <xf numFmtId="0" fontId="15" fillId="4" borderId="0" xfId="1" applyFont="1" applyFill="1" applyAlignment="1">
      <alignment vertical="top"/>
    </xf>
    <xf numFmtId="0" fontId="15" fillId="4" borderId="0" xfId="1" applyFont="1" applyFill="1" applyBorder="1" applyAlignment="1">
      <alignment vertical="top"/>
    </xf>
    <xf numFmtId="0" fontId="8" fillId="2" borderId="0" xfId="5" applyFont="1" applyFill="1" applyAlignment="1">
      <alignment horizontal="left" vertical="top" justifyLastLine="1"/>
    </xf>
    <xf numFmtId="0" fontId="15" fillId="2" borderId="0" xfId="1" applyFont="1" applyFill="1" applyAlignment="1">
      <alignment vertical="top"/>
    </xf>
    <xf numFmtId="0" fontId="15" fillId="2" borderId="0" xfId="1" applyFont="1" applyFill="1" applyBorder="1" applyAlignment="1">
      <alignment vertical="top"/>
    </xf>
    <xf numFmtId="0" fontId="8" fillId="2" borderId="0" xfId="5" applyFont="1" applyFill="1" applyBorder="1" applyAlignment="1">
      <alignment horizontal="distributed" vertical="center" wrapText="1"/>
    </xf>
    <xf numFmtId="0" fontId="15" fillId="2" borderId="2" xfId="1" applyFont="1" applyFill="1" applyBorder="1" applyAlignment="1">
      <alignment horizontal="center" vertical="center"/>
    </xf>
    <xf numFmtId="0" fontId="6" fillId="5" borderId="0" xfId="0" applyFont="1" applyFill="1" applyBorder="1" applyAlignment="1"/>
    <xf numFmtId="0" fontId="8" fillId="2" borderId="1" xfId="7" applyFont="1" applyFill="1" applyBorder="1" applyAlignment="1">
      <alignment horizontal="left" indent="1"/>
    </xf>
    <xf numFmtId="0" fontId="8" fillId="2" borderId="0" xfId="1" applyFont="1" applyFill="1" applyAlignment="1">
      <alignment vertical="center"/>
    </xf>
    <xf numFmtId="0" fontId="8" fillId="2" borderId="0" xfId="1" applyFont="1" applyFill="1" applyBorder="1" applyAlignment="1">
      <alignment vertical="center"/>
    </xf>
    <xf numFmtId="0" fontId="15" fillId="2" borderId="0" xfId="0" applyFont="1" applyFill="1"/>
    <xf numFmtId="0" fontId="18" fillId="0" borderId="0" xfId="13" applyFont="1"/>
    <xf numFmtId="0" fontId="19" fillId="0" borderId="0" xfId="13" applyFont="1"/>
    <xf numFmtId="0" fontId="21" fillId="0" borderId="0" xfId="13" applyFont="1" applyFill="1" applyAlignment="1">
      <alignment horizontal="center" vertical="center"/>
    </xf>
    <xf numFmtId="0" fontId="21" fillId="0" borderId="0" xfId="13" applyFont="1" applyFill="1" applyAlignment="1">
      <alignment vertical="center"/>
    </xf>
    <xf numFmtId="0" fontId="18" fillId="0" borderId="0" xfId="13" applyFont="1" applyFill="1"/>
    <xf numFmtId="17" fontId="2" fillId="0" borderId="0" xfId="13" quotePrefix="1" applyNumberFormat="1" applyFont="1"/>
    <xf numFmtId="0" fontId="22" fillId="0" borderId="0" xfId="13" applyFont="1"/>
    <xf numFmtId="0" fontId="21" fillId="7" borderId="5" xfId="13" applyFont="1" applyFill="1" applyBorder="1" applyAlignment="1">
      <alignment horizontal="center" vertical="center"/>
    </xf>
    <xf numFmtId="0" fontId="21" fillId="7" borderId="6" xfId="13" applyFont="1" applyFill="1" applyBorder="1" applyAlignment="1">
      <alignment horizontal="center" vertical="center"/>
    </xf>
    <xf numFmtId="0" fontId="18" fillId="2" borderId="0" xfId="1" applyFont="1" applyFill="1" applyAlignment="1">
      <alignment vertical="center"/>
    </xf>
    <xf numFmtId="0" fontId="18" fillId="2" borderId="0" xfId="1" applyFont="1" applyFill="1" applyBorder="1" applyAlignment="1">
      <alignment vertical="center"/>
    </xf>
    <xf numFmtId="0" fontId="18" fillId="2" borderId="0" xfId="1" applyFont="1" applyFill="1" applyAlignment="1">
      <alignment vertical="top"/>
    </xf>
    <xf numFmtId="0" fontId="18" fillId="0" borderId="0" xfId="0" applyFont="1"/>
    <xf numFmtId="0" fontId="18" fillId="4" borderId="0" xfId="1" applyFont="1" applyFill="1" applyAlignment="1">
      <alignment vertical="center"/>
    </xf>
    <xf numFmtId="0" fontId="18" fillId="4" borderId="0" xfId="1" applyFont="1" applyFill="1" applyBorder="1" applyAlignment="1">
      <alignment vertical="center"/>
    </xf>
    <xf numFmtId="0" fontId="28" fillId="2" borderId="0" xfId="1" applyFont="1" applyFill="1" applyAlignment="1">
      <alignment vertical="center"/>
    </xf>
    <xf numFmtId="0" fontId="9" fillId="0" borderId="0" xfId="1" applyFont="1"/>
    <xf numFmtId="0" fontId="28" fillId="2" borderId="0" xfId="1" applyFont="1" applyFill="1" applyBorder="1" applyAlignment="1">
      <alignment vertical="center"/>
    </xf>
    <xf numFmtId="0" fontId="28" fillId="2" borderId="0" xfId="1" applyFont="1" applyFill="1" applyAlignment="1">
      <alignment horizontal="left" vertical="center"/>
    </xf>
    <xf numFmtId="0" fontId="30" fillId="2" borderId="0" xfId="4" applyNumberFormat="1" applyFont="1" applyFill="1" applyBorder="1" applyAlignment="1" applyProtection="1">
      <alignment horizontal="right" vertical="center"/>
    </xf>
    <xf numFmtId="0" fontId="16" fillId="2" borderId="0" xfId="1" applyFont="1" applyFill="1" applyBorder="1" applyAlignment="1">
      <alignment vertical="center"/>
    </xf>
    <xf numFmtId="0" fontId="16" fillId="2" borderId="0" xfId="1" applyFont="1" applyFill="1" applyAlignment="1">
      <alignment vertical="center"/>
    </xf>
    <xf numFmtId="0" fontId="28" fillId="0" borderId="0" xfId="0" applyFont="1"/>
    <xf numFmtId="0" fontId="28" fillId="2" borderId="0" xfId="0" applyFont="1" applyFill="1"/>
    <xf numFmtId="0" fontId="9" fillId="2" borderId="0" xfId="1" applyFont="1" applyFill="1"/>
    <xf numFmtId="0" fontId="32" fillId="2" borderId="0" xfId="1" applyFont="1" applyFill="1" applyAlignment="1">
      <alignment vertical="center"/>
    </xf>
    <xf numFmtId="0" fontId="16" fillId="2" borderId="0" xfId="0" applyFont="1" applyFill="1" applyAlignment="1">
      <alignment horizontal="right"/>
    </xf>
    <xf numFmtId="0" fontId="33" fillId="2" borderId="0" xfId="14" applyFont="1" applyFill="1" applyAlignment="1" applyProtection="1">
      <alignment horizontal="right"/>
    </xf>
    <xf numFmtId="0" fontId="15" fillId="2" borderId="1" xfId="1" applyFont="1" applyFill="1" applyBorder="1" applyAlignment="1">
      <alignment horizontal="right" vertical="center"/>
    </xf>
    <xf numFmtId="0" fontId="25" fillId="0" borderId="9" xfId="12" applyFont="1" applyBorder="1" applyAlignment="1" applyProtection="1">
      <alignment horizontal="center" vertical="center"/>
    </xf>
    <xf numFmtId="0" fontId="25" fillId="0" borderId="14" xfId="12" applyFont="1" applyBorder="1" applyAlignment="1" applyProtection="1">
      <alignment horizontal="center" vertical="center"/>
    </xf>
    <xf numFmtId="166" fontId="6" fillId="2" borderId="0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right" vertical="center"/>
    </xf>
    <xf numFmtId="167" fontId="6" fillId="2" borderId="0" xfId="1" applyNumberFormat="1" applyFont="1" applyFill="1" applyBorder="1" applyAlignment="1">
      <alignment horizontal="right" vertical="center"/>
    </xf>
    <xf numFmtId="167" fontId="6" fillId="4" borderId="0" xfId="1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vertical="center"/>
    </xf>
    <xf numFmtId="165" fontId="5" fillId="2" borderId="0" xfId="1" applyNumberFormat="1" applyFont="1" applyFill="1" applyBorder="1" applyAlignment="1">
      <alignment vertical="center"/>
    </xf>
    <xf numFmtId="0" fontId="5" fillId="2" borderId="0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8" fillId="2" borderId="1" xfId="1" applyFont="1" applyFill="1" applyBorder="1" applyAlignment="1">
      <alignment vertical="center"/>
    </xf>
    <xf numFmtId="0" fontId="3" fillId="0" borderId="0" xfId="0" applyFont="1"/>
    <xf numFmtId="0" fontId="3" fillId="2" borderId="0" xfId="0" applyFont="1" applyFill="1"/>
    <xf numFmtId="0" fontId="5" fillId="2" borderId="0" xfId="0" applyFont="1" applyFill="1"/>
    <xf numFmtId="0" fontId="5" fillId="0" borderId="0" xfId="0" applyFont="1"/>
    <xf numFmtId="0" fontId="35" fillId="0" borderId="0" xfId="7" applyFont="1"/>
    <xf numFmtId="0" fontId="36" fillId="0" borderId="0" xfId="7" applyFont="1"/>
    <xf numFmtId="0" fontId="11" fillId="3" borderId="0" xfId="0" applyFont="1" applyFill="1" applyAlignment="1">
      <alignment horizontal="left" vertical="top"/>
    </xf>
    <xf numFmtId="0" fontId="8" fillId="2" borderId="0" xfId="7" applyFont="1" applyFill="1" applyBorder="1" applyAlignment="1">
      <alignment horizontal="left" indent="1" readingOrder="1"/>
    </xf>
    <xf numFmtId="166" fontId="5" fillId="2" borderId="0" xfId="1" applyNumberFormat="1" applyFont="1" applyFill="1" applyBorder="1" applyAlignment="1">
      <alignment horizontal="right" vertical="center" wrapText="1"/>
    </xf>
    <xf numFmtId="166" fontId="15" fillId="2" borderId="0" xfId="1" applyNumberFormat="1" applyFont="1" applyFill="1" applyBorder="1" applyAlignment="1">
      <alignment horizontal="right" vertical="center"/>
    </xf>
    <xf numFmtId="166" fontId="3" fillId="2" borderId="1" xfId="1" applyNumberFormat="1" applyFont="1" applyFill="1" applyBorder="1" applyAlignment="1">
      <alignment horizontal="right" vertical="center"/>
    </xf>
    <xf numFmtId="166" fontId="6" fillId="2" borderId="0" xfId="1" applyNumberFormat="1" applyFont="1" applyFill="1" applyAlignment="1">
      <alignment horizontal="right" vertical="center"/>
    </xf>
    <xf numFmtId="166" fontId="8" fillId="2" borderId="0" xfId="1" applyNumberFormat="1" applyFont="1" applyFill="1" applyAlignment="1">
      <alignment horizontal="right" vertical="center"/>
    </xf>
    <xf numFmtId="167" fontId="8" fillId="2" borderId="0" xfId="1" applyNumberFormat="1" applyFont="1" applyFill="1" applyAlignment="1">
      <alignment horizontal="right" vertical="center"/>
    </xf>
    <xf numFmtId="166" fontId="8" fillId="2" borderId="1" xfId="5" applyNumberFormat="1" applyFont="1" applyFill="1" applyBorder="1" applyAlignment="1" applyProtection="1">
      <alignment horizontal="right" vertical="center"/>
    </xf>
    <xf numFmtId="166" fontId="8" fillId="2" borderId="1" xfId="1" applyNumberFormat="1" applyFont="1" applyFill="1" applyBorder="1" applyAlignment="1">
      <alignment horizontal="right" vertical="center"/>
    </xf>
    <xf numFmtId="167" fontId="8" fillId="2" borderId="1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right" vertical="center" wrapText="1"/>
    </xf>
    <xf numFmtId="166" fontId="15" fillId="4" borderId="0" xfId="1" applyNumberFormat="1" applyFont="1" applyFill="1" applyBorder="1" applyAlignment="1">
      <alignment horizontal="right" vertical="center"/>
    </xf>
    <xf numFmtId="166" fontId="15" fillId="4" borderId="0" xfId="1" applyNumberFormat="1" applyFont="1" applyFill="1" applyAlignment="1">
      <alignment horizontal="right" vertical="center"/>
    </xf>
    <xf numFmtId="166" fontId="6" fillId="2" borderId="0" xfId="1" applyNumberFormat="1" applyFont="1" applyFill="1" applyBorder="1" applyAlignment="1">
      <alignment horizontal="right" vertical="center" wrapText="1"/>
    </xf>
    <xf numFmtId="166" fontId="15" fillId="2" borderId="0" xfId="1" applyNumberFormat="1" applyFont="1" applyFill="1" applyAlignment="1">
      <alignment horizontal="right" vertical="center"/>
    </xf>
    <xf numFmtId="166" fontId="15" fillId="2" borderId="1" xfId="1" applyNumberFormat="1" applyFont="1" applyFill="1" applyBorder="1" applyAlignment="1">
      <alignment horizontal="right" vertical="center"/>
    </xf>
    <xf numFmtId="0" fontId="36" fillId="2" borderId="0" xfId="7" applyFont="1" applyFill="1"/>
    <xf numFmtId="168" fontId="8" fillId="2" borderId="0" xfId="5" applyNumberFormat="1" applyFont="1" applyFill="1" applyAlignment="1">
      <alignment horizontal="left" vertical="top" justifyLastLine="1"/>
    </xf>
    <xf numFmtId="167" fontId="8" fillId="2" borderId="0" xfId="5" applyNumberFormat="1" applyFont="1" applyFill="1" applyAlignment="1">
      <alignment horizontal="left" vertical="top" justifyLastLine="1"/>
    </xf>
    <xf numFmtId="168" fontId="37" fillId="2" borderId="0" xfId="2" applyNumberFormat="1" applyFont="1" applyFill="1"/>
    <xf numFmtId="167" fontId="37" fillId="2" borderId="0" xfId="2" applyNumberFormat="1" applyFont="1" applyFill="1"/>
    <xf numFmtId="0" fontId="34" fillId="2" borderId="0" xfId="2" applyFont="1" applyFill="1"/>
    <xf numFmtId="166" fontId="6" fillId="2" borderId="0" xfId="5" applyNumberFormat="1" applyFont="1" applyFill="1" applyAlignment="1">
      <alignment horizontal="right" vertical="center"/>
    </xf>
    <xf numFmtId="166" fontId="8" fillId="2" borderId="0" xfId="5" applyNumberFormat="1" applyFont="1" applyFill="1" applyAlignment="1">
      <alignment horizontal="right" vertical="center"/>
    </xf>
    <xf numFmtId="167" fontId="8" fillId="2" borderId="0" xfId="5" applyNumberFormat="1" applyFont="1" applyFill="1" applyAlignment="1">
      <alignment horizontal="right" vertical="center"/>
    </xf>
    <xf numFmtId="166" fontId="5" fillId="2" borderId="0" xfId="1" applyNumberFormat="1" applyFont="1" applyFill="1" applyAlignment="1">
      <alignment horizontal="right" vertical="center"/>
    </xf>
    <xf numFmtId="166" fontId="3" fillId="2" borderId="0" xfId="1" applyNumberFormat="1" applyFont="1" applyFill="1" applyAlignment="1">
      <alignment horizontal="right" vertical="center"/>
    </xf>
    <xf numFmtId="0" fontId="1" fillId="2" borderId="0" xfId="8" applyFill="1" applyAlignment="1">
      <alignment vertical="center"/>
    </xf>
    <xf numFmtId="0" fontId="18" fillId="2" borderId="0" xfId="8" applyFont="1" applyFill="1" applyAlignment="1">
      <alignment vertical="center"/>
    </xf>
    <xf numFmtId="0" fontId="15" fillId="2" borderId="0" xfId="8" applyFont="1" applyFill="1" applyAlignment="1">
      <alignment vertical="center"/>
    </xf>
    <xf numFmtId="0" fontId="7" fillId="2" borderId="0" xfId="5" applyFont="1" applyFill="1" applyAlignment="1">
      <alignment horizontal="left" vertical="center"/>
    </xf>
    <xf numFmtId="0" fontId="16" fillId="2" borderId="0" xfId="5" applyFont="1" applyFill="1" applyAlignment="1">
      <alignment horizontal="left" vertical="center"/>
    </xf>
    <xf numFmtId="169" fontId="8" fillId="2" borderId="0" xfId="8" applyNumberFormat="1" applyFont="1" applyFill="1" applyAlignment="1">
      <alignment vertical="center"/>
    </xf>
    <xf numFmtId="169" fontId="8" fillId="2" borderId="0" xfId="8" applyNumberFormat="1" applyFont="1" applyFill="1" applyAlignment="1">
      <alignment horizontal="right" vertical="center"/>
    </xf>
    <xf numFmtId="0" fontId="8" fillId="2" borderId="0" xfId="8" applyFont="1" applyFill="1" applyAlignment="1">
      <alignment vertical="center"/>
    </xf>
    <xf numFmtId="0" fontId="3" fillId="2" borderId="0" xfId="8" applyFont="1" applyFill="1" applyAlignment="1">
      <alignment vertical="center"/>
    </xf>
    <xf numFmtId="167" fontId="8" fillId="2" borderId="1" xfId="8" applyNumberFormat="1" applyFont="1" applyFill="1" applyBorder="1" applyAlignment="1">
      <alignment horizontal="right" vertical="center"/>
    </xf>
    <xf numFmtId="166" fontId="8" fillId="2" borderId="4" xfId="8" applyNumberFormat="1" applyFont="1" applyFill="1" applyBorder="1" applyAlignment="1">
      <alignment horizontal="right" vertical="center"/>
    </xf>
    <xf numFmtId="166" fontId="8" fillId="2" borderId="1" xfId="5" applyNumberFormat="1" applyFont="1" applyFill="1" applyBorder="1" applyAlignment="1">
      <alignment horizontal="right" vertical="center"/>
    </xf>
    <xf numFmtId="166" fontId="8" fillId="2" borderId="1" xfId="8" applyNumberFormat="1" applyFont="1" applyFill="1" applyBorder="1" applyAlignment="1">
      <alignment horizontal="right" vertical="center"/>
    </xf>
    <xf numFmtId="0" fontId="8" fillId="2" borderId="1" xfId="8" applyFont="1" applyFill="1" applyBorder="1" applyAlignment="1">
      <alignment vertical="center"/>
    </xf>
    <xf numFmtId="0" fontId="8" fillId="3" borderId="4" xfId="9" applyFont="1" applyFill="1" applyBorder="1" applyAlignment="1">
      <alignment horizontal="left" indent="1"/>
    </xf>
    <xf numFmtId="166" fontId="8" fillId="2" borderId="0" xfId="8" applyNumberFormat="1" applyFont="1" applyFill="1" applyAlignment="1">
      <alignment horizontal="right" vertical="center"/>
    </xf>
    <xf numFmtId="0" fontId="8" fillId="3" borderId="0" xfId="9" applyFont="1" applyFill="1" applyAlignment="1">
      <alignment horizontal="left" indent="1"/>
    </xf>
    <xf numFmtId="165" fontId="8" fillId="2" borderId="0" xfId="5" applyNumberFormat="1" applyFont="1" applyFill="1" applyAlignment="1">
      <alignment horizontal="right"/>
    </xf>
    <xf numFmtId="0" fontId="5" fillId="2" borderId="0" xfId="8" applyFont="1" applyFill="1" applyAlignment="1">
      <alignment vertical="center"/>
    </xf>
    <xf numFmtId="0" fontId="6" fillId="2" borderId="0" xfId="8" applyFont="1" applyFill="1" applyAlignment="1">
      <alignment vertical="center"/>
    </xf>
    <xf numFmtId="0" fontId="6" fillId="3" borderId="0" xfId="9" applyFont="1" applyFill="1"/>
    <xf numFmtId="167" fontId="6" fillId="2" borderId="0" xfId="8" applyNumberFormat="1" applyFont="1" applyFill="1" applyAlignment="1">
      <alignment horizontal="right" vertical="center" wrapText="1"/>
    </xf>
    <xf numFmtId="166" fontId="15" fillId="2" borderId="0" xfId="8" applyNumberFormat="1" applyFont="1" applyFill="1" applyAlignment="1">
      <alignment horizontal="right" vertical="center"/>
    </xf>
    <xf numFmtId="166" fontId="6" fillId="2" borderId="0" xfId="8" applyNumberFormat="1" applyFont="1" applyFill="1" applyAlignment="1">
      <alignment horizontal="right" vertical="center"/>
    </xf>
    <xf numFmtId="166" fontId="6" fillId="2" borderId="0" xfId="8" applyNumberFormat="1" applyFont="1" applyFill="1" applyAlignment="1">
      <alignment horizontal="right" vertical="center" wrapText="1"/>
    </xf>
    <xf numFmtId="0" fontId="6" fillId="2" borderId="1" xfId="8" applyFont="1" applyFill="1" applyBorder="1" applyAlignment="1">
      <alignment horizontal="right" vertical="center"/>
    </xf>
    <xf numFmtId="0" fontId="15" fillId="2" borderId="1" xfId="8" applyFont="1" applyFill="1" applyBorder="1" applyAlignment="1">
      <alignment horizontal="right" vertical="center"/>
    </xf>
    <xf numFmtId="0" fontId="8" fillId="2" borderId="1" xfId="8" applyFont="1" applyFill="1" applyBorder="1" applyAlignment="1">
      <alignment horizontal="right" vertical="center" wrapText="1"/>
    </xf>
    <xf numFmtId="0" fontId="15" fillId="2" borderId="2" xfId="8" applyFont="1" applyFill="1" applyBorder="1" applyAlignment="1">
      <alignment vertical="center"/>
    </xf>
    <xf numFmtId="0" fontId="6" fillId="2" borderId="2" xfId="8" applyFont="1" applyFill="1" applyBorder="1" applyAlignment="1">
      <alignment horizontal="center" vertical="center" wrapText="1"/>
    </xf>
    <xf numFmtId="0" fontId="8" fillId="2" borderId="2" xfId="8" applyFont="1" applyFill="1" applyBorder="1" applyAlignment="1">
      <alignment horizontal="right" vertical="center" wrapText="1"/>
    </xf>
    <xf numFmtId="0" fontId="8" fillId="2" borderId="0" xfId="8" applyFont="1" applyFill="1" applyAlignment="1">
      <alignment horizontal="right" vertical="center" wrapText="1"/>
    </xf>
    <xf numFmtId="0" fontId="28" fillId="2" borderId="0" xfId="8" applyFont="1" applyFill="1" applyAlignment="1">
      <alignment vertical="center"/>
    </xf>
    <xf numFmtId="0" fontId="16" fillId="2" borderId="0" xfId="8" applyFont="1" applyFill="1" applyAlignment="1">
      <alignment vertical="center"/>
    </xf>
    <xf numFmtId="0" fontId="39" fillId="2" borderId="0" xfId="4" applyNumberFormat="1" applyFont="1" applyFill="1" applyBorder="1" applyAlignment="1" applyProtection="1">
      <alignment horizontal="right" vertical="center"/>
    </xf>
    <xf numFmtId="164" fontId="16" fillId="2" borderId="0" xfId="11" applyFont="1" applyFill="1" applyBorder="1" applyAlignment="1">
      <alignment horizontal="right" vertical="top"/>
    </xf>
    <xf numFmtId="0" fontId="28" fillId="2" borderId="0" xfId="8" applyFont="1" applyFill="1" applyAlignment="1">
      <alignment horizontal="left" vertical="center"/>
    </xf>
    <xf numFmtId="0" fontId="9" fillId="0" borderId="0" xfId="8" applyFont="1"/>
    <xf numFmtId="169" fontId="8" fillId="2" borderId="0" xfId="1" applyNumberFormat="1" applyFont="1" applyFill="1" applyBorder="1" applyAlignment="1">
      <alignment vertical="center"/>
    </xf>
    <xf numFmtId="169" fontId="8" fillId="2" borderId="0" xfId="1" applyNumberFormat="1" applyFont="1" applyFill="1" applyBorder="1" applyAlignment="1">
      <alignment horizontal="right" vertical="center"/>
    </xf>
    <xf numFmtId="167" fontId="8" fillId="2" borderId="4" xfId="1" applyNumberFormat="1" applyFont="1" applyFill="1" applyBorder="1" applyAlignment="1">
      <alignment horizontal="right" vertical="center"/>
    </xf>
    <xf numFmtId="166" fontId="15" fillId="2" borderId="4" xfId="1" applyNumberFormat="1" applyFont="1" applyFill="1" applyBorder="1" applyAlignment="1">
      <alignment horizontal="right" vertical="center"/>
    </xf>
    <xf numFmtId="166" fontId="8" fillId="2" borderId="4" xfId="1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>
      <alignment horizontal="right" vertical="center"/>
    </xf>
    <xf numFmtId="0" fontId="31" fillId="2" borderId="0" xfId="2" applyFont="1" applyFill="1" applyAlignment="1">
      <alignment vertical="top" wrapText="1"/>
    </xf>
    <xf numFmtId="0" fontId="9" fillId="2" borderId="0" xfId="8" applyFont="1" applyFill="1"/>
    <xf numFmtId="0" fontId="16" fillId="2" borderId="0" xfId="1" applyFont="1" applyFill="1" applyAlignment="1">
      <alignment horizontal="left" vertical="center"/>
    </xf>
    <xf numFmtId="0" fontId="26" fillId="2" borderId="0" xfId="1" applyFont="1" applyFill="1" applyAlignment="1">
      <alignment vertical="center"/>
    </xf>
    <xf numFmtId="0" fontId="26" fillId="2" borderId="0" xfId="1" applyFont="1" applyFill="1" applyBorder="1" applyAlignment="1">
      <alignment vertical="center"/>
    </xf>
    <xf numFmtId="0" fontId="8" fillId="0" borderId="0" xfId="7" applyFont="1"/>
    <xf numFmtId="0" fontId="37" fillId="2" borderId="0" xfId="2" applyFont="1" applyFill="1"/>
    <xf numFmtId="170" fontId="6" fillId="2" borderId="0" xfId="5" applyNumberFormat="1" applyFont="1" applyFill="1" applyAlignment="1">
      <alignment horizontal="right" vertical="center"/>
    </xf>
    <xf numFmtId="170" fontId="8" fillId="2" borderId="0" xfId="5" applyNumberFormat="1" applyFont="1" applyFill="1" applyAlignment="1">
      <alignment horizontal="right" vertical="center"/>
    </xf>
    <xf numFmtId="170" fontId="3" fillId="2" borderId="0" xfId="1" applyNumberFormat="1" applyFont="1" applyFill="1" applyAlignment="1">
      <alignment horizontal="right" vertical="center"/>
    </xf>
    <xf numFmtId="170" fontId="8" fillId="2" borderId="0" xfId="1" applyNumberFormat="1" applyFont="1" applyFill="1" applyAlignment="1">
      <alignment horizontal="right" vertical="center"/>
    </xf>
    <xf numFmtId="170" fontId="5" fillId="2" borderId="0" xfId="1" applyNumberFormat="1" applyFont="1" applyFill="1" applyAlignment="1">
      <alignment horizontal="right" vertical="center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6" fillId="2" borderId="0" xfId="8" applyFont="1" applyFill="1" applyAlignment="1">
      <alignment horizontal="left" vertical="center" wrapText="1"/>
    </xf>
    <xf numFmtId="170" fontId="8" fillId="2" borderId="0" xfId="8" applyNumberFormat="1" applyFont="1" applyFill="1" applyAlignment="1">
      <alignment horizontal="right" vertical="center"/>
    </xf>
    <xf numFmtId="0" fontId="6" fillId="2" borderId="0" xfId="1" applyFont="1" applyFill="1" applyBorder="1" applyAlignment="1">
      <alignment horizontal="left" vertical="center" wrapText="1"/>
    </xf>
    <xf numFmtId="170" fontId="6" fillId="2" borderId="0" xfId="1" applyNumberFormat="1" applyFont="1" applyFill="1" applyAlignment="1">
      <alignment horizontal="right" vertic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26" fillId="0" borderId="0" xfId="7" applyFont="1"/>
    <xf numFmtId="170" fontId="8" fillId="0" borderId="0" xfId="1" applyNumberFormat="1" applyFont="1" applyFill="1" applyAlignment="1">
      <alignment horizontal="right" vertical="center"/>
    </xf>
    <xf numFmtId="166" fontId="8" fillId="0" borderId="0" xfId="1" applyNumberFormat="1" applyFont="1" applyFill="1" applyAlignment="1">
      <alignment horizontal="right" vertical="center"/>
    </xf>
    <xf numFmtId="170" fontId="8" fillId="0" borderId="0" xfId="5" applyNumberFormat="1" applyFont="1" applyFill="1" applyAlignment="1">
      <alignment horizontal="right" vertical="center"/>
    </xf>
    <xf numFmtId="167" fontId="8" fillId="0" borderId="0" xfId="1" applyNumberFormat="1" applyFont="1" applyFill="1" applyAlignment="1">
      <alignment horizontal="right" vertical="center"/>
    </xf>
    <xf numFmtId="170" fontId="6" fillId="0" borderId="0" xfId="1" applyNumberFormat="1" applyFont="1" applyFill="1" applyAlignment="1">
      <alignment horizontal="right" vertical="center"/>
    </xf>
    <xf numFmtId="166" fontId="6" fillId="0" borderId="0" xfId="1" applyNumberFormat="1" applyFont="1" applyFill="1" applyAlignment="1">
      <alignment horizontal="right" vertical="center"/>
    </xf>
    <xf numFmtId="0" fontId="8" fillId="3" borderId="1" xfId="0" applyFont="1" applyFill="1" applyBorder="1" applyAlignment="1">
      <alignment horizontal="left" indent="1"/>
    </xf>
    <xf numFmtId="166" fontId="8" fillId="0" borderId="0" xfId="5" applyNumberFormat="1" applyFont="1" applyFill="1" applyAlignment="1">
      <alignment horizontal="right" vertical="center"/>
    </xf>
    <xf numFmtId="167" fontId="8" fillId="0" borderId="0" xfId="5" applyNumberFormat="1" applyFont="1" applyFill="1" applyAlignment="1">
      <alignment horizontal="right" vertical="center"/>
    </xf>
    <xf numFmtId="170" fontId="6" fillId="0" borderId="0" xfId="5" applyNumberFormat="1" applyFont="1" applyFill="1" applyAlignment="1">
      <alignment horizontal="right" vertical="center"/>
    </xf>
    <xf numFmtId="166" fontId="6" fillId="0" borderId="0" xfId="5" applyNumberFormat="1" applyFont="1" applyFill="1" applyAlignment="1">
      <alignment horizontal="right" vertical="center"/>
    </xf>
    <xf numFmtId="0" fontId="15" fillId="2" borderId="3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1" fillId="7" borderId="6" xfId="13" applyFont="1" applyFill="1" applyBorder="1" applyAlignment="1">
      <alignment horizontal="center" vertical="center"/>
    </xf>
    <xf numFmtId="0" fontId="21" fillId="7" borderId="7" xfId="13" applyFont="1" applyFill="1" applyBorder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20" fillId="0" borderId="0" xfId="13" applyFont="1" applyAlignment="1">
      <alignment horizontal="center" vertical="center"/>
    </xf>
    <xf numFmtId="0" fontId="21" fillId="6" borderId="0" xfId="13" applyFont="1" applyFill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2" fillId="0" borderId="0" xfId="13" applyFont="1" applyAlignment="1">
      <alignment horizontal="right"/>
    </xf>
    <xf numFmtId="0" fontId="26" fillId="0" borderId="19" xfId="13" applyFont="1" applyBorder="1" applyAlignment="1">
      <alignment horizontal="left" vertical="center" wrapText="1" indent="1"/>
    </xf>
    <xf numFmtId="0" fontId="26" fillId="0" borderId="18" xfId="13" applyFont="1" applyBorder="1" applyAlignment="1">
      <alignment horizontal="left" vertical="center" wrapText="1" indent="1"/>
    </xf>
    <xf numFmtId="0" fontId="26" fillId="0" borderId="20" xfId="13" applyFont="1" applyBorder="1" applyAlignment="1">
      <alignment horizontal="left" vertical="center" wrapText="1" indent="1"/>
    </xf>
    <xf numFmtId="0" fontId="26" fillId="0" borderId="15" xfId="13" applyFont="1" applyBorder="1" applyAlignment="1">
      <alignment horizontal="left" vertical="center" wrapText="1" indent="1"/>
    </xf>
    <xf numFmtId="0" fontId="26" fillId="0" borderId="14" xfId="13" applyFont="1" applyBorder="1" applyAlignment="1">
      <alignment horizontal="left" vertical="center" wrapText="1" indent="1"/>
    </xf>
    <xf numFmtId="0" fontId="26" fillId="0" borderId="16" xfId="13" applyFont="1" applyBorder="1" applyAlignment="1">
      <alignment horizontal="left" vertical="center" wrapText="1" indent="1"/>
    </xf>
    <xf numFmtId="0" fontId="23" fillId="0" borderId="8" xfId="14" applyFont="1" applyFill="1" applyBorder="1" applyAlignment="1">
      <alignment horizontal="center" vertical="center" wrapText="1"/>
    </xf>
    <xf numFmtId="0" fontId="27" fillId="0" borderId="13" xfId="14" applyFont="1" applyFill="1" applyBorder="1" applyAlignment="1">
      <alignment horizontal="center" vertical="center" wrapText="1"/>
    </xf>
    <xf numFmtId="0" fontId="27" fillId="0" borderId="17" xfId="14" applyFont="1" applyFill="1" applyBorder="1" applyAlignment="1">
      <alignment horizontal="center" vertical="center" wrapText="1"/>
    </xf>
    <xf numFmtId="0" fontId="26" fillId="0" borderId="10" xfId="13" applyFont="1" applyBorder="1" applyAlignment="1">
      <alignment horizontal="left" vertical="center" wrapText="1" indent="1"/>
    </xf>
    <xf numFmtId="0" fontId="26" fillId="0" borderId="11" xfId="13" applyFont="1" applyBorder="1" applyAlignment="1">
      <alignment horizontal="left" vertical="center" wrapText="1" indent="1"/>
    </xf>
    <xf numFmtId="0" fontId="26" fillId="0" borderId="12" xfId="13" applyFont="1" applyBorder="1" applyAlignment="1">
      <alignment horizontal="left" vertical="center" wrapText="1" indent="1"/>
    </xf>
    <xf numFmtId="0" fontId="29" fillId="2" borderId="0" xfId="2" applyFont="1" applyFill="1" applyAlignment="1">
      <alignment horizontal="left" vertical="top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2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center" vertical="center"/>
    </xf>
    <xf numFmtId="0" fontId="31" fillId="2" borderId="0" xfId="2" applyFont="1" applyFill="1" applyAlignment="1">
      <alignment horizontal="left" vertical="top" wrapText="1"/>
    </xf>
    <xf numFmtId="0" fontId="15" fillId="4" borderId="1" xfId="1" applyFont="1" applyFill="1" applyBorder="1" applyAlignment="1">
      <alignment horizontal="center" vertical="center"/>
    </xf>
    <xf numFmtId="0" fontId="15" fillId="4" borderId="0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2" xfId="2" applyFont="1" applyFill="1" applyBorder="1" applyAlignment="1">
      <alignment horizontal="righ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15" fillId="2" borderId="0" xfId="1" applyFont="1" applyFill="1" applyBorder="1" applyAlignment="1">
      <alignment horizontal="center" vertical="center"/>
    </xf>
    <xf numFmtId="0" fontId="6" fillId="2" borderId="3" xfId="8" applyFont="1" applyFill="1" applyBorder="1" applyAlignment="1">
      <alignment horizontal="center" vertical="center" wrapText="1"/>
    </xf>
    <xf numFmtId="0" fontId="31" fillId="2" borderId="0" xfId="10" applyFont="1" applyFill="1" applyAlignment="1">
      <alignment horizontal="left" vertical="top" wrapText="1"/>
    </xf>
    <xf numFmtId="0" fontId="15" fillId="2" borderId="1" xfId="8" applyFont="1" applyFill="1" applyBorder="1" applyAlignment="1">
      <alignment horizontal="center" vertical="center"/>
    </xf>
    <xf numFmtId="0" fontId="15" fillId="2" borderId="0" xfId="8" applyFont="1" applyFill="1" applyAlignment="1">
      <alignment horizontal="center" vertical="center"/>
    </xf>
    <xf numFmtId="0" fontId="6" fillId="2" borderId="2" xfId="8" applyFont="1" applyFill="1" applyBorder="1" applyAlignment="1">
      <alignment horizontal="left" vertical="center" wrapText="1"/>
    </xf>
    <xf numFmtId="0" fontId="6" fillId="2" borderId="0" xfId="8" applyFont="1" applyFill="1" applyAlignment="1">
      <alignment horizontal="left" vertical="center" wrapText="1"/>
    </xf>
    <xf numFmtId="0" fontId="6" fillId="2" borderId="1" xfId="8" applyFont="1" applyFill="1" applyBorder="1" applyAlignment="1">
      <alignment horizontal="left" vertical="center" wrapText="1"/>
    </xf>
    <xf numFmtId="0" fontId="6" fillId="2" borderId="2" xfId="10" applyFont="1" applyFill="1" applyBorder="1" applyAlignment="1">
      <alignment horizontal="right" vertical="center" wrapText="1"/>
    </xf>
    <xf numFmtId="0" fontId="6" fillId="2" borderId="0" xfId="10" applyFont="1" applyFill="1" applyAlignment="1">
      <alignment horizontal="right" vertical="center" wrapText="1"/>
    </xf>
    <xf numFmtId="0" fontId="6" fillId="2" borderId="1" xfId="10" applyFont="1" applyFill="1" applyBorder="1" applyAlignment="1">
      <alignment horizontal="right" vertical="center" wrapText="1"/>
    </xf>
    <xf numFmtId="0" fontId="6" fillId="0" borderId="3" xfId="8" applyFont="1" applyBorder="1" applyAlignment="1">
      <alignment horizontal="center" vertical="center" wrapText="1"/>
    </xf>
    <xf numFmtId="0" fontId="6" fillId="2" borderId="3" xfId="1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right" vertical="center" wrapText="1"/>
    </xf>
    <xf numFmtId="0" fontId="6" fillId="0" borderId="0" xfId="2" applyFont="1" applyFill="1" applyBorder="1" applyAlignment="1">
      <alignment horizontal="right" vertical="center" wrapText="1"/>
    </xf>
    <xf numFmtId="0" fontId="6" fillId="0" borderId="1" xfId="2" applyFont="1" applyFill="1" applyBorder="1" applyAlignment="1">
      <alignment horizontal="right" vertical="center" wrapText="1"/>
    </xf>
  </cellXfs>
  <cellStyles count="28">
    <cellStyle name="Hipervínculo" xfId="12" builtinId="8"/>
    <cellStyle name="Hipervínculo 2" xfId="14" xr:uid="{C605E756-BEC1-4DBB-BFC4-9C71A6158AA2}"/>
    <cellStyle name="Hipervínculo 2 2" xfId="4" xr:uid="{00000000-0005-0000-0000-000000000000}"/>
    <cellStyle name="Hipervínculo 3" xfId="15" xr:uid="{E55D0D72-C312-4622-9536-E35A3870B69C}"/>
    <cellStyle name="Millares 3" xfId="3" xr:uid="{00000000-0005-0000-0000-000001000000}"/>
    <cellStyle name="Millares 3 3" xfId="11" xr:uid="{985AA727-498D-4EC1-9059-C2E510313B0A}"/>
    <cellStyle name="Normal" xfId="0" builtinId="0"/>
    <cellStyle name="Normal 10" xfId="6" xr:uid="{00000000-0005-0000-0000-000003000000}"/>
    <cellStyle name="Normal 10 3" xfId="9" xr:uid="{58F21A02-0D99-42C9-B283-E0FD4E2FE7E8}"/>
    <cellStyle name="Normal 10 3 3 13" xfId="26" xr:uid="{D20948FB-FCF8-486B-A76A-799D0C424CA4}"/>
    <cellStyle name="Normal 2 2" xfId="2" xr:uid="{00000000-0005-0000-0000-000004000000}"/>
    <cellStyle name="Normal 2 2 2" xfId="5" xr:uid="{00000000-0005-0000-0000-000005000000}"/>
    <cellStyle name="Normal 2 2 4" xfId="10" xr:uid="{5C90FA94-CA31-4B47-A855-84792E1E9875}"/>
    <cellStyle name="Normal 2 3 2" xfId="17" xr:uid="{17CC3598-4B36-4E48-B662-2758E3B7C1A9}"/>
    <cellStyle name="Normal 2 3 3 2" xfId="23" xr:uid="{423AD079-2295-4990-A3F4-3A072FEB365C}"/>
    <cellStyle name="Normal 2 4 2" xfId="18" xr:uid="{7677566F-3CD6-4E15-9C6C-D6E3D11075F5}"/>
    <cellStyle name="Normal 2 4 2 2" xfId="24" xr:uid="{B41227E3-49EF-47E0-B1F9-20C82D11DCE2}"/>
    <cellStyle name="Normal 2 4 3 2" xfId="21" xr:uid="{4D4AD25F-0016-4A3D-877C-21FB066C13C4}"/>
    <cellStyle name="Normal 3" xfId="1" xr:uid="{00000000-0005-0000-0000-000006000000}"/>
    <cellStyle name="Normal 3 2" xfId="16" xr:uid="{8E6ED561-1547-4CBC-B8E9-31C86A422B76}"/>
    <cellStyle name="Normal 3 2 2 2" xfId="20" xr:uid="{9A4516C3-A1CA-4207-9E3B-E89C5A8C6133}"/>
    <cellStyle name="Normal 3 2 2 4" xfId="22" xr:uid="{9D0F7C30-D002-474E-B119-CCD9E4FE59F7}"/>
    <cellStyle name="Normal 3 2 3 2" xfId="25" xr:uid="{04631023-CD94-4E5A-8570-442FC723B7DC}"/>
    <cellStyle name="Normal 3 2 4" xfId="27" xr:uid="{6713E0BA-9FF6-46B9-9B63-E41E0FA81058}"/>
    <cellStyle name="Normal 3 3 2" xfId="19" xr:uid="{A2B7EBEB-6619-4F42-A571-7B798D89046E}"/>
    <cellStyle name="Normal 3 5" xfId="8" xr:uid="{DDFDA44F-70F7-4F93-A0C7-4FBD4D42BF20}"/>
    <cellStyle name="Normal 6" xfId="7" xr:uid="{00000000-0005-0000-0000-000007000000}"/>
    <cellStyle name="Normal 7 2" xfId="13" xr:uid="{DF7AA7B1-C553-4AE4-A0C1-93BEC0F331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16831F1B-EEA3-4DA6-97F8-D653DD6CD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89AA76CE-51F8-41A9-96B1-78E10D11F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B6485609-16B0-4EAB-A411-7BE345098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BC977107-E8AB-4D15-89FD-B6CA1EB4A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8879-BB6A-43C8-A821-E463B8D9CF54}">
  <dimension ref="A1:O29"/>
  <sheetViews>
    <sheetView showGridLines="0" tabSelected="1" zoomScaleNormal="100" workbookViewId="0"/>
  </sheetViews>
  <sheetFormatPr baseColWidth="10" defaultRowHeight="14.25" x14ac:dyDescent="0.2"/>
  <cols>
    <col min="1" max="1" width="1.7109375" style="53" customWidth="1"/>
    <col min="2" max="2" width="20.28515625" style="53" customWidth="1"/>
    <col min="3" max="3" width="17.42578125" style="53" customWidth="1"/>
    <col min="4" max="14" width="11.42578125" style="53"/>
    <col min="15" max="15" width="1.7109375" style="53" customWidth="1"/>
    <col min="16" max="16384" width="11.42578125" style="53"/>
  </cols>
  <sheetData>
    <row r="1" spans="1:15" x14ac:dyDescent="0.2">
      <c r="B1" s="54"/>
      <c r="C1" s="54"/>
    </row>
    <row r="2" spans="1:15" ht="19.5" customHeight="1" x14ac:dyDescent="0.2">
      <c r="B2" s="213" t="s">
        <v>65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</row>
    <row r="3" spans="1:15" ht="19.5" customHeight="1" x14ac:dyDescent="0.2">
      <c r="B3" s="214" t="s">
        <v>66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</row>
    <row r="4" spans="1:15" ht="16.5" customHeight="1" x14ac:dyDescent="0.2">
      <c r="A4" s="215" t="s">
        <v>112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</row>
    <row r="5" spans="1:15" s="57" customFormat="1" ht="6.95" customHeight="1" x14ac:dyDescent="0.2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5"/>
    </row>
    <row r="6" spans="1:15" s="57" customFormat="1" ht="16.5" customHeight="1" x14ac:dyDescent="0.2">
      <c r="A6" s="55"/>
      <c r="B6" s="216" t="s">
        <v>67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55"/>
    </row>
    <row r="7" spans="1:15" ht="19.5" customHeight="1" x14ac:dyDescent="0.2">
      <c r="B7" s="58" t="s">
        <v>87</v>
      </c>
      <c r="C7" s="58"/>
      <c r="D7" s="59"/>
      <c r="E7" s="59"/>
      <c r="F7" s="59"/>
      <c r="G7" s="59"/>
      <c r="H7" s="59"/>
      <c r="I7" s="59"/>
      <c r="J7" s="59"/>
      <c r="K7" s="59"/>
      <c r="L7" s="59"/>
      <c r="M7" s="217" t="str">
        <f>CONCATENATE("Total de tabulados: ", COUNTIF(D10:D27,"&lt;&gt;"))</f>
        <v>Total de tabulados: 10</v>
      </c>
      <c r="N7" s="217"/>
    </row>
    <row r="8" spans="1:15" ht="6.95" customHeight="1" thickBot="1" x14ac:dyDescent="0.25"/>
    <row r="9" spans="1:15" ht="18.75" customHeight="1" thickBot="1" x14ac:dyDescent="0.25">
      <c r="B9" s="60" t="s">
        <v>68</v>
      </c>
      <c r="C9" s="61" t="s">
        <v>69</v>
      </c>
      <c r="D9" s="211" t="s">
        <v>70</v>
      </c>
      <c r="E9" s="211"/>
      <c r="F9" s="211"/>
      <c r="G9" s="211"/>
      <c r="H9" s="211"/>
      <c r="I9" s="211"/>
      <c r="J9" s="211"/>
      <c r="K9" s="211"/>
      <c r="L9" s="211"/>
      <c r="M9" s="211"/>
      <c r="N9" s="212"/>
    </row>
    <row r="10" spans="1:15" ht="50.1" customHeight="1" x14ac:dyDescent="0.2">
      <c r="B10" s="224" t="s">
        <v>76</v>
      </c>
      <c r="C10" s="82" t="s">
        <v>53</v>
      </c>
      <c r="D10" s="227" t="s">
        <v>0</v>
      </c>
      <c r="E10" s="228"/>
      <c r="F10" s="228"/>
      <c r="G10" s="228"/>
      <c r="H10" s="228"/>
      <c r="I10" s="228"/>
      <c r="J10" s="228"/>
      <c r="K10" s="228"/>
      <c r="L10" s="228"/>
      <c r="M10" s="228"/>
      <c r="N10" s="229"/>
    </row>
    <row r="11" spans="1:15" ht="50.1" customHeight="1" x14ac:dyDescent="0.2">
      <c r="B11" s="225"/>
      <c r="C11" s="83" t="s">
        <v>54</v>
      </c>
      <c r="D11" s="221" t="s">
        <v>63</v>
      </c>
      <c r="E11" s="222"/>
      <c r="F11" s="222"/>
      <c r="G11" s="222"/>
      <c r="H11" s="222"/>
      <c r="I11" s="222"/>
      <c r="J11" s="222"/>
      <c r="K11" s="222"/>
      <c r="L11" s="222"/>
      <c r="M11" s="222"/>
      <c r="N11" s="223"/>
    </row>
    <row r="12" spans="1:15" ht="50.1" customHeight="1" x14ac:dyDescent="0.2">
      <c r="B12" s="225"/>
      <c r="C12" s="83" t="s">
        <v>55</v>
      </c>
      <c r="D12" s="221" t="s">
        <v>73</v>
      </c>
      <c r="E12" s="222"/>
      <c r="F12" s="222"/>
      <c r="G12" s="222"/>
      <c r="H12" s="222"/>
      <c r="I12" s="222"/>
      <c r="J12" s="222"/>
      <c r="K12" s="222"/>
      <c r="L12" s="222"/>
      <c r="M12" s="222"/>
      <c r="N12" s="223"/>
    </row>
    <row r="13" spans="1:15" ht="50.1" customHeight="1" x14ac:dyDescent="0.2">
      <c r="B13" s="225"/>
      <c r="C13" s="83" t="s">
        <v>56</v>
      </c>
      <c r="D13" s="221" t="s">
        <v>72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3"/>
    </row>
    <row r="14" spans="1:15" ht="50.1" customHeight="1" x14ac:dyDescent="0.2">
      <c r="B14" s="225"/>
      <c r="C14" s="83" t="s">
        <v>57</v>
      </c>
      <c r="D14" s="221" t="s">
        <v>71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3"/>
    </row>
    <row r="15" spans="1:15" ht="50.1" customHeight="1" x14ac:dyDescent="0.2">
      <c r="B15" s="225"/>
      <c r="C15" s="83" t="s">
        <v>58</v>
      </c>
      <c r="D15" s="221" t="s">
        <v>83</v>
      </c>
      <c r="E15" s="222"/>
      <c r="F15" s="222"/>
      <c r="G15" s="222"/>
      <c r="H15" s="222"/>
      <c r="I15" s="222"/>
      <c r="J15" s="222"/>
      <c r="K15" s="222"/>
      <c r="L15" s="222"/>
      <c r="M15" s="222"/>
      <c r="N15" s="223"/>
    </row>
    <row r="16" spans="1:15" ht="50.1" customHeight="1" x14ac:dyDescent="0.2">
      <c r="B16" s="225"/>
      <c r="C16" s="83" t="s">
        <v>59</v>
      </c>
      <c r="D16" s="221" t="s">
        <v>84</v>
      </c>
      <c r="E16" s="222"/>
      <c r="F16" s="222"/>
      <c r="G16" s="222"/>
      <c r="H16" s="222"/>
      <c r="I16" s="222"/>
      <c r="J16" s="222"/>
      <c r="K16" s="222"/>
      <c r="L16" s="222"/>
      <c r="M16" s="222"/>
      <c r="N16" s="223"/>
    </row>
    <row r="17" spans="2:14" ht="50.1" customHeight="1" x14ac:dyDescent="0.2">
      <c r="B17" s="225"/>
      <c r="C17" s="83" t="s">
        <v>60</v>
      </c>
      <c r="D17" s="221" t="s">
        <v>85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3"/>
    </row>
    <row r="18" spans="2:14" ht="50.1" customHeight="1" x14ac:dyDescent="0.2">
      <c r="B18" s="225"/>
      <c r="C18" s="83" t="s">
        <v>61</v>
      </c>
      <c r="D18" s="221" t="s">
        <v>82</v>
      </c>
      <c r="E18" s="222"/>
      <c r="F18" s="222"/>
      <c r="G18" s="222"/>
      <c r="H18" s="222"/>
      <c r="I18" s="222"/>
      <c r="J18" s="222"/>
      <c r="K18" s="222"/>
      <c r="L18" s="222"/>
      <c r="M18" s="222"/>
      <c r="N18" s="223"/>
    </row>
    <row r="19" spans="2:14" ht="50.1" customHeight="1" thickBot="1" x14ac:dyDescent="0.25">
      <c r="B19" s="226"/>
      <c r="C19" s="83" t="s">
        <v>62</v>
      </c>
      <c r="D19" s="218" t="s">
        <v>86</v>
      </c>
      <c r="E19" s="219"/>
      <c r="F19" s="219"/>
      <c r="G19" s="219"/>
      <c r="H19" s="219"/>
      <c r="I19" s="219"/>
      <c r="J19" s="219"/>
      <c r="K19" s="219"/>
      <c r="L19" s="219"/>
      <c r="M19" s="219"/>
      <c r="N19" s="220"/>
    </row>
    <row r="20" spans="2:14" ht="39.950000000000003" customHeight="1" x14ac:dyDescent="0.2"/>
    <row r="29" spans="2:14" ht="14.25" customHeight="1" x14ac:dyDescent="0.2"/>
  </sheetData>
  <mergeCells count="17">
    <mergeCell ref="D19:N19"/>
    <mergeCell ref="D18:N18"/>
    <mergeCell ref="B10:B19"/>
    <mergeCell ref="D10:N10"/>
    <mergeCell ref="D11:N11"/>
    <mergeCell ref="D12:N12"/>
    <mergeCell ref="D13:N13"/>
    <mergeCell ref="D14:N14"/>
    <mergeCell ref="D15:N15"/>
    <mergeCell ref="D16:N16"/>
    <mergeCell ref="D17:N17"/>
    <mergeCell ref="D9:N9"/>
    <mergeCell ref="B2:N2"/>
    <mergeCell ref="B3:N3"/>
    <mergeCell ref="A4:O4"/>
    <mergeCell ref="B6:N6"/>
    <mergeCell ref="M7:N7"/>
  </mergeCells>
  <hyperlinks>
    <hyperlink ref="C10" location="'Cuadro 5.1'!A1" tooltip="Ir a Cuadro 5.1" display="Cuadro 5.1" xr:uid="{7F54D0C2-C1C4-46D3-A0C3-6C478FCA9C49}"/>
    <hyperlink ref="C11" location="'Cuadro 5.2'!A1" tooltip="Ir a Cuadro 5.2" display="Cuadro 5.2" xr:uid="{ED72ED27-72C8-4194-BBC0-09CA1C65CFDE}"/>
    <hyperlink ref="C19" location="'Cuadro 5.11'!A1" tooltip="Ir a Cuadro 5.11" display="Cuadro 5.11" xr:uid="{FAC7EC54-1C23-4E48-AF1C-A796F1865C08}"/>
    <hyperlink ref="C12" location="'Cuadro 5.3'!A1" tooltip="Ir a Cuadro 5.3" display="Cuadro 5.3" xr:uid="{88F14943-7CF7-4CDA-BABF-1482EFCBFDDA}"/>
    <hyperlink ref="C13" location="'Cuadro 5.4'!A1" tooltip="Ir a Cuadro 5.4" display="Cuadro 5.4" xr:uid="{1353539F-F4FD-441E-8B09-82C37CD903B1}"/>
    <hyperlink ref="C14" location="'Cuadro 5.5'!A1" tooltip="Ir a Cuadro 5.5" display="Cuadro 5.5" xr:uid="{3E86C207-44E7-4ABF-8A3A-5008343A4A62}"/>
    <hyperlink ref="C16" location="'Cuadro 5.8'!A1" tooltip="Ir a Cuadro 5.8" display="Cuadro 5.8" xr:uid="{896C66ED-DE5D-4FD0-AEAE-D28E35330691}"/>
    <hyperlink ref="C17" location="'Cuadro 5.9'!A1" tooltip="Ir a Cuadro 5.9" display="Cuadro 5.9" xr:uid="{8B70D8B9-D5A3-42E0-8B4E-A630CE68B5AE}"/>
    <hyperlink ref="C15" location="'Cuadro 5.7'!A1" tooltip="Ir a Cuadro 5.7" display="Cuadro 5.7" xr:uid="{942FA76F-CFD7-4AC1-B6F3-80B6ABB43079}"/>
    <hyperlink ref="C18" location="'Cuadro 5.10'!A1" tooltip="Ir a Cuadro 5.10" display="Cuadro 5.10" xr:uid="{0CEE9601-5E78-4E8D-862A-23E003B33CA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27.85546875" style="1" customWidth="1"/>
    <col min="3" max="3" width="1.7109375" style="1" customWidth="1" collapsed="1"/>
    <col min="4" max="4" width="12.7109375" style="1" customWidth="1" collapsed="1"/>
    <col min="5" max="5" width="1.7109375" style="1" customWidth="1" collapsed="1"/>
    <col min="6" max="7" width="11.5703125" style="1" customWidth="1" collapsed="1"/>
    <col min="8" max="8" width="1.7109375" style="1" customWidth="1" collapsed="1"/>
    <col min="9" max="9" width="11.5703125" style="1" customWidth="1" collapsed="1"/>
    <col min="10" max="10" width="12.7109375" style="1" customWidth="1" collapsed="1"/>
    <col min="11" max="11" width="1.7109375" style="2" customWidth="1"/>
    <col min="12" max="17" width="11.42578125" style="2"/>
    <col min="18" max="24" width="11.42578125" style="1"/>
    <col min="25" max="16384" width="11.42578125" style="1" collapsed="1"/>
  </cols>
  <sheetData>
    <row r="1" spans="2:17" s="68" customFormat="1" x14ac:dyDescent="0.2">
      <c r="B1" s="210" t="s">
        <v>129</v>
      </c>
      <c r="L1" s="70"/>
      <c r="M1" s="80" t="s">
        <v>74</v>
      </c>
      <c r="N1" s="70"/>
      <c r="O1" s="70"/>
      <c r="P1" s="70"/>
      <c r="Q1" s="70"/>
    </row>
    <row r="2" spans="2:17" s="68" customFormat="1" ht="6.95" customHeight="1" x14ac:dyDescent="0.25">
      <c r="B2" s="210"/>
      <c r="K2" s="70"/>
      <c r="L2" s="70"/>
      <c r="M2" s="70"/>
      <c r="N2" s="70"/>
      <c r="O2" s="70"/>
      <c r="P2" s="70"/>
      <c r="Q2" s="70"/>
    </row>
    <row r="3" spans="2:17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</row>
    <row r="4" spans="2:17" s="68" customFormat="1" ht="6.95" customHeight="1" x14ac:dyDescent="0.25">
      <c r="C4" s="71"/>
      <c r="K4" s="70"/>
      <c r="L4" s="70"/>
      <c r="M4" s="70"/>
      <c r="N4" s="70"/>
      <c r="O4" s="70"/>
      <c r="P4" s="70"/>
      <c r="Q4" s="70"/>
    </row>
    <row r="5" spans="2:17" s="68" customFormat="1" ht="25.5" customHeight="1" x14ac:dyDescent="0.2">
      <c r="B5" s="230" t="s">
        <v>0</v>
      </c>
      <c r="C5" s="230"/>
      <c r="D5" s="230"/>
      <c r="E5" s="230"/>
      <c r="F5" s="230"/>
      <c r="G5" s="230"/>
      <c r="H5" s="230"/>
      <c r="I5" s="230"/>
      <c r="J5" s="230"/>
      <c r="K5" s="230"/>
      <c r="L5" s="72"/>
      <c r="M5" s="79" t="s">
        <v>53</v>
      </c>
      <c r="N5" s="70"/>
      <c r="O5" s="70"/>
      <c r="P5" s="70"/>
      <c r="Q5" s="70"/>
    </row>
    <row r="6" spans="2:17" ht="6" customHeight="1" x14ac:dyDescent="0.25">
      <c r="B6" s="233"/>
      <c r="C6" s="233"/>
      <c r="D6" s="233"/>
      <c r="E6" s="233"/>
      <c r="F6" s="234"/>
      <c r="G6" s="234"/>
      <c r="H6" s="234"/>
      <c r="I6" s="234"/>
      <c r="J6" s="234"/>
    </row>
    <row r="7" spans="2:17" ht="15" customHeight="1" x14ac:dyDescent="0.25">
      <c r="B7" s="235" t="s">
        <v>1</v>
      </c>
      <c r="C7" s="235"/>
      <c r="D7" s="238" t="s">
        <v>2</v>
      </c>
      <c r="E7" s="5"/>
      <c r="F7" s="232" t="s">
        <v>51</v>
      </c>
      <c r="G7" s="232"/>
      <c r="H7" s="232"/>
      <c r="I7" s="232"/>
      <c r="J7" s="232"/>
      <c r="K7" s="232"/>
      <c r="L7" s="232"/>
      <c r="M7" s="232"/>
    </row>
    <row r="8" spans="2:17" ht="15" customHeight="1" x14ac:dyDescent="0.25">
      <c r="B8" s="236"/>
      <c r="C8" s="236"/>
      <c r="D8" s="239"/>
      <c r="E8" s="5"/>
      <c r="F8" s="241" t="s">
        <v>3</v>
      </c>
      <c r="G8" s="241"/>
      <c r="H8" s="27"/>
      <c r="I8" s="231" t="s">
        <v>4</v>
      </c>
      <c r="J8" s="231"/>
      <c r="K8" s="28"/>
      <c r="L8" s="231" t="s">
        <v>43</v>
      </c>
      <c r="M8" s="231"/>
    </row>
    <row r="9" spans="2:17" ht="13.5" customHeight="1" x14ac:dyDescent="0.25">
      <c r="B9" s="237"/>
      <c r="C9" s="237"/>
      <c r="D9" s="240"/>
      <c r="E9" s="6"/>
      <c r="F9" s="29" t="s">
        <v>5</v>
      </c>
      <c r="G9" s="29" t="s">
        <v>6</v>
      </c>
      <c r="H9" s="29"/>
      <c r="I9" s="29" t="s">
        <v>5</v>
      </c>
      <c r="J9" s="29" t="s">
        <v>6</v>
      </c>
      <c r="K9" s="81"/>
      <c r="L9" s="29" t="s">
        <v>5</v>
      </c>
      <c r="M9" s="29" t="s">
        <v>6</v>
      </c>
    </row>
    <row r="10" spans="2:17" ht="6" customHeight="1" x14ac:dyDescent="0.25">
      <c r="C10" s="26"/>
      <c r="D10" s="104"/>
      <c r="E10" s="104"/>
      <c r="F10" s="84"/>
      <c r="G10" s="86"/>
      <c r="H10" s="84"/>
      <c r="I10" s="84"/>
      <c r="J10" s="86"/>
      <c r="K10" s="105"/>
      <c r="L10" s="105"/>
      <c r="M10" s="86"/>
    </row>
    <row r="11" spans="2:17" s="88" customFormat="1" ht="12.95" customHeight="1" x14ac:dyDescent="0.2">
      <c r="B11" s="16" t="s">
        <v>7</v>
      </c>
      <c r="D11" s="181">
        <v>35798824.741941698</v>
      </c>
      <c r="E11" s="107"/>
      <c r="F11" s="181">
        <v>7454276.2163086496</v>
      </c>
      <c r="G11" s="181">
        <v>20.6435102069</v>
      </c>
      <c r="H11" s="125"/>
      <c r="I11" s="181">
        <v>28166429.757632699</v>
      </c>
      <c r="J11" s="181">
        <v>78.362998982500002</v>
      </c>
      <c r="K11" s="128"/>
      <c r="L11" s="185">
        <v>40398.964942615603</v>
      </c>
      <c r="M11" s="181">
        <v>0.1115331649</v>
      </c>
      <c r="N11" s="89"/>
      <c r="O11" s="90"/>
      <c r="P11" s="89"/>
      <c r="Q11" s="90"/>
    </row>
    <row r="12" spans="2:17" s="88" customFormat="1" ht="6" customHeight="1" x14ac:dyDescent="0.2">
      <c r="B12" s="16"/>
      <c r="D12" s="125"/>
      <c r="E12" s="107"/>
      <c r="F12" s="126"/>
      <c r="G12" s="127"/>
      <c r="H12" s="126"/>
      <c r="I12" s="126"/>
      <c r="J12" s="127"/>
      <c r="K12" s="128"/>
      <c r="L12" s="128"/>
      <c r="M12" s="127"/>
      <c r="N12" s="89"/>
      <c r="O12" s="90"/>
      <c r="P12" s="89"/>
      <c r="Q12" s="90"/>
    </row>
    <row r="13" spans="2:17" s="3" customFormat="1" ht="12.95" customHeight="1" x14ac:dyDescent="0.2">
      <c r="B13" s="20" t="s">
        <v>8</v>
      </c>
      <c r="D13" s="182">
        <v>382369.95852108201</v>
      </c>
      <c r="E13" s="108"/>
      <c r="F13" s="182">
        <v>54966.997332659703</v>
      </c>
      <c r="G13" s="182">
        <v>13.9535888758</v>
      </c>
      <c r="H13" s="126"/>
      <c r="I13" s="182">
        <v>321106.21272961103</v>
      </c>
      <c r="J13" s="182">
        <v>82.766265915899993</v>
      </c>
      <c r="K13" s="129"/>
      <c r="L13" s="183">
        <v>288.48005892430001</v>
      </c>
      <c r="M13" s="182">
        <v>7.2749557399999998E-2</v>
      </c>
      <c r="N13" s="4"/>
      <c r="O13" s="4"/>
      <c r="P13" s="4"/>
      <c r="Q13" s="4"/>
    </row>
    <row r="14" spans="2:17" s="3" customFormat="1" ht="12.95" customHeight="1" x14ac:dyDescent="0.2">
      <c r="B14" s="20" t="s">
        <v>9</v>
      </c>
      <c r="D14" s="182">
        <v>1106083.79248848</v>
      </c>
      <c r="E14" s="108"/>
      <c r="F14" s="182">
        <v>250151.775680911</v>
      </c>
      <c r="G14" s="182">
        <v>21.922006405499999</v>
      </c>
      <c r="H14" s="126"/>
      <c r="I14" s="182">
        <v>826184.57907891006</v>
      </c>
      <c r="J14" s="182">
        <v>72.938368302200004</v>
      </c>
      <c r="K14" s="129"/>
      <c r="L14" s="183">
        <v>414.2818568559</v>
      </c>
      <c r="M14" s="182">
        <v>3.5531977200000002E-2</v>
      </c>
      <c r="N14" s="4"/>
      <c r="O14" s="4"/>
      <c r="P14" s="4"/>
      <c r="Q14" s="4"/>
    </row>
    <row r="15" spans="2:17" s="3" customFormat="1" ht="12.95" customHeight="1" x14ac:dyDescent="0.2">
      <c r="B15" s="20" t="s">
        <v>10</v>
      </c>
      <c r="D15" s="182">
        <v>232053.70656845701</v>
      </c>
      <c r="E15" s="108"/>
      <c r="F15" s="182">
        <v>55862.733364806198</v>
      </c>
      <c r="G15" s="184">
        <v>23.499882958400001</v>
      </c>
      <c r="H15" s="108"/>
      <c r="I15" s="182">
        <v>171938.70895092</v>
      </c>
      <c r="J15" s="184">
        <v>71.359108618500002</v>
      </c>
      <c r="K15" s="129"/>
      <c r="L15" s="183">
        <v>0</v>
      </c>
      <c r="M15" s="184">
        <v>0</v>
      </c>
      <c r="N15" s="4"/>
      <c r="O15" s="4"/>
      <c r="P15" s="4"/>
      <c r="Q15" s="4"/>
    </row>
    <row r="16" spans="2:17" s="3" customFormat="1" ht="12.95" customHeight="1" x14ac:dyDescent="0.2">
      <c r="B16" s="20" t="s">
        <v>11</v>
      </c>
      <c r="D16" s="182">
        <v>245908.58353673099</v>
      </c>
      <c r="E16" s="108"/>
      <c r="F16" s="182">
        <v>60008.567697256098</v>
      </c>
      <c r="G16" s="184">
        <v>23.4412261256</v>
      </c>
      <c r="H16" s="108"/>
      <c r="I16" s="182">
        <v>181576.937451759</v>
      </c>
      <c r="J16" s="184">
        <v>72.084193959999993</v>
      </c>
      <c r="K16" s="129"/>
      <c r="L16" s="183">
        <v>0</v>
      </c>
      <c r="M16" s="184">
        <v>0</v>
      </c>
      <c r="N16" s="4"/>
      <c r="O16" s="4"/>
      <c r="P16" s="4"/>
      <c r="Q16" s="4"/>
    </row>
    <row r="17" spans="2:24" s="3" customFormat="1" ht="12.95" customHeight="1" x14ac:dyDescent="0.2">
      <c r="B17" s="20" t="s">
        <v>12</v>
      </c>
      <c r="D17" s="182">
        <v>879715.02804204402</v>
      </c>
      <c r="E17" s="108"/>
      <c r="F17" s="182">
        <v>147316.82566308399</v>
      </c>
      <c r="G17" s="184">
        <v>16.235810790199999</v>
      </c>
      <c r="H17" s="108"/>
      <c r="I17" s="182">
        <v>715502.21772550698</v>
      </c>
      <c r="J17" s="184">
        <v>80.119060785000002</v>
      </c>
      <c r="K17" s="129"/>
      <c r="L17" s="183">
        <v>305.76306818910001</v>
      </c>
      <c r="M17" s="184">
        <v>3.3339247199999998E-2</v>
      </c>
      <c r="N17" s="4"/>
      <c r="O17" s="4"/>
      <c r="P17" s="4"/>
      <c r="Q17" s="4"/>
    </row>
    <row r="18" spans="2:24" s="3" customFormat="1" ht="12.95" customHeight="1" x14ac:dyDescent="0.2">
      <c r="B18" s="20" t="s">
        <v>13</v>
      </c>
      <c r="D18" s="182">
        <v>220106.171652132</v>
      </c>
      <c r="E18" s="108"/>
      <c r="F18" s="182">
        <v>35346.9213032849</v>
      </c>
      <c r="G18" s="184">
        <v>15.364126019</v>
      </c>
      <c r="H18" s="108"/>
      <c r="I18" s="182">
        <v>181125.761085707</v>
      </c>
      <c r="J18" s="184">
        <v>80.796772919299997</v>
      </c>
      <c r="K18" s="129"/>
      <c r="L18" s="183">
        <v>13.057248810000001</v>
      </c>
      <c r="M18" s="184">
        <v>5.3565794999999999E-3</v>
      </c>
      <c r="N18" s="4"/>
      <c r="O18" s="4"/>
      <c r="P18" s="4"/>
      <c r="Q18" s="4"/>
    </row>
    <row r="19" spans="2:24" s="3" customFormat="1" ht="12.95" customHeight="1" x14ac:dyDescent="0.2">
      <c r="B19" s="20" t="s">
        <v>14</v>
      </c>
      <c r="D19" s="182">
        <v>1353025.2561932199</v>
      </c>
      <c r="E19" s="108"/>
      <c r="F19" s="182">
        <v>360582.85842586402</v>
      </c>
      <c r="G19" s="184">
        <v>25.462107968400002</v>
      </c>
      <c r="H19" s="108"/>
      <c r="I19" s="182">
        <v>972890.29733685905</v>
      </c>
      <c r="J19" s="184">
        <v>70.407247857499996</v>
      </c>
      <c r="K19" s="129"/>
      <c r="L19" s="183">
        <v>0</v>
      </c>
      <c r="M19" s="184">
        <v>0</v>
      </c>
      <c r="N19" s="4"/>
      <c r="O19" s="4"/>
      <c r="P19" s="4"/>
      <c r="Q19" s="4"/>
    </row>
    <row r="20" spans="2:24" s="4" customFormat="1" ht="12.95" customHeight="1" x14ac:dyDescent="0.2">
      <c r="B20" s="20" t="s">
        <v>15</v>
      </c>
      <c r="C20" s="3"/>
      <c r="D20" s="182">
        <v>1111924.8654428599</v>
      </c>
      <c r="E20" s="108"/>
      <c r="F20" s="182">
        <v>161928.63435982101</v>
      </c>
      <c r="G20" s="184">
        <v>14.1267041878</v>
      </c>
      <c r="H20" s="108"/>
      <c r="I20" s="182">
        <v>928717.59804069099</v>
      </c>
      <c r="J20" s="184">
        <v>82.540241730899993</v>
      </c>
      <c r="K20" s="129"/>
      <c r="L20" s="183">
        <v>0</v>
      </c>
      <c r="M20" s="184">
        <v>0</v>
      </c>
      <c r="R20" s="3"/>
      <c r="S20" s="3"/>
      <c r="T20" s="3"/>
      <c r="U20" s="3"/>
      <c r="V20" s="3"/>
      <c r="W20" s="3"/>
      <c r="X20" s="3"/>
    </row>
    <row r="21" spans="2:24" s="4" customFormat="1" ht="12.95" customHeight="1" x14ac:dyDescent="0.2">
      <c r="B21" s="20" t="s">
        <v>16</v>
      </c>
      <c r="C21" s="3"/>
      <c r="D21" s="182">
        <v>2720201.3857328701</v>
      </c>
      <c r="E21" s="108"/>
      <c r="F21" s="182">
        <v>694813.92689901101</v>
      </c>
      <c r="G21" s="184">
        <v>25.0156886376</v>
      </c>
      <c r="H21" s="108"/>
      <c r="I21" s="182">
        <v>1966303.2992473801</v>
      </c>
      <c r="J21" s="184">
        <v>70.836330977800003</v>
      </c>
      <c r="K21" s="129"/>
      <c r="L21" s="183">
        <v>0</v>
      </c>
      <c r="M21" s="184">
        <v>0</v>
      </c>
      <c r="R21" s="3"/>
      <c r="S21" s="3"/>
      <c r="T21" s="3"/>
      <c r="U21" s="3"/>
      <c r="V21" s="3"/>
      <c r="W21" s="3"/>
      <c r="X21" s="3"/>
    </row>
    <row r="22" spans="2:24" s="4" customFormat="1" ht="12.95" customHeight="1" x14ac:dyDescent="0.2">
      <c r="B22" s="20" t="s">
        <v>17</v>
      </c>
      <c r="C22" s="3"/>
      <c r="D22" s="182">
        <v>486677.36953174998</v>
      </c>
      <c r="E22" s="108"/>
      <c r="F22" s="182">
        <v>88731.624832935006</v>
      </c>
      <c r="G22" s="184">
        <v>17.552249084</v>
      </c>
      <c r="H22" s="108"/>
      <c r="I22" s="182">
        <v>388362.011598218</v>
      </c>
      <c r="J22" s="184">
        <v>78.702822267399995</v>
      </c>
      <c r="K22" s="129"/>
      <c r="L22" s="183">
        <v>0</v>
      </c>
      <c r="M22" s="184">
        <v>0</v>
      </c>
      <c r="R22" s="3"/>
      <c r="S22" s="3"/>
      <c r="T22" s="3"/>
      <c r="U22" s="3"/>
      <c r="V22" s="3"/>
      <c r="W22" s="3"/>
      <c r="X22" s="3"/>
    </row>
    <row r="23" spans="2:24" s="4" customFormat="1" ht="12.95" customHeight="1" x14ac:dyDescent="0.2">
      <c r="B23" s="20" t="s">
        <v>18</v>
      </c>
      <c r="C23" s="3"/>
      <c r="D23" s="182">
        <v>1591929.8333491699</v>
      </c>
      <c r="E23" s="108"/>
      <c r="F23" s="182">
        <v>298990.16959309898</v>
      </c>
      <c r="G23" s="184">
        <v>18.066442516999999</v>
      </c>
      <c r="H23" s="108"/>
      <c r="I23" s="182">
        <v>1262987.1267272299</v>
      </c>
      <c r="J23" s="184">
        <v>78.233384533800006</v>
      </c>
      <c r="K23" s="129"/>
      <c r="L23" s="183">
        <v>1104.8112656138001</v>
      </c>
      <c r="M23" s="184">
        <v>6.7926555499999999E-2</v>
      </c>
      <c r="R23" s="3"/>
      <c r="S23" s="3"/>
      <c r="T23" s="3"/>
      <c r="U23" s="3"/>
      <c r="V23" s="3"/>
      <c r="W23" s="3"/>
      <c r="X23" s="3"/>
    </row>
    <row r="24" spans="2:24" s="4" customFormat="1" ht="12.95" customHeight="1" x14ac:dyDescent="0.2">
      <c r="B24" s="20" t="s">
        <v>19</v>
      </c>
      <c r="C24" s="3"/>
      <c r="D24" s="182">
        <v>921411.88332847599</v>
      </c>
      <c r="E24" s="108"/>
      <c r="F24" s="182">
        <v>276485.12706987001</v>
      </c>
      <c r="G24" s="184">
        <v>28.916575314599999</v>
      </c>
      <c r="H24" s="108"/>
      <c r="I24" s="182">
        <v>624600.81208431197</v>
      </c>
      <c r="J24" s="184">
        <v>66.288526004800005</v>
      </c>
      <c r="K24" s="129"/>
      <c r="L24" s="183">
        <v>0</v>
      </c>
      <c r="M24" s="184">
        <v>0</v>
      </c>
      <c r="R24" s="3"/>
      <c r="S24" s="3"/>
      <c r="T24" s="3"/>
      <c r="U24" s="3"/>
      <c r="V24" s="3"/>
      <c r="W24" s="3"/>
      <c r="X24" s="3"/>
    </row>
    <row r="25" spans="2:24" s="4" customFormat="1" ht="12.95" customHeight="1" x14ac:dyDescent="0.2">
      <c r="B25" s="20" t="s">
        <v>20</v>
      </c>
      <c r="C25" s="3"/>
      <c r="D25" s="182">
        <v>838173.62633344706</v>
      </c>
      <c r="E25" s="108"/>
      <c r="F25" s="182">
        <v>125578.06509867701</v>
      </c>
      <c r="G25" s="184">
        <v>14.389415506100001</v>
      </c>
      <c r="H25" s="108"/>
      <c r="I25" s="182">
        <v>699225.52452390897</v>
      </c>
      <c r="J25" s="184">
        <v>82.254485464400005</v>
      </c>
      <c r="K25" s="129"/>
      <c r="L25" s="183">
        <v>0</v>
      </c>
      <c r="M25" s="184">
        <v>0</v>
      </c>
      <c r="R25" s="3"/>
      <c r="S25" s="3"/>
      <c r="T25" s="3"/>
      <c r="U25" s="3"/>
      <c r="V25" s="3"/>
      <c r="W25" s="3"/>
      <c r="X25" s="3"/>
    </row>
    <row r="26" spans="2:24" s="4" customFormat="1" ht="12.95" customHeight="1" x14ac:dyDescent="0.2">
      <c r="B26" s="20" t="s">
        <v>21</v>
      </c>
      <c r="C26" s="3"/>
      <c r="D26" s="182">
        <v>2285893.6428788402</v>
      </c>
      <c r="E26" s="108"/>
      <c r="F26" s="182">
        <v>384996.20248713501</v>
      </c>
      <c r="G26" s="184">
        <v>16.263775182</v>
      </c>
      <c r="H26" s="108"/>
      <c r="I26" s="182">
        <v>1864900.36075601</v>
      </c>
      <c r="J26" s="184">
        <v>80.457680061299996</v>
      </c>
      <c r="K26" s="129"/>
      <c r="L26" s="183">
        <v>0</v>
      </c>
      <c r="M26" s="184">
        <v>0</v>
      </c>
      <c r="R26" s="3"/>
      <c r="S26" s="3"/>
      <c r="T26" s="3"/>
      <c r="U26" s="3"/>
      <c r="V26" s="3"/>
      <c r="W26" s="3"/>
      <c r="X26" s="3"/>
    </row>
    <row r="27" spans="2:24" s="4" customFormat="1" ht="12.95" customHeight="1" x14ac:dyDescent="0.2">
      <c r="B27" s="23" t="s">
        <v>22</v>
      </c>
      <c r="C27" s="3"/>
      <c r="D27" s="182">
        <v>4547709.4509218102</v>
      </c>
      <c r="E27" s="108"/>
      <c r="F27" s="182">
        <v>790077.81574721704</v>
      </c>
      <c r="G27" s="184">
        <v>16.6897969487</v>
      </c>
      <c r="H27" s="108"/>
      <c r="I27" s="182">
        <v>3684977.51025471</v>
      </c>
      <c r="J27" s="184">
        <v>79.720549789200007</v>
      </c>
      <c r="K27" s="129"/>
      <c r="L27" s="183">
        <v>1317.7431075356001</v>
      </c>
      <c r="M27" s="184">
        <v>2.67092619E-2</v>
      </c>
      <c r="R27" s="3"/>
      <c r="S27" s="3"/>
      <c r="T27" s="3"/>
      <c r="U27" s="3"/>
      <c r="V27" s="3"/>
      <c r="W27" s="3"/>
      <c r="X27" s="3"/>
    </row>
    <row r="28" spans="2:24" s="4" customFormat="1" ht="12.95" customHeight="1" x14ac:dyDescent="0.2">
      <c r="B28" s="20" t="s">
        <v>23</v>
      </c>
      <c r="C28" s="3"/>
      <c r="D28" s="182">
        <v>1259987.7407158799</v>
      </c>
      <c r="E28" s="108"/>
      <c r="F28" s="182">
        <v>230123.09104396601</v>
      </c>
      <c r="G28" s="184">
        <v>17.549296078099999</v>
      </c>
      <c r="H28" s="108"/>
      <c r="I28" s="182">
        <v>1011456.78727819</v>
      </c>
      <c r="J28" s="184">
        <v>78.814882799000003</v>
      </c>
      <c r="K28" s="129"/>
      <c r="L28" s="183">
        <v>251.50243137890001</v>
      </c>
      <c r="M28" s="184">
        <v>1.8415030900000001E-2</v>
      </c>
      <c r="R28" s="3"/>
      <c r="S28" s="3"/>
      <c r="T28" s="3"/>
      <c r="U28" s="3"/>
      <c r="V28" s="3"/>
      <c r="W28" s="3"/>
      <c r="X28" s="3"/>
    </row>
    <row r="29" spans="2:24" s="4" customFormat="1" ht="12.95" customHeight="1" x14ac:dyDescent="0.2">
      <c r="B29" s="20" t="s">
        <v>24</v>
      </c>
      <c r="C29" s="3"/>
      <c r="D29" s="182">
        <v>560173.66123646696</v>
      </c>
      <c r="E29" s="108"/>
      <c r="F29" s="182">
        <v>99037.428132473593</v>
      </c>
      <c r="G29" s="184">
        <v>16.471941817699999</v>
      </c>
      <c r="H29" s="108"/>
      <c r="I29" s="182">
        <v>450277.39334499498</v>
      </c>
      <c r="J29" s="184">
        <v>79.6767704377</v>
      </c>
      <c r="K29" s="129"/>
      <c r="L29" s="183">
        <v>0</v>
      </c>
      <c r="M29" s="184">
        <v>0</v>
      </c>
      <c r="R29" s="3"/>
      <c r="S29" s="3"/>
      <c r="T29" s="3"/>
      <c r="U29" s="3"/>
      <c r="V29" s="3"/>
      <c r="W29" s="3"/>
      <c r="X29" s="3"/>
    </row>
    <row r="30" spans="2:24" s="4" customFormat="1" ht="12.95" customHeight="1" x14ac:dyDescent="0.2">
      <c r="B30" s="20" t="s">
        <v>25</v>
      </c>
      <c r="C30" s="3"/>
      <c r="D30" s="182">
        <v>347904.10328992899</v>
      </c>
      <c r="E30" s="108"/>
      <c r="F30" s="182">
        <v>72650.354156129906</v>
      </c>
      <c r="G30" s="184">
        <v>20.320558479100001</v>
      </c>
      <c r="H30" s="108"/>
      <c r="I30" s="182">
        <v>269311.80030154</v>
      </c>
      <c r="J30" s="184">
        <v>75.631874764399996</v>
      </c>
      <c r="K30" s="129"/>
      <c r="L30" s="183">
        <v>0</v>
      </c>
      <c r="M30" s="184">
        <v>0</v>
      </c>
      <c r="R30" s="3"/>
      <c r="S30" s="3"/>
      <c r="T30" s="3"/>
      <c r="U30" s="3"/>
      <c r="V30" s="3"/>
      <c r="W30" s="3"/>
      <c r="X30" s="3"/>
    </row>
    <row r="31" spans="2:24" s="4" customFormat="1" ht="12.95" customHeight="1" x14ac:dyDescent="0.2">
      <c r="B31" s="20" t="s">
        <v>26</v>
      </c>
      <c r="C31" s="3"/>
      <c r="D31" s="182">
        <v>1624578.51222699</v>
      </c>
      <c r="E31" s="108"/>
      <c r="F31" s="182">
        <v>167866.38941442699</v>
      </c>
      <c r="G31" s="184">
        <v>9.9252513599000007</v>
      </c>
      <c r="H31" s="108"/>
      <c r="I31" s="182">
        <v>1427632.97611284</v>
      </c>
      <c r="J31" s="184">
        <v>86.611761913199999</v>
      </c>
      <c r="K31" s="129"/>
      <c r="L31" s="183">
        <v>98.993633871100002</v>
      </c>
      <c r="M31" s="184">
        <v>5.6250353999999997E-3</v>
      </c>
      <c r="R31" s="3"/>
      <c r="S31" s="3"/>
      <c r="T31" s="3"/>
      <c r="U31" s="3"/>
      <c r="V31" s="3"/>
      <c r="W31" s="3"/>
      <c r="X31" s="3"/>
    </row>
    <row r="32" spans="2:24" s="4" customFormat="1" ht="12.95" customHeight="1" x14ac:dyDescent="0.2">
      <c r="B32" s="20" t="s">
        <v>27</v>
      </c>
      <c r="C32" s="3"/>
      <c r="D32" s="182">
        <v>1070329.5800033601</v>
      </c>
      <c r="E32" s="108"/>
      <c r="F32" s="182">
        <v>258655.27836628901</v>
      </c>
      <c r="G32" s="184">
        <v>23.072430197500001</v>
      </c>
      <c r="H32" s="108"/>
      <c r="I32" s="182">
        <v>794677.91542038496</v>
      </c>
      <c r="J32" s="184">
        <v>72.408089550699998</v>
      </c>
      <c r="K32" s="129"/>
      <c r="L32" s="183">
        <v>0</v>
      </c>
      <c r="M32" s="184">
        <v>0</v>
      </c>
      <c r="R32" s="3"/>
      <c r="S32" s="3"/>
      <c r="T32" s="3"/>
      <c r="U32" s="3"/>
      <c r="V32" s="3"/>
      <c r="W32" s="3"/>
      <c r="X32" s="3"/>
    </row>
    <row r="33" spans="1:24" s="4" customFormat="1" ht="12.95" customHeight="1" x14ac:dyDescent="0.2">
      <c r="B33" s="20" t="s">
        <v>28</v>
      </c>
      <c r="C33" s="3"/>
      <c r="D33" s="182">
        <v>1676561.4925005699</v>
      </c>
      <c r="E33" s="108"/>
      <c r="F33" s="182">
        <v>379075.01420156</v>
      </c>
      <c r="G33" s="184">
        <v>21.601724348800001</v>
      </c>
      <c r="H33" s="108"/>
      <c r="I33" s="182">
        <v>1261525.2089082701</v>
      </c>
      <c r="J33" s="184">
        <v>73.718830744800002</v>
      </c>
      <c r="K33" s="129"/>
      <c r="L33" s="183">
        <v>0</v>
      </c>
      <c r="M33" s="184">
        <v>0</v>
      </c>
      <c r="R33" s="3"/>
      <c r="S33" s="3"/>
      <c r="T33" s="3"/>
      <c r="U33" s="3"/>
      <c r="V33" s="3"/>
      <c r="W33" s="3"/>
      <c r="X33" s="3"/>
    </row>
    <row r="34" spans="1:24" s="4" customFormat="1" ht="12.95" customHeight="1" x14ac:dyDescent="0.2">
      <c r="B34" s="20" t="s">
        <v>29</v>
      </c>
      <c r="C34" s="3"/>
      <c r="D34" s="182">
        <v>625528.25385304994</v>
      </c>
      <c r="E34" s="108"/>
      <c r="F34" s="182">
        <v>122667.67814412899</v>
      </c>
      <c r="G34" s="184">
        <v>18.4778634645</v>
      </c>
      <c r="H34" s="108"/>
      <c r="I34" s="182">
        <v>491055.71820240299</v>
      </c>
      <c r="J34" s="184">
        <v>76.842720309499995</v>
      </c>
      <c r="K34" s="129"/>
      <c r="L34" s="183">
        <v>0</v>
      </c>
      <c r="M34" s="184">
        <v>0</v>
      </c>
      <c r="R34" s="3"/>
      <c r="S34" s="3"/>
      <c r="T34" s="3"/>
      <c r="U34" s="3"/>
      <c r="V34" s="3"/>
      <c r="W34" s="3"/>
      <c r="X34" s="3"/>
    </row>
    <row r="35" spans="1:24" s="4" customFormat="1" ht="12.95" customHeight="1" x14ac:dyDescent="0.2">
      <c r="B35" s="20" t="s">
        <v>30</v>
      </c>
      <c r="C35" s="3"/>
      <c r="D35" s="182">
        <v>527598.77748668205</v>
      </c>
      <c r="E35" s="108"/>
      <c r="F35" s="182">
        <v>122856.75395268299</v>
      </c>
      <c r="G35" s="184">
        <v>21.9203844922</v>
      </c>
      <c r="H35" s="108"/>
      <c r="I35" s="182">
        <v>390583.553143317</v>
      </c>
      <c r="J35" s="184">
        <v>72.659511314200003</v>
      </c>
      <c r="K35" s="129"/>
      <c r="L35" s="183">
        <v>351.12097140740002</v>
      </c>
      <c r="M35" s="184">
        <v>6.1699748999999998E-2</v>
      </c>
      <c r="R35" s="3"/>
      <c r="S35" s="3"/>
      <c r="T35" s="3"/>
      <c r="U35" s="3"/>
      <c r="V35" s="3"/>
      <c r="W35" s="3"/>
      <c r="X35" s="3"/>
    </row>
    <row r="36" spans="1:24" s="4" customFormat="1" ht="12.95" customHeight="1" x14ac:dyDescent="0.2">
      <c r="B36" s="20" t="s">
        <v>31</v>
      </c>
      <c r="C36" s="3"/>
      <c r="D36" s="182">
        <v>764235.120819801</v>
      </c>
      <c r="E36" s="108"/>
      <c r="F36" s="182">
        <v>109347.327386538</v>
      </c>
      <c r="G36" s="184">
        <v>13.9898896668</v>
      </c>
      <c r="H36" s="108"/>
      <c r="I36" s="182">
        <v>642303.742350135</v>
      </c>
      <c r="J36" s="184">
        <v>82.608785425700006</v>
      </c>
      <c r="K36" s="129"/>
      <c r="L36" s="183">
        <v>0</v>
      </c>
      <c r="M36" s="184">
        <v>0</v>
      </c>
      <c r="R36" s="3"/>
      <c r="S36" s="3"/>
      <c r="T36" s="3"/>
      <c r="U36" s="3"/>
      <c r="V36" s="3"/>
      <c r="W36" s="3"/>
      <c r="X36" s="3"/>
    </row>
    <row r="37" spans="1:24" s="4" customFormat="1" ht="12.95" customHeight="1" x14ac:dyDescent="0.2">
      <c r="B37" s="20" t="s">
        <v>32</v>
      </c>
      <c r="C37" s="3"/>
      <c r="D37" s="182">
        <v>838857.50812798296</v>
      </c>
      <c r="E37" s="108"/>
      <c r="F37" s="182">
        <v>207547.36081637</v>
      </c>
      <c r="G37" s="184">
        <v>23.846475015799999</v>
      </c>
      <c r="H37" s="108"/>
      <c r="I37" s="182">
        <v>614261.01833254402</v>
      </c>
      <c r="J37" s="184">
        <v>72.369744613699993</v>
      </c>
      <c r="K37" s="129"/>
      <c r="L37" s="183">
        <v>635.99844934459998</v>
      </c>
      <c r="M37" s="184">
        <v>7.35629743E-2</v>
      </c>
      <c r="R37" s="3"/>
      <c r="S37" s="3"/>
      <c r="T37" s="3"/>
      <c r="U37" s="3"/>
      <c r="V37" s="3"/>
      <c r="W37" s="3"/>
      <c r="X37" s="3"/>
    </row>
    <row r="38" spans="1:24" s="4" customFormat="1" ht="12.95" customHeight="1" x14ac:dyDescent="0.2">
      <c r="B38" s="20" t="s">
        <v>33</v>
      </c>
      <c r="C38" s="3"/>
      <c r="D38" s="182">
        <v>840072.01919721602</v>
      </c>
      <c r="E38" s="108"/>
      <c r="F38" s="182">
        <v>204838.04243817899</v>
      </c>
      <c r="G38" s="184">
        <v>23.441703750199999</v>
      </c>
      <c r="H38" s="108"/>
      <c r="I38" s="182">
        <v>621996.043919925</v>
      </c>
      <c r="J38" s="184">
        <v>72.927411907500002</v>
      </c>
      <c r="K38" s="129"/>
      <c r="L38" s="183">
        <v>0</v>
      </c>
      <c r="M38" s="184">
        <v>0</v>
      </c>
      <c r="R38" s="3"/>
      <c r="S38" s="3"/>
      <c r="T38" s="3"/>
      <c r="U38" s="3"/>
      <c r="V38" s="3"/>
      <c r="W38" s="3"/>
      <c r="X38" s="3"/>
    </row>
    <row r="39" spans="1:24" s="4" customFormat="1" ht="12.95" customHeight="1" x14ac:dyDescent="0.2">
      <c r="B39" s="20" t="s">
        <v>34</v>
      </c>
      <c r="C39" s="3"/>
      <c r="D39" s="182">
        <v>653153.03028666298</v>
      </c>
      <c r="E39" s="108"/>
      <c r="F39" s="182">
        <v>171336.46502543701</v>
      </c>
      <c r="G39" s="184">
        <v>25.192704837000001</v>
      </c>
      <c r="H39" s="108"/>
      <c r="I39" s="182">
        <v>467155.73379047401</v>
      </c>
      <c r="J39" s="184">
        <v>69.645215583500004</v>
      </c>
      <c r="K39" s="129"/>
      <c r="L39" s="183">
        <v>0</v>
      </c>
      <c r="M39" s="184">
        <v>0</v>
      </c>
      <c r="R39" s="3"/>
      <c r="S39" s="3"/>
      <c r="T39" s="3"/>
      <c r="U39" s="3"/>
      <c r="V39" s="3"/>
      <c r="W39" s="3"/>
      <c r="X39" s="3"/>
    </row>
    <row r="40" spans="1:24" s="4" customFormat="1" ht="12.95" customHeight="1" x14ac:dyDescent="0.2">
      <c r="B40" s="20" t="s">
        <v>35</v>
      </c>
      <c r="C40" s="3"/>
      <c r="D40" s="182">
        <v>1021285.06711339</v>
      </c>
      <c r="E40" s="108"/>
      <c r="F40" s="182">
        <v>145706.74808959299</v>
      </c>
      <c r="G40" s="184">
        <v>13.988816866300001</v>
      </c>
      <c r="H40" s="108"/>
      <c r="I40" s="182">
        <v>859053.06371598796</v>
      </c>
      <c r="J40" s="184">
        <v>82.444875348500005</v>
      </c>
      <c r="K40" s="129"/>
      <c r="L40" s="183">
        <v>71.590371659400006</v>
      </c>
      <c r="M40" s="184">
        <v>7.4509301000000002E-3</v>
      </c>
      <c r="R40" s="3"/>
      <c r="S40" s="3"/>
      <c r="T40" s="3"/>
      <c r="U40" s="3"/>
      <c r="V40" s="3"/>
      <c r="W40" s="3"/>
      <c r="X40" s="3"/>
    </row>
    <row r="41" spans="1:24" s="4" customFormat="1" ht="12.95" customHeight="1" x14ac:dyDescent="0.2">
      <c r="B41" s="20" t="s">
        <v>36</v>
      </c>
      <c r="C41" s="3"/>
      <c r="D41" s="182">
        <v>332442.06673979003</v>
      </c>
      <c r="E41" s="108"/>
      <c r="F41" s="182">
        <v>85583.381080311505</v>
      </c>
      <c r="G41" s="184">
        <v>24.916881408799998</v>
      </c>
      <c r="H41" s="108"/>
      <c r="I41" s="182">
        <v>239698.27309438301</v>
      </c>
      <c r="J41" s="184">
        <v>70.637336308399995</v>
      </c>
      <c r="K41" s="129"/>
      <c r="L41" s="183">
        <v>30.876008561999999</v>
      </c>
      <c r="M41" s="184">
        <v>8.6133039000000008E-3</v>
      </c>
      <c r="R41" s="3"/>
      <c r="S41" s="3"/>
      <c r="T41" s="3"/>
      <c r="U41" s="3"/>
      <c r="V41" s="3"/>
      <c r="W41" s="3"/>
      <c r="X41" s="3"/>
    </row>
    <row r="42" spans="1:24" s="4" customFormat="1" ht="12.95" customHeight="1" x14ac:dyDescent="0.2">
      <c r="B42" s="20" t="s">
        <v>37</v>
      </c>
      <c r="C42" s="3"/>
      <c r="D42" s="182">
        <v>2278818.3027244699</v>
      </c>
      <c r="E42" s="108"/>
      <c r="F42" s="182">
        <v>483718.31348763802</v>
      </c>
      <c r="G42" s="184">
        <v>20.5065902214</v>
      </c>
      <c r="H42" s="108"/>
      <c r="I42" s="182">
        <v>1756907.1955129399</v>
      </c>
      <c r="J42" s="184">
        <v>75.629455415500004</v>
      </c>
      <c r="K42" s="129"/>
      <c r="L42" s="183">
        <v>726.08395381100001</v>
      </c>
      <c r="M42" s="184">
        <v>3.03430648E-2</v>
      </c>
      <c r="R42" s="3"/>
      <c r="S42" s="3"/>
      <c r="T42" s="3"/>
      <c r="U42" s="3"/>
      <c r="V42" s="3"/>
      <c r="W42" s="3"/>
      <c r="X42" s="3"/>
    </row>
    <row r="43" spans="1:24" s="4" customFormat="1" ht="12.95" customHeight="1" x14ac:dyDescent="0.2">
      <c r="B43" s="20" t="s">
        <v>38</v>
      </c>
      <c r="C43" s="3"/>
      <c r="D43" s="182">
        <v>645725.52225283603</v>
      </c>
      <c r="E43" s="108"/>
      <c r="F43" s="182">
        <v>146889.12652557201</v>
      </c>
      <c r="G43" s="184">
        <v>21.624148731599998</v>
      </c>
      <c r="H43" s="108"/>
      <c r="I43" s="182">
        <v>485407.766634206</v>
      </c>
      <c r="J43" s="184">
        <v>74.000119635900006</v>
      </c>
      <c r="K43" s="129"/>
      <c r="L43" s="183">
        <v>78.437051367199999</v>
      </c>
      <c r="M43" s="184">
        <v>1.07875822E-2</v>
      </c>
      <c r="R43" s="3"/>
      <c r="S43" s="3"/>
      <c r="T43" s="3"/>
      <c r="U43" s="3"/>
      <c r="V43" s="3"/>
      <c r="W43" s="3"/>
      <c r="X43" s="3"/>
    </row>
    <row r="44" spans="1:24" s="4" customFormat="1" ht="12.95" customHeight="1" x14ac:dyDescent="0.2">
      <c r="B44" s="20" t="s">
        <v>39</v>
      </c>
      <c r="C44" s="3"/>
      <c r="D44" s="182">
        <v>435924.62865446502</v>
      </c>
      <c r="E44" s="108"/>
      <c r="F44" s="182">
        <v>56844.0441494689</v>
      </c>
      <c r="G44" s="184">
        <v>12.383329226400001</v>
      </c>
      <c r="H44" s="108"/>
      <c r="I44" s="182">
        <v>373685.36704290501</v>
      </c>
      <c r="J44" s="184">
        <v>84.695868118800007</v>
      </c>
      <c r="K44" s="129"/>
      <c r="L44" s="183">
        <v>0</v>
      </c>
      <c r="M44" s="184">
        <v>0</v>
      </c>
      <c r="R44" s="3"/>
      <c r="S44" s="3"/>
      <c r="T44" s="3"/>
      <c r="U44" s="3"/>
      <c r="V44" s="3"/>
      <c r="W44" s="3"/>
      <c r="X44" s="3"/>
    </row>
    <row r="45" spans="1:24" s="4" customFormat="1" ht="6" customHeight="1" x14ac:dyDescent="0.2">
      <c r="B45" s="21"/>
      <c r="C45" s="91"/>
      <c r="D45" s="110"/>
      <c r="E45" s="111"/>
      <c r="F45" s="110"/>
      <c r="G45" s="112"/>
      <c r="H45" s="111"/>
      <c r="I45" s="110"/>
      <c r="J45" s="112"/>
      <c r="K45" s="106"/>
      <c r="L45" s="106"/>
      <c r="M45" s="112"/>
    </row>
    <row r="46" spans="1:24" s="2" customFormat="1" ht="6" customHeight="1" x14ac:dyDescent="0.2">
      <c r="A46" s="63"/>
      <c r="C46" s="22"/>
      <c r="D46" s="22"/>
      <c r="E46" s="22"/>
      <c r="F46" s="22"/>
      <c r="G46" s="22"/>
      <c r="H46" s="22"/>
      <c r="I46" s="22"/>
      <c r="J46" s="22"/>
      <c r="R46" s="1"/>
      <c r="S46" s="1"/>
      <c r="T46" s="1"/>
      <c r="U46" s="1"/>
      <c r="V46" s="1"/>
      <c r="W46" s="1"/>
      <c r="X46" s="1"/>
    </row>
    <row r="47" spans="1:24" s="101" customFormat="1" ht="14.25" x14ac:dyDescent="0.2">
      <c r="B47" s="102" t="s">
        <v>75</v>
      </c>
    </row>
    <row r="48" spans="1:24" s="10" customFormat="1" ht="12.75" customHeight="1" x14ac:dyDescent="0.25">
      <c r="A48" s="64"/>
      <c r="D48" s="12"/>
      <c r="I48" s="11"/>
      <c r="K48" s="11"/>
      <c r="L48" s="11"/>
      <c r="M48" s="11"/>
      <c r="N48" s="11"/>
      <c r="O48" s="11"/>
      <c r="P48" s="11"/>
      <c r="Q48" s="11"/>
    </row>
    <row r="49" spans="2:4" ht="12.75" customHeight="1" x14ac:dyDescent="0.25">
      <c r="C49" s="13"/>
      <c r="D49" s="13"/>
    </row>
    <row r="50" spans="2:4" ht="12.75" customHeight="1" x14ac:dyDescent="0.25">
      <c r="B50" s="14"/>
      <c r="D50" s="15"/>
    </row>
  </sheetData>
  <mergeCells count="8">
    <mergeCell ref="B5:K5"/>
    <mergeCell ref="L8:M8"/>
    <mergeCell ref="F7:M7"/>
    <mergeCell ref="B6:J6"/>
    <mergeCell ref="B7:C9"/>
    <mergeCell ref="D7:D9"/>
    <mergeCell ref="F8:G8"/>
    <mergeCell ref="I8:J8"/>
  </mergeCells>
  <phoneticPr fontId="37" type="noConversion"/>
  <hyperlinks>
    <hyperlink ref="M1" location="Índice!A1" tooltip="Ir a ÍNDICE" display="INDICE" xr:uid="{59D30337-49AD-4587-83A8-30EE468D530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4E38-1B0B-46F8-B67B-744D811A06B1}">
  <sheetPr>
    <pageSetUpPr fitToPage="1"/>
  </sheetPr>
  <dimension ref="A1:AA51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24.7109375" style="1" customWidth="1"/>
    <col min="3" max="3" width="1.7109375" style="1" customWidth="1" collapsed="1"/>
    <col min="4" max="4" width="24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9.7109375" style="1" customWidth="1" collapsed="1"/>
    <col min="9" max="9" width="8.7109375" style="1" customWidth="1" collapsed="1"/>
    <col min="10" max="10" width="1.7109375" style="1" customWidth="1" collapsed="1"/>
    <col min="11" max="11" width="9.85546875" style="1" customWidth="1" collapsed="1"/>
    <col min="12" max="12" width="8.7109375" style="1" customWidth="1" collapsed="1"/>
    <col min="13" max="13" width="1.7109375" style="2" customWidth="1"/>
    <col min="14" max="14" width="10.5703125" style="2" customWidth="1"/>
    <col min="15" max="15" width="8.7109375" style="2" customWidth="1"/>
    <col min="16" max="16" width="1.7109375" style="1" customWidth="1"/>
    <col min="17" max="17" width="11.42578125" style="1"/>
    <col min="18" max="18" width="11.42578125" style="1" collapsed="1"/>
    <col min="19" max="27" width="11.42578125" style="1"/>
    <col min="28" max="16384" width="11.42578125" style="1" collapsed="1"/>
  </cols>
  <sheetData>
    <row r="1" spans="1:18" s="68" customFormat="1" x14ac:dyDescent="0.2">
      <c r="B1" s="210" t="s">
        <v>129</v>
      </c>
      <c r="M1" s="70"/>
      <c r="N1" s="70"/>
      <c r="O1" s="70"/>
      <c r="R1" s="80" t="s">
        <v>74</v>
      </c>
    </row>
    <row r="2" spans="1:18" s="68" customFormat="1" ht="6.95" customHeight="1" x14ac:dyDescent="0.25">
      <c r="B2" s="210"/>
      <c r="M2" s="70"/>
      <c r="N2" s="70"/>
      <c r="O2" s="70"/>
    </row>
    <row r="3" spans="1:18" s="68" customFormat="1" x14ac:dyDescent="0.2">
      <c r="B3" s="210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8" s="68" customFormat="1" ht="6.95" customHeight="1" x14ac:dyDescent="0.25">
      <c r="C4" s="71"/>
      <c r="M4" s="70"/>
      <c r="N4" s="70"/>
      <c r="O4" s="70"/>
      <c r="Q4" s="78"/>
    </row>
    <row r="5" spans="1:18" s="68" customFormat="1" ht="25.5" customHeight="1" x14ac:dyDescent="0.2">
      <c r="B5" s="242" t="s">
        <v>63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4"/>
      <c r="Q5" s="74"/>
      <c r="R5" s="79" t="s">
        <v>54</v>
      </c>
    </row>
    <row r="6" spans="1:18" s="19" customFormat="1" ht="6" customHeight="1" x14ac:dyDescent="0.25">
      <c r="A6" s="66"/>
      <c r="B6" s="243"/>
      <c r="C6" s="243"/>
      <c r="D6" s="243"/>
      <c r="E6" s="243"/>
      <c r="F6" s="244"/>
      <c r="G6" s="244"/>
      <c r="H6" s="244"/>
      <c r="I6" s="244"/>
      <c r="J6" s="244"/>
      <c r="K6" s="244"/>
      <c r="L6" s="244"/>
      <c r="M6" s="32"/>
      <c r="N6" s="32"/>
      <c r="O6" s="32"/>
      <c r="P6" s="33"/>
      <c r="Q6" s="33"/>
      <c r="R6" s="33"/>
    </row>
    <row r="7" spans="1:18" ht="29.25" customHeight="1" x14ac:dyDescent="0.25">
      <c r="B7" s="245" t="s">
        <v>1</v>
      </c>
      <c r="C7" s="245"/>
      <c r="D7" s="248" t="s">
        <v>64</v>
      </c>
      <c r="E7" s="34"/>
      <c r="F7" s="248" t="s">
        <v>52</v>
      </c>
      <c r="G7" s="35"/>
      <c r="H7" s="251" t="s">
        <v>77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</row>
    <row r="8" spans="1:18" ht="15" x14ac:dyDescent="0.25">
      <c r="B8" s="246"/>
      <c r="C8" s="246"/>
      <c r="D8" s="249"/>
      <c r="E8" s="34"/>
      <c r="F8" s="249"/>
      <c r="G8" s="34"/>
      <c r="H8" s="252" t="s">
        <v>40</v>
      </c>
      <c r="I8" s="252"/>
      <c r="J8" s="36"/>
      <c r="K8" s="232" t="s">
        <v>41</v>
      </c>
      <c r="L8" s="232"/>
      <c r="M8" s="37"/>
      <c r="N8" s="232" t="s">
        <v>42</v>
      </c>
      <c r="O8" s="232"/>
      <c r="P8" s="37"/>
      <c r="Q8" s="232" t="s">
        <v>43</v>
      </c>
      <c r="R8" s="232"/>
    </row>
    <row r="9" spans="1:18" ht="15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</row>
    <row r="10" spans="1:18" s="19" customFormat="1" ht="6" customHeight="1" x14ac:dyDescent="0.25">
      <c r="A10" s="66"/>
      <c r="B10" s="33"/>
      <c r="C10" s="39"/>
      <c r="D10" s="113"/>
      <c r="E10" s="113"/>
      <c r="F10" s="116"/>
      <c r="G10" s="113"/>
      <c r="H10" s="85"/>
      <c r="I10" s="87"/>
      <c r="J10" s="85"/>
      <c r="K10" s="85"/>
      <c r="L10" s="87"/>
      <c r="M10" s="114"/>
      <c r="N10" s="114"/>
      <c r="O10" s="87"/>
      <c r="P10" s="115"/>
      <c r="Q10" s="115"/>
      <c r="R10" s="87"/>
    </row>
    <row r="11" spans="1:18" s="88" customFormat="1" ht="12.95" customHeight="1" x14ac:dyDescent="0.2">
      <c r="B11" s="40" t="s">
        <v>7</v>
      </c>
      <c r="C11" s="92"/>
      <c r="D11" s="181">
        <v>7454276.2163086496</v>
      </c>
      <c r="E11" s="125"/>
      <c r="F11" s="181">
        <v>8025752.7365323296</v>
      </c>
      <c r="G11" s="125"/>
      <c r="H11" s="181">
        <v>4482075.2989220005</v>
      </c>
      <c r="I11" s="181">
        <v>59.407368179400002</v>
      </c>
      <c r="J11" s="125"/>
      <c r="K11" s="181">
        <v>3226699.0644210801</v>
      </c>
      <c r="L11" s="181">
        <v>42.685124196499999</v>
      </c>
      <c r="M11" s="125"/>
      <c r="N11" s="181">
        <v>145118.844834494</v>
      </c>
      <c r="O11" s="181">
        <v>1.9050075506999999</v>
      </c>
      <c r="P11" s="125"/>
      <c r="Q11" s="181">
        <v>31659.7179184823</v>
      </c>
      <c r="R11" s="181">
        <v>0.4157211589</v>
      </c>
    </row>
    <row r="12" spans="1:18" s="88" customFormat="1" ht="6" customHeight="1" x14ac:dyDescent="0.2">
      <c r="B12" s="40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</row>
    <row r="13" spans="1:18" s="93" customFormat="1" ht="12.95" customHeight="1" x14ac:dyDescent="0.2">
      <c r="B13" s="25" t="s">
        <v>8</v>
      </c>
      <c r="C13" s="94"/>
      <c r="D13" s="182">
        <v>54966.997332659703</v>
      </c>
      <c r="E13" s="126"/>
      <c r="F13" s="182">
        <v>59629.695256847197</v>
      </c>
      <c r="G13" s="126"/>
      <c r="H13" s="182">
        <v>22806.626775679299</v>
      </c>
      <c r="I13" s="182">
        <v>39.047708244399999</v>
      </c>
      <c r="J13" s="126"/>
      <c r="K13" s="182">
        <v>30641.001648825801</v>
      </c>
      <c r="L13" s="182">
        <v>51.992038543100001</v>
      </c>
      <c r="M13" s="126"/>
      <c r="N13" s="182">
        <v>117.1956732312</v>
      </c>
      <c r="O13" s="182">
        <v>0.18920120200000001</v>
      </c>
      <c r="P13" s="126"/>
      <c r="Q13" s="182">
        <v>0</v>
      </c>
      <c r="R13" s="182">
        <v>0</v>
      </c>
    </row>
    <row r="14" spans="1:18" s="3" customFormat="1" ht="12.95" customHeight="1" x14ac:dyDescent="0.2">
      <c r="B14" s="20" t="s">
        <v>9</v>
      </c>
      <c r="C14" s="50"/>
      <c r="D14" s="182">
        <v>250151.775680911</v>
      </c>
      <c r="E14" s="108"/>
      <c r="F14" s="184">
        <v>266978.77042792097</v>
      </c>
      <c r="G14" s="108"/>
      <c r="H14" s="182">
        <v>135933.936695632</v>
      </c>
      <c r="I14" s="184">
        <v>52.039898811299999</v>
      </c>
      <c r="J14" s="108"/>
      <c r="K14" s="182">
        <v>109802.58973312601</v>
      </c>
      <c r="L14" s="184">
        <v>40.625842501599998</v>
      </c>
      <c r="M14" s="108"/>
      <c r="N14" s="184">
        <v>4637.1067406043003</v>
      </c>
      <c r="O14" s="184">
        <v>1.6997813981000001</v>
      </c>
      <c r="P14" s="108"/>
      <c r="Q14" s="184">
        <v>0</v>
      </c>
      <c r="R14" s="184">
        <v>0</v>
      </c>
    </row>
    <row r="15" spans="1:18" s="3" customFormat="1" ht="12.95" customHeight="1" x14ac:dyDescent="0.2">
      <c r="B15" s="20" t="s">
        <v>10</v>
      </c>
      <c r="C15" s="50"/>
      <c r="D15" s="182">
        <v>55862.733364806198</v>
      </c>
      <c r="E15" s="108"/>
      <c r="F15" s="184">
        <v>59927.405514804603</v>
      </c>
      <c r="G15" s="108"/>
      <c r="H15" s="182">
        <v>35683.526240726998</v>
      </c>
      <c r="I15" s="184">
        <v>59.757251942800004</v>
      </c>
      <c r="J15" s="108"/>
      <c r="K15" s="182">
        <v>20823.695488662699</v>
      </c>
      <c r="L15" s="184">
        <v>35.763793856900001</v>
      </c>
      <c r="M15" s="108"/>
      <c r="N15" s="184">
        <v>17.543923316400001</v>
      </c>
      <c r="O15" s="184">
        <v>2.0771005299999999E-2</v>
      </c>
      <c r="P15" s="108"/>
      <c r="Q15" s="184">
        <v>0</v>
      </c>
      <c r="R15" s="184">
        <v>0</v>
      </c>
    </row>
    <row r="16" spans="1:18" s="3" customFormat="1" ht="12.95" customHeight="1" x14ac:dyDescent="0.2">
      <c r="B16" s="20" t="s">
        <v>11</v>
      </c>
      <c r="C16" s="50"/>
      <c r="D16" s="182">
        <v>60008.567697256098</v>
      </c>
      <c r="E16" s="108"/>
      <c r="F16" s="184">
        <v>65008.364892582598</v>
      </c>
      <c r="G16" s="108"/>
      <c r="H16" s="182">
        <v>48222.0079047373</v>
      </c>
      <c r="I16" s="184">
        <v>77.472944738300001</v>
      </c>
      <c r="J16" s="108"/>
      <c r="K16" s="182">
        <v>13164.700752544701</v>
      </c>
      <c r="L16" s="184">
        <v>19.903616636199999</v>
      </c>
      <c r="M16" s="108"/>
      <c r="N16" s="184">
        <v>0</v>
      </c>
      <c r="O16" s="184">
        <v>0</v>
      </c>
      <c r="P16" s="108"/>
      <c r="Q16" s="184">
        <v>0</v>
      </c>
      <c r="R16" s="184">
        <v>0</v>
      </c>
    </row>
    <row r="17" spans="2:18" s="3" customFormat="1" ht="12.95" customHeight="1" x14ac:dyDescent="0.2">
      <c r="B17" s="20" t="s">
        <v>12</v>
      </c>
      <c r="C17" s="50"/>
      <c r="D17" s="182">
        <v>147316.82566308399</v>
      </c>
      <c r="E17" s="108"/>
      <c r="F17" s="184">
        <v>156676.92558374099</v>
      </c>
      <c r="G17" s="108"/>
      <c r="H17" s="182">
        <v>62773.549556446</v>
      </c>
      <c r="I17" s="184">
        <v>39.702742007300003</v>
      </c>
      <c r="J17" s="108"/>
      <c r="K17" s="182">
        <v>76952.013839328094</v>
      </c>
      <c r="L17" s="184">
        <v>49.675408044800001</v>
      </c>
      <c r="M17" s="108"/>
      <c r="N17" s="184">
        <v>2480.6497156831001</v>
      </c>
      <c r="O17" s="184">
        <v>1.5551404509</v>
      </c>
      <c r="P17" s="108"/>
      <c r="Q17" s="184">
        <v>0</v>
      </c>
      <c r="R17" s="184">
        <v>0</v>
      </c>
    </row>
    <row r="18" spans="2:18" s="3" customFormat="1" ht="12.95" customHeight="1" x14ac:dyDescent="0.2">
      <c r="B18" s="20" t="s">
        <v>13</v>
      </c>
      <c r="C18" s="50"/>
      <c r="D18" s="182">
        <v>35346.9213032849</v>
      </c>
      <c r="E18" s="108"/>
      <c r="F18" s="184">
        <v>38636.054413448102</v>
      </c>
      <c r="G18" s="108"/>
      <c r="H18" s="182">
        <v>25275.550805556901</v>
      </c>
      <c r="I18" s="184">
        <v>67.473784495299995</v>
      </c>
      <c r="J18" s="108"/>
      <c r="K18" s="182">
        <v>9949.9660538267999</v>
      </c>
      <c r="L18" s="184">
        <v>26.222912388600001</v>
      </c>
      <c r="M18" s="108"/>
      <c r="N18" s="184">
        <v>0</v>
      </c>
      <c r="O18" s="184">
        <v>0</v>
      </c>
      <c r="P18" s="108"/>
      <c r="Q18" s="184">
        <v>158.6425649876</v>
      </c>
      <c r="R18" s="184">
        <v>0.38519906030000001</v>
      </c>
    </row>
    <row r="19" spans="2:18" s="4" customFormat="1" ht="12.95" customHeight="1" x14ac:dyDescent="0.2">
      <c r="B19" s="20" t="s">
        <v>14</v>
      </c>
      <c r="C19" s="50"/>
      <c r="D19" s="182">
        <v>360582.85842586402</v>
      </c>
      <c r="E19" s="108"/>
      <c r="F19" s="184">
        <v>380338.96066960797</v>
      </c>
      <c r="G19" s="108"/>
      <c r="H19" s="182">
        <v>233642.34057786199</v>
      </c>
      <c r="I19" s="184">
        <v>62.546759221199999</v>
      </c>
      <c r="J19" s="108"/>
      <c r="K19" s="182">
        <v>127536.472556821</v>
      </c>
      <c r="L19" s="184">
        <v>32.750081106400003</v>
      </c>
      <c r="M19" s="108"/>
      <c r="N19" s="184">
        <v>1428.7597247558001</v>
      </c>
      <c r="O19" s="184">
        <v>0.359763157</v>
      </c>
      <c r="P19" s="108"/>
      <c r="Q19" s="184">
        <v>0</v>
      </c>
      <c r="R19" s="184">
        <v>0</v>
      </c>
    </row>
    <row r="20" spans="2:18" s="4" customFormat="1" ht="12.95" customHeight="1" x14ac:dyDescent="0.2">
      <c r="B20" s="20" t="s">
        <v>15</v>
      </c>
      <c r="C20" s="50"/>
      <c r="D20" s="182">
        <v>161928.63435982101</v>
      </c>
      <c r="E20" s="108"/>
      <c r="F20" s="184">
        <v>175187.47376088999</v>
      </c>
      <c r="G20" s="108"/>
      <c r="H20" s="182">
        <v>84208.166936378198</v>
      </c>
      <c r="I20" s="184">
        <v>49.3106645692</v>
      </c>
      <c r="J20" s="108"/>
      <c r="K20" s="182">
        <v>66333.053464989905</v>
      </c>
      <c r="L20" s="184">
        <v>37.740619336499996</v>
      </c>
      <c r="M20" s="108"/>
      <c r="N20" s="184">
        <v>3774.7789026535002</v>
      </c>
      <c r="O20" s="184">
        <v>2.123318657</v>
      </c>
      <c r="P20" s="108"/>
      <c r="Q20" s="184">
        <v>598.28393836040004</v>
      </c>
      <c r="R20" s="184">
        <v>0.36365667070000002</v>
      </c>
    </row>
    <row r="21" spans="2:18" s="4" customFormat="1" ht="12.95" customHeight="1" x14ac:dyDescent="0.2">
      <c r="B21" s="20" t="s">
        <v>16</v>
      </c>
      <c r="C21" s="50"/>
      <c r="D21" s="182">
        <v>694813.92689901101</v>
      </c>
      <c r="E21" s="108"/>
      <c r="F21" s="184">
        <v>750976.10639431304</v>
      </c>
      <c r="G21" s="108"/>
      <c r="H21" s="182">
        <v>418838.92781745101</v>
      </c>
      <c r="I21" s="184">
        <v>57.463924219399999</v>
      </c>
      <c r="J21" s="108"/>
      <c r="K21" s="182">
        <v>281484.50598862802</v>
      </c>
      <c r="L21" s="184">
        <v>38.494527203700002</v>
      </c>
      <c r="M21" s="108"/>
      <c r="N21" s="184">
        <v>0</v>
      </c>
      <c r="O21" s="184">
        <v>0</v>
      </c>
      <c r="P21" s="108"/>
      <c r="Q21" s="184">
        <v>234.96995020080001</v>
      </c>
      <c r="R21" s="184">
        <v>3.0558643600000001E-2</v>
      </c>
    </row>
    <row r="22" spans="2:18" s="4" customFormat="1" ht="12.95" customHeight="1" x14ac:dyDescent="0.2">
      <c r="B22" s="20" t="s">
        <v>17</v>
      </c>
      <c r="C22" s="50"/>
      <c r="D22" s="182">
        <v>88731.624832935006</v>
      </c>
      <c r="E22" s="108"/>
      <c r="F22" s="184">
        <v>97219.723279894606</v>
      </c>
      <c r="G22" s="108"/>
      <c r="H22" s="182">
        <v>49949.799989764899</v>
      </c>
      <c r="I22" s="184">
        <v>52.924674043700001</v>
      </c>
      <c r="J22" s="108"/>
      <c r="K22" s="182">
        <v>38695.988297325603</v>
      </c>
      <c r="L22" s="184">
        <v>41.326212864799999</v>
      </c>
      <c r="M22" s="108"/>
      <c r="N22" s="184">
        <v>389.0875440959</v>
      </c>
      <c r="O22" s="184">
        <v>0.43331363319999999</v>
      </c>
      <c r="P22" s="108"/>
      <c r="Q22" s="184">
        <v>131.41645883230001</v>
      </c>
      <c r="R22" s="184">
        <v>0.1308322103</v>
      </c>
    </row>
    <row r="23" spans="2:18" s="4" customFormat="1" ht="12.95" customHeight="1" x14ac:dyDescent="0.2">
      <c r="B23" s="20" t="s">
        <v>18</v>
      </c>
      <c r="C23" s="50"/>
      <c r="D23" s="182">
        <v>298990.16959309898</v>
      </c>
      <c r="E23" s="108"/>
      <c r="F23" s="184">
        <v>332217.63025095197</v>
      </c>
      <c r="G23" s="108"/>
      <c r="H23" s="182">
        <v>153752.705395981</v>
      </c>
      <c r="I23" s="184">
        <v>48.381664476700003</v>
      </c>
      <c r="J23" s="108"/>
      <c r="K23" s="182">
        <v>150722.02616489699</v>
      </c>
      <c r="L23" s="184">
        <v>47.947630372500001</v>
      </c>
      <c r="M23" s="108"/>
      <c r="N23" s="184">
        <v>632.91050237050001</v>
      </c>
      <c r="O23" s="184">
        <v>0.19276551880000001</v>
      </c>
      <c r="P23" s="108"/>
      <c r="Q23" s="184">
        <v>1345.6920088426</v>
      </c>
      <c r="R23" s="184">
        <v>0.48009414049999999</v>
      </c>
    </row>
    <row r="24" spans="2:18" s="4" customFormat="1" ht="12.95" customHeight="1" x14ac:dyDescent="0.2">
      <c r="B24" s="20" t="s">
        <v>19</v>
      </c>
      <c r="C24" s="50"/>
      <c r="D24" s="182">
        <v>276485.12706987001</v>
      </c>
      <c r="E24" s="108"/>
      <c r="F24" s="184">
        <v>304125.617604998</v>
      </c>
      <c r="G24" s="108"/>
      <c r="H24" s="182">
        <v>196408.564679473</v>
      </c>
      <c r="I24" s="184">
        <v>67.941698461599998</v>
      </c>
      <c r="J24" s="108"/>
      <c r="K24" s="182">
        <v>92813.159891205898</v>
      </c>
      <c r="L24" s="184">
        <v>31.799383294999998</v>
      </c>
      <c r="M24" s="108"/>
      <c r="N24" s="184">
        <v>1101.6610451455001</v>
      </c>
      <c r="O24" s="184">
        <v>0.36891429100000001</v>
      </c>
      <c r="P24" s="108"/>
      <c r="Q24" s="184">
        <v>0</v>
      </c>
      <c r="R24" s="184">
        <v>0</v>
      </c>
    </row>
    <row r="25" spans="2:18" s="4" customFormat="1" ht="12.95" customHeight="1" x14ac:dyDescent="0.2">
      <c r="B25" s="20" t="s">
        <v>20</v>
      </c>
      <c r="C25" s="50"/>
      <c r="D25" s="182">
        <v>125578.06509867701</v>
      </c>
      <c r="E25" s="108"/>
      <c r="F25" s="184">
        <v>140461.15380613401</v>
      </c>
      <c r="G25" s="108"/>
      <c r="H25" s="182">
        <v>65133.352142433701</v>
      </c>
      <c r="I25" s="184">
        <v>47.924105956399998</v>
      </c>
      <c r="J25" s="108"/>
      <c r="K25" s="182">
        <v>60819.155587707603</v>
      </c>
      <c r="L25" s="184">
        <v>45.6667027361</v>
      </c>
      <c r="M25" s="108"/>
      <c r="N25" s="184">
        <v>1450.1693163748</v>
      </c>
      <c r="O25" s="184">
        <v>1.0554599861</v>
      </c>
      <c r="P25" s="108"/>
      <c r="Q25" s="184">
        <v>0</v>
      </c>
      <c r="R25" s="184">
        <v>0</v>
      </c>
    </row>
    <row r="26" spans="2:18" s="4" customFormat="1" ht="12.95" customHeight="1" x14ac:dyDescent="0.2">
      <c r="B26" s="20" t="s">
        <v>21</v>
      </c>
      <c r="C26" s="50"/>
      <c r="D26" s="182">
        <v>384996.20248713501</v>
      </c>
      <c r="E26" s="108"/>
      <c r="F26" s="184">
        <v>418671.66283698101</v>
      </c>
      <c r="G26" s="108"/>
      <c r="H26" s="182">
        <v>170231.47816897099</v>
      </c>
      <c r="I26" s="184">
        <v>41.7289825322</v>
      </c>
      <c r="J26" s="108"/>
      <c r="K26" s="182">
        <v>208257.132531371</v>
      </c>
      <c r="L26" s="184">
        <v>51.3460998101</v>
      </c>
      <c r="M26" s="108"/>
      <c r="N26" s="184">
        <v>5603.3956788758996</v>
      </c>
      <c r="O26" s="184">
        <v>1.3205711345</v>
      </c>
      <c r="P26" s="108"/>
      <c r="Q26" s="184">
        <v>0</v>
      </c>
      <c r="R26" s="184">
        <v>0</v>
      </c>
    </row>
    <row r="27" spans="2:18" s="4" customFormat="1" ht="12.95" customHeight="1" x14ac:dyDescent="0.2">
      <c r="B27" s="20" t="s">
        <v>22</v>
      </c>
      <c r="C27" s="50"/>
      <c r="D27" s="182">
        <v>790077.81574721704</v>
      </c>
      <c r="E27" s="108"/>
      <c r="F27" s="184">
        <v>890722.65367534198</v>
      </c>
      <c r="G27" s="108"/>
      <c r="H27" s="182">
        <v>403868.09586888598</v>
      </c>
      <c r="I27" s="184">
        <v>48.427818857799998</v>
      </c>
      <c r="J27" s="108"/>
      <c r="K27" s="182">
        <v>383684.52010164701</v>
      </c>
      <c r="L27" s="184">
        <v>45.595058287599997</v>
      </c>
      <c r="M27" s="108"/>
      <c r="N27" s="184">
        <v>18679.965932867301</v>
      </c>
      <c r="O27" s="184">
        <v>2.1266370657000002</v>
      </c>
      <c r="P27" s="108"/>
      <c r="Q27" s="184">
        <v>178.08025527180001</v>
      </c>
      <c r="R27" s="184">
        <v>2.4685728300000001E-2</v>
      </c>
    </row>
    <row r="28" spans="2:18" s="4" customFormat="1" ht="12.95" customHeight="1" x14ac:dyDescent="0.2">
      <c r="B28" s="20" t="s">
        <v>23</v>
      </c>
      <c r="C28" s="50"/>
      <c r="D28" s="182">
        <v>230123.09104396601</v>
      </c>
      <c r="E28" s="108"/>
      <c r="F28" s="184">
        <v>249158.747850363</v>
      </c>
      <c r="G28" s="108"/>
      <c r="H28" s="182">
        <v>101267.434256319</v>
      </c>
      <c r="I28" s="184">
        <v>41.374794800700002</v>
      </c>
      <c r="J28" s="108"/>
      <c r="K28" s="182">
        <v>129894.130219621</v>
      </c>
      <c r="L28" s="184">
        <v>52.8711202884</v>
      </c>
      <c r="M28" s="108"/>
      <c r="N28" s="184">
        <v>339.49242149230002</v>
      </c>
      <c r="O28" s="184">
        <v>0.1704570322</v>
      </c>
      <c r="P28" s="108"/>
      <c r="Q28" s="184">
        <v>0</v>
      </c>
      <c r="R28" s="184">
        <v>0</v>
      </c>
    </row>
    <row r="29" spans="2:18" s="4" customFormat="1" ht="12.95" customHeight="1" x14ac:dyDescent="0.2">
      <c r="B29" s="20" t="s">
        <v>24</v>
      </c>
      <c r="C29" s="50"/>
      <c r="D29" s="182">
        <v>99037.428132473593</v>
      </c>
      <c r="E29" s="108"/>
      <c r="F29" s="184">
        <v>106370.92505983901</v>
      </c>
      <c r="G29" s="108"/>
      <c r="H29" s="182">
        <v>52932.278280894803</v>
      </c>
      <c r="I29" s="184">
        <v>50.828998024699999</v>
      </c>
      <c r="J29" s="108"/>
      <c r="K29" s="182">
        <v>41762.606800747701</v>
      </c>
      <c r="L29" s="184">
        <v>39.986713336400001</v>
      </c>
      <c r="M29" s="108"/>
      <c r="N29" s="184">
        <v>2260.8327070956998</v>
      </c>
      <c r="O29" s="184">
        <v>2.0758831499000001</v>
      </c>
      <c r="P29" s="108"/>
      <c r="Q29" s="184">
        <v>0</v>
      </c>
      <c r="R29" s="184">
        <v>0</v>
      </c>
    </row>
    <row r="30" spans="2:18" s="4" customFormat="1" ht="12.95" customHeight="1" x14ac:dyDescent="0.2">
      <c r="B30" s="20" t="s">
        <v>25</v>
      </c>
      <c r="C30" s="50"/>
      <c r="D30" s="182">
        <v>72650.354156129906</v>
      </c>
      <c r="E30" s="108"/>
      <c r="F30" s="184">
        <v>77547.095924797002</v>
      </c>
      <c r="G30" s="108"/>
      <c r="H30" s="182">
        <v>43205.720510551197</v>
      </c>
      <c r="I30" s="184">
        <v>55.474820623500001</v>
      </c>
      <c r="J30" s="108"/>
      <c r="K30" s="182">
        <v>29991.773428661501</v>
      </c>
      <c r="L30" s="184">
        <v>39.6920757352</v>
      </c>
      <c r="M30" s="108"/>
      <c r="N30" s="184">
        <v>0</v>
      </c>
      <c r="O30" s="184">
        <v>0</v>
      </c>
      <c r="P30" s="108"/>
      <c r="Q30" s="184">
        <v>0</v>
      </c>
      <c r="R30" s="184">
        <v>0</v>
      </c>
    </row>
    <row r="31" spans="2:18" s="4" customFormat="1" ht="12.95" customHeight="1" x14ac:dyDescent="0.2">
      <c r="B31" s="20" t="s">
        <v>26</v>
      </c>
      <c r="C31" s="50"/>
      <c r="D31" s="182">
        <v>167866.38941442699</v>
      </c>
      <c r="E31" s="108"/>
      <c r="F31" s="184">
        <v>179999.402396916</v>
      </c>
      <c r="G31" s="108"/>
      <c r="H31" s="182">
        <v>68511.645434561506</v>
      </c>
      <c r="I31" s="184">
        <v>36.127512039899997</v>
      </c>
      <c r="J31" s="108"/>
      <c r="K31" s="182">
        <v>76696.353896416404</v>
      </c>
      <c r="L31" s="184">
        <v>43.332740297999997</v>
      </c>
      <c r="M31" s="108"/>
      <c r="N31" s="184">
        <v>7050.5420144214004</v>
      </c>
      <c r="O31" s="184">
        <v>3.6146265410999998</v>
      </c>
      <c r="P31" s="108"/>
      <c r="Q31" s="184">
        <v>0</v>
      </c>
      <c r="R31" s="184">
        <v>0</v>
      </c>
    </row>
    <row r="32" spans="2:18" s="4" customFormat="1" ht="12.95" customHeight="1" x14ac:dyDescent="0.2">
      <c r="B32" s="20" t="s">
        <v>27</v>
      </c>
      <c r="C32" s="50"/>
      <c r="D32" s="182">
        <v>258655.27836628901</v>
      </c>
      <c r="E32" s="108"/>
      <c r="F32" s="184">
        <v>281933.13559121202</v>
      </c>
      <c r="G32" s="108"/>
      <c r="H32" s="182">
        <v>177535.99035418199</v>
      </c>
      <c r="I32" s="184">
        <v>66.873947990600001</v>
      </c>
      <c r="J32" s="108"/>
      <c r="K32" s="182">
        <v>86984.107764440807</v>
      </c>
      <c r="L32" s="184">
        <v>29.7832980839</v>
      </c>
      <c r="M32" s="108"/>
      <c r="N32" s="184">
        <v>1432.4446741802001</v>
      </c>
      <c r="O32" s="184">
        <v>0.47264414770000002</v>
      </c>
      <c r="P32" s="108"/>
      <c r="Q32" s="184">
        <v>0</v>
      </c>
      <c r="R32" s="184">
        <v>0</v>
      </c>
    </row>
    <row r="33" spans="1:25" s="4" customFormat="1" ht="12.95" customHeight="1" x14ac:dyDescent="0.2">
      <c r="B33" s="20" t="s">
        <v>28</v>
      </c>
      <c r="C33" s="50"/>
      <c r="D33" s="182">
        <v>379075.01420156</v>
      </c>
      <c r="E33" s="108"/>
      <c r="F33" s="184">
        <v>422309.75812487199</v>
      </c>
      <c r="G33" s="108"/>
      <c r="H33" s="182">
        <v>211200.01061036901</v>
      </c>
      <c r="I33" s="184">
        <v>52.988480932199998</v>
      </c>
      <c r="J33" s="108"/>
      <c r="K33" s="182">
        <v>174791.39994046799</v>
      </c>
      <c r="L33" s="184">
        <v>42.992525727199997</v>
      </c>
      <c r="M33" s="108"/>
      <c r="N33" s="184">
        <v>6517.2777053412001</v>
      </c>
      <c r="O33" s="184">
        <v>1.5462903558000001</v>
      </c>
      <c r="P33" s="108"/>
      <c r="Q33" s="184">
        <v>0</v>
      </c>
      <c r="R33" s="184">
        <v>0</v>
      </c>
    </row>
    <row r="34" spans="1:25" s="4" customFormat="1" ht="12.95" customHeight="1" x14ac:dyDescent="0.2">
      <c r="B34" s="20" t="s">
        <v>29</v>
      </c>
      <c r="C34" s="50"/>
      <c r="D34" s="182">
        <v>122667.67814412899</v>
      </c>
      <c r="E34" s="108"/>
      <c r="F34" s="184">
        <v>136974.30335579399</v>
      </c>
      <c r="G34" s="108"/>
      <c r="H34" s="182">
        <v>55699.089889324001</v>
      </c>
      <c r="I34" s="184">
        <v>43.044945414200001</v>
      </c>
      <c r="J34" s="108"/>
      <c r="K34" s="182">
        <v>64797.068659497498</v>
      </c>
      <c r="L34" s="184">
        <v>48.607705545000002</v>
      </c>
      <c r="M34" s="108"/>
      <c r="N34" s="184">
        <v>2482.0279523526001</v>
      </c>
      <c r="O34" s="184">
        <v>1.7202643116</v>
      </c>
      <c r="P34" s="108"/>
      <c r="Q34" s="184">
        <v>538.87201651040004</v>
      </c>
      <c r="R34" s="184">
        <v>0.3791859172</v>
      </c>
    </row>
    <row r="35" spans="1:25" s="4" customFormat="1" ht="12.95" customHeight="1" x14ac:dyDescent="0.2">
      <c r="B35" s="20" t="s">
        <v>30</v>
      </c>
      <c r="C35" s="50"/>
      <c r="D35" s="182">
        <v>122856.75395268299</v>
      </c>
      <c r="E35" s="108"/>
      <c r="F35" s="184">
        <v>134745.813113285</v>
      </c>
      <c r="G35" s="108"/>
      <c r="H35" s="182">
        <v>87867.488128337704</v>
      </c>
      <c r="I35" s="184">
        <v>68.868248372300002</v>
      </c>
      <c r="J35" s="108"/>
      <c r="K35" s="182">
        <v>37185.071975770101</v>
      </c>
      <c r="L35" s="184">
        <v>27.568340859199999</v>
      </c>
      <c r="M35" s="108"/>
      <c r="N35" s="184">
        <v>225.7015609723</v>
      </c>
      <c r="O35" s="184">
        <v>0.16980408890000001</v>
      </c>
      <c r="P35" s="108"/>
      <c r="Q35" s="184">
        <v>401.9033547395</v>
      </c>
      <c r="R35" s="184">
        <v>0.2779626825</v>
      </c>
    </row>
    <row r="36" spans="1:25" s="4" customFormat="1" ht="12.95" customHeight="1" x14ac:dyDescent="0.2">
      <c r="B36" s="20" t="s">
        <v>31</v>
      </c>
      <c r="C36" s="50"/>
      <c r="D36" s="182">
        <v>109347.327386538</v>
      </c>
      <c r="E36" s="108"/>
      <c r="F36" s="184">
        <v>122797.83531464</v>
      </c>
      <c r="G36" s="108"/>
      <c r="H36" s="182">
        <v>52139.810007645297</v>
      </c>
      <c r="I36" s="184">
        <v>44.927288728599997</v>
      </c>
      <c r="J36" s="108"/>
      <c r="K36" s="182">
        <v>57726.761080595199</v>
      </c>
      <c r="L36" s="184">
        <v>49.119596628899998</v>
      </c>
      <c r="M36" s="108"/>
      <c r="N36" s="184">
        <v>1905.7474341442</v>
      </c>
      <c r="O36" s="184">
        <v>1.6332764420000001</v>
      </c>
      <c r="P36" s="108"/>
      <c r="Q36" s="184">
        <v>0</v>
      </c>
      <c r="R36" s="184">
        <v>0</v>
      </c>
    </row>
    <row r="37" spans="1:25" s="4" customFormat="1" ht="12.95" customHeight="1" x14ac:dyDescent="0.2">
      <c r="B37" s="20" t="s">
        <v>32</v>
      </c>
      <c r="C37" s="50"/>
      <c r="D37" s="182">
        <v>207547.36081637</v>
      </c>
      <c r="E37" s="108"/>
      <c r="F37" s="184">
        <v>225977.486752428</v>
      </c>
      <c r="G37" s="108"/>
      <c r="H37" s="182">
        <v>146696.15473484099</v>
      </c>
      <c r="I37" s="184">
        <v>67.8441067097</v>
      </c>
      <c r="J37" s="108"/>
      <c r="K37" s="182">
        <v>64940.697837221102</v>
      </c>
      <c r="L37" s="184">
        <v>29.722433961499998</v>
      </c>
      <c r="M37" s="108"/>
      <c r="N37" s="184">
        <v>64.0384902399</v>
      </c>
      <c r="O37" s="184">
        <v>2.7519047599999999E-2</v>
      </c>
      <c r="P37" s="108"/>
      <c r="Q37" s="184">
        <v>0</v>
      </c>
      <c r="R37" s="184">
        <v>0</v>
      </c>
    </row>
    <row r="38" spans="1:25" s="4" customFormat="1" ht="12.95" customHeight="1" x14ac:dyDescent="0.2">
      <c r="B38" s="20" t="s">
        <v>33</v>
      </c>
      <c r="C38" s="50"/>
      <c r="D38" s="182">
        <v>204838.04243817899</v>
      </c>
      <c r="E38" s="108"/>
      <c r="F38" s="184">
        <v>222279.712001982</v>
      </c>
      <c r="G38" s="108"/>
      <c r="H38" s="182">
        <v>145713.02850567899</v>
      </c>
      <c r="I38" s="184">
        <v>67.877400480600002</v>
      </c>
      <c r="J38" s="108"/>
      <c r="K38" s="182">
        <v>61129.098797124301</v>
      </c>
      <c r="L38" s="184">
        <v>28.280508919199999</v>
      </c>
      <c r="M38" s="108"/>
      <c r="N38" s="184">
        <v>669.62478874700003</v>
      </c>
      <c r="O38" s="184">
        <v>0.29688433460000002</v>
      </c>
      <c r="P38" s="108"/>
      <c r="Q38" s="184">
        <v>0</v>
      </c>
      <c r="R38" s="184">
        <v>0</v>
      </c>
    </row>
    <row r="39" spans="1:25" s="4" customFormat="1" ht="12.95" customHeight="1" x14ac:dyDescent="0.2">
      <c r="B39" s="20" t="s">
        <v>34</v>
      </c>
      <c r="C39" s="50"/>
      <c r="D39" s="182">
        <v>171336.46502543701</v>
      </c>
      <c r="E39" s="108"/>
      <c r="F39" s="184">
        <v>186966.39917817799</v>
      </c>
      <c r="G39" s="108"/>
      <c r="H39" s="182">
        <v>132970.28726072499</v>
      </c>
      <c r="I39" s="184">
        <v>74.385745069999999</v>
      </c>
      <c r="J39" s="108"/>
      <c r="K39" s="182">
        <v>46613.2934785338</v>
      </c>
      <c r="L39" s="184">
        <v>25.380868697899999</v>
      </c>
      <c r="M39" s="108"/>
      <c r="N39" s="184">
        <v>251.0309317295</v>
      </c>
      <c r="O39" s="184">
        <v>0.13227253429999999</v>
      </c>
      <c r="P39" s="108"/>
      <c r="Q39" s="184">
        <v>0</v>
      </c>
      <c r="R39" s="184">
        <v>0</v>
      </c>
    </row>
    <row r="40" spans="1:25" s="4" customFormat="1" ht="12.95" customHeight="1" x14ac:dyDescent="0.2">
      <c r="B40" s="20" t="s">
        <v>35</v>
      </c>
      <c r="C40" s="50"/>
      <c r="D40" s="182">
        <v>145706.74808959299</v>
      </c>
      <c r="E40" s="108"/>
      <c r="F40" s="184">
        <v>160309.422382502</v>
      </c>
      <c r="G40" s="108"/>
      <c r="H40" s="182">
        <v>96972.849197218893</v>
      </c>
      <c r="I40" s="184">
        <v>62.709968354200001</v>
      </c>
      <c r="J40" s="108"/>
      <c r="K40" s="182">
        <v>47403.469941664</v>
      </c>
      <c r="L40" s="184">
        <v>30.0065666944</v>
      </c>
      <c r="M40" s="108"/>
      <c r="N40" s="184">
        <v>66.872416912199995</v>
      </c>
      <c r="O40" s="184">
        <v>5.4294270999999998E-2</v>
      </c>
      <c r="P40" s="108"/>
      <c r="Q40" s="184">
        <v>0</v>
      </c>
      <c r="R40" s="184">
        <v>0</v>
      </c>
    </row>
    <row r="41" spans="1:25" s="4" customFormat="1" ht="12.95" customHeight="1" x14ac:dyDescent="0.2">
      <c r="B41" s="20" t="s">
        <v>36</v>
      </c>
      <c r="C41" s="50"/>
      <c r="D41" s="182">
        <v>85583.381080311505</v>
      </c>
      <c r="E41" s="108"/>
      <c r="F41" s="184">
        <v>98993.387281639894</v>
      </c>
      <c r="G41" s="108"/>
      <c r="H41" s="182">
        <v>58816.99864767</v>
      </c>
      <c r="I41" s="184">
        <v>65.954033400300005</v>
      </c>
      <c r="J41" s="108"/>
      <c r="K41" s="182">
        <v>32889.883763345802</v>
      </c>
      <c r="L41" s="184">
        <v>35.321809979199998</v>
      </c>
      <c r="M41" s="108"/>
      <c r="N41" s="184">
        <v>1204.586397244</v>
      </c>
      <c r="O41" s="184">
        <v>1.3222995423999999</v>
      </c>
      <c r="P41" s="108"/>
      <c r="Q41" s="184">
        <v>0</v>
      </c>
      <c r="R41" s="184">
        <v>0</v>
      </c>
    </row>
    <row r="42" spans="1:25" s="4" customFormat="1" ht="12.95" customHeight="1" x14ac:dyDescent="0.2">
      <c r="B42" s="20" t="s">
        <v>37</v>
      </c>
      <c r="C42" s="51"/>
      <c r="D42" s="182">
        <v>483718.31348763802</v>
      </c>
      <c r="E42" s="108"/>
      <c r="F42" s="184">
        <v>512686.70698725199</v>
      </c>
      <c r="G42" s="108"/>
      <c r="H42" s="182">
        <v>305623.778185389</v>
      </c>
      <c r="I42" s="184">
        <v>60.741680608000003</v>
      </c>
      <c r="J42" s="108"/>
      <c r="K42" s="182">
        <v>165044.68463994301</v>
      </c>
      <c r="L42" s="184">
        <v>32.0208725703</v>
      </c>
      <c r="M42" s="108"/>
      <c r="N42" s="184">
        <v>5372.1657540372998</v>
      </c>
      <c r="O42" s="184">
        <v>1.0209623924</v>
      </c>
      <c r="P42" s="108"/>
      <c r="Q42" s="184">
        <v>0</v>
      </c>
      <c r="R42" s="184">
        <v>0</v>
      </c>
    </row>
    <row r="43" spans="1:25" s="4" customFormat="1" ht="12.95" customHeight="1" x14ac:dyDescent="0.2">
      <c r="B43" s="20" t="s">
        <v>38</v>
      </c>
      <c r="C43" s="51"/>
      <c r="D43" s="184">
        <v>146889.12652557201</v>
      </c>
      <c r="E43" s="108"/>
      <c r="F43" s="184">
        <v>164215.69109507301</v>
      </c>
      <c r="G43" s="108"/>
      <c r="H43" s="184">
        <v>130435.112119635</v>
      </c>
      <c r="I43" s="184">
        <v>84.309730456699995</v>
      </c>
      <c r="J43" s="108"/>
      <c r="K43" s="184">
        <v>22720.415933726701</v>
      </c>
      <c r="L43" s="184">
        <v>14.635749021200001</v>
      </c>
      <c r="M43" s="108"/>
      <c r="N43" s="184">
        <v>195.29702120959999</v>
      </c>
      <c r="O43" s="184">
        <v>0.11780819269999999</v>
      </c>
      <c r="P43" s="108"/>
      <c r="Q43" s="184">
        <v>0</v>
      </c>
      <c r="R43" s="184">
        <v>0</v>
      </c>
    </row>
    <row r="44" spans="1:25" s="4" customFormat="1" ht="12.95" customHeight="1" x14ac:dyDescent="0.2">
      <c r="B44" s="20" t="s">
        <v>39</v>
      </c>
      <c r="C44" s="51"/>
      <c r="D44" s="184">
        <v>56844.0441494689</v>
      </c>
      <c r="E44" s="108"/>
      <c r="F44" s="184">
        <v>61849.4475343948</v>
      </c>
      <c r="G44" s="108"/>
      <c r="H44" s="184">
        <v>26548.283127609899</v>
      </c>
      <c r="I44" s="184">
        <v>43.474830555700002</v>
      </c>
      <c r="J44" s="108"/>
      <c r="K44" s="184">
        <v>29561.1213027128</v>
      </c>
      <c r="L44" s="184">
        <v>49.245842756899997</v>
      </c>
      <c r="M44" s="108"/>
      <c r="N44" s="184">
        <v>584.1589265499</v>
      </c>
      <c r="O44" s="184">
        <v>0.91058991519999999</v>
      </c>
      <c r="P44" s="108"/>
      <c r="Q44" s="184">
        <v>0</v>
      </c>
      <c r="R44" s="184">
        <v>0</v>
      </c>
    </row>
    <row r="45" spans="1:25" s="4" customFormat="1" ht="6" customHeight="1" x14ac:dyDescent="0.2">
      <c r="B45" s="21"/>
      <c r="C45" s="95"/>
      <c r="D45" s="110"/>
      <c r="E45" s="111"/>
      <c r="F45" s="111"/>
      <c r="G45" s="111"/>
      <c r="H45" s="110"/>
      <c r="I45" s="112"/>
      <c r="J45" s="111"/>
      <c r="K45" s="110"/>
      <c r="L45" s="112"/>
      <c r="M45" s="111"/>
      <c r="N45" s="111"/>
      <c r="O45" s="112"/>
      <c r="P45" s="111"/>
      <c r="Q45" s="111"/>
      <c r="R45" s="112"/>
    </row>
    <row r="46" spans="1:25" s="18" customFormat="1" ht="6" customHeight="1" x14ac:dyDescent="0.25">
      <c r="A46" s="67"/>
      <c r="B46" s="17"/>
      <c r="C46" s="32"/>
      <c r="D46" s="41"/>
      <c r="E46" s="41"/>
      <c r="F46" s="44"/>
      <c r="G46" s="41"/>
      <c r="H46" s="41"/>
      <c r="I46" s="41"/>
      <c r="J46" s="42"/>
      <c r="K46" s="41"/>
      <c r="L46" s="32"/>
      <c r="M46" s="32"/>
      <c r="N46" s="32"/>
      <c r="O46" s="32"/>
      <c r="P46" s="33"/>
      <c r="Q46" s="33"/>
      <c r="R46" s="32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s="101" customFormat="1" ht="14.25" x14ac:dyDescent="0.2">
      <c r="B48" s="102" t="s">
        <v>75</v>
      </c>
      <c r="F48" s="119"/>
    </row>
    <row r="49" spans="1:18" s="10" customFormat="1" ht="12.75" customHeight="1" x14ac:dyDescent="0.25">
      <c r="A49" s="64"/>
      <c r="B49" s="44"/>
      <c r="C49" s="44"/>
      <c r="D49" s="43"/>
      <c r="E49" s="44"/>
      <c r="F49" s="44"/>
      <c r="G49" s="44"/>
      <c r="H49" s="44"/>
      <c r="I49" s="44"/>
      <c r="J49" s="44"/>
      <c r="K49" s="45"/>
      <c r="L49" s="44"/>
      <c r="M49" s="45"/>
      <c r="N49" s="45"/>
      <c r="O49" s="45"/>
      <c r="P49" s="44"/>
      <c r="Q49" s="44"/>
      <c r="R49" s="44"/>
    </row>
    <row r="50" spans="1:18" ht="12.75" customHeight="1" x14ac:dyDescent="0.25">
      <c r="B50" s="31"/>
      <c r="C50" s="46"/>
      <c r="D50" s="46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  <c r="P50" s="31"/>
      <c r="Q50" s="31"/>
      <c r="R50" s="31"/>
    </row>
    <row r="51" spans="1:18" ht="12.75" customHeight="1" x14ac:dyDescent="0.25">
      <c r="B51" s="14"/>
      <c r="D51" s="15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74B5A16C-014D-46D6-8F58-660B044B0F6F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7532-54EE-416F-A18B-0FEE72C0D08C}">
  <dimension ref="A1:AK60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65" customWidth="1"/>
    <col min="2" max="2" width="30.42578125" customWidth="1"/>
    <col min="3" max="3" width="1.7109375" customWidth="1"/>
    <col min="4" max="4" width="24.7109375" customWidth="1"/>
    <col min="5" max="5" width="1.7109375" customWidth="1"/>
    <col min="6" max="6" width="18.7109375" style="24" customWidth="1"/>
    <col min="7" max="7" width="1.7109375" customWidth="1"/>
    <col min="8" max="8" width="9.42578125" customWidth="1"/>
    <col min="9" max="9" width="8.7109375" customWidth="1"/>
    <col min="10" max="10" width="1.7109375" customWidth="1"/>
    <col min="11" max="11" width="9.42578125" customWidth="1"/>
    <col min="12" max="12" width="9" customWidth="1"/>
    <col min="13" max="13" width="1.7109375" customWidth="1"/>
    <col min="14" max="14" width="10" customWidth="1"/>
    <col min="15" max="15" width="8.85546875" customWidth="1"/>
    <col min="16" max="16" width="1.7109375" customWidth="1"/>
    <col min="17" max="17" width="9.42578125" customWidth="1"/>
    <col min="18" max="18" width="9.7109375" bestFit="1" customWidth="1"/>
  </cols>
  <sheetData>
    <row r="1" spans="2:37" s="75" customFormat="1" ht="12.75" x14ac:dyDescent="0.2">
      <c r="B1" s="210" t="s">
        <v>129</v>
      </c>
      <c r="C1" s="68"/>
      <c r="D1" s="68"/>
      <c r="E1" s="68"/>
      <c r="F1" s="68"/>
      <c r="G1" s="68"/>
      <c r="H1" s="68"/>
      <c r="I1" s="68"/>
      <c r="J1" s="68"/>
      <c r="L1" s="68"/>
      <c r="M1" s="70"/>
      <c r="N1" s="70"/>
      <c r="O1" s="70"/>
      <c r="P1" s="68"/>
      <c r="Q1" s="68"/>
      <c r="R1" s="80" t="s">
        <v>74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</row>
    <row r="2" spans="2:37" s="75" customFormat="1" ht="6.95" customHeight="1" x14ac:dyDescent="0.2">
      <c r="B2" s="210"/>
      <c r="C2" s="68"/>
      <c r="D2" s="68"/>
      <c r="E2" s="68"/>
      <c r="F2" s="68"/>
      <c r="G2" s="68"/>
      <c r="H2" s="68"/>
      <c r="I2" s="68"/>
      <c r="J2" s="68"/>
      <c r="K2" s="68"/>
      <c r="L2" s="68"/>
      <c r="M2" s="70"/>
      <c r="N2" s="70"/>
      <c r="O2" s="70"/>
      <c r="P2" s="68"/>
      <c r="Q2" s="68"/>
      <c r="R2" s="68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</row>
    <row r="3" spans="2:37" s="75" customFormat="1" ht="12.75" x14ac:dyDescent="0.2">
      <c r="B3" s="210" t="s">
        <v>112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68"/>
      <c r="R3" s="68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</row>
    <row r="4" spans="2:37" s="75" customFormat="1" ht="6.95" customHeight="1" x14ac:dyDescent="0.2">
      <c r="B4" s="68"/>
      <c r="C4" s="71"/>
      <c r="D4" s="68"/>
      <c r="E4" s="68"/>
      <c r="F4" s="68"/>
      <c r="G4" s="68"/>
      <c r="H4" s="68"/>
      <c r="I4" s="68"/>
      <c r="J4" s="68"/>
      <c r="K4" s="68"/>
      <c r="L4" s="68"/>
      <c r="M4" s="70"/>
      <c r="N4" s="70"/>
      <c r="O4" s="70"/>
      <c r="P4" s="68"/>
      <c r="Q4" s="68"/>
      <c r="R4" s="68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</row>
    <row r="5" spans="2:37" s="75" customFormat="1" ht="25.5" customHeight="1" x14ac:dyDescent="0.2">
      <c r="B5" s="242" t="s">
        <v>73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4"/>
      <c r="Q5" s="74"/>
      <c r="R5" s="79" t="s">
        <v>55</v>
      </c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</row>
    <row r="6" spans="2:37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31"/>
      <c r="Q6" s="31"/>
      <c r="R6" s="3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</row>
    <row r="7" spans="2:37" ht="15.75" customHeight="1" x14ac:dyDescent="0.25">
      <c r="B7" s="245" t="s">
        <v>50</v>
      </c>
      <c r="C7" s="245"/>
      <c r="D7" s="248" t="s">
        <v>64</v>
      </c>
      <c r="E7" s="34"/>
      <c r="F7" s="248" t="s">
        <v>52</v>
      </c>
      <c r="G7" s="35"/>
      <c r="H7" s="251" t="s">
        <v>77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</row>
    <row r="8" spans="2:37" ht="24.75" customHeight="1" x14ac:dyDescent="0.25">
      <c r="B8" s="246"/>
      <c r="C8" s="246"/>
      <c r="D8" s="249"/>
      <c r="E8" s="34"/>
      <c r="F8" s="249"/>
      <c r="G8" s="34"/>
      <c r="H8" s="252" t="s">
        <v>40</v>
      </c>
      <c r="I8" s="252"/>
      <c r="J8" s="36"/>
      <c r="K8" s="232" t="s">
        <v>41</v>
      </c>
      <c r="L8" s="232"/>
      <c r="M8" s="47"/>
      <c r="N8" s="232" t="s">
        <v>42</v>
      </c>
      <c r="O8" s="232"/>
      <c r="P8" s="47"/>
      <c r="Q8" s="232" t="s">
        <v>43</v>
      </c>
      <c r="R8" s="232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</row>
    <row r="9" spans="2:37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2:37" ht="6" customHeight="1" x14ac:dyDescent="0.25">
      <c r="B10" s="31"/>
      <c r="C10" s="18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17"/>
      <c r="Q10" s="117"/>
      <c r="R10" s="86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</row>
    <row r="11" spans="2:37" s="99" customFormat="1" ht="12.95" customHeight="1" x14ac:dyDescent="0.2">
      <c r="B11" s="48" t="s">
        <v>7</v>
      </c>
      <c r="C11" s="92"/>
      <c r="D11" s="181">
        <v>7454276.2163086496</v>
      </c>
      <c r="E11" s="125"/>
      <c r="F11" s="181">
        <v>8025752.7365323296</v>
      </c>
      <c r="G11" s="125"/>
      <c r="H11" s="181">
        <v>4482075.2989220005</v>
      </c>
      <c r="I11" s="181">
        <v>59.407368179400002</v>
      </c>
      <c r="J11" s="125"/>
      <c r="K11" s="181">
        <v>3226699.0644210801</v>
      </c>
      <c r="L11" s="181">
        <v>42.685124196499999</v>
      </c>
      <c r="M11" s="125"/>
      <c r="N11" s="181">
        <v>145118.844834494</v>
      </c>
      <c r="O11" s="181">
        <v>1.9050075506999999</v>
      </c>
      <c r="P11" s="125"/>
      <c r="Q11" s="181">
        <v>31659.7179184823</v>
      </c>
      <c r="R11" s="181">
        <v>0.4157211589</v>
      </c>
      <c r="S11" s="7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</row>
    <row r="12" spans="2:37" s="96" customFormat="1" ht="6" customHeight="1" x14ac:dyDescent="0.2">
      <c r="B12" s="48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8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</row>
    <row r="13" spans="2:37" s="96" customFormat="1" ht="12.95" customHeight="1" x14ac:dyDescent="0.2">
      <c r="B13" s="103" t="s">
        <v>44</v>
      </c>
      <c r="C13" s="50"/>
      <c r="D13" s="182">
        <v>1379242.27872156</v>
      </c>
      <c r="E13" s="126"/>
      <c r="F13" s="182">
        <v>1474212.59277156</v>
      </c>
      <c r="G13" s="126"/>
      <c r="H13" s="182">
        <v>943527.64266407106</v>
      </c>
      <c r="I13" s="182">
        <v>66.850684695400005</v>
      </c>
      <c r="J13" s="126"/>
      <c r="K13" s="182">
        <v>476958.21199004399</v>
      </c>
      <c r="L13" s="182">
        <v>33.3875849135</v>
      </c>
      <c r="M13" s="126"/>
      <c r="N13" s="182">
        <v>14293.122756932</v>
      </c>
      <c r="O13" s="182">
        <v>0.98380454949999996</v>
      </c>
      <c r="P13" s="126"/>
      <c r="Q13" s="182">
        <v>119.8719808669</v>
      </c>
      <c r="R13" s="182">
        <v>8.5283743000000006E-3</v>
      </c>
      <c r="S13" s="8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</row>
    <row r="14" spans="2:37" s="96" customFormat="1" ht="12.95" customHeight="1" x14ac:dyDescent="0.2">
      <c r="B14" s="103" t="s">
        <v>45</v>
      </c>
      <c r="C14" s="50"/>
      <c r="D14" s="182">
        <v>1010019.0515809699</v>
      </c>
      <c r="E14" s="126"/>
      <c r="F14" s="182">
        <v>1099358.61274696</v>
      </c>
      <c r="G14" s="126"/>
      <c r="H14" s="182">
        <v>660917.40721702797</v>
      </c>
      <c r="I14" s="182">
        <v>63.363209015400002</v>
      </c>
      <c r="J14" s="126"/>
      <c r="K14" s="182">
        <v>385532.99994088197</v>
      </c>
      <c r="L14" s="182">
        <v>36.949784743999999</v>
      </c>
      <c r="M14" s="126"/>
      <c r="N14" s="182">
        <v>14778.798658640801</v>
      </c>
      <c r="O14" s="182">
        <v>1.3842824591</v>
      </c>
      <c r="P14" s="126"/>
      <c r="Q14" s="182">
        <v>0</v>
      </c>
      <c r="R14" s="182">
        <v>0</v>
      </c>
      <c r="S14" s="8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</row>
    <row r="15" spans="2:37" s="96" customFormat="1" ht="12.95" customHeight="1" x14ac:dyDescent="0.2">
      <c r="B15" s="103" t="s">
        <v>46</v>
      </c>
      <c r="C15" s="50"/>
      <c r="D15" s="182">
        <v>1262822.5884511401</v>
      </c>
      <c r="E15" s="126"/>
      <c r="F15" s="182">
        <v>1372810.37027012</v>
      </c>
      <c r="G15" s="126"/>
      <c r="H15" s="182">
        <v>723757.69793166604</v>
      </c>
      <c r="I15" s="182">
        <v>55.601121854100001</v>
      </c>
      <c r="J15" s="126"/>
      <c r="K15" s="182">
        <v>561731.73661740997</v>
      </c>
      <c r="L15" s="182">
        <v>42.996524315199999</v>
      </c>
      <c r="M15" s="126"/>
      <c r="N15" s="182">
        <v>26055.163063696698</v>
      </c>
      <c r="O15" s="182">
        <v>1.9509806958</v>
      </c>
      <c r="P15" s="126"/>
      <c r="Q15" s="182">
        <v>4666.9798627463997</v>
      </c>
      <c r="R15" s="182">
        <v>0.3509912026</v>
      </c>
      <c r="S15" s="8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 spans="2:37" s="96" customFormat="1" ht="12.95" customHeight="1" x14ac:dyDescent="0.2">
      <c r="B16" s="103" t="s">
        <v>49</v>
      </c>
      <c r="C16" s="50"/>
      <c r="D16" s="182">
        <v>3634040.6657696799</v>
      </c>
      <c r="E16" s="108"/>
      <c r="F16" s="184">
        <v>3923271.2683614502</v>
      </c>
      <c r="G16" s="108"/>
      <c r="H16" s="182">
        <v>2022054.5835239899</v>
      </c>
      <c r="I16" s="184">
        <v>54.6628815097</v>
      </c>
      <c r="J16" s="108"/>
      <c r="K16" s="182">
        <v>1700165.99281126</v>
      </c>
      <c r="L16" s="184">
        <v>45.894858497100003</v>
      </c>
      <c r="M16" s="108"/>
      <c r="N16" s="184">
        <v>66905.190363325295</v>
      </c>
      <c r="O16" s="184">
        <v>1.7873211662999999</v>
      </c>
      <c r="P16" s="108"/>
      <c r="Q16" s="184">
        <v>15541.4421175847</v>
      </c>
      <c r="R16" s="184">
        <v>0.41591950979999998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</row>
    <row r="17" spans="1:37" ht="6" customHeight="1" x14ac:dyDescent="0.25">
      <c r="B17" s="49"/>
      <c r="C17" s="30"/>
      <c r="D17" s="110"/>
      <c r="E17" s="111"/>
      <c r="F17" s="111"/>
      <c r="G17" s="111"/>
      <c r="H17" s="110"/>
      <c r="I17" s="112"/>
      <c r="J17" s="111"/>
      <c r="K17" s="110"/>
      <c r="L17" s="112"/>
      <c r="M17" s="118"/>
      <c r="N17" s="118"/>
      <c r="O17" s="112"/>
      <c r="P17" s="118"/>
      <c r="Q17" s="118"/>
      <c r="R17" s="11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 spans="1:37" ht="6" customHeight="1" x14ac:dyDescent="0.25">
      <c r="B18" s="9"/>
      <c r="C18" s="28"/>
      <c r="D18" s="44"/>
      <c r="E18" s="44"/>
      <c r="F18" s="44"/>
      <c r="G18" s="44"/>
      <c r="H18" s="44"/>
      <c r="I18" s="44"/>
      <c r="J18" s="45"/>
      <c r="K18" s="44"/>
      <c r="L18" s="28"/>
      <c r="M18" s="28"/>
      <c r="N18" s="28"/>
      <c r="O18" s="28"/>
      <c r="P18" s="31"/>
      <c r="Q18" s="31"/>
      <c r="R18" s="28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1:37" s="124" customFormat="1" ht="11.25" x14ac:dyDescent="0.2">
      <c r="A19" s="100"/>
      <c r="B19" s="50" t="s">
        <v>78</v>
      </c>
      <c r="C19" s="43"/>
      <c r="D19" s="120"/>
      <c r="E19" s="120"/>
      <c r="F19" s="120"/>
      <c r="G19" s="121"/>
      <c r="H19" s="43"/>
      <c r="I19" s="120"/>
      <c r="J19" s="121"/>
      <c r="K19" s="43"/>
      <c r="L19" s="120"/>
      <c r="M19" s="121"/>
      <c r="N19" s="43"/>
      <c r="O19" s="120"/>
      <c r="P19" s="121"/>
      <c r="Q19" s="43"/>
      <c r="R19" s="120"/>
      <c r="S19" s="121"/>
      <c r="T19" s="43"/>
      <c r="U19" s="120"/>
      <c r="V19" s="121"/>
      <c r="W19" s="43"/>
      <c r="X19" s="122"/>
      <c r="Y19" s="123"/>
    </row>
    <row r="20" spans="1:37" s="101" customFormat="1" ht="14.25" x14ac:dyDescent="0.2">
      <c r="B20" s="102" t="s">
        <v>75</v>
      </c>
      <c r="F20" s="119"/>
    </row>
    <row r="21" spans="1:37" x14ac:dyDescent="0.25">
      <c r="B21" s="24"/>
      <c r="C21" s="24"/>
      <c r="D21" s="24"/>
      <c r="E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spans="1:37" x14ac:dyDescent="0.25">
      <c r="B22" s="24"/>
      <c r="C22" s="24"/>
      <c r="D22" s="24"/>
      <c r="E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1:37" x14ac:dyDescent="0.25">
      <c r="B23" s="24"/>
      <c r="C23" s="24"/>
      <c r="D23" s="24"/>
      <c r="E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1:37" x14ac:dyDescent="0.25">
      <c r="B24" s="24"/>
      <c r="C24" s="24"/>
      <c r="D24" s="24"/>
      <c r="E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spans="1:37" x14ac:dyDescent="0.25">
      <c r="B25" s="24"/>
      <c r="C25" s="24"/>
      <c r="D25" s="24"/>
      <c r="E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spans="1:37" x14ac:dyDescent="0.25">
      <c r="B26" s="24"/>
      <c r="C26" s="24"/>
      <c r="D26" s="24"/>
      <c r="E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 spans="1:37" x14ac:dyDescent="0.25">
      <c r="B27" s="24"/>
      <c r="C27" s="24"/>
      <c r="D27" s="24"/>
      <c r="E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</row>
    <row r="28" spans="1:37" x14ac:dyDescent="0.25">
      <c r="B28" s="24"/>
      <c r="C28" s="24"/>
      <c r="D28" s="24"/>
      <c r="E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</row>
    <row r="29" spans="1:37" x14ac:dyDescent="0.25">
      <c r="B29" s="24"/>
      <c r="C29" s="24"/>
      <c r="D29" s="24"/>
      <c r="E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spans="1:37" x14ac:dyDescent="0.25">
      <c r="B30" s="24"/>
      <c r="C30" s="24"/>
      <c r="D30" s="24"/>
      <c r="E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 spans="1:37" x14ac:dyDescent="0.25">
      <c r="B31" s="24"/>
      <c r="C31" s="24"/>
      <c r="D31" s="24"/>
      <c r="E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 spans="1:37" x14ac:dyDescent="0.25">
      <c r="B32" s="24"/>
      <c r="C32" s="24"/>
      <c r="D32" s="24"/>
      <c r="E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 spans="2:37" x14ac:dyDescent="0.25">
      <c r="B33" s="24"/>
      <c r="C33" s="24"/>
      <c r="D33" s="24"/>
      <c r="E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 spans="2:37" x14ac:dyDescent="0.25">
      <c r="B34" s="24"/>
      <c r="C34" s="24"/>
      <c r="D34" s="24"/>
      <c r="E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 spans="2:37" x14ac:dyDescent="0.25">
      <c r="B35" s="24"/>
      <c r="C35" s="24"/>
      <c r="D35" s="24"/>
      <c r="E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2:37" x14ac:dyDescent="0.25">
      <c r="B36" s="24"/>
      <c r="C36" s="24"/>
      <c r="D36" s="24"/>
      <c r="E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spans="2:37" x14ac:dyDescent="0.25">
      <c r="B37" s="24"/>
      <c r="C37" s="24"/>
      <c r="D37" s="24"/>
      <c r="E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 spans="2:37" x14ac:dyDescent="0.25">
      <c r="B38" s="24"/>
      <c r="C38" s="24"/>
      <c r="D38" s="24"/>
      <c r="E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 spans="2:37" x14ac:dyDescent="0.25">
      <c r="B39" s="24"/>
      <c r="C39" s="24"/>
      <c r="D39" s="24"/>
      <c r="E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 spans="2:37" x14ac:dyDescent="0.25">
      <c r="B40" s="24"/>
      <c r="C40" s="24"/>
      <c r="D40" s="24"/>
      <c r="E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</row>
    <row r="41" spans="2:37" x14ac:dyDescent="0.25">
      <c r="B41" s="24"/>
      <c r="C41" s="24"/>
      <c r="D41" s="24"/>
      <c r="E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</row>
    <row r="42" spans="2:37" x14ac:dyDescent="0.25">
      <c r="B42" s="24"/>
      <c r="C42" s="24"/>
      <c r="D42" s="24"/>
      <c r="E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 spans="2:37" x14ac:dyDescent="0.25">
      <c r="B43" s="24"/>
      <c r="C43" s="24"/>
      <c r="D43" s="24"/>
      <c r="E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2:37" x14ac:dyDescent="0.25">
      <c r="B44" s="24"/>
      <c r="C44" s="24"/>
      <c r="D44" s="24"/>
      <c r="E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2:37" x14ac:dyDescent="0.25">
      <c r="B45" s="24"/>
      <c r="C45" s="24"/>
      <c r="D45" s="24"/>
      <c r="E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2:37" x14ac:dyDescent="0.25">
      <c r="B46" s="24"/>
      <c r="C46" s="24"/>
      <c r="D46" s="24"/>
      <c r="E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spans="2:37" x14ac:dyDescent="0.25">
      <c r="B47" s="24"/>
      <c r="C47" s="24"/>
      <c r="D47" s="24"/>
      <c r="E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2:37" x14ac:dyDescent="0.25">
      <c r="B48" s="24"/>
      <c r="C48" s="24"/>
      <c r="D48" s="24"/>
      <c r="E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2:30" x14ac:dyDescent="0.25">
      <c r="B49" s="24"/>
      <c r="C49" s="24"/>
      <c r="D49" s="24"/>
      <c r="E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2:30" x14ac:dyDescent="0.25">
      <c r="B50" s="24"/>
      <c r="C50" s="24"/>
      <c r="D50" s="24"/>
      <c r="E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2:30" x14ac:dyDescent="0.25">
      <c r="B51" s="24"/>
      <c r="C51" s="24"/>
      <c r="D51" s="24"/>
      <c r="E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2:30" x14ac:dyDescent="0.25">
      <c r="B52" s="24"/>
      <c r="C52" s="24"/>
      <c r="D52" s="24"/>
      <c r="E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2:30" x14ac:dyDescent="0.25">
      <c r="B53" s="24"/>
      <c r="C53" s="24"/>
      <c r="D53" s="24"/>
      <c r="E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2:30" x14ac:dyDescent="0.25">
      <c r="B54" s="24"/>
      <c r="C54" s="24"/>
      <c r="D54" s="24"/>
      <c r="E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2:30" x14ac:dyDescent="0.25">
      <c r="B55" s="24"/>
      <c r="C55" s="24"/>
      <c r="D55" s="24"/>
      <c r="E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2:30" x14ac:dyDescent="0.25">
      <c r="B56" s="24"/>
      <c r="C56" s="24"/>
      <c r="D56" s="24"/>
      <c r="E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2:30" x14ac:dyDescent="0.25">
      <c r="B57" s="24"/>
      <c r="C57" s="24"/>
      <c r="D57" s="24"/>
      <c r="E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2:30" x14ac:dyDescent="0.25">
      <c r="B58" s="24"/>
      <c r="C58" s="24"/>
      <c r="D58" s="24"/>
      <c r="E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2:30" x14ac:dyDescent="0.25">
      <c r="B59" s="24"/>
      <c r="C59" s="24"/>
      <c r="D59" s="24"/>
      <c r="E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2:30" x14ac:dyDescent="0.25">
      <c r="B60" s="24"/>
      <c r="C60" s="24"/>
      <c r="D60" s="24"/>
      <c r="E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2EDC73A0-EAD0-42C5-BE5C-83EAEA80AD51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C3AA-A1DB-4389-91DB-5B90502DDB8D}">
  <sheetPr>
    <pageSetUpPr fitToPage="1"/>
  </sheetPr>
  <dimension ref="A1:AC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24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28515625" style="1" customWidth="1" collapsed="1"/>
    <col min="9" max="9" width="11.140625" style="1" customWidth="1" collapsed="1"/>
    <col min="10" max="10" width="1.7109375" style="1" customWidth="1" collapsed="1"/>
    <col min="11" max="12" width="12.7109375" style="1" customWidth="1" collapsed="1"/>
    <col min="13" max="13" width="1.7109375" style="2" customWidth="1"/>
    <col min="14" max="15" width="11.42578125" style="2"/>
    <col min="16" max="16" width="1.7109375" style="2" customWidth="1"/>
    <col min="17" max="22" width="11.42578125" style="1"/>
    <col min="23" max="23" width="11.42578125" style="1" collapsed="1"/>
    <col min="24" max="26" width="11.42578125" style="1"/>
    <col min="27" max="27" width="11.42578125" style="1" collapsed="1"/>
    <col min="28" max="29" width="11.42578125" style="1"/>
    <col min="30" max="16384" width="11.42578125" style="1" collapsed="1"/>
  </cols>
  <sheetData>
    <row r="1" spans="2:18" s="68" customFormat="1" x14ac:dyDescent="0.2">
      <c r="B1" s="210" t="s">
        <v>129</v>
      </c>
      <c r="M1" s="70"/>
      <c r="N1" s="70"/>
      <c r="O1" s="70"/>
      <c r="P1" s="70"/>
      <c r="R1" s="80" t="s">
        <v>74</v>
      </c>
    </row>
    <row r="2" spans="2:18" s="68" customFormat="1" ht="6.95" customHeight="1" x14ac:dyDescent="0.25">
      <c r="B2" s="210"/>
      <c r="M2" s="70"/>
      <c r="N2" s="70"/>
      <c r="O2" s="70"/>
      <c r="P2" s="70"/>
    </row>
    <row r="3" spans="2:18" s="68" customFormat="1" x14ac:dyDescent="0.2">
      <c r="B3" s="210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8" s="68" customFormat="1" ht="6.95" customHeight="1" x14ac:dyDescent="0.25">
      <c r="C4" s="71"/>
      <c r="M4" s="70"/>
      <c r="N4" s="70"/>
      <c r="O4" s="70"/>
      <c r="P4" s="70"/>
    </row>
    <row r="5" spans="2:18" s="68" customFormat="1" ht="25.5" customHeight="1" x14ac:dyDescent="0.2">
      <c r="B5" s="242" t="s">
        <v>72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3"/>
      <c r="Q5" s="74"/>
      <c r="R5" s="79" t="s">
        <v>56</v>
      </c>
    </row>
    <row r="6" spans="2:18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28"/>
      <c r="Q6" s="31"/>
      <c r="R6" s="31"/>
    </row>
    <row r="7" spans="2:18" ht="24" customHeight="1" x14ac:dyDescent="0.25">
      <c r="B7" s="245" t="s">
        <v>1</v>
      </c>
      <c r="C7" s="245"/>
      <c r="D7" s="248" t="s">
        <v>64</v>
      </c>
      <c r="E7" s="34"/>
      <c r="F7" s="248" t="s">
        <v>52</v>
      </c>
      <c r="G7" s="35"/>
      <c r="H7" s="251" t="s">
        <v>79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</row>
    <row r="8" spans="2:18" ht="18" customHeight="1" x14ac:dyDescent="0.25">
      <c r="B8" s="246"/>
      <c r="C8" s="246"/>
      <c r="D8" s="249"/>
      <c r="E8" s="34"/>
      <c r="F8" s="249"/>
      <c r="G8" s="34"/>
      <c r="H8" s="252" t="s">
        <v>47</v>
      </c>
      <c r="I8" s="252"/>
      <c r="J8" s="36"/>
      <c r="K8" s="232" t="s">
        <v>80</v>
      </c>
      <c r="L8" s="232"/>
      <c r="M8" s="36"/>
      <c r="N8" s="232" t="s">
        <v>48</v>
      </c>
      <c r="O8" s="232"/>
      <c r="P8" s="36"/>
      <c r="Q8" s="232" t="s">
        <v>43</v>
      </c>
      <c r="R8" s="232"/>
    </row>
    <row r="9" spans="2:18" ht="15" customHeight="1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</row>
    <row r="10" spans="2:18" ht="6" customHeight="1" x14ac:dyDescent="0.25">
      <c r="B10" s="31"/>
      <c r="C10" s="187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</row>
    <row r="11" spans="2:18" s="88" customFormat="1" ht="12.95" customHeight="1" x14ac:dyDescent="0.2">
      <c r="B11" s="40" t="s">
        <v>7</v>
      </c>
      <c r="C11" s="92"/>
      <c r="D11" s="181">
        <v>7454276.2163086496</v>
      </c>
      <c r="E11" s="125"/>
      <c r="F11" s="181">
        <v>8025752.7365323296</v>
      </c>
      <c r="G11" s="125"/>
      <c r="H11" s="181">
        <v>539183.05574286799</v>
      </c>
      <c r="I11" s="181">
        <v>7.0882668737000003</v>
      </c>
      <c r="J11" s="125"/>
      <c r="K11" s="181">
        <v>2781569.3381391098</v>
      </c>
      <c r="L11" s="181">
        <v>36.708045908300001</v>
      </c>
      <c r="M11" s="125"/>
      <c r="N11" s="181">
        <v>4385349.3556810096</v>
      </c>
      <c r="O11" s="181">
        <v>58.144134416699998</v>
      </c>
      <c r="P11" s="125"/>
      <c r="Q11" s="181">
        <v>149524.437241612</v>
      </c>
      <c r="R11" s="181">
        <v>1.9645811193</v>
      </c>
    </row>
    <row r="12" spans="2:18" s="88" customFormat="1" ht="6" customHeight="1" x14ac:dyDescent="0.2">
      <c r="B12" s="40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</row>
    <row r="13" spans="2:18" s="3" customFormat="1" ht="12.95" customHeight="1" x14ac:dyDescent="0.2">
      <c r="B13" s="20" t="s">
        <v>8</v>
      </c>
      <c r="C13" s="50"/>
      <c r="D13" s="182">
        <v>54966.997332659703</v>
      </c>
      <c r="E13" s="126"/>
      <c r="F13" s="182">
        <v>59629.695256847197</v>
      </c>
      <c r="G13" s="126"/>
      <c r="H13" s="182">
        <v>5049.1375584388998</v>
      </c>
      <c r="I13" s="182">
        <v>8.2293032398000001</v>
      </c>
      <c r="J13" s="126"/>
      <c r="K13" s="182">
        <v>31455.148871403198</v>
      </c>
      <c r="L13" s="182">
        <v>54.459548853800001</v>
      </c>
      <c r="M13" s="126"/>
      <c r="N13" s="182">
        <v>13998.390355047801</v>
      </c>
      <c r="O13" s="182">
        <v>23.638647406099999</v>
      </c>
      <c r="P13" s="126"/>
      <c r="Q13" s="182">
        <v>1753.4069804354001</v>
      </c>
      <c r="R13" s="182">
        <v>2.8434119825000002</v>
      </c>
    </row>
    <row r="14" spans="2:18" s="3" customFormat="1" ht="12.95" customHeight="1" x14ac:dyDescent="0.2">
      <c r="B14" s="20" t="s">
        <v>9</v>
      </c>
      <c r="C14" s="50"/>
      <c r="D14" s="182">
        <v>250151.775680911</v>
      </c>
      <c r="E14" s="126"/>
      <c r="F14" s="182">
        <v>266978.77042792097</v>
      </c>
      <c r="G14" s="126"/>
      <c r="H14" s="182">
        <v>14293.5494440155</v>
      </c>
      <c r="I14" s="182">
        <v>5.0387744262999998</v>
      </c>
      <c r="J14" s="126"/>
      <c r="K14" s="182">
        <v>149553.07757291</v>
      </c>
      <c r="L14" s="182">
        <v>56.504587220399998</v>
      </c>
      <c r="M14" s="126"/>
      <c r="N14" s="182">
        <v>70634.285383100301</v>
      </c>
      <c r="O14" s="182">
        <v>26.508178469200001</v>
      </c>
      <c r="P14" s="126"/>
      <c r="Q14" s="182">
        <v>5615.5712178601998</v>
      </c>
      <c r="R14" s="182">
        <v>2.0374034416</v>
      </c>
    </row>
    <row r="15" spans="2:18" s="3" customFormat="1" ht="12.95" customHeight="1" x14ac:dyDescent="0.2">
      <c r="B15" s="20" t="s">
        <v>10</v>
      </c>
      <c r="C15" s="50"/>
      <c r="D15" s="182">
        <v>55862.733364806198</v>
      </c>
      <c r="E15" s="126"/>
      <c r="F15" s="182">
        <v>59927.405514804603</v>
      </c>
      <c r="G15" s="126"/>
      <c r="H15" s="182">
        <v>3540.7699518072</v>
      </c>
      <c r="I15" s="182">
        <v>5.4518090598000004</v>
      </c>
      <c r="J15" s="126"/>
      <c r="K15" s="182">
        <v>18412.143396880499</v>
      </c>
      <c r="L15" s="182">
        <v>30.329859026699999</v>
      </c>
      <c r="M15" s="126"/>
      <c r="N15" s="182">
        <v>33062.450287628999</v>
      </c>
      <c r="O15" s="182">
        <v>57.254405570000003</v>
      </c>
      <c r="P15" s="126"/>
      <c r="Q15" s="182">
        <v>400.57856921000001</v>
      </c>
      <c r="R15" s="182">
        <v>0.60911841659999999</v>
      </c>
    </row>
    <row r="16" spans="2:18" s="3" customFormat="1" ht="12.95" customHeight="1" x14ac:dyDescent="0.2">
      <c r="B16" s="20" t="s">
        <v>11</v>
      </c>
      <c r="C16" s="50"/>
      <c r="D16" s="182">
        <v>60008.567697256098</v>
      </c>
      <c r="E16" s="126"/>
      <c r="F16" s="182">
        <v>65008.364892582598</v>
      </c>
      <c r="G16" s="126"/>
      <c r="H16" s="182">
        <v>3029.3749225719998</v>
      </c>
      <c r="I16" s="182">
        <v>4.4841049462999996</v>
      </c>
      <c r="J16" s="126"/>
      <c r="K16" s="182">
        <v>13598.450618242199</v>
      </c>
      <c r="L16" s="182">
        <v>20.746113581500001</v>
      </c>
      <c r="M16" s="126"/>
      <c r="N16" s="182">
        <v>42215.8026930302</v>
      </c>
      <c r="O16" s="182">
        <v>67.657665629700006</v>
      </c>
      <c r="P16" s="126"/>
      <c r="Q16" s="182">
        <v>965.99378632449998</v>
      </c>
      <c r="R16" s="182">
        <v>1.4666845180000001</v>
      </c>
    </row>
    <row r="17" spans="2:20" s="3" customFormat="1" ht="12.95" customHeight="1" x14ac:dyDescent="0.2">
      <c r="B17" s="20" t="s">
        <v>12</v>
      </c>
      <c r="C17" s="50"/>
      <c r="D17" s="182">
        <v>147316.82566308399</v>
      </c>
      <c r="E17" s="126"/>
      <c r="F17" s="182">
        <v>156676.92558374099</v>
      </c>
      <c r="G17" s="126"/>
      <c r="H17" s="182">
        <v>9373.5692440139992</v>
      </c>
      <c r="I17" s="182">
        <v>5.7598363156000003</v>
      </c>
      <c r="J17" s="126"/>
      <c r="K17" s="182">
        <v>83806.485647462498</v>
      </c>
      <c r="L17" s="182">
        <v>54.209522880400002</v>
      </c>
      <c r="M17" s="126"/>
      <c r="N17" s="182">
        <v>47035.7272464622</v>
      </c>
      <c r="O17" s="182">
        <v>29.8474778028</v>
      </c>
      <c r="P17" s="126"/>
      <c r="Q17" s="182">
        <v>0</v>
      </c>
      <c r="R17" s="182">
        <v>0</v>
      </c>
    </row>
    <row r="18" spans="2:20" s="3" customFormat="1" ht="12.95" customHeight="1" x14ac:dyDescent="0.2">
      <c r="B18" s="20" t="s">
        <v>13</v>
      </c>
      <c r="C18" s="50"/>
      <c r="D18" s="182">
        <v>35346.9213032849</v>
      </c>
      <c r="E18" s="126"/>
      <c r="F18" s="182">
        <v>38636.054413448102</v>
      </c>
      <c r="G18" s="126"/>
      <c r="H18" s="182">
        <v>4628.3134873794997</v>
      </c>
      <c r="I18" s="182">
        <v>11.728736493</v>
      </c>
      <c r="J18" s="126"/>
      <c r="K18" s="182">
        <v>18278.153379639502</v>
      </c>
      <c r="L18" s="182">
        <v>47.601728460899999</v>
      </c>
      <c r="M18" s="126"/>
      <c r="N18" s="182">
        <v>10824.261186682301</v>
      </c>
      <c r="O18" s="182">
        <v>29.053656802599999</v>
      </c>
      <c r="P18" s="126"/>
      <c r="Q18" s="182">
        <v>415.87596185149999</v>
      </c>
      <c r="R18" s="182">
        <v>1.0224314153</v>
      </c>
    </row>
    <row r="19" spans="2:20" s="4" customFormat="1" ht="12.95" customHeight="1" x14ac:dyDescent="0.2">
      <c r="B19" s="20" t="s">
        <v>14</v>
      </c>
      <c r="C19" s="50"/>
      <c r="D19" s="182">
        <v>360582.85842586402</v>
      </c>
      <c r="E19" s="126"/>
      <c r="F19" s="182">
        <v>380338.96066960797</v>
      </c>
      <c r="G19" s="126"/>
      <c r="H19" s="182">
        <v>9509.2056575183997</v>
      </c>
      <c r="I19" s="182">
        <v>2.4059297366000001</v>
      </c>
      <c r="J19" s="126"/>
      <c r="K19" s="182">
        <v>44928.493037099703</v>
      </c>
      <c r="L19" s="182">
        <v>11.318253587999999</v>
      </c>
      <c r="M19" s="126"/>
      <c r="N19" s="182">
        <v>301726.63754110603</v>
      </c>
      <c r="O19" s="182">
        <v>81.455138887000004</v>
      </c>
      <c r="P19" s="126"/>
      <c r="Q19" s="182">
        <v>1652.9090186875001</v>
      </c>
      <c r="R19" s="182">
        <v>0.39994822860000001</v>
      </c>
      <c r="S19" s="3"/>
      <c r="T19" s="3"/>
    </row>
    <row r="20" spans="2:20" s="4" customFormat="1" ht="12.95" customHeight="1" x14ac:dyDescent="0.2">
      <c r="B20" s="20" t="s">
        <v>15</v>
      </c>
      <c r="C20" s="50"/>
      <c r="D20" s="182">
        <v>161928.63435982101</v>
      </c>
      <c r="E20" s="126"/>
      <c r="F20" s="182">
        <v>175187.47376088999</v>
      </c>
      <c r="G20" s="126"/>
      <c r="H20" s="182">
        <v>17049.697405564999</v>
      </c>
      <c r="I20" s="182">
        <v>9.7606790062000002</v>
      </c>
      <c r="J20" s="126"/>
      <c r="K20" s="182">
        <v>89809.646662033003</v>
      </c>
      <c r="L20" s="182">
        <v>51.506326767099999</v>
      </c>
      <c r="M20" s="126"/>
      <c r="N20" s="182">
        <v>46332.306081588198</v>
      </c>
      <c r="O20" s="182">
        <v>26.972080073200001</v>
      </c>
      <c r="P20" s="126"/>
      <c r="Q20" s="182">
        <v>913.99436236190002</v>
      </c>
      <c r="R20" s="182">
        <v>0.51108062009999999</v>
      </c>
      <c r="S20" s="3"/>
      <c r="T20" s="3"/>
    </row>
    <row r="21" spans="2:20" s="4" customFormat="1" ht="12.95" customHeight="1" x14ac:dyDescent="0.2">
      <c r="B21" s="20" t="s">
        <v>16</v>
      </c>
      <c r="C21" s="50"/>
      <c r="D21" s="182">
        <v>694813.92689901101</v>
      </c>
      <c r="E21" s="108"/>
      <c r="F21" s="184">
        <v>750976.10639431304</v>
      </c>
      <c r="G21" s="108"/>
      <c r="H21" s="182">
        <v>37769.603188486297</v>
      </c>
      <c r="I21" s="184">
        <v>5.0062097643000003</v>
      </c>
      <c r="J21" s="108"/>
      <c r="K21" s="182">
        <v>431167.01906460797</v>
      </c>
      <c r="L21" s="184">
        <v>59.484312983000002</v>
      </c>
      <c r="M21" s="108"/>
      <c r="N21" s="184">
        <v>196787.707904818</v>
      </c>
      <c r="O21" s="184">
        <v>26.639396767200001</v>
      </c>
      <c r="P21" s="108"/>
      <c r="Q21" s="184">
        <v>16307.240101466899</v>
      </c>
      <c r="R21" s="184">
        <v>2.1714428771000001</v>
      </c>
      <c r="S21" s="3"/>
      <c r="T21" s="3"/>
    </row>
    <row r="22" spans="2:20" s="4" customFormat="1" ht="12.95" customHeight="1" x14ac:dyDescent="0.2">
      <c r="B22" s="20" t="s">
        <v>17</v>
      </c>
      <c r="C22" s="50"/>
      <c r="D22" s="182">
        <v>88731.624832935006</v>
      </c>
      <c r="E22" s="108"/>
      <c r="F22" s="184">
        <v>97219.723279894606</v>
      </c>
      <c r="G22" s="108"/>
      <c r="H22" s="182">
        <v>7362.5887969987998</v>
      </c>
      <c r="I22" s="184">
        <v>7.6903884620999996</v>
      </c>
      <c r="J22" s="108"/>
      <c r="K22" s="182">
        <v>29650.121354434799</v>
      </c>
      <c r="L22" s="184">
        <v>31.201769107699999</v>
      </c>
      <c r="M22" s="108"/>
      <c r="N22" s="184">
        <v>49096.606190457504</v>
      </c>
      <c r="O22" s="184">
        <v>52.417984623099997</v>
      </c>
      <c r="P22" s="108"/>
      <c r="Q22" s="184">
        <v>975.92916179639997</v>
      </c>
      <c r="R22" s="184">
        <v>1.0119736436</v>
      </c>
      <c r="S22" s="3"/>
      <c r="T22" s="3"/>
    </row>
    <row r="23" spans="2:20" s="4" customFormat="1" ht="12.95" customHeight="1" x14ac:dyDescent="0.2">
      <c r="B23" s="20" t="s">
        <v>18</v>
      </c>
      <c r="C23" s="50"/>
      <c r="D23" s="182">
        <v>298990.16959309898</v>
      </c>
      <c r="E23" s="108"/>
      <c r="F23" s="184">
        <v>332217.63025095197</v>
      </c>
      <c r="G23" s="108"/>
      <c r="H23" s="182">
        <v>9821.9292724998995</v>
      </c>
      <c r="I23" s="184">
        <v>2.9859261577999998</v>
      </c>
      <c r="J23" s="108"/>
      <c r="K23" s="182">
        <v>140213.84116329101</v>
      </c>
      <c r="L23" s="184">
        <v>43.612690129299999</v>
      </c>
      <c r="M23" s="108"/>
      <c r="N23" s="184">
        <v>141569.606101785</v>
      </c>
      <c r="O23" s="184">
        <v>45.447718596100003</v>
      </c>
      <c r="P23" s="108"/>
      <c r="Q23" s="184">
        <v>8496.9182887038005</v>
      </c>
      <c r="R23" s="184">
        <v>2.7193844978000001</v>
      </c>
      <c r="S23" s="3"/>
      <c r="T23" s="3"/>
    </row>
    <row r="24" spans="2:20" s="4" customFormat="1" ht="12.95" customHeight="1" x14ac:dyDescent="0.2">
      <c r="B24" s="20" t="s">
        <v>19</v>
      </c>
      <c r="C24" s="50"/>
      <c r="D24" s="182">
        <v>276485.12706987001</v>
      </c>
      <c r="E24" s="108"/>
      <c r="F24" s="184">
        <v>304125.617604998</v>
      </c>
      <c r="G24" s="108"/>
      <c r="H24" s="182">
        <v>13288.440361736801</v>
      </c>
      <c r="I24" s="184">
        <v>4.3729101393000001</v>
      </c>
      <c r="J24" s="108"/>
      <c r="K24" s="182">
        <v>25936.540622347198</v>
      </c>
      <c r="L24" s="184">
        <v>8.7479906418999995</v>
      </c>
      <c r="M24" s="108"/>
      <c r="N24" s="184">
        <v>248983.08136841501</v>
      </c>
      <c r="O24" s="184">
        <v>87.415716020399998</v>
      </c>
      <c r="P24" s="108"/>
      <c r="Q24" s="184">
        <v>339.36894232449998</v>
      </c>
      <c r="R24" s="184">
        <v>0.1199531395</v>
      </c>
      <c r="S24" s="3"/>
      <c r="T24" s="3"/>
    </row>
    <row r="25" spans="2:20" s="4" customFormat="1" ht="12.95" customHeight="1" x14ac:dyDescent="0.2">
      <c r="B25" s="20" t="s">
        <v>20</v>
      </c>
      <c r="C25" s="50"/>
      <c r="D25" s="182">
        <v>125578.06509867701</v>
      </c>
      <c r="E25" s="108"/>
      <c r="F25" s="184">
        <v>140461.15380613401</v>
      </c>
      <c r="G25" s="108"/>
      <c r="H25" s="182">
        <v>6564.5343980151001</v>
      </c>
      <c r="I25" s="184">
        <v>4.7267071425999996</v>
      </c>
      <c r="J25" s="108"/>
      <c r="K25" s="182">
        <v>18739.249346054901</v>
      </c>
      <c r="L25" s="184">
        <v>13.2636975355</v>
      </c>
      <c r="M25" s="108"/>
      <c r="N25" s="184">
        <v>100842.665398278</v>
      </c>
      <c r="O25" s="184">
        <v>77.432843540899995</v>
      </c>
      <c r="P25" s="108"/>
      <c r="Q25" s="184">
        <v>129.29427616309999</v>
      </c>
      <c r="R25" s="184">
        <v>9.8295136599999999E-2</v>
      </c>
      <c r="S25" s="3"/>
      <c r="T25" s="3"/>
    </row>
    <row r="26" spans="2:20" s="4" customFormat="1" ht="12.95" customHeight="1" x14ac:dyDescent="0.2">
      <c r="B26" s="20" t="s">
        <v>21</v>
      </c>
      <c r="C26" s="50"/>
      <c r="D26" s="182">
        <v>384996.20248713501</v>
      </c>
      <c r="E26" s="108"/>
      <c r="F26" s="184">
        <v>418671.66283698101</v>
      </c>
      <c r="G26" s="108"/>
      <c r="H26" s="182">
        <v>36444.067403975001</v>
      </c>
      <c r="I26" s="184">
        <v>8.6545349605999995</v>
      </c>
      <c r="J26" s="108"/>
      <c r="K26" s="182">
        <v>158869.03367999999</v>
      </c>
      <c r="L26" s="184">
        <v>38.646530200199997</v>
      </c>
      <c r="M26" s="108"/>
      <c r="N26" s="184">
        <v>163731.58340433001</v>
      </c>
      <c r="O26" s="184">
        <v>40.151544174999998</v>
      </c>
      <c r="P26" s="108"/>
      <c r="Q26" s="184">
        <v>7904.4952107360996</v>
      </c>
      <c r="R26" s="184">
        <v>1.9025415429000001</v>
      </c>
      <c r="S26" s="3"/>
      <c r="T26" s="3"/>
    </row>
    <row r="27" spans="2:20" s="4" customFormat="1" ht="12.95" customHeight="1" x14ac:dyDescent="0.2">
      <c r="B27" s="20" t="s">
        <v>22</v>
      </c>
      <c r="C27" s="50"/>
      <c r="D27" s="182">
        <v>790077.81574721704</v>
      </c>
      <c r="E27" s="108"/>
      <c r="F27" s="184">
        <v>890722.65367534198</v>
      </c>
      <c r="G27" s="108"/>
      <c r="H27" s="182">
        <v>37442.459378645697</v>
      </c>
      <c r="I27" s="184">
        <v>4.3678812305000001</v>
      </c>
      <c r="J27" s="108"/>
      <c r="K27" s="182">
        <v>228328.32118266</v>
      </c>
      <c r="L27" s="184">
        <v>26.5891163175</v>
      </c>
      <c r="M27" s="108"/>
      <c r="N27" s="184">
        <v>527464.18179571803</v>
      </c>
      <c r="O27" s="184">
        <v>63.480723365199999</v>
      </c>
      <c r="P27" s="108"/>
      <c r="Q27" s="184">
        <v>4331.6841390927002</v>
      </c>
      <c r="R27" s="184">
        <v>0.49519973179999999</v>
      </c>
      <c r="S27" s="3"/>
      <c r="T27" s="3"/>
    </row>
    <row r="28" spans="2:20" s="4" customFormat="1" ht="12.95" customHeight="1" x14ac:dyDescent="0.2">
      <c r="B28" s="20" t="s">
        <v>23</v>
      </c>
      <c r="C28" s="50"/>
      <c r="D28" s="182">
        <v>230123.09104396601</v>
      </c>
      <c r="E28" s="108"/>
      <c r="F28" s="184">
        <v>249158.747850363</v>
      </c>
      <c r="G28" s="108"/>
      <c r="H28" s="182">
        <v>19315.5404023749</v>
      </c>
      <c r="I28" s="184">
        <v>7.6792491241</v>
      </c>
      <c r="J28" s="108"/>
      <c r="K28" s="182">
        <v>66749.794025409894</v>
      </c>
      <c r="L28" s="184">
        <v>27.395370441499999</v>
      </c>
      <c r="M28" s="108"/>
      <c r="N28" s="184">
        <v>136735.71211589401</v>
      </c>
      <c r="O28" s="184">
        <v>55.256057699999999</v>
      </c>
      <c r="P28" s="108"/>
      <c r="Q28" s="184">
        <v>1940.1315626851999</v>
      </c>
      <c r="R28" s="184">
        <v>0.75058628260000004</v>
      </c>
      <c r="S28" s="3"/>
      <c r="T28" s="3"/>
    </row>
    <row r="29" spans="2:20" s="4" customFormat="1" ht="12.95" customHeight="1" x14ac:dyDescent="0.2">
      <c r="B29" s="20" t="s">
        <v>24</v>
      </c>
      <c r="C29" s="50"/>
      <c r="D29" s="182">
        <v>99037.428132473593</v>
      </c>
      <c r="E29" s="108"/>
      <c r="F29" s="184">
        <v>106370.92505983901</v>
      </c>
      <c r="G29" s="108"/>
      <c r="H29" s="182">
        <v>4880.5962734429004</v>
      </c>
      <c r="I29" s="184">
        <v>4.5145315377999999</v>
      </c>
      <c r="J29" s="108"/>
      <c r="K29" s="182">
        <v>21090.137478153501</v>
      </c>
      <c r="L29" s="184">
        <v>19.973682323799999</v>
      </c>
      <c r="M29" s="108"/>
      <c r="N29" s="184">
        <v>69186.628081232499</v>
      </c>
      <c r="O29" s="184">
        <v>66.834475257299999</v>
      </c>
      <c r="P29" s="108"/>
      <c r="Q29" s="184">
        <v>992.58097578119998</v>
      </c>
      <c r="R29" s="184">
        <v>0.9346933999</v>
      </c>
      <c r="S29" s="3"/>
      <c r="T29" s="3"/>
    </row>
    <row r="30" spans="2:20" s="4" customFormat="1" ht="12.95" customHeight="1" x14ac:dyDescent="0.2">
      <c r="B30" s="20" t="s">
        <v>25</v>
      </c>
      <c r="C30" s="50"/>
      <c r="D30" s="182">
        <v>72650.354156129906</v>
      </c>
      <c r="E30" s="108"/>
      <c r="F30" s="184">
        <v>77547.095924797002</v>
      </c>
      <c r="G30" s="108"/>
      <c r="H30" s="182">
        <v>4585.9604625614002</v>
      </c>
      <c r="I30" s="184">
        <v>5.5818757992999997</v>
      </c>
      <c r="J30" s="108"/>
      <c r="K30" s="182">
        <v>23270.350449573099</v>
      </c>
      <c r="L30" s="184">
        <v>30.218018782600002</v>
      </c>
      <c r="M30" s="108"/>
      <c r="N30" s="184">
        <v>42199.2669966412</v>
      </c>
      <c r="O30" s="184">
        <v>55.536619870400003</v>
      </c>
      <c r="P30" s="108"/>
      <c r="Q30" s="184">
        <v>707.04333515539997</v>
      </c>
      <c r="R30" s="184">
        <v>0.8828308212</v>
      </c>
      <c r="S30" s="3"/>
      <c r="T30" s="3"/>
    </row>
    <row r="31" spans="2:20" s="4" customFormat="1" ht="12.95" customHeight="1" x14ac:dyDescent="0.2">
      <c r="B31" s="20" t="s">
        <v>26</v>
      </c>
      <c r="C31" s="50"/>
      <c r="D31" s="182">
        <v>167866.38941442699</v>
      </c>
      <c r="E31" s="108"/>
      <c r="F31" s="184">
        <v>179999.402396916</v>
      </c>
      <c r="G31" s="108"/>
      <c r="H31" s="182">
        <v>8030.9964996757999</v>
      </c>
      <c r="I31" s="184">
        <v>4.3289055612</v>
      </c>
      <c r="J31" s="108"/>
      <c r="K31" s="182">
        <v>112290.19803190501</v>
      </c>
      <c r="L31" s="184">
        <v>61.784940673199998</v>
      </c>
      <c r="M31" s="108"/>
      <c r="N31" s="184">
        <v>35569.617787199699</v>
      </c>
      <c r="O31" s="184">
        <v>19.5259926403</v>
      </c>
      <c r="P31" s="108"/>
      <c r="Q31" s="184">
        <v>0</v>
      </c>
      <c r="R31" s="184">
        <v>0</v>
      </c>
      <c r="S31" s="3"/>
      <c r="T31" s="3"/>
    </row>
    <row r="32" spans="2:20" s="4" customFormat="1" ht="12.95" customHeight="1" x14ac:dyDescent="0.2">
      <c r="B32" s="20" t="s">
        <v>27</v>
      </c>
      <c r="C32" s="50"/>
      <c r="D32" s="182">
        <v>258655.27836628901</v>
      </c>
      <c r="E32" s="108"/>
      <c r="F32" s="184">
        <v>281933.13559121202</v>
      </c>
      <c r="G32" s="108"/>
      <c r="H32" s="182">
        <v>11720.114078472299</v>
      </c>
      <c r="I32" s="184">
        <v>4.3269303024000001</v>
      </c>
      <c r="J32" s="108"/>
      <c r="K32" s="182">
        <v>18483.998402384601</v>
      </c>
      <c r="L32" s="184">
        <v>6.4070893697000004</v>
      </c>
      <c r="M32" s="108"/>
      <c r="N32" s="184">
        <v>231752.69217609201</v>
      </c>
      <c r="O32" s="184">
        <v>85.942004641300002</v>
      </c>
      <c r="P32" s="108"/>
      <c r="Q32" s="184">
        <v>1728.8413729714</v>
      </c>
      <c r="R32" s="184">
        <v>0.57658370709999995</v>
      </c>
      <c r="S32" s="3"/>
      <c r="T32" s="3"/>
    </row>
    <row r="33" spans="1:25" s="4" customFormat="1" ht="12.95" customHeight="1" x14ac:dyDescent="0.2">
      <c r="B33" s="20" t="s">
        <v>28</v>
      </c>
      <c r="C33" s="50"/>
      <c r="D33" s="182">
        <v>379075.01420156</v>
      </c>
      <c r="E33" s="108"/>
      <c r="F33" s="184">
        <v>422309.75812487199</v>
      </c>
      <c r="G33" s="108"/>
      <c r="H33" s="182">
        <v>17228.8417833327</v>
      </c>
      <c r="I33" s="184">
        <v>4.1007644247000004</v>
      </c>
      <c r="J33" s="108"/>
      <c r="K33" s="182">
        <v>78265.618872738705</v>
      </c>
      <c r="L33" s="184">
        <v>18.8789813651</v>
      </c>
      <c r="M33" s="108"/>
      <c r="N33" s="184">
        <v>284288.28628623998</v>
      </c>
      <c r="O33" s="184">
        <v>71.906555430599994</v>
      </c>
      <c r="P33" s="108"/>
      <c r="Q33" s="184">
        <v>6288.0058024612999</v>
      </c>
      <c r="R33" s="184">
        <v>1.5259489817</v>
      </c>
      <c r="S33" s="3"/>
      <c r="T33" s="3"/>
    </row>
    <row r="34" spans="1:25" s="4" customFormat="1" ht="12.95" customHeight="1" x14ac:dyDescent="0.2">
      <c r="B34" s="20" t="s">
        <v>29</v>
      </c>
      <c r="C34" s="50"/>
      <c r="D34" s="182">
        <v>122667.67814412899</v>
      </c>
      <c r="E34" s="108"/>
      <c r="F34" s="184">
        <v>136974.30335579399</v>
      </c>
      <c r="G34" s="108"/>
      <c r="H34" s="182">
        <v>3959.6678392243998</v>
      </c>
      <c r="I34" s="184">
        <v>2.9575265493999998</v>
      </c>
      <c r="J34" s="108"/>
      <c r="K34" s="182">
        <v>44156.933124076997</v>
      </c>
      <c r="L34" s="184">
        <v>32.663047017399997</v>
      </c>
      <c r="M34" s="108"/>
      <c r="N34" s="184">
        <v>68725.011502023001</v>
      </c>
      <c r="O34" s="184">
        <v>51.622696613099997</v>
      </c>
      <c r="P34" s="108"/>
      <c r="Q34" s="184">
        <v>3280.5629878171999</v>
      </c>
      <c r="R34" s="184">
        <v>2.5294424441999999</v>
      </c>
      <c r="S34" s="3"/>
      <c r="T34" s="3"/>
    </row>
    <row r="35" spans="1:25" s="4" customFormat="1" ht="12.95" customHeight="1" x14ac:dyDescent="0.2">
      <c r="B35" s="20" t="s">
        <v>30</v>
      </c>
      <c r="C35" s="50"/>
      <c r="D35" s="182">
        <v>122856.75395268299</v>
      </c>
      <c r="E35" s="108"/>
      <c r="F35" s="184">
        <v>134745.813113285</v>
      </c>
      <c r="G35" s="108"/>
      <c r="H35" s="182">
        <v>4639.3424415026002</v>
      </c>
      <c r="I35" s="184">
        <v>3.4099186420000001</v>
      </c>
      <c r="J35" s="108"/>
      <c r="K35" s="182">
        <v>64836.934089855298</v>
      </c>
      <c r="L35" s="184">
        <v>50.673992406700002</v>
      </c>
      <c r="M35" s="108"/>
      <c r="N35" s="184">
        <v>52632.7590053698</v>
      </c>
      <c r="O35" s="184">
        <v>39.323978414599999</v>
      </c>
      <c r="P35" s="108"/>
      <c r="Q35" s="184">
        <v>358.8482755389</v>
      </c>
      <c r="R35" s="184">
        <v>0.25234887709999998</v>
      </c>
      <c r="S35" s="3"/>
      <c r="T35" s="3"/>
    </row>
    <row r="36" spans="1:25" s="4" customFormat="1" ht="12.95" customHeight="1" x14ac:dyDescent="0.2">
      <c r="B36" s="20" t="s">
        <v>31</v>
      </c>
      <c r="C36" s="50"/>
      <c r="D36" s="182">
        <v>109347.327386538</v>
      </c>
      <c r="E36" s="108"/>
      <c r="F36" s="184">
        <v>122797.83531464</v>
      </c>
      <c r="G36" s="108"/>
      <c r="H36" s="182">
        <v>7280.2649517732998</v>
      </c>
      <c r="I36" s="184">
        <v>6.2727168937000002</v>
      </c>
      <c r="J36" s="108"/>
      <c r="K36" s="182">
        <v>53879.61751882</v>
      </c>
      <c r="L36" s="184">
        <v>45.713180477900003</v>
      </c>
      <c r="M36" s="108"/>
      <c r="N36" s="184">
        <v>48213.941319086</v>
      </c>
      <c r="O36" s="184">
        <v>40.8293294387</v>
      </c>
      <c r="P36" s="108"/>
      <c r="Q36" s="184">
        <v>96.763858193499999</v>
      </c>
      <c r="R36" s="184">
        <v>7.3957263199999998E-2</v>
      </c>
      <c r="S36" s="3"/>
      <c r="T36" s="3"/>
    </row>
    <row r="37" spans="1:25" s="4" customFormat="1" ht="12.95" customHeight="1" x14ac:dyDescent="0.2">
      <c r="B37" s="20" t="s">
        <v>32</v>
      </c>
      <c r="C37" s="50"/>
      <c r="D37" s="182">
        <v>207547.36081637</v>
      </c>
      <c r="E37" s="108"/>
      <c r="F37" s="184">
        <v>225977.486752428</v>
      </c>
      <c r="G37" s="108"/>
      <c r="H37" s="182">
        <v>13168.851439625299</v>
      </c>
      <c r="I37" s="184">
        <v>5.9454508543999998</v>
      </c>
      <c r="J37" s="108"/>
      <c r="K37" s="182">
        <v>111279.547612294</v>
      </c>
      <c r="L37" s="184">
        <v>51.800564717</v>
      </c>
      <c r="M37" s="108"/>
      <c r="N37" s="184">
        <v>79440.447873025303</v>
      </c>
      <c r="O37" s="184">
        <v>36.060361306399997</v>
      </c>
      <c r="P37" s="108"/>
      <c r="Q37" s="184">
        <v>2381.9429421156001</v>
      </c>
      <c r="R37" s="184">
        <v>1.065783551</v>
      </c>
      <c r="S37" s="3"/>
      <c r="T37" s="3"/>
    </row>
    <row r="38" spans="1:25" s="4" customFormat="1" ht="12.95" customHeight="1" x14ac:dyDescent="0.2">
      <c r="B38" s="20" t="s">
        <v>33</v>
      </c>
      <c r="C38" s="50"/>
      <c r="D38" s="182">
        <v>204838.04243817899</v>
      </c>
      <c r="E38" s="108"/>
      <c r="F38" s="184">
        <v>222279.712001982</v>
      </c>
      <c r="G38" s="108"/>
      <c r="H38" s="182">
        <v>12438.737784843801</v>
      </c>
      <c r="I38" s="184">
        <v>5.6887760352000001</v>
      </c>
      <c r="J38" s="108"/>
      <c r="K38" s="182">
        <v>100624.941683148</v>
      </c>
      <c r="L38" s="184">
        <v>46.358777364399998</v>
      </c>
      <c r="M38" s="108"/>
      <c r="N38" s="184">
        <v>89598.1293854502</v>
      </c>
      <c r="O38" s="184">
        <v>41.7721612777</v>
      </c>
      <c r="P38" s="108"/>
      <c r="Q38" s="184">
        <v>1856.0792139429</v>
      </c>
      <c r="R38" s="184">
        <v>0.86587514239999996</v>
      </c>
      <c r="S38" s="3"/>
      <c r="T38" s="3"/>
    </row>
    <row r="39" spans="1:25" s="4" customFormat="1" ht="12.95" customHeight="1" x14ac:dyDescent="0.2">
      <c r="B39" s="20" t="s">
        <v>34</v>
      </c>
      <c r="C39" s="50"/>
      <c r="D39" s="182">
        <v>171336.46502543701</v>
      </c>
      <c r="E39" s="108"/>
      <c r="F39" s="184">
        <v>186966.39917817799</v>
      </c>
      <c r="G39" s="108"/>
      <c r="H39" s="182">
        <v>6714.6593962489997</v>
      </c>
      <c r="I39" s="184">
        <v>3.5276236942999999</v>
      </c>
      <c r="J39" s="108"/>
      <c r="K39" s="182">
        <v>27240.520849082499</v>
      </c>
      <c r="L39" s="184">
        <v>15.1163346637</v>
      </c>
      <c r="M39" s="108"/>
      <c r="N39" s="184">
        <v>142956.07768377999</v>
      </c>
      <c r="O39" s="184">
        <v>79.188272880499994</v>
      </c>
      <c r="P39" s="108"/>
      <c r="Q39" s="184">
        <v>0</v>
      </c>
      <c r="R39" s="184">
        <v>0</v>
      </c>
      <c r="S39" s="3"/>
      <c r="T39" s="3"/>
    </row>
    <row r="40" spans="1:25" s="4" customFormat="1" ht="12.95" customHeight="1" x14ac:dyDescent="0.2">
      <c r="B40" s="20" t="s">
        <v>35</v>
      </c>
      <c r="C40" s="50"/>
      <c r="D40" s="182">
        <v>145706.74808959299</v>
      </c>
      <c r="E40" s="108"/>
      <c r="F40" s="184">
        <v>160309.422382502</v>
      </c>
      <c r="G40" s="108"/>
      <c r="H40" s="182">
        <v>8357.9357325807996</v>
      </c>
      <c r="I40" s="184">
        <v>5.3086603340999998</v>
      </c>
      <c r="J40" s="108"/>
      <c r="K40" s="182">
        <v>72694.267178622496</v>
      </c>
      <c r="L40" s="184">
        <v>46.456463894199999</v>
      </c>
      <c r="M40" s="108"/>
      <c r="N40" s="184">
        <v>59386.715106032003</v>
      </c>
      <c r="O40" s="184">
        <v>37.837445394299998</v>
      </c>
      <c r="P40" s="108"/>
      <c r="Q40" s="184">
        <v>34.998543881400003</v>
      </c>
      <c r="R40" s="184">
        <v>2.50650158E-2</v>
      </c>
      <c r="S40" s="3"/>
      <c r="T40" s="3"/>
    </row>
    <row r="41" spans="1:25" s="4" customFormat="1" ht="12.95" customHeight="1" x14ac:dyDescent="0.2">
      <c r="B41" s="20" t="s">
        <v>36</v>
      </c>
      <c r="C41" s="50"/>
      <c r="D41" s="182">
        <v>85583.381080311505</v>
      </c>
      <c r="E41" s="108"/>
      <c r="F41" s="184">
        <v>98993.387281639894</v>
      </c>
      <c r="G41" s="108"/>
      <c r="H41" s="182">
        <v>4631.1941325787002</v>
      </c>
      <c r="I41" s="184">
        <v>4.9860919538999999</v>
      </c>
      <c r="J41" s="108"/>
      <c r="K41" s="182">
        <v>7925.8234343141003</v>
      </c>
      <c r="L41" s="184">
        <v>8.4519829600000005</v>
      </c>
      <c r="M41" s="108"/>
      <c r="N41" s="184">
        <v>81259.645633819004</v>
      </c>
      <c r="O41" s="184">
        <v>91.443175686100005</v>
      </c>
      <c r="P41" s="108"/>
      <c r="Q41" s="184">
        <v>0</v>
      </c>
      <c r="R41" s="184">
        <v>0</v>
      </c>
      <c r="S41" s="3"/>
      <c r="T41" s="3"/>
    </row>
    <row r="42" spans="1:25" s="4" customFormat="1" ht="12.95" customHeight="1" x14ac:dyDescent="0.2">
      <c r="B42" s="20" t="s">
        <v>37</v>
      </c>
      <c r="C42" s="50"/>
      <c r="D42" s="182">
        <v>483718.31348763802</v>
      </c>
      <c r="E42" s="108"/>
      <c r="F42" s="184">
        <v>512686.70698725199</v>
      </c>
      <c r="G42" s="108"/>
      <c r="H42" s="182">
        <v>30375.246509300501</v>
      </c>
      <c r="I42" s="184">
        <v>5.7264955326999996</v>
      </c>
      <c r="J42" s="108"/>
      <c r="K42" s="182">
        <v>76470.797185889794</v>
      </c>
      <c r="L42" s="184">
        <v>14.720097381</v>
      </c>
      <c r="M42" s="108"/>
      <c r="N42" s="184">
        <v>360317.13299830898</v>
      </c>
      <c r="O42" s="184">
        <v>71.514962073000007</v>
      </c>
      <c r="P42" s="108"/>
      <c r="Q42" s="184">
        <v>1712.0214203104999</v>
      </c>
      <c r="R42" s="184">
        <v>0.36185014339999999</v>
      </c>
      <c r="S42" s="3"/>
      <c r="T42" s="3"/>
    </row>
    <row r="43" spans="1:25" s="4" customFormat="1" ht="12.95" customHeight="1" x14ac:dyDescent="0.2">
      <c r="B43" s="20" t="s">
        <v>38</v>
      </c>
      <c r="C43" s="51"/>
      <c r="D43" s="184">
        <v>146889.12652557201</v>
      </c>
      <c r="E43" s="108"/>
      <c r="F43" s="184">
        <v>164215.69109507301</v>
      </c>
      <c r="G43" s="108"/>
      <c r="H43" s="184">
        <v>6475.2155580342996</v>
      </c>
      <c r="I43" s="184">
        <v>4.0980785331999998</v>
      </c>
      <c r="J43" s="108"/>
      <c r="K43" s="184">
        <v>52964.422044937703</v>
      </c>
      <c r="L43" s="184">
        <v>33.808832100499998</v>
      </c>
      <c r="M43" s="108"/>
      <c r="N43" s="184">
        <v>90769.085192756698</v>
      </c>
      <c r="O43" s="184">
        <v>58.500961724500002</v>
      </c>
      <c r="P43" s="108"/>
      <c r="Q43" s="184">
        <v>310.27815771709999</v>
      </c>
      <c r="R43" s="184">
        <v>0.20724042200000001</v>
      </c>
    </row>
    <row r="44" spans="1:25" s="4" customFormat="1" ht="12.95" customHeight="1" x14ac:dyDescent="0.2">
      <c r="B44" s="20" t="s">
        <v>39</v>
      </c>
      <c r="C44" s="51"/>
      <c r="D44" s="184">
        <v>56844.0441494689</v>
      </c>
      <c r="E44" s="108"/>
      <c r="F44" s="184">
        <v>61849.4475343948</v>
      </c>
      <c r="G44" s="108"/>
      <c r="H44" s="184">
        <v>3782.2222940543002</v>
      </c>
      <c r="I44" s="184">
        <v>5.9094025803000001</v>
      </c>
      <c r="J44" s="108"/>
      <c r="K44" s="184">
        <v>12934.1668972765</v>
      </c>
      <c r="L44" s="184">
        <v>21.0452170362</v>
      </c>
      <c r="M44" s="108"/>
      <c r="N44" s="184">
        <v>37755.022819157901</v>
      </c>
      <c r="O44" s="184">
        <v>63.528087164900001</v>
      </c>
      <c r="P44" s="108"/>
      <c r="Q44" s="184">
        <v>323.82844904439997</v>
      </c>
      <c r="R44" s="184">
        <v>0.4990985496</v>
      </c>
    </row>
    <row r="45" spans="1:25" s="2" customFormat="1" ht="6" customHeight="1" x14ac:dyDescent="0.2">
      <c r="A45" s="63"/>
      <c r="B45" s="2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18"/>
      <c r="N45" s="118"/>
      <c r="O45" s="112"/>
      <c r="P45" s="118"/>
      <c r="Q45" s="118"/>
      <c r="R45" s="112"/>
      <c r="S45" s="1"/>
      <c r="T45" s="1"/>
    </row>
    <row r="46" spans="1:25" s="2" customFormat="1" ht="6" customHeight="1" x14ac:dyDescent="0.25">
      <c r="A46" s="63"/>
      <c r="B46" s="9"/>
      <c r="C46" s="44"/>
      <c r="D46" s="9"/>
      <c r="E46" s="44"/>
      <c r="F46" s="44"/>
      <c r="G46" s="44"/>
      <c r="H46" s="44"/>
      <c r="I46" s="44"/>
      <c r="J46" s="44"/>
      <c r="K46" s="45"/>
      <c r="L46" s="44"/>
      <c r="M46" s="28"/>
      <c r="N46" s="28"/>
      <c r="O46" s="28"/>
      <c r="P46" s="28"/>
      <c r="Q46" s="31"/>
      <c r="R46" s="31"/>
      <c r="S46" s="1"/>
      <c r="T46" s="1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s="2" customFormat="1" ht="12" customHeight="1" x14ac:dyDescent="0.25">
      <c r="A48" s="63"/>
      <c r="B48" s="9" t="s">
        <v>81</v>
      </c>
      <c r="C48" s="44"/>
      <c r="D48" s="9"/>
      <c r="E48" s="44"/>
      <c r="F48" s="44"/>
      <c r="G48" s="44"/>
      <c r="H48" s="44"/>
      <c r="I48" s="44"/>
      <c r="J48" s="44"/>
      <c r="K48" s="45"/>
      <c r="L48" s="44"/>
      <c r="M48" s="28"/>
      <c r="N48" s="28"/>
      <c r="O48" s="28"/>
      <c r="P48" s="28"/>
      <c r="Q48" s="31"/>
      <c r="R48" s="31"/>
      <c r="S48" s="1"/>
      <c r="T48" s="1"/>
    </row>
    <row r="49" spans="2:6" s="101" customFormat="1" ht="14.25" x14ac:dyDescent="0.2">
      <c r="B49" s="102" t="s">
        <v>75</v>
      </c>
      <c r="F49" s="119"/>
    </row>
    <row r="50" spans="2:6" ht="12.75" customHeight="1" x14ac:dyDescent="0.25">
      <c r="B50" s="14"/>
      <c r="D50" s="15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EBB69A92-363E-431F-B233-50ABFA75DB10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557B-007E-463E-947F-17CB49C3FBD6}">
  <dimension ref="A1:AU41"/>
  <sheetViews>
    <sheetView showGridLines="0" workbookViewId="0"/>
  </sheetViews>
  <sheetFormatPr baseColWidth="10" defaultColWidth="11.42578125" defaultRowHeight="15" x14ac:dyDescent="0.25"/>
  <cols>
    <col min="1" max="1" width="1.7109375" style="65" customWidth="1"/>
    <col min="2" max="2" width="32.140625" customWidth="1"/>
    <col min="3" max="3" width="1.7109375" customWidth="1"/>
    <col min="4" max="4" width="24.7109375" customWidth="1"/>
    <col min="5" max="5" width="1.7109375" customWidth="1"/>
    <col min="6" max="6" width="19.28515625" style="24" customWidth="1"/>
    <col min="7" max="7" width="1.7109375" customWidth="1"/>
    <col min="10" max="10" width="1.7109375" customWidth="1"/>
    <col min="13" max="13" width="1.7109375" customWidth="1"/>
    <col min="14" max="14" width="10.42578125" customWidth="1"/>
    <col min="16" max="16" width="1.7109375" customWidth="1"/>
    <col min="17" max="17" width="10" customWidth="1"/>
  </cols>
  <sheetData>
    <row r="1" spans="2:47" s="75" customFormat="1" ht="12" customHeight="1" x14ac:dyDescent="0.2">
      <c r="B1" s="210" t="s">
        <v>129</v>
      </c>
      <c r="C1" s="68"/>
      <c r="D1" s="68"/>
      <c r="E1" s="68"/>
      <c r="F1" s="68"/>
      <c r="G1" s="68"/>
      <c r="H1" s="68"/>
      <c r="I1" s="68"/>
      <c r="J1" s="68"/>
      <c r="L1" s="68"/>
      <c r="M1" s="70"/>
      <c r="N1" s="70"/>
      <c r="O1" s="70"/>
      <c r="P1" s="70"/>
      <c r="Q1" s="68"/>
      <c r="R1" s="80" t="s">
        <v>74</v>
      </c>
    </row>
    <row r="2" spans="2:47" s="75" customFormat="1" ht="6.95" customHeight="1" x14ac:dyDescent="0.2">
      <c r="B2" s="210"/>
      <c r="C2" s="68"/>
      <c r="D2" s="68"/>
      <c r="E2" s="68"/>
      <c r="F2" s="68"/>
      <c r="G2" s="68"/>
      <c r="H2" s="68"/>
      <c r="I2" s="68"/>
      <c r="J2" s="68"/>
      <c r="K2" s="68"/>
      <c r="L2" s="68"/>
      <c r="M2" s="70"/>
      <c r="N2" s="70"/>
      <c r="O2" s="70"/>
      <c r="P2" s="70"/>
      <c r="Q2" s="68"/>
      <c r="R2" s="68"/>
    </row>
    <row r="3" spans="2:47" s="75" customFormat="1" ht="14.25" customHeight="1" x14ac:dyDescent="0.2">
      <c r="B3" s="210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  <c r="Q3" s="68"/>
      <c r="R3" s="68"/>
    </row>
    <row r="4" spans="2:47" s="75" customFormat="1" ht="6.95" customHeight="1" x14ac:dyDescent="0.2">
      <c r="B4" s="68"/>
      <c r="C4" s="71"/>
      <c r="D4" s="68"/>
      <c r="E4" s="68"/>
      <c r="F4" s="68"/>
      <c r="G4" s="68"/>
      <c r="H4" s="68"/>
      <c r="I4" s="68"/>
      <c r="J4" s="68"/>
      <c r="K4" s="68"/>
      <c r="L4" s="68"/>
      <c r="M4" s="70"/>
      <c r="N4" s="70"/>
      <c r="O4" s="70"/>
      <c r="P4" s="70"/>
      <c r="Q4" s="68"/>
      <c r="R4" s="68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</row>
    <row r="5" spans="2:47" s="75" customFormat="1" ht="25.5" customHeight="1" x14ac:dyDescent="0.2">
      <c r="B5" s="242" t="s">
        <v>71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3"/>
      <c r="Q5" s="74"/>
      <c r="R5" s="79" t="s">
        <v>57</v>
      </c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</row>
    <row r="6" spans="2:47" ht="6" customHeight="1" x14ac:dyDescent="0.25">
      <c r="B6" s="253"/>
      <c r="C6" s="253"/>
      <c r="D6" s="253"/>
      <c r="E6" s="253"/>
      <c r="F6" s="253"/>
      <c r="G6" s="253"/>
      <c r="H6" s="254"/>
      <c r="I6" s="254"/>
      <c r="J6" s="254"/>
      <c r="K6" s="254"/>
      <c r="L6" s="254"/>
      <c r="M6" s="28"/>
      <c r="N6" s="28"/>
      <c r="O6" s="28"/>
      <c r="P6" s="28"/>
      <c r="Q6" s="31"/>
      <c r="R6" s="3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</row>
    <row r="7" spans="2:47" ht="22.5" customHeight="1" x14ac:dyDescent="0.25">
      <c r="B7" s="245" t="s">
        <v>50</v>
      </c>
      <c r="C7" s="245"/>
      <c r="D7" s="248" t="s">
        <v>64</v>
      </c>
      <c r="E7" s="189"/>
      <c r="F7" s="248" t="s">
        <v>52</v>
      </c>
      <c r="G7" s="34"/>
      <c r="H7" s="251" t="s">
        <v>79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</row>
    <row r="8" spans="2:47" ht="21.75" customHeight="1" x14ac:dyDescent="0.25">
      <c r="B8" s="246"/>
      <c r="C8" s="246"/>
      <c r="D8" s="249"/>
      <c r="E8" s="189"/>
      <c r="F8" s="249"/>
      <c r="G8" s="34"/>
      <c r="H8" s="252" t="s">
        <v>47</v>
      </c>
      <c r="I8" s="252"/>
      <c r="J8" s="36"/>
      <c r="K8" s="232" t="s">
        <v>80</v>
      </c>
      <c r="L8" s="232"/>
      <c r="M8" s="37"/>
      <c r="N8" s="232" t="s">
        <v>48</v>
      </c>
      <c r="O8" s="232"/>
      <c r="P8" s="37"/>
      <c r="Q8" s="232" t="s">
        <v>43</v>
      </c>
      <c r="R8" s="232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</row>
    <row r="9" spans="2:47" ht="13.5" customHeight="1" x14ac:dyDescent="0.25">
      <c r="B9" s="247"/>
      <c r="C9" s="247"/>
      <c r="D9" s="250"/>
      <c r="E9" s="190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</row>
    <row r="10" spans="2:47" ht="6" customHeight="1" x14ac:dyDescent="0.25">
      <c r="B10" s="31"/>
      <c r="C10" s="188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</row>
    <row r="11" spans="2:47" s="99" customFormat="1" ht="12.95" customHeight="1" x14ac:dyDescent="0.2">
      <c r="B11" s="48" t="s">
        <v>7</v>
      </c>
      <c r="C11" s="92"/>
      <c r="D11" s="181">
        <v>7454276.2163086496</v>
      </c>
      <c r="E11" s="125"/>
      <c r="F11" s="181">
        <v>8025752.7365323296</v>
      </c>
      <c r="G11" s="125"/>
      <c r="H11" s="181">
        <v>539183.05574286799</v>
      </c>
      <c r="I11" s="181">
        <v>7.0882668737000003</v>
      </c>
      <c r="J11" s="125"/>
      <c r="K11" s="181">
        <v>2781569.3381391098</v>
      </c>
      <c r="L11" s="181">
        <v>36.708045908300001</v>
      </c>
      <c r="M11" s="125"/>
      <c r="N11" s="181">
        <v>4385349.3556810096</v>
      </c>
      <c r="O11" s="181">
        <v>58.144134416699998</v>
      </c>
      <c r="P11" s="125"/>
      <c r="Q11" s="181">
        <v>149524.437241612</v>
      </c>
      <c r="R11" s="181">
        <v>1.9645811193</v>
      </c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</row>
    <row r="12" spans="2:47" s="99" customFormat="1" ht="6" customHeight="1" x14ac:dyDescent="0.2">
      <c r="B12" s="48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</row>
    <row r="13" spans="2:47" s="96" customFormat="1" ht="12.95" customHeight="1" x14ac:dyDescent="0.2">
      <c r="B13" s="103" t="s">
        <v>44</v>
      </c>
      <c r="C13" s="50"/>
      <c r="D13" s="182">
        <v>1379242.27872156</v>
      </c>
      <c r="E13" s="126"/>
      <c r="F13" s="182">
        <v>1474212.59277156</v>
      </c>
      <c r="G13" s="126"/>
      <c r="H13" s="182">
        <v>54987.845067367001</v>
      </c>
      <c r="I13" s="182">
        <v>3.8365010283999998</v>
      </c>
      <c r="J13" s="126"/>
      <c r="K13" s="182">
        <v>98090.971782714507</v>
      </c>
      <c r="L13" s="182">
        <v>6.8004496698999999</v>
      </c>
      <c r="M13" s="126"/>
      <c r="N13" s="182">
        <v>1266446.76588192</v>
      </c>
      <c r="O13" s="182">
        <v>90.068883110100003</v>
      </c>
      <c r="P13" s="126"/>
      <c r="Q13" s="182">
        <v>12056.718662769799</v>
      </c>
      <c r="R13" s="182">
        <v>0.83592857450000002</v>
      </c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</row>
    <row r="14" spans="2:47" s="96" customFormat="1" ht="12.95" customHeight="1" x14ac:dyDescent="0.2">
      <c r="B14" s="103" t="s">
        <v>45</v>
      </c>
      <c r="C14" s="50"/>
      <c r="D14" s="182">
        <v>1010019.0515809699</v>
      </c>
      <c r="E14" s="126"/>
      <c r="F14" s="182">
        <v>1099358.61274696</v>
      </c>
      <c r="G14" s="108"/>
      <c r="H14" s="182">
        <v>53325.974963787099</v>
      </c>
      <c r="I14" s="184">
        <v>4.9872554737000003</v>
      </c>
      <c r="J14" s="108"/>
      <c r="K14" s="182">
        <v>157067.63467140301</v>
      </c>
      <c r="L14" s="184">
        <v>14.776796795499999</v>
      </c>
      <c r="M14" s="108"/>
      <c r="N14" s="184">
        <v>822601.10824885801</v>
      </c>
      <c r="O14" s="184">
        <v>79.427874235700003</v>
      </c>
      <c r="P14" s="108"/>
      <c r="Q14" s="184">
        <v>15905.757600790001</v>
      </c>
      <c r="R14" s="184">
        <v>1.4934999743999999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</row>
    <row r="15" spans="2:47" s="96" customFormat="1" ht="12.95" customHeight="1" x14ac:dyDescent="0.2">
      <c r="B15" s="103" t="s">
        <v>46</v>
      </c>
      <c r="C15" s="50"/>
      <c r="D15" s="182">
        <v>1262822.5884511401</v>
      </c>
      <c r="E15" s="126"/>
      <c r="F15" s="182">
        <v>1372810.37027012</v>
      </c>
      <c r="G15" s="108"/>
      <c r="H15" s="182">
        <v>88007.680614431694</v>
      </c>
      <c r="I15" s="184">
        <v>6.5665240877000004</v>
      </c>
      <c r="J15" s="108"/>
      <c r="K15" s="182">
        <v>369933.50002997898</v>
      </c>
      <c r="L15" s="184">
        <v>28.059502933299999</v>
      </c>
      <c r="M15" s="108"/>
      <c r="N15" s="184">
        <v>827947.67086021602</v>
      </c>
      <c r="O15" s="184">
        <v>63.955498785899998</v>
      </c>
      <c r="P15" s="108"/>
      <c r="Q15" s="184">
        <v>21704.560340026601</v>
      </c>
      <c r="R15" s="184">
        <v>1.6244606050999999</v>
      </c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</row>
    <row r="16" spans="2:47" s="96" customFormat="1" ht="12.95" customHeight="1" x14ac:dyDescent="0.2">
      <c r="B16" s="103" t="s">
        <v>49</v>
      </c>
      <c r="C16" s="50"/>
      <c r="D16" s="182">
        <v>3634040.6657696799</v>
      </c>
      <c r="E16" s="126"/>
      <c r="F16" s="182">
        <v>3923271.2683614502</v>
      </c>
      <c r="G16" s="126"/>
      <c r="H16" s="182">
        <v>304256.00637661701</v>
      </c>
      <c r="I16" s="182">
        <v>8.1489279755999995</v>
      </c>
      <c r="J16" s="126"/>
      <c r="K16" s="182">
        <v>2080840.8835339199</v>
      </c>
      <c r="L16" s="182">
        <v>56.199373041999998</v>
      </c>
      <c r="M16" s="126"/>
      <c r="N16" s="182">
        <v>1321304.8008008399</v>
      </c>
      <c r="O16" s="182">
        <v>35.632413433899998</v>
      </c>
      <c r="P16" s="126"/>
      <c r="Q16" s="182">
        <v>77219.670958459901</v>
      </c>
      <c r="R16" s="182">
        <v>2.065990014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</row>
    <row r="17" spans="1:47" ht="6" customHeight="1" x14ac:dyDescent="0.25">
      <c r="B17" s="49"/>
      <c r="C17" s="30"/>
      <c r="D17" s="110"/>
      <c r="E17" s="110"/>
      <c r="F17" s="110"/>
      <c r="G17" s="111"/>
      <c r="H17" s="110"/>
      <c r="I17" s="112"/>
      <c r="J17" s="111"/>
      <c r="K17" s="110"/>
      <c r="L17" s="112"/>
      <c r="M17" s="118"/>
      <c r="N17" s="118"/>
      <c r="O17" s="112"/>
      <c r="P17" s="118"/>
      <c r="Q17" s="118"/>
      <c r="R17" s="11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</row>
    <row r="18" spans="1:47" ht="6" customHeight="1" x14ac:dyDescent="0.25">
      <c r="B18" s="9"/>
      <c r="C18" s="44"/>
      <c r="D18" s="9"/>
      <c r="E18" s="9"/>
      <c r="F18" s="9"/>
      <c r="G18" s="44"/>
      <c r="H18" s="44"/>
      <c r="I18" s="44"/>
      <c r="J18" s="44"/>
      <c r="K18" s="45"/>
      <c r="L18" s="44"/>
      <c r="M18" s="28"/>
      <c r="N18" s="28"/>
      <c r="O18" s="28"/>
      <c r="P18" s="28"/>
      <c r="Q18" s="31"/>
      <c r="R18" s="31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</row>
    <row r="19" spans="1:47" s="124" customFormat="1" ht="11.25" x14ac:dyDescent="0.2">
      <c r="A19" s="100"/>
      <c r="B19" s="50" t="s">
        <v>78</v>
      </c>
      <c r="C19" s="43"/>
      <c r="D19" s="120"/>
      <c r="E19" s="120"/>
      <c r="F19" s="120"/>
      <c r="G19" s="121"/>
      <c r="H19" s="43"/>
      <c r="I19" s="120"/>
      <c r="J19" s="121"/>
      <c r="K19" s="43"/>
      <c r="L19" s="120"/>
      <c r="M19" s="121"/>
      <c r="N19" s="43"/>
      <c r="O19" s="120"/>
      <c r="P19" s="121"/>
      <c r="Q19" s="43"/>
      <c r="R19" s="120"/>
      <c r="S19" s="121"/>
      <c r="T19" s="43"/>
      <c r="U19" s="120"/>
      <c r="V19" s="121"/>
      <c r="W19" s="43"/>
      <c r="X19" s="122"/>
      <c r="Y19" s="123"/>
    </row>
    <row r="20" spans="1:47" x14ac:dyDescent="0.25">
      <c r="B20" s="9" t="s">
        <v>81</v>
      </c>
      <c r="C20" s="44"/>
      <c r="D20" s="9"/>
      <c r="E20" s="9"/>
      <c r="F20" s="9"/>
      <c r="G20" s="44"/>
      <c r="H20" s="44"/>
      <c r="I20" s="44"/>
      <c r="J20" s="44"/>
      <c r="K20" s="45"/>
      <c r="L20" s="44"/>
      <c r="M20" s="28"/>
      <c r="N20" s="28"/>
      <c r="O20" s="28"/>
      <c r="P20" s="28"/>
      <c r="Q20" s="31"/>
      <c r="R20" s="31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</row>
    <row r="21" spans="1:47" s="101" customFormat="1" ht="14.25" x14ac:dyDescent="0.2">
      <c r="B21" s="102" t="s">
        <v>75</v>
      </c>
      <c r="F21" s="119"/>
    </row>
    <row r="22" spans="1:47" x14ac:dyDescent="0.25"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</row>
    <row r="23" spans="1:47" x14ac:dyDescent="0.25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</row>
    <row r="24" spans="1:47" x14ac:dyDescent="0.25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</row>
    <row r="25" spans="1:47" x14ac:dyDescent="0.25"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</row>
    <row r="26" spans="1:47" x14ac:dyDescent="0.25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</row>
    <row r="27" spans="1:47" x14ac:dyDescent="0.25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</row>
    <row r="28" spans="1:47" x14ac:dyDescent="0.25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</row>
    <row r="29" spans="1:47" x14ac:dyDescent="0.2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</row>
    <row r="30" spans="1:47" x14ac:dyDescent="0.2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</row>
    <row r="31" spans="1:47" x14ac:dyDescent="0.2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</row>
    <row r="32" spans="1:47" x14ac:dyDescent="0.25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</row>
    <row r="33" spans="2:47" x14ac:dyDescent="0.25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</row>
    <row r="34" spans="2:47" x14ac:dyDescent="0.25">
      <c r="B34" s="24"/>
      <c r="C34" s="24"/>
      <c r="D34" s="24"/>
      <c r="E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</row>
    <row r="35" spans="2:47" x14ac:dyDescent="0.25">
      <c r="B35" s="24"/>
      <c r="C35" s="24"/>
      <c r="D35" s="24"/>
      <c r="E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</row>
    <row r="36" spans="2:47" x14ac:dyDescent="0.25">
      <c r="B36" s="24"/>
      <c r="C36" s="24"/>
      <c r="D36" s="24"/>
      <c r="E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</row>
    <row r="37" spans="2:47" x14ac:dyDescent="0.25">
      <c r="B37" s="24"/>
      <c r="C37" s="24"/>
      <c r="D37" s="24"/>
      <c r="E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</row>
    <row r="38" spans="2:47" x14ac:dyDescent="0.25">
      <c r="B38" s="24"/>
      <c r="C38" s="24"/>
      <c r="D38" s="24"/>
      <c r="E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</row>
    <row r="39" spans="2:47" x14ac:dyDescent="0.25">
      <c r="B39" s="24"/>
      <c r="C39" s="24"/>
      <c r="D39" s="24"/>
      <c r="E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</row>
    <row r="40" spans="2:47" x14ac:dyDescent="0.25">
      <c r="B40" s="24"/>
      <c r="C40" s="24"/>
      <c r="D40" s="24"/>
      <c r="E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</row>
    <row r="41" spans="2:47" x14ac:dyDescent="0.25">
      <c r="B41" s="24"/>
      <c r="C41" s="24"/>
      <c r="D41" s="24"/>
      <c r="E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B37EAB64-1798-4EB0-8AA1-84CA265F2F72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86DA-56B3-4925-B15A-4BAFD5798635}">
  <sheetPr>
    <pageSetUpPr fitToPage="1"/>
  </sheetPr>
  <dimension ref="A1:AM52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131" customWidth="1"/>
    <col min="2" max="2" width="33" style="130" customWidth="1"/>
    <col min="3" max="3" width="1.7109375" style="130" customWidth="1" collapsed="1"/>
    <col min="4" max="4" width="19" style="130" customWidth="1" collapsed="1"/>
    <col min="5" max="5" width="1.7109375" style="130" customWidth="1" collapsed="1"/>
    <col min="6" max="6" width="18.7109375" style="130" customWidth="1"/>
    <col min="7" max="7" width="1.7109375" style="130" customWidth="1"/>
    <col min="8" max="9" width="11.7109375" style="130" customWidth="1"/>
    <col min="10" max="10" width="1.7109375" style="130" customWidth="1"/>
    <col min="11" max="12" width="11.42578125" style="130" customWidth="1" collapsed="1"/>
    <col min="13" max="13" width="1.7109375" style="130" customWidth="1" collapsed="1"/>
    <col min="14" max="15" width="11.42578125" style="130" customWidth="1" collapsed="1"/>
    <col min="16" max="16" width="1.7109375" style="130" customWidth="1"/>
    <col min="17" max="18" width="11.42578125" style="130"/>
    <col min="19" max="19" width="1.7109375" style="130" customWidth="1"/>
    <col min="20" max="21" width="11.42578125" style="130" collapsed="1"/>
    <col min="22" max="39" width="11.42578125" style="130"/>
    <col min="40" max="16384" width="11.42578125" style="130" collapsed="1"/>
  </cols>
  <sheetData>
    <row r="1" spans="2:29" s="162" customFormat="1" x14ac:dyDescent="0.2">
      <c r="B1" s="210" t="s">
        <v>129</v>
      </c>
      <c r="U1" s="80" t="s">
        <v>74</v>
      </c>
    </row>
    <row r="2" spans="2:29" s="162" customFormat="1" ht="6.95" customHeight="1" x14ac:dyDescent="0.25">
      <c r="B2" s="210"/>
    </row>
    <row r="3" spans="2:29" s="162" customFormat="1" x14ac:dyDescent="0.2">
      <c r="B3" s="210" t="s">
        <v>112</v>
      </c>
      <c r="C3" s="167"/>
      <c r="D3" s="167"/>
      <c r="E3" s="167"/>
      <c r="F3" s="175"/>
      <c r="G3" s="167"/>
      <c r="H3" s="167"/>
      <c r="I3" s="167"/>
      <c r="J3" s="167"/>
      <c r="K3" s="167"/>
      <c r="L3" s="167"/>
      <c r="M3" s="167"/>
      <c r="N3" s="167"/>
      <c r="O3" s="167"/>
      <c r="P3" s="167"/>
    </row>
    <row r="4" spans="2:29" s="162" customFormat="1" ht="6.95" customHeight="1" x14ac:dyDescent="0.25">
      <c r="C4" s="166"/>
    </row>
    <row r="5" spans="2:29" s="162" customFormat="1" ht="25.5" customHeight="1" x14ac:dyDescent="0.2">
      <c r="B5" s="256" t="s">
        <v>99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165"/>
      <c r="P5" s="163"/>
      <c r="Q5" s="164"/>
      <c r="R5" s="163"/>
      <c r="S5" s="163"/>
      <c r="T5" s="163"/>
      <c r="U5" s="79" t="s">
        <v>58</v>
      </c>
    </row>
    <row r="6" spans="2:29" ht="6" customHeight="1" x14ac:dyDescent="0.25">
      <c r="B6" s="257"/>
      <c r="C6" s="257"/>
      <c r="D6" s="257"/>
      <c r="E6" s="257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132"/>
      <c r="Q6" s="132"/>
      <c r="R6" s="132"/>
      <c r="S6" s="132"/>
      <c r="T6" s="132"/>
      <c r="U6" s="132"/>
    </row>
    <row r="7" spans="2:29" ht="15" customHeight="1" x14ac:dyDescent="0.25">
      <c r="B7" s="259" t="s">
        <v>1</v>
      </c>
      <c r="C7" s="259"/>
      <c r="D7" s="262" t="s">
        <v>98</v>
      </c>
      <c r="E7" s="161"/>
      <c r="F7" s="262" t="s">
        <v>97</v>
      </c>
      <c r="G7" s="160"/>
      <c r="H7" s="160"/>
      <c r="I7" s="160"/>
      <c r="J7" s="160"/>
      <c r="K7" s="265" t="s">
        <v>96</v>
      </c>
      <c r="L7" s="265"/>
      <c r="M7" s="265"/>
      <c r="N7" s="265"/>
      <c r="O7" s="265"/>
      <c r="P7" s="265"/>
      <c r="Q7" s="265"/>
      <c r="R7" s="265"/>
      <c r="S7" s="265"/>
      <c r="T7" s="265"/>
      <c r="U7" s="265"/>
    </row>
    <row r="8" spans="2:29" ht="34.5" customHeight="1" x14ac:dyDescent="0.25">
      <c r="B8" s="260"/>
      <c r="C8" s="260"/>
      <c r="D8" s="263"/>
      <c r="E8" s="161"/>
      <c r="F8" s="263"/>
      <c r="G8" s="161"/>
      <c r="H8" s="266" t="s">
        <v>95</v>
      </c>
      <c r="I8" s="266"/>
      <c r="J8" s="160"/>
      <c r="K8" s="266" t="s">
        <v>94</v>
      </c>
      <c r="L8" s="266"/>
      <c r="M8" s="159"/>
      <c r="N8" s="255" t="s">
        <v>93</v>
      </c>
      <c r="O8" s="255"/>
      <c r="P8" s="158"/>
      <c r="Q8" s="255" t="s">
        <v>92</v>
      </c>
      <c r="R8" s="255"/>
      <c r="S8" s="158"/>
      <c r="T8" s="255" t="s">
        <v>91</v>
      </c>
      <c r="U8" s="255"/>
    </row>
    <row r="9" spans="2:29" ht="15" customHeight="1" x14ac:dyDescent="0.25">
      <c r="B9" s="261"/>
      <c r="C9" s="261"/>
      <c r="D9" s="264"/>
      <c r="E9" s="157"/>
      <c r="F9" s="264"/>
      <c r="G9" s="157"/>
      <c r="H9" s="155" t="s">
        <v>5</v>
      </c>
      <c r="I9" s="155" t="s">
        <v>6</v>
      </c>
      <c r="J9" s="157"/>
      <c r="K9" s="155" t="s">
        <v>5</v>
      </c>
      <c r="L9" s="155" t="s">
        <v>6</v>
      </c>
      <c r="M9" s="155"/>
      <c r="N9" s="155" t="s">
        <v>5</v>
      </c>
      <c r="O9" s="155" t="s">
        <v>6</v>
      </c>
      <c r="P9" s="156"/>
      <c r="Q9" s="155" t="s">
        <v>5</v>
      </c>
      <c r="R9" s="155" t="s">
        <v>6</v>
      </c>
      <c r="S9" s="156"/>
      <c r="T9" s="155" t="s">
        <v>5</v>
      </c>
      <c r="U9" s="155" t="s">
        <v>6</v>
      </c>
    </row>
    <row r="10" spans="2:29" ht="6" customHeight="1" x14ac:dyDescent="0.25">
      <c r="B10" s="132"/>
      <c r="C10" s="191"/>
      <c r="D10" s="154"/>
      <c r="E10" s="154"/>
      <c r="F10" s="154"/>
      <c r="G10" s="154"/>
      <c r="H10" s="154"/>
      <c r="I10" s="151"/>
      <c r="J10" s="154"/>
      <c r="K10" s="153"/>
      <c r="L10" s="151"/>
      <c r="M10" s="153"/>
      <c r="N10" s="153"/>
      <c r="O10" s="151"/>
      <c r="P10" s="152"/>
      <c r="Q10" s="152"/>
      <c r="R10" s="151"/>
      <c r="S10" s="152"/>
      <c r="T10" s="152"/>
      <c r="U10" s="151"/>
    </row>
    <row r="11" spans="2:29" s="148" customFormat="1" ht="12.95" customHeight="1" x14ac:dyDescent="0.2">
      <c r="B11" s="150" t="s">
        <v>7</v>
      </c>
      <c r="C11" s="149"/>
      <c r="D11" s="181">
        <v>6780048.2339707203</v>
      </c>
      <c r="E11" s="125"/>
      <c r="F11" s="181">
        <v>7269854.8848481402</v>
      </c>
      <c r="G11" s="125"/>
      <c r="H11" s="181">
        <v>632744.981253637</v>
      </c>
      <c r="I11" s="181">
        <v>9.1622009805999998</v>
      </c>
      <c r="J11" s="125"/>
      <c r="K11" s="181">
        <v>335425.12424204301</v>
      </c>
      <c r="L11" s="181">
        <v>4.8442446848999996</v>
      </c>
      <c r="M11" s="125"/>
      <c r="N11" s="181">
        <v>1451792.9878165899</v>
      </c>
      <c r="O11" s="181">
        <v>21.014595015800001</v>
      </c>
      <c r="P11" s="125"/>
      <c r="Q11" s="181">
        <v>4674937.22747749</v>
      </c>
      <c r="R11" s="181">
        <v>68.135907765200002</v>
      </c>
      <c r="S11" s="125"/>
      <c r="T11" s="181">
        <v>11040.528358387901</v>
      </c>
      <c r="U11" s="181">
        <v>0.1590983939</v>
      </c>
      <c r="V11" s="147"/>
      <c r="W11" s="147"/>
      <c r="X11" s="147"/>
      <c r="Y11" s="147"/>
      <c r="Z11" s="147"/>
      <c r="AA11" s="147"/>
      <c r="AB11" s="147"/>
      <c r="AC11" s="147"/>
    </row>
    <row r="12" spans="2:29" s="148" customFormat="1" ht="6" customHeight="1" x14ac:dyDescent="0.2">
      <c r="B12" s="150"/>
      <c r="C12" s="149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126"/>
      <c r="T12" s="126"/>
      <c r="U12" s="127"/>
      <c r="V12" s="147"/>
      <c r="W12" s="147"/>
      <c r="X12" s="147"/>
      <c r="Y12" s="147"/>
      <c r="Z12" s="147"/>
      <c r="AA12" s="147"/>
      <c r="AB12" s="147"/>
      <c r="AC12" s="147"/>
    </row>
    <row r="13" spans="2:29" s="138" customFormat="1" ht="12.95" customHeight="1" x14ac:dyDescent="0.2">
      <c r="B13" s="146" t="s">
        <v>8</v>
      </c>
      <c r="C13" s="137"/>
      <c r="D13" s="182">
        <v>45970.556122494898</v>
      </c>
      <c r="E13" s="126"/>
      <c r="F13" s="182">
        <v>49269.618075474697</v>
      </c>
      <c r="G13" s="126"/>
      <c r="H13" s="182">
        <v>2873.8356004860002</v>
      </c>
      <c r="I13" s="182">
        <v>5.5551371814000001</v>
      </c>
      <c r="J13" s="126"/>
      <c r="K13" s="182">
        <v>1899.8488605632001</v>
      </c>
      <c r="L13" s="182">
        <v>3.6103363472000001</v>
      </c>
      <c r="M13" s="126"/>
      <c r="N13" s="182">
        <v>13547.1116804761</v>
      </c>
      <c r="O13" s="182">
        <v>27.494751791300001</v>
      </c>
      <c r="P13" s="126"/>
      <c r="Q13" s="182">
        <v>24508.614088650302</v>
      </c>
      <c r="R13" s="182">
        <v>50.003550210199997</v>
      </c>
      <c r="S13" s="126"/>
      <c r="T13" s="182">
        <v>0</v>
      </c>
      <c r="U13" s="182">
        <v>0</v>
      </c>
      <c r="V13" s="147"/>
      <c r="W13" s="147"/>
      <c r="X13" s="147"/>
      <c r="Y13" s="147"/>
      <c r="Z13" s="147"/>
      <c r="AA13" s="147"/>
      <c r="AB13" s="147"/>
      <c r="AC13" s="147"/>
    </row>
    <row r="14" spans="2:29" s="138" customFormat="1" ht="12.95" customHeight="1" x14ac:dyDescent="0.2">
      <c r="B14" s="146" t="s">
        <v>9</v>
      </c>
      <c r="C14" s="137"/>
      <c r="D14" s="182">
        <v>221028.24781273899</v>
      </c>
      <c r="E14" s="126"/>
      <c r="F14" s="182">
        <v>233982.900125691</v>
      </c>
      <c r="G14" s="126"/>
      <c r="H14" s="182">
        <v>9686.3275587363005</v>
      </c>
      <c r="I14" s="182">
        <v>3.7956624319999999</v>
      </c>
      <c r="J14" s="126"/>
      <c r="K14" s="182">
        <v>12438.689611112701</v>
      </c>
      <c r="L14" s="182">
        <v>5.0320681469000004</v>
      </c>
      <c r="M14" s="126"/>
      <c r="N14" s="182">
        <v>89477.180678807199</v>
      </c>
      <c r="O14" s="182">
        <v>38.674981198099999</v>
      </c>
      <c r="P14" s="126"/>
      <c r="Q14" s="182">
        <v>97338.307513186504</v>
      </c>
      <c r="R14" s="182">
        <v>39.9920123116</v>
      </c>
      <c r="S14" s="126"/>
      <c r="T14" s="182">
        <v>0</v>
      </c>
      <c r="U14" s="182">
        <v>0</v>
      </c>
      <c r="V14" s="147"/>
      <c r="W14" s="147"/>
      <c r="X14" s="147"/>
      <c r="Y14" s="147"/>
      <c r="Z14" s="147"/>
      <c r="AA14" s="147"/>
      <c r="AB14" s="147"/>
      <c r="AC14" s="147"/>
    </row>
    <row r="15" spans="2:29" s="138" customFormat="1" ht="12.95" customHeight="1" x14ac:dyDescent="0.2">
      <c r="B15" s="146" t="s">
        <v>10</v>
      </c>
      <c r="C15" s="137"/>
      <c r="D15" s="182">
        <v>50201.9369766175</v>
      </c>
      <c r="E15" s="126"/>
      <c r="F15" s="182">
        <v>53821.672052652997</v>
      </c>
      <c r="G15" s="126"/>
      <c r="H15" s="182">
        <v>1114.8438882261</v>
      </c>
      <c r="I15" s="182">
        <v>2.9106620477999998</v>
      </c>
      <c r="J15" s="126"/>
      <c r="K15" s="182">
        <v>1176.2735432965001</v>
      </c>
      <c r="L15" s="182">
        <v>2.0404172808999999</v>
      </c>
      <c r="M15" s="126"/>
      <c r="N15" s="182">
        <v>12620.926808513101</v>
      </c>
      <c r="O15" s="182">
        <v>22.065325878199999</v>
      </c>
      <c r="P15" s="126"/>
      <c r="Q15" s="182">
        <v>31178.835373394199</v>
      </c>
      <c r="R15" s="182">
        <v>57.815389408500003</v>
      </c>
      <c r="S15" s="126"/>
      <c r="T15" s="182">
        <v>0</v>
      </c>
      <c r="U15" s="182">
        <v>0</v>
      </c>
      <c r="V15" s="147"/>
      <c r="W15" s="147"/>
      <c r="X15" s="147"/>
      <c r="Y15" s="147"/>
      <c r="Z15" s="147"/>
      <c r="AA15" s="147"/>
      <c r="AB15" s="147"/>
      <c r="AC15" s="147"/>
    </row>
    <row r="16" spans="2:29" s="138" customFormat="1" ht="12.95" customHeight="1" x14ac:dyDescent="0.2">
      <c r="B16" s="146" t="s">
        <v>11</v>
      </c>
      <c r="C16" s="137"/>
      <c r="D16" s="182">
        <v>54453.239042004701</v>
      </c>
      <c r="E16" s="126"/>
      <c r="F16" s="182">
        <v>58326.126457117804</v>
      </c>
      <c r="G16" s="126"/>
      <c r="H16" s="182">
        <v>5030.3392014634001</v>
      </c>
      <c r="I16" s="182">
        <v>8.5838916057999999</v>
      </c>
      <c r="J16" s="126"/>
      <c r="K16" s="182">
        <v>1363.5494110884999</v>
      </c>
      <c r="L16" s="182">
        <v>2.2725373141</v>
      </c>
      <c r="M16" s="126"/>
      <c r="N16" s="182">
        <v>4496.9834609570999</v>
      </c>
      <c r="O16" s="182">
        <v>7.7143428021</v>
      </c>
      <c r="P16" s="126"/>
      <c r="Q16" s="182">
        <v>43633.268344951699</v>
      </c>
      <c r="R16" s="182">
        <v>75.7368859165</v>
      </c>
      <c r="S16" s="126"/>
      <c r="T16" s="182">
        <v>0</v>
      </c>
      <c r="U16" s="182">
        <v>0</v>
      </c>
      <c r="V16" s="147"/>
      <c r="W16" s="147"/>
      <c r="X16" s="147"/>
      <c r="Y16" s="147"/>
      <c r="Z16" s="147"/>
      <c r="AA16" s="147"/>
      <c r="AB16" s="147"/>
      <c r="AC16" s="147"/>
    </row>
    <row r="17" spans="2:29" s="138" customFormat="1" ht="12.95" customHeight="1" x14ac:dyDescent="0.2">
      <c r="B17" s="146" t="s">
        <v>12</v>
      </c>
      <c r="C17" s="137"/>
      <c r="D17" s="182">
        <v>133643.94431869601</v>
      </c>
      <c r="E17" s="126"/>
      <c r="F17" s="182">
        <v>141191.91057061299</v>
      </c>
      <c r="G17" s="126"/>
      <c r="H17" s="182">
        <v>8755.9523932458997</v>
      </c>
      <c r="I17" s="182">
        <v>6.0154568451000001</v>
      </c>
      <c r="J17" s="126"/>
      <c r="K17" s="182">
        <v>3724.4479791843</v>
      </c>
      <c r="L17" s="182">
        <v>2.5349328610000001</v>
      </c>
      <c r="M17" s="126"/>
      <c r="N17" s="182">
        <v>30629.0992827995</v>
      </c>
      <c r="O17" s="182">
        <v>21.125507973000001</v>
      </c>
      <c r="P17" s="126"/>
      <c r="Q17" s="182">
        <v>80371.406631039295</v>
      </c>
      <c r="R17" s="182">
        <v>56.895370208499997</v>
      </c>
      <c r="S17" s="126"/>
      <c r="T17" s="182">
        <v>0</v>
      </c>
      <c r="U17" s="182">
        <v>0</v>
      </c>
      <c r="V17" s="147"/>
      <c r="W17" s="147"/>
      <c r="X17" s="147"/>
      <c r="Y17" s="147"/>
      <c r="Z17" s="147"/>
      <c r="AA17" s="147"/>
      <c r="AB17" s="147"/>
      <c r="AC17" s="147"/>
    </row>
    <row r="18" spans="2:29" s="138" customFormat="1" ht="12.95" customHeight="1" x14ac:dyDescent="0.2">
      <c r="B18" s="146" t="s">
        <v>13</v>
      </c>
      <c r="C18" s="137"/>
      <c r="D18" s="182">
        <v>29468.829007265202</v>
      </c>
      <c r="E18" s="126"/>
      <c r="F18" s="182">
        <v>31419.554928587801</v>
      </c>
      <c r="G18" s="126"/>
      <c r="H18" s="182">
        <v>702.1130486321</v>
      </c>
      <c r="I18" s="182">
        <v>2.2422515237999998</v>
      </c>
      <c r="J18" s="126"/>
      <c r="K18" s="182">
        <v>559.29150943069999</v>
      </c>
      <c r="L18" s="182">
        <v>1.7531075259</v>
      </c>
      <c r="M18" s="126"/>
      <c r="N18" s="182">
        <v>11241.011162675401</v>
      </c>
      <c r="O18" s="182">
        <v>35.557902725300004</v>
      </c>
      <c r="P18" s="126"/>
      <c r="Q18" s="182">
        <v>14968.3205014336</v>
      </c>
      <c r="R18" s="182">
        <v>46.176723254300001</v>
      </c>
      <c r="S18" s="126"/>
      <c r="T18" s="182">
        <v>0</v>
      </c>
      <c r="U18" s="182">
        <v>0</v>
      </c>
      <c r="V18" s="147"/>
      <c r="W18" s="147"/>
      <c r="X18" s="147"/>
      <c r="Y18" s="147"/>
      <c r="Z18" s="147"/>
      <c r="AA18" s="147"/>
      <c r="AB18" s="147"/>
      <c r="AC18" s="147"/>
    </row>
    <row r="19" spans="2:29" s="138" customFormat="1" ht="12.95" customHeight="1" x14ac:dyDescent="0.2">
      <c r="B19" s="146" t="s">
        <v>14</v>
      </c>
      <c r="C19" s="137"/>
      <c r="D19" s="182">
        <v>341957.97575186001</v>
      </c>
      <c r="E19" s="126"/>
      <c r="F19" s="182">
        <v>359503.045600485</v>
      </c>
      <c r="G19" s="126"/>
      <c r="H19" s="182">
        <v>49735.986166648603</v>
      </c>
      <c r="I19" s="182">
        <v>13.693793665299999</v>
      </c>
      <c r="J19" s="126"/>
      <c r="K19" s="182">
        <v>23643.898273275201</v>
      </c>
      <c r="L19" s="182">
        <v>6.0983254664000004</v>
      </c>
      <c r="M19" s="126"/>
      <c r="N19" s="182">
        <v>35934.882362313103</v>
      </c>
      <c r="O19" s="182">
        <v>9.7053888528000005</v>
      </c>
      <c r="P19" s="126"/>
      <c r="Q19" s="182">
        <v>216518.888019823</v>
      </c>
      <c r="R19" s="182">
        <v>60.296317552700003</v>
      </c>
      <c r="S19" s="126"/>
      <c r="T19" s="182">
        <v>71.722585026800004</v>
      </c>
      <c r="U19" s="182">
        <v>2.93214709E-2</v>
      </c>
      <c r="V19" s="147"/>
      <c r="W19" s="147"/>
      <c r="X19" s="147"/>
      <c r="Y19" s="147"/>
      <c r="Z19" s="147"/>
      <c r="AA19" s="147"/>
      <c r="AB19" s="147"/>
      <c r="AC19" s="147"/>
    </row>
    <row r="20" spans="2:29" s="138" customFormat="1" ht="12.95" customHeight="1" x14ac:dyDescent="0.2">
      <c r="B20" s="146" t="s">
        <v>15</v>
      </c>
      <c r="C20" s="137"/>
      <c r="D20" s="182">
        <v>137489.42196189801</v>
      </c>
      <c r="E20" s="126"/>
      <c r="F20" s="182">
        <v>148989.111669912</v>
      </c>
      <c r="G20" s="126"/>
      <c r="H20" s="182">
        <v>2802.4846798264002</v>
      </c>
      <c r="I20" s="182">
        <v>1.8708064714999999</v>
      </c>
      <c r="J20" s="126"/>
      <c r="K20" s="182">
        <v>3850.9930436791001</v>
      </c>
      <c r="L20" s="182">
        <v>2.5135172159999999</v>
      </c>
      <c r="M20" s="126"/>
      <c r="N20" s="182">
        <v>42051.837635869699</v>
      </c>
      <c r="O20" s="182">
        <v>28.339299136899999</v>
      </c>
      <c r="P20" s="126"/>
      <c r="Q20" s="182">
        <v>79084.384290333604</v>
      </c>
      <c r="R20" s="182">
        <v>53.987286405200003</v>
      </c>
      <c r="S20" s="126"/>
      <c r="T20" s="182">
        <v>0</v>
      </c>
      <c r="U20" s="182">
        <v>0</v>
      </c>
      <c r="V20" s="147"/>
      <c r="W20" s="147"/>
      <c r="X20" s="147"/>
      <c r="Y20" s="147"/>
      <c r="Z20" s="147"/>
      <c r="AA20" s="147"/>
      <c r="AB20" s="147"/>
      <c r="AC20" s="147"/>
    </row>
    <row r="21" spans="2:29" s="138" customFormat="1" ht="12.95" customHeight="1" x14ac:dyDescent="0.2">
      <c r="B21" s="146" t="s">
        <v>16</v>
      </c>
      <c r="C21" s="137"/>
      <c r="D21" s="182">
        <v>621822.94479086599</v>
      </c>
      <c r="E21" s="126"/>
      <c r="F21" s="182">
        <v>666580.31506914203</v>
      </c>
      <c r="G21" s="126"/>
      <c r="H21" s="182">
        <v>56390.473332653601</v>
      </c>
      <c r="I21" s="182">
        <v>8.3740135995999996</v>
      </c>
      <c r="J21" s="126"/>
      <c r="K21" s="182">
        <v>31326.292381899901</v>
      </c>
      <c r="L21" s="182">
        <v>4.6789512213000002</v>
      </c>
      <c r="M21" s="126"/>
      <c r="N21" s="182">
        <v>117229.376767061</v>
      </c>
      <c r="O21" s="182">
        <v>17.5438239876</v>
      </c>
      <c r="P21" s="126"/>
      <c r="Q21" s="182">
        <v>397290.36099281802</v>
      </c>
      <c r="R21" s="182">
        <v>61.002241502899999</v>
      </c>
      <c r="S21" s="126"/>
      <c r="T21" s="182">
        <v>0</v>
      </c>
      <c r="U21" s="182">
        <v>0</v>
      </c>
      <c r="V21" s="147"/>
      <c r="W21" s="147"/>
      <c r="X21" s="147"/>
      <c r="Y21" s="147"/>
      <c r="Z21" s="147"/>
      <c r="AA21" s="147"/>
      <c r="AB21" s="147"/>
      <c r="AC21" s="147"/>
    </row>
    <row r="22" spans="2:29" s="138" customFormat="1" ht="12.95" customHeight="1" x14ac:dyDescent="0.2">
      <c r="B22" s="146" t="s">
        <v>17</v>
      </c>
      <c r="C22" s="137"/>
      <c r="D22" s="182">
        <v>78354.204648936895</v>
      </c>
      <c r="E22" s="126"/>
      <c r="F22" s="182">
        <v>84678.278566377907</v>
      </c>
      <c r="G22" s="126"/>
      <c r="H22" s="182">
        <v>4476.8268359313997</v>
      </c>
      <c r="I22" s="182">
        <v>5.2201133576999998</v>
      </c>
      <c r="J22" s="126"/>
      <c r="K22" s="182">
        <v>1827.6183638616999</v>
      </c>
      <c r="L22" s="182">
        <v>2.1374304764000001</v>
      </c>
      <c r="M22" s="126"/>
      <c r="N22" s="182">
        <v>13684.003815104699</v>
      </c>
      <c r="O22" s="182">
        <v>16.233077131400002</v>
      </c>
      <c r="P22" s="126"/>
      <c r="Q22" s="182">
        <v>55838.403170883401</v>
      </c>
      <c r="R22" s="182">
        <v>67.602459224499995</v>
      </c>
      <c r="S22" s="126"/>
      <c r="T22" s="182">
        <v>0</v>
      </c>
      <c r="U22" s="182">
        <v>0</v>
      </c>
      <c r="V22" s="147"/>
      <c r="W22" s="147"/>
      <c r="X22" s="147"/>
      <c r="Y22" s="147"/>
      <c r="Z22" s="147"/>
      <c r="AA22" s="147"/>
      <c r="AB22" s="147"/>
      <c r="AC22" s="147"/>
    </row>
    <row r="23" spans="2:29" s="138" customFormat="1" ht="12.95" customHeight="1" x14ac:dyDescent="0.2">
      <c r="B23" s="146" t="s">
        <v>18</v>
      </c>
      <c r="C23" s="137"/>
      <c r="D23" s="182">
        <v>273052.968955355</v>
      </c>
      <c r="E23" s="126"/>
      <c r="F23" s="182">
        <v>299840.23455033102</v>
      </c>
      <c r="G23" s="126"/>
      <c r="H23" s="182">
        <v>14198.0333431942</v>
      </c>
      <c r="I23" s="182">
        <v>4.6851705552</v>
      </c>
      <c r="J23" s="126"/>
      <c r="K23" s="182">
        <v>9224.7665254225994</v>
      </c>
      <c r="L23" s="182">
        <v>3.0850166347000001</v>
      </c>
      <c r="M23" s="126"/>
      <c r="N23" s="182">
        <v>61609.9332322228</v>
      </c>
      <c r="O23" s="182">
        <v>20.806145347600001</v>
      </c>
      <c r="P23" s="126"/>
      <c r="Q23" s="182">
        <v>181738.35557762301</v>
      </c>
      <c r="R23" s="182">
        <v>63.891206836400002</v>
      </c>
      <c r="S23" s="126"/>
      <c r="T23" s="182">
        <v>0</v>
      </c>
      <c r="U23" s="182">
        <v>0</v>
      </c>
      <c r="V23" s="147"/>
      <c r="W23" s="147"/>
      <c r="X23" s="147"/>
      <c r="Y23" s="147"/>
      <c r="Z23" s="147"/>
      <c r="AA23" s="147"/>
      <c r="AB23" s="147"/>
      <c r="AC23" s="147"/>
    </row>
    <row r="24" spans="2:29" s="138" customFormat="1" ht="12.95" customHeight="1" x14ac:dyDescent="0.2">
      <c r="B24" s="146" t="s">
        <v>19</v>
      </c>
      <c r="C24" s="137"/>
      <c r="D24" s="182">
        <v>258018.79291654899</v>
      </c>
      <c r="E24" s="126"/>
      <c r="F24" s="182">
        <v>282716.49375736801</v>
      </c>
      <c r="G24" s="126"/>
      <c r="H24" s="182">
        <v>31313.333490947101</v>
      </c>
      <c r="I24" s="182">
        <v>11.255539821899999</v>
      </c>
      <c r="J24" s="126"/>
      <c r="K24" s="182">
        <v>6021.9301616559997</v>
      </c>
      <c r="L24" s="182">
        <v>2.1630152968999998</v>
      </c>
      <c r="M24" s="126"/>
      <c r="N24" s="182">
        <v>27086.6694671277</v>
      </c>
      <c r="O24" s="182">
        <v>9.8734936226999999</v>
      </c>
      <c r="P24" s="126"/>
      <c r="Q24" s="182">
        <v>197223.69100332301</v>
      </c>
      <c r="R24" s="182">
        <v>72.523459948400003</v>
      </c>
      <c r="S24" s="126"/>
      <c r="T24" s="182">
        <v>0</v>
      </c>
      <c r="U24" s="182">
        <v>0</v>
      </c>
      <c r="V24" s="147"/>
      <c r="W24" s="147"/>
      <c r="X24" s="147"/>
      <c r="Y24" s="147"/>
      <c r="Z24" s="147"/>
      <c r="AA24" s="147"/>
      <c r="AB24" s="147"/>
      <c r="AC24" s="147"/>
    </row>
    <row r="25" spans="2:29" s="138" customFormat="1" ht="12.95" customHeight="1" x14ac:dyDescent="0.2">
      <c r="B25" s="146" t="s">
        <v>20</v>
      </c>
      <c r="C25" s="137"/>
      <c r="D25" s="182">
        <v>115577.326450305</v>
      </c>
      <c r="E25" s="145"/>
      <c r="F25" s="192">
        <v>128305.497264797</v>
      </c>
      <c r="G25" s="145"/>
      <c r="H25" s="192">
        <v>5038.5556757529002</v>
      </c>
      <c r="I25" s="192">
        <v>4.0679988435999999</v>
      </c>
      <c r="J25" s="145"/>
      <c r="K25" s="182">
        <v>3754.8697778801002</v>
      </c>
      <c r="L25" s="192">
        <v>2.9381032291000002</v>
      </c>
      <c r="M25" s="145"/>
      <c r="N25" s="182">
        <v>16852.021700077301</v>
      </c>
      <c r="O25" s="192">
        <v>13.4617486186</v>
      </c>
      <c r="P25" s="145"/>
      <c r="Q25" s="192">
        <v>88912.400530261802</v>
      </c>
      <c r="R25" s="192">
        <v>72.1530685492</v>
      </c>
      <c r="S25" s="145"/>
      <c r="T25" s="192">
        <v>0</v>
      </c>
      <c r="U25" s="192">
        <v>0</v>
      </c>
    </row>
    <row r="26" spans="2:29" s="138" customFormat="1" ht="12.95" customHeight="1" x14ac:dyDescent="0.2">
      <c r="B26" s="146" t="s">
        <v>21</v>
      </c>
      <c r="C26" s="137"/>
      <c r="D26" s="182">
        <v>328620.30938608601</v>
      </c>
      <c r="E26" s="145"/>
      <c r="F26" s="192">
        <v>353224.727415537</v>
      </c>
      <c r="G26" s="145"/>
      <c r="H26" s="192">
        <v>16691.248597418798</v>
      </c>
      <c r="I26" s="192">
        <v>4.7029577189999996</v>
      </c>
      <c r="J26" s="145"/>
      <c r="K26" s="182">
        <v>18450.8243109676</v>
      </c>
      <c r="L26" s="192">
        <v>5.1436914747999998</v>
      </c>
      <c r="M26" s="145"/>
      <c r="N26" s="182">
        <v>87084.966618824095</v>
      </c>
      <c r="O26" s="192">
        <v>24.061724139999999</v>
      </c>
      <c r="P26" s="145"/>
      <c r="Q26" s="192">
        <v>186064.296615787</v>
      </c>
      <c r="R26" s="192">
        <v>53.802710709800003</v>
      </c>
      <c r="S26" s="145"/>
      <c r="T26" s="192">
        <v>0</v>
      </c>
      <c r="U26" s="192">
        <v>0</v>
      </c>
    </row>
    <row r="27" spans="2:29" s="138" customFormat="1" ht="12.95" customHeight="1" x14ac:dyDescent="0.2">
      <c r="B27" s="146" t="s">
        <v>22</v>
      </c>
      <c r="C27" s="137"/>
      <c r="D27" s="182">
        <v>720984.27167881699</v>
      </c>
      <c r="E27" s="145"/>
      <c r="F27" s="192">
        <v>815627.34676223097</v>
      </c>
      <c r="G27" s="145"/>
      <c r="H27" s="192">
        <v>58711.424231579302</v>
      </c>
      <c r="I27" s="192">
        <v>7.5500716913000003</v>
      </c>
      <c r="J27" s="145"/>
      <c r="K27" s="182">
        <v>18723.5303910775</v>
      </c>
      <c r="L27" s="192">
        <v>2.4196814813</v>
      </c>
      <c r="M27" s="145"/>
      <c r="N27" s="182">
        <v>90345.149962681098</v>
      </c>
      <c r="O27" s="192">
        <v>11.444656591899999</v>
      </c>
      <c r="P27" s="145"/>
      <c r="Q27" s="192">
        <v>561592.67691330402</v>
      </c>
      <c r="R27" s="192">
        <v>73.934911290700001</v>
      </c>
      <c r="S27" s="145"/>
      <c r="T27" s="192">
        <v>0</v>
      </c>
      <c r="U27" s="192">
        <v>0</v>
      </c>
    </row>
    <row r="28" spans="2:29" s="138" customFormat="1" ht="12.95" customHeight="1" x14ac:dyDescent="0.2">
      <c r="B28" s="146" t="s">
        <v>23</v>
      </c>
      <c r="C28" s="137"/>
      <c r="D28" s="182">
        <v>201757.42256079699</v>
      </c>
      <c r="E28" s="145"/>
      <c r="F28" s="192">
        <v>217640.114721124</v>
      </c>
      <c r="G28" s="145"/>
      <c r="H28" s="192">
        <v>8874.0042388931997</v>
      </c>
      <c r="I28" s="192">
        <v>3.9977230008000002</v>
      </c>
      <c r="J28" s="145"/>
      <c r="K28" s="182">
        <v>4503.2212203794998</v>
      </c>
      <c r="L28" s="192">
        <v>2.0262216452000001</v>
      </c>
      <c r="M28" s="145"/>
      <c r="N28" s="182">
        <v>35406.669725822103</v>
      </c>
      <c r="O28" s="192">
        <v>16.609473825599999</v>
      </c>
      <c r="P28" s="145"/>
      <c r="Q28" s="192">
        <v>146742.65464704699</v>
      </c>
      <c r="R28" s="192">
        <v>67.455081441100006</v>
      </c>
      <c r="S28" s="145"/>
      <c r="T28" s="192">
        <v>0</v>
      </c>
      <c r="U28" s="192">
        <v>0</v>
      </c>
    </row>
    <row r="29" spans="2:29" s="138" customFormat="1" ht="12.95" customHeight="1" x14ac:dyDescent="0.2">
      <c r="B29" s="146" t="s">
        <v>24</v>
      </c>
      <c r="C29" s="137"/>
      <c r="D29" s="182">
        <v>90294.822582416295</v>
      </c>
      <c r="E29" s="145"/>
      <c r="F29" s="192">
        <v>96237.649325103601</v>
      </c>
      <c r="G29" s="145"/>
      <c r="H29" s="192">
        <v>5895.0715393029004</v>
      </c>
      <c r="I29" s="192">
        <v>6.0739703132000002</v>
      </c>
      <c r="J29" s="145"/>
      <c r="K29" s="182">
        <v>1149.9307361348999</v>
      </c>
      <c r="L29" s="192">
        <v>1.1478978661999999</v>
      </c>
      <c r="M29" s="145"/>
      <c r="N29" s="182">
        <v>14962.7842667198</v>
      </c>
      <c r="O29" s="192">
        <v>15.5516639017</v>
      </c>
      <c r="P29" s="145"/>
      <c r="Q29" s="192">
        <v>65965.342961609596</v>
      </c>
      <c r="R29" s="192">
        <v>70.005470866899998</v>
      </c>
      <c r="S29" s="145"/>
      <c r="T29" s="192">
        <v>0</v>
      </c>
      <c r="U29" s="192">
        <v>0</v>
      </c>
    </row>
    <row r="30" spans="2:29" s="138" customFormat="1" ht="12.95" customHeight="1" x14ac:dyDescent="0.2">
      <c r="B30" s="146" t="s">
        <v>25</v>
      </c>
      <c r="C30" s="137"/>
      <c r="D30" s="182">
        <v>64983.736576872303</v>
      </c>
      <c r="E30" s="145"/>
      <c r="F30" s="192">
        <v>68932.686549803402</v>
      </c>
      <c r="G30" s="145"/>
      <c r="H30" s="192">
        <v>2705.7425017291998</v>
      </c>
      <c r="I30" s="192">
        <v>3.7456278520000001</v>
      </c>
      <c r="J30" s="145"/>
      <c r="K30" s="182">
        <v>2131.9945207201999</v>
      </c>
      <c r="L30" s="192">
        <v>3.1270503357999999</v>
      </c>
      <c r="M30" s="145"/>
      <c r="N30" s="182">
        <v>15549.523003176801</v>
      </c>
      <c r="O30" s="192">
        <v>22.3928215567</v>
      </c>
      <c r="P30" s="145"/>
      <c r="Q30" s="192">
        <v>43175.126213415198</v>
      </c>
      <c r="R30" s="192">
        <v>63.023458134800002</v>
      </c>
      <c r="S30" s="145"/>
      <c r="T30" s="192">
        <v>0</v>
      </c>
      <c r="U30" s="192">
        <v>0</v>
      </c>
    </row>
    <row r="31" spans="2:29" s="138" customFormat="1" ht="12.95" customHeight="1" x14ac:dyDescent="0.2">
      <c r="B31" s="146" t="s">
        <v>26</v>
      </c>
      <c r="C31" s="137"/>
      <c r="D31" s="182">
        <v>152891.03004680801</v>
      </c>
      <c r="E31" s="145"/>
      <c r="F31" s="192">
        <v>163954.38561973299</v>
      </c>
      <c r="G31" s="145"/>
      <c r="H31" s="192">
        <v>1695.2530409128001</v>
      </c>
      <c r="I31" s="192">
        <v>1.1611759305</v>
      </c>
      <c r="J31" s="145"/>
      <c r="K31" s="182">
        <v>4916.8451249889004</v>
      </c>
      <c r="L31" s="192">
        <v>2.8201130323000001</v>
      </c>
      <c r="M31" s="145"/>
      <c r="N31" s="182">
        <v>41327.675157404403</v>
      </c>
      <c r="O31" s="192">
        <v>24.126920318100002</v>
      </c>
      <c r="P31" s="145"/>
      <c r="Q31" s="192">
        <v>89169.328695137301</v>
      </c>
      <c r="R31" s="192">
        <v>53.926998623800003</v>
      </c>
      <c r="S31" s="145"/>
      <c r="T31" s="192">
        <v>0</v>
      </c>
      <c r="U31" s="192">
        <v>0</v>
      </c>
    </row>
    <row r="32" spans="2:29" s="138" customFormat="1" ht="12.95" customHeight="1" x14ac:dyDescent="0.2">
      <c r="B32" s="146" t="s">
        <v>27</v>
      </c>
      <c r="C32" s="137"/>
      <c r="D32" s="182">
        <v>240499.26251843601</v>
      </c>
      <c r="E32" s="145"/>
      <c r="F32" s="192">
        <v>260336.473973997</v>
      </c>
      <c r="G32" s="145"/>
      <c r="H32" s="192">
        <v>14028.252251530401</v>
      </c>
      <c r="I32" s="192">
        <v>5.3356021622999998</v>
      </c>
      <c r="J32" s="145"/>
      <c r="K32" s="182">
        <v>5259.2614174183</v>
      </c>
      <c r="L32" s="192">
        <v>1.9843140519</v>
      </c>
      <c r="M32" s="145"/>
      <c r="N32" s="182">
        <v>18514.236096863599</v>
      </c>
      <c r="O32" s="192">
        <v>6.8006716012000004</v>
      </c>
      <c r="P32" s="145"/>
      <c r="Q32" s="192">
        <v>204152.16694349001</v>
      </c>
      <c r="R32" s="192">
        <v>81.776080806099998</v>
      </c>
      <c r="S32" s="145"/>
      <c r="T32" s="192">
        <v>0</v>
      </c>
      <c r="U32" s="192">
        <v>0</v>
      </c>
    </row>
    <row r="33" spans="1:25" s="138" customFormat="1" ht="12.95" customHeight="1" x14ac:dyDescent="0.2">
      <c r="B33" s="146" t="s">
        <v>28</v>
      </c>
      <c r="C33" s="137"/>
      <c r="D33" s="182">
        <v>347029.84816069901</v>
      </c>
      <c r="E33" s="145"/>
      <c r="F33" s="192">
        <v>384888.92351465201</v>
      </c>
      <c r="G33" s="145"/>
      <c r="H33" s="192">
        <v>30997.432300423701</v>
      </c>
      <c r="I33" s="192">
        <v>8.2652930662999999</v>
      </c>
      <c r="J33" s="145"/>
      <c r="K33" s="182">
        <v>8229.1849995173998</v>
      </c>
      <c r="L33" s="192">
        <v>2.1288990858000001</v>
      </c>
      <c r="M33" s="145"/>
      <c r="N33" s="182">
        <v>53481.024010644098</v>
      </c>
      <c r="O33" s="192">
        <v>14.2301393248</v>
      </c>
      <c r="P33" s="145"/>
      <c r="Q33" s="192">
        <v>262749.62334108702</v>
      </c>
      <c r="R33" s="192">
        <v>72.153953616600006</v>
      </c>
      <c r="S33" s="145"/>
      <c r="T33" s="192">
        <v>0</v>
      </c>
      <c r="U33" s="192">
        <v>0</v>
      </c>
    </row>
    <row r="34" spans="1:25" s="138" customFormat="1" ht="12.95" customHeight="1" x14ac:dyDescent="0.2">
      <c r="B34" s="146" t="s">
        <v>29</v>
      </c>
      <c r="C34" s="137"/>
      <c r="D34" s="182">
        <v>110398.53132477</v>
      </c>
      <c r="E34" s="145"/>
      <c r="F34" s="192">
        <v>123472.48462869501</v>
      </c>
      <c r="G34" s="145"/>
      <c r="H34" s="192">
        <v>6520.7538109403004</v>
      </c>
      <c r="I34" s="192">
        <v>5.4084815392000003</v>
      </c>
      <c r="J34" s="145"/>
      <c r="K34" s="182">
        <v>1509.1416230683999</v>
      </c>
      <c r="L34" s="192">
        <v>1.2065001848000001</v>
      </c>
      <c r="M34" s="145"/>
      <c r="N34" s="182">
        <v>19792.813491546902</v>
      </c>
      <c r="O34" s="192">
        <v>15.9354605301</v>
      </c>
      <c r="P34" s="145"/>
      <c r="Q34" s="192">
        <v>82481.414009052503</v>
      </c>
      <c r="R34" s="192">
        <v>70.7355784067</v>
      </c>
      <c r="S34" s="145"/>
      <c r="T34" s="192">
        <v>0</v>
      </c>
      <c r="U34" s="192">
        <v>0</v>
      </c>
    </row>
    <row r="35" spans="1:25" s="138" customFormat="1" ht="12.95" customHeight="1" x14ac:dyDescent="0.2">
      <c r="B35" s="146" t="s">
        <v>30</v>
      </c>
      <c r="C35" s="137"/>
      <c r="D35" s="182">
        <v>114947.96914949801</v>
      </c>
      <c r="E35" s="145"/>
      <c r="F35" s="192">
        <v>125648.511533057</v>
      </c>
      <c r="G35" s="145"/>
      <c r="H35" s="192">
        <v>13168.534147719</v>
      </c>
      <c r="I35" s="192">
        <v>10.4816435391</v>
      </c>
      <c r="J35" s="145"/>
      <c r="K35" s="182">
        <v>4800.4836463170004</v>
      </c>
      <c r="L35" s="192">
        <v>3.5472398040000002</v>
      </c>
      <c r="M35" s="145"/>
      <c r="N35" s="182">
        <v>36625.688023231203</v>
      </c>
      <c r="O35" s="192">
        <v>29.914558648900002</v>
      </c>
      <c r="P35" s="145"/>
      <c r="Q35" s="192">
        <v>53548.6241214002</v>
      </c>
      <c r="R35" s="192">
        <v>43.466116530500003</v>
      </c>
      <c r="S35" s="145"/>
      <c r="T35" s="192">
        <v>0</v>
      </c>
      <c r="U35" s="192">
        <v>0</v>
      </c>
    </row>
    <row r="36" spans="1:25" s="138" customFormat="1" ht="12.95" customHeight="1" x14ac:dyDescent="0.2">
      <c r="B36" s="146" t="s">
        <v>31</v>
      </c>
      <c r="C36" s="137"/>
      <c r="D36" s="182">
        <v>98168.097492536894</v>
      </c>
      <c r="E36" s="145"/>
      <c r="F36" s="192">
        <v>110782.74910108</v>
      </c>
      <c r="G36" s="145"/>
      <c r="H36" s="192">
        <v>2071.9143927177001</v>
      </c>
      <c r="I36" s="192">
        <v>1.9548222029</v>
      </c>
      <c r="J36" s="145"/>
      <c r="K36" s="182">
        <v>3094.9817301925</v>
      </c>
      <c r="L36" s="192">
        <v>2.8535105430000001</v>
      </c>
      <c r="M36" s="145"/>
      <c r="N36" s="182">
        <v>23413.126134311002</v>
      </c>
      <c r="O36" s="192">
        <v>22.242424509300001</v>
      </c>
      <c r="P36" s="145"/>
      <c r="Q36" s="192">
        <v>69265.218697755699</v>
      </c>
      <c r="R36" s="192">
        <v>65.799159812400006</v>
      </c>
      <c r="S36" s="145"/>
      <c r="T36" s="192">
        <v>0</v>
      </c>
      <c r="U36" s="192">
        <v>0</v>
      </c>
    </row>
    <row r="37" spans="1:25" s="138" customFormat="1" ht="12.95" customHeight="1" x14ac:dyDescent="0.2">
      <c r="B37" s="146" t="s">
        <v>32</v>
      </c>
      <c r="C37" s="137"/>
      <c r="D37" s="182">
        <v>186665.46118310999</v>
      </c>
      <c r="E37" s="145"/>
      <c r="F37" s="192">
        <v>201505.62892414001</v>
      </c>
      <c r="G37" s="145"/>
      <c r="H37" s="192">
        <v>6348.3907662493002</v>
      </c>
      <c r="I37" s="192">
        <v>3.1709565104999999</v>
      </c>
      <c r="J37" s="145"/>
      <c r="K37" s="182">
        <v>8791.3058542476992</v>
      </c>
      <c r="L37" s="192">
        <v>4.3944401271000002</v>
      </c>
      <c r="M37" s="145"/>
      <c r="N37" s="182">
        <v>52975.403317690303</v>
      </c>
      <c r="O37" s="192">
        <v>26.946895368</v>
      </c>
      <c r="P37" s="145"/>
      <c r="Q37" s="192">
        <v>114232.01638684599</v>
      </c>
      <c r="R37" s="192">
        <v>58.173672065600002</v>
      </c>
      <c r="S37" s="145"/>
      <c r="T37" s="192">
        <v>0</v>
      </c>
      <c r="U37" s="192">
        <v>0</v>
      </c>
    </row>
    <row r="38" spans="1:25" s="138" customFormat="1" ht="12.95" customHeight="1" x14ac:dyDescent="0.2">
      <c r="B38" s="146" t="s">
        <v>33</v>
      </c>
      <c r="C38" s="137"/>
      <c r="D38" s="182">
        <v>184447.45311971399</v>
      </c>
      <c r="E38" s="145"/>
      <c r="F38" s="192">
        <v>199421.04980158599</v>
      </c>
      <c r="G38" s="145"/>
      <c r="H38" s="192">
        <v>9951.1304309312</v>
      </c>
      <c r="I38" s="192">
        <v>5.1203741173999999</v>
      </c>
      <c r="J38" s="145"/>
      <c r="K38" s="182">
        <v>5372.7955902158001</v>
      </c>
      <c r="L38" s="192">
        <v>2.6845289832999999</v>
      </c>
      <c r="M38" s="145"/>
      <c r="N38" s="182">
        <v>46158.8828861281</v>
      </c>
      <c r="O38" s="192">
        <v>23.434657820200002</v>
      </c>
      <c r="P38" s="145"/>
      <c r="Q38" s="192">
        <v>118042.523653404</v>
      </c>
      <c r="R38" s="192">
        <v>60.899431993299999</v>
      </c>
      <c r="S38" s="145"/>
      <c r="T38" s="192">
        <v>567.19644210870001</v>
      </c>
      <c r="U38" s="192">
        <v>0.29598586589999998</v>
      </c>
    </row>
    <row r="39" spans="1:25" s="138" customFormat="1" ht="12.95" customHeight="1" x14ac:dyDescent="0.2">
      <c r="B39" s="146" t="s">
        <v>34</v>
      </c>
      <c r="C39" s="137"/>
      <c r="D39" s="182">
        <v>162038.432530455</v>
      </c>
      <c r="E39" s="145"/>
      <c r="F39" s="192">
        <v>175829.66128500301</v>
      </c>
      <c r="G39" s="145"/>
      <c r="H39" s="192">
        <v>15055.8280886544</v>
      </c>
      <c r="I39" s="192">
        <v>8.5054178224000001</v>
      </c>
      <c r="J39" s="145"/>
      <c r="K39" s="182">
        <v>8141.8033776587999</v>
      </c>
      <c r="L39" s="192">
        <v>4.8766026475000004</v>
      </c>
      <c r="M39" s="145"/>
      <c r="N39" s="182">
        <v>16808.454686123201</v>
      </c>
      <c r="O39" s="192">
        <v>9.5091358343000003</v>
      </c>
      <c r="P39" s="145"/>
      <c r="Q39" s="192">
        <v>122496.989336606</v>
      </c>
      <c r="R39" s="192">
        <v>71.084629304200007</v>
      </c>
      <c r="S39" s="145"/>
      <c r="T39" s="192">
        <v>65.428491850100002</v>
      </c>
      <c r="U39" s="192">
        <v>4.2056943399999998E-2</v>
      </c>
    </row>
    <row r="40" spans="1:25" s="138" customFormat="1" ht="12.95" customHeight="1" x14ac:dyDescent="0.2">
      <c r="B40" s="146" t="s">
        <v>35</v>
      </c>
      <c r="C40" s="137"/>
      <c r="D40" s="182">
        <v>132902.726667743</v>
      </c>
      <c r="E40" s="145"/>
      <c r="F40" s="192">
        <v>144458.63583926301</v>
      </c>
      <c r="G40" s="145"/>
      <c r="H40" s="192">
        <v>8951.1418036378</v>
      </c>
      <c r="I40" s="192">
        <v>6.0250646016999996</v>
      </c>
      <c r="J40" s="145"/>
      <c r="K40" s="182">
        <v>4923.2092219711003</v>
      </c>
      <c r="L40" s="192">
        <v>3.309885161</v>
      </c>
      <c r="M40" s="145"/>
      <c r="N40" s="182">
        <v>34079.5008868445</v>
      </c>
      <c r="O40" s="192">
        <v>23.967286882500002</v>
      </c>
      <c r="P40" s="145"/>
      <c r="Q40" s="192">
        <v>71812.876811457507</v>
      </c>
      <c r="R40" s="192">
        <v>49.625353687199997</v>
      </c>
      <c r="S40" s="145"/>
      <c r="T40" s="192">
        <v>0</v>
      </c>
      <c r="U40" s="192">
        <v>0</v>
      </c>
    </row>
    <row r="41" spans="1:25" s="138" customFormat="1" ht="12.95" customHeight="1" x14ac:dyDescent="0.2">
      <c r="B41" s="146" t="s">
        <v>36</v>
      </c>
      <c r="C41" s="137"/>
      <c r="D41" s="182">
        <v>80174.513737444897</v>
      </c>
      <c r="E41" s="145"/>
      <c r="F41" s="192">
        <v>92756.641952089805</v>
      </c>
      <c r="G41" s="145"/>
      <c r="H41" s="192">
        <v>7654.8168379765002</v>
      </c>
      <c r="I41" s="192">
        <v>9.0509071179999996</v>
      </c>
      <c r="J41" s="145"/>
      <c r="K41" s="182">
        <v>1162.4873041934</v>
      </c>
      <c r="L41" s="192">
        <v>1.3217452183</v>
      </c>
      <c r="M41" s="145"/>
      <c r="N41" s="182">
        <v>8784.2016186619003</v>
      </c>
      <c r="O41" s="192">
        <v>10.1447029615</v>
      </c>
      <c r="P41" s="145"/>
      <c r="Q41" s="192">
        <v>68526.1322065149</v>
      </c>
      <c r="R41" s="192">
        <v>80.729663519300004</v>
      </c>
      <c r="S41" s="145"/>
      <c r="T41" s="192">
        <v>0</v>
      </c>
      <c r="U41" s="192">
        <v>0</v>
      </c>
    </row>
    <row r="42" spans="1:25" s="138" customFormat="1" ht="12.95" customHeight="1" x14ac:dyDescent="0.2">
      <c r="B42" s="146" t="s">
        <v>37</v>
      </c>
      <c r="C42" s="137"/>
      <c r="D42" s="182">
        <v>438862.733084284</v>
      </c>
      <c r="E42" s="145"/>
      <c r="F42" s="192">
        <v>463121.38922947203</v>
      </c>
      <c r="G42" s="145"/>
      <c r="H42" s="192">
        <v>50162.798270318097</v>
      </c>
      <c r="I42" s="192">
        <v>10.6711615858</v>
      </c>
      <c r="J42" s="145"/>
      <c r="K42" s="182">
        <v>11373.575267595001</v>
      </c>
      <c r="L42" s="192">
        <v>2.3229121341000001</v>
      </c>
      <c r="M42" s="145"/>
      <c r="N42" s="182">
        <v>78990.125053353302</v>
      </c>
      <c r="O42" s="192">
        <v>16.946837557799999</v>
      </c>
      <c r="P42" s="145"/>
      <c r="Q42" s="192">
        <v>276479.08352443302</v>
      </c>
      <c r="R42" s="192">
        <v>59.721823386499999</v>
      </c>
      <c r="S42" s="145"/>
      <c r="T42" s="192">
        <v>0</v>
      </c>
      <c r="U42" s="192">
        <v>0</v>
      </c>
    </row>
    <row r="43" spans="1:25" s="138" customFormat="1" ht="12.95" customHeight="1" x14ac:dyDescent="0.2">
      <c r="B43" s="146" t="s">
        <v>38</v>
      </c>
      <c r="C43" s="137"/>
      <c r="D43" s="182">
        <v>135501.506735995</v>
      </c>
      <c r="E43" s="145"/>
      <c r="F43" s="192">
        <v>151226.123574061</v>
      </c>
      <c r="G43" s="145"/>
      <c r="H43" s="192">
        <v>12365.9394414707</v>
      </c>
      <c r="I43" s="192">
        <v>8.5150567565999999</v>
      </c>
      <c r="J43" s="145"/>
      <c r="K43" s="182">
        <v>1824.3345059195999</v>
      </c>
      <c r="L43" s="192">
        <v>1.231043471</v>
      </c>
      <c r="M43" s="145"/>
      <c r="N43" s="182">
        <v>19434.828329474502</v>
      </c>
      <c r="O43" s="192">
        <v>13.454872329500001</v>
      </c>
      <c r="P43" s="145"/>
      <c r="Q43" s="192">
        <v>105241.72593522099</v>
      </c>
      <c r="R43" s="192">
        <v>73.502641953799994</v>
      </c>
      <c r="S43" s="145"/>
      <c r="T43" s="192">
        <v>0</v>
      </c>
      <c r="U43" s="192">
        <v>0</v>
      </c>
    </row>
    <row r="44" spans="1:25" s="138" customFormat="1" ht="12.95" customHeight="1" x14ac:dyDescent="0.2">
      <c r="B44" s="146" t="s">
        <v>39</v>
      </c>
      <c r="C44" s="137"/>
      <c r="D44" s="182">
        <v>50606.992669886902</v>
      </c>
      <c r="E44" s="145"/>
      <c r="F44" s="192">
        <v>54481.904009381004</v>
      </c>
      <c r="G44" s="145"/>
      <c r="H44" s="192">
        <v>1869.6282763086001</v>
      </c>
      <c r="I44" s="192">
        <v>3.4499685364000001</v>
      </c>
      <c r="J44" s="145"/>
      <c r="K44" s="182">
        <v>133.13726875930001</v>
      </c>
      <c r="L44" s="192">
        <v>0.2171596579</v>
      </c>
      <c r="M44" s="145"/>
      <c r="N44" s="182">
        <v>8490.4931924384</v>
      </c>
      <c r="O44" s="192">
        <v>14.8301879154</v>
      </c>
      <c r="P44" s="145"/>
      <c r="Q44" s="192">
        <v>37738.240177183703</v>
      </c>
      <c r="R44" s="192">
        <v>70.954162354800005</v>
      </c>
      <c r="S44" s="145"/>
      <c r="T44" s="192">
        <v>0</v>
      </c>
      <c r="U44" s="192">
        <v>0</v>
      </c>
    </row>
    <row r="45" spans="1:25" s="138" customFormat="1" ht="6" customHeight="1" x14ac:dyDescent="0.2">
      <c r="B45" s="144"/>
      <c r="C45" s="143"/>
      <c r="D45" s="141"/>
      <c r="E45" s="142"/>
      <c r="F45" s="142"/>
      <c r="G45" s="142"/>
      <c r="H45" s="142"/>
      <c r="I45" s="139"/>
      <c r="J45" s="142"/>
      <c r="K45" s="141"/>
      <c r="L45" s="139"/>
      <c r="M45" s="142"/>
      <c r="N45" s="141"/>
      <c r="O45" s="139"/>
      <c r="P45" s="140"/>
      <c r="Q45" s="140"/>
      <c r="R45" s="139"/>
      <c r="S45" s="140"/>
      <c r="T45" s="140"/>
      <c r="U45" s="139"/>
    </row>
    <row r="46" spans="1:25" ht="6" customHeight="1" x14ac:dyDescent="0.25">
      <c r="B46" s="132"/>
      <c r="C46" s="137"/>
      <c r="D46" s="136"/>
      <c r="E46" s="136"/>
      <c r="F46" s="136"/>
      <c r="G46" s="136"/>
      <c r="H46" s="136"/>
      <c r="I46" s="136"/>
      <c r="J46" s="136"/>
      <c r="K46" s="136"/>
      <c r="L46" s="135"/>
      <c r="M46" s="135"/>
      <c r="N46" s="136"/>
      <c r="O46" s="135"/>
      <c r="P46" s="132"/>
      <c r="Q46" s="132"/>
      <c r="R46" s="132"/>
      <c r="S46" s="132"/>
      <c r="T46" s="132"/>
      <c r="U46" s="132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ht="12" customHeight="1" x14ac:dyDescent="0.25">
      <c r="B48" s="137" t="s">
        <v>90</v>
      </c>
      <c r="C48" s="137"/>
      <c r="D48" s="136"/>
      <c r="E48" s="136"/>
      <c r="F48" s="136"/>
      <c r="G48" s="136"/>
      <c r="H48" s="136"/>
      <c r="I48" s="136"/>
      <c r="J48" s="136"/>
      <c r="K48" s="136"/>
      <c r="L48" s="135"/>
      <c r="M48" s="135"/>
      <c r="N48" s="136"/>
      <c r="O48" s="135"/>
      <c r="P48" s="132"/>
      <c r="Q48" s="132"/>
      <c r="R48" s="132"/>
      <c r="S48" s="132"/>
      <c r="T48" s="132"/>
      <c r="U48" s="132"/>
    </row>
    <row r="49" spans="2:21" ht="12" customHeight="1" x14ac:dyDescent="0.25">
      <c r="B49" s="137" t="s">
        <v>89</v>
      </c>
      <c r="C49" s="137"/>
      <c r="D49" s="136"/>
      <c r="E49" s="136"/>
      <c r="F49" s="136"/>
      <c r="G49" s="136"/>
      <c r="H49" s="136"/>
      <c r="I49" s="136"/>
      <c r="J49" s="136"/>
      <c r="K49" s="136"/>
      <c r="L49" s="135"/>
      <c r="M49" s="135"/>
      <c r="N49" s="136"/>
      <c r="O49" s="135"/>
      <c r="P49" s="132"/>
      <c r="Q49" s="132"/>
      <c r="R49" s="132"/>
      <c r="S49" s="132"/>
      <c r="T49" s="132"/>
      <c r="U49" s="132"/>
    </row>
    <row r="50" spans="2:21" ht="12" customHeight="1" x14ac:dyDescent="0.25">
      <c r="B50" s="137" t="s">
        <v>88</v>
      </c>
      <c r="C50" s="137"/>
      <c r="D50" s="136"/>
      <c r="E50" s="136"/>
      <c r="F50" s="136"/>
      <c r="G50" s="136"/>
      <c r="H50" s="136"/>
      <c r="I50" s="136"/>
      <c r="J50" s="136"/>
      <c r="K50" s="136"/>
      <c r="L50" s="135"/>
      <c r="M50" s="135"/>
      <c r="N50" s="136"/>
      <c r="O50" s="135"/>
      <c r="P50" s="132"/>
      <c r="Q50" s="132"/>
      <c r="R50" s="132"/>
      <c r="S50" s="132"/>
      <c r="T50" s="132"/>
      <c r="U50" s="132"/>
    </row>
    <row r="51" spans="2:21" s="101" customFormat="1" ht="14.25" x14ac:dyDescent="0.2">
      <c r="B51" s="102" t="s">
        <v>75</v>
      </c>
      <c r="F51" s="119"/>
    </row>
    <row r="52" spans="2:21" ht="12.75" customHeight="1" x14ac:dyDescent="0.25">
      <c r="B52" s="134"/>
      <c r="C52" s="132"/>
      <c r="D52" s="133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</row>
  </sheetData>
  <mergeCells count="11">
    <mergeCell ref="T8:U8"/>
    <mergeCell ref="B5:N5"/>
    <mergeCell ref="B6:O6"/>
    <mergeCell ref="B7:C9"/>
    <mergeCell ref="D7:D9"/>
    <mergeCell ref="F7:F9"/>
    <mergeCell ref="K7:U7"/>
    <mergeCell ref="H8:I8"/>
    <mergeCell ref="K8:L8"/>
    <mergeCell ref="N8:O8"/>
    <mergeCell ref="Q8:R8"/>
  </mergeCells>
  <hyperlinks>
    <hyperlink ref="U1" location="Índice!A1" tooltip="Ir a ÍNDICE" display="INDICE" xr:uid="{1B8C8E7C-9EB1-4214-BDB5-0BCE41C2F4FD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B91B-92E0-4343-8E43-16F6200B5B0F}">
  <sheetPr>
    <pageSetUpPr fitToPage="1"/>
  </sheetPr>
  <dimension ref="A1:AK51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18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2.7109375" style="1" customWidth="1" collapsed="1"/>
    <col min="9" max="9" width="11.140625" style="1" customWidth="1" collapsed="1"/>
    <col min="10" max="10" width="1.7109375" style="2" customWidth="1"/>
    <col min="11" max="11" width="12.7109375" style="2" customWidth="1"/>
    <col min="12" max="12" width="10.7109375" style="2" customWidth="1"/>
    <col min="13" max="13" width="1.7109375" style="2" customWidth="1"/>
    <col min="14" max="14" width="12.7109375" style="2" customWidth="1"/>
    <col min="15" max="15" width="10.7109375" style="2" customWidth="1"/>
    <col min="16" max="16" width="1.7109375" style="2" customWidth="1"/>
    <col min="17" max="17" width="12.7109375" style="1" customWidth="1"/>
    <col min="18" max="18" width="10.7109375" style="1" customWidth="1"/>
    <col min="19" max="19" width="1.7109375" style="1" customWidth="1"/>
    <col min="20" max="20" width="13.42578125" style="1" customWidth="1"/>
    <col min="21" max="21" width="10.7109375" style="1" customWidth="1"/>
    <col min="22" max="22" width="1.7109375" style="1" customWidth="1"/>
    <col min="23" max="23" width="13.5703125" style="1" customWidth="1" collapsed="1"/>
    <col min="24" max="24" width="10.7109375" style="1" customWidth="1" collapsed="1"/>
    <col min="25" max="32" width="11.42578125" style="1"/>
    <col min="33" max="33" width="11.42578125" style="1" collapsed="1"/>
    <col min="34" max="37" width="11.42578125" style="1"/>
    <col min="38" max="16384" width="11.42578125" style="1" collapsed="1"/>
  </cols>
  <sheetData>
    <row r="1" spans="1:24" s="68" customFormat="1" x14ac:dyDescent="0.2">
      <c r="B1" s="210" t="s">
        <v>129</v>
      </c>
      <c r="J1" s="70"/>
      <c r="L1" s="70"/>
      <c r="M1" s="70"/>
      <c r="N1" s="70"/>
      <c r="O1" s="70"/>
      <c r="P1" s="70"/>
      <c r="X1" s="80" t="s">
        <v>74</v>
      </c>
    </row>
    <row r="2" spans="1:24" s="68" customFormat="1" ht="6.95" customHeight="1" x14ac:dyDescent="0.25">
      <c r="B2" s="210"/>
      <c r="J2" s="70"/>
      <c r="K2" s="70"/>
      <c r="L2" s="70"/>
      <c r="M2" s="70"/>
      <c r="N2" s="70"/>
      <c r="O2" s="70"/>
      <c r="P2" s="70"/>
    </row>
    <row r="3" spans="1:24" s="68" customFormat="1" x14ac:dyDescent="0.2">
      <c r="B3" s="210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24" s="74" customFormat="1" ht="6.95" customHeight="1" x14ac:dyDescent="0.25">
      <c r="C4" s="176"/>
      <c r="J4" s="73"/>
      <c r="K4" s="73"/>
      <c r="L4" s="73"/>
      <c r="M4" s="73"/>
      <c r="N4" s="73"/>
      <c r="O4" s="73"/>
      <c r="P4" s="73"/>
    </row>
    <row r="5" spans="1:24" s="74" customFormat="1" ht="25.5" customHeight="1" x14ac:dyDescent="0.2">
      <c r="B5" s="242" t="s">
        <v>109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174"/>
      <c r="W5" s="174"/>
      <c r="X5" s="79" t="s">
        <v>59</v>
      </c>
    </row>
    <row r="6" spans="1:24" s="31" customFormat="1" ht="6" customHeight="1" x14ac:dyDescent="0.25">
      <c r="A6" s="177"/>
      <c r="B6" s="253"/>
      <c r="C6" s="253"/>
      <c r="D6" s="253"/>
      <c r="E6" s="253"/>
      <c r="F6" s="254"/>
      <c r="G6" s="254"/>
      <c r="H6" s="254"/>
      <c r="I6" s="254"/>
      <c r="J6" s="28"/>
      <c r="K6" s="28"/>
      <c r="L6" s="28"/>
      <c r="M6" s="28"/>
      <c r="N6" s="28"/>
      <c r="O6" s="28"/>
      <c r="P6" s="28"/>
    </row>
    <row r="7" spans="1:24" s="31" customFormat="1" ht="21.75" customHeight="1" x14ac:dyDescent="0.25">
      <c r="A7" s="177"/>
      <c r="B7" s="245" t="s">
        <v>1</v>
      </c>
      <c r="C7" s="245"/>
      <c r="D7" s="267" t="s">
        <v>108</v>
      </c>
      <c r="E7" s="34"/>
      <c r="F7" s="248" t="s">
        <v>107</v>
      </c>
      <c r="G7" s="35"/>
      <c r="H7" s="251" t="s">
        <v>106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</row>
    <row r="8" spans="1:24" s="31" customFormat="1" ht="34.5" customHeight="1" x14ac:dyDescent="0.25">
      <c r="A8" s="177"/>
      <c r="B8" s="246"/>
      <c r="C8" s="246"/>
      <c r="D8" s="268"/>
      <c r="E8" s="34"/>
      <c r="F8" s="249"/>
      <c r="G8" s="34"/>
      <c r="H8" s="232" t="s">
        <v>105</v>
      </c>
      <c r="I8" s="232"/>
      <c r="J8" s="37"/>
      <c r="K8" s="232" t="s">
        <v>104</v>
      </c>
      <c r="L8" s="232"/>
      <c r="M8" s="37"/>
      <c r="N8" s="232" t="s">
        <v>103</v>
      </c>
      <c r="O8" s="232"/>
      <c r="P8" s="37"/>
      <c r="Q8" s="232" t="s">
        <v>102</v>
      </c>
      <c r="R8" s="232"/>
      <c r="S8" s="37"/>
      <c r="T8" s="232" t="s">
        <v>110</v>
      </c>
      <c r="U8" s="232"/>
      <c r="V8" s="37"/>
      <c r="W8" s="232" t="s">
        <v>43</v>
      </c>
      <c r="X8" s="232"/>
    </row>
    <row r="9" spans="1:24" s="31" customFormat="1" ht="24" customHeight="1" x14ac:dyDescent="0.25">
      <c r="A9" s="177"/>
      <c r="B9" s="247"/>
      <c r="C9" s="247"/>
      <c r="D9" s="269"/>
      <c r="E9" s="38"/>
      <c r="F9" s="250"/>
      <c r="G9" s="38"/>
      <c r="H9" s="173" t="s">
        <v>5</v>
      </c>
      <c r="I9" s="173" t="s">
        <v>6</v>
      </c>
      <c r="J9" s="81"/>
      <c r="K9" s="173" t="s">
        <v>5</v>
      </c>
      <c r="L9" s="173" t="s">
        <v>6</v>
      </c>
      <c r="M9" s="81"/>
      <c r="N9" s="173" t="s">
        <v>5</v>
      </c>
      <c r="O9" s="173" t="s">
        <v>6</v>
      </c>
      <c r="P9" s="81"/>
      <c r="Q9" s="173" t="s">
        <v>5</v>
      </c>
      <c r="R9" s="173" t="s">
        <v>6</v>
      </c>
      <c r="S9" s="81"/>
      <c r="T9" s="173" t="s">
        <v>5</v>
      </c>
      <c r="U9" s="173" t="s">
        <v>6</v>
      </c>
      <c r="V9" s="81"/>
      <c r="W9" s="173" t="s">
        <v>5</v>
      </c>
      <c r="X9" s="173" t="s">
        <v>6</v>
      </c>
    </row>
    <row r="10" spans="1:24" s="31" customFormat="1" ht="6" customHeight="1" x14ac:dyDescent="0.25">
      <c r="A10" s="177"/>
      <c r="C10" s="193"/>
      <c r="D10" s="116"/>
      <c r="E10" s="116"/>
      <c r="F10" s="116"/>
      <c r="G10" s="116"/>
      <c r="H10" s="84"/>
      <c r="I10" s="86"/>
      <c r="J10" s="105"/>
      <c r="K10" s="105"/>
      <c r="L10" s="86"/>
      <c r="M10" s="105"/>
      <c r="N10" s="105"/>
      <c r="O10" s="86"/>
      <c r="P10" s="105"/>
      <c r="Q10" s="117"/>
      <c r="R10" s="86"/>
      <c r="S10" s="117"/>
      <c r="T10" s="117"/>
      <c r="U10" s="86"/>
      <c r="V10" s="117"/>
      <c r="W10" s="117"/>
      <c r="X10" s="86"/>
    </row>
    <row r="11" spans="1:24" s="92" customFormat="1" ht="12.95" customHeight="1" x14ac:dyDescent="0.2">
      <c r="B11" s="40" t="s">
        <v>7</v>
      </c>
      <c r="D11" s="194">
        <v>4952920.7612226699</v>
      </c>
      <c r="E11" s="107"/>
      <c r="F11" s="194">
        <v>5263147.4930288699</v>
      </c>
      <c r="G11" s="107"/>
      <c r="H11" s="194">
        <v>1843310.2876892199</v>
      </c>
      <c r="I11" s="194">
        <v>36.475516933900003</v>
      </c>
      <c r="J11" s="107"/>
      <c r="K11" s="194">
        <v>205619.88137329801</v>
      </c>
      <c r="L11" s="194">
        <v>4.0607388875000003</v>
      </c>
      <c r="M11" s="107"/>
      <c r="N11" s="194">
        <v>573783.99545036501</v>
      </c>
      <c r="O11" s="194">
        <v>11.3198168187</v>
      </c>
      <c r="P11" s="107"/>
      <c r="Q11" s="194">
        <v>2775910.2631933298</v>
      </c>
      <c r="R11" s="194">
        <v>55.261024431099997</v>
      </c>
      <c r="S11" s="107"/>
      <c r="T11" s="194">
        <v>330001.57066000998</v>
      </c>
      <c r="U11" s="194">
        <v>6.5100428178999996</v>
      </c>
      <c r="V11" s="107"/>
      <c r="W11" s="194">
        <v>70600.9521831819</v>
      </c>
      <c r="X11" s="194">
        <v>1.3884137307</v>
      </c>
    </row>
    <row r="12" spans="1:24" s="92" customFormat="1" ht="6" customHeight="1" x14ac:dyDescent="0.2">
      <c r="B12" s="40"/>
      <c r="D12" s="108"/>
      <c r="E12" s="108"/>
      <c r="F12" s="108"/>
      <c r="G12" s="108"/>
      <c r="H12" s="108"/>
      <c r="I12" s="109"/>
      <c r="J12" s="108"/>
      <c r="K12" s="108"/>
      <c r="L12" s="109"/>
      <c r="M12" s="108"/>
      <c r="N12" s="108"/>
      <c r="O12" s="109"/>
      <c r="P12" s="108"/>
      <c r="Q12" s="108"/>
      <c r="R12" s="109"/>
      <c r="S12" s="108"/>
      <c r="T12" s="108"/>
      <c r="U12" s="109"/>
      <c r="V12" s="108"/>
      <c r="W12" s="108"/>
      <c r="X12" s="109"/>
    </row>
    <row r="13" spans="1:24" s="50" customFormat="1" ht="12.95" customHeight="1" x14ac:dyDescent="0.2">
      <c r="B13" s="20" t="s">
        <v>8</v>
      </c>
      <c r="D13" s="184">
        <v>38426.275661499101</v>
      </c>
      <c r="E13" s="108"/>
      <c r="F13" s="184">
        <v>40695.450944339696</v>
      </c>
      <c r="G13" s="108"/>
      <c r="H13" s="184">
        <v>21568.9608009689</v>
      </c>
      <c r="I13" s="184">
        <v>53.234460566999999</v>
      </c>
      <c r="J13" s="108"/>
      <c r="K13" s="184">
        <v>1208.7854114508</v>
      </c>
      <c r="L13" s="184">
        <v>2.7809474677999999</v>
      </c>
      <c r="M13" s="108"/>
      <c r="N13" s="184">
        <v>2284.4831911038</v>
      </c>
      <c r="O13" s="184">
        <v>5.3163886593000003</v>
      </c>
      <c r="P13" s="108"/>
      <c r="Q13" s="184">
        <v>11407.907657101799</v>
      </c>
      <c r="R13" s="184">
        <v>26.519395424700001</v>
      </c>
      <c r="S13" s="108"/>
      <c r="T13" s="184">
        <v>416.04780650319998</v>
      </c>
      <c r="U13" s="184">
        <v>0.95457158529999997</v>
      </c>
      <c r="V13" s="108"/>
      <c r="W13" s="184">
        <v>349.99870901880001</v>
      </c>
      <c r="X13" s="184">
        <v>0.80567548300000003</v>
      </c>
    </row>
    <row r="14" spans="1:24" s="50" customFormat="1" ht="12.95" customHeight="1" x14ac:dyDescent="0.2">
      <c r="B14" s="20" t="s">
        <v>9</v>
      </c>
      <c r="D14" s="182">
        <v>179738.18850907401</v>
      </c>
      <c r="E14" s="108"/>
      <c r="F14" s="184">
        <v>189582.03394194701</v>
      </c>
      <c r="G14" s="108"/>
      <c r="H14" s="182">
        <v>107827.280098891</v>
      </c>
      <c r="I14" s="184">
        <v>57.878648091099997</v>
      </c>
      <c r="J14" s="108"/>
      <c r="K14" s="184">
        <v>1650.2292128954</v>
      </c>
      <c r="L14" s="184">
        <v>0.81183291499999999</v>
      </c>
      <c r="M14" s="108"/>
      <c r="N14" s="184">
        <v>5006.6761178725001</v>
      </c>
      <c r="O14" s="184">
        <v>2.3881756839000001</v>
      </c>
      <c r="P14" s="108"/>
      <c r="Q14" s="184">
        <v>62830.181733339101</v>
      </c>
      <c r="R14" s="184">
        <v>31.611781235199999</v>
      </c>
      <c r="S14" s="108"/>
      <c r="T14" s="184">
        <v>1768.2264937896</v>
      </c>
      <c r="U14" s="184">
        <v>0.8501563218</v>
      </c>
      <c r="V14" s="108"/>
      <c r="W14" s="184">
        <v>0</v>
      </c>
      <c r="X14" s="184">
        <v>0</v>
      </c>
    </row>
    <row r="15" spans="1:24" s="50" customFormat="1" ht="12.95" customHeight="1" x14ac:dyDescent="0.2">
      <c r="B15" s="20" t="s">
        <v>10</v>
      </c>
      <c r="D15" s="182">
        <v>31894.134749053399</v>
      </c>
      <c r="E15" s="108"/>
      <c r="F15" s="184">
        <v>32435.3231560368</v>
      </c>
      <c r="G15" s="108"/>
      <c r="H15" s="182">
        <v>12156.868635401301</v>
      </c>
      <c r="I15" s="184">
        <v>31.3176379501</v>
      </c>
      <c r="J15" s="108"/>
      <c r="K15" s="184">
        <v>2016.1293386832001</v>
      </c>
      <c r="L15" s="184">
        <v>5.1368676165</v>
      </c>
      <c r="M15" s="108"/>
      <c r="N15" s="184">
        <v>851.94908032729995</v>
      </c>
      <c r="O15" s="184">
        <v>2.203004264</v>
      </c>
      <c r="P15" s="108"/>
      <c r="Q15" s="184">
        <v>13381.366356897201</v>
      </c>
      <c r="R15" s="184">
        <v>42.151885427899998</v>
      </c>
      <c r="S15" s="108"/>
      <c r="T15" s="184">
        <v>682.42479913499994</v>
      </c>
      <c r="U15" s="184">
        <v>1.8553124086999999</v>
      </c>
      <c r="V15" s="108"/>
      <c r="W15" s="184">
        <v>0</v>
      </c>
      <c r="X15" s="184">
        <v>0</v>
      </c>
    </row>
    <row r="16" spans="1:24" s="50" customFormat="1" ht="12.95" customHeight="1" x14ac:dyDescent="0.2">
      <c r="B16" s="20" t="s">
        <v>11</v>
      </c>
      <c r="D16" s="182">
        <v>39564.550820573902</v>
      </c>
      <c r="E16" s="108"/>
      <c r="F16" s="184">
        <v>41728.253167712901</v>
      </c>
      <c r="G16" s="108"/>
      <c r="H16" s="182">
        <v>9548.0261661594996</v>
      </c>
      <c r="I16" s="184">
        <v>21.838584358999999</v>
      </c>
      <c r="J16" s="108"/>
      <c r="K16" s="184">
        <v>395.10100934740001</v>
      </c>
      <c r="L16" s="184">
        <v>0.8691013796</v>
      </c>
      <c r="M16" s="108"/>
      <c r="N16" s="184">
        <v>3057.3107537214</v>
      </c>
      <c r="O16" s="184">
        <v>6.8388478016000001</v>
      </c>
      <c r="P16" s="108"/>
      <c r="Q16" s="184">
        <v>25247.578928630301</v>
      </c>
      <c r="R16" s="184">
        <v>61.122134848199998</v>
      </c>
      <c r="S16" s="108"/>
      <c r="T16" s="184">
        <v>4048.4596995576999</v>
      </c>
      <c r="U16" s="184">
        <v>9.7506332752000002</v>
      </c>
      <c r="V16" s="108"/>
      <c r="W16" s="184">
        <v>198.47725912000001</v>
      </c>
      <c r="X16" s="184">
        <v>0.4249053908</v>
      </c>
    </row>
    <row r="17" spans="2:24" s="50" customFormat="1" ht="12.95" customHeight="1" x14ac:dyDescent="0.2">
      <c r="B17" s="20" t="s">
        <v>12</v>
      </c>
      <c r="D17" s="182">
        <v>103905.33250598601</v>
      </c>
      <c r="E17" s="108"/>
      <c r="F17" s="184">
        <v>109741.497812109</v>
      </c>
      <c r="G17" s="108"/>
      <c r="H17" s="182">
        <v>67928.615465535302</v>
      </c>
      <c r="I17" s="184">
        <v>61.306825365500003</v>
      </c>
      <c r="J17" s="108"/>
      <c r="K17" s="184">
        <v>2027.4883659197999</v>
      </c>
      <c r="L17" s="184">
        <v>1.746464459</v>
      </c>
      <c r="M17" s="108"/>
      <c r="N17" s="184">
        <v>5013.2096951658996</v>
      </c>
      <c r="O17" s="184">
        <v>4.3505733068000003</v>
      </c>
      <c r="P17" s="108"/>
      <c r="Q17" s="184">
        <v>21911.829517939601</v>
      </c>
      <c r="R17" s="184">
        <v>19.5049787116</v>
      </c>
      <c r="S17" s="108"/>
      <c r="T17" s="184">
        <v>345.57076335350001</v>
      </c>
      <c r="U17" s="184">
        <v>0.33699146540000002</v>
      </c>
      <c r="V17" s="108"/>
      <c r="W17" s="184">
        <v>73.484027134300007</v>
      </c>
      <c r="X17" s="184">
        <v>5.9946710200000003E-2</v>
      </c>
    </row>
    <row r="18" spans="2:24" s="50" customFormat="1" ht="12.95" customHeight="1" x14ac:dyDescent="0.2">
      <c r="B18" s="20" t="s">
        <v>13</v>
      </c>
      <c r="D18" s="182">
        <v>21782.535150150401</v>
      </c>
      <c r="E18" s="108"/>
      <c r="F18" s="184">
        <v>23359.2268065592</v>
      </c>
      <c r="G18" s="108"/>
      <c r="H18" s="182">
        <v>11360.5337927734</v>
      </c>
      <c r="I18" s="184">
        <v>48.837059521500002</v>
      </c>
      <c r="J18" s="108"/>
      <c r="K18" s="184">
        <v>959.21013260459995</v>
      </c>
      <c r="L18" s="184">
        <v>3.9126101038000001</v>
      </c>
      <c r="M18" s="108"/>
      <c r="N18" s="184">
        <v>2217.4048988339</v>
      </c>
      <c r="O18" s="184">
        <v>9.0501485599000002</v>
      </c>
      <c r="P18" s="108"/>
      <c r="Q18" s="184">
        <v>5778.6419181646997</v>
      </c>
      <c r="R18" s="184">
        <v>23.921153277799998</v>
      </c>
      <c r="S18" s="108"/>
      <c r="T18" s="184">
        <v>1207.5243325367001</v>
      </c>
      <c r="U18" s="184">
        <v>5.0535956354999998</v>
      </c>
      <c r="V18" s="108"/>
      <c r="W18" s="184">
        <v>0</v>
      </c>
      <c r="X18" s="184">
        <v>1.0453655999999999E-3</v>
      </c>
    </row>
    <row r="19" spans="2:24" s="50" customFormat="1" ht="12.95" customHeight="1" x14ac:dyDescent="0.2">
      <c r="B19" s="20" t="s">
        <v>14</v>
      </c>
      <c r="D19" s="182">
        <v>223544.451704662</v>
      </c>
      <c r="E19" s="108"/>
      <c r="F19" s="184">
        <v>231847.187747274</v>
      </c>
      <c r="G19" s="108"/>
      <c r="H19" s="182">
        <v>11717.012509091501</v>
      </c>
      <c r="I19" s="184">
        <v>4.6819715545999996</v>
      </c>
      <c r="J19" s="108"/>
      <c r="K19" s="184">
        <v>4396.7650846795004</v>
      </c>
      <c r="L19" s="184">
        <v>1.7358556293</v>
      </c>
      <c r="M19" s="108"/>
      <c r="N19" s="184">
        <v>24239.8379393508</v>
      </c>
      <c r="O19" s="184">
        <v>9.9089514608000009</v>
      </c>
      <c r="P19" s="108"/>
      <c r="Q19" s="184">
        <v>166979.93967464101</v>
      </c>
      <c r="R19" s="184">
        <v>72.098777366199997</v>
      </c>
      <c r="S19" s="108"/>
      <c r="T19" s="184">
        <v>27948.1677457894</v>
      </c>
      <c r="U19" s="184">
        <v>11.134593813</v>
      </c>
      <c r="V19" s="108"/>
      <c r="W19" s="184">
        <v>1501.5786075030001</v>
      </c>
      <c r="X19" s="184">
        <v>0.58908282300000003</v>
      </c>
    </row>
    <row r="20" spans="2:24" s="51" customFormat="1" ht="12.95" customHeight="1" x14ac:dyDescent="0.2">
      <c r="B20" s="20" t="s">
        <v>15</v>
      </c>
      <c r="C20" s="50"/>
      <c r="D20" s="182">
        <v>110455.639388657</v>
      </c>
      <c r="E20" s="108"/>
      <c r="F20" s="184">
        <v>118804.89877265799</v>
      </c>
      <c r="G20" s="108"/>
      <c r="H20" s="182">
        <v>66435.726678269697</v>
      </c>
      <c r="I20" s="184">
        <v>56.372799892400003</v>
      </c>
      <c r="J20" s="108"/>
      <c r="K20" s="184">
        <v>4287.7408999843001</v>
      </c>
      <c r="L20" s="184">
        <v>3.5759047551999998</v>
      </c>
      <c r="M20" s="108"/>
      <c r="N20" s="184">
        <v>5950.6332327091004</v>
      </c>
      <c r="O20" s="184">
        <v>4.9185410200000002</v>
      </c>
      <c r="P20" s="108"/>
      <c r="Q20" s="184">
        <v>32150.681382491599</v>
      </c>
      <c r="R20" s="184">
        <v>26.579748691599999</v>
      </c>
      <c r="S20" s="108"/>
      <c r="T20" s="184">
        <v>33.495716595399998</v>
      </c>
      <c r="U20" s="184">
        <v>4.24395417E-2</v>
      </c>
      <c r="V20" s="108"/>
      <c r="W20" s="184">
        <v>0</v>
      </c>
      <c r="X20" s="184">
        <v>0</v>
      </c>
    </row>
    <row r="21" spans="2:24" s="51" customFormat="1" ht="12.95" customHeight="1" x14ac:dyDescent="0.2">
      <c r="B21" s="20" t="s">
        <v>16</v>
      </c>
      <c r="C21" s="50"/>
      <c r="D21" s="182">
        <v>520933.19820893201</v>
      </c>
      <c r="E21" s="108"/>
      <c r="F21" s="184">
        <v>554832.19181491504</v>
      </c>
      <c r="G21" s="108"/>
      <c r="H21" s="182">
        <v>218981.50171422199</v>
      </c>
      <c r="I21" s="184">
        <v>39.5892349581</v>
      </c>
      <c r="J21" s="108"/>
      <c r="K21" s="184">
        <v>49963.320643542203</v>
      </c>
      <c r="L21" s="184">
        <v>8.8751247856000006</v>
      </c>
      <c r="M21" s="108"/>
      <c r="N21" s="184">
        <v>87842.289878111202</v>
      </c>
      <c r="O21" s="184">
        <v>15.5586987282</v>
      </c>
      <c r="P21" s="108"/>
      <c r="Q21" s="184">
        <v>184048.33836920699</v>
      </c>
      <c r="R21" s="184">
        <v>32.847768849200001</v>
      </c>
      <c r="S21" s="108"/>
      <c r="T21" s="184">
        <v>35239.229079165198</v>
      </c>
      <c r="U21" s="184">
        <v>6.239948096</v>
      </c>
      <c r="V21" s="108"/>
      <c r="W21" s="184">
        <v>6737.4767518499002</v>
      </c>
      <c r="X21" s="184">
        <v>1.1895540492000001</v>
      </c>
    </row>
    <row r="22" spans="2:24" s="51" customFormat="1" ht="12.95" customHeight="1" x14ac:dyDescent="0.2">
      <c r="B22" s="20" t="s">
        <v>17</v>
      </c>
      <c r="C22" s="50"/>
      <c r="D22" s="182">
        <v>59089.116802245</v>
      </c>
      <c r="E22" s="108"/>
      <c r="F22" s="184">
        <v>63018.430012589401</v>
      </c>
      <c r="G22" s="108"/>
      <c r="H22" s="182">
        <v>20867.198581213001</v>
      </c>
      <c r="I22" s="184">
        <v>32.383346597699997</v>
      </c>
      <c r="J22" s="108"/>
      <c r="K22" s="184">
        <v>3610.4328079089</v>
      </c>
      <c r="L22" s="184">
        <v>5.5153241879000001</v>
      </c>
      <c r="M22" s="108"/>
      <c r="N22" s="184">
        <v>4694.7005308011003</v>
      </c>
      <c r="O22" s="184">
        <v>7.1671079073000001</v>
      </c>
      <c r="P22" s="108"/>
      <c r="Q22" s="184">
        <v>27609.097096065401</v>
      </c>
      <c r="R22" s="184">
        <v>43.715116261299997</v>
      </c>
      <c r="S22" s="108"/>
      <c r="T22" s="184">
        <v>1387.5997489957001</v>
      </c>
      <c r="U22" s="184">
        <v>2.1893345933999999</v>
      </c>
      <c r="V22" s="108"/>
      <c r="W22" s="184">
        <v>366.41170605460002</v>
      </c>
      <c r="X22" s="184">
        <v>0.58217129670000001</v>
      </c>
    </row>
    <row r="23" spans="2:24" s="51" customFormat="1" ht="12.95" customHeight="1" x14ac:dyDescent="0.2">
      <c r="B23" s="20" t="s">
        <v>18</v>
      </c>
      <c r="C23" s="50"/>
      <c r="D23" s="182">
        <v>197020.07998782399</v>
      </c>
      <c r="E23" s="108"/>
      <c r="F23" s="184">
        <v>215599.013709797</v>
      </c>
      <c r="G23" s="108"/>
      <c r="H23" s="182">
        <v>100369.30846943099</v>
      </c>
      <c r="I23" s="184">
        <v>46.882530100700002</v>
      </c>
      <c r="J23" s="108"/>
      <c r="K23" s="184">
        <v>3583.7718925185</v>
      </c>
      <c r="L23" s="184">
        <v>1.6447022183</v>
      </c>
      <c r="M23" s="108"/>
      <c r="N23" s="184">
        <v>10103.93196677</v>
      </c>
      <c r="O23" s="184">
        <v>4.6107895014000002</v>
      </c>
      <c r="P23" s="108"/>
      <c r="Q23" s="184">
        <v>71065.225283473104</v>
      </c>
      <c r="R23" s="184">
        <v>33.838547440200003</v>
      </c>
      <c r="S23" s="108"/>
      <c r="T23" s="184">
        <v>5961.7815261365004</v>
      </c>
      <c r="U23" s="184">
        <v>2.7850973175</v>
      </c>
      <c r="V23" s="108"/>
      <c r="W23" s="184">
        <v>12943.888349147701</v>
      </c>
      <c r="X23" s="184">
        <v>6.1224916317</v>
      </c>
    </row>
    <row r="24" spans="2:24" s="51" customFormat="1" ht="12.95" customHeight="1" x14ac:dyDescent="0.2">
      <c r="B24" s="20" t="s">
        <v>19</v>
      </c>
      <c r="C24" s="50"/>
      <c r="D24" s="182">
        <v>169977.07804400101</v>
      </c>
      <c r="E24" s="108"/>
      <c r="F24" s="184">
        <v>183429.66911469901</v>
      </c>
      <c r="G24" s="108"/>
      <c r="H24" s="182">
        <v>12489.897808134199</v>
      </c>
      <c r="I24" s="184">
        <v>6.6395345884000001</v>
      </c>
      <c r="J24" s="108"/>
      <c r="K24" s="184">
        <v>3376.7101789264002</v>
      </c>
      <c r="L24" s="184">
        <v>1.8618813650999999</v>
      </c>
      <c r="M24" s="108"/>
      <c r="N24" s="184">
        <v>19016.241293862498</v>
      </c>
      <c r="O24" s="184">
        <v>10.358153440700001</v>
      </c>
      <c r="P24" s="108"/>
      <c r="Q24" s="184">
        <v>137719.03921438</v>
      </c>
      <c r="R24" s="184">
        <v>77.318257249799998</v>
      </c>
      <c r="S24" s="108"/>
      <c r="T24" s="184">
        <v>13064.9961497355</v>
      </c>
      <c r="U24" s="184">
        <v>6.9706008244</v>
      </c>
      <c r="V24" s="108"/>
      <c r="W24" s="184">
        <v>1007.082098009</v>
      </c>
      <c r="X24" s="184">
        <v>0.54832653220000005</v>
      </c>
    </row>
    <row r="25" spans="2:24" s="51" customFormat="1" ht="12.95" customHeight="1" x14ac:dyDescent="0.2">
      <c r="B25" s="20" t="s">
        <v>20</v>
      </c>
      <c r="C25" s="50"/>
      <c r="D25" s="182">
        <v>76936.151234817604</v>
      </c>
      <c r="E25" s="108"/>
      <c r="F25" s="184">
        <v>83468.352354429095</v>
      </c>
      <c r="G25" s="108"/>
      <c r="H25" s="182">
        <v>7691.3438038433997</v>
      </c>
      <c r="I25" s="184">
        <v>8.9310747040000003</v>
      </c>
      <c r="J25" s="108"/>
      <c r="K25" s="184">
        <v>969.26357678290003</v>
      </c>
      <c r="L25" s="184">
        <v>1.1023950185</v>
      </c>
      <c r="M25" s="108"/>
      <c r="N25" s="184">
        <v>2509.8309415874</v>
      </c>
      <c r="O25" s="184">
        <v>2.7926971107999998</v>
      </c>
      <c r="P25" s="108"/>
      <c r="Q25" s="184">
        <v>67555.640981740406</v>
      </c>
      <c r="R25" s="184">
        <v>83.665887525200006</v>
      </c>
      <c r="S25" s="108"/>
      <c r="T25" s="184">
        <v>229.70912446919999</v>
      </c>
      <c r="U25" s="184">
        <v>0.29165026290000001</v>
      </c>
      <c r="V25" s="108"/>
      <c r="W25" s="184">
        <v>0</v>
      </c>
      <c r="X25" s="184">
        <v>0</v>
      </c>
    </row>
    <row r="26" spans="2:24" s="51" customFormat="1" ht="12.95" customHeight="1" x14ac:dyDescent="0.2">
      <c r="B26" s="20" t="s">
        <v>21</v>
      </c>
      <c r="C26" s="50"/>
      <c r="D26" s="182">
        <v>252336.678589027</v>
      </c>
      <c r="E26" s="108"/>
      <c r="F26" s="184">
        <v>272257.12608408398</v>
      </c>
      <c r="G26" s="108"/>
      <c r="H26" s="182">
        <v>105607.739817689</v>
      </c>
      <c r="I26" s="184">
        <v>37.794337726400002</v>
      </c>
      <c r="J26" s="108"/>
      <c r="K26" s="184">
        <v>944.0617302531</v>
      </c>
      <c r="L26" s="184">
        <v>0.45301298969999998</v>
      </c>
      <c r="M26" s="108"/>
      <c r="N26" s="184">
        <v>29156.6607100601</v>
      </c>
      <c r="O26" s="184">
        <v>10.4617264183</v>
      </c>
      <c r="P26" s="108"/>
      <c r="Q26" s="184">
        <v>120573.129065614</v>
      </c>
      <c r="R26" s="184">
        <v>45.1115915034</v>
      </c>
      <c r="S26" s="108"/>
      <c r="T26" s="184">
        <v>5114.5046381718003</v>
      </c>
      <c r="U26" s="184">
        <v>1.8456055826</v>
      </c>
      <c r="V26" s="108"/>
      <c r="W26" s="184">
        <v>0</v>
      </c>
      <c r="X26" s="184">
        <v>0</v>
      </c>
    </row>
    <row r="27" spans="2:24" s="51" customFormat="1" ht="12.95" customHeight="1" x14ac:dyDescent="0.2">
      <c r="B27" s="20" t="s">
        <v>22</v>
      </c>
      <c r="C27" s="50"/>
      <c r="D27" s="182">
        <v>472124.69796245801</v>
      </c>
      <c r="E27" s="108"/>
      <c r="F27" s="184">
        <v>525435.38835397095</v>
      </c>
      <c r="G27" s="108"/>
      <c r="H27" s="182">
        <v>146342.071404004</v>
      </c>
      <c r="I27" s="184">
        <v>27.533904141000001</v>
      </c>
      <c r="J27" s="108"/>
      <c r="K27" s="184">
        <v>2228.8369257490999</v>
      </c>
      <c r="L27" s="184">
        <v>0.54490368649999998</v>
      </c>
      <c r="M27" s="108"/>
      <c r="N27" s="184">
        <v>31207.462878904302</v>
      </c>
      <c r="O27" s="184">
        <v>5.8350192587</v>
      </c>
      <c r="P27" s="108"/>
      <c r="Q27" s="184">
        <v>316135.90973531402</v>
      </c>
      <c r="R27" s="184">
        <v>63.562883307200003</v>
      </c>
      <c r="S27" s="108"/>
      <c r="T27" s="184">
        <v>10525.940165480601</v>
      </c>
      <c r="U27" s="184">
        <v>1.942694814</v>
      </c>
      <c r="V27" s="108"/>
      <c r="W27" s="184">
        <v>0</v>
      </c>
      <c r="X27" s="184">
        <v>0</v>
      </c>
    </row>
    <row r="28" spans="2:24" s="51" customFormat="1" ht="12.95" customHeight="1" x14ac:dyDescent="0.2">
      <c r="B28" s="20" t="s">
        <v>23</v>
      </c>
      <c r="C28" s="50"/>
      <c r="D28" s="182">
        <v>135621.317331773</v>
      </c>
      <c r="E28" s="108"/>
      <c r="F28" s="184">
        <v>143453.172365812</v>
      </c>
      <c r="G28" s="108"/>
      <c r="H28" s="182">
        <v>42423.5625850906</v>
      </c>
      <c r="I28" s="184">
        <v>29.8996335876</v>
      </c>
      <c r="J28" s="108"/>
      <c r="K28" s="184">
        <v>759.36373140449996</v>
      </c>
      <c r="L28" s="184">
        <v>0.46544270139999999</v>
      </c>
      <c r="M28" s="108"/>
      <c r="N28" s="184">
        <v>20209.1898459779</v>
      </c>
      <c r="O28" s="184">
        <v>12.8307276737</v>
      </c>
      <c r="P28" s="108"/>
      <c r="Q28" s="184">
        <v>89970.423279733499</v>
      </c>
      <c r="R28" s="184">
        <v>60.529624577200003</v>
      </c>
      <c r="S28" s="108"/>
      <c r="T28" s="184">
        <v>7167.0683518603</v>
      </c>
      <c r="U28" s="184">
        <v>4.5038266877000002</v>
      </c>
      <c r="V28" s="108"/>
      <c r="W28" s="184">
        <v>0</v>
      </c>
      <c r="X28" s="184">
        <v>0</v>
      </c>
    </row>
    <row r="29" spans="2:24" s="51" customFormat="1" ht="12.95" customHeight="1" x14ac:dyDescent="0.2">
      <c r="B29" s="20" t="s">
        <v>24</v>
      </c>
      <c r="C29" s="50"/>
      <c r="D29" s="182">
        <v>62793.389148348098</v>
      </c>
      <c r="E29" s="108"/>
      <c r="F29" s="184">
        <v>66901.127967232998</v>
      </c>
      <c r="G29" s="108"/>
      <c r="H29" s="182">
        <v>12782.9540853741</v>
      </c>
      <c r="I29" s="184">
        <v>18.880872050099999</v>
      </c>
      <c r="J29" s="108"/>
      <c r="K29" s="184">
        <v>2255.7103763984001</v>
      </c>
      <c r="L29" s="184">
        <v>3.3232149887000002</v>
      </c>
      <c r="M29" s="108"/>
      <c r="N29" s="184">
        <v>7367.0504999950999</v>
      </c>
      <c r="O29" s="184">
        <v>10.8578431141</v>
      </c>
      <c r="P29" s="108"/>
      <c r="Q29" s="184">
        <v>39555.398708221903</v>
      </c>
      <c r="R29" s="184">
        <v>59.410799764799997</v>
      </c>
      <c r="S29" s="108"/>
      <c r="T29" s="184">
        <v>2389.6666017774</v>
      </c>
      <c r="U29" s="184">
        <v>3.4620740231</v>
      </c>
      <c r="V29" s="108"/>
      <c r="W29" s="184">
        <v>0</v>
      </c>
      <c r="X29" s="184">
        <v>0</v>
      </c>
    </row>
    <row r="30" spans="2:24" s="51" customFormat="1" ht="12.95" customHeight="1" x14ac:dyDescent="0.2">
      <c r="B30" s="20" t="s">
        <v>25</v>
      </c>
      <c r="C30" s="50"/>
      <c r="D30" s="182">
        <v>45193.470186942002</v>
      </c>
      <c r="E30" s="108"/>
      <c r="F30" s="184">
        <v>47780.724112951502</v>
      </c>
      <c r="G30" s="108"/>
      <c r="H30" s="182">
        <v>15595.0172892349</v>
      </c>
      <c r="I30" s="184">
        <v>31.703174672399999</v>
      </c>
      <c r="J30" s="108"/>
      <c r="K30" s="184">
        <v>1486.4593439007001</v>
      </c>
      <c r="L30" s="184">
        <v>2.9251425210000002</v>
      </c>
      <c r="M30" s="108"/>
      <c r="N30" s="184">
        <v>4390.2494057980002</v>
      </c>
      <c r="O30" s="184">
        <v>8.2795475412999995</v>
      </c>
      <c r="P30" s="108"/>
      <c r="Q30" s="184">
        <v>24115.311813255299</v>
      </c>
      <c r="R30" s="184">
        <v>50.7718943303</v>
      </c>
      <c r="S30" s="108"/>
      <c r="T30" s="184">
        <v>3638.0597865934001</v>
      </c>
      <c r="U30" s="184">
        <v>7.2196882216000002</v>
      </c>
      <c r="V30" s="108"/>
      <c r="W30" s="184">
        <v>11.0042977987</v>
      </c>
      <c r="X30" s="184">
        <v>5.1182175000000003E-2</v>
      </c>
    </row>
    <row r="31" spans="2:24" s="51" customFormat="1" ht="12.95" customHeight="1" x14ac:dyDescent="0.2">
      <c r="B31" s="20" t="s">
        <v>26</v>
      </c>
      <c r="C31" s="50"/>
      <c r="D31" s="182">
        <v>125629.913642342</v>
      </c>
      <c r="E31" s="108"/>
      <c r="F31" s="184">
        <v>135032.27312541599</v>
      </c>
      <c r="G31" s="108"/>
      <c r="H31" s="182">
        <v>81925.491142610597</v>
      </c>
      <c r="I31" s="184">
        <v>58.493656373599997</v>
      </c>
      <c r="J31" s="108"/>
      <c r="K31" s="184">
        <v>1724.8789816845001</v>
      </c>
      <c r="L31" s="184">
        <v>1.1385499881000001</v>
      </c>
      <c r="M31" s="108"/>
      <c r="N31" s="184">
        <v>5233.9574215559996</v>
      </c>
      <c r="O31" s="184">
        <v>4.0294691627999999</v>
      </c>
      <c r="P31" s="108"/>
      <c r="Q31" s="184">
        <v>26385.468078578499</v>
      </c>
      <c r="R31" s="184">
        <v>18.6351371527</v>
      </c>
      <c r="S31" s="108"/>
      <c r="T31" s="184">
        <v>0</v>
      </c>
      <c r="U31" s="184">
        <v>6.6529359100000005E-2</v>
      </c>
      <c r="V31" s="108"/>
      <c r="W31" s="184">
        <v>620.3284231033</v>
      </c>
      <c r="X31" s="184">
        <v>0.3954544928</v>
      </c>
    </row>
    <row r="32" spans="2:24" s="51" customFormat="1" ht="12.95" customHeight="1" x14ac:dyDescent="0.2">
      <c r="B32" s="20" t="s">
        <v>27</v>
      </c>
      <c r="C32" s="50"/>
      <c r="D32" s="182">
        <v>152620.02211724501</v>
      </c>
      <c r="E32" s="108"/>
      <c r="F32" s="184">
        <v>161806.64194778001</v>
      </c>
      <c r="G32" s="108"/>
      <c r="H32" s="182">
        <v>9639.5794997678004</v>
      </c>
      <c r="I32" s="184">
        <v>5.5785361698999996</v>
      </c>
      <c r="J32" s="108"/>
      <c r="K32" s="184">
        <v>4594.9650972769996</v>
      </c>
      <c r="L32" s="184">
        <v>2.6403360622999998</v>
      </c>
      <c r="M32" s="108"/>
      <c r="N32" s="184">
        <v>25704.3281969091</v>
      </c>
      <c r="O32" s="184">
        <v>15.6867198846</v>
      </c>
      <c r="P32" s="108"/>
      <c r="Q32" s="184">
        <v>123272.59934409001</v>
      </c>
      <c r="R32" s="184">
        <v>76.652367825300004</v>
      </c>
      <c r="S32" s="108"/>
      <c r="T32" s="184">
        <v>2908.2107608767001</v>
      </c>
      <c r="U32" s="184">
        <v>1.6907089272</v>
      </c>
      <c r="V32" s="108"/>
      <c r="W32" s="184">
        <v>118.1354082622</v>
      </c>
      <c r="X32" s="184">
        <v>8.4067192200000002E-2</v>
      </c>
    </row>
    <row r="33" spans="1:24" s="51" customFormat="1" ht="12.95" customHeight="1" x14ac:dyDescent="0.2">
      <c r="B33" s="20" t="s">
        <v>28</v>
      </c>
      <c r="C33" s="50"/>
      <c r="D33" s="182">
        <v>218416.64777400301</v>
      </c>
      <c r="E33" s="108"/>
      <c r="F33" s="184">
        <v>241793.90833154001</v>
      </c>
      <c r="G33" s="108"/>
      <c r="H33" s="182">
        <v>44592.150695076198</v>
      </c>
      <c r="I33" s="184">
        <v>18.007791431400001</v>
      </c>
      <c r="J33" s="108"/>
      <c r="K33" s="184">
        <v>1200.0701420451001</v>
      </c>
      <c r="L33" s="184">
        <v>0.4821559044</v>
      </c>
      <c r="M33" s="108"/>
      <c r="N33" s="184">
        <v>16788.356748401198</v>
      </c>
      <c r="O33" s="184">
        <v>6.7726482436</v>
      </c>
      <c r="P33" s="108"/>
      <c r="Q33" s="184">
        <v>171836.764353445</v>
      </c>
      <c r="R33" s="184">
        <v>73.732731789699997</v>
      </c>
      <c r="S33" s="108"/>
      <c r="T33" s="184">
        <v>22987.109339672999</v>
      </c>
      <c r="U33" s="184">
        <v>10.202802033699999</v>
      </c>
      <c r="V33" s="108"/>
      <c r="W33" s="184">
        <v>0</v>
      </c>
      <c r="X33" s="184">
        <v>0</v>
      </c>
    </row>
    <row r="34" spans="1:24" s="51" customFormat="1" ht="12.95" customHeight="1" x14ac:dyDescent="0.2">
      <c r="B34" s="20" t="s">
        <v>29</v>
      </c>
      <c r="C34" s="50"/>
      <c r="D34" s="182">
        <v>80581.909876352394</v>
      </c>
      <c r="E34" s="108"/>
      <c r="F34" s="184">
        <v>87785.761375897098</v>
      </c>
      <c r="G34" s="108"/>
      <c r="H34" s="182">
        <v>33106.938231906199</v>
      </c>
      <c r="I34" s="184">
        <v>38.041149654599998</v>
      </c>
      <c r="J34" s="108"/>
      <c r="K34" s="184">
        <v>400.51570662590001</v>
      </c>
      <c r="L34" s="184">
        <v>0.42777209599999999</v>
      </c>
      <c r="M34" s="108"/>
      <c r="N34" s="184">
        <v>6963.5835873499</v>
      </c>
      <c r="O34" s="184">
        <v>7.7544989907000001</v>
      </c>
      <c r="P34" s="108"/>
      <c r="Q34" s="184">
        <v>45923.561630294898</v>
      </c>
      <c r="R34" s="184">
        <v>52.983183645499999</v>
      </c>
      <c r="S34" s="108"/>
      <c r="T34" s="184">
        <v>1402.4485043361999</v>
      </c>
      <c r="U34" s="184">
        <v>1.499286578</v>
      </c>
      <c r="V34" s="108"/>
      <c r="W34" s="184">
        <v>0</v>
      </c>
      <c r="X34" s="184">
        <v>0</v>
      </c>
    </row>
    <row r="35" spans="1:24" s="51" customFormat="1" ht="12.95" customHeight="1" x14ac:dyDescent="0.2">
      <c r="B35" s="20" t="s">
        <v>30</v>
      </c>
      <c r="C35" s="50"/>
      <c r="D35" s="182">
        <v>83955.153596864096</v>
      </c>
      <c r="E35" s="108"/>
      <c r="F35" s="184">
        <v>90314.2071483162</v>
      </c>
      <c r="G35" s="108"/>
      <c r="H35" s="182">
        <v>44519.660588565901</v>
      </c>
      <c r="I35" s="184">
        <v>49.622737702899997</v>
      </c>
      <c r="J35" s="108"/>
      <c r="K35" s="184">
        <v>2105.0504388031</v>
      </c>
      <c r="L35" s="184">
        <v>2.2168526983999999</v>
      </c>
      <c r="M35" s="108"/>
      <c r="N35" s="184">
        <v>6573.0634383004999</v>
      </c>
      <c r="O35" s="184">
        <v>6.7837161191000002</v>
      </c>
      <c r="P35" s="108"/>
      <c r="Q35" s="184">
        <v>34258.192647480799</v>
      </c>
      <c r="R35" s="184">
        <v>38.275048721200001</v>
      </c>
      <c r="S35" s="108"/>
      <c r="T35" s="184">
        <v>2157.1610156819002</v>
      </c>
      <c r="U35" s="184">
        <v>2.3763681012000002</v>
      </c>
      <c r="V35" s="108"/>
      <c r="W35" s="184">
        <v>380.41514087860003</v>
      </c>
      <c r="X35" s="184">
        <v>0.39548403929999998</v>
      </c>
    </row>
    <row r="36" spans="1:24" s="51" customFormat="1" ht="12.95" customHeight="1" x14ac:dyDescent="0.2">
      <c r="B36" s="20" t="s">
        <v>31</v>
      </c>
      <c r="C36" s="50"/>
      <c r="D36" s="182">
        <v>76131.681435940802</v>
      </c>
      <c r="E36" s="108"/>
      <c r="F36" s="184">
        <v>85611.261406368401</v>
      </c>
      <c r="G36" s="108"/>
      <c r="H36" s="182">
        <v>35817.294523047</v>
      </c>
      <c r="I36" s="184">
        <v>42.472914303499998</v>
      </c>
      <c r="J36" s="108"/>
      <c r="K36" s="184">
        <v>2571.4671179736001</v>
      </c>
      <c r="L36" s="184">
        <v>2.9758253841000002</v>
      </c>
      <c r="M36" s="108"/>
      <c r="N36" s="184">
        <v>4644.3601910131001</v>
      </c>
      <c r="O36" s="184">
        <v>5.5822498673999998</v>
      </c>
      <c r="P36" s="108"/>
      <c r="Q36" s="184">
        <v>27503.8819229531</v>
      </c>
      <c r="R36" s="184">
        <v>33.560620169099998</v>
      </c>
      <c r="S36" s="108"/>
      <c r="T36" s="184">
        <v>1882.6492723368999</v>
      </c>
      <c r="U36" s="184">
        <v>2.1547532367</v>
      </c>
      <c r="V36" s="108"/>
      <c r="W36" s="184">
        <v>832.2302214801</v>
      </c>
      <c r="X36" s="184">
        <v>0.96328195679999995</v>
      </c>
    </row>
    <row r="37" spans="1:24" s="51" customFormat="1" ht="12.95" customHeight="1" x14ac:dyDescent="0.2">
      <c r="B37" s="20" t="s">
        <v>32</v>
      </c>
      <c r="C37" s="50"/>
      <c r="D37" s="182">
        <v>149829.76655200601</v>
      </c>
      <c r="E37" s="108"/>
      <c r="F37" s="184">
        <v>161502.518349605</v>
      </c>
      <c r="G37" s="108"/>
      <c r="H37" s="182">
        <v>77203.355015368405</v>
      </c>
      <c r="I37" s="184">
        <v>49.442016260700001</v>
      </c>
      <c r="J37" s="108"/>
      <c r="K37" s="184">
        <v>6113.3980684458002</v>
      </c>
      <c r="L37" s="184">
        <v>3.7489748577999999</v>
      </c>
      <c r="M37" s="108"/>
      <c r="N37" s="184">
        <v>12298.1819942947</v>
      </c>
      <c r="O37" s="184">
        <v>7.6650721522999996</v>
      </c>
      <c r="P37" s="108"/>
      <c r="Q37" s="184">
        <v>57322.977317482299</v>
      </c>
      <c r="R37" s="184">
        <v>35.557917578999998</v>
      </c>
      <c r="S37" s="108"/>
      <c r="T37" s="184">
        <v>4345.9090659470003</v>
      </c>
      <c r="U37" s="184">
        <v>2.6730334768000001</v>
      </c>
      <c r="V37" s="108"/>
      <c r="W37" s="184">
        <v>344.0704659827</v>
      </c>
      <c r="X37" s="184">
        <v>0.2103268066</v>
      </c>
    </row>
    <row r="38" spans="1:24" s="51" customFormat="1" ht="12.95" customHeight="1" x14ac:dyDescent="0.2">
      <c r="B38" s="20" t="s">
        <v>33</v>
      </c>
      <c r="C38" s="50"/>
      <c r="D38" s="182">
        <v>139751.63096608699</v>
      </c>
      <c r="E38" s="108"/>
      <c r="F38" s="184">
        <v>149397.203912831</v>
      </c>
      <c r="G38" s="108"/>
      <c r="H38" s="182">
        <v>66215.223808290903</v>
      </c>
      <c r="I38" s="184">
        <v>44.170619518599999</v>
      </c>
      <c r="J38" s="108"/>
      <c r="K38" s="184">
        <v>4736.2795140167</v>
      </c>
      <c r="L38" s="184">
        <v>3.1069539716999999</v>
      </c>
      <c r="M38" s="108"/>
      <c r="N38" s="184">
        <v>11030.7783431896</v>
      </c>
      <c r="O38" s="184">
        <v>7.1449694336</v>
      </c>
      <c r="P38" s="108"/>
      <c r="Q38" s="184">
        <v>52231.132233575998</v>
      </c>
      <c r="R38" s="184">
        <v>35.4450654611</v>
      </c>
      <c r="S38" s="108"/>
      <c r="T38" s="184">
        <v>9706.2197595429006</v>
      </c>
      <c r="U38" s="184">
        <v>6.4877574015999997</v>
      </c>
      <c r="V38" s="108"/>
      <c r="W38" s="184">
        <v>836.46587246169997</v>
      </c>
      <c r="X38" s="184">
        <v>0.53776118500000003</v>
      </c>
    </row>
    <row r="39" spans="1:24" s="51" customFormat="1" ht="12.95" customHeight="1" x14ac:dyDescent="0.2">
      <c r="B39" s="20" t="s">
        <v>34</v>
      </c>
      <c r="C39" s="50"/>
      <c r="D39" s="182">
        <v>108567.829175772</v>
      </c>
      <c r="E39" s="108"/>
      <c r="F39" s="184">
        <v>119026.621971107</v>
      </c>
      <c r="G39" s="108"/>
      <c r="H39" s="182">
        <v>16935.6333284467</v>
      </c>
      <c r="I39" s="184">
        <v>14.6444305213</v>
      </c>
      <c r="J39" s="108"/>
      <c r="K39" s="184">
        <v>707.19762502950005</v>
      </c>
      <c r="L39" s="184">
        <v>0.58165677969999996</v>
      </c>
      <c r="M39" s="108"/>
      <c r="N39" s="184">
        <v>10476.032812445699</v>
      </c>
      <c r="O39" s="184">
        <v>8.9147781496</v>
      </c>
      <c r="P39" s="108"/>
      <c r="Q39" s="184">
        <v>77229.574220606504</v>
      </c>
      <c r="R39" s="184">
        <v>65.442289942100004</v>
      </c>
      <c r="S39" s="108"/>
      <c r="T39" s="184">
        <v>12184.452401229601</v>
      </c>
      <c r="U39" s="184">
        <v>10.3542965015</v>
      </c>
      <c r="V39" s="108"/>
      <c r="W39" s="184">
        <v>0</v>
      </c>
      <c r="X39" s="184">
        <v>0</v>
      </c>
    </row>
    <row r="40" spans="1:24" s="51" customFormat="1" ht="12.95" customHeight="1" x14ac:dyDescent="0.2">
      <c r="B40" s="20" t="s">
        <v>35</v>
      </c>
      <c r="C40" s="50"/>
      <c r="D40" s="182">
        <v>100503.80374206</v>
      </c>
      <c r="E40" s="108"/>
      <c r="F40" s="184">
        <v>108923.012848896</v>
      </c>
      <c r="G40" s="108"/>
      <c r="H40" s="182">
        <v>54271.349863830597</v>
      </c>
      <c r="I40" s="184">
        <v>50.5898367024</v>
      </c>
      <c r="J40" s="108"/>
      <c r="K40" s="184">
        <v>776.78001523609998</v>
      </c>
      <c r="L40" s="184">
        <v>0.69566303100000004</v>
      </c>
      <c r="M40" s="108"/>
      <c r="N40" s="184">
        <v>4668.5637226139997</v>
      </c>
      <c r="O40" s="184">
        <v>4.1258572315000004</v>
      </c>
      <c r="P40" s="108"/>
      <c r="Q40" s="184">
        <v>34505.0949571194</v>
      </c>
      <c r="R40" s="184">
        <v>31.357746725399998</v>
      </c>
      <c r="S40" s="108"/>
      <c r="T40" s="184">
        <v>1262.3252778222</v>
      </c>
      <c r="U40" s="184">
        <v>1.0987015516</v>
      </c>
      <c r="V40" s="108"/>
      <c r="W40" s="184">
        <v>390.42582101869999</v>
      </c>
      <c r="X40" s="184">
        <v>0.33360875670000001</v>
      </c>
    </row>
    <row r="41" spans="1:24" s="51" customFormat="1" ht="12.95" customHeight="1" x14ac:dyDescent="0.2">
      <c r="B41" s="20" t="s">
        <v>36</v>
      </c>
      <c r="C41" s="50"/>
      <c r="D41" s="182">
        <v>57244.302139560001</v>
      </c>
      <c r="E41" s="108"/>
      <c r="F41" s="184">
        <v>65279.707502999801</v>
      </c>
      <c r="G41" s="108"/>
      <c r="H41" s="182">
        <v>6612.9397261323002</v>
      </c>
      <c r="I41" s="184">
        <v>10.4744043034</v>
      </c>
      <c r="J41" s="108"/>
      <c r="K41" s="184">
        <v>1322.9636429078</v>
      </c>
      <c r="L41" s="184">
        <v>2.1493632097000002</v>
      </c>
      <c r="M41" s="108"/>
      <c r="N41" s="184">
        <v>1309.2306180375999</v>
      </c>
      <c r="O41" s="184">
        <v>2.0802245488</v>
      </c>
      <c r="P41" s="108"/>
      <c r="Q41" s="184">
        <v>51076.094076284302</v>
      </c>
      <c r="R41" s="184">
        <v>85.779297376200006</v>
      </c>
      <c r="S41" s="108"/>
      <c r="T41" s="184">
        <v>5629.6967791737998</v>
      </c>
      <c r="U41" s="184">
        <v>9.3382116505999999</v>
      </c>
      <c r="V41" s="108"/>
      <c r="W41" s="184">
        <v>0</v>
      </c>
      <c r="X41" s="184">
        <v>0</v>
      </c>
    </row>
    <row r="42" spans="1:24" s="51" customFormat="1" ht="12.95" customHeight="1" x14ac:dyDescent="0.2">
      <c r="B42" s="20" t="s">
        <v>37</v>
      </c>
      <c r="C42" s="50"/>
      <c r="D42" s="182">
        <v>296319.50735628302</v>
      </c>
      <c r="E42" s="108"/>
      <c r="F42" s="184">
        <v>307502.07229057001</v>
      </c>
      <c r="G42" s="108"/>
      <c r="H42" s="182">
        <v>50401.188763425198</v>
      </c>
      <c r="I42" s="184">
        <v>15.9122165662</v>
      </c>
      <c r="J42" s="108"/>
      <c r="K42" s="184">
        <v>1756.2098956656</v>
      </c>
      <c r="L42" s="184">
        <v>0.54645280610000002</v>
      </c>
      <c r="M42" s="108"/>
      <c r="N42" s="184">
        <v>33525.061269879901</v>
      </c>
      <c r="O42" s="184">
        <v>10.190001966100001</v>
      </c>
      <c r="P42" s="108"/>
      <c r="Q42" s="184">
        <v>196094.59364795199</v>
      </c>
      <c r="R42" s="184">
        <v>62.6190024968</v>
      </c>
      <c r="S42" s="108"/>
      <c r="T42" s="184">
        <v>20338.968512544801</v>
      </c>
      <c r="U42" s="184">
        <v>6.3639834124999997</v>
      </c>
      <c r="V42" s="108"/>
      <c r="W42" s="184">
        <v>0</v>
      </c>
      <c r="X42" s="184">
        <v>0</v>
      </c>
    </row>
    <row r="43" spans="1:24" s="51" customFormat="1" ht="12.95" customHeight="1" x14ac:dyDescent="0.2">
      <c r="B43" s="20" t="s">
        <v>38</v>
      </c>
      <c r="C43" s="50"/>
      <c r="D43" s="182">
        <v>106305.706379451</v>
      </c>
      <c r="E43" s="108"/>
      <c r="F43" s="184">
        <v>115400.741399562</v>
      </c>
      <c r="G43" s="108"/>
      <c r="H43" s="182">
        <v>41807.4350731288</v>
      </c>
      <c r="I43" s="184">
        <v>36.614603036799998</v>
      </c>
      <c r="J43" s="108"/>
      <c r="K43" s="184">
        <v>1537.1333920879999</v>
      </c>
      <c r="L43" s="184">
        <v>1.3169898018999999</v>
      </c>
      <c r="M43" s="108"/>
      <c r="N43" s="184">
        <v>13655.5599994448</v>
      </c>
      <c r="O43" s="184">
        <v>12.130723935600001</v>
      </c>
      <c r="P43" s="108"/>
      <c r="Q43" s="184">
        <v>66079.539916631402</v>
      </c>
      <c r="R43" s="184">
        <v>59.101251574700001</v>
      </c>
      <c r="S43" s="108"/>
      <c r="T43" s="184">
        <v>6056.7858899168004</v>
      </c>
      <c r="U43" s="184">
        <v>5.1068664650000004</v>
      </c>
      <c r="V43" s="108"/>
      <c r="W43" s="184">
        <v>185.14482553709999</v>
      </c>
      <c r="X43" s="184">
        <v>0.1607586962</v>
      </c>
    </row>
    <row r="44" spans="1:24" s="51" customFormat="1" ht="12.95" customHeight="1" x14ac:dyDescent="0.2">
      <c r="B44" s="20" t="s">
        <v>39</v>
      </c>
      <c r="C44" s="50"/>
      <c r="D44" s="182">
        <v>35244.957363494002</v>
      </c>
      <c r="E44" s="108"/>
      <c r="F44" s="184">
        <v>37510.697837886699</v>
      </c>
      <c r="G44" s="108"/>
      <c r="H44" s="182">
        <v>8864.9629437774001</v>
      </c>
      <c r="I44" s="184">
        <v>22.663711186299999</v>
      </c>
      <c r="J44" s="108"/>
      <c r="K44" s="184">
        <v>1629.6576735481999</v>
      </c>
      <c r="L44" s="184">
        <v>4.0922893200999999</v>
      </c>
      <c r="M44" s="108"/>
      <c r="N44" s="184">
        <v>3012.9046249664998</v>
      </c>
      <c r="O44" s="184">
        <v>7.6946954883999998</v>
      </c>
      <c r="P44" s="108"/>
      <c r="Q44" s="184">
        <v>22038.061781304899</v>
      </c>
      <c r="R44" s="184">
        <v>58.746120869599999</v>
      </c>
      <c r="S44" s="108"/>
      <c r="T44" s="184">
        <v>881.15602585340002</v>
      </c>
      <c r="U44" s="184">
        <v>2.2007622789000001</v>
      </c>
      <c r="V44" s="108"/>
      <c r="W44" s="184">
        <v>0</v>
      </c>
      <c r="X44" s="184">
        <v>0</v>
      </c>
    </row>
    <row r="45" spans="1:24" s="28" customFormat="1" ht="6" customHeight="1" x14ac:dyDescent="0.2">
      <c r="A45" s="178"/>
      <c r="B45" s="21"/>
      <c r="C45" s="30"/>
      <c r="D45" s="110"/>
      <c r="E45" s="111"/>
      <c r="F45" s="111"/>
      <c r="G45" s="111"/>
      <c r="H45" s="110"/>
      <c r="I45" s="170"/>
      <c r="J45" s="171"/>
      <c r="K45" s="172"/>
      <c r="L45" s="170"/>
      <c r="M45" s="172"/>
      <c r="N45" s="171"/>
      <c r="O45" s="170"/>
      <c r="P45" s="171"/>
      <c r="Q45" s="171"/>
      <c r="R45" s="170"/>
      <c r="S45" s="171"/>
      <c r="T45" s="171"/>
      <c r="U45" s="170"/>
      <c r="V45" s="171"/>
      <c r="W45" s="171"/>
      <c r="X45" s="170"/>
    </row>
    <row r="46" spans="1:24" s="28" customFormat="1" ht="6" customHeight="1" x14ac:dyDescent="0.25">
      <c r="A46" s="178"/>
      <c r="C46" s="51"/>
      <c r="D46" s="169"/>
      <c r="E46" s="169"/>
      <c r="F46" s="169"/>
      <c r="G46" s="169"/>
      <c r="H46" s="169"/>
      <c r="I46" s="168"/>
      <c r="Q46" s="31"/>
      <c r="R46" s="31"/>
      <c r="S46" s="31"/>
      <c r="T46" s="31"/>
      <c r="U46" s="31"/>
    </row>
    <row r="47" spans="1:24" s="180" customFormat="1" ht="11.25" x14ac:dyDescent="0.2">
      <c r="A47" s="179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</row>
    <row r="48" spans="1:24" s="28" customFormat="1" ht="14.25" customHeight="1" x14ac:dyDescent="0.25">
      <c r="A48" s="178"/>
      <c r="B48" s="51" t="s">
        <v>101</v>
      </c>
      <c r="C48" s="51"/>
      <c r="D48" s="169"/>
      <c r="E48" s="169"/>
      <c r="F48" s="169"/>
      <c r="G48" s="169"/>
      <c r="H48" s="169"/>
      <c r="I48" s="168"/>
      <c r="Q48" s="31"/>
      <c r="R48" s="31"/>
      <c r="S48" s="31"/>
      <c r="T48" s="31"/>
      <c r="U48" s="31"/>
    </row>
    <row r="49" spans="1:21" s="28" customFormat="1" ht="15" x14ac:dyDescent="0.25">
      <c r="A49" s="178"/>
      <c r="B49" s="51" t="s">
        <v>100</v>
      </c>
      <c r="C49" s="51"/>
      <c r="D49" s="169"/>
      <c r="E49" s="169"/>
      <c r="F49" s="169"/>
      <c r="G49" s="169"/>
      <c r="H49" s="169"/>
      <c r="I49" s="168"/>
      <c r="Q49" s="31"/>
      <c r="R49" s="31"/>
      <c r="S49" s="31"/>
      <c r="T49" s="31"/>
      <c r="U49" s="31"/>
    </row>
    <row r="50" spans="1:21" s="28" customFormat="1" ht="15" x14ac:dyDescent="0.25">
      <c r="A50" s="178"/>
      <c r="B50" s="51" t="s">
        <v>111</v>
      </c>
      <c r="C50" s="51"/>
      <c r="D50" s="169"/>
      <c r="E50" s="169"/>
      <c r="F50" s="169"/>
      <c r="G50" s="169"/>
      <c r="H50" s="169"/>
      <c r="I50" s="168"/>
      <c r="Q50" s="31"/>
      <c r="R50" s="31"/>
      <c r="S50" s="31"/>
      <c r="T50" s="31"/>
      <c r="U50" s="31"/>
    </row>
    <row r="51" spans="1:21" s="101" customFormat="1" ht="14.25" x14ac:dyDescent="0.2">
      <c r="B51" s="102" t="s">
        <v>75</v>
      </c>
      <c r="F51" s="119"/>
    </row>
  </sheetData>
  <mergeCells count="12">
    <mergeCell ref="T8:U8"/>
    <mergeCell ref="W8:X8"/>
    <mergeCell ref="B5:U5"/>
    <mergeCell ref="B6:I6"/>
    <mergeCell ref="B7:C9"/>
    <mergeCell ref="D7:D9"/>
    <mergeCell ref="F7:F9"/>
    <mergeCell ref="H7:X7"/>
    <mergeCell ref="H8:I8"/>
    <mergeCell ref="K8:L8"/>
    <mergeCell ref="N8:O8"/>
    <mergeCell ref="Q8:R8"/>
  </mergeCells>
  <hyperlinks>
    <hyperlink ref="X1" location="Índice!A1" tooltip="Ir a ÍNDICE" display="INDICE" xr:uid="{18736083-0BE0-4C28-B007-5BC5497B16C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731D-24E0-43B7-87BE-539DE8CCB7D7}">
  <sheetPr>
    <pageSetUpPr fitToPage="1"/>
  </sheetPr>
  <dimension ref="A1:AJ56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4.85546875" style="1" customWidth="1"/>
    <col min="3" max="3" width="1.7109375" style="1" customWidth="1" collapsed="1"/>
    <col min="4" max="4" width="18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42578125" style="1" customWidth="1" collapsed="1"/>
    <col min="9" max="9" width="11.28515625" style="1" customWidth="1" collapsed="1"/>
    <col min="10" max="10" width="1.7109375" style="1" customWidth="1" collapsed="1"/>
    <col min="11" max="11" width="11.28515625" style="1" customWidth="1" collapsed="1"/>
    <col min="12" max="12" width="11.42578125" style="1" customWidth="1" collapsed="1"/>
    <col min="13" max="13" width="1.7109375" style="2" customWidth="1"/>
    <col min="14" max="15" width="11.42578125" style="2"/>
    <col min="16" max="16" width="1.7109375" style="2" customWidth="1"/>
    <col min="17" max="18" width="11.42578125" style="2"/>
    <col min="19" max="19" width="1.7109375" style="2" customWidth="1"/>
    <col min="20" max="36" width="11.42578125" style="1"/>
    <col min="37" max="16384" width="11.42578125" style="1" collapsed="1"/>
  </cols>
  <sheetData>
    <row r="1" spans="2:21" s="68" customFormat="1" x14ac:dyDescent="0.2">
      <c r="B1" s="210" t="s">
        <v>129</v>
      </c>
      <c r="M1" s="70"/>
      <c r="N1" s="70"/>
      <c r="O1" s="70"/>
      <c r="P1" s="70"/>
      <c r="Q1" s="70"/>
      <c r="R1" s="70"/>
      <c r="S1" s="70"/>
      <c r="U1" s="80" t="s">
        <v>74</v>
      </c>
    </row>
    <row r="2" spans="2:21" s="68" customFormat="1" ht="6.95" customHeight="1" x14ac:dyDescent="0.25">
      <c r="B2" s="210"/>
      <c r="M2" s="70"/>
      <c r="N2" s="70"/>
      <c r="O2" s="70"/>
      <c r="P2" s="70"/>
      <c r="Q2" s="70"/>
      <c r="R2" s="70"/>
      <c r="S2" s="70"/>
    </row>
    <row r="3" spans="2:21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  <c r="R3" s="70"/>
      <c r="S3" s="70"/>
    </row>
    <row r="4" spans="2:21" s="68" customFormat="1" ht="6.95" customHeight="1" x14ac:dyDescent="0.25">
      <c r="C4" s="71"/>
      <c r="M4" s="70"/>
      <c r="N4" s="70"/>
      <c r="O4" s="70"/>
      <c r="P4" s="70"/>
      <c r="Q4" s="70"/>
      <c r="R4" s="70"/>
      <c r="S4" s="70"/>
    </row>
    <row r="5" spans="2:21" s="68" customFormat="1" ht="25.5" customHeight="1" x14ac:dyDescent="0.2">
      <c r="B5" s="242" t="s">
        <v>118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174"/>
      <c r="T5" s="174"/>
      <c r="U5" s="79" t="s">
        <v>60</v>
      </c>
    </row>
    <row r="6" spans="2:21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28"/>
      <c r="Q6" s="28"/>
      <c r="R6" s="28"/>
      <c r="S6" s="28"/>
      <c r="T6" s="31"/>
      <c r="U6" s="31"/>
    </row>
    <row r="7" spans="2:21" ht="27" customHeight="1" x14ac:dyDescent="0.25">
      <c r="B7" s="245" t="s">
        <v>1</v>
      </c>
      <c r="C7" s="245"/>
      <c r="D7" s="267" t="s">
        <v>108</v>
      </c>
      <c r="E7" s="34"/>
      <c r="F7" s="248" t="s">
        <v>107</v>
      </c>
      <c r="G7" s="35"/>
      <c r="H7" s="251" t="s">
        <v>117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</row>
    <row r="8" spans="2:21" ht="34.5" customHeight="1" x14ac:dyDescent="0.25">
      <c r="B8" s="246"/>
      <c r="C8" s="246"/>
      <c r="D8" s="268"/>
      <c r="E8" s="34"/>
      <c r="F8" s="249"/>
      <c r="G8" s="34"/>
      <c r="H8" s="252" t="s">
        <v>116</v>
      </c>
      <c r="I8" s="252"/>
      <c r="J8" s="36"/>
      <c r="K8" s="232" t="s">
        <v>115</v>
      </c>
      <c r="L8" s="232"/>
      <c r="M8" s="37"/>
      <c r="N8" s="232" t="s">
        <v>114</v>
      </c>
      <c r="O8" s="232"/>
      <c r="P8" s="37"/>
      <c r="Q8" s="232" t="s">
        <v>113</v>
      </c>
      <c r="R8" s="232"/>
      <c r="S8" s="37"/>
      <c r="T8" s="232" t="s">
        <v>43</v>
      </c>
      <c r="U8" s="232"/>
    </row>
    <row r="9" spans="2:21" ht="21.75" customHeight="1" x14ac:dyDescent="0.25">
      <c r="B9" s="247"/>
      <c r="C9" s="247"/>
      <c r="D9" s="269"/>
      <c r="E9" s="38"/>
      <c r="F9" s="250"/>
      <c r="G9" s="38"/>
      <c r="H9" s="173" t="s">
        <v>5</v>
      </c>
      <c r="I9" s="173" t="s">
        <v>6</v>
      </c>
      <c r="J9" s="29"/>
      <c r="K9" s="173" t="s">
        <v>5</v>
      </c>
      <c r="L9" s="173" t="s">
        <v>6</v>
      </c>
      <c r="M9" s="81"/>
      <c r="N9" s="173" t="s">
        <v>5</v>
      </c>
      <c r="O9" s="173" t="s">
        <v>6</v>
      </c>
      <c r="P9" s="81"/>
      <c r="Q9" s="173" t="s">
        <v>5</v>
      </c>
      <c r="R9" s="173" t="s">
        <v>6</v>
      </c>
      <c r="S9" s="81"/>
      <c r="T9" s="173" t="s">
        <v>5</v>
      </c>
      <c r="U9" s="173" t="s">
        <v>6</v>
      </c>
    </row>
    <row r="10" spans="2:21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05"/>
      <c r="R10" s="86"/>
      <c r="S10" s="105"/>
      <c r="T10" s="117"/>
      <c r="U10" s="86"/>
    </row>
    <row r="11" spans="2:21" s="88" customFormat="1" ht="12.95" customHeight="1" x14ac:dyDescent="0.2">
      <c r="B11" s="40" t="s">
        <v>7</v>
      </c>
      <c r="C11" s="92"/>
      <c r="D11" s="202">
        <v>4952920.7612226699</v>
      </c>
      <c r="E11" s="203"/>
      <c r="F11" s="202">
        <v>5263147.4930288699</v>
      </c>
      <c r="G11" s="203"/>
      <c r="H11" s="202">
        <v>1594463.3898395</v>
      </c>
      <c r="I11" s="202">
        <v>31.596056537300001</v>
      </c>
      <c r="J11" s="203"/>
      <c r="K11" s="202">
        <v>1213517.23417889</v>
      </c>
      <c r="L11" s="202">
        <v>24.040868369399998</v>
      </c>
      <c r="M11" s="203"/>
      <c r="N11" s="202">
        <v>1202927.17280925</v>
      </c>
      <c r="O11" s="202">
        <v>23.773172753600001</v>
      </c>
      <c r="P11" s="203"/>
      <c r="Q11" s="202">
        <v>586915.29503813898</v>
      </c>
      <c r="R11" s="202">
        <v>11.595423932899999</v>
      </c>
      <c r="S11" s="203"/>
      <c r="T11" s="202">
        <v>472158.44801372901</v>
      </c>
      <c r="U11" s="202">
        <v>9.3162991697000006</v>
      </c>
    </row>
    <row r="12" spans="2:21" s="88" customFormat="1" ht="6" customHeight="1" x14ac:dyDescent="0.2">
      <c r="B12" s="40"/>
      <c r="C12" s="92"/>
      <c r="D12" s="199"/>
      <c r="E12" s="199"/>
      <c r="F12" s="199"/>
      <c r="G12" s="199"/>
      <c r="H12" s="199"/>
      <c r="I12" s="201"/>
      <c r="J12" s="199"/>
      <c r="K12" s="199"/>
      <c r="L12" s="201"/>
      <c r="M12" s="199"/>
      <c r="N12" s="199"/>
      <c r="O12" s="201"/>
      <c r="P12" s="199"/>
      <c r="Q12" s="199"/>
      <c r="R12" s="201"/>
      <c r="S12" s="199"/>
      <c r="T12" s="199"/>
      <c r="U12" s="201"/>
    </row>
    <row r="13" spans="2:21" s="3" customFormat="1" ht="12.95" customHeight="1" x14ac:dyDescent="0.2">
      <c r="B13" s="20" t="s">
        <v>8</v>
      </c>
      <c r="C13" s="50"/>
      <c r="D13" s="198">
        <v>38426.275661499101</v>
      </c>
      <c r="E13" s="199"/>
      <c r="F13" s="198">
        <v>40695.450944339696</v>
      </c>
      <c r="G13" s="199"/>
      <c r="H13" s="198">
        <v>1305.1244690937999</v>
      </c>
      <c r="I13" s="198">
        <v>2.9467733469000001</v>
      </c>
      <c r="J13" s="199"/>
      <c r="K13" s="198">
        <v>7656.4602759824002</v>
      </c>
      <c r="L13" s="198">
        <v>17.725100507000001</v>
      </c>
      <c r="M13" s="199"/>
      <c r="N13" s="198">
        <v>14620.5835235305</v>
      </c>
      <c r="O13" s="198">
        <v>35.594702995699997</v>
      </c>
      <c r="P13" s="199"/>
      <c r="Q13" s="198">
        <v>5614.9299766452996</v>
      </c>
      <c r="R13" s="198">
        <v>13.285396817000001</v>
      </c>
      <c r="S13" s="199"/>
      <c r="T13" s="198">
        <v>3530.4117213774998</v>
      </c>
      <c r="U13" s="198">
        <v>8.1937036138000003</v>
      </c>
    </row>
    <row r="14" spans="2:21" s="3" customFormat="1" ht="12.95" customHeight="1" x14ac:dyDescent="0.2">
      <c r="B14" s="20" t="s">
        <v>9</v>
      </c>
      <c r="C14" s="50"/>
      <c r="D14" s="198">
        <v>179738.18850907401</v>
      </c>
      <c r="E14" s="199"/>
      <c r="F14" s="198">
        <v>189582.03394194701</v>
      </c>
      <c r="G14" s="199"/>
      <c r="H14" s="198">
        <v>19171.153070919299</v>
      </c>
      <c r="I14" s="198">
        <v>9.4334969145999992</v>
      </c>
      <c r="J14" s="199"/>
      <c r="K14" s="198">
        <v>50001.9933174775</v>
      </c>
      <c r="L14" s="198">
        <v>26.881995702099999</v>
      </c>
      <c r="M14" s="199"/>
      <c r="N14" s="198">
        <v>57998.182987816399</v>
      </c>
      <c r="O14" s="198">
        <v>29.3695842773</v>
      </c>
      <c r="P14" s="199"/>
      <c r="Q14" s="198">
        <v>21344.718912206699</v>
      </c>
      <c r="R14" s="198">
        <v>10.305199878</v>
      </c>
      <c r="S14" s="199"/>
      <c r="T14" s="198">
        <v>10124.425582802</v>
      </c>
      <c r="U14" s="198">
        <v>4.9074080466999996</v>
      </c>
    </row>
    <row r="15" spans="2:21" s="3" customFormat="1" ht="12.95" customHeight="1" x14ac:dyDescent="0.2">
      <c r="B15" s="20" t="s">
        <v>10</v>
      </c>
      <c r="C15" s="50"/>
      <c r="D15" s="200">
        <v>31894.134749053399</v>
      </c>
      <c r="E15" s="199"/>
      <c r="F15" s="198">
        <v>32435.3231560368</v>
      </c>
      <c r="G15" s="199"/>
      <c r="H15" s="200">
        <v>5485.4517317392001</v>
      </c>
      <c r="I15" s="198">
        <v>14.132025349799999</v>
      </c>
      <c r="J15" s="199"/>
      <c r="K15" s="200">
        <v>3874.7482547620998</v>
      </c>
      <c r="L15" s="198">
        <v>14.129009872099999</v>
      </c>
      <c r="M15" s="199"/>
      <c r="N15" s="198">
        <v>9336.8581719826998</v>
      </c>
      <c r="O15" s="198">
        <v>24.597058349099999</v>
      </c>
      <c r="P15" s="199"/>
      <c r="Q15" s="198">
        <v>3985.3252239669</v>
      </c>
      <c r="R15" s="198">
        <v>9.9267872104000006</v>
      </c>
      <c r="S15" s="199"/>
      <c r="T15" s="198">
        <v>1753.4714580048999</v>
      </c>
      <c r="U15" s="198">
        <v>4.4236404655000001</v>
      </c>
    </row>
    <row r="16" spans="2:21" s="3" customFormat="1" ht="12.95" customHeight="1" x14ac:dyDescent="0.2">
      <c r="B16" s="20" t="s">
        <v>11</v>
      </c>
      <c r="C16" s="50"/>
      <c r="D16" s="200">
        <v>39564.550820573902</v>
      </c>
      <c r="E16" s="199"/>
      <c r="F16" s="198">
        <v>41728.253167712901</v>
      </c>
      <c r="G16" s="199"/>
      <c r="H16" s="200">
        <v>16755.935312646601</v>
      </c>
      <c r="I16" s="198">
        <v>40.1802492327</v>
      </c>
      <c r="J16" s="199"/>
      <c r="K16" s="200">
        <v>5872.8865981995996</v>
      </c>
      <c r="L16" s="198">
        <v>13.263276168299999</v>
      </c>
      <c r="M16" s="199"/>
      <c r="N16" s="198">
        <v>5523.0859464078003</v>
      </c>
      <c r="O16" s="198">
        <v>12.7117340052</v>
      </c>
      <c r="P16" s="199"/>
      <c r="Q16" s="198">
        <v>1404.3750821495</v>
      </c>
      <c r="R16" s="198">
        <v>3.0853154564</v>
      </c>
      <c r="S16" s="199"/>
      <c r="T16" s="198">
        <v>6449.0427416551001</v>
      </c>
      <c r="U16" s="198">
        <v>14.7561073683</v>
      </c>
    </row>
    <row r="17" spans="2:21" s="3" customFormat="1" ht="12.95" customHeight="1" x14ac:dyDescent="0.2">
      <c r="B17" s="20" t="s">
        <v>12</v>
      </c>
      <c r="C17" s="50"/>
      <c r="D17" s="200">
        <v>103905.33250598601</v>
      </c>
      <c r="E17" s="199"/>
      <c r="F17" s="198">
        <v>109741.497812109</v>
      </c>
      <c r="G17" s="199"/>
      <c r="H17" s="200">
        <v>7290.6361909404004</v>
      </c>
      <c r="I17" s="198">
        <v>6.4218624330000003</v>
      </c>
      <c r="J17" s="199"/>
      <c r="K17" s="200">
        <v>24031.098219397099</v>
      </c>
      <c r="L17" s="198">
        <v>21.483638533400001</v>
      </c>
      <c r="M17" s="199"/>
      <c r="N17" s="198">
        <v>40754.615727939199</v>
      </c>
      <c r="O17" s="198">
        <v>35.894922861399998</v>
      </c>
      <c r="P17" s="199"/>
      <c r="Q17" s="198">
        <v>12817.784457735699</v>
      </c>
      <c r="R17" s="198">
        <v>11.212331949999999</v>
      </c>
      <c r="S17" s="199"/>
      <c r="T17" s="198">
        <v>4698.6845847887998</v>
      </c>
      <c r="U17" s="198">
        <v>4.0905973776</v>
      </c>
    </row>
    <row r="18" spans="2:21" s="3" customFormat="1" ht="12.95" customHeight="1" x14ac:dyDescent="0.2">
      <c r="B18" s="20" t="s">
        <v>13</v>
      </c>
      <c r="C18" s="50"/>
      <c r="D18" s="200">
        <v>21782.535150150401</v>
      </c>
      <c r="E18" s="199"/>
      <c r="F18" s="198">
        <v>23359.2268065592</v>
      </c>
      <c r="G18" s="199"/>
      <c r="H18" s="200">
        <v>1106.6423106082</v>
      </c>
      <c r="I18" s="198">
        <v>4.6291042222999996</v>
      </c>
      <c r="J18" s="199"/>
      <c r="K18" s="200">
        <v>4707.3667622083003</v>
      </c>
      <c r="L18" s="198">
        <v>19.3408779112</v>
      </c>
      <c r="M18" s="199"/>
      <c r="N18" s="198">
        <v>10504.297816521101</v>
      </c>
      <c r="O18" s="198">
        <v>44.810506648500002</v>
      </c>
      <c r="P18" s="199"/>
      <c r="Q18" s="198">
        <v>1687.5536724240001</v>
      </c>
      <c r="R18" s="198">
        <v>6.9510756008000003</v>
      </c>
      <c r="S18" s="199"/>
      <c r="T18" s="198">
        <v>897.75089525570002</v>
      </c>
      <c r="U18" s="198">
        <v>3.6407199604999998</v>
      </c>
    </row>
    <row r="19" spans="2:21" s="3" customFormat="1" ht="12.95" customHeight="1" x14ac:dyDescent="0.2">
      <c r="B19" s="20" t="s">
        <v>14</v>
      </c>
      <c r="C19" s="50"/>
      <c r="D19" s="200">
        <v>223544.451704662</v>
      </c>
      <c r="E19" s="199"/>
      <c r="F19" s="198">
        <v>231847.187747274</v>
      </c>
      <c r="G19" s="199"/>
      <c r="H19" s="200">
        <v>148352.32976047901</v>
      </c>
      <c r="I19" s="198">
        <v>63.017684793599997</v>
      </c>
      <c r="J19" s="199"/>
      <c r="K19" s="200">
        <v>29072.9814951357</v>
      </c>
      <c r="L19" s="198">
        <v>11.9958017925</v>
      </c>
      <c r="M19" s="199"/>
      <c r="N19" s="198">
        <v>13382.7970006419</v>
      </c>
      <c r="O19" s="198">
        <v>5.3220681713999998</v>
      </c>
      <c r="P19" s="199"/>
      <c r="Q19" s="198">
        <v>4637.0344150435003</v>
      </c>
      <c r="R19" s="198">
        <v>1.8537523522999999</v>
      </c>
      <c r="S19" s="199"/>
      <c r="T19" s="198">
        <v>11148.2007766194</v>
      </c>
      <c r="U19" s="198">
        <v>4.5912137055000004</v>
      </c>
    </row>
    <row r="20" spans="2:21" s="4" customFormat="1" ht="12.95" customHeight="1" x14ac:dyDescent="0.2">
      <c r="B20" s="20" t="s">
        <v>15</v>
      </c>
      <c r="C20" s="50"/>
      <c r="D20" s="200">
        <v>110455.639388657</v>
      </c>
      <c r="E20" s="199"/>
      <c r="F20" s="198">
        <v>118804.89877265799</v>
      </c>
      <c r="G20" s="199"/>
      <c r="H20" s="200">
        <v>13378.5503301055</v>
      </c>
      <c r="I20" s="198">
        <v>10.8608474304</v>
      </c>
      <c r="J20" s="199"/>
      <c r="K20" s="200">
        <v>30638.8816539363</v>
      </c>
      <c r="L20" s="198">
        <v>25.681328472899999</v>
      </c>
      <c r="M20" s="199"/>
      <c r="N20" s="198">
        <v>30309.090143978701</v>
      </c>
      <c r="O20" s="198">
        <v>25.220365703100001</v>
      </c>
      <c r="P20" s="199"/>
      <c r="Q20" s="198">
        <v>12975.0386284084</v>
      </c>
      <c r="R20" s="198">
        <v>10.767658964400001</v>
      </c>
      <c r="S20" s="199"/>
      <c r="T20" s="198">
        <v>7312.3945133338002</v>
      </c>
      <c r="U20" s="198">
        <v>6.0004343021000004</v>
      </c>
    </row>
    <row r="21" spans="2:21" s="4" customFormat="1" ht="12.95" customHeight="1" x14ac:dyDescent="0.2">
      <c r="B21" s="20" t="s">
        <v>16</v>
      </c>
      <c r="C21" s="50"/>
      <c r="D21" s="200">
        <v>520933.19820893201</v>
      </c>
      <c r="E21" s="199"/>
      <c r="F21" s="198">
        <v>554832.19181491504</v>
      </c>
      <c r="G21" s="199"/>
      <c r="H21" s="200">
        <v>52895.226460752201</v>
      </c>
      <c r="I21" s="198">
        <v>9.1978522480000002</v>
      </c>
      <c r="J21" s="199"/>
      <c r="K21" s="200">
        <v>86553.6547277973</v>
      </c>
      <c r="L21" s="198">
        <v>15.4696811352</v>
      </c>
      <c r="M21" s="199"/>
      <c r="N21" s="198">
        <v>103201.92341457</v>
      </c>
      <c r="O21" s="198">
        <v>18.300298297800001</v>
      </c>
      <c r="P21" s="199"/>
      <c r="Q21" s="198">
        <v>156960.169682648</v>
      </c>
      <c r="R21" s="198">
        <v>28.291295839</v>
      </c>
      <c r="S21" s="199"/>
      <c r="T21" s="198">
        <v>72125.103932259604</v>
      </c>
      <c r="U21" s="198">
        <v>12.8972304504</v>
      </c>
    </row>
    <row r="22" spans="2:21" s="4" customFormat="1" ht="12.95" customHeight="1" x14ac:dyDescent="0.2">
      <c r="B22" s="20" t="s">
        <v>17</v>
      </c>
      <c r="C22" s="50"/>
      <c r="D22" s="200">
        <v>59089.116802245</v>
      </c>
      <c r="E22" s="199"/>
      <c r="F22" s="198">
        <v>63018.430012589401</v>
      </c>
      <c r="G22" s="199"/>
      <c r="H22" s="200">
        <v>14281.917159693499</v>
      </c>
      <c r="I22" s="198">
        <v>22.238953253399998</v>
      </c>
      <c r="J22" s="199"/>
      <c r="K22" s="200">
        <v>9476.8144097345994</v>
      </c>
      <c r="L22" s="198">
        <v>14.423235182399999</v>
      </c>
      <c r="M22" s="199"/>
      <c r="N22" s="198">
        <v>16342.7700398259</v>
      </c>
      <c r="O22" s="198">
        <v>25.501411574500001</v>
      </c>
      <c r="P22" s="199"/>
      <c r="Q22" s="198">
        <v>4063.7210676484001</v>
      </c>
      <c r="R22" s="198">
        <v>6.3529630836999997</v>
      </c>
      <c r="S22" s="199"/>
      <c r="T22" s="198">
        <v>7263.0723714864998</v>
      </c>
      <c r="U22" s="198">
        <v>11.2100691456</v>
      </c>
    </row>
    <row r="23" spans="2:21" s="4" customFormat="1" ht="12.95" customHeight="1" x14ac:dyDescent="0.2">
      <c r="B23" s="20" t="s">
        <v>18</v>
      </c>
      <c r="C23" s="50"/>
      <c r="D23" s="200">
        <v>197020.07998782399</v>
      </c>
      <c r="E23" s="199"/>
      <c r="F23" s="198">
        <v>215599.013709797</v>
      </c>
      <c r="G23" s="199"/>
      <c r="H23" s="200">
        <v>29522.200350638301</v>
      </c>
      <c r="I23" s="198">
        <v>14.0783408729</v>
      </c>
      <c r="J23" s="199"/>
      <c r="K23" s="200">
        <v>48648.058680204696</v>
      </c>
      <c r="L23" s="198">
        <v>22.660616169699999</v>
      </c>
      <c r="M23" s="199"/>
      <c r="N23" s="198">
        <v>63935.546351869903</v>
      </c>
      <c r="O23" s="198">
        <v>29.975896434700001</v>
      </c>
      <c r="P23" s="199"/>
      <c r="Q23" s="198">
        <v>10040.218468856599</v>
      </c>
      <c r="R23" s="198">
        <v>4.6114924652999996</v>
      </c>
      <c r="S23" s="199"/>
      <c r="T23" s="198">
        <v>25761.324261920101</v>
      </c>
      <c r="U23" s="198">
        <v>11.837422184899999</v>
      </c>
    </row>
    <row r="24" spans="2:21" s="4" customFormat="1" ht="12.95" customHeight="1" x14ac:dyDescent="0.2">
      <c r="B24" s="20" t="s">
        <v>19</v>
      </c>
      <c r="C24" s="50"/>
      <c r="D24" s="200">
        <v>169977.07804400101</v>
      </c>
      <c r="E24" s="199"/>
      <c r="F24" s="198">
        <v>183429.66911469901</v>
      </c>
      <c r="G24" s="199"/>
      <c r="H24" s="200">
        <v>114541.466752557</v>
      </c>
      <c r="I24" s="198">
        <v>64.500567580099997</v>
      </c>
      <c r="J24" s="199"/>
      <c r="K24" s="200">
        <v>28136.455188261301</v>
      </c>
      <c r="L24" s="198">
        <v>14.9187071547</v>
      </c>
      <c r="M24" s="199"/>
      <c r="N24" s="198">
        <v>11268.9491318983</v>
      </c>
      <c r="O24" s="198">
        <v>6.0478099536999999</v>
      </c>
      <c r="P24" s="199"/>
      <c r="Q24" s="198">
        <v>1206.6841132323</v>
      </c>
      <c r="R24" s="198">
        <v>0.64374219730000004</v>
      </c>
      <c r="S24" s="199"/>
      <c r="T24" s="198">
        <v>8697.1602343754003</v>
      </c>
      <c r="U24" s="198">
        <v>4.6593994553</v>
      </c>
    </row>
    <row r="25" spans="2:21" s="4" customFormat="1" ht="12.95" customHeight="1" x14ac:dyDescent="0.2">
      <c r="B25" s="20" t="s">
        <v>20</v>
      </c>
      <c r="C25" s="50"/>
      <c r="D25" s="200">
        <v>76936.151234817604</v>
      </c>
      <c r="E25" s="199"/>
      <c r="F25" s="198">
        <v>83468.352354429095</v>
      </c>
      <c r="G25" s="199"/>
      <c r="H25" s="200">
        <v>41418.475834636003</v>
      </c>
      <c r="I25" s="198">
        <v>51.302805470800003</v>
      </c>
      <c r="J25" s="199"/>
      <c r="K25" s="200">
        <v>12308.406455877301</v>
      </c>
      <c r="L25" s="198">
        <v>14.306775830799999</v>
      </c>
      <c r="M25" s="199"/>
      <c r="N25" s="198">
        <v>9187.3961795463001</v>
      </c>
      <c r="O25" s="198">
        <v>10.402865200200001</v>
      </c>
      <c r="P25" s="199"/>
      <c r="Q25" s="198">
        <v>2662.9128936621</v>
      </c>
      <c r="R25" s="198">
        <v>2.9456140901999999</v>
      </c>
      <c r="S25" s="199"/>
      <c r="T25" s="198">
        <v>3218.2729546843998</v>
      </c>
      <c r="U25" s="198">
        <v>3.5993441283999998</v>
      </c>
    </row>
    <row r="26" spans="2:21" s="4" customFormat="1" ht="12.95" customHeight="1" x14ac:dyDescent="0.2">
      <c r="B26" s="20" t="s">
        <v>21</v>
      </c>
      <c r="C26" s="50"/>
      <c r="D26" s="200">
        <v>252336.678589027</v>
      </c>
      <c r="E26" s="199"/>
      <c r="F26" s="198">
        <v>272257.12608408398</v>
      </c>
      <c r="G26" s="199"/>
      <c r="H26" s="200">
        <v>29422.0106894405</v>
      </c>
      <c r="I26" s="198">
        <v>10.6046935024</v>
      </c>
      <c r="J26" s="199"/>
      <c r="K26" s="200">
        <v>62543.5499939129</v>
      </c>
      <c r="L26" s="198">
        <v>23.042244216099999</v>
      </c>
      <c r="M26" s="199"/>
      <c r="N26" s="198">
        <v>71396.770987256299</v>
      </c>
      <c r="O26" s="198">
        <v>25.903976589300001</v>
      </c>
      <c r="P26" s="199"/>
      <c r="Q26" s="198">
        <v>43711.8866486103</v>
      </c>
      <c r="R26" s="198">
        <v>15.634656915800001</v>
      </c>
      <c r="S26" s="199"/>
      <c r="T26" s="198">
        <v>12394.714499338899</v>
      </c>
      <c r="U26" s="198">
        <v>4.3700077695999999</v>
      </c>
    </row>
    <row r="27" spans="2:21" s="4" customFormat="1" ht="12.95" customHeight="1" x14ac:dyDescent="0.2">
      <c r="B27" s="20" t="s">
        <v>22</v>
      </c>
      <c r="C27" s="50"/>
      <c r="D27" s="200">
        <v>472124.69796245801</v>
      </c>
      <c r="E27" s="199"/>
      <c r="F27" s="198">
        <v>525435.38835397095</v>
      </c>
      <c r="G27" s="199"/>
      <c r="H27" s="200">
        <v>157998.95087132999</v>
      </c>
      <c r="I27" s="198">
        <v>31.017942634600001</v>
      </c>
      <c r="J27" s="199"/>
      <c r="K27" s="200">
        <v>114126.459982703</v>
      </c>
      <c r="L27" s="198">
        <v>22.036665545200002</v>
      </c>
      <c r="M27" s="199"/>
      <c r="N27" s="198">
        <v>65157.592359588802</v>
      </c>
      <c r="O27" s="198">
        <v>12.535514709199999</v>
      </c>
      <c r="P27" s="199"/>
      <c r="Q27" s="198">
        <v>27910.4328157786</v>
      </c>
      <c r="R27" s="198">
        <v>5.3372934386999997</v>
      </c>
      <c r="S27" s="199"/>
      <c r="T27" s="198">
        <v>59371.508634134501</v>
      </c>
      <c r="U27" s="198">
        <v>11.2167138159</v>
      </c>
    </row>
    <row r="28" spans="2:21" s="4" customFormat="1" ht="12.95" customHeight="1" x14ac:dyDescent="0.2">
      <c r="B28" s="20" t="s">
        <v>23</v>
      </c>
      <c r="C28" s="50"/>
      <c r="D28" s="200">
        <v>135621.317331773</v>
      </c>
      <c r="E28" s="199"/>
      <c r="F28" s="198">
        <v>143453.172365812</v>
      </c>
      <c r="G28" s="199"/>
      <c r="H28" s="200">
        <v>32653.057007645599</v>
      </c>
      <c r="I28" s="198">
        <v>21.142532968099999</v>
      </c>
      <c r="J28" s="199"/>
      <c r="K28" s="200">
        <v>41603.7019762239</v>
      </c>
      <c r="L28" s="198">
        <v>28.3557888052</v>
      </c>
      <c r="M28" s="199"/>
      <c r="N28" s="198">
        <v>31379.2143299085</v>
      </c>
      <c r="O28" s="198">
        <v>21.001970137400001</v>
      </c>
      <c r="P28" s="199"/>
      <c r="Q28" s="198">
        <v>6871.3817347299</v>
      </c>
      <c r="R28" s="198">
        <v>5.0480155742999999</v>
      </c>
      <c r="S28" s="199"/>
      <c r="T28" s="198">
        <v>8906.1401519617993</v>
      </c>
      <c r="U28" s="198">
        <v>5.4668411000999999</v>
      </c>
    </row>
    <row r="29" spans="2:21" s="4" customFormat="1" ht="12.95" customHeight="1" x14ac:dyDescent="0.2">
      <c r="B29" s="20" t="s">
        <v>24</v>
      </c>
      <c r="C29" s="50"/>
      <c r="D29" s="200">
        <v>62793.389148348098</v>
      </c>
      <c r="E29" s="199"/>
      <c r="F29" s="198">
        <v>66901.127967232998</v>
      </c>
      <c r="G29" s="199"/>
      <c r="H29" s="200">
        <v>25378.526169513301</v>
      </c>
      <c r="I29" s="198">
        <v>37.687255835499997</v>
      </c>
      <c r="J29" s="199"/>
      <c r="K29" s="200">
        <v>11118.8141368014</v>
      </c>
      <c r="L29" s="198">
        <v>16.354329395400001</v>
      </c>
      <c r="M29" s="199"/>
      <c r="N29" s="198">
        <v>8340.5035400068009</v>
      </c>
      <c r="O29" s="198">
        <v>12.236709457</v>
      </c>
      <c r="P29" s="199"/>
      <c r="Q29" s="198">
        <v>3057.5185472078001</v>
      </c>
      <c r="R29" s="198">
        <v>4.5511351058000002</v>
      </c>
      <c r="S29" s="199"/>
      <c r="T29" s="198">
        <v>7827.7412003377003</v>
      </c>
      <c r="U29" s="198">
        <v>11.161860705200001</v>
      </c>
    </row>
    <row r="30" spans="2:21" s="4" customFormat="1" ht="12.95" customHeight="1" x14ac:dyDescent="0.2">
      <c r="B30" s="20" t="s">
        <v>25</v>
      </c>
      <c r="C30" s="50"/>
      <c r="D30" s="200">
        <v>45193.470186942002</v>
      </c>
      <c r="E30" s="199"/>
      <c r="F30" s="198">
        <v>47780.724112951502</v>
      </c>
      <c r="G30" s="199"/>
      <c r="H30" s="200">
        <v>10642.4062019995</v>
      </c>
      <c r="I30" s="198">
        <v>21.1084584643</v>
      </c>
      <c r="J30" s="199"/>
      <c r="K30" s="200">
        <v>12937.5836032677</v>
      </c>
      <c r="L30" s="198">
        <v>27.011709965600001</v>
      </c>
      <c r="M30" s="199"/>
      <c r="N30" s="198">
        <v>12565.433484321</v>
      </c>
      <c r="O30" s="198">
        <v>25.416772990799998</v>
      </c>
      <c r="P30" s="199"/>
      <c r="Q30" s="198">
        <v>3348.3231896442999</v>
      </c>
      <c r="R30" s="198">
        <v>6.5948720997999999</v>
      </c>
      <c r="S30" s="199"/>
      <c r="T30" s="198">
        <v>1517.4120711568</v>
      </c>
      <c r="U30" s="198">
        <v>2.9607484892000002</v>
      </c>
    </row>
    <row r="31" spans="2:21" s="4" customFormat="1" ht="12.95" customHeight="1" x14ac:dyDescent="0.2">
      <c r="B31" s="20" t="s">
        <v>26</v>
      </c>
      <c r="C31" s="50"/>
      <c r="D31" s="200">
        <v>125629.913642342</v>
      </c>
      <c r="E31" s="199"/>
      <c r="F31" s="198">
        <v>135032.27312541599</v>
      </c>
      <c r="G31" s="199"/>
      <c r="H31" s="200">
        <v>4385.0739633047997</v>
      </c>
      <c r="I31" s="198">
        <v>3.2430153664999999</v>
      </c>
      <c r="J31" s="199"/>
      <c r="K31" s="200">
        <v>24028.665550239599</v>
      </c>
      <c r="L31" s="198">
        <v>18.191013530399999</v>
      </c>
      <c r="M31" s="199"/>
      <c r="N31" s="198">
        <v>55348.867434292501</v>
      </c>
      <c r="O31" s="198">
        <v>37.5094489743</v>
      </c>
      <c r="P31" s="199"/>
      <c r="Q31" s="198">
        <v>19531.332262609099</v>
      </c>
      <c r="R31" s="198">
        <v>14.0406080982</v>
      </c>
      <c r="S31" s="199"/>
      <c r="T31" s="198">
        <v>3225.3622511476001</v>
      </c>
      <c r="U31" s="198">
        <v>2.1299355378999998</v>
      </c>
    </row>
    <row r="32" spans="2:21" s="4" customFormat="1" ht="12.95" customHeight="1" x14ac:dyDescent="0.2">
      <c r="B32" s="20" t="s">
        <v>27</v>
      </c>
      <c r="C32" s="50"/>
      <c r="D32" s="200">
        <v>152620.02211724501</v>
      </c>
      <c r="E32" s="199"/>
      <c r="F32" s="198">
        <v>161806.64194778001</v>
      </c>
      <c r="G32" s="199"/>
      <c r="H32" s="200">
        <v>75856.081927341802</v>
      </c>
      <c r="I32" s="198">
        <v>47.040802231299999</v>
      </c>
      <c r="J32" s="199"/>
      <c r="K32" s="200">
        <v>42711.598607255299</v>
      </c>
      <c r="L32" s="198">
        <v>25.376761509600001</v>
      </c>
      <c r="M32" s="199"/>
      <c r="N32" s="198">
        <v>12180.7036259817</v>
      </c>
      <c r="O32" s="198">
        <v>7.0408564828999998</v>
      </c>
      <c r="P32" s="199"/>
      <c r="Q32" s="198">
        <v>1556.4245971941</v>
      </c>
      <c r="R32" s="198">
        <v>0.85807727810000001</v>
      </c>
      <c r="S32" s="199"/>
      <c r="T32" s="198">
        <v>9917.7725377443003</v>
      </c>
      <c r="U32" s="198">
        <v>5.8290773389000003</v>
      </c>
    </row>
    <row r="33" spans="1:21" s="4" customFormat="1" ht="12.95" customHeight="1" x14ac:dyDescent="0.2">
      <c r="B33" s="20" t="s">
        <v>28</v>
      </c>
      <c r="C33" s="50"/>
      <c r="D33" s="200">
        <v>218416.64777400301</v>
      </c>
      <c r="E33" s="199"/>
      <c r="F33" s="198">
        <v>241793.90833154001</v>
      </c>
      <c r="G33" s="199"/>
      <c r="H33" s="200">
        <v>111005.36385203</v>
      </c>
      <c r="I33" s="198">
        <v>47.7038635818</v>
      </c>
      <c r="J33" s="199"/>
      <c r="K33" s="200">
        <v>38456.1800294934</v>
      </c>
      <c r="L33" s="198">
        <v>15.2184690804</v>
      </c>
      <c r="M33" s="199"/>
      <c r="N33" s="198">
        <v>32712.088379794001</v>
      </c>
      <c r="O33" s="198">
        <v>13.7673753753</v>
      </c>
      <c r="P33" s="199"/>
      <c r="Q33" s="198">
        <v>7809.8404271698</v>
      </c>
      <c r="R33" s="198">
        <v>3.1602804218</v>
      </c>
      <c r="S33" s="199"/>
      <c r="T33" s="198">
        <v>12707.9802378534</v>
      </c>
      <c r="U33" s="198">
        <v>4.9913597011000004</v>
      </c>
    </row>
    <row r="34" spans="1:21" s="4" customFormat="1" ht="12.95" customHeight="1" x14ac:dyDescent="0.2">
      <c r="B34" s="20" t="s">
        <v>29</v>
      </c>
      <c r="C34" s="50"/>
      <c r="D34" s="200">
        <v>80581.909876352394</v>
      </c>
      <c r="E34" s="199"/>
      <c r="F34" s="198">
        <v>87785.761375897098</v>
      </c>
      <c r="G34" s="199"/>
      <c r="H34" s="200">
        <v>19212.881081002601</v>
      </c>
      <c r="I34" s="198">
        <v>21.793694025499999</v>
      </c>
      <c r="J34" s="199"/>
      <c r="K34" s="200">
        <v>14326.845244903399</v>
      </c>
      <c r="L34" s="198">
        <v>15.88979093</v>
      </c>
      <c r="M34" s="199"/>
      <c r="N34" s="198">
        <v>17969.645779247301</v>
      </c>
      <c r="O34" s="198">
        <v>19.580860394599998</v>
      </c>
      <c r="P34" s="199"/>
      <c r="Q34" s="198">
        <v>13605.253929252</v>
      </c>
      <c r="R34" s="198">
        <v>14.9749964617</v>
      </c>
      <c r="S34" s="199"/>
      <c r="T34" s="198">
        <v>5091.7169811545</v>
      </c>
      <c r="U34" s="198">
        <v>5.7851395195000004</v>
      </c>
    </row>
    <row r="35" spans="1:21" s="4" customFormat="1" ht="12.95" customHeight="1" x14ac:dyDescent="0.2">
      <c r="B35" s="20" t="s">
        <v>30</v>
      </c>
      <c r="C35" s="50"/>
      <c r="D35" s="200">
        <v>83955.153596864096</v>
      </c>
      <c r="E35" s="199"/>
      <c r="F35" s="198">
        <v>90314.2071483162</v>
      </c>
      <c r="G35" s="199"/>
      <c r="H35" s="200">
        <v>11044.2074530551</v>
      </c>
      <c r="I35" s="198">
        <v>11.615985397699999</v>
      </c>
      <c r="J35" s="199"/>
      <c r="K35" s="200">
        <v>24492.1835090204</v>
      </c>
      <c r="L35" s="198">
        <v>26.451033589200001</v>
      </c>
      <c r="M35" s="199"/>
      <c r="N35" s="198">
        <v>26272.036795038799</v>
      </c>
      <c r="O35" s="198">
        <v>30.300075093299998</v>
      </c>
      <c r="P35" s="199"/>
      <c r="Q35" s="198">
        <v>6764.3442105702998</v>
      </c>
      <c r="R35" s="198">
        <v>7.0660437369000002</v>
      </c>
      <c r="S35" s="199"/>
      <c r="T35" s="198">
        <v>7231.1313683356002</v>
      </c>
      <c r="U35" s="198">
        <v>7.4224513822000002</v>
      </c>
    </row>
    <row r="36" spans="1:21" s="4" customFormat="1" ht="12.95" customHeight="1" x14ac:dyDescent="0.2">
      <c r="B36" s="20" t="s">
        <v>31</v>
      </c>
      <c r="C36" s="50"/>
      <c r="D36" s="200">
        <v>76131.681435940802</v>
      </c>
      <c r="E36" s="199"/>
      <c r="F36" s="198">
        <v>85611.261406368401</v>
      </c>
      <c r="G36" s="199"/>
      <c r="H36" s="200">
        <v>16405.210087569601</v>
      </c>
      <c r="I36" s="198">
        <v>19.636273377399998</v>
      </c>
      <c r="J36" s="199"/>
      <c r="K36" s="200">
        <v>11071.919094770399</v>
      </c>
      <c r="L36" s="198">
        <v>13.4258317442</v>
      </c>
      <c r="M36" s="199"/>
      <c r="N36" s="198">
        <v>23585.4137829746</v>
      </c>
      <c r="O36" s="198">
        <v>27.791630149900001</v>
      </c>
      <c r="P36" s="199"/>
      <c r="Q36" s="198">
        <v>11587.484306697501</v>
      </c>
      <c r="R36" s="198">
        <v>13.6415388465</v>
      </c>
      <c r="S36" s="199"/>
      <c r="T36" s="198">
        <v>4854.1430891448999</v>
      </c>
      <c r="U36" s="198">
        <v>5.7437358261</v>
      </c>
    </row>
    <row r="37" spans="1:21" s="4" customFormat="1" ht="12.95" customHeight="1" x14ac:dyDescent="0.2">
      <c r="B37" s="20" t="s">
        <v>32</v>
      </c>
      <c r="C37" s="50"/>
      <c r="D37" s="200">
        <v>149829.76655200601</v>
      </c>
      <c r="E37" s="199"/>
      <c r="F37" s="198">
        <v>161502.518349605</v>
      </c>
      <c r="G37" s="199"/>
      <c r="H37" s="200">
        <v>22959.508132415402</v>
      </c>
      <c r="I37" s="198">
        <v>14.1012554273</v>
      </c>
      <c r="J37" s="199"/>
      <c r="K37" s="200">
        <v>27534.501823865001</v>
      </c>
      <c r="L37" s="198">
        <v>17.119879887500002</v>
      </c>
      <c r="M37" s="199"/>
      <c r="N37" s="198">
        <v>67053.483445627498</v>
      </c>
      <c r="O37" s="198">
        <v>42.403642273899997</v>
      </c>
      <c r="P37" s="199"/>
      <c r="Q37" s="198">
        <v>13200.7661200928</v>
      </c>
      <c r="R37" s="198">
        <v>8.2114635331999999</v>
      </c>
      <c r="S37" s="199"/>
      <c r="T37" s="198">
        <v>7475.2007375654002</v>
      </c>
      <c r="U37" s="198">
        <v>4.5544699924999996</v>
      </c>
    </row>
    <row r="38" spans="1:21" s="4" customFormat="1" ht="12.95" customHeight="1" x14ac:dyDescent="0.2">
      <c r="B38" s="20" t="s">
        <v>33</v>
      </c>
      <c r="C38" s="50"/>
      <c r="D38" s="200">
        <v>139751.63096608699</v>
      </c>
      <c r="E38" s="199"/>
      <c r="F38" s="198">
        <v>149397.203912831</v>
      </c>
      <c r="G38" s="199"/>
      <c r="H38" s="200">
        <v>32546.827604412701</v>
      </c>
      <c r="I38" s="198">
        <v>21.812747714499999</v>
      </c>
      <c r="J38" s="199"/>
      <c r="K38" s="200">
        <v>35735.141505496103</v>
      </c>
      <c r="L38" s="198">
        <v>23.907618866899998</v>
      </c>
      <c r="M38" s="199"/>
      <c r="N38" s="198">
        <v>40687.109395324696</v>
      </c>
      <c r="O38" s="198">
        <v>27.190004713499999</v>
      </c>
      <c r="P38" s="199"/>
      <c r="Q38" s="198">
        <v>16023.3632860948</v>
      </c>
      <c r="R38" s="198">
        <v>10.341391162700001</v>
      </c>
      <c r="S38" s="199"/>
      <c r="T38" s="198">
        <v>2961.1218811102999</v>
      </c>
      <c r="U38" s="198">
        <v>1.8945406284999999</v>
      </c>
    </row>
    <row r="39" spans="1:21" s="4" customFormat="1" ht="12.95" customHeight="1" x14ac:dyDescent="0.2">
      <c r="B39" s="20" t="s">
        <v>34</v>
      </c>
      <c r="C39" s="50"/>
      <c r="D39" s="200">
        <v>108567.829175772</v>
      </c>
      <c r="E39" s="199"/>
      <c r="F39" s="198">
        <v>119026.621971107</v>
      </c>
      <c r="G39" s="199"/>
      <c r="H39" s="200">
        <v>55910.962662722799</v>
      </c>
      <c r="I39" s="198">
        <v>48.244201783900003</v>
      </c>
      <c r="J39" s="199"/>
      <c r="K39" s="200">
        <v>28037.1451275564</v>
      </c>
      <c r="L39" s="198">
        <v>23.926869437899999</v>
      </c>
      <c r="M39" s="199"/>
      <c r="N39" s="198">
        <v>11762.720469690699</v>
      </c>
      <c r="O39" s="198">
        <v>10.089678230100001</v>
      </c>
      <c r="P39" s="199"/>
      <c r="Q39" s="198">
        <v>5767.3707396189002</v>
      </c>
      <c r="R39" s="198">
        <v>4.7649821863000001</v>
      </c>
      <c r="S39" s="199"/>
      <c r="T39" s="198">
        <v>3201.2160290953002</v>
      </c>
      <c r="U39" s="198">
        <v>2.6613760800000001</v>
      </c>
    </row>
    <row r="40" spans="1:21" s="4" customFormat="1" ht="12.95" customHeight="1" x14ac:dyDescent="0.2">
      <c r="B40" s="20" t="s">
        <v>35</v>
      </c>
      <c r="C40" s="50"/>
      <c r="D40" s="200">
        <v>100503.80374206</v>
      </c>
      <c r="E40" s="199"/>
      <c r="F40" s="198">
        <v>108923.012848896</v>
      </c>
      <c r="G40" s="199"/>
      <c r="H40" s="200">
        <v>17118.3677603094</v>
      </c>
      <c r="I40" s="198">
        <v>15.3044601658</v>
      </c>
      <c r="J40" s="199"/>
      <c r="K40" s="200">
        <v>33943.576882060799</v>
      </c>
      <c r="L40" s="198">
        <v>30.552964207199999</v>
      </c>
      <c r="M40" s="199"/>
      <c r="N40" s="198">
        <v>29963.4249034069</v>
      </c>
      <c r="O40" s="198">
        <v>27.7756734311</v>
      </c>
      <c r="P40" s="199"/>
      <c r="Q40" s="198">
        <v>1588.7372102418999</v>
      </c>
      <c r="R40" s="198">
        <v>1.388067339</v>
      </c>
      <c r="S40" s="199"/>
      <c r="T40" s="198">
        <v>4806.5944007926</v>
      </c>
      <c r="U40" s="198">
        <v>4.3214423130000004</v>
      </c>
    </row>
    <row r="41" spans="1:21" s="4" customFormat="1" ht="12.95" customHeight="1" x14ac:dyDescent="0.2">
      <c r="B41" s="20" t="s">
        <v>36</v>
      </c>
      <c r="C41" s="50"/>
      <c r="D41" s="200">
        <v>57244.302139560001</v>
      </c>
      <c r="E41" s="199"/>
      <c r="F41" s="198">
        <v>65279.707502999801</v>
      </c>
      <c r="G41" s="199"/>
      <c r="H41" s="200">
        <v>44427.482705478702</v>
      </c>
      <c r="I41" s="198">
        <v>73.710349300199994</v>
      </c>
      <c r="J41" s="199"/>
      <c r="K41" s="200">
        <v>11039.1811227539</v>
      </c>
      <c r="L41" s="198">
        <v>18.135382311699999</v>
      </c>
      <c r="M41" s="199"/>
      <c r="N41" s="198">
        <v>3268.0703822979999</v>
      </c>
      <c r="O41" s="198">
        <v>5.2367158208999998</v>
      </c>
      <c r="P41" s="199"/>
      <c r="Q41" s="198">
        <v>141.81315761619999</v>
      </c>
      <c r="R41" s="198">
        <v>0.224755753</v>
      </c>
      <c r="S41" s="199"/>
      <c r="T41" s="198">
        <v>442.96503519189997</v>
      </c>
      <c r="U41" s="198">
        <v>0.70821366689999998</v>
      </c>
    </row>
    <row r="42" spans="1:21" s="4" customFormat="1" ht="12.95" customHeight="1" x14ac:dyDescent="0.2">
      <c r="B42" s="20" t="s">
        <v>37</v>
      </c>
      <c r="C42" s="50"/>
      <c r="D42" s="200">
        <v>296319.50735628302</v>
      </c>
      <c r="E42" s="199"/>
      <c r="F42" s="198">
        <v>307502.07229057001</v>
      </c>
      <c r="G42" s="199"/>
      <c r="H42" s="200">
        <v>150103.71697133299</v>
      </c>
      <c r="I42" s="198">
        <v>46.554799291099997</v>
      </c>
      <c r="J42" s="199"/>
      <c r="K42" s="200">
        <v>60123.768497013603</v>
      </c>
      <c r="L42" s="198">
        <v>19.050994876299999</v>
      </c>
      <c r="M42" s="199"/>
      <c r="N42" s="198">
        <v>43423.857929471698</v>
      </c>
      <c r="O42" s="198">
        <v>13.742483993900001</v>
      </c>
      <c r="P42" s="199"/>
      <c r="Q42" s="198">
        <v>1728.3030414560999</v>
      </c>
      <c r="R42" s="198">
        <v>0.527160238</v>
      </c>
      <c r="S42" s="199"/>
      <c r="T42" s="198">
        <v>9959.5618758349992</v>
      </c>
      <c r="U42" s="198">
        <v>3.0314225455999999</v>
      </c>
    </row>
    <row r="43" spans="1:21" s="4" customFormat="1" ht="12.95" customHeight="1" x14ac:dyDescent="0.2">
      <c r="B43" s="20" t="s">
        <v>38</v>
      </c>
      <c r="C43" s="50"/>
      <c r="D43" s="200">
        <v>106305.706379451</v>
      </c>
      <c r="E43" s="199"/>
      <c r="F43" s="198">
        <v>115400.741399562</v>
      </c>
      <c r="G43" s="199"/>
      <c r="H43" s="200">
        <v>35146.102049925197</v>
      </c>
      <c r="I43" s="198">
        <v>30.011532845600001</v>
      </c>
      <c r="J43" s="199"/>
      <c r="K43" s="200">
        <v>26815.734403528699</v>
      </c>
      <c r="L43" s="198">
        <v>23.234475725900001</v>
      </c>
      <c r="M43" s="199"/>
      <c r="N43" s="198">
        <v>19681.1677661147</v>
      </c>
      <c r="O43" s="198">
        <v>17.1460205546</v>
      </c>
      <c r="P43" s="199"/>
      <c r="Q43" s="198">
        <v>7683.5446036677004</v>
      </c>
      <c r="R43" s="198">
        <v>6.9438425478000001</v>
      </c>
      <c r="S43" s="199"/>
      <c r="T43" s="198">
        <v>7403.4802854439004</v>
      </c>
      <c r="U43" s="198">
        <v>6.2691623598000001</v>
      </c>
    </row>
    <row r="44" spans="1:21" s="4" customFormat="1" ht="12.95" customHeight="1" x14ac:dyDescent="0.2">
      <c r="B44" s="20" t="s">
        <v>39</v>
      </c>
      <c r="C44" s="50"/>
      <c r="D44" s="200">
        <v>35244.957363494002</v>
      </c>
      <c r="E44" s="199"/>
      <c r="F44" s="198">
        <v>37510.697837886699</v>
      </c>
      <c r="G44" s="199"/>
      <c r="H44" s="200">
        <v>12288.974518782899</v>
      </c>
      <c r="I44" s="198">
        <v>32.122397472999999</v>
      </c>
      <c r="J44" s="199"/>
      <c r="K44" s="200">
        <v>8938.2082541307009</v>
      </c>
      <c r="L44" s="198">
        <v>22.4267125374</v>
      </c>
      <c r="M44" s="199"/>
      <c r="N44" s="198">
        <v>5381.1053895960004</v>
      </c>
      <c r="O44" s="198">
        <v>13.6750998417</v>
      </c>
      <c r="P44" s="199"/>
      <c r="Q44" s="198">
        <v>2676.4886173502</v>
      </c>
      <c r="R44" s="198">
        <v>6.7428942743000002</v>
      </c>
      <c r="S44" s="199"/>
      <c r="T44" s="198">
        <v>717.19685026529999</v>
      </c>
      <c r="U44" s="198">
        <v>1.7769316983000001</v>
      </c>
    </row>
    <row r="45" spans="1:21" s="2" customFormat="1" ht="6" customHeight="1" x14ac:dyDescent="0.2">
      <c r="A45" s="63"/>
      <c r="B45" s="2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71"/>
      <c r="N45" s="171"/>
      <c r="O45" s="112"/>
      <c r="P45" s="171"/>
      <c r="Q45" s="171"/>
      <c r="R45" s="112"/>
      <c r="S45" s="171"/>
      <c r="T45" s="171"/>
      <c r="U45" s="112"/>
    </row>
    <row r="46" spans="1:21" s="2" customFormat="1" ht="6" customHeight="1" x14ac:dyDescent="0.25">
      <c r="A46" s="63"/>
      <c r="B46" s="28"/>
      <c r="C46" s="51"/>
      <c r="D46" s="169"/>
      <c r="E46" s="169"/>
      <c r="F46" s="169"/>
      <c r="G46" s="169"/>
      <c r="H46" s="169"/>
      <c r="I46" s="168"/>
      <c r="J46" s="168"/>
      <c r="K46" s="169"/>
      <c r="L46" s="168"/>
      <c r="M46" s="28"/>
      <c r="N46" s="28"/>
      <c r="O46" s="28"/>
      <c r="P46" s="28"/>
      <c r="Q46" s="28"/>
      <c r="R46" s="28"/>
      <c r="S46" s="28"/>
      <c r="T46" s="31"/>
      <c r="U46" s="31"/>
    </row>
    <row r="47" spans="1:21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</row>
    <row r="48" spans="1:21" s="101" customFormat="1" ht="14.25" x14ac:dyDescent="0.2">
      <c r="B48" s="102" t="s">
        <v>75</v>
      </c>
      <c r="T48" s="197"/>
      <c r="U48" s="197"/>
    </row>
    <row r="49" spans="2:21" ht="12.75" customHeight="1" x14ac:dyDescent="0.25">
      <c r="B49" s="134"/>
      <c r="C49" s="31"/>
      <c r="D49" s="133"/>
      <c r="E49" s="31"/>
      <c r="F49" s="31"/>
      <c r="G49" s="31"/>
      <c r="H49" s="31"/>
      <c r="I49" s="31"/>
      <c r="J49" s="31"/>
      <c r="K49" s="31"/>
      <c r="L49" s="31"/>
      <c r="M49" s="28"/>
      <c r="N49" s="28"/>
      <c r="O49" s="28"/>
      <c r="P49" s="28"/>
      <c r="Q49" s="28"/>
      <c r="R49" s="28"/>
      <c r="S49" s="28"/>
      <c r="T49" s="31"/>
      <c r="U49" s="31"/>
    </row>
    <row r="50" spans="2:21" ht="12.75" customHeight="1" x14ac:dyDescent="0.25">
      <c r="T50" s="31"/>
      <c r="U50" s="31"/>
    </row>
    <row r="51" spans="2:21" ht="12.75" customHeight="1" x14ac:dyDescent="0.25">
      <c r="T51" s="31"/>
      <c r="U51" s="31"/>
    </row>
    <row r="52" spans="2:21" ht="12.75" customHeight="1" x14ac:dyDescent="0.25">
      <c r="T52" s="31"/>
      <c r="U52" s="31"/>
    </row>
    <row r="53" spans="2:21" ht="12.75" customHeight="1" x14ac:dyDescent="0.25">
      <c r="T53" s="31"/>
      <c r="U53" s="31"/>
    </row>
    <row r="54" spans="2:21" ht="12.75" customHeight="1" x14ac:dyDescent="0.25">
      <c r="T54" s="31"/>
      <c r="U54" s="31"/>
    </row>
    <row r="55" spans="2:21" ht="12.75" customHeight="1" x14ac:dyDescent="0.25">
      <c r="T55" s="31"/>
      <c r="U55" s="31"/>
    </row>
    <row r="56" spans="2:21" ht="12.75" customHeight="1" x14ac:dyDescent="0.25">
      <c r="T56" s="31"/>
      <c r="U56" s="31"/>
    </row>
  </sheetData>
  <mergeCells count="11">
    <mergeCell ref="F7:F9"/>
    <mergeCell ref="B5:R5"/>
    <mergeCell ref="B6:L6"/>
    <mergeCell ref="B7:C9"/>
    <mergeCell ref="D7:D9"/>
    <mergeCell ref="H7:U7"/>
    <mergeCell ref="H8:I8"/>
    <mergeCell ref="K8:L8"/>
    <mergeCell ref="N8:O8"/>
    <mergeCell ref="Q8:R8"/>
    <mergeCell ref="T8:U8"/>
  </mergeCells>
  <hyperlinks>
    <hyperlink ref="U1" location="Índice!A1" tooltip="Ir a ÍNDICE" display="INDICE" xr:uid="{6C704825-B7D6-41BC-A818-9C48E04AB4B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5E25-9544-4244-97DF-BC187DB4EEE8}">
  <sheetPr>
    <pageSetUpPr fitToPage="1"/>
  </sheetPr>
  <dimension ref="A1:Z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3.7109375" style="1" customWidth="1"/>
    <col min="3" max="3" width="1.7109375" style="1" customWidth="1" collapsed="1"/>
    <col min="4" max="4" width="19.570312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2.7109375" style="1" customWidth="1" collapsed="1"/>
    <col min="9" max="9" width="11.140625" style="1" customWidth="1" collapsed="1"/>
    <col min="10" max="10" width="1.7109375" style="1" customWidth="1" collapsed="1"/>
    <col min="11" max="11" width="12.7109375" style="1" customWidth="1" collapsed="1"/>
    <col min="12" max="12" width="12.28515625" style="1" customWidth="1" collapsed="1"/>
    <col min="13" max="13" width="1.7109375" style="2" customWidth="1"/>
    <col min="14" max="15" width="11.42578125" style="2"/>
    <col min="16" max="26" width="11.42578125" style="1"/>
    <col min="27" max="16384" width="11.42578125" style="1" collapsed="1"/>
  </cols>
  <sheetData>
    <row r="1" spans="2:15" s="68" customFormat="1" x14ac:dyDescent="0.2">
      <c r="B1" s="210" t="s">
        <v>129</v>
      </c>
      <c r="M1" s="70"/>
      <c r="N1" s="70"/>
      <c r="O1" s="80" t="s">
        <v>74</v>
      </c>
    </row>
    <row r="2" spans="2:15" s="68" customFormat="1" ht="6.95" customHeight="1" x14ac:dyDescent="0.25">
      <c r="B2" s="210"/>
      <c r="M2" s="70"/>
      <c r="N2" s="70"/>
      <c r="O2" s="70"/>
    </row>
    <row r="3" spans="2:15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2:15" s="68" customFormat="1" ht="6.95" customHeight="1" x14ac:dyDescent="0.25">
      <c r="C4" s="71"/>
      <c r="M4" s="70"/>
      <c r="N4" s="70"/>
      <c r="O4" s="70"/>
    </row>
    <row r="5" spans="2:15" s="68" customFormat="1" ht="25.5" customHeight="1" x14ac:dyDescent="0.2">
      <c r="B5" s="242" t="s">
        <v>82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164"/>
      <c r="O5" s="79" t="s">
        <v>61</v>
      </c>
    </row>
    <row r="6" spans="2:15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</row>
    <row r="7" spans="2:15" ht="26.25" customHeight="1" x14ac:dyDescent="0.25">
      <c r="B7" s="245" t="s">
        <v>1</v>
      </c>
      <c r="C7" s="245"/>
      <c r="D7" s="267" t="s">
        <v>108</v>
      </c>
      <c r="E7" s="34"/>
      <c r="F7" s="248" t="s">
        <v>107</v>
      </c>
      <c r="G7" s="35"/>
      <c r="H7" s="251" t="s">
        <v>119</v>
      </c>
      <c r="I7" s="251"/>
      <c r="J7" s="251"/>
      <c r="K7" s="251"/>
      <c r="L7" s="251"/>
      <c r="M7" s="251"/>
      <c r="N7" s="251"/>
      <c r="O7" s="251"/>
    </row>
    <row r="8" spans="2:15" ht="28.5" customHeight="1" x14ac:dyDescent="0.25">
      <c r="B8" s="246"/>
      <c r="C8" s="246"/>
      <c r="D8" s="268"/>
      <c r="E8" s="34"/>
      <c r="F8" s="249"/>
      <c r="G8" s="34"/>
      <c r="H8" s="241" t="s">
        <v>3</v>
      </c>
      <c r="I8" s="241"/>
      <c r="J8" s="27"/>
      <c r="K8" s="231" t="s">
        <v>4</v>
      </c>
      <c r="L8" s="231"/>
      <c r="M8" s="28"/>
      <c r="N8" s="231" t="s">
        <v>43</v>
      </c>
      <c r="O8" s="231"/>
    </row>
    <row r="9" spans="2:15" ht="23.25" customHeight="1" x14ac:dyDescent="0.25">
      <c r="B9" s="247"/>
      <c r="C9" s="247"/>
      <c r="D9" s="269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</row>
    <row r="10" spans="2:15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</row>
    <row r="11" spans="2:15" s="88" customFormat="1" ht="12.95" customHeight="1" x14ac:dyDescent="0.2">
      <c r="B11" s="40" t="s">
        <v>7</v>
      </c>
      <c r="C11" s="92"/>
      <c r="D11" s="202">
        <v>4952920.7612226699</v>
      </c>
      <c r="E11" s="203"/>
      <c r="F11" s="202">
        <v>5263147.4930288699</v>
      </c>
      <c r="G11" s="203"/>
      <c r="H11" s="202">
        <v>1613070.7971055801</v>
      </c>
      <c r="I11" s="202">
        <v>31.914139796200001</v>
      </c>
      <c r="J11" s="203"/>
      <c r="K11" s="202">
        <v>3549011.6356687802</v>
      </c>
      <c r="L11" s="202">
        <v>70.808659248200001</v>
      </c>
      <c r="M11" s="203"/>
      <c r="N11" s="202">
        <v>18191.253730383301</v>
      </c>
      <c r="O11" s="202">
        <v>0.35839305129999999</v>
      </c>
    </row>
    <row r="12" spans="2:15" s="88" customFormat="1" ht="6" customHeight="1" x14ac:dyDescent="0.2">
      <c r="B12" s="40"/>
      <c r="C12" s="92"/>
      <c r="D12" s="199"/>
      <c r="E12" s="199"/>
      <c r="F12" s="199"/>
      <c r="G12" s="199"/>
      <c r="H12" s="199"/>
      <c r="I12" s="201"/>
      <c r="J12" s="199"/>
      <c r="K12" s="199"/>
      <c r="L12" s="201"/>
      <c r="M12" s="199"/>
      <c r="N12" s="199"/>
      <c r="O12" s="201"/>
    </row>
    <row r="13" spans="2:15" s="3" customFormat="1" ht="12.95" customHeight="1" x14ac:dyDescent="0.2">
      <c r="B13" s="20" t="s">
        <v>8</v>
      </c>
      <c r="C13" s="50"/>
      <c r="D13" s="198">
        <v>38426.275661499101</v>
      </c>
      <c r="E13" s="199"/>
      <c r="F13" s="198">
        <v>40695.450944339696</v>
      </c>
      <c r="G13" s="199"/>
      <c r="H13" s="198">
        <v>16450.508741725302</v>
      </c>
      <c r="I13" s="198">
        <v>38.6131824064</v>
      </c>
      <c r="J13" s="199"/>
      <c r="K13" s="198">
        <v>20222.014662498299</v>
      </c>
      <c r="L13" s="198">
        <v>49.621944368500003</v>
      </c>
      <c r="M13" s="199"/>
      <c r="N13" s="198">
        <v>0</v>
      </c>
      <c r="O13" s="198">
        <v>0</v>
      </c>
    </row>
    <row r="14" spans="2:15" s="3" customFormat="1" ht="12.95" customHeight="1" x14ac:dyDescent="0.2">
      <c r="B14" s="20" t="s">
        <v>9</v>
      </c>
      <c r="C14" s="50"/>
      <c r="D14" s="198">
        <v>179738.18850907401</v>
      </c>
      <c r="E14" s="199"/>
      <c r="F14" s="198">
        <v>189582.03394194701</v>
      </c>
      <c r="G14" s="199"/>
      <c r="H14" s="198">
        <v>50837.661899393599</v>
      </c>
      <c r="I14" s="198">
        <v>25.232288718500001</v>
      </c>
      <c r="J14" s="199"/>
      <c r="K14" s="198">
        <v>127990.67566917199</v>
      </c>
      <c r="L14" s="198">
        <v>68.642419073300005</v>
      </c>
      <c r="M14" s="199"/>
      <c r="N14" s="198">
        <v>0</v>
      </c>
      <c r="O14" s="198">
        <v>0</v>
      </c>
    </row>
    <row r="15" spans="2:15" s="3" customFormat="1" ht="12.95" customHeight="1" x14ac:dyDescent="0.2">
      <c r="B15" s="20" t="s">
        <v>10</v>
      </c>
      <c r="C15" s="50"/>
      <c r="D15" s="198">
        <v>31894.134749053399</v>
      </c>
      <c r="E15" s="199"/>
      <c r="F15" s="198">
        <v>32435.3231560368</v>
      </c>
      <c r="G15" s="199"/>
      <c r="H15" s="198">
        <v>8518.7954092811997</v>
      </c>
      <c r="I15" s="198">
        <v>25.173405336599998</v>
      </c>
      <c r="J15" s="199"/>
      <c r="K15" s="198">
        <v>22510.970788523598</v>
      </c>
      <c r="L15" s="198">
        <v>68.809878159899995</v>
      </c>
      <c r="M15" s="199"/>
      <c r="N15" s="198">
        <v>0</v>
      </c>
      <c r="O15" s="198">
        <v>0</v>
      </c>
    </row>
    <row r="16" spans="2:15" s="3" customFormat="1" ht="12.95" customHeight="1" x14ac:dyDescent="0.2">
      <c r="B16" s="20" t="s">
        <v>11</v>
      </c>
      <c r="C16" s="50"/>
      <c r="D16" s="198">
        <v>39564.550820573902</v>
      </c>
      <c r="E16" s="199"/>
      <c r="F16" s="198">
        <v>41728.253167712901</v>
      </c>
      <c r="G16" s="199"/>
      <c r="H16" s="198">
        <v>10382.4690105051</v>
      </c>
      <c r="I16" s="198">
        <v>24.000746949300002</v>
      </c>
      <c r="J16" s="199"/>
      <c r="K16" s="198">
        <v>29478.2986427176</v>
      </c>
      <c r="L16" s="198">
        <v>71.377516955999994</v>
      </c>
      <c r="M16" s="199"/>
      <c r="N16" s="198">
        <v>0</v>
      </c>
      <c r="O16" s="198">
        <v>0</v>
      </c>
    </row>
    <row r="17" spans="2:15" s="3" customFormat="1" ht="12.95" customHeight="1" x14ac:dyDescent="0.2">
      <c r="B17" s="20" t="s">
        <v>12</v>
      </c>
      <c r="C17" s="50"/>
      <c r="D17" s="198">
        <v>103905.33250598601</v>
      </c>
      <c r="E17" s="199"/>
      <c r="F17" s="198">
        <v>109741.497812109</v>
      </c>
      <c r="G17" s="199"/>
      <c r="H17" s="198">
        <v>35718.525949015901</v>
      </c>
      <c r="I17" s="198">
        <v>31.920058174000001</v>
      </c>
      <c r="J17" s="199"/>
      <c r="K17" s="198">
        <v>64057.0639113836</v>
      </c>
      <c r="L17" s="198">
        <v>57.471870791400001</v>
      </c>
      <c r="M17" s="199"/>
      <c r="N17" s="198">
        <v>0</v>
      </c>
      <c r="O17" s="198">
        <v>0</v>
      </c>
    </row>
    <row r="18" spans="2:15" s="3" customFormat="1" ht="12.95" customHeight="1" x14ac:dyDescent="0.2">
      <c r="B18" s="20" t="s">
        <v>13</v>
      </c>
      <c r="C18" s="50"/>
      <c r="D18" s="200">
        <v>21782.535150150401</v>
      </c>
      <c r="E18" s="199"/>
      <c r="F18" s="198">
        <v>23359.2268065592</v>
      </c>
      <c r="G18" s="199"/>
      <c r="H18" s="200">
        <v>7036.4611069457997</v>
      </c>
      <c r="I18" s="198">
        <v>29.8005950057</v>
      </c>
      <c r="J18" s="199"/>
      <c r="K18" s="200">
        <v>14102.0224449456</v>
      </c>
      <c r="L18" s="198">
        <v>59.992766908900002</v>
      </c>
      <c r="M18" s="199"/>
      <c r="N18" s="198">
        <v>0</v>
      </c>
      <c r="O18" s="198">
        <v>0</v>
      </c>
    </row>
    <row r="19" spans="2:15" s="3" customFormat="1" ht="12.95" customHeight="1" x14ac:dyDescent="0.2">
      <c r="B19" s="20" t="s">
        <v>14</v>
      </c>
      <c r="C19" s="50"/>
      <c r="D19" s="200">
        <v>223544.451704662</v>
      </c>
      <c r="E19" s="199"/>
      <c r="F19" s="198">
        <v>231847.187747274</v>
      </c>
      <c r="G19" s="199"/>
      <c r="H19" s="200">
        <v>36284.7098107321</v>
      </c>
      <c r="I19" s="198">
        <v>15.082643622100001</v>
      </c>
      <c r="J19" s="199"/>
      <c r="K19" s="200">
        <v>187694.94207046201</v>
      </c>
      <c r="L19" s="198">
        <v>80.5159074866</v>
      </c>
      <c r="M19" s="199"/>
      <c r="N19" s="198">
        <v>0</v>
      </c>
      <c r="O19" s="198">
        <v>0</v>
      </c>
    </row>
    <row r="20" spans="2:15" s="4" customFormat="1" ht="12.95" customHeight="1" x14ac:dyDescent="0.2">
      <c r="B20" s="20" t="s">
        <v>15</v>
      </c>
      <c r="C20" s="50"/>
      <c r="D20" s="200">
        <v>110455.639388657</v>
      </c>
      <c r="E20" s="199"/>
      <c r="F20" s="198">
        <v>118804.89877265799</v>
      </c>
      <c r="G20" s="199"/>
      <c r="H20" s="200">
        <v>39728.782648109001</v>
      </c>
      <c r="I20" s="198">
        <v>32.944887292600001</v>
      </c>
      <c r="J20" s="199"/>
      <c r="K20" s="200">
        <v>68269.404927332595</v>
      </c>
      <c r="L20" s="198">
        <v>58.359013054800002</v>
      </c>
      <c r="M20" s="199"/>
      <c r="N20" s="198">
        <v>0</v>
      </c>
      <c r="O20" s="198">
        <v>0</v>
      </c>
    </row>
    <row r="21" spans="2:15" s="4" customFormat="1" ht="12.95" customHeight="1" x14ac:dyDescent="0.2">
      <c r="B21" s="20" t="s">
        <v>16</v>
      </c>
      <c r="C21" s="50"/>
      <c r="D21" s="200">
        <v>520933.19820893201</v>
      </c>
      <c r="E21" s="199"/>
      <c r="F21" s="198">
        <v>554832.19181491504</v>
      </c>
      <c r="G21" s="199"/>
      <c r="H21" s="200">
        <v>147514.76281080701</v>
      </c>
      <c r="I21" s="198">
        <v>26.385331835399999</v>
      </c>
      <c r="J21" s="199"/>
      <c r="K21" s="200">
        <v>366976.68599771499</v>
      </c>
      <c r="L21" s="198">
        <v>67.262631597899997</v>
      </c>
      <c r="M21" s="199"/>
      <c r="N21" s="198">
        <v>2231.5050094965</v>
      </c>
      <c r="O21" s="198">
        <v>0.3982423839</v>
      </c>
    </row>
    <row r="22" spans="2:15" s="4" customFormat="1" ht="12.95" customHeight="1" x14ac:dyDescent="0.2">
      <c r="B22" s="20" t="s">
        <v>17</v>
      </c>
      <c r="C22" s="50"/>
      <c r="D22" s="200">
        <v>59089.116802245</v>
      </c>
      <c r="E22" s="199"/>
      <c r="F22" s="198">
        <v>63018.430012589401</v>
      </c>
      <c r="G22" s="199"/>
      <c r="H22" s="200">
        <v>23314.818162283998</v>
      </c>
      <c r="I22" s="198">
        <v>36.380750353899998</v>
      </c>
      <c r="J22" s="199"/>
      <c r="K22" s="200">
        <v>34972.727943530997</v>
      </c>
      <c r="L22" s="198">
        <v>55.798675744199997</v>
      </c>
      <c r="M22" s="199"/>
      <c r="N22" s="198">
        <v>0</v>
      </c>
      <c r="O22" s="198">
        <v>0</v>
      </c>
    </row>
    <row r="23" spans="2:15" s="4" customFormat="1" ht="12.95" customHeight="1" x14ac:dyDescent="0.2">
      <c r="B23" s="20" t="s">
        <v>18</v>
      </c>
      <c r="C23" s="50"/>
      <c r="D23" s="200">
        <v>197020.07998782399</v>
      </c>
      <c r="E23" s="199"/>
      <c r="F23" s="198">
        <v>215599.013709797</v>
      </c>
      <c r="G23" s="199"/>
      <c r="H23" s="200">
        <v>56963.060745693103</v>
      </c>
      <c r="I23" s="198">
        <v>26.4391196491</v>
      </c>
      <c r="J23" s="199"/>
      <c r="K23" s="200">
        <v>141192.588576738</v>
      </c>
      <c r="L23" s="198">
        <v>68.618455535699994</v>
      </c>
      <c r="M23" s="199"/>
      <c r="N23" s="198">
        <v>1045.8208938928999</v>
      </c>
      <c r="O23" s="198">
        <v>0.46745614680000003</v>
      </c>
    </row>
    <row r="24" spans="2:15" s="4" customFormat="1" ht="12.95" customHeight="1" x14ac:dyDescent="0.2">
      <c r="B24" s="20" t="s">
        <v>19</v>
      </c>
      <c r="C24" s="50"/>
      <c r="D24" s="200">
        <v>169977.07804400101</v>
      </c>
      <c r="E24" s="199"/>
      <c r="F24" s="198">
        <v>183429.66911469901</v>
      </c>
      <c r="G24" s="199"/>
      <c r="H24" s="200">
        <v>31523.355926710101</v>
      </c>
      <c r="I24" s="198">
        <v>17.068837709899999</v>
      </c>
      <c r="J24" s="199"/>
      <c r="K24" s="200">
        <v>143915.484157625</v>
      </c>
      <c r="L24" s="198">
        <v>81.233464138399995</v>
      </c>
      <c r="M24" s="199"/>
      <c r="N24" s="198">
        <v>0</v>
      </c>
      <c r="O24" s="198">
        <v>0</v>
      </c>
    </row>
    <row r="25" spans="2:15" s="4" customFormat="1" ht="12.95" customHeight="1" x14ac:dyDescent="0.2">
      <c r="B25" s="20" t="s">
        <v>20</v>
      </c>
      <c r="C25" s="50"/>
      <c r="D25" s="200">
        <v>76936.151234817604</v>
      </c>
      <c r="E25" s="199"/>
      <c r="F25" s="198">
        <v>83468.352354429095</v>
      </c>
      <c r="G25" s="199"/>
      <c r="H25" s="200">
        <v>26192.262792580699</v>
      </c>
      <c r="I25" s="198">
        <v>31.371585534800001</v>
      </c>
      <c r="J25" s="199"/>
      <c r="K25" s="200">
        <v>51037.379857583801</v>
      </c>
      <c r="L25" s="198">
        <v>61.169534984800002</v>
      </c>
      <c r="M25" s="199"/>
      <c r="N25" s="198">
        <v>0</v>
      </c>
      <c r="O25" s="198">
        <v>0</v>
      </c>
    </row>
    <row r="26" spans="2:15" s="4" customFormat="1" ht="12.95" customHeight="1" x14ac:dyDescent="0.2">
      <c r="B26" s="20" t="s">
        <v>21</v>
      </c>
      <c r="C26" s="50"/>
      <c r="D26" s="200">
        <v>252336.678589027</v>
      </c>
      <c r="E26" s="199"/>
      <c r="F26" s="198">
        <v>272257.12608408398</v>
      </c>
      <c r="G26" s="199"/>
      <c r="H26" s="200">
        <v>97302.687441978793</v>
      </c>
      <c r="I26" s="198">
        <v>35.741470865799997</v>
      </c>
      <c r="J26" s="199"/>
      <c r="K26" s="200">
        <v>155639.84735055899</v>
      </c>
      <c r="L26" s="198">
        <v>58.045076917199999</v>
      </c>
      <c r="M26" s="199"/>
      <c r="N26" s="198">
        <v>0</v>
      </c>
      <c r="O26" s="198">
        <v>0</v>
      </c>
    </row>
    <row r="27" spans="2:15" s="4" customFormat="1" ht="12.95" customHeight="1" x14ac:dyDescent="0.2">
      <c r="B27" s="20" t="s">
        <v>22</v>
      </c>
      <c r="C27" s="50"/>
      <c r="D27" s="200">
        <v>472124.69796245801</v>
      </c>
      <c r="E27" s="199"/>
      <c r="F27" s="198">
        <v>525435.38835397095</v>
      </c>
      <c r="G27" s="199"/>
      <c r="H27" s="200">
        <v>126499.028188027</v>
      </c>
      <c r="I27" s="198">
        <v>24.038428721799999</v>
      </c>
      <c r="J27" s="199"/>
      <c r="K27" s="200">
        <v>352572.77115955797</v>
      </c>
      <c r="L27" s="198">
        <v>70.879226777900001</v>
      </c>
      <c r="M27" s="199"/>
      <c r="N27" s="198">
        <v>0</v>
      </c>
      <c r="O27" s="198">
        <v>0</v>
      </c>
    </row>
    <row r="28" spans="2:15" s="4" customFormat="1" ht="12.95" customHeight="1" x14ac:dyDescent="0.2">
      <c r="B28" s="20" t="s">
        <v>23</v>
      </c>
      <c r="C28" s="50"/>
      <c r="D28" s="200">
        <v>135621.317331773</v>
      </c>
      <c r="E28" s="199"/>
      <c r="F28" s="198">
        <v>143453.172365812</v>
      </c>
      <c r="G28" s="199"/>
      <c r="H28" s="200">
        <v>36652.655988737803</v>
      </c>
      <c r="I28" s="198">
        <v>23.818667290699999</v>
      </c>
      <c r="J28" s="199"/>
      <c r="K28" s="200">
        <v>96271.000346209403</v>
      </c>
      <c r="L28" s="198">
        <v>67.560710078400007</v>
      </c>
      <c r="M28" s="199"/>
      <c r="N28" s="198">
        <v>0</v>
      </c>
      <c r="O28" s="198">
        <v>0</v>
      </c>
    </row>
    <row r="29" spans="2:15" s="4" customFormat="1" ht="12.95" customHeight="1" x14ac:dyDescent="0.2">
      <c r="B29" s="20" t="s">
        <v>24</v>
      </c>
      <c r="C29" s="50"/>
      <c r="D29" s="200">
        <v>62793.389148348098</v>
      </c>
      <c r="E29" s="199"/>
      <c r="F29" s="198">
        <v>66901.127967232998</v>
      </c>
      <c r="G29" s="199"/>
      <c r="H29" s="200">
        <v>18357.550314291999</v>
      </c>
      <c r="I29" s="198">
        <v>26.540620121300002</v>
      </c>
      <c r="J29" s="199"/>
      <c r="K29" s="200">
        <v>43095.924101312798</v>
      </c>
      <c r="L29" s="198">
        <v>65.519795151099999</v>
      </c>
      <c r="M29" s="199"/>
      <c r="N29" s="198">
        <v>0</v>
      </c>
      <c r="O29" s="198">
        <v>0</v>
      </c>
    </row>
    <row r="30" spans="2:15" s="4" customFormat="1" ht="12.95" customHeight="1" x14ac:dyDescent="0.2">
      <c r="B30" s="20" t="s">
        <v>25</v>
      </c>
      <c r="C30" s="50"/>
      <c r="D30" s="200">
        <v>45193.470186942002</v>
      </c>
      <c r="E30" s="199"/>
      <c r="F30" s="198">
        <v>47780.724112951502</v>
      </c>
      <c r="G30" s="199"/>
      <c r="H30" s="200">
        <v>16691.961405756501</v>
      </c>
      <c r="I30" s="198">
        <v>33.616697669300002</v>
      </c>
      <c r="J30" s="199"/>
      <c r="K30" s="200">
        <v>28493.4340307317</v>
      </c>
      <c r="L30" s="198">
        <v>60.221966454399997</v>
      </c>
      <c r="M30" s="199"/>
      <c r="N30" s="198">
        <v>0</v>
      </c>
      <c r="O30" s="198">
        <v>0</v>
      </c>
    </row>
    <row r="31" spans="2:15" s="4" customFormat="1" ht="12.95" customHeight="1" x14ac:dyDescent="0.2">
      <c r="B31" s="20" t="s">
        <v>26</v>
      </c>
      <c r="C31" s="50"/>
      <c r="D31" s="200">
        <v>125629.913642342</v>
      </c>
      <c r="E31" s="199"/>
      <c r="F31" s="198">
        <v>135032.27312541599</v>
      </c>
      <c r="G31" s="199"/>
      <c r="H31" s="200">
        <v>52385.520370623301</v>
      </c>
      <c r="I31" s="198">
        <v>37.903099650000001</v>
      </c>
      <c r="J31" s="199"/>
      <c r="K31" s="200">
        <v>65686.991489897104</v>
      </c>
      <c r="L31" s="198">
        <v>47.603696776</v>
      </c>
      <c r="M31" s="199"/>
      <c r="N31" s="198">
        <v>0</v>
      </c>
      <c r="O31" s="198">
        <v>0</v>
      </c>
    </row>
    <row r="32" spans="2:15" s="4" customFormat="1" ht="12.95" customHeight="1" x14ac:dyDescent="0.2">
      <c r="B32" s="20" t="s">
        <v>27</v>
      </c>
      <c r="C32" s="50"/>
      <c r="D32" s="200">
        <v>152620.02211724501</v>
      </c>
      <c r="E32" s="199"/>
      <c r="F32" s="198">
        <v>161806.64194778001</v>
      </c>
      <c r="G32" s="199"/>
      <c r="H32" s="200">
        <v>39187.024628377003</v>
      </c>
      <c r="I32" s="198">
        <v>23.547849021600001</v>
      </c>
      <c r="J32" s="199"/>
      <c r="K32" s="200">
        <v>115930.827343082</v>
      </c>
      <c r="L32" s="198">
        <v>72.211887734100003</v>
      </c>
      <c r="M32" s="199"/>
      <c r="N32" s="198">
        <v>0</v>
      </c>
      <c r="O32" s="198">
        <v>0</v>
      </c>
    </row>
    <row r="33" spans="1:15" s="4" customFormat="1" ht="12.95" customHeight="1" x14ac:dyDescent="0.2">
      <c r="B33" s="20" t="s">
        <v>28</v>
      </c>
      <c r="C33" s="50"/>
      <c r="D33" s="200">
        <v>218416.64777400301</v>
      </c>
      <c r="E33" s="199"/>
      <c r="F33" s="198">
        <v>241793.90833154001</v>
      </c>
      <c r="G33" s="199"/>
      <c r="H33" s="200">
        <v>64976.865871132599</v>
      </c>
      <c r="I33" s="198">
        <v>27.386766708900002</v>
      </c>
      <c r="J33" s="199"/>
      <c r="K33" s="200">
        <v>162602.08961447899</v>
      </c>
      <c r="L33" s="198">
        <v>69.538631395400003</v>
      </c>
      <c r="M33" s="199"/>
      <c r="N33" s="198">
        <v>0</v>
      </c>
      <c r="O33" s="198">
        <v>0</v>
      </c>
    </row>
    <row r="34" spans="1:15" s="4" customFormat="1" ht="12.95" customHeight="1" x14ac:dyDescent="0.2">
      <c r="B34" s="20" t="s">
        <v>29</v>
      </c>
      <c r="C34" s="50"/>
      <c r="D34" s="200">
        <v>80581.909876352394</v>
      </c>
      <c r="E34" s="199"/>
      <c r="F34" s="198">
        <v>87785.761375897098</v>
      </c>
      <c r="G34" s="199"/>
      <c r="H34" s="200">
        <v>38551.946498922502</v>
      </c>
      <c r="I34" s="198">
        <v>43.408426716000001</v>
      </c>
      <c r="J34" s="199"/>
      <c r="K34" s="200">
        <v>41966.415374599703</v>
      </c>
      <c r="L34" s="198">
        <v>48.211886837800002</v>
      </c>
      <c r="M34" s="199"/>
      <c r="N34" s="198">
        <v>0</v>
      </c>
      <c r="O34" s="198">
        <v>0</v>
      </c>
    </row>
    <row r="35" spans="1:15" s="4" customFormat="1" ht="12.95" customHeight="1" x14ac:dyDescent="0.2">
      <c r="B35" s="20" t="s">
        <v>30</v>
      </c>
      <c r="C35" s="50"/>
      <c r="D35" s="200">
        <v>83955.153596864096</v>
      </c>
      <c r="E35" s="199"/>
      <c r="F35" s="198">
        <v>90314.2071483162</v>
      </c>
      <c r="G35" s="199"/>
      <c r="H35" s="200">
        <v>25315.811168280801</v>
      </c>
      <c r="I35" s="198">
        <v>26.1426597554</v>
      </c>
      <c r="J35" s="199"/>
      <c r="K35" s="200">
        <v>59004.893578666401</v>
      </c>
      <c r="L35" s="198">
        <v>68.241099543100006</v>
      </c>
      <c r="M35" s="199"/>
      <c r="N35" s="198">
        <v>0</v>
      </c>
      <c r="O35" s="198">
        <v>0</v>
      </c>
    </row>
    <row r="36" spans="1:15" s="4" customFormat="1" ht="12.95" customHeight="1" x14ac:dyDescent="0.2">
      <c r="B36" s="20" t="s">
        <v>31</v>
      </c>
      <c r="C36" s="50"/>
      <c r="D36" s="200">
        <v>76131.681435940802</v>
      </c>
      <c r="E36" s="199"/>
      <c r="F36" s="198">
        <v>85611.261406368401</v>
      </c>
      <c r="G36" s="199"/>
      <c r="H36" s="200">
        <v>28593.2653962636</v>
      </c>
      <c r="I36" s="198">
        <v>34.427033316699998</v>
      </c>
      <c r="J36" s="199"/>
      <c r="K36" s="200">
        <v>49553.092576463197</v>
      </c>
      <c r="L36" s="198">
        <v>60.424468786299997</v>
      </c>
      <c r="M36" s="199"/>
      <c r="N36" s="198">
        <v>0</v>
      </c>
      <c r="O36" s="198">
        <v>0</v>
      </c>
    </row>
    <row r="37" spans="1:15" s="4" customFormat="1" ht="12.95" customHeight="1" x14ac:dyDescent="0.2">
      <c r="B37" s="20" t="s">
        <v>32</v>
      </c>
      <c r="C37" s="50"/>
      <c r="D37" s="200">
        <v>149829.76655200601</v>
      </c>
      <c r="E37" s="199"/>
      <c r="F37" s="198">
        <v>161502.518349605</v>
      </c>
      <c r="G37" s="199"/>
      <c r="H37" s="200">
        <v>35733.133446559099</v>
      </c>
      <c r="I37" s="198">
        <v>22.276303378400002</v>
      </c>
      <c r="J37" s="199"/>
      <c r="K37" s="200">
        <v>116373.385110028</v>
      </c>
      <c r="L37" s="198">
        <v>74.140054340099994</v>
      </c>
      <c r="M37" s="199"/>
      <c r="N37" s="198">
        <v>0</v>
      </c>
      <c r="O37" s="198">
        <v>0</v>
      </c>
    </row>
    <row r="38" spans="1:15" s="4" customFormat="1" ht="12.95" customHeight="1" x14ac:dyDescent="0.2">
      <c r="B38" s="20" t="s">
        <v>33</v>
      </c>
      <c r="C38" s="50"/>
      <c r="D38" s="200">
        <v>139751.63096608699</v>
      </c>
      <c r="E38" s="199"/>
      <c r="F38" s="198">
        <v>149397.203912831</v>
      </c>
      <c r="G38" s="199"/>
      <c r="H38" s="200">
        <v>62759.604210676203</v>
      </c>
      <c r="I38" s="198">
        <v>42.229766500399997</v>
      </c>
      <c r="J38" s="199"/>
      <c r="K38" s="200">
        <v>79327.184094562501</v>
      </c>
      <c r="L38" s="198">
        <v>53.906162050900001</v>
      </c>
      <c r="M38" s="199"/>
      <c r="N38" s="198">
        <v>0</v>
      </c>
      <c r="O38" s="198">
        <v>0</v>
      </c>
    </row>
    <row r="39" spans="1:15" s="4" customFormat="1" ht="12.95" customHeight="1" x14ac:dyDescent="0.2">
      <c r="B39" s="20" t="s">
        <v>34</v>
      </c>
      <c r="C39" s="50"/>
      <c r="D39" s="200">
        <v>108567.829175772</v>
      </c>
      <c r="E39" s="199"/>
      <c r="F39" s="198">
        <v>119026.621971107</v>
      </c>
      <c r="G39" s="199"/>
      <c r="H39" s="200">
        <v>39766.250940921898</v>
      </c>
      <c r="I39" s="198">
        <v>33.161020563199997</v>
      </c>
      <c r="J39" s="199"/>
      <c r="K39" s="200">
        <v>73271.853827991305</v>
      </c>
      <c r="L39" s="198">
        <v>64.858827866499993</v>
      </c>
      <c r="M39" s="199"/>
      <c r="N39" s="198">
        <v>0</v>
      </c>
      <c r="O39" s="198">
        <v>0</v>
      </c>
    </row>
    <row r="40" spans="1:15" s="4" customFormat="1" ht="12.95" customHeight="1" x14ac:dyDescent="0.2">
      <c r="B40" s="20" t="s">
        <v>35</v>
      </c>
      <c r="C40" s="50"/>
      <c r="D40" s="200">
        <v>100503.80374206</v>
      </c>
      <c r="E40" s="199"/>
      <c r="F40" s="198">
        <v>108923.012848896</v>
      </c>
      <c r="G40" s="199"/>
      <c r="H40" s="200">
        <v>32776.127038909501</v>
      </c>
      <c r="I40" s="198">
        <v>30.254349641499999</v>
      </c>
      <c r="J40" s="199"/>
      <c r="K40" s="200">
        <v>63899.063342521702</v>
      </c>
      <c r="L40" s="198">
        <v>58.481228111599997</v>
      </c>
      <c r="M40" s="199"/>
      <c r="N40" s="198">
        <v>0</v>
      </c>
      <c r="O40" s="198">
        <v>0</v>
      </c>
    </row>
    <row r="41" spans="1:15" s="4" customFormat="1" ht="12.95" customHeight="1" x14ac:dyDescent="0.2">
      <c r="B41" s="20" t="s">
        <v>36</v>
      </c>
      <c r="C41" s="50"/>
      <c r="D41" s="200">
        <v>57244.302139560001</v>
      </c>
      <c r="E41" s="199"/>
      <c r="F41" s="198">
        <v>65279.707502999801</v>
      </c>
      <c r="G41" s="199"/>
      <c r="H41" s="200">
        <v>19879.901538035101</v>
      </c>
      <c r="I41" s="198">
        <v>33.0923223124</v>
      </c>
      <c r="J41" s="199"/>
      <c r="K41" s="200">
        <v>41451.625172625398</v>
      </c>
      <c r="L41" s="198">
        <v>67.298178221200004</v>
      </c>
      <c r="M41" s="199"/>
      <c r="N41" s="198">
        <v>0</v>
      </c>
      <c r="O41" s="198">
        <v>0</v>
      </c>
    </row>
    <row r="42" spans="1:15" s="4" customFormat="1" ht="12.95" customHeight="1" x14ac:dyDescent="0.2">
      <c r="B42" s="20" t="s">
        <v>37</v>
      </c>
      <c r="C42" s="50"/>
      <c r="D42" s="200">
        <v>296319.50735628302</v>
      </c>
      <c r="E42" s="199"/>
      <c r="F42" s="198">
        <v>307502.07229057001</v>
      </c>
      <c r="G42" s="199"/>
      <c r="H42" s="200">
        <v>70411.283357393695</v>
      </c>
      <c r="I42" s="198">
        <v>21.9471180458</v>
      </c>
      <c r="J42" s="199"/>
      <c r="K42" s="200">
        <v>214617.058738188</v>
      </c>
      <c r="L42" s="198">
        <v>68.724396508400005</v>
      </c>
      <c r="M42" s="199"/>
      <c r="N42" s="198">
        <v>0</v>
      </c>
      <c r="O42" s="198">
        <v>0</v>
      </c>
    </row>
    <row r="43" spans="1:15" s="4" customFormat="1" ht="12.95" customHeight="1" x14ac:dyDescent="0.2">
      <c r="B43" s="20" t="s">
        <v>38</v>
      </c>
      <c r="C43" s="50"/>
      <c r="D43" s="200">
        <v>106305.706379451</v>
      </c>
      <c r="E43" s="199"/>
      <c r="F43" s="198">
        <v>115400.741399562</v>
      </c>
      <c r="G43" s="199"/>
      <c r="H43" s="200">
        <v>39743.471253211901</v>
      </c>
      <c r="I43" s="198">
        <v>34.665650876299999</v>
      </c>
      <c r="J43" s="199"/>
      <c r="K43" s="200">
        <v>69035.894611488693</v>
      </c>
      <c r="L43" s="198">
        <v>61.679010987399998</v>
      </c>
      <c r="M43" s="199"/>
      <c r="N43" s="198">
        <v>0</v>
      </c>
      <c r="O43" s="198">
        <v>0</v>
      </c>
    </row>
    <row r="44" spans="1:15" s="4" customFormat="1" ht="12.95" customHeight="1" x14ac:dyDescent="0.2">
      <c r="B44" s="20" t="s">
        <v>39</v>
      </c>
      <c r="C44" s="50"/>
      <c r="D44" s="200">
        <v>35244.957363494002</v>
      </c>
      <c r="E44" s="199"/>
      <c r="F44" s="198">
        <v>37510.697837886699</v>
      </c>
      <c r="G44" s="199"/>
      <c r="H44" s="200">
        <v>13630.934532208599</v>
      </c>
      <c r="I44" s="198">
        <v>35.623831523699998</v>
      </c>
      <c r="J44" s="199"/>
      <c r="K44" s="200">
        <v>20588.3026755875</v>
      </c>
      <c r="L44" s="198">
        <v>53.4134166511</v>
      </c>
      <c r="M44" s="199"/>
      <c r="N44" s="198">
        <v>0</v>
      </c>
      <c r="O44" s="198">
        <v>0</v>
      </c>
    </row>
    <row r="45" spans="1:15" s="4" customFormat="1" ht="6" customHeight="1" x14ac:dyDescent="0.2">
      <c r="B45" s="21"/>
      <c r="C45" s="95"/>
      <c r="D45" s="110"/>
      <c r="E45" s="111"/>
      <c r="F45" s="111"/>
      <c r="G45" s="111"/>
      <c r="H45" s="110"/>
      <c r="I45" s="112"/>
      <c r="J45" s="111"/>
      <c r="K45" s="110"/>
      <c r="L45" s="112"/>
      <c r="M45" s="111"/>
      <c r="N45" s="111"/>
      <c r="O45" s="112"/>
    </row>
    <row r="46" spans="1:15" s="2" customFormat="1" ht="6" customHeight="1" x14ac:dyDescent="0.2">
      <c r="A46" s="63"/>
      <c r="B46" s="28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8"/>
      <c r="N46" s="28"/>
      <c r="O46" s="28"/>
    </row>
    <row r="47" spans="1:1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</row>
    <row r="48" spans="1:15" s="101" customFormat="1" ht="14.25" x14ac:dyDescent="0.2">
      <c r="B48" s="102" t="s">
        <v>75</v>
      </c>
    </row>
    <row r="49" spans="2:15" ht="12.75" customHeight="1" x14ac:dyDescent="0.25">
      <c r="B49" s="31"/>
      <c r="C49" s="46"/>
      <c r="D49" s="46"/>
      <c r="E49" s="31"/>
      <c r="F49" s="31"/>
      <c r="G49" s="31"/>
      <c r="H49" s="31"/>
      <c r="I49" s="31"/>
      <c r="J49" s="31"/>
      <c r="K49" s="31"/>
      <c r="L49" s="31"/>
      <c r="M49" s="28"/>
      <c r="N49" s="28"/>
      <c r="O49" s="28"/>
    </row>
    <row r="50" spans="2:15" ht="12.75" customHeight="1" x14ac:dyDescent="0.25">
      <c r="B50" s="134"/>
      <c r="C50" s="31"/>
      <c r="D50" s="133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</row>
  </sheetData>
  <mergeCells count="9">
    <mergeCell ref="B5:M5"/>
    <mergeCell ref="B6:L6"/>
    <mergeCell ref="B7:C9"/>
    <mergeCell ref="D7:D9"/>
    <mergeCell ref="F7:F9"/>
    <mergeCell ref="H7:O7"/>
    <mergeCell ref="H8:I8"/>
    <mergeCell ref="K8:L8"/>
    <mergeCell ref="N8:O8"/>
  </mergeCells>
  <hyperlinks>
    <hyperlink ref="O1" location="Índice!A1" tooltip="Ir a ÍNDICE" display="INDICE" xr:uid="{2ABB8555-DC5B-473D-A1C6-BB44E0860B9D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86B4-25E1-4C72-8315-996B02829327}">
  <sheetPr>
    <pageSetUpPr fitToPage="1"/>
  </sheetPr>
  <dimension ref="A1:AP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22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42578125" style="1" customWidth="1" collapsed="1"/>
    <col min="9" max="9" width="10.42578125" style="1" customWidth="1" collapsed="1"/>
    <col min="10" max="10" width="1.7109375" style="1" customWidth="1" collapsed="1"/>
    <col min="11" max="12" width="11.42578125" style="1" customWidth="1" collapsed="1"/>
    <col min="13" max="13" width="1.7109375" style="2" customWidth="1"/>
    <col min="14" max="14" width="11.5703125" style="2" customWidth="1"/>
    <col min="15" max="15" width="10.7109375" style="2" customWidth="1"/>
    <col min="16" max="16" width="1.28515625" style="2" customWidth="1"/>
    <col min="17" max="17" width="9.85546875" style="1" customWidth="1"/>
    <col min="18" max="18" width="10.140625" style="1" customWidth="1" collapsed="1"/>
    <col min="19" max="42" width="11.42578125" style="1"/>
    <col min="43" max="16384" width="11.42578125" style="1" collapsed="1"/>
  </cols>
  <sheetData>
    <row r="1" spans="2:18" s="68" customFormat="1" x14ac:dyDescent="0.2">
      <c r="B1" s="210" t="s">
        <v>129</v>
      </c>
      <c r="M1" s="70"/>
      <c r="N1" s="70"/>
      <c r="O1" s="70"/>
      <c r="P1" s="70"/>
      <c r="R1" s="80" t="s">
        <v>74</v>
      </c>
    </row>
    <row r="2" spans="2:18" s="68" customFormat="1" ht="6.95" customHeight="1" x14ac:dyDescent="0.25">
      <c r="B2" s="210"/>
      <c r="M2" s="70"/>
      <c r="N2" s="70"/>
      <c r="O2" s="70"/>
      <c r="P2" s="70"/>
    </row>
    <row r="3" spans="2:18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8" s="68" customFormat="1" ht="6.95" customHeight="1" x14ac:dyDescent="0.25">
      <c r="C4" s="71"/>
      <c r="M4" s="70"/>
      <c r="N4" s="70"/>
      <c r="O4" s="70"/>
      <c r="P4" s="70"/>
    </row>
    <row r="5" spans="2:18" s="68" customFormat="1" ht="25.5" customHeight="1" x14ac:dyDescent="0.2">
      <c r="B5" s="242" t="s">
        <v>128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3"/>
      <c r="Q5" s="74"/>
      <c r="R5" s="79" t="s">
        <v>62</v>
      </c>
    </row>
    <row r="6" spans="2:18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28"/>
      <c r="Q6" s="31"/>
      <c r="R6" s="31"/>
    </row>
    <row r="7" spans="2:18" ht="27" customHeight="1" x14ac:dyDescent="0.25">
      <c r="B7" s="245" t="s">
        <v>1</v>
      </c>
      <c r="C7" s="245"/>
      <c r="D7" s="248" t="s">
        <v>127</v>
      </c>
      <c r="E7" s="34"/>
      <c r="F7" s="248" t="s">
        <v>126</v>
      </c>
      <c r="G7" s="35"/>
      <c r="H7" s="251" t="s">
        <v>125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</row>
    <row r="8" spans="2:18" ht="56.25" customHeight="1" x14ac:dyDescent="0.25">
      <c r="B8" s="246"/>
      <c r="C8" s="246"/>
      <c r="D8" s="249"/>
      <c r="E8" s="34"/>
      <c r="F8" s="249"/>
      <c r="G8" s="34"/>
      <c r="H8" s="252" t="s">
        <v>124</v>
      </c>
      <c r="I8" s="252"/>
      <c r="J8" s="195"/>
      <c r="K8" s="232" t="s">
        <v>123</v>
      </c>
      <c r="L8" s="232"/>
      <c r="M8" s="209"/>
      <c r="N8" s="232" t="s">
        <v>122</v>
      </c>
      <c r="O8" s="232"/>
      <c r="P8" s="209"/>
      <c r="Q8" s="232" t="s">
        <v>43</v>
      </c>
      <c r="R8" s="232"/>
    </row>
    <row r="9" spans="2:18" ht="23.25" customHeight="1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173" t="s">
        <v>6</v>
      </c>
    </row>
    <row r="10" spans="2:18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</row>
    <row r="11" spans="2:18" s="88" customFormat="1" ht="12.95" customHeight="1" x14ac:dyDescent="0.2">
      <c r="B11" s="40" t="s">
        <v>7</v>
      </c>
      <c r="C11" s="92"/>
      <c r="D11" s="207">
        <v>3357778.5433130101</v>
      </c>
      <c r="E11" s="208"/>
      <c r="F11" s="207">
        <v>3559666.5634194198</v>
      </c>
      <c r="G11" s="208"/>
      <c r="H11" s="207">
        <v>1844657.99688017</v>
      </c>
      <c r="I11" s="207">
        <v>53.742050738099998</v>
      </c>
      <c r="J11" s="208"/>
      <c r="K11" s="207">
        <v>825072.72749392397</v>
      </c>
      <c r="L11" s="207">
        <v>24.037339078999999</v>
      </c>
      <c r="M11" s="208"/>
      <c r="N11" s="207">
        <v>463908.75078784098</v>
      </c>
      <c r="O11" s="207">
        <v>13.502098157800001</v>
      </c>
      <c r="P11" s="208"/>
      <c r="Q11" s="207">
        <v>312894.22103014798</v>
      </c>
      <c r="R11" s="207">
        <v>9.0717299864999994</v>
      </c>
    </row>
    <row r="12" spans="2:18" s="88" customFormat="1" ht="6" customHeight="1" x14ac:dyDescent="0.2">
      <c r="B12" s="40"/>
      <c r="C12" s="92"/>
      <c r="D12" s="205"/>
      <c r="E12" s="205"/>
      <c r="F12" s="205"/>
      <c r="G12" s="205"/>
      <c r="H12" s="205"/>
      <c r="I12" s="206"/>
      <c r="J12" s="205"/>
      <c r="K12" s="205"/>
      <c r="L12" s="206"/>
      <c r="M12" s="205"/>
      <c r="N12" s="205"/>
      <c r="O12" s="206"/>
      <c r="P12" s="205"/>
      <c r="Q12" s="205"/>
      <c r="R12" s="206"/>
    </row>
    <row r="13" spans="2:18" s="3" customFormat="1" ht="12.95" customHeight="1" x14ac:dyDescent="0.2">
      <c r="B13" s="20" t="s">
        <v>8</v>
      </c>
      <c r="C13" s="50"/>
      <c r="D13" s="200">
        <v>19388.953632223602</v>
      </c>
      <c r="E13" s="205"/>
      <c r="F13" s="200">
        <v>20596.307084988501</v>
      </c>
      <c r="G13" s="205"/>
      <c r="H13" s="200">
        <v>13593.838031871701</v>
      </c>
      <c r="I13" s="200">
        <v>62.674950705800001</v>
      </c>
      <c r="J13" s="205"/>
      <c r="K13" s="200">
        <v>1575.4371989885001</v>
      </c>
      <c r="L13" s="200">
        <v>6.7501975562999998</v>
      </c>
      <c r="M13" s="205"/>
      <c r="N13" s="200">
        <v>372.81818818810001</v>
      </c>
      <c r="O13" s="200">
        <v>1.5853170478</v>
      </c>
      <c r="P13" s="205"/>
      <c r="Q13" s="200">
        <v>1449.4294904205001</v>
      </c>
      <c r="R13" s="200">
        <v>7.4220815658000001</v>
      </c>
    </row>
    <row r="14" spans="2:18" s="3" customFormat="1" ht="12.95" customHeight="1" x14ac:dyDescent="0.2">
      <c r="B14" s="20" t="s">
        <v>9</v>
      </c>
      <c r="C14" s="50"/>
      <c r="D14" s="200">
        <v>123867.629405456</v>
      </c>
      <c r="E14" s="205"/>
      <c r="F14" s="200">
        <v>129498.381285607</v>
      </c>
      <c r="G14" s="205"/>
      <c r="H14" s="200">
        <v>52535.556916378198</v>
      </c>
      <c r="I14" s="200">
        <v>39.225560669499998</v>
      </c>
      <c r="J14" s="205"/>
      <c r="K14" s="200">
        <v>36197.052738708699</v>
      </c>
      <c r="L14" s="200">
        <v>27.421816713399998</v>
      </c>
      <c r="M14" s="205"/>
      <c r="N14" s="200">
        <v>21577.525630975098</v>
      </c>
      <c r="O14" s="200">
        <v>14.8410311765</v>
      </c>
      <c r="P14" s="205"/>
      <c r="Q14" s="200">
        <v>2482.1447564959999</v>
      </c>
      <c r="R14" s="200">
        <v>1.7082138817000001</v>
      </c>
    </row>
    <row r="15" spans="2:18" s="3" customFormat="1" ht="12.95" customHeight="1" x14ac:dyDescent="0.2">
      <c r="B15" s="20" t="s">
        <v>10</v>
      </c>
      <c r="C15" s="50"/>
      <c r="D15" s="200">
        <v>21641.3462047024</v>
      </c>
      <c r="E15" s="205"/>
      <c r="F15" s="200">
        <v>22703.543451136298</v>
      </c>
      <c r="G15" s="205"/>
      <c r="H15" s="200">
        <v>12172.9193762292</v>
      </c>
      <c r="I15" s="200">
        <v>50.8710674099</v>
      </c>
      <c r="J15" s="205"/>
      <c r="K15" s="200">
        <v>2332.9430638613999</v>
      </c>
      <c r="L15" s="200">
        <v>8.6935618717000001</v>
      </c>
      <c r="M15" s="205"/>
      <c r="N15" s="200">
        <v>364.28220326740001</v>
      </c>
      <c r="O15" s="200">
        <v>1.5316883860999999</v>
      </c>
      <c r="P15" s="205"/>
      <c r="Q15" s="200">
        <v>3505.2654916897</v>
      </c>
      <c r="R15" s="200">
        <v>15.3068895127</v>
      </c>
    </row>
    <row r="16" spans="2:18" s="3" customFormat="1" ht="12.95" customHeight="1" x14ac:dyDescent="0.2">
      <c r="B16" s="20" t="s">
        <v>11</v>
      </c>
      <c r="C16" s="50"/>
      <c r="D16" s="200">
        <v>28340.269990584398</v>
      </c>
      <c r="E16" s="205"/>
      <c r="F16" s="200">
        <v>29694.2696931625</v>
      </c>
      <c r="G16" s="205"/>
      <c r="H16" s="200">
        <v>15347.716126982101</v>
      </c>
      <c r="I16" s="200">
        <v>50.545296055199998</v>
      </c>
      <c r="J16" s="205"/>
      <c r="K16" s="200">
        <v>5362.8034993512001</v>
      </c>
      <c r="L16" s="200">
        <v>17.293329373300001</v>
      </c>
      <c r="M16" s="205"/>
      <c r="N16" s="200">
        <v>2488.7439783334999</v>
      </c>
      <c r="O16" s="200">
        <v>7.8280944081000001</v>
      </c>
      <c r="P16" s="205"/>
      <c r="Q16" s="200">
        <v>3025.7750292633</v>
      </c>
      <c r="R16" s="200">
        <v>9.4327838337000003</v>
      </c>
    </row>
    <row r="17" spans="2:18" s="3" customFormat="1" ht="12.95" customHeight="1" x14ac:dyDescent="0.2">
      <c r="B17" s="20" t="s">
        <v>12</v>
      </c>
      <c r="C17" s="50"/>
      <c r="D17" s="200">
        <v>62016.925877971596</v>
      </c>
      <c r="E17" s="205"/>
      <c r="F17" s="200">
        <v>65638.477890733106</v>
      </c>
      <c r="G17" s="205"/>
      <c r="H17" s="200">
        <v>34908.272492286902</v>
      </c>
      <c r="I17" s="200">
        <v>51.494337444199999</v>
      </c>
      <c r="J17" s="205"/>
      <c r="K17" s="200">
        <v>14121.8457907352</v>
      </c>
      <c r="L17" s="200">
        <v>20.555235094299999</v>
      </c>
      <c r="M17" s="205"/>
      <c r="N17" s="200">
        <v>1180.4796706151999</v>
      </c>
      <c r="O17" s="200">
        <v>1.8395424698</v>
      </c>
      <c r="P17" s="205"/>
      <c r="Q17" s="200">
        <v>2950.4263268547002</v>
      </c>
      <c r="R17" s="200">
        <v>4.1335006751999996</v>
      </c>
    </row>
    <row r="18" spans="2:18" s="3" customFormat="1" ht="12.95" customHeight="1" x14ac:dyDescent="0.2">
      <c r="B18" s="20" t="s">
        <v>13</v>
      </c>
      <c r="C18" s="50"/>
      <c r="D18" s="200">
        <v>13679.0059332652</v>
      </c>
      <c r="E18" s="205"/>
      <c r="F18" s="200">
        <v>14409.9678809671</v>
      </c>
      <c r="G18" s="205"/>
      <c r="H18" s="200">
        <v>6847.0531140927997</v>
      </c>
      <c r="I18" s="200">
        <v>46.819229957700003</v>
      </c>
      <c r="J18" s="205"/>
      <c r="K18" s="200">
        <v>3222.4438595145998</v>
      </c>
      <c r="L18" s="200">
        <v>20.355550407700001</v>
      </c>
      <c r="M18" s="205"/>
      <c r="N18" s="200">
        <v>1231.6125666800999</v>
      </c>
      <c r="O18" s="200">
        <v>7.9576958122999999</v>
      </c>
      <c r="P18" s="205"/>
      <c r="Q18" s="200">
        <v>397.05687134179999</v>
      </c>
      <c r="R18" s="200">
        <v>2.4537301643</v>
      </c>
    </row>
    <row r="19" spans="2:18" s="3" customFormat="1" ht="12.95" customHeight="1" x14ac:dyDescent="0.2">
      <c r="B19" s="20" t="s">
        <v>14</v>
      </c>
      <c r="C19" s="50"/>
      <c r="D19" s="200">
        <v>181212.688404243</v>
      </c>
      <c r="E19" s="199"/>
      <c r="F19" s="198">
        <v>188405.315471162</v>
      </c>
      <c r="G19" s="199"/>
      <c r="H19" s="200">
        <v>74152.070578709696</v>
      </c>
      <c r="I19" s="198">
        <v>37.521364617099998</v>
      </c>
      <c r="J19" s="199"/>
      <c r="K19" s="200">
        <v>43605.460974842397</v>
      </c>
      <c r="L19" s="198">
        <v>22.226739177399999</v>
      </c>
      <c r="M19" s="199"/>
      <c r="N19" s="198">
        <v>39758.710615238197</v>
      </c>
      <c r="O19" s="198">
        <v>20.651398804599999</v>
      </c>
      <c r="P19" s="199"/>
      <c r="Q19" s="198">
        <v>9293.8482041602001</v>
      </c>
      <c r="R19" s="198">
        <v>4.6235638273999999</v>
      </c>
    </row>
    <row r="20" spans="2:18" s="4" customFormat="1" ht="12.95" customHeight="1" x14ac:dyDescent="0.2">
      <c r="B20" s="20" t="s">
        <v>15</v>
      </c>
      <c r="C20" s="50"/>
      <c r="D20" s="200">
        <v>65686.394420195706</v>
      </c>
      <c r="E20" s="199"/>
      <c r="F20" s="198">
        <v>69869.433740950699</v>
      </c>
      <c r="G20" s="199"/>
      <c r="H20" s="200">
        <v>44019.294622965703</v>
      </c>
      <c r="I20" s="198">
        <v>62.150269698199999</v>
      </c>
      <c r="J20" s="199"/>
      <c r="K20" s="200">
        <v>11037.6199197238</v>
      </c>
      <c r="L20" s="198">
        <v>14.9971545089</v>
      </c>
      <c r="M20" s="199"/>
      <c r="N20" s="198">
        <v>828.16164852880001</v>
      </c>
      <c r="O20" s="198">
        <v>1.1243293535000001</v>
      </c>
      <c r="P20" s="199"/>
      <c r="Q20" s="198">
        <v>2293.2017838188999</v>
      </c>
      <c r="R20" s="198">
        <v>3.1006148399</v>
      </c>
    </row>
    <row r="21" spans="2:18" s="4" customFormat="1" ht="12.95" customHeight="1" x14ac:dyDescent="0.2">
      <c r="B21" s="20" t="s">
        <v>16</v>
      </c>
      <c r="C21" s="50"/>
      <c r="D21" s="200">
        <v>354302.69403170998</v>
      </c>
      <c r="E21" s="199"/>
      <c r="F21" s="198">
        <v>373508.028240719</v>
      </c>
      <c r="G21" s="199"/>
      <c r="H21" s="200">
        <v>147279.846655181</v>
      </c>
      <c r="I21" s="198">
        <v>38.3236964731</v>
      </c>
      <c r="J21" s="199"/>
      <c r="K21" s="200">
        <v>87403.059278075496</v>
      </c>
      <c r="L21" s="198">
        <v>22.578277160199999</v>
      </c>
      <c r="M21" s="199"/>
      <c r="N21" s="198">
        <v>31328.067766107801</v>
      </c>
      <c r="O21" s="198">
        <v>8.1051212228999994</v>
      </c>
      <c r="P21" s="199"/>
      <c r="Q21" s="198">
        <v>55755.764839491298</v>
      </c>
      <c r="R21" s="198">
        <v>14.606348735199999</v>
      </c>
    </row>
    <row r="22" spans="2:18" s="4" customFormat="1" ht="12.95" customHeight="1" x14ac:dyDescent="0.2">
      <c r="B22" s="20" t="s">
        <v>17</v>
      </c>
      <c r="C22" s="50"/>
      <c r="D22" s="200">
        <v>33976.767188501697</v>
      </c>
      <c r="E22" s="199"/>
      <c r="F22" s="198">
        <v>35510.791400884198</v>
      </c>
      <c r="G22" s="199"/>
      <c r="H22" s="200">
        <v>23466.257503350898</v>
      </c>
      <c r="I22" s="198">
        <v>64.164845011400004</v>
      </c>
      <c r="J22" s="199"/>
      <c r="K22" s="200">
        <v>2782.0589740283999</v>
      </c>
      <c r="L22" s="198">
        <v>7.3681412105000001</v>
      </c>
      <c r="M22" s="199"/>
      <c r="N22" s="198">
        <v>835.36817032819999</v>
      </c>
      <c r="O22" s="198">
        <v>2.0902940459999999</v>
      </c>
      <c r="P22" s="199"/>
      <c r="Q22" s="198">
        <v>3384.5319942667002</v>
      </c>
      <c r="R22" s="198">
        <v>8.9689706245000007</v>
      </c>
    </row>
    <row r="23" spans="2:18" s="4" customFormat="1" ht="12.95" customHeight="1" x14ac:dyDescent="0.2">
      <c r="B23" s="20" t="s">
        <v>18</v>
      </c>
      <c r="C23" s="50"/>
      <c r="D23" s="200">
        <v>133358.71624826599</v>
      </c>
      <c r="E23" s="199"/>
      <c r="F23" s="198">
        <v>143057.930202391</v>
      </c>
      <c r="G23" s="199"/>
      <c r="H23" s="200">
        <v>58390.564246049697</v>
      </c>
      <c r="I23" s="198">
        <v>40.412653472899997</v>
      </c>
      <c r="J23" s="199"/>
      <c r="K23" s="200">
        <v>32677.068945631399</v>
      </c>
      <c r="L23" s="198">
        <v>22.322927978100001</v>
      </c>
      <c r="M23" s="199"/>
      <c r="N23" s="198">
        <v>9262.6474751655005</v>
      </c>
      <c r="O23" s="198">
        <v>6.1207422735000003</v>
      </c>
      <c r="P23" s="199"/>
      <c r="Q23" s="198">
        <v>20296.432356831701</v>
      </c>
      <c r="R23" s="198">
        <v>13.6658596727</v>
      </c>
    </row>
    <row r="24" spans="2:18" s="4" customFormat="1" ht="12.95" customHeight="1" x14ac:dyDescent="0.2">
      <c r="B24" s="20" t="s">
        <v>19</v>
      </c>
      <c r="C24" s="50"/>
      <c r="D24" s="200">
        <v>135674.361550651</v>
      </c>
      <c r="E24" s="199"/>
      <c r="F24" s="198">
        <v>144900.36552220699</v>
      </c>
      <c r="G24" s="199"/>
      <c r="H24" s="200">
        <v>81900.537021911106</v>
      </c>
      <c r="I24" s="198">
        <v>56.109013739700003</v>
      </c>
      <c r="J24" s="199"/>
      <c r="K24" s="200">
        <v>29582.327318753101</v>
      </c>
      <c r="L24" s="198">
        <v>20.364047528099999</v>
      </c>
      <c r="M24" s="199"/>
      <c r="N24" s="198">
        <v>9275.7299270259009</v>
      </c>
      <c r="O24" s="198">
        <v>6.2717867132</v>
      </c>
      <c r="P24" s="199"/>
      <c r="Q24" s="198">
        <v>8670.8529786327999</v>
      </c>
      <c r="R24" s="198">
        <v>5.6326330334000003</v>
      </c>
    </row>
    <row r="25" spans="2:18" s="4" customFormat="1" ht="12.95" customHeight="1" x14ac:dyDescent="0.2">
      <c r="B25" s="20" t="s">
        <v>20</v>
      </c>
      <c r="C25" s="50"/>
      <c r="D25" s="200">
        <v>47416.833512899102</v>
      </c>
      <c r="E25" s="199"/>
      <c r="F25" s="198">
        <v>51776.508387873298</v>
      </c>
      <c r="G25" s="199"/>
      <c r="H25" s="200">
        <v>25234.710236372899</v>
      </c>
      <c r="I25" s="198">
        <v>46.860810074200003</v>
      </c>
      <c r="J25" s="199"/>
      <c r="K25" s="200">
        <v>8742.9742021014008</v>
      </c>
      <c r="L25" s="198">
        <v>16.757341340499998</v>
      </c>
      <c r="M25" s="199"/>
      <c r="N25" s="198">
        <v>6814.4706028195997</v>
      </c>
      <c r="O25" s="198">
        <v>13.0623360799</v>
      </c>
      <c r="P25" s="199"/>
      <c r="Q25" s="198">
        <v>1491.0497077463999</v>
      </c>
      <c r="R25" s="198">
        <v>2.7332826051999999</v>
      </c>
    </row>
    <row r="26" spans="2:18" s="4" customFormat="1" ht="12.95" customHeight="1" x14ac:dyDescent="0.2">
      <c r="B26" s="20" t="s">
        <v>21</v>
      </c>
      <c r="C26" s="50"/>
      <c r="D26" s="200">
        <v>149169.579876192</v>
      </c>
      <c r="E26" s="199"/>
      <c r="F26" s="198">
        <v>159134.025899106</v>
      </c>
      <c r="G26" s="199"/>
      <c r="H26" s="200">
        <v>88817.337192616498</v>
      </c>
      <c r="I26" s="198">
        <v>54.7258024096</v>
      </c>
      <c r="J26" s="199"/>
      <c r="K26" s="200">
        <v>26740.123746768</v>
      </c>
      <c r="L26" s="198">
        <v>16.611985905899999</v>
      </c>
      <c r="M26" s="199"/>
      <c r="N26" s="198">
        <v>18968.781610574399</v>
      </c>
      <c r="O26" s="198">
        <v>10.9348305832</v>
      </c>
      <c r="P26" s="199"/>
      <c r="Q26" s="198">
        <v>862.07258262230005</v>
      </c>
      <c r="R26" s="198">
        <v>0.59758925789999995</v>
      </c>
    </row>
    <row r="27" spans="2:18" s="4" customFormat="1" ht="12.95" customHeight="1" x14ac:dyDescent="0.2">
      <c r="B27" s="20" t="s">
        <v>22</v>
      </c>
      <c r="C27" s="50"/>
      <c r="D27" s="200">
        <v>323346.72967942798</v>
      </c>
      <c r="E27" s="199"/>
      <c r="F27" s="198">
        <v>358085.05080198502</v>
      </c>
      <c r="G27" s="199"/>
      <c r="H27" s="200">
        <v>132468.94972710701</v>
      </c>
      <c r="I27" s="198">
        <v>35.940103756200003</v>
      </c>
      <c r="J27" s="199"/>
      <c r="K27" s="200">
        <v>66335.243417488004</v>
      </c>
      <c r="L27" s="198">
        <v>19.0384975817</v>
      </c>
      <c r="M27" s="199"/>
      <c r="N27" s="198">
        <v>82062.494044412495</v>
      </c>
      <c r="O27" s="198">
        <v>23.1457045115</v>
      </c>
      <c r="P27" s="199"/>
      <c r="Q27" s="198">
        <v>15548.335902015901</v>
      </c>
      <c r="R27" s="198">
        <v>4.3279458357999996</v>
      </c>
    </row>
    <row r="28" spans="2:18" s="4" customFormat="1" ht="12.95" customHeight="1" x14ac:dyDescent="0.2">
      <c r="B28" s="20" t="s">
        <v>23</v>
      </c>
      <c r="C28" s="50"/>
      <c r="D28" s="200">
        <v>91834.318481847004</v>
      </c>
      <c r="E28" s="199"/>
      <c r="F28" s="198">
        <v>97652.1752673874</v>
      </c>
      <c r="G28" s="199"/>
      <c r="H28" s="200">
        <v>44419.157760650698</v>
      </c>
      <c r="I28" s="198">
        <v>42.088748666100003</v>
      </c>
      <c r="J28" s="199"/>
      <c r="K28" s="200">
        <v>20553.3253242436</v>
      </c>
      <c r="L28" s="198">
        <v>21.024849754600002</v>
      </c>
      <c r="M28" s="199"/>
      <c r="N28" s="198">
        <v>9188.7489027864995</v>
      </c>
      <c r="O28" s="198">
        <v>8.6021336264000006</v>
      </c>
      <c r="P28" s="199"/>
      <c r="Q28" s="198">
        <v>8887.1165000601995</v>
      </c>
      <c r="R28" s="198">
        <v>8.3435970473999994</v>
      </c>
    </row>
    <row r="29" spans="2:18" s="4" customFormat="1" ht="12.95" customHeight="1" x14ac:dyDescent="0.2">
      <c r="B29" s="20" t="s">
        <v>24</v>
      </c>
      <c r="C29" s="50"/>
      <c r="D29" s="200">
        <v>40856.9098819875</v>
      </c>
      <c r="E29" s="199"/>
      <c r="F29" s="198">
        <v>43612.347761547797</v>
      </c>
      <c r="G29" s="199"/>
      <c r="H29" s="200">
        <v>23730.579905485101</v>
      </c>
      <c r="I29" s="198">
        <v>53.933746155199998</v>
      </c>
      <c r="J29" s="199"/>
      <c r="K29" s="200">
        <v>6652.4090977755995</v>
      </c>
      <c r="L29" s="198">
        <v>14.2800295966</v>
      </c>
      <c r="M29" s="199"/>
      <c r="N29" s="198">
        <v>3890.9930333839998</v>
      </c>
      <c r="O29" s="198">
        <v>8.7252653801999998</v>
      </c>
      <c r="P29" s="199"/>
      <c r="Q29" s="198">
        <v>2422.4174117558</v>
      </c>
      <c r="R29" s="198">
        <v>5.3388245565999997</v>
      </c>
    </row>
    <row r="30" spans="2:18" s="4" customFormat="1" ht="12.95" customHeight="1" x14ac:dyDescent="0.2">
      <c r="B30" s="20" t="s">
        <v>25</v>
      </c>
      <c r="C30" s="50"/>
      <c r="D30" s="200">
        <v>27494.555287043298</v>
      </c>
      <c r="E30" s="199"/>
      <c r="F30" s="198">
        <v>28863.642837253101</v>
      </c>
      <c r="G30" s="199"/>
      <c r="H30" s="200">
        <v>10578.5933295002</v>
      </c>
      <c r="I30" s="198">
        <v>36.147128524199999</v>
      </c>
      <c r="J30" s="199"/>
      <c r="K30" s="200">
        <v>10302.7884992867</v>
      </c>
      <c r="L30" s="198">
        <v>33.331101596800004</v>
      </c>
      <c r="M30" s="199"/>
      <c r="N30" s="198">
        <v>2937.5037277252</v>
      </c>
      <c r="O30" s="198">
        <v>9.1867072604000004</v>
      </c>
      <c r="P30" s="199"/>
      <c r="Q30" s="198">
        <v>995.14880794479996</v>
      </c>
      <c r="R30" s="198">
        <v>3.0441417387</v>
      </c>
    </row>
    <row r="31" spans="2:18" s="4" customFormat="1" ht="12.95" customHeight="1" x14ac:dyDescent="0.2">
      <c r="B31" s="20" t="s">
        <v>26</v>
      </c>
      <c r="C31" s="50"/>
      <c r="D31" s="200">
        <v>64374.011945720697</v>
      </c>
      <c r="E31" s="199"/>
      <c r="F31" s="198">
        <v>67785.091578433101</v>
      </c>
      <c r="G31" s="199"/>
      <c r="H31" s="200">
        <v>42284.814243143701</v>
      </c>
      <c r="I31" s="198">
        <v>61.416830186600002</v>
      </c>
      <c r="J31" s="199"/>
      <c r="K31" s="200">
        <v>6906.3562011388003</v>
      </c>
      <c r="L31" s="198">
        <v>9.3276059819999997</v>
      </c>
      <c r="M31" s="199"/>
      <c r="N31" s="198">
        <v>4983.8090867764004</v>
      </c>
      <c r="O31" s="198">
        <v>6.3131375050000003</v>
      </c>
      <c r="P31" s="199"/>
      <c r="Q31" s="198">
        <v>543.15453684880003</v>
      </c>
      <c r="R31" s="198">
        <v>0.66275712509999996</v>
      </c>
    </row>
    <row r="32" spans="2:18" s="4" customFormat="1" ht="12.95" customHeight="1" x14ac:dyDescent="0.2">
      <c r="B32" s="20" t="s">
        <v>27</v>
      </c>
      <c r="C32" s="50"/>
      <c r="D32" s="200">
        <v>110965.871188191</v>
      </c>
      <c r="E32" s="199"/>
      <c r="F32" s="198">
        <v>116879.755237791</v>
      </c>
      <c r="G32" s="199"/>
      <c r="H32" s="200">
        <v>67361.954526645306</v>
      </c>
      <c r="I32" s="198">
        <v>57.631306633000001</v>
      </c>
      <c r="J32" s="199"/>
      <c r="K32" s="200">
        <v>16294.320854376099</v>
      </c>
      <c r="L32" s="198">
        <v>12.913523234199999</v>
      </c>
      <c r="M32" s="199"/>
      <c r="N32" s="198">
        <v>13149.6047509613</v>
      </c>
      <c r="O32" s="198">
        <v>10.485047375400001</v>
      </c>
      <c r="P32" s="199"/>
      <c r="Q32" s="198">
        <v>4641.9754069520995</v>
      </c>
      <c r="R32" s="198">
        <v>3.6842471923</v>
      </c>
    </row>
    <row r="33" spans="1:18" s="4" customFormat="1" ht="12.95" customHeight="1" x14ac:dyDescent="0.2">
      <c r="B33" s="20" t="s">
        <v>28</v>
      </c>
      <c r="C33" s="50"/>
      <c r="D33" s="200">
        <v>148808.02724608901</v>
      </c>
      <c r="E33" s="199"/>
      <c r="F33" s="198">
        <v>164126.63336503701</v>
      </c>
      <c r="G33" s="199"/>
      <c r="H33" s="200">
        <v>95694.020864809398</v>
      </c>
      <c r="I33" s="198">
        <v>61.270737774700002</v>
      </c>
      <c r="J33" s="199"/>
      <c r="K33" s="200">
        <v>23871.536264747399</v>
      </c>
      <c r="L33" s="198">
        <v>13.9151390496</v>
      </c>
      <c r="M33" s="199"/>
      <c r="N33" s="198">
        <v>10920.203843594199</v>
      </c>
      <c r="O33" s="198">
        <v>6.2568476217000004</v>
      </c>
      <c r="P33" s="199"/>
      <c r="Q33" s="198">
        <v>10034.3566269283</v>
      </c>
      <c r="R33" s="198">
        <v>5.8744336358</v>
      </c>
    </row>
    <row r="34" spans="1:18" s="4" customFormat="1" ht="12.95" customHeight="1" x14ac:dyDescent="0.2">
      <c r="B34" s="20" t="s">
        <v>29</v>
      </c>
      <c r="C34" s="50"/>
      <c r="D34" s="200">
        <v>39576.854291132098</v>
      </c>
      <c r="E34" s="199"/>
      <c r="F34" s="198">
        <v>42609.867697665599</v>
      </c>
      <c r="G34" s="199"/>
      <c r="H34" s="200">
        <v>19925.580534674598</v>
      </c>
      <c r="I34" s="198">
        <v>43.144709688799999</v>
      </c>
      <c r="J34" s="199"/>
      <c r="K34" s="200">
        <v>8980.4880843640003</v>
      </c>
      <c r="L34" s="198">
        <v>20.679926004399999</v>
      </c>
      <c r="M34" s="199"/>
      <c r="N34" s="198">
        <v>403.33932577579998</v>
      </c>
      <c r="O34" s="198">
        <v>0.95852673649999998</v>
      </c>
      <c r="P34" s="199"/>
      <c r="Q34" s="198">
        <v>3201.5798003437999</v>
      </c>
      <c r="R34" s="198">
        <v>7.2476537822999996</v>
      </c>
    </row>
    <row r="35" spans="1:18" s="4" customFormat="1" ht="12.95" customHeight="1" x14ac:dyDescent="0.2">
      <c r="B35" s="20" t="s">
        <v>30</v>
      </c>
      <c r="C35" s="50"/>
      <c r="D35" s="200">
        <v>56186.158063996503</v>
      </c>
      <c r="E35" s="199"/>
      <c r="F35" s="198">
        <v>59645.147570659799</v>
      </c>
      <c r="G35" s="199"/>
      <c r="H35" s="200">
        <v>29225.147372346801</v>
      </c>
      <c r="I35" s="198">
        <v>46.347010424300002</v>
      </c>
      <c r="J35" s="199"/>
      <c r="K35" s="200">
        <v>9374.0844701220994</v>
      </c>
      <c r="L35" s="198">
        <v>14.855439196100001</v>
      </c>
      <c r="M35" s="199"/>
      <c r="N35" s="198">
        <v>6651.5726551483003</v>
      </c>
      <c r="O35" s="198">
        <v>10.5315263723</v>
      </c>
      <c r="P35" s="199"/>
      <c r="Q35" s="198">
        <v>5196.9679963216004</v>
      </c>
      <c r="R35" s="198">
        <v>8.5130229374000006</v>
      </c>
    </row>
    <row r="36" spans="1:18" s="4" customFormat="1" ht="12.95" customHeight="1" x14ac:dyDescent="0.2">
      <c r="B36" s="20" t="s">
        <v>31</v>
      </c>
      <c r="C36" s="50"/>
      <c r="D36" s="200">
        <v>44057.429586882499</v>
      </c>
      <c r="E36" s="199"/>
      <c r="F36" s="198">
        <v>50682.137014257103</v>
      </c>
      <c r="G36" s="199"/>
      <c r="H36" s="200">
        <v>22632.2484716933</v>
      </c>
      <c r="I36" s="198">
        <v>46.540270511499997</v>
      </c>
      <c r="J36" s="199"/>
      <c r="K36" s="200">
        <v>12706.814435385</v>
      </c>
      <c r="L36" s="198">
        <v>25.012027714799999</v>
      </c>
      <c r="M36" s="199"/>
      <c r="N36" s="198">
        <v>4351.5056239864998</v>
      </c>
      <c r="O36" s="198">
        <v>9.0028044742999995</v>
      </c>
      <c r="P36" s="199"/>
      <c r="Q36" s="198">
        <v>1986.4118899637001</v>
      </c>
      <c r="R36" s="198">
        <v>4.1333196455000003</v>
      </c>
    </row>
    <row r="37" spans="1:18" s="4" customFormat="1" ht="12.95" customHeight="1" x14ac:dyDescent="0.2">
      <c r="B37" s="20" t="s">
        <v>32</v>
      </c>
      <c r="C37" s="50"/>
      <c r="D37" s="200">
        <v>110756.047099674</v>
      </c>
      <c r="E37" s="199"/>
      <c r="F37" s="198">
        <v>117378.692802456</v>
      </c>
      <c r="G37" s="199"/>
      <c r="H37" s="200">
        <v>56663.069076940803</v>
      </c>
      <c r="I37" s="198">
        <v>48.363123076500003</v>
      </c>
      <c r="J37" s="199"/>
      <c r="K37" s="200">
        <v>35096.235952064002</v>
      </c>
      <c r="L37" s="198">
        <v>29.3913067254</v>
      </c>
      <c r="M37" s="199"/>
      <c r="N37" s="198">
        <v>7671.3287745404004</v>
      </c>
      <c r="O37" s="198">
        <v>6.2976837562999997</v>
      </c>
      <c r="P37" s="199"/>
      <c r="Q37" s="198">
        <v>4780.6228438884</v>
      </c>
      <c r="R37" s="198">
        <v>3.8575784303999998</v>
      </c>
    </row>
    <row r="38" spans="1:18" s="4" customFormat="1" ht="12.95" customHeight="1" x14ac:dyDescent="0.2">
      <c r="B38" s="20" t="s">
        <v>33</v>
      </c>
      <c r="C38" s="50"/>
      <c r="D38" s="200">
        <v>74334.915412395305</v>
      </c>
      <c r="E38" s="199"/>
      <c r="F38" s="198">
        <v>80045.4082635097</v>
      </c>
      <c r="G38" s="199"/>
      <c r="H38" s="200">
        <v>50861.6388038152</v>
      </c>
      <c r="I38" s="198">
        <v>63.952179234699997</v>
      </c>
      <c r="J38" s="199"/>
      <c r="K38" s="200">
        <v>10190.742865256399</v>
      </c>
      <c r="L38" s="198">
        <v>12.2744462227</v>
      </c>
      <c r="M38" s="199"/>
      <c r="N38" s="198">
        <v>2768.1881471721999</v>
      </c>
      <c r="O38" s="198">
        <v>3.3910786592000002</v>
      </c>
      <c r="P38" s="199"/>
      <c r="Q38" s="198">
        <v>6478.9156582873002</v>
      </c>
      <c r="R38" s="198">
        <v>7.8953396728999996</v>
      </c>
    </row>
    <row r="39" spans="1:18" s="4" customFormat="1" ht="12.95" customHeight="1" x14ac:dyDescent="0.2">
      <c r="B39" s="20" t="s">
        <v>34</v>
      </c>
      <c r="C39" s="50"/>
      <c r="D39" s="200">
        <v>69008.760774349095</v>
      </c>
      <c r="E39" s="199"/>
      <c r="F39" s="198">
        <v>73757.291879195604</v>
      </c>
      <c r="G39" s="199"/>
      <c r="H39" s="200">
        <v>40159.9241942644</v>
      </c>
      <c r="I39" s="198">
        <v>53.404956739600003</v>
      </c>
      <c r="J39" s="199"/>
      <c r="K39" s="200">
        <v>13722.9620932916</v>
      </c>
      <c r="L39" s="198">
        <v>18.263870948499999</v>
      </c>
      <c r="M39" s="199"/>
      <c r="N39" s="198">
        <v>9889.0922609937006</v>
      </c>
      <c r="O39" s="198">
        <v>12.760868229</v>
      </c>
      <c r="P39" s="199"/>
      <c r="Q39" s="198">
        <v>1799.8954241911999</v>
      </c>
      <c r="R39" s="198">
        <v>2.4197473971000001</v>
      </c>
    </row>
    <row r="40" spans="1:18" s="4" customFormat="1" ht="12.95" customHeight="1" x14ac:dyDescent="0.2">
      <c r="B40" s="20" t="s">
        <v>35</v>
      </c>
      <c r="C40" s="50"/>
      <c r="D40" s="200">
        <v>61564.983292390003</v>
      </c>
      <c r="E40" s="199"/>
      <c r="F40" s="198">
        <v>65932.103378344502</v>
      </c>
      <c r="G40" s="199"/>
      <c r="H40" s="200">
        <v>38884.778782741298</v>
      </c>
      <c r="I40" s="198">
        <v>59.068835148300003</v>
      </c>
      <c r="J40" s="199"/>
      <c r="K40" s="200">
        <v>8169.3941731213999</v>
      </c>
      <c r="L40" s="198">
        <v>11.607300971300001</v>
      </c>
      <c r="M40" s="199"/>
      <c r="N40" s="198">
        <v>5490.3698277076001</v>
      </c>
      <c r="O40" s="198">
        <v>7.9035902052999996</v>
      </c>
      <c r="P40" s="199"/>
      <c r="Q40" s="198">
        <v>2909.1272018560999</v>
      </c>
      <c r="R40" s="198">
        <v>4.0723008582000002</v>
      </c>
    </row>
    <row r="41" spans="1:18" s="4" customFormat="1" ht="12.95" customHeight="1" x14ac:dyDescent="0.2">
      <c r="B41" s="20" t="s">
        <v>36</v>
      </c>
      <c r="C41" s="50"/>
      <c r="D41" s="200">
        <v>37379.021724429404</v>
      </c>
      <c r="E41" s="199"/>
      <c r="F41" s="198">
        <v>41855.711961337998</v>
      </c>
      <c r="G41" s="199"/>
      <c r="H41" s="200">
        <v>24236.620002685399</v>
      </c>
      <c r="I41" s="198">
        <v>60.956519127100002</v>
      </c>
      <c r="J41" s="199"/>
      <c r="K41" s="200">
        <v>9349.5241000185997</v>
      </c>
      <c r="L41" s="198">
        <v>23.066231999500001</v>
      </c>
      <c r="M41" s="199"/>
      <c r="N41" s="198">
        <v>2542.9437401212999</v>
      </c>
      <c r="O41" s="198">
        <v>6.3559657289000002</v>
      </c>
      <c r="P41" s="199"/>
      <c r="Q41" s="198">
        <v>1655.4813270911</v>
      </c>
      <c r="R41" s="198">
        <v>4.0354774712000001</v>
      </c>
    </row>
    <row r="42" spans="1:18" s="4" customFormat="1" ht="12.95" customHeight="1" x14ac:dyDescent="0.2">
      <c r="B42" s="20" t="s">
        <v>37</v>
      </c>
      <c r="C42" s="50"/>
      <c r="D42" s="200">
        <v>211132.12665899601</v>
      </c>
      <c r="E42" s="199"/>
      <c r="F42" s="198">
        <v>218779.35101035499</v>
      </c>
      <c r="G42" s="199"/>
      <c r="H42" s="200">
        <v>121190.643077959</v>
      </c>
      <c r="I42" s="198">
        <v>54.276445902900001</v>
      </c>
      <c r="J42" s="199"/>
      <c r="K42" s="200">
        <v>51056.742112784297</v>
      </c>
      <c r="L42" s="198">
        <v>21.685657002399999</v>
      </c>
      <c r="M42" s="199"/>
      <c r="N42" s="198">
        <v>11284.061439290301</v>
      </c>
      <c r="O42" s="198">
        <v>4.8274038386000004</v>
      </c>
      <c r="P42" s="199"/>
      <c r="Q42" s="198">
        <v>4945.6471250815002</v>
      </c>
      <c r="R42" s="198">
        <v>2.0818920580000002</v>
      </c>
    </row>
    <row r="43" spans="1:18" s="4" customFormat="1" ht="12.95" customHeight="1" x14ac:dyDescent="0.2">
      <c r="B43" s="20" t="s">
        <v>38</v>
      </c>
      <c r="C43" s="50"/>
      <c r="D43" s="200">
        <v>63938.106089673398</v>
      </c>
      <c r="E43" s="199"/>
      <c r="F43" s="198">
        <v>69946.737315765495</v>
      </c>
      <c r="G43" s="199"/>
      <c r="H43" s="200">
        <v>38672.337145379897</v>
      </c>
      <c r="I43" s="198">
        <v>58.254849311800001</v>
      </c>
      <c r="J43" s="199"/>
      <c r="K43" s="200">
        <v>13780.611028258199</v>
      </c>
      <c r="L43" s="198">
        <v>19.0306335155</v>
      </c>
      <c r="M43" s="199"/>
      <c r="N43" s="198">
        <v>4813.9075056616002</v>
      </c>
      <c r="O43" s="198">
        <v>6.5106242254</v>
      </c>
      <c r="P43" s="199"/>
      <c r="Q43" s="198">
        <v>3650.9423996122</v>
      </c>
      <c r="R43" s="198">
        <v>4.8456991572000003</v>
      </c>
    </row>
    <row r="44" spans="1:18" s="4" customFormat="1" ht="12.95" customHeight="1" x14ac:dyDescent="0.2">
      <c r="B44" s="20" t="s">
        <v>39</v>
      </c>
      <c r="C44" s="51"/>
      <c r="D44" s="200">
        <v>19727.401412138501</v>
      </c>
      <c r="E44" s="199"/>
      <c r="F44" s="198">
        <v>20950.7497398585</v>
      </c>
      <c r="G44" s="199"/>
      <c r="H44" s="200">
        <v>11632.164535534799</v>
      </c>
      <c r="I44" s="198">
        <v>53.650574808400002</v>
      </c>
      <c r="J44" s="199"/>
      <c r="K44" s="200">
        <v>2377.8370365141</v>
      </c>
      <c r="L44" s="198">
        <v>10.388760872100001</v>
      </c>
      <c r="M44" s="199"/>
      <c r="N44" s="198">
        <v>1369.1915350698</v>
      </c>
      <c r="O44" s="198">
        <v>6.3153141903999996</v>
      </c>
      <c r="P44" s="199"/>
      <c r="Q44" s="198">
        <v>819.85122779860001</v>
      </c>
      <c r="R44" s="198">
        <v>3.4768639401999999</v>
      </c>
    </row>
    <row r="45" spans="1:18" s="2" customFormat="1" ht="6" customHeight="1" x14ac:dyDescent="0.2">
      <c r="A45" s="63"/>
      <c r="B45" s="204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18"/>
      <c r="N45" s="118"/>
      <c r="O45" s="112"/>
      <c r="P45" s="118"/>
      <c r="Q45" s="118"/>
      <c r="R45" s="112"/>
    </row>
    <row r="46" spans="1:18" s="2" customFormat="1" ht="6" customHeight="1" x14ac:dyDescent="0.25">
      <c r="A46" s="63"/>
      <c r="B46" s="28"/>
      <c r="C46" s="51"/>
      <c r="D46" s="169"/>
      <c r="E46" s="169"/>
      <c r="F46" s="169"/>
      <c r="G46" s="169"/>
      <c r="H46" s="169"/>
      <c r="I46" s="168"/>
      <c r="J46" s="168"/>
      <c r="K46" s="169"/>
      <c r="L46" s="168"/>
      <c r="M46" s="28"/>
      <c r="N46" s="28"/>
      <c r="O46" s="28"/>
      <c r="P46" s="28"/>
      <c r="Q46" s="28"/>
      <c r="R46" s="28"/>
    </row>
    <row r="47" spans="1:18" s="124" customFormat="1" ht="11.25" x14ac:dyDescent="0.2">
      <c r="A47" s="100"/>
      <c r="B47" s="50" t="s">
        <v>121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</row>
    <row r="48" spans="1:18" s="124" customFormat="1" ht="11.25" x14ac:dyDescent="0.2">
      <c r="A48" s="100"/>
      <c r="B48" s="50" t="s">
        <v>120</v>
      </c>
      <c r="C48" s="43"/>
      <c r="D48" s="120"/>
      <c r="E48" s="120"/>
      <c r="F48" s="120"/>
      <c r="G48" s="121"/>
      <c r="H48" s="43"/>
      <c r="I48" s="120"/>
      <c r="J48" s="121"/>
      <c r="K48" s="43"/>
      <c r="L48" s="120"/>
      <c r="M48" s="121"/>
      <c r="N48" s="43"/>
      <c r="O48" s="120"/>
      <c r="P48" s="121"/>
      <c r="Q48" s="43"/>
      <c r="R48" s="120"/>
    </row>
    <row r="49" spans="2:18" s="101" customFormat="1" ht="14.25" x14ac:dyDescent="0.2">
      <c r="B49" s="102" t="s">
        <v>75</v>
      </c>
    </row>
    <row r="50" spans="2:18" ht="12.75" customHeight="1" x14ac:dyDescent="0.25">
      <c r="B50" s="134"/>
      <c r="C50" s="31"/>
      <c r="D50" s="133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  <c r="P50" s="28"/>
      <c r="Q50" s="31"/>
      <c r="R50" s="31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B2D77420-176F-4B2B-88A0-7A37B0C21D07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41ADFD-1EAF-4537-9476-86DD1C74F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7C19A8-9362-493A-882F-5C88431229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D08472-C8A6-41F2-82F6-20D8447A3473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e829ce69-67eb-47dd-9407-4f8adfa19fc2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Cuadro 5.1</vt:lpstr>
      <vt:lpstr>Cuadro 5.2</vt:lpstr>
      <vt:lpstr>Cuadro 5.3</vt:lpstr>
      <vt:lpstr>Cuadro 5.4</vt:lpstr>
      <vt:lpstr>Cuadro 5.5</vt:lpstr>
      <vt:lpstr>Cuadro 5.6</vt:lpstr>
      <vt:lpstr>Cuadro 5.7</vt:lpstr>
      <vt:lpstr>Cuadro 5.8</vt:lpstr>
      <vt:lpstr>Cuadro 5.9</vt:lpstr>
      <vt:lpstr>Cuadro 5.10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2020-11-05T19:56:53Z</dcterms:created>
  <dcterms:modified xsi:type="dcterms:W3CDTF">2021-08-19T16:01:44Z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