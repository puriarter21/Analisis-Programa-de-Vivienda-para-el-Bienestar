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5A6F9EA8-3BCA-4511-8008-0F5360F2301C}" xr6:coauthVersionLast="47" xr6:coauthVersionMax="47" xr10:uidLastSave="{00000000-0000-0000-0000-000000000000}"/>
  <bookViews>
    <workbookView xWindow="20370" yWindow="-120" windowWidth="29040" windowHeight="15840" tabRatio="881" xr2:uid="{00000000-000D-0000-FFFF-FFFF00000000}"/>
  </bookViews>
  <sheets>
    <sheet name="Índice" sheetId="77" r:id="rId1"/>
    <sheet name="Cuadro 4.1" sheetId="101" r:id="rId2"/>
    <sheet name="Cuadro 4.2" sheetId="102" r:id="rId3"/>
    <sheet name="Cuadro 4.3" sheetId="103" r:id="rId4"/>
    <sheet name="Cuadro 4.4" sheetId="104" r:id="rId5"/>
    <sheet name="Cuadro 4.5" sheetId="105" r:id="rId6"/>
    <sheet name="Cuadro 4.6" sheetId="106" r:id="rId7"/>
    <sheet name="Cuadro 4.7" sheetId="107" r:id="rId8"/>
    <sheet name="Cuadro 4.8" sheetId="108" r:id="rId9"/>
    <sheet name="Cuadro 4.9" sheetId="109" r:id="rId10"/>
    <sheet name="Cuadro 4.10" sheetId="110" r:id="rId11"/>
    <sheet name="Cuadro 4.11" sheetId="111" r:id="rId12"/>
    <sheet name="Cuadro 4.12" sheetId="112" r:id="rId13"/>
    <sheet name="Cuadro 4.13" sheetId="113" r:id="rId14"/>
    <sheet name="Cuadro 4.14" sheetId="115" r:id="rId15"/>
    <sheet name="Cuadro 4.15" sheetId="117" r:id="rId16"/>
    <sheet name="Cuadro 4.16" sheetId="118" r:id="rId17"/>
    <sheet name="Cuadro 4.17" sheetId="119" r:id="rId18"/>
    <sheet name="Cuadro 4.18" sheetId="120" r:id="rId19"/>
  </sheets>
  <externalReferences>
    <externalReference r:id="rId20"/>
  </externalReferences>
  <definedNames>
    <definedName name="\p">#N/A</definedName>
    <definedName name="\s">#N/A</definedName>
    <definedName name="_xlnm._FilterDatabase" localSheetId="10" hidden="1">'Cuadro 4.10'!$D$9:$F$43</definedName>
    <definedName name="_xlnm._FilterDatabase" localSheetId="11" hidden="1">'Cuadro 4.11'!$D$11:$J$45</definedName>
    <definedName name="_xlnm._FilterDatabase" localSheetId="12" hidden="1">'Cuadro 4.12'!$D$11:$P$45</definedName>
    <definedName name="_xlnm._FilterDatabase" localSheetId="13" hidden="1">'Cuadro 4.13'!#REF!</definedName>
    <definedName name="_xlnm._FilterDatabase" localSheetId="14" hidden="1">'Cuadro 4.14'!#REF!</definedName>
    <definedName name="_xlnm._FilterDatabase" localSheetId="5" hidden="1">'Cuadro 4.5'!#REF!</definedName>
    <definedName name="_xlnm._FilterDatabase" localSheetId="6" hidden="1">'Cuadro 4.6'!$D$11:$P$45</definedName>
    <definedName name="_xlnm._FilterDatabase" localSheetId="7" hidden="1">'Cuadro 4.7'!$D$11:$P$45</definedName>
    <definedName name="_xlnm._FilterDatabase" localSheetId="8" hidden="1">'Cuadro 4.8'!$D$11:$P$45</definedName>
    <definedName name="_xlnm._FilterDatabase" localSheetId="9" hidden="1">'Cuadro 4.9'!$D$11:$J$45</definedName>
    <definedName name="A_impresión_IM" localSheetId="1">#REF!</definedName>
    <definedName name="A_impresión_IM" localSheetId="10">#REF!</definedName>
    <definedName name="A_impresión_IM" localSheetId="11">#REF!</definedName>
    <definedName name="A_impresión_IM" localSheetId="12">#REF!</definedName>
    <definedName name="A_impresión_IM" localSheetId="13">#REF!</definedName>
    <definedName name="A_impresión_IM" localSheetId="14">#REF!</definedName>
    <definedName name="A_impresión_IM" localSheetId="16">#REF!</definedName>
    <definedName name="A_impresión_IM" localSheetId="18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0">#REF!</definedName>
    <definedName name="A_impresión_IM">#REF!</definedName>
    <definedName name="Cuadro_2.1" localSheetId="10">#REF!</definedName>
    <definedName name="Cuadro_2.1" localSheetId="11">#REF!</definedName>
    <definedName name="Cuadro_2.1" localSheetId="12">#REF!</definedName>
    <definedName name="Cuadro_2.1" localSheetId="13">#REF!</definedName>
    <definedName name="Cuadro_2.1" localSheetId="14">#REF!</definedName>
    <definedName name="Cuadro_2.1" localSheetId="16">#REF!</definedName>
    <definedName name="Cuadro_2.1" localSheetId="18">#REF!</definedName>
    <definedName name="Cuadro_2.1" localSheetId="2">#REF!</definedName>
    <definedName name="Cuadro_2.1" localSheetId="4">#REF!</definedName>
    <definedName name="Cuadro_2.1" localSheetId="5">#REF!</definedName>
    <definedName name="Cuadro_2.1" localSheetId="6">#REF!</definedName>
    <definedName name="Cuadro_2.1" localSheetId="7">#REF!</definedName>
    <definedName name="Cuadro_2.1" localSheetId="8">#REF!</definedName>
    <definedName name="Cuadro_2.1" localSheetId="9">#REF!</definedName>
    <definedName name="Cuadro_2.1" localSheetId="0">#REF!</definedName>
    <definedName name="Cuadro_2.1">#REF!</definedName>
    <definedName name="Cuadro_2.2" localSheetId="10">#REF!</definedName>
    <definedName name="Cuadro_2.2" localSheetId="11">#REF!</definedName>
    <definedName name="Cuadro_2.2" localSheetId="12">#REF!</definedName>
    <definedName name="Cuadro_2.2" localSheetId="13">#REF!</definedName>
    <definedName name="Cuadro_2.2" localSheetId="14">#REF!</definedName>
    <definedName name="Cuadro_2.2" localSheetId="16">#REF!</definedName>
    <definedName name="Cuadro_2.2" localSheetId="18">#REF!</definedName>
    <definedName name="Cuadro_2.2" localSheetId="2">#REF!</definedName>
    <definedName name="Cuadro_2.2" localSheetId="4">#REF!</definedName>
    <definedName name="Cuadro_2.2" localSheetId="5">#REF!</definedName>
    <definedName name="Cuadro_2.2" localSheetId="6">#REF!</definedName>
    <definedName name="Cuadro_2.2" localSheetId="7">#REF!</definedName>
    <definedName name="Cuadro_2.2" localSheetId="8">#REF!</definedName>
    <definedName name="Cuadro_2.2" localSheetId="9">#REF!</definedName>
    <definedName name="Cuadro_2.2" localSheetId="0">#REF!</definedName>
    <definedName name="Cuadro_2.2">#REF!</definedName>
    <definedName name="Cuadro_2.3" localSheetId="10">#REF!</definedName>
    <definedName name="Cuadro_2.3" localSheetId="11">#REF!</definedName>
    <definedName name="Cuadro_2.3" localSheetId="12">#REF!</definedName>
    <definedName name="Cuadro_2.3" localSheetId="13">#REF!</definedName>
    <definedName name="Cuadro_2.3" localSheetId="14">#REF!</definedName>
    <definedName name="Cuadro_2.3" localSheetId="16">#REF!</definedName>
    <definedName name="Cuadro_2.3" localSheetId="18">#REF!</definedName>
    <definedName name="Cuadro_2.3" localSheetId="2">#REF!</definedName>
    <definedName name="Cuadro_2.3" localSheetId="4">#REF!</definedName>
    <definedName name="Cuadro_2.3" localSheetId="5">#REF!</definedName>
    <definedName name="Cuadro_2.3" localSheetId="6">#REF!</definedName>
    <definedName name="Cuadro_2.3" localSheetId="7">#REF!</definedName>
    <definedName name="Cuadro_2.3" localSheetId="8">#REF!</definedName>
    <definedName name="Cuadro_2.3" localSheetId="9">#REF!</definedName>
    <definedName name="Cuadro_2.3" localSheetId="0">#REF!</definedName>
    <definedName name="Cuadro_2.3">#REF!</definedName>
    <definedName name="Ir_a_inicio">'[1]Cuadro 1'!#REF!</definedName>
    <definedName name="paso" localSheetId="1">#REF!</definedName>
    <definedName name="paso" localSheetId="10">#REF!</definedName>
    <definedName name="paso" localSheetId="11">#REF!</definedName>
    <definedName name="paso" localSheetId="12">#REF!</definedName>
    <definedName name="paso" localSheetId="13">#REF!</definedName>
    <definedName name="paso" localSheetId="14">#REF!</definedName>
    <definedName name="paso" localSheetId="16">#REF!</definedName>
    <definedName name="paso" localSheetId="18">#REF!</definedName>
    <definedName name="paso" localSheetId="2">#REF!</definedName>
    <definedName name="paso" localSheetId="3">#REF!</definedName>
    <definedName name="paso" localSheetId="4">#REF!</definedName>
    <definedName name="paso" localSheetId="5">#REF!</definedName>
    <definedName name="paso" localSheetId="6">#REF!</definedName>
    <definedName name="paso" localSheetId="7">#REF!</definedName>
    <definedName name="paso" localSheetId="8">#REF!</definedName>
    <definedName name="paso" localSheetId="9">#REF!</definedName>
    <definedName name="paso" localSheetId="0">#REF!</definedName>
    <definedName name="paso">#REF!</definedName>
    <definedName name="prueba" localSheetId="1">#REF!</definedName>
    <definedName name="prueba" localSheetId="10">#REF!</definedName>
    <definedName name="prueba" localSheetId="11">#REF!</definedName>
    <definedName name="prueba" localSheetId="12">#REF!</definedName>
    <definedName name="prueba" localSheetId="13">#REF!</definedName>
    <definedName name="prueba" localSheetId="14">#REF!</definedName>
    <definedName name="prueba" localSheetId="16">#REF!</definedName>
    <definedName name="prueba" localSheetId="18">#REF!</definedName>
    <definedName name="prueba" localSheetId="2">#REF!</definedName>
    <definedName name="prueba" localSheetId="3">#REF!</definedName>
    <definedName name="prueba" localSheetId="4">#REF!</definedName>
    <definedName name="prueba" localSheetId="5">#REF!</definedName>
    <definedName name="prueba" localSheetId="6">#REF!</definedName>
    <definedName name="prueba" localSheetId="7">#REF!</definedName>
    <definedName name="prueba" localSheetId="8">#REF!</definedName>
    <definedName name="prueba" localSheetId="9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77" l="1"/>
</calcChain>
</file>

<file path=xl/sharedStrings.xml><?xml version="1.0" encoding="utf-8"?>
<sst xmlns="http://schemas.openxmlformats.org/spreadsheetml/2006/main" count="911" uniqueCount="203">
  <si>
    <t>Absolutos</t>
  </si>
  <si>
    <t>Relativos</t>
  </si>
  <si>
    <t xml:space="preserve">Estados Unidos Mexicanos 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</si>
  <si>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</si>
  <si>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</si>
  <si>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</si>
  <si>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</si>
  <si>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</si>
  <si>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</si>
  <si>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</si>
  <si>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</si>
  <si>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</si>
  <si>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</si>
  <si>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</si>
  <si>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</si>
  <si>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</si>
  <si>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</si>
  <si>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</si>
  <si>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</si>
  <si>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</si>
  <si>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</si>
  <si>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</si>
  <si>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</si>
  <si>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</si>
  <si>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</si>
  <si>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</si>
  <si>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</si>
  <si>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</si>
  <si>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</si>
  <si>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</si>
  <si>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</si>
  <si>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</si>
  <si>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</si>
  <si>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</si>
  <si>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</si>
  <si>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 xml:space="preserve">Estados Unidos Mexicanos                                    </t>
  </si>
  <si>
    <t>1 a 2 499 habitantes</t>
  </si>
  <si>
    <t xml:space="preserve">De 2 500 a 14 999 habitantes </t>
  </si>
  <si>
    <t xml:space="preserve">De 15 000 a 99 999 habitantes </t>
  </si>
  <si>
    <t>No especificado</t>
  </si>
  <si>
    <t>Forma de adquisición</t>
  </si>
  <si>
    <t>Se compró nueva</t>
  </si>
  <si>
    <t>Se compró usada</t>
  </si>
  <si>
    <t>Se obtuvo de otra manera</t>
  </si>
  <si>
    <t>Subsidios federal, estatal o municipal</t>
  </si>
  <si>
    <t>Tamaño de localidad y tipo de acción en la vivienda</t>
  </si>
  <si>
    <t>Materiales</t>
  </si>
  <si>
    <t>Sueldos y salarios</t>
  </si>
  <si>
    <t>Licencias</t>
  </si>
  <si>
    <t>Construcción</t>
  </si>
  <si>
    <t>Ampliación</t>
  </si>
  <si>
    <t>Renovación, rehabilitación o reforzamiento de la parte estructural</t>
  </si>
  <si>
    <t>Reparación menor o mantenimiento</t>
  </si>
  <si>
    <t>Remodelación</t>
  </si>
  <si>
    <t>100 000 y más habitantes</t>
  </si>
  <si>
    <t>Tamaño de localidad</t>
  </si>
  <si>
    <t>100 000  o más habitantes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</si>
  <si>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</si>
  <si>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Total de hogares</t>
  </si>
  <si>
    <t>Sí</t>
  </si>
  <si>
    <t>No</t>
  </si>
  <si>
    <t>Está habitada</t>
  </si>
  <si>
    <t>Otra</t>
  </si>
  <si>
    <r>
      <t>Hasta 45 m</t>
    </r>
    <r>
      <rPr>
        <b/>
        <vertAlign val="superscript"/>
        <sz val="8"/>
        <color theme="1"/>
        <rFont val="Arial"/>
        <family val="2"/>
      </rPr>
      <t>2</t>
    </r>
  </si>
  <si>
    <r>
      <t>De 46 a 75 m</t>
    </r>
    <r>
      <rPr>
        <b/>
        <vertAlign val="superscript"/>
        <sz val="8"/>
        <color theme="1"/>
        <rFont val="Arial"/>
        <family val="2"/>
      </rPr>
      <t>2</t>
    </r>
  </si>
  <si>
    <r>
      <t>De 76 a 100 m</t>
    </r>
    <r>
      <rPr>
        <b/>
        <vertAlign val="superscript"/>
        <sz val="8"/>
        <color theme="1"/>
        <rFont val="Arial"/>
        <family val="2"/>
      </rPr>
      <t>2</t>
    </r>
  </si>
  <si>
    <r>
      <t>De 101 a 150 m</t>
    </r>
    <r>
      <rPr>
        <b/>
        <vertAlign val="superscript"/>
        <sz val="8"/>
        <color theme="1"/>
        <rFont val="Arial"/>
        <family val="2"/>
      </rPr>
      <t>2</t>
    </r>
  </si>
  <si>
    <r>
      <t>Más de 150 m</t>
    </r>
    <r>
      <rPr>
        <b/>
        <vertAlign val="superscript"/>
        <sz val="8"/>
        <color theme="1"/>
        <rFont val="Arial"/>
        <family val="2"/>
      </rPr>
      <t>2</t>
    </r>
  </si>
  <si>
    <t>Tipo de vivienda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</si>
  <si>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que están en proceso de venta o renta, las usan para vacaciones o deshabitadas.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</si>
  <si>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viviendas en proceso de construcción o que son inadecuadas para habitarse.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</si>
  <si>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viviendas que se usan con fines distintos a los de habitación (bodega, negocio, etcétera).</t>
    </r>
  </si>
  <si>
    <r>
      <t>Casa independiente</t>
    </r>
    <r>
      <rPr>
        <b/>
        <vertAlign val="superscript"/>
        <sz val="8"/>
        <rFont val="Arial"/>
        <family val="2"/>
      </rPr>
      <t>2</t>
    </r>
  </si>
  <si>
    <t>Uso de la vivienda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</si>
  <si>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La suma puede ser mayor al total de viviendas porque se pudo responder más de una razón para adquirir la vivienda.</t>
    </r>
  </si>
  <si>
    <t>Metros de construcción (m2) de la vivienda</t>
  </si>
  <si>
    <t>Entidad federativa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</si>
  <si>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"Por las características de la vivienda (tamaño, dimensión o tipo)", "Por las vías de acceso y cercanía a los servicios" y "Seguridad de la zona".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</si>
  <si>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Incluye:  "Por inversión", "Para aprovechar un crédito" y "Es la que pudo comprar (con crédito, subsidio o recursos propios)".</t>
    </r>
  </si>
  <si>
    <r>
      <rPr>
        <vertAlign val="superscript"/>
        <sz val="8"/>
        <rFont val="Arial"/>
        <family val="2"/>
      </rPr>
      <t>5</t>
    </r>
    <r>
      <rPr>
        <sz val="8"/>
        <rFont val="Arial"/>
        <family val="2"/>
      </rPr>
      <t xml:space="preserve"> Incluye: "Fue herencia (la vivienda o el terreno)" y "Por motivos personales (independizarse, creció en ese lugar, cercanía a la familia, etcétera)".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</si>
  <si>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 en coto o unidad habitacional. 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</si>
  <si>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vivienda en edificio, vivienda en vecindad, vivienda en cuarto de azotea y local no construido para habitación.</t>
    </r>
  </si>
  <si>
    <t>Promedio de cuartos por vivienda</t>
  </si>
  <si>
    <t>Una vivienda secundaria</t>
  </si>
  <si>
    <t>Dos o más viviendas secundarias</t>
  </si>
  <si>
    <t>Total de hogares con viviendas secundarias</t>
  </si>
  <si>
    <r>
      <t>Total de viviendas secundarias con más gastos durante 2020</t>
    </r>
    <r>
      <rPr>
        <b/>
        <vertAlign val="superscript"/>
        <sz val="8"/>
        <color theme="1"/>
        <rFont val="Arial"/>
        <family val="2"/>
      </rPr>
      <t>1</t>
    </r>
  </si>
  <si>
    <t>Total de hogares que realizaron alguna construcción, ampliación, renovación, reparación o remodelación en la vivienda secundaria con más gastos durante 2020</t>
  </si>
  <si>
    <t>Total de hogares que realizaron alguna construcción, ampliación, renovación, reparación o remodelación en la vivienda secundaria con más gastos durante 2019</t>
  </si>
  <si>
    <t>Total de viviendas secundarias por entidad federativa</t>
  </si>
  <si>
    <t>Total de viviendas secundarias</t>
  </si>
  <si>
    <t>Total de viviendas secundarias con gastos en construcción, ampliación, renovación, rehabilitación o reforzamiento durante 2019</t>
  </si>
  <si>
    <t>Total de viviendas secundarias con gastos en construcción, ampliación, renovación, rehabilitación o reforzamiento durante 2020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</si>
  <si>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Cuando hay más de una vivienda secundaria por hogar, corresponde exclusivamente a las viviendas con más gastos de compra, construcción o mantenimiento durante 2020.</t>
    </r>
  </si>
  <si>
    <t>Condición de tenencia de viviendas secundarias propias</t>
  </si>
  <si>
    <t xml:space="preserve"> Tipo de gasto
</t>
  </si>
  <si>
    <t>Gasto de los hogares que reportaron algún gasto en construcción, ampliación, renovación, reparación o remodelación a la vivienda secundaria con más gastos durante 2019</t>
  </si>
  <si>
    <t>Tipo de acción en vivienda</t>
  </si>
  <si>
    <t>Gasto de los hogares que reportaron algún gasto en construcción, ampliación, renovación, reparación o remodelación a la vivienda secundaria con más gastos durante 2020</t>
  </si>
  <si>
    <t>Cuadro 4.1</t>
  </si>
  <si>
    <t>Cuadro 4.2</t>
  </si>
  <si>
    <t>Hogares por entidad federativa, según condición de tenencia de viviendas secundarias propias</t>
  </si>
  <si>
    <t>Cuadro 4.3</t>
  </si>
  <si>
    <t>Hogares con viviendas secundarias por tamaño de localidad, según número de viviendas secundarias propias</t>
  </si>
  <si>
    <t>Hogares con viviendas secundarias por entidad federativa, según número de viviendas secundarias propias</t>
  </si>
  <si>
    <t>Cuadro 4.4</t>
  </si>
  <si>
    <t>Cuadro 4.5</t>
  </si>
  <si>
    <t>Cuadro 4.6</t>
  </si>
  <si>
    <r>
      <t>Total de viviendas secundarias con más gastos durante 2020</t>
    </r>
    <r>
      <rPr>
        <b/>
        <vertAlign val="superscript"/>
        <sz val="8"/>
        <rFont val="Arial"/>
        <family val="2"/>
      </rPr>
      <t>1</t>
    </r>
  </si>
  <si>
    <r>
      <t>Está deshabitada</t>
    </r>
    <r>
      <rPr>
        <b/>
        <vertAlign val="superscript"/>
        <sz val="8"/>
        <rFont val="Arial"/>
        <family val="2"/>
      </rPr>
      <t>2</t>
    </r>
  </si>
  <si>
    <r>
      <t>Está en proceso de construcción</t>
    </r>
    <r>
      <rPr>
        <b/>
        <vertAlign val="superscript"/>
        <sz val="8"/>
        <rFont val="Arial"/>
        <family val="2"/>
      </rPr>
      <t>3</t>
    </r>
  </si>
  <si>
    <r>
      <t>Otra situación</t>
    </r>
    <r>
      <rPr>
        <b/>
        <vertAlign val="superscript"/>
        <sz val="8"/>
        <rFont val="Arial"/>
        <family val="2"/>
      </rPr>
      <t>4</t>
    </r>
  </si>
  <si>
    <t>Cuadro 4.7</t>
  </si>
  <si>
    <t>Cuadro 4.8</t>
  </si>
  <si>
    <t>Cuadro 4.9</t>
  </si>
  <si>
    <t>Cuadro 4.10</t>
  </si>
  <si>
    <t>Cuadro 4.11</t>
  </si>
  <si>
    <t>Cuadro 4.12</t>
  </si>
  <si>
    <t>Cuadro 4.13</t>
  </si>
  <si>
    <t>Cuadro 4.14</t>
  </si>
  <si>
    <t>Cuadro 4.15</t>
  </si>
  <si>
    <t>Cuadro 4.16</t>
  </si>
  <si>
    <t>Cuadro 4.17</t>
  </si>
  <si>
    <t>Cuadro 4.18</t>
  </si>
  <si>
    <r>
      <t>Razones de adquisición</t>
    </r>
    <r>
      <rPr>
        <b/>
        <vertAlign val="superscript"/>
        <sz val="8"/>
        <rFont val="Arial"/>
        <family val="2"/>
      </rPr>
      <t>2</t>
    </r>
  </si>
  <si>
    <r>
      <t>Infraestructura de la vivienda y localidad</t>
    </r>
    <r>
      <rPr>
        <b/>
        <vertAlign val="superscript"/>
        <sz val="8"/>
        <rFont val="Arial"/>
        <family val="2"/>
      </rPr>
      <t>3</t>
    </r>
  </si>
  <si>
    <r>
      <t>Económicas</t>
    </r>
    <r>
      <rPr>
        <b/>
        <vertAlign val="superscript"/>
        <sz val="8"/>
        <rFont val="Arial"/>
        <family val="2"/>
      </rPr>
      <t>4</t>
    </r>
  </si>
  <si>
    <r>
      <t>Personales</t>
    </r>
    <r>
      <rPr>
        <b/>
        <vertAlign val="superscript"/>
        <sz val="8"/>
        <rFont val="Arial"/>
        <family val="2"/>
      </rPr>
      <t>5</t>
    </r>
  </si>
  <si>
    <r>
      <t>Se construyó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</si>
  <si>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las viviendas que las construyó un(a) albañil o trabajador(a) por su cuenta, un(a) ingeniero(a) o arquitecto(a), una empresa constructora, o alguna persona del hogar.</t>
    </r>
  </si>
  <si>
    <r>
      <t>Otro</t>
    </r>
    <r>
      <rPr>
        <b/>
        <vertAlign val="superscript"/>
        <sz val="8"/>
        <rFont val="Arial"/>
        <family val="2"/>
      </rPr>
      <t>3</t>
    </r>
  </si>
  <si>
    <r>
      <t>Total de hogares con viviendas secundarias que tuvieron gastos en construcción, ampliación, renovación, rehabilitación o reforzamiento durante 2019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</si>
  <si>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reportaron sí haber realizado alguna construcción, ampliación, renovación, reparación o mantenimiento durante 2019, pero que no gastaron o no especificaron monto.</t>
    </r>
  </si>
  <si>
    <r>
      <t>Total de hogares con viviendas secundarias que tuvieron gastos en construcción, ampliación, renovación, rehabilitación o reforzamiento durante 2020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</si>
  <si>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reportaron sí haber realizado alguna construcción, ampliación, renovación, reparación o mantenimiento durante 2020, pero que no gastaron o no especificaron monto.</t>
    </r>
  </si>
  <si>
    <r>
      <t>Tipo de gasto</t>
    </r>
    <r>
      <rPr>
        <b/>
        <vertAlign val="superscript"/>
        <sz val="8"/>
        <rFont val="Arial"/>
        <family val="2"/>
      </rPr>
      <t>1</t>
    </r>
  </si>
  <si>
    <r>
      <t>Hogares que no reportaron gastos</t>
    </r>
    <r>
      <rPr>
        <b/>
        <vertAlign val="superscript"/>
        <sz val="8"/>
        <rFont val="Arial"/>
        <family val="2"/>
      </rPr>
      <t>2</t>
    </r>
  </si>
  <si>
    <r>
      <t>Reparación menor o mantenimiento</t>
    </r>
    <r>
      <rPr>
        <vertAlign val="superscript"/>
        <sz val="8"/>
        <rFont val="Arial"/>
        <family val="2"/>
      </rPr>
      <t>3</t>
    </r>
  </si>
  <si>
    <r>
      <t>Remodelación</t>
    </r>
    <r>
      <rPr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</si>
  <si>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superior al total de hogares porque se pudo escoger más de una opción.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</si>
  <si>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los hogares que realizaron alguna construcción, ampliación, renovación, reparación o remodelación en la vivienda durante 2019, pero no especificaron el monto gastado.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</si>
  <si>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Solo reportan gastos de materiales, sueldos y salarios. No se incluyen en gastos por licencias.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</si>
  <si>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Solo reportan gastos de materiales, sueldos y salarios. No se incluyen en gastos por licencias.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</si>
  <si>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los hogares que realizaron alguna construcción, ampliación, renovación, reparación o remodelación en la vivienda durante 2020, pero no especificaron el monto gastado.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</si>
  <si>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metros de construcción de la vivienda</t>
    </r>
  </si>
  <si>
    <t>Encuesta Nacional de Vivienda (ENVI) 2020</t>
  </si>
  <si>
    <t>TABULADOS BÁSICOS</t>
  </si>
  <si>
    <t>Nivel de confianza del 90%</t>
  </si>
  <si>
    <t>Tema</t>
  </si>
  <si>
    <t>ID Cuadro</t>
  </si>
  <si>
    <t>Título</t>
  </si>
  <si>
    <t>ÍNDICE</t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</si>
  <si>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promedio de cuartos de la vivienda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</si>
  <si>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razones para la adquisición de la vivienda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</si>
  <si>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 según forma de adquisición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</si>
  <si>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 según tipo de vivienda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</si>
  <si>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uso de la vivienda</t>
    </r>
  </si>
  <si>
    <r>
      <t xml:space="preserve">Hogares que realizaron alguna construcción, ampliación, renovación, reparación o remodelación en la vivienda secundaria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2019 por tamaño de localidad y tipo de acción en la vivienda, según tipo de gasto</t>
    </r>
  </si>
  <si>
    <t>Hogares que reportaron algún gasto en construcción, ampliación, renovación, reparación o remodelación a la vivienda secundaria con más gastos durante 2019, Gasto y Promedio del gasto en acciones a la vivienda por tipo de acción, según tipo de gasto</t>
  </si>
  <si>
    <r>
      <t xml:space="preserve">Hogares que realizaron alguna construcción, ampliación, renovación, reparación o remodelación en la vivienda secundaria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tamaño de localidad y tipo de acción en la vivienda, según tipo de gasto 2020</t>
    </r>
  </si>
  <si>
    <t>Hogares que reportaron algún gasto en construcción, ampliación, renovación, reparación o remodelación a la vivienda secundaria con más gastos durante 2020, Gasto y Promedio del gasto en acciones a la vivienda por tipo de acción, según tipo de gasto</t>
  </si>
  <si>
    <t>Hogares por tamaño de localidad, según condición de tenencia de viviendas secundarias propias</t>
  </si>
  <si>
    <t>Viviendas secundarias con más gastos durante 2020 por entidad federativa, según uso de la vivienda</t>
  </si>
  <si>
    <t>Viviendas secundarias con más gastos durante 2020 por entidad federativa, según razones para la adquisición de la vivienda</t>
  </si>
  <si>
    <t>Viviendas secundarias con más gastos durante 2020 por entidad federativa,  según forma de adquisición</t>
  </si>
  <si>
    <t>Viviendas secundarias con más gastos durante 2020 por entidad federativa según tipo de vivienda</t>
  </si>
  <si>
    <t>Viviendas secundarias con más gastos durante 2020 por entidad federativa, según promedio de cuartos de la vivienda</t>
  </si>
  <si>
    <t>Viviendas secundarias con más gastos durante 2020 por entidad federativa, según metros de construcción de la vivienda</t>
  </si>
  <si>
    <t>Hogares que realizaron alguna construcción, ampliación, renovación, reparación o remodelación en la vivienda secundaria con más gastos durante 2019 por tamaño de localidad y tipo de acción en la vivienda, según tipo de gasto</t>
  </si>
  <si>
    <t>Hogares que realizaron alguna construcción, ampliación, renovación, reparación o remodelación en la vivienda secundaria con más gastos durante 2020 por tamaño de localidad y tipo de acción en la vivienda, según tipo de gasto 2020</t>
  </si>
  <si>
    <t>Hogares con viviendas secundarias que tuvieron gastos en construcción, ampliación, renovación, rehabilitación o reforzamiento durante 2019 y número de viviendas secundarias por entidad federativa, según gasto realizado y su promedio</t>
  </si>
  <si>
    <t>Hogares con viviendas secundarias que tuvieron gastos en construcción, ampliación, renovación, rehabilitación o reforzamiento durante 2020 y número de viviendas secundarias por entidad federativa, según gasto realizado y su promedio</t>
  </si>
  <si>
    <t>Tema 4. Gastos en las viviendas secundarias</t>
  </si>
  <si>
    <t>Crédito de INFONAVIT</t>
  </si>
  <si>
    <t>Viviendas secundarias con más gastos durante 2020 sin financiamiento</t>
  </si>
  <si>
    <r>
      <t>Fuente de financiamiento</t>
    </r>
    <r>
      <rPr>
        <b/>
        <vertAlign val="superscript"/>
        <sz val="8"/>
        <rFont val="Arial"/>
        <family val="2"/>
      </rPr>
      <t>2</t>
    </r>
  </si>
  <si>
    <r>
      <t>Crédito de una institución financiera privada</t>
    </r>
    <r>
      <rPr>
        <b/>
        <vertAlign val="superscript"/>
        <sz val="8"/>
        <rFont val="Arial"/>
        <family val="2"/>
      </rPr>
      <t>3</t>
    </r>
  </si>
  <si>
    <r>
      <t>Préstamos informales o recursos propios</t>
    </r>
    <r>
      <rPr>
        <b/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</si>
  <si>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superior al total de viviendas secundarias porque una vivienda pudo tener más de una fuente de financiamiento.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</si>
  <si>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créditos una institución financiera privada (banco, sofol, caja de ahorro) y créditos de alguna organización no lucrativa.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</si>
  <si>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préstamos de un familiar, amigo u otra persona, así como sus propios recursos.</t>
    </r>
  </si>
  <si>
    <r>
      <t>Fuente:</t>
    </r>
    <r>
      <rPr>
        <b/>
        <sz val="8"/>
        <rFont val="Arial"/>
        <family val="2"/>
      </rPr>
      <t xml:space="preserve"> INEGI.</t>
    </r>
    <r>
      <rPr>
        <sz val="8"/>
        <rFont val="Arial"/>
        <family val="2"/>
      </rPr>
      <t xml:space="preserve"> Encuesta Nacional de Vivienda 2020.</t>
    </r>
  </si>
  <si>
    <r>
      <t xml:space="preserve">Gasto en las viviendas secundarias durante 2019
</t>
    </r>
    <r>
      <rPr>
        <sz val="8"/>
        <rFont val="Arial"/>
        <family val="2"/>
      </rPr>
      <t>Pesos</t>
    </r>
  </si>
  <si>
    <r>
      <t xml:space="preserve">Promedio de gasto por hogar en las viviendas secundarias durante 2019
</t>
    </r>
    <r>
      <rPr>
        <sz val="8"/>
        <rFont val="Arial"/>
        <family val="2"/>
      </rPr>
      <t>Pesos</t>
    </r>
  </si>
  <si>
    <r>
      <t xml:space="preserve">Gasto en las viviendas secundarias durante 2020
</t>
    </r>
    <r>
      <rPr>
        <sz val="8"/>
        <rFont val="Arial"/>
        <family val="2"/>
      </rPr>
      <t>Pesos</t>
    </r>
  </si>
  <si>
    <r>
      <t xml:space="preserve">Promedio de gasto por hogar en las viviendas secundarias durante 2020
</t>
    </r>
    <r>
      <rPr>
        <sz val="8"/>
        <rFont val="Arial"/>
        <family val="2"/>
      </rPr>
      <t>Pesos</t>
    </r>
  </si>
  <si>
    <r>
      <t>Total de hogares que reportaron algún gasto en construcción, ampliación, renovación, reparación o remodelación en la vivienda secundaria con más gastos durante 2019</t>
    </r>
    <r>
      <rPr>
        <b/>
        <vertAlign val="superscript"/>
        <sz val="8"/>
        <rFont val="Arial"/>
        <family val="2"/>
      </rPr>
      <t>1</t>
    </r>
  </si>
  <si>
    <r>
      <t xml:space="preserve">Total
</t>
    </r>
    <r>
      <rPr>
        <sz val="8"/>
        <rFont val="Arial"/>
        <family val="2"/>
      </rPr>
      <t>(Pesos)</t>
    </r>
  </si>
  <si>
    <r>
      <t xml:space="preserve">Promedio
</t>
    </r>
    <r>
      <rPr>
        <sz val="8"/>
        <rFont val="Arial"/>
        <family val="2"/>
      </rPr>
      <t xml:space="preserve">(Pesos) </t>
    </r>
  </si>
  <si>
    <r>
      <t xml:space="preserve">Promedio
</t>
    </r>
    <r>
      <rPr>
        <sz val="8"/>
        <rFont val="Arial"/>
        <family val="2"/>
      </rPr>
      <t>(Pesos)</t>
    </r>
  </si>
  <si>
    <r>
      <t>Reparación menor o mantenimiento</t>
    </r>
    <r>
      <rPr>
        <vertAlign val="superscript"/>
        <sz val="8"/>
        <rFont val="Arial"/>
        <family val="2"/>
      </rPr>
      <t>2</t>
    </r>
  </si>
  <si>
    <r>
      <t>Remodelación</t>
    </r>
    <r>
      <rPr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</si>
  <si>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secundaria durante 2019.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</si>
  <si>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Solo reportan gastos de materiales, sueldos y salarios. No se incluyen en gastos por licencias.</t>
    </r>
  </si>
  <si>
    <r>
      <t>Total de hogares que reportaron algún gasto en construcción, ampliación, renovación, reparación o remodelación en la vivienda secundaria con más gastos durante 2020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</si>
  <si>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secundaria durante 2020.</t>
    </r>
  </si>
  <si>
    <t>Crédito de FOVISSSTE y otras instituciones públicas</t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</si>
  <si>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fuente de financiamiento para la adquisición</t>
    </r>
  </si>
  <si>
    <t>Agosto 2021</t>
  </si>
  <si>
    <t>Error estándar.</t>
  </si>
  <si>
    <t>Viviendas secundarias con más gastos durante 2020 por entidad federativa, según fuente de financiamiento para la adquisición</t>
  </si>
  <si>
    <t>NA</t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</si>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</sst>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#\ ###\ ##0"/>
    <numFmt numFmtId="167" formatCode="\ ###\ ###\ ##0"/>
    <numFmt numFmtId="168" formatCode="\ ###\ ###\ ##0.0"/>
    <numFmt numFmtId="169" formatCode="###\ ###\ ###\ ##0.0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80"/>
      <name val="Arial"/>
      <family val="2"/>
    </font>
    <font>
      <sz val="9"/>
      <color rgb="FF00008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vertAlign val="superscript"/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b/>
      <vertAlign val="superscript"/>
      <sz val="8"/>
      <color theme="1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sz val="8"/>
      <color rgb="FF000000"/>
      <name val="Arial"/>
      <family val="2"/>
    </font>
    <font>
      <b/>
      <vertAlign val="superscript"/>
      <sz val="8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9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i/>
      <sz val="9"/>
      <name val="Arial"/>
      <family val="2"/>
    </font>
    <font>
      <u/>
      <sz val="9"/>
      <name val="Arial"/>
      <family val="2"/>
    </font>
    <font>
      <b/>
      <sz val="9"/>
      <color theme="1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1"/>
      <color rgb="FF000080"/>
      <name val="Arial"/>
      <family val="2"/>
    </font>
    <font>
      <b/>
      <i/>
      <sz val="12"/>
      <color rgb="FF000080"/>
      <name val="Arial"/>
      <family val="2"/>
    </font>
    <font>
      <b/>
      <sz val="11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u/>
      <sz val="9"/>
      <color rgb="FF00339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/>
      <top style="thin">
        <color rgb="FF337AB7"/>
      </top>
      <bottom style="medium">
        <color rgb="FF0070C0"/>
      </bottom>
      <diagonal/>
    </border>
    <border>
      <left style="thin">
        <color rgb="FF337AB7"/>
      </left>
      <right/>
      <top style="thin">
        <color rgb="FF337AB7"/>
      </top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medium">
        <color rgb="FF0070C0"/>
      </bottom>
      <diagonal/>
    </border>
  </borders>
  <cellStyleXfs count="115">
    <xf numFmtId="0" fontId="0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7" fillId="0" borderId="0" applyNumberFormat="0" applyFill="0" applyBorder="0" applyAlignment="0" applyProtection="0">
      <alignment vertical="top"/>
      <protection locked="0"/>
    </xf>
    <xf numFmtId="164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0" fontId="42" fillId="0" borderId="0"/>
    <xf numFmtId="0" fontId="28" fillId="0" borderId="0"/>
    <xf numFmtId="0" fontId="39" fillId="0" borderId="0"/>
    <xf numFmtId="0" fontId="30" fillId="0" borderId="0"/>
    <xf numFmtId="0" fontId="30" fillId="0" borderId="0"/>
    <xf numFmtId="0" fontId="27" fillId="0" borderId="0"/>
    <xf numFmtId="43" fontId="42" fillId="0" borderId="0" applyFont="0" applyFill="0" applyBorder="0" applyAlignment="0" applyProtection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0" fontId="39" fillId="0" borderId="0"/>
    <xf numFmtId="0" fontId="25" fillId="0" borderId="0"/>
    <xf numFmtId="0" fontId="30" fillId="0" borderId="0"/>
    <xf numFmtId="0" fontId="56" fillId="0" borderId="0" applyNumberFormat="0" applyFill="0" applyBorder="0" applyAlignment="0" applyProtection="0"/>
    <xf numFmtId="0" fontId="24" fillId="0" borderId="0"/>
    <xf numFmtId="0" fontId="68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16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746">
    <xf numFmtId="0" fontId="0" fillId="0" borderId="0" xfId="0"/>
    <xf numFmtId="0" fontId="0" fillId="2" borderId="0" xfId="0" applyFill="1"/>
    <xf numFmtId="0" fontId="30" fillId="2" borderId="0" xfId="0" applyFont="1" applyFill="1"/>
    <xf numFmtId="0" fontId="39" fillId="2" borderId="0" xfId="13" applyFill="1"/>
    <xf numFmtId="0" fontId="35" fillId="2" borderId="0" xfId="2" applyFont="1" applyFill="1"/>
    <xf numFmtId="0" fontId="35" fillId="2" borderId="0" xfId="2" applyFont="1" applyFill="1" applyAlignment="1">
      <alignment horizontal="left" vertical="center"/>
    </xf>
    <xf numFmtId="0" fontId="35" fillId="2" borderId="3" xfId="2" applyFont="1" applyFill="1" applyBorder="1"/>
    <xf numFmtId="0" fontId="36" fillId="2" borderId="1" xfId="2" applyFont="1" applyFill="1" applyBorder="1" applyAlignment="1">
      <alignment vertical="center"/>
    </xf>
    <xf numFmtId="0" fontId="36" fillId="2" borderId="0" xfId="2" applyFont="1" applyFill="1"/>
    <xf numFmtId="0" fontId="38" fillId="2" borderId="0" xfId="14" applyFont="1" applyFill="1" applyAlignment="1">
      <alignment horizontal="left" vertical="center"/>
    </xf>
    <xf numFmtId="0" fontId="45" fillId="6" borderId="0" xfId="0" applyFont="1" applyFill="1" applyAlignment="1">
      <alignment vertical="center"/>
    </xf>
    <xf numFmtId="0" fontId="35" fillId="2" borderId="1" xfId="2" applyFont="1" applyFill="1" applyBorder="1" applyAlignment="1">
      <alignment horizontal="left" indent="1"/>
    </xf>
    <xf numFmtId="2" fontId="35" fillId="2" borderId="1" xfId="2" applyNumberFormat="1" applyFont="1" applyFill="1" applyBorder="1" applyAlignment="1">
      <alignment horizontal="right" vertical="center"/>
    </xf>
    <xf numFmtId="0" fontId="47" fillId="0" borderId="0" xfId="11" applyFont="1"/>
    <xf numFmtId="0" fontId="49" fillId="0" borderId="0" xfId="11" applyFont="1" applyAlignment="1">
      <alignment vertical="center" readingOrder="1"/>
    </xf>
    <xf numFmtId="0" fontId="47" fillId="4" borderId="5" xfId="11" applyFont="1" applyFill="1" applyBorder="1"/>
    <xf numFmtId="0" fontId="47" fillId="4" borderId="1" xfId="11" applyFont="1" applyFill="1" applyBorder="1"/>
    <xf numFmtId="0" fontId="49" fillId="4" borderId="1" xfId="11" applyFont="1" applyFill="1" applyBorder="1" applyAlignment="1">
      <alignment horizontal="right"/>
    </xf>
    <xf numFmtId="0" fontId="49" fillId="4" borderId="0" xfId="11" applyFont="1" applyFill="1"/>
    <xf numFmtId="0" fontId="47" fillId="4" borderId="0" xfId="11" applyFont="1" applyFill="1"/>
    <xf numFmtId="0" fontId="35" fillId="2" borderId="0" xfId="2" applyFont="1" applyFill="1" applyAlignment="1">
      <alignment horizontal="left" vertical="top" justifyLastLine="1"/>
    </xf>
    <xf numFmtId="0" fontId="39" fillId="2" borderId="0" xfId="27" applyFill="1"/>
    <xf numFmtId="0" fontId="33" fillId="2" borderId="0" xfId="27" applyFont="1" applyFill="1"/>
    <xf numFmtId="0" fontId="35" fillId="5" borderId="0" xfId="2" applyFont="1" applyFill="1" applyAlignment="1">
      <alignment vertical="center"/>
    </xf>
    <xf numFmtId="0" fontId="35" fillId="2" borderId="0" xfId="2" applyFont="1" applyFill="1" applyAlignment="1">
      <alignment horizontal="left" indent="1"/>
    </xf>
    <xf numFmtId="0" fontId="36" fillId="2" borderId="0" xfId="14" applyFont="1" applyFill="1" applyAlignment="1">
      <alignment horizontal="left" vertical="center"/>
    </xf>
    <xf numFmtId="0" fontId="36" fillId="0" borderId="3" xfId="11" applyFont="1" applyBorder="1" applyAlignment="1">
      <alignment horizontal="center" vertical="center" wrapText="1"/>
    </xf>
    <xf numFmtId="0" fontId="35" fillId="0" borderId="0" xfId="11" applyFont="1" applyAlignment="1">
      <alignment vertical="center" readingOrder="1"/>
    </xf>
    <xf numFmtId="0" fontId="52" fillId="4" borderId="5" xfId="11" applyFont="1" applyFill="1" applyBorder="1"/>
    <xf numFmtId="0" fontId="52" fillId="4" borderId="1" xfId="11" applyFont="1" applyFill="1" applyBorder="1"/>
    <xf numFmtId="0" fontId="35" fillId="4" borderId="1" xfId="11" applyFont="1" applyFill="1" applyBorder="1" applyAlignment="1">
      <alignment horizontal="right"/>
    </xf>
    <xf numFmtId="0" fontId="54" fillId="6" borderId="0" xfId="0" applyFont="1" applyFill="1" applyAlignment="1">
      <alignment vertical="center"/>
    </xf>
    <xf numFmtId="0" fontId="36" fillId="6" borderId="2" xfId="0" applyFont="1" applyFill="1" applyBorder="1" applyAlignment="1">
      <alignment vertical="center" wrapText="1"/>
    </xf>
    <xf numFmtId="0" fontId="30" fillId="2" borderId="0" xfId="13" applyFont="1" applyFill="1"/>
    <xf numFmtId="0" fontId="30" fillId="2" borderId="3" xfId="13" applyFont="1" applyFill="1" applyBorder="1"/>
    <xf numFmtId="0" fontId="30" fillId="2" borderId="1" xfId="13" applyFont="1" applyFill="1" applyBorder="1"/>
    <xf numFmtId="0" fontId="36" fillId="2" borderId="4" xfId="11" applyFont="1" applyFill="1" applyBorder="1" applyAlignment="1" applyProtection="1">
      <alignment vertical="center" wrapText="1" readingOrder="1"/>
      <protection locked="0"/>
    </xf>
    <xf numFmtId="0" fontId="35" fillId="2" borderId="0" xfId="13" applyFont="1" applyFill="1"/>
    <xf numFmtId="0" fontId="35" fillId="2" borderId="1" xfId="13" applyFont="1" applyFill="1" applyBorder="1"/>
    <xf numFmtId="0" fontId="30" fillId="2" borderId="0" xfId="27" applyFont="1" applyFill="1"/>
    <xf numFmtId="0" fontId="30" fillId="2" borderId="3" xfId="27" applyFont="1" applyFill="1" applyBorder="1"/>
    <xf numFmtId="0" fontId="30" fillId="2" borderId="2" xfId="27" applyFont="1" applyFill="1" applyBorder="1"/>
    <xf numFmtId="0" fontId="35" fillId="2" borderId="2" xfId="27" applyFont="1" applyFill="1" applyBorder="1" applyAlignment="1">
      <alignment horizontal="center" vertical="center"/>
    </xf>
    <xf numFmtId="0" fontId="36" fillId="2" borderId="0" xfId="11" applyFont="1" applyFill="1" applyAlignment="1" applyProtection="1">
      <alignment vertical="center" wrapText="1" readingOrder="1"/>
      <protection locked="0"/>
    </xf>
    <xf numFmtId="0" fontId="35" fillId="2" borderId="0" xfId="27" applyFont="1" applyFill="1"/>
    <xf numFmtId="0" fontId="35" fillId="2" borderId="1" xfId="27" applyFont="1" applyFill="1" applyBorder="1"/>
    <xf numFmtId="0" fontId="30" fillId="2" borderId="3" xfId="0" applyFont="1" applyFill="1" applyBorder="1"/>
    <xf numFmtId="0" fontId="30" fillId="2" borderId="1" xfId="0" applyFont="1" applyFill="1" applyBorder="1"/>
    <xf numFmtId="0" fontId="58" fillId="2" borderId="0" xfId="27" applyFont="1" applyFill="1"/>
    <xf numFmtId="0" fontId="55" fillId="2" borderId="0" xfId="2" applyFont="1" applyFill="1"/>
    <xf numFmtId="0" fontId="55" fillId="2" borderId="0" xfId="2" applyFont="1" applyFill="1" applyAlignment="1">
      <alignment horizontal="left" vertical="center"/>
    </xf>
    <xf numFmtId="0" fontId="55" fillId="0" borderId="0" xfId="0" applyFont="1"/>
    <xf numFmtId="0" fontId="58" fillId="2" borderId="0" xfId="13" applyFont="1" applyFill="1"/>
    <xf numFmtId="0" fontId="59" fillId="2" borderId="0" xfId="13" applyFont="1" applyFill="1"/>
    <xf numFmtId="0" fontId="55" fillId="2" borderId="0" xfId="0" applyFont="1" applyFill="1"/>
    <xf numFmtId="0" fontId="55" fillId="2" borderId="0" xfId="13" applyFont="1" applyFill="1"/>
    <xf numFmtId="0" fontId="55" fillId="2" borderId="0" xfId="27" applyFont="1" applyFill="1"/>
    <xf numFmtId="0" fontId="61" fillId="2" borderId="0" xfId="6" applyNumberFormat="1" applyFont="1" applyFill="1" applyBorder="1" applyAlignment="1" applyProtection="1">
      <alignment horizontal="right" vertical="center"/>
    </xf>
    <xf numFmtId="0" fontId="63" fillId="0" borderId="0" xfId="11" applyFont="1"/>
    <xf numFmtId="0" fontId="57" fillId="0" borderId="0" xfId="31" applyFont="1"/>
    <xf numFmtId="0" fontId="65" fillId="0" borderId="0" xfId="31" applyFont="1"/>
    <xf numFmtId="0" fontId="67" fillId="0" borderId="0" xfId="31" applyFont="1" applyFill="1" applyAlignment="1">
      <alignment horizontal="center" vertical="center"/>
    </xf>
    <xf numFmtId="0" fontId="67" fillId="0" borderId="0" xfId="31" applyFont="1" applyFill="1" applyAlignment="1">
      <alignment vertical="center"/>
    </xf>
    <xf numFmtId="0" fontId="57" fillId="0" borderId="0" xfId="31" applyFont="1" applyFill="1"/>
    <xf numFmtId="17" fontId="31" fillId="0" borderId="0" xfId="31" quotePrefix="1" applyNumberFormat="1" applyFont="1"/>
    <xf numFmtId="0" fontId="39" fillId="0" borderId="0" xfId="31" applyFont="1"/>
    <xf numFmtId="0" fontId="67" fillId="8" borderId="6" xfId="31" applyFont="1" applyFill="1" applyBorder="1" applyAlignment="1">
      <alignment horizontal="center" vertical="center"/>
    </xf>
    <xf numFmtId="0" fontId="67" fillId="8" borderId="7" xfId="31" applyFont="1" applyFill="1" applyBorder="1" applyAlignment="1">
      <alignment horizontal="center" vertical="center"/>
    </xf>
    <xf numFmtId="0" fontId="71" fillId="0" borderId="10" xfId="30" applyFont="1" applyBorder="1" applyAlignment="1" applyProtection="1">
      <alignment horizontal="center" vertical="center"/>
    </xf>
    <xf numFmtId="0" fontId="71" fillId="0" borderId="15" xfId="30" applyFont="1" applyBorder="1" applyAlignment="1" applyProtection="1">
      <alignment horizontal="center" vertical="center"/>
    </xf>
    <xf numFmtId="0" fontId="71" fillId="0" borderId="19" xfId="30" applyFont="1" applyBorder="1" applyAlignment="1" applyProtection="1">
      <alignment horizontal="center" vertical="center"/>
    </xf>
    <xf numFmtId="0" fontId="55" fillId="2" borderId="0" xfId="0" applyFont="1" applyFill="1" applyAlignment="1">
      <alignment horizontal="right"/>
    </xf>
    <xf numFmtId="0" fontId="72" fillId="2" borderId="0" xfId="32" applyFont="1" applyFill="1" applyAlignment="1" applyProtection="1">
      <alignment horizontal="right"/>
    </xf>
    <xf numFmtId="0" fontId="36" fillId="6" borderId="1" xfId="0" applyFont="1" applyFill="1" applyBorder="1" applyAlignment="1">
      <alignment horizontal="right" vertical="center"/>
    </xf>
    <xf numFmtId="0" fontId="30" fillId="2" borderId="1" xfId="27" applyFont="1" applyFill="1" applyBorder="1" applyAlignment="1">
      <alignment horizontal="right"/>
    </xf>
    <xf numFmtId="0" fontId="35" fillId="2" borderId="1" xfId="27" applyFont="1" applyFill="1" applyBorder="1" applyAlignment="1">
      <alignment horizontal="right" vertical="center"/>
    </xf>
    <xf numFmtId="0" fontId="36" fillId="2" borderId="1" xfId="27" applyFont="1" applyFill="1" applyBorder="1" applyAlignment="1">
      <alignment horizontal="right" vertical="center"/>
    </xf>
    <xf numFmtId="0" fontId="36" fillId="2" borderId="0" xfId="13" applyFont="1" applyFill="1"/>
    <xf numFmtId="0" fontId="34" fillId="2" borderId="0" xfId="27" applyFont="1" applyFill="1"/>
    <xf numFmtId="0" fontId="36" fillId="2" borderId="0" xfId="0" applyFont="1" applyFill="1"/>
    <xf numFmtId="0" fontId="36" fillId="0" borderId="0" xfId="0" applyFont="1"/>
    <xf numFmtId="0" fontId="35" fillId="2" borderId="0" xfId="0" applyFont="1" applyFill="1"/>
    <xf numFmtId="0" fontId="35" fillId="0" borderId="0" xfId="0" applyFont="1"/>
    <xf numFmtId="167" fontId="36" fillId="2" borderId="0" xfId="2" applyNumberFormat="1" applyFont="1" applyFill="1"/>
    <xf numFmtId="167" fontId="34" fillId="2" borderId="0" xfId="27" applyNumberFormat="1" applyFont="1" applyFill="1"/>
    <xf numFmtId="167" fontId="36" fillId="0" borderId="0" xfId="2" applyNumberFormat="1" applyFont="1" applyAlignment="1">
      <alignment horizontal="right" vertical="center"/>
    </xf>
    <xf numFmtId="167" fontId="33" fillId="2" borderId="0" xfId="27" applyNumberFormat="1" applyFont="1" applyFill="1"/>
    <xf numFmtId="167" fontId="36" fillId="2" borderId="0" xfId="2" applyNumberFormat="1" applyFont="1" applyFill="1" applyAlignment="1">
      <alignment horizontal="right" vertical="center"/>
    </xf>
    <xf numFmtId="167" fontId="36" fillId="2" borderId="0" xfId="13" applyNumberFormat="1" applyFont="1" applyFill="1"/>
    <xf numFmtId="167" fontId="35" fillId="2" borderId="0" xfId="2" applyNumberFormat="1" applyFont="1" applyFill="1" applyAlignment="1">
      <alignment horizontal="right" vertical="center"/>
    </xf>
    <xf numFmtId="167" fontId="35" fillId="2" borderId="0" xfId="13" applyNumberFormat="1" applyFont="1" applyFill="1"/>
    <xf numFmtId="167" fontId="36" fillId="2" borderId="4" xfId="11" applyNumberFormat="1" applyFont="1" applyFill="1" applyBorder="1" applyAlignment="1" applyProtection="1">
      <alignment vertical="center" wrapText="1" readingOrder="1"/>
      <protection locked="0"/>
    </xf>
    <xf numFmtId="167" fontId="34" fillId="2" borderId="0" xfId="13" applyNumberFormat="1" applyFont="1" applyFill="1"/>
    <xf numFmtId="167" fontId="33" fillId="2" borderId="0" xfId="13" applyNumberFormat="1" applyFont="1" applyFill="1"/>
    <xf numFmtId="167" fontId="36" fillId="6" borderId="0" xfId="0" applyNumberFormat="1" applyFont="1" applyFill="1"/>
    <xf numFmtId="167" fontId="35" fillId="6" borderId="0" xfId="0" applyNumberFormat="1" applyFont="1" applyFill="1" applyAlignment="1">
      <alignment horizontal="left" indent="1"/>
    </xf>
    <xf numFmtId="167" fontId="46" fillId="6" borderId="0" xfId="0" applyNumberFormat="1" applyFont="1" applyFill="1"/>
    <xf numFmtId="167" fontId="36" fillId="0" borderId="4" xfId="11" applyNumberFormat="1" applyFont="1" applyBorder="1" applyAlignment="1" applyProtection="1">
      <alignment vertical="center" wrapText="1" readingOrder="1"/>
      <protection locked="0"/>
    </xf>
    <xf numFmtId="167" fontId="43" fillId="0" borderId="0" xfId="11" applyNumberFormat="1" applyFont="1" applyAlignment="1">
      <alignment vertical="center" readingOrder="1"/>
    </xf>
    <xf numFmtId="167" fontId="49" fillId="0" borderId="0" xfId="11" applyNumberFormat="1" applyFont="1" applyAlignment="1">
      <alignment vertical="center" readingOrder="1"/>
    </xf>
    <xf numFmtId="167" fontId="36" fillId="0" borderId="0" xfId="17" applyNumberFormat="1" applyFont="1" applyAlignment="1">
      <alignment horizontal="right" vertical="center" readingOrder="1"/>
    </xf>
    <xf numFmtId="167" fontId="36" fillId="0" borderId="0" xfId="17" applyNumberFormat="1" applyFont="1" applyFill="1" applyAlignment="1">
      <alignment horizontal="right" vertical="center" readingOrder="1"/>
    </xf>
    <xf numFmtId="167" fontId="43" fillId="0" borderId="4" xfId="11" applyNumberFormat="1" applyFont="1" applyBorder="1" applyAlignment="1" applyProtection="1">
      <alignment vertical="center" wrapText="1" readingOrder="1"/>
      <protection locked="0"/>
    </xf>
    <xf numFmtId="167" fontId="43" fillId="0" borderId="0" xfId="11" applyNumberFormat="1" applyFont="1"/>
    <xf numFmtId="167" fontId="49" fillId="0" borderId="0" xfId="11" applyNumberFormat="1" applyFont="1"/>
    <xf numFmtId="168" fontId="35" fillId="4" borderId="1" xfId="11" applyNumberFormat="1" applyFont="1" applyFill="1" applyBorder="1" applyAlignment="1">
      <alignment horizontal="right"/>
    </xf>
    <xf numFmtId="168" fontId="36" fillId="0" borderId="0" xfId="17" applyNumberFormat="1" applyFont="1" applyFill="1" applyAlignment="1">
      <alignment horizontal="right" vertical="center" readingOrder="1"/>
    </xf>
    <xf numFmtId="168" fontId="36" fillId="0" borderId="0" xfId="17" applyNumberFormat="1" applyFont="1" applyBorder="1" applyAlignment="1">
      <alignment horizontal="right" vertical="center" readingOrder="1"/>
    </xf>
    <xf numFmtId="168" fontId="36" fillId="0" borderId="0" xfId="2" applyNumberFormat="1" applyFont="1" applyAlignment="1">
      <alignment horizontal="right" vertical="center"/>
    </xf>
    <xf numFmtId="0" fontId="50" fillId="6" borderId="0" xfId="0" applyFont="1" applyFill="1" applyAlignment="1">
      <alignment horizontal="left" vertical="top"/>
    </xf>
    <xf numFmtId="167" fontId="35" fillId="0" borderId="0" xfId="17" applyNumberFormat="1" applyFont="1" applyAlignment="1">
      <alignment horizontal="right" vertical="center" readingOrder="1"/>
    </xf>
    <xf numFmtId="167" fontId="35" fillId="0" borderId="0" xfId="17" applyNumberFormat="1" applyFont="1" applyFill="1" applyAlignment="1">
      <alignment horizontal="right" vertical="center" readingOrder="1"/>
    </xf>
    <xf numFmtId="167" fontId="49" fillId="0" borderId="0" xfId="17" applyNumberFormat="1" applyFont="1" applyAlignment="1">
      <alignment horizontal="right" vertical="center" readingOrder="1"/>
    </xf>
    <xf numFmtId="167" fontId="49" fillId="0" borderId="0" xfId="17" applyNumberFormat="1" applyFont="1" applyFill="1" applyAlignment="1">
      <alignment horizontal="right" vertical="center" readingOrder="1"/>
    </xf>
    <xf numFmtId="167" fontId="36" fillId="0" borderId="0" xfId="11" applyNumberFormat="1" applyFont="1" applyAlignment="1">
      <alignment horizontal="right" vertical="center" readingOrder="1"/>
    </xf>
    <xf numFmtId="167" fontId="35" fillId="0" borderId="0" xfId="11" applyNumberFormat="1" applyFont="1" applyAlignment="1">
      <alignment horizontal="right" vertical="center" readingOrder="1"/>
    </xf>
    <xf numFmtId="168" fontId="35" fillId="0" borderId="0" xfId="11" applyNumberFormat="1" applyFont="1" applyAlignment="1">
      <alignment horizontal="right" vertical="center" readingOrder="1"/>
    </xf>
    <xf numFmtId="0" fontId="35" fillId="2" borderId="0" xfId="2" applyFont="1" applyFill="1" applyAlignment="1">
      <alignment horizontal="right" vertical="center"/>
    </xf>
    <xf numFmtId="0" fontId="30" fillId="2" borderId="0" xfId="13" applyFont="1" applyFill="1" applyAlignment="1">
      <alignment horizontal="right"/>
    </xf>
    <xf numFmtId="167" fontId="36" fillId="2" borderId="0" xfId="13" applyNumberFormat="1" applyFont="1" applyFill="1" applyAlignment="1">
      <alignment horizontal="right"/>
    </xf>
    <xf numFmtId="168" fontId="35" fillId="2" borderId="0" xfId="13" applyNumberFormat="1" applyFont="1" applyFill="1" applyAlignment="1">
      <alignment horizontal="right"/>
    </xf>
    <xf numFmtId="167" fontId="35" fillId="2" borderId="0" xfId="13" applyNumberFormat="1" applyFont="1" applyFill="1" applyAlignment="1">
      <alignment horizontal="right"/>
    </xf>
    <xf numFmtId="0" fontId="30" fillId="2" borderId="1" xfId="13" applyFont="1" applyFill="1" applyBorder="1" applyAlignment="1">
      <alignment horizontal="right"/>
    </xf>
    <xf numFmtId="0" fontId="35" fillId="2" borderId="0" xfId="2" applyFont="1" applyFill="1" applyAlignment="1">
      <alignment horizontal="right"/>
    </xf>
    <xf numFmtId="0" fontId="30" fillId="2" borderId="0" xfId="27" applyFont="1" applyFill="1" applyAlignment="1">
      <alignment horizontal="right"/>
    </xf>
    <xf numFmtId="167" fontId="36" fillId="2" borderId="0" xfId="2" applyNumberFormat="1" applyFont="1" applyFill="1" applyAlignment="1">
      <alignment horizontal="right"/>
    </xf>
    <xf numFmtId="167" fontId="36" fillId="0" borderId="0" xfId="27" applyNumberFormat="1" applyFont="1" applyAlignment="1">
      <alignment horizontal="right"/>
    </xf>
    <xf numFmtId="167" fontId="36" fillId="2" borderId="0" xfId="27" applyNumberFormat="1" applyFont="1" applyFill="1" applyAlignment="1">
      <alignment horizontal="right"/>
    </xf>
    <xf numFmtId="167" fontId="35" fillId="0" borderId="0" xfId="27" applyNumberFormat="1" applyFont="1" applyAlignment="1">
      <alignment horizontal="right"/>
    </xf>
    <xf numFmtId="167" fontId="35" fillId="2" borderId="0" xfId="27" applyNumberFormat="1" applyFont="1" applyFill="1" applyAlignment="1">
      <alignment horizontal="right"/>
    </xf>
    <xf numFmtId="0" fontId="35" fillId="2" borderId="1" xfId="27" applyFont="1" applyFill="1" applyBorder="1" applyAlignment="1">
      <alignment horizontal="right"/>
    </xf>
    <xf numFmtId="0" fontId="30" fillId="2" borderId="0" xfId="0" applyFont="1" applyFill="1" applyAlignment="1">
      <alignment horizontal="right"/>
    </xf>
    <xf numFmtId="0" fontId="35" fillId="2" borderId="1" xfId="13" applyFont="1" applyFill="1" applyBorder="1" applyAlignment="1">
      <alignment horizontal="right"/>
    </xf>
    <xf numFmtId="167" fontId="43" fillId="0" borderId="0" xfId="11" applyNumberFormat="1" applyFont="1" applyAlignment="1">
      <alignment horizontal="right" vertical="center"/>
    </xf>
    <xf numFmtId="167" fontId="49" fillId="0" borderId="0" xfId="11" applyNumberFormat="1" applyFont="1" applyAlignment="1">
      <alignment horizontal="right" vertical="center"/>
    </xf>
    <xf numFmtId="167" fontId="49" fillId="0" borderId="0" xfId="17" applyNumberFormat="1" applyFont="1" applyAlignment="1">
      <alignment horizontal="right" vertical="center"/>
    </xf>
    <xf numFmtId="167" fontId="49" fillId="0" borderId="0" xfId="17" applyNumberFormat="1" applyFont="1" applyFill="1" applyAlignment="1">
      <alignment horizontal="right" vertical="center"/>
    </xf>
    <xf numFmtId="167" fontId="36" fillId="0" borderId="0" xfId="11" applyNumberFormat="1" applyFont="1" applyAlignment="1">
      <alignment horizontal="right" vertical="center"/>
    </xf>
    <xf numFmtId="0" fontId="49" fillId="4" borderId="1" xfId="11" applyFont="1" applyFill="1" applyBorder="1" applyAlignment="1">
      <alignment horizontal="right" vertical="center"/>
    </xf>
    <xf numFmtId="167" fontId="35" fillId="0" borderId="0" xfId="17" applyNumberFormat="1" applyFont="1" applyAlignment="1">
      <alignment horizontal="right" vertical="center"/>
    </xf>
    <xf numFmtId="167" fontId="35" fillId="0" borderId="0" xfId="17" applyNumberFormat="1" applyFont="1" applyFill="1" applyAlignment="1">
      <alignment horizontal="right" vertical="center"/>
    </xf>
    <xf numFmtId="167" fontId="35" fillId="9" borderId="0" xfId="13" applyNumberFormat="1" applyFont="1" applyFill="1" applyAlignment="1">
      <alignment horizontal="right"/>
    </xf>
    <xf numFmtId="168" fontId="35" fillId="9" borderId="0" xfId="13" applyNumberFormat="1" applyFont="1" applyFill="1" applyAlignment="1">
      <alignment horizontal="right"/>
    </xf>
    <xf numFmtId="167" fontId="35" fillId="9" borderId="0" xfId="27" applyNumberFormat="1" applyFont="1" applyFill="1" applyAlignment="1">
      <alignment horizontal="right"/>
    </xf>
    <xf numFmtId="168" fontId="35" fillId="9" borderId="0" xfId="2" applyNumberFormat="1" applyFont="1" applyFill="1" applyAlignment="1">
      <alignment horizontal="right" vertical="center"/>
    </xf>
    <xf numFmtId="166" fontId="35" fillId="2" borderId="0" xfId="2" applyNumberFormat="1" applyFont="1" applyFill="1" applyAlignment="1">
      <alignment horizontal="right"/>
    </xf>
    <xf numFmtId="0" fontId="35" fillId="6" borderId="0" xfId="0" applyFont="1" applyFill="1" applyAlignment="1">
      <alignment horizontal="left" vertical="top"/>
    </xf>
    <xf numFmtId="0" fontId="52" fillId="0" borderId="0" xfId="11" applyFont="1"/>
    <xf numFmtId="169" fontId="36" fillId="0" borderId="0" xfId="11" applyNumberFormat="1" applyFont="1" applyAlignment="1">
      <alignment horizontal="right" vertical="center" readingOrder="1"/>
    </xf>
    <xf numFmtId="169" fontId="35" fillId="0" borderId="0" xfId="17" applyNumberFormat="1" applyFont="1" applyFill="1" applyAlignment="1">
      <alignment horizontal="right" vertical="center"/>
    </xf>
    <xf numFmtId="169" fontId="35" fillId="0" borderId="0" xfId="11" applyNumberFormat="1" applyFont="1" applyAlignment="1">
      <alignment horizontal="right" vertical="center" readingOrder="1"/>
    </xf>
    <xf numFmtId="169" fontId="35" fillId="0" borderId="0" xfId="17" applyNumberFormat="1" applyFont="1" applyBorder="1" applyAlignment="1">
      <alignment horizontal="right" vertical="center"/>
    </xf>
    <xf numFmtId="169" fontId="35" fillId="0" borderId="0" xfId="17" applyNumberFormat="1" applyFont="1" applyAlignment="1">
      <alignment horizontal="right" vertical="center"/>
    </xf>
    <xf numFmtId="0" fontId="36" fillId="0" borderId="3" xfId="11" applyFont="1" applyBorder="1" applyAlignment="1">
      <alignment horizontal="left" vertical="center" wrapText="1"/>
    </xf>
    <xf numFmtId="0" fontId="36" fillId="0" borderId="1" xfId="11" applyFont="1" applyBorder="1" applyAlignment="1">
      <alignment horizontal="left" vertical="center" wrapText="1"/>
    </xf>
    <xf numFmtId="0" fontId="36" fillId="0" borderId="3" xfId="11" applyFont="1" applyBorder="1" applyAlignment="1">
      <alignment horizontal="right" vertical="center" wrapText="1"/>
    </xf>
    <xf numFmtId="0" fontId="36" fillId="0" borderId="1" xfId="11" applyFont="1" applyBorder="1" applyAlignment="1">
      <alignment horizontal="right" vertical="center" wrapText="1"/>
    </xf>
    <xf numFmtId="0" fontId="41" fillId="0" borderId="0" xfId="11" applyFont="1" applyAlignment="1">
      <alignment vertical="top"/>
    </xf>
    <xf numFmtId="0" fontId="41" fillId="0" borderId="0" xfId="11" applyFont="1" applyAlignment="1">
      <alignment vertical="top" wrapText="1"/>
    </xf>
    <xf numFmtId="0" fontId="35" fillId="0" borderId="0" xfId="11" applyFont="1" applyAlignment="1">
      <alignment horizontal="right" vertical="top"/>
    </xf>
    <xf numFmtId="0" fontId="36" fillId="0" borderId="0" xfId="11" applyFont="1" applyAlignment="1">
      <alignment horizontal="left" vertical="center" wrapText="1"/>
    </xf>
    <xf numFmtId="0" fontId="36" fillId="0" borderId="0" xfId="11" applyFont="1" applyAlignment="1">
      <alignment horizontal="right" vertical="center" wrapText="1"/>
    </xf>
    <xf numFmtId="0" fontId="35" fillId="4" borderId="0" xfId="11" applyFont="1" applyFill="1"/>
    <xf numFmtId="0" fontId="35" fillId="4" borderId="0" xfId="11" applyFont="1" applyFill="1" applyAlignment="1">
      <alignment horizontal="right" vertical="center"/>
    </xf>
    <xf numFmtId="167" fontId="36" fillId="0" borderId="0" xfId="11" applyNumberFormat="1" applyFont="1" applyAlignment="1" applyProtection="1">
      <alignment vertical="center" wrapText="1" readingOrder="1"/>
      <protection locked="0"/>
    </xf>
    <xf numFmtId="167" fontId="35" fillId="0" borderId="0" xfId="11" applyNumberFormat="1" applyFont="1" applyAlignment="1" applyProtection="1">
      <alignment vertical="center" wrapText="1" readingOrder="1"/>
      <protection locked="0"/>
    </xf>
    <xf numFmtId="167" fontId="49" fillId="0" borderId="0" xfId="11" applyNumberFormat="1" applyFont="1" applyAlignment="1" applyProtection="1">
      <alignment vertical="center" wrapText="1" readingOrder="1"/>
      <protection locked="0"/>
    </xf>
    <xf numFmtId="0" fontId="49" fillId="4" borderId="0" xfId="11" applyFont="1" applyFill="1" applyAlignment="1">
      <alignment horizontal="right"/>
    </xf>
    <xf numFmtId="169" fontId="36" fillId="0" borderId="0" xfId="11" applyNumberFormat="1" applyFont="1" applyAlignment="1">
      <alignment horizontal="right" vertical="center"/>
    </xf>
    <xf numFmtId="169" fontId="35" fillId="0" borderId="0" xfId="17" applyNumberFormat="1" applyFont="1" applyFill="1" applyAlignment="1">
      <alignment horizontal="right" vertical="center" readingOrder="1"/>
    </xf>
    <xf numFmtId="169" fontId="35" fillId="0" borderId="0" xfId="17" applyNumberFormat="1" applyFont="1" applyBorder="1" applyAlignment="1">
      <alignment horizontal="right" vertical="center" readingOrder="1"/>
    </xf>
    <xf numFmtId="169" fontId="35" fillId="0" borderId="0" xfId="17" applyNumberFormat="1" applyFont="1" applyAlignment="1">
      <alignment horizontal="right" vertical="center" readingOrder="1"/>
    </xf>
    <xf numFmtId="169" fontId="49" fillId="0" borderId="0" xfId="17" applyNumberFormat="1" applyFont="1" applyFill="1" applyAlignment="1">
      <alignment horizontal="right" vertical="center" readingOrder="1"/>
    </xf>
    <xf numFmtId="169" fontId="49" fillId="0" borderId="0" xfId="17" applyNumberFormat="1" applyFont="1" applyBorder="1" applyAlignment="1">
      <alignment horizontal="right" vertical="center" readingOrder="1"/>
    </xf>
    <xf numFmtId="169" fontId="49" fillId="0" borderId="0" xfId="17" applyNumberFormat="1" applyFont="1" applyAlignment="1">
      <alignment horizontal="right" vertical="center" readingOrder="1"/>
    </xf>
    <xf numFmtId="0" fontId="36" fillId="0" borderId="3" xfId="11" applyFont="1" applyBorder="1" applyAlignment="1">
      <alignment horizontal="left" vertical="center" wrapText="1"/>
    </xf>
    <xf numFmtId="0" fontId="36" fillId="0" borderId="1" xfId="11" applyFont="1" applyBorder="1" applyAlignment="1">
      <alignment horizontal="left" vertical="center" wrapText="1"/>
    </xf>
    <xf numFmtId="0" fontId="36" fillId="0" borderId="3" xfId="11" applyFont="1" applyBorder="1" applyAlignment="1">
      <alignment horizontal="right" vertical="center" wrapText="1"/>
    </xf>
    <xf numFmtId="0" fontId="36" fillId="0" borderId="1" xfId="11" applyFont="1" applyBorder="1" applyAlignment="1">
      <alignment horizontal="right" vertical="center" wrapText="1"/>
    </xf>
    <xf numFmtId="0" fontId="36" fillId="0" borderId="0" xfId="11" applyFont="1" applyAlignment="1">
      <alignment horizontal="left" vertical="center" wrapText="1"/>
    </xf>
    <xf numFmtId="0" fontId="36" fillId="0" borderId="0" xfId="11" applyFont="1" applyAlignment="1">
      <alignment horizontal="right" vertical="center" wrapText="1"/>
    </xf>
    <xf numFmtId="0" fontId="32" fillId="0" borderId="0" xfId="54" applyFont="1"/>
    <xf numFmtId="0" fontId="38" fillId="0" borderId="0" xfId="11" applyFont="1" applyAlignment="1">
      <alignment vertical="top" wrapText="1"/>
    </xf>
    <xf numFmtId="0" fontId="35" fillId="4" borderId="0" xfId="11" applyFont="1" applyFill="1" applyAlignment="1">
      <alignment horizontal="right"/>
    </xf>
    <xf numFmtId="167" fontId="35" fillId="2" borderId="0" xfId="11" applyNumberFormat="1" applyFont="1" applyFill="1" applyAlignment="1">
      <alignment horizontal="left" indent="1" readingOrder="1"/>
    </xf>
    <xf numFmtId="167" fontId="35" fillId="2" borderId="0" xfId="0" applyNumberFormat="1" applyFont="1" applyFill="1"/>
    <xf numFmtId="167" fontId="35" fillId="0" borderId="0" xfId="11" applyNumberFormat="1" applyFont="1" applyAlignment="1">
      <alignment horizontal="left" indent="1" readingOrder="1"/>
    </xf>
    <xf numFmtId="0" fontId="43" fillId="0" borderId="3" xfId="11" applyFont="1" applyBorder="1" applyAlignment="1">
      <alignment horizontal="left" vertical="center" wrapText="1"/>
    </xf>
    <xf numFmtId="0" fontId="43" fillId="0" borderId="1" xfId="11" applyFont="1" applyBorder="1" applyAlignment="1">
      <alignment horizontal="left" vertical="center" wrapText="1"/>
    </xf>
    <xf numFmtId="0" fontId="43" fillId="0" borderId="3" xfId="11" applyFont="1" applyBorder="1" applyAlignment="1">
      <alignment horizontal="right" vertical="center" wrapText="1"/>
    </xf>
    <xf numFmtId="0" fontId="43" fillId="0" borderId="1" xfId="11" applyFont="1" applyBorder="1" applyAlignment="1">
      <alignment horizontal="right" vertical="center" wrapText="1"/>
    </xf>
    <xf numFmtId="0" fontId="34" fillId="0" borderId="3" xfId="11" applyFont="1" applyBorder="1" applyAlignment="1">
      <alignment horizontal="right" vertical="center" wrapText="1"/>
    </xf>
    <xf numFmtId="0" fontId="34" fillId="0" borderId="1" xfId="11" applyFont="1" applyBorder="1" applyAlignment="1">
      <alignment horizontal="right" vertical="center" wrapText="1"/>
    </xf>
    <xf numFmtId="0" fontId="32" fillId="0" borderId="0" xfId="55" applyFont="1"/>
    <xf numFmtId="0" fontId="36" fillId="0" borderId="3" xfId="11" applyFont="1" applyBorder="1" applyAlignment="1">
      <alignment horizontal="left" vertical="center" wrapText="1"/>
    </xf>
    <xf numFmtId="0" fontId="36" fillId="0" borderId="1" xfId="11" applyFont="1" applyBorder="1" applyAlignment="1">
      <alignment horizontal="left" vertical="center" wrapText="1"/>
    </xf>
    <xf numFmtId="0" fontId="36" fillId="0" borderId="3" xfId="11" applyFont="1" applyBorder="1" applyAlignment="1">
      <alignment horizontal="right" vertical="center" wrapText="1"/>
    </xf>
    <xf numFmtId="0" fontId="36" fillId="0" borderId="1" xfId="11" applyFont="1" applyBorder="1" applyAlignment="1">
      <alignment horizontal="right" vertical="center" wrapText="1"/>
    </xf>
    <xf numFmtId="0" fontId="38" fillId="0" borderId="0" xfId="11" applyFont="1" applyAlignment="1">
      <alignment horizontal="left" vertical="top" wrapText="1"/>
    </xf>
    <xf numFmtId="0" fontId="32" fillId="0" borderId="0" xfId="56" applyFont="1"/>
    <xf numFmtId="0" fontId="64" fillId="0" borderId="0" xfId="11" applyFont="1" applyAlignment="1">
      <alignment horizontal="left" vertical="top" wrapText="1"/>
    </xf>
    <xf numFmtId="0" fontId="48" fillId="0" borderId="0" xfId="11" applyFont="1" applyAlignment="1">
      <alignment vertical="top"/>
    </xf>
    <xf numFmtId="0" fontId="48" fillId="0" borderId="0" xfId="11" applyFont="1" applyAlignment="1">
      <alignment vertical="top" wrapText="1"/>
    </xf>
    <xf numFmtId="167" fontId="43" fillId="0" borderId="0" xfId="11" applyNumberFormat="1" applyFont="1" applyAlignment="1" applyProtection="1">
      <alignment vertical="center" wrapText="1" readingOrder="1"/>
      <protection locked="0"/>
    </xf>
    <xf numFmtId="169" fontId="49" fillId="0" borderId="0" xfId="17" applyNumberFormat="1" applyFont="1" applyFill="1" applyAlignment="1">
      <alignment horizontal="right" vertical="center"/>
    </xf>
    <xf numFmtId="169" fontId="49" fillId="0" borderId="0" xfId="11" applyNumberFormat="1" applyFont="1" applyAlignment="1">
      <alignment horizontal="right" vertical="center"/>
    </xf>
    <xf numFmtId="169" fontId="43" fillId="0" borderId="0" xfId="11" applyNumberFormat="1" applyFont="1" applyAlignment="1">
      <alignment horizontal="right" vertical="center"/>
    </xf>
    <xf numFmtId="169" fontId="49" fillId="0" borderId="0" xfId="17" applyNumberFormat="1" applyFont="1" applyBorder="1" applyAlignment="1">
      <alignment horizontal="right" vertical="center"/>
    </xf>
    <xf numFmtId="169" fontId="49" fillId="0" borderId="0" xfId="17" applyNumberFormat="1" applyFont="1" applyAlignment="1">
      <alignment horizontal="right" vertical="center"/>
    </xf>
    <xf numFmtId="0" fontId="46" fillId="6" borderId="3" xfId="0" applyFont="1" applyFill="1" applyBorder="1" applyAlignment="1">
      <alignment horizontal="left" vertical="center" wrapText="1"/>
    </xf>
    <xf numFmtId="0" fontId="46" fillId="6" borderId="1" xfId="0" applyFont="1" applyFill="1" applyBorder="1" applyAlignment="1">
      <alignment horizontal="left" vertical="center" wrapText="1"/>
    </xf>
    <xf numFmtId="0" fontId="32" fillId="0" borderId="0" xfId="57" applyFont="1"/>
    <xf numFmtId="0" fontId="32" fillId="0" borderId="0" xfId="58" applyFont="1"/>
    <xf numFmtId="0" fontId="58" fillId="0" borderId="0" xfId="58" applyFont="1"/>
    <xf numFmtId="0" fontId="58" fillId="0" borderId="0" xfId="58" applyFont="1" applyAlignment="1">
      <alignment horizontal="left"/>
    </xf>
    <xf numFmtId="0" fontId="62" fillId="2" borderId="0" xfId="59" applyFont="1" applyFill="1" applyAlignment="1">
      <alignment vertical="top"/>
    </xf>
    <xf numFmtId="0" fontId="16" fillId="0" borderId="1" xfId="58" applyBorder="1"/>
    <xf numFmtId="0" fontId="16" fillId="0" borderId="0" xfId="58" applyAlignment="1">
      <alignment horizontal="left"/>
    </xf>
    <xf numFmtId="0" fontId="16" fillId="0" borderId="0" xfId="58"/>
    <xf numFmtId="0" fontId="46" fillId="6" borderId="0" xfId="0" applyFont="1" applyFill="1" applyAlignment="1">
      <alignment horizontal="left" vertical="center" wrapText="1"/>
    </xf>
    <xf numFmtId="0" fontId="34" fillId="0" borderId="0" xfId="58" applyFont="1" applyAlignment="1">
      <alignment horizontal="left" vertical="center" wrapText="1"/>
    </xf>
    <xf numFmtId="167" fontId="34" fillId="0" borderId="0" xfId="58" applyNumberFormat="1" applyFont="1" applyAlignment="1">
      <alignment horizontal="right" vertical="center"/>
    </xf>
    <xf numFmtId="167" fontId="34" fillId="0" borderId="0" xfId="58" applyNumberFormat="1" applyFont="1"/>
    <xf numFmtId="167" fontId="33" fillId="0" borderId="0" xfId="58" applyNumberFormat="1" applyFont="1" applyAlignment="1">
      <alignment horizontal="right" vertical="center"/>
    </xf>
    <xf numFmtId="167" fontId="35" fillId="0" borderId="0" xfId="58" applyNumberFormat="1" applyFont="1" applyAlignment="1">
      <alignment horizontal="right" vertical="center"/>
    </xf>
    <xf numFmtId="167" fontId="33" fillId="0" borderId="0" xfId="58" applyNumberFormat="1" applyFont="1"/>
    <xf numFmtId="0" fontId="16" fillId="0" borderId="1" xfId="58" applyBorder="1" applyAlignment="1">
      <alignment horizontal="left"/>
    </xf>
    <xf numFmtId="166" fontId="35" fillId="0" borderId="1" xfId="58" applyNumberFormat="1" applyFont="1" applyBorder="1"/>
    <xf numFmtId="0" fontId="35" fillId="6" borderId="0" xfId="0" applyFont="1" applyFill="1" applyAlignment="1">
      <alignment horizontal="left" indent="1"/>
    </xf>
    <xf numFmtId="166" fontId="35" fillId="0" borderId="0" xfId="58" applyNumberFormat="1" applyFont="1"/>
    <xf numFmtId="169" fontId="35" fillId="0" borderId="0" xfId="58" applyNumberFormat="1" applyFont="1" applyAlignment="1">
      <alignment horizontal="right" vertical="center"/>
    </xf>
    <xf numFmtId="169" fontId="34" fillId="0" borderId="0" xfId="58" applyNumberFormat="1" applyFont="1" applyAlignment="1">
      <alignment horizontal="right" vertical="center"/>
    </xf>
    <xf numFmtId="0" fontId="32" fillId="0" borderId="0" xfId="61" applyFont="1"/>
    <xf numFmtId="0" fontId="58" fillId="0" borderId="0" xfId="61" applyFont="1"/>
    <xf numFmtId="0" fontId="58" fillId="0" borderId="0" xfId="61" applyFont="1" applyAlignment="1">
      <alignment horizontal="center"/>
    </xf>
    <xf numFmtId="0" fontId="58" fillId="0" borderId="0" xfId="61" applyFont="1" applyAlignment="1">
      <alignment horizontal="left"/>
    </xf>
    <xf numFmtId="0" fontId="55" fillId="2" borderId="0" xfId="61" applyFont="1" applyFill="1"/>
    <xf numFmtId="0" fontId="53" fillId="0" borderId="1" xfId="61" applyFont="1" applyBorder="1"/>
    <xf numFmtId="0" fontId="53" fillId="0" borderId="0" xfId="61" applyFont="1" applyAlignment="1">
      <alignment horizontal="left"/>
    </xf>
    <xf numFmtId="0" fontId="53" fillId="0" borderId="0" xfId="61" applyFont="1" applyAlignment="1">
      <alignment horizontal="center"/>
    </xf>
    <xf numFmtId="0" fontId="53" fillId="0" borderId="0" xfId="61" applyFont="1"/>
    <xf numFmtId="0" fontId="15" fillId="0" borderId="0" xfId="61"/>
    <xf numFmtId="0" fontId="36" fillId="2" borderId="3" xfId="61" applyFont="1" applyFill="1" applyBorder="1" applyAlignment="1">
      <alignment horizontal="center" vertical="center" wrapText="1"/>
    </xf>
    <xf numFmtId="0" fontId="36" fillId="2" borderId="0" xfId="61" applyFont="1" applyFill="1" applyAlignment="1">
      <alignment horizontal="center" vertical="center" wrapText="1"/>
    </xf>
    <xf numFmtId="0" fontId="35" fillId="2" borderId="0" xfId="13" applyFont="1" applyFill="1" applyAlignment="1">
      <alignment vertical="center"/>
    </xf>
    <xf numFmtId="0" fontId="36" fillId="2" borderId="0" xfId="13" applyFont="1" applyFill="1" applyAlignment="1">
      <alignment vertical="center"/>
    </xf>
    <xf numFmtId="0" fontId="36" fillId="2" borderId="1" xfId="61" applyFont="1" applyFill="1" applyBorder="1" applyAlignment="1">
      <alignment horizontal="center" vertical="center" wrapText="1"/>
    </xf>
    <xf numFmtId="0" fontId="36" fillId="2" borderId="1" xfId="61" applyFont="1" applyFill="1" applyBorder="1" applyAlignment="1">
      <alignment horizontal="right" vertical="center" wrapText="1"/>
    </xf>
    <xf numFmtId="0" fontId="36" fillId="0" borderId="0" xfId="61" applyFont="1" applyAlignment="1">
      <alignment horizontal="left" vertical="center" wrapText="1"/>
    </xf>
    <xf numFmtId="0" fontId="36" fillId="0" borderId="0" xfId="61" applyFont="1" applyAlignment="1">
      <alignment horizontal="right" vertical="center" wrapText="1"/>
    </xf>
    <xf numFmtId="0" fontId="53" fillId="0" borderId="0" xfId="61" applyFont="1" applyAlignment="1">
      <alignment horizontal="right" vertical="center"/>
    </xf>
    <xf numFmtId="167" fontId="36" fillId="0" borderId="0" xfId="61" applyNumberFormat="1" applyFont="1"/>
    <xf numFmtId="167" fontId="36" fillId="2" borderId="0" xfId="62" applyNumberFormat="1" applyFont="1" applyFill="1" applyAlignment="1">
      <alignment horizontal="right" vertical="center"/>
    </xf>
    <xf numFmtId="167" fontId="34" fillId="0" borderId="0" xfId="61" applyNumberFormat="1" applyFont="1"/>
    <xf numFmtId="167" fontId="36" fillId="0" borderId="0" xfId="0" applyNumberFormat="1" applyFont="1"/>
    <xf numFmtId="167" fontId="35" fillId="0" borderId="0" xfId="61" applyNumberFormat="1" applyFont="1"/>
    <xf numFmtId="167" fontId="35" fillId="2" borderId="0" xfId="62" applyNumberFormat="1" applyFont="1" applyFill="1" applyAlignment="1">
      <alignment horizontal="right" vertical="center"/>
    </xf>
    <xf numFmtId="168" fontId="35" fillId="2" borderId="0" xfId="62" applyNumberFormat="1" applyFont="1" applyFill="1" applyAlignment="1">
      <alignment horizontal="right" vertical="center"/>
    </xf>
    <xf numFmtId="167" fontId="33" fillId="0" borderId="0" xfId="61" applyNumberFormat="1" applyFont="1"/>
    <xf numFmtId="167" fontId="35" fillId="0" borderId="0" xfId="61" applyNumberFormat="1" applyFont="1" applyAlignment="1">
      <alignment horizontal="left"/>
    </xf>
    <xf numFmtId="167" fontId="35" fillId="3" borderId="0" xfId="61" applyNumberFormat="1" applyFont="1" applyFill="1" applyAlignment="1">
      <alignment horizontal="right" vertical="center"/>
    </xf>
    <xf numFmtId="167" fontId="35" fillId="2" borderId="0" xfId="63" applyNumberFormat="1" applyFont="1" applyFill="1" applyAlignment="1">
      <alignment horizontal="right" vertical="center"/>
    </xf>
    <xf numFmtId="0" fontId="53" fillId="0" borderId="5" xfId="61" applyFont="1" applyBorder="1"/>
    <xf numFmtId="0" fontId="53" fillId="0" borderId="1" xfId="61" applyFont="1" applyBorder="1" applyAlignment="1">
      <alignment horizontal="left"/>
    </xf>
    <xf numFmtId="166" fontId="35" fillId="2" borderId="1" xfId="2" applyNumberFormat="1" applyFont="1" applyFill="1" applyBorder="1" applyAlignment="1">
      <alignment horizontal="right" vertical="center"/>
    </xf>
    <xf numFmtId="166" fontId="35" fillId="2" borderId="1" xfId="62" applyNumberFormat="1" applyFont="1" applyFill="1" applyBorder="1" applyAlignment="1">
      <alignment horizontal="right" vertical="center"/>
    </xf>
    <xf numFmtId="165" fontId="35" fillId="2" borderId="1" xfId="62" applyNumberFormat="1" applyFont="1" applyFill="1" applyBorder="1" applyAlignment="1">
      <alignment horizontal="right" vertical="center"/>
    </xf>
    <xf numFmtId="165" fontId="35" fillId="3" borderId="1" xfId="61" applyNumberFormat="1" applyFont="1" applyFill="1" applyBorder="1" applyAlignment="1">
      <alignment horizontal="right" vertical="center"/>
    </xf>
    <xf numFmtId="165" fontId="35" fillId="2" borderId="1" xfId="63" applyNumberFormat="1" applyFont="1" applyFill="1" applyBorder="1" applyAlignment="1">
      <alignment horizontal="right" vertical="center"/>
    </xf>
    <xf numFmtId="166" fontId="35" fillId="2" borderId="0" xfId="62" applyNumberFormat="1" applyFont="1" applyFill="1"/>
    <xf numFmtId="165" fontId="35" fillId="2" borderId="0" xfId="62" applyNumberFormat="1" applyFont="1" applyFill="1"/>
    <xf numFmtId="165" fontId="35" fillId="3" borderId="0" xfId="61" applyNumberFormat="1" applyFont="1" applyFill="1"/>
    <xf numFmtId="165" fontId="35" fillId="2" borderId="0" xfId="63" applyNumberFormat="1" applyFont="1" applyFill="1"/>
    <xf numFmtId="0" fontId="35" fillId="6" borderId="0" xfId="0" applyFont="1" applyFill="1" applyAlignment="1">
      <alignment horizontal="left"/>
    </xf>
    <xf numFmtId="0" fontId="15" fillId="0" borderId="0" xfId="61" applyAlignment="1">
      <alignment horizontal="left"/>
    </xf>
    <xf numFmtId="0" fontId="15" fillId="0" borderId="0" xfId="61" applyAlignment="1">
      <alignment horizontal="center"/>
    </xf>
    <xf numFmtId="165" fontId="15" fillId="0" borderId="0" xfId="61" applyNumberFormat="1" applyAlignment="1">
      <alignment horizontal="center"/>
    </xf>
    <xf numFmtId="165" fontId="15" fillId="0" borderId="0" xfId="61" applyNumberFormat="1"/>
    <xf numFmtId="169" fontId="35" fillId="2" borderId="0" xfId="62" applyNumberFormat="1" applyFont="1" applyFill="1" applyAlignment="1">
      <alignment horizontal="right" vertical="center"/>
    </xf>
    <xf numFmtId="169" fontId="35" fillId="2" borderId="0" xfId="2" applyNumberFormat="1" applyFont="1" applyFill="1" applyAlignment="1">
      <alignment horizontal="right" vertical="center"/>
    </xf>
    <xf numFmtId="169" fontId="35" fillId="6" borderId="0" xfId="0" applyNumberFormat="1" applyFont="1" applyFill="1" applyAlignment="1">
      <alignment horizontal="right" vertical="center"/>
    </xf>
    <xf numFmtId="169" fontId="36" fillId="2" borderId="0" xfId="62" applyNumberFormat="1" applyFont="1" applyFill="1" applyAlignment="1">
      <alignment horizontal="right" vertical="center"/>
    </xf>
    <xf numFmtId="0" fontId="32" fillId="0" borderId="0" xfId="64" applyFont="1"/>
    <xf numFmtId="0" fontId="58" fillId="0" borderId="0" xfId="64" applyFont="1"/>
    <xf numFmtId="0" fontId="58" fillId="0" borderId="0" xfId="64" applyFont="1" applyAlignment="1">
      <alignment horizontal="center"/>
    </xf>
    <xf numFmtId="0" fontId="58" fillId="0" borderId="0" xfId="64" applyFont="1" applyAlignment="1">
      <alignment horizontal="left"/>
    </xf>
    <xf numFmtId="0" fontId="55" fillId="2" borderId="0" xfId="64" applyFont="1" applyFill="1"/>
    <xf numFmtId="164" fontId="55" fillId="2" borderId="0" xfId="66" applyFont="1" applyFill="1" applyBorder="1" applyAlignment="1">
      <alignment horizontal="right" vertical="top"/>
    </xf>
    <xf numFmtId="0" fontId="55" fillId="0" borderId="0" xfId="65" applyFont="1" applyAlignment="1">
      <alignment vertical="center"/>
    </xf>
    <xf numFmtId="0" fontId="53" fillId="0" borderId="1" xfId="64" applyFont="1" applyBorder="1"/>
    <xf numFmtId="0" fontId="53" fillId="0" borderId="0" xfId="64" applyFont="1" applyAlignment="1">
      <alignment horizontal="left"/>
    </xf>
    <xf numFmtId="0" fontId="53" fillId="0" borderId="0" xfId="64" applyFont="1" applyAlignment="1">
      <alignment horizontal="center"/>
    </xf>
    <xf numFmtId="0" fontId="53" fillId="0" borderId="0" xfId="64" applyFont="1"/>
    <xf numFmtId="0" fontId="14" fillId="0" borderId="0" xfId="64"/>
    <xf numFmtId="0" fontId="36" fillId="2" borderId="3" xfId="64" applyFont="1" applyFill="1" applyBorder="1" applyAlignment="1">
      <alignment horizontal="center" vertical="center" wrapText="1"/>
    </xf>
    <xf numFmtId="0" fontId="36" fillId="2" borderId="0" xfId="64" applyFont="1" applyFill="1" applyAlignment="1">
      <alignment horizontal="center" vertical="center" wrapText="1"/>
    </xf>
    <xf numFmtId="0" fontId="36" fillId="2" borderId="0" xfId="68" applyFont="1" applyFill="1" applyAlignment="1">
      <alignment horizontal="center" vertical="center" wrapText="1"/>
    </xf>
    <xf numFmtId="0" fontId="53" fillId="2" borderId="0" xfId="68" applyFont="1" applyFill="1" applyAlignment="1">
      <alignment vertical="center"/>
    </xf>
    <xf numFmtId="0" fontId="36" fillId="2" borderId="1" xfId="64" applyFont="1" applyFill="1" applyBorder="1" applyAlignment="1">
      <alignment horizontal="center" vertical="center" wrapText="1"/>
    </xf>
    <xf numFmtId="0" fontId="36" fillId="2" borderId="1" xfId="68" applyFont="1" applyFill="1" applyBorder="1" applyAlignment="1">
      <alignment horizontal="right" vertical="center"/>
    </xf>
    <xf numFmtId="0" fontId="53" fillId="2" borderId="1" xfId="68" applyFont="1" applyFill="1" applyBorder="1" applyAlignment="1">
      <alignment vertical="center"/>
    </xf>
    <xf numFmtId="0" fontId="36" fillId="0" borderId="0" xfId="64" applyFont="1" applyAlignment="1">
      <alignment horizontal="left" vertical="center" wrapText="1"/>
    </xf>
    <xf numFmtId="0" fontId="36" fillId="0" borderId="0" xfId="64" applyFont="1" applyAlignment="1">
      <alignment horizontal="right" vertical="center"/>
    </xf>
    <xf numFmtId="0" fontId="53" fillId="0" borderId="0" xfId="64" applyFont="1" applyAlignment="1">
      <alignment horizontal="right" vertical="center"/>
    </xf>
    <xf numFmtId="0" fontId="14" fillId="0" borderId="0" xfId="64" applyAlignment="1">
      <alignment horizontal="right"/>
    </xf>
    <xf numFmtId="167" fontId="36" fillId="0" borderId="0" xfId="64" applyNumberFormat="1" applyFont="1"/>
    <xf numFmtId="167" fontId="34" fillId="0" borderId="0" xfId="64" applyNumberFormat="1" applyFont="1" applyAlignment="1">
      <alignment horizontal="right"/>
    </xf>
    <xf numFmtId="167" fontId="34" fillId="0" borderId="0" xfId="64" applyNumberFormat="1" applyFont="1"/>
    <xf numFmtId="167" fontId="35" fillId="0" borderId="0" xfId="64" applyNumberFormat="1" applyFont="1"/>
    <xf numFmtId="168" fontId="35" fillId="2" borderId="0" xfId="2" applyNumberFormat="1" applyFont="1" applyFill="1" applyAlignment="1">
      <alignment horizontal="right" vertical="center"/>
    </xf>
    <xf numFmtId="167" fontId="33" fillId="0" borderId="0" xfId="64" applyNumberFormat="1" applyFont="1" applyAlignment="1">
      <alignment horizontal="right"/>
    </xf>
    <xf numFmtId="167" fontId="33" fillId="0" borderId="0" xfId="64" applyNumberFormat="1" applyFont="1"/>
    <xf numFmtId="167" fontId="35" fillId="0" borderId="0" xfId="64" applyNumberFormat="1" applyFont="1" applyAlignment="1">
      <alignment horizontal="left"/>
    </xf>
    <xf numFmtId="167" fontId="35" fillId="2" borderId="0" xfId="65" applyNumberFormat="1" applyFont="1" applyFill="1" applyAlignment="1">
      <alignment horizontal="right" vertical="center"/>
    </xf>
    <xf numFmtId="167" fontId="35" fillId="3" borderId="0" xfId="64" applyNumberFormat="1" applyFont="1" applyFill="1" applyAlignment="1">
      <alignment horizontal="right" vertical="center"/>
    </xf>
    <xf numFmtId="167" fontId="35" fillId="2" borderId="0" xfId="67" applyNumberFormat="1" applyFont="1" applyFill="1" applyAlignment="1">
      <alignment horizontal="right" vertical="center"/>
    </xf>
    <xf numFmtId="167" fontId="35" fillId="0" borderId="0" xfId="64" applyNumberFormat="1" applyFont="1" applyAlignment="1">
      <alignment horizontal="right" vertical="center"/>
    </xf>
    <xf numFmtId="0" fontId="53" fillId="0" borderId="5" xfId="64" applyFont="1" applyBorder="1"/>
    <xf numFmtId="0" fontId="53" fillId="0" borderId="1" xfId="64" applyFont="1" applyBorder="1" applyAlignment="1">
      <alignment horizontal="left"/>
    </xf>
    <xf numFmtId="166" fontId="35" fillId="2" borderId="1" xfId="65" applyNumberFormat="1" applyFont="1" applyFill="1" applyBorder="1" applyAlignment="1">
      <alignment horizontal="right" vertical="center"/>
    </xf>
    <xf numFmtId="165" fontId="35" fillId="2" borderId="1" xfId="65" applyNumberFormat="1" applyFont="1" applyFill="1" applyBorder="1" applyAlignment="1">
      <alignment horizontal="right" vertical="center"/>
    </xf>
    <xf numFmtId="165" fontId="35" fillId="3" borderId="1" xfId="64" applyNumberFormat="1" applyFont="1" applyFill="1" applyBorder="1" applyAlignment="1">
      <alignment horizontal="right" vertical="center"/>
    </xf>
    <xf numFmtId="165" fontId="35" fillId="2" borderId="1" xfId="67" applyNumberFormat="1" applyFont="1" applyFill="1" applyBorder="1" applyAlignment="1">
      <alignment horizontal="right" vertical="center"/>
    </xf>
    <xf numFmtId="166" fontId="35" fillId="2" borderId="0" xfId="65" applyNumberFormat="1" applyFont="1" applyFill="1"/>
    <xf numFmtId="165" fontId="35" fillId="2" borderId="0" xfId="65" applyNumberFormat="1" applyFont="1" applyFill="1"/>
    <xf numFmtId="165" fontId="35" fillId="3" borderId="0" xfId="64" applyNumberFormat="1" applyFont="1" applyFill="1"/>
    <xf numFmtId="165" fontId="35" fillId="2" borderId="0" xfId="67" applyNumberFormat="1" applyFont="1" applyFill="1"/>
    <xf numFmtId="166" fontId="35" fillId="0" borderId="0" xfId="64" applyNumberFormat="1" applyFont="1"/>
    <xf numFmtId="0" fontId="35" fillId="2" borderId="0" xfId="64" applyFont="1" applyFill="1" applyAlignment="1">
      <alignment horizontal="left" vertical="top"/>
    </xf>
    <xf numFmtId="0" fontId="14" fillId="0" borderId="0" xfId="64" applyAlignment="1">
      <alignment horizontal="left"/>
    </xf>
    <xf numFmtId="0" fontId="14" fillId="0" borderId="0" xfId="64" applyAlignment="1">
      <alignment horizontal="center"/>
    </xf>
    <xf numFmtId="165" fontId="14" fillId="0" borderId="0" xfId="64" applyNumberFormat="1" applyAlignment="1">
      <alignment horizontal="center"/>
    </xf>
    <xf numFmtId="165" fontId="14" fillId="0" borderId="0" xfId="64" applyNumberFormat="1"/>
    <xf numFmtId="169" fontId="35" fillId="2" borderId="0" xfId="65" applyNumberFormat="1" applyFont="1" applyFill="1" applyAlignment="1">
      <alignment horizontal="right" vertical="center"/>
    </xf>
    <xf numFmtId="169" fontId="36" fillId="2" borderId="0" xfId="2" applyNumberFormat="1" applyFont="1" applyFill="1" applyAlignment="1">
      <alignment horizontal="right" vertical="center"/>
    </xf>
    <xf numFmtId="169" fontId="35" fillId="0" borderId="0" xfId="64" applyNumberFormat="1" applyFont="1" applyAlignment="1">
      <alignment horizontal="right" vertical="center"/>
    </xf>
    <xf numFmtId="0" fontId="32" fillId="0" borderId="0" xfId="70" applyFont="1"/>
    <xf numFmtId="0" fontId="58" fillId="0" borderId="0" xfId="70" applyFont="1"/>
    <xf numFmtId="0" fontId="58" fillId="0" borderId="0" xfId="70" applyFont="1" applyAlignment="1">
      <alignment horizontal="center"/>
    </xf>
    <xf numFmtId="0" fontId="58" fillId="0" borderId="0" xfId="70" applyFont="1" applyAlignment="1">
      <alignment horizontal="left"/>
    </xf>
    <xf numFmtId="0" fontId="55" fillId="2" borderId="0" xfId="70" applyFont="1" applyFill="1"/>
    <xf numFmtId="0" fontId="53" fillId="0" borderId="1" xfId="70" applyFont="1" applyBorder="1"/>
    <xf numFmtId="0" fontId="53" fillId="0" borderId="0" xfId="70" applyFont="1" applyAlignment="1">
      <alignment horizontal="left"/>
    </xf>
    <xf numFmtId="0" fontId="53" fillId="0" borderId="0" xfId="70" applyFont="1" applyAlignment="1">
      <alignment horizontal="center"/>
    </xf>
    <xf numFmtId="0" fontId="53" fillId="0" borderId="0" xfId="70" applyFont="1"/>
    <xf numFmtId="0" fontId="13" fillId="0" borderId="0" xfId="70"/>
    <xf numFmtId="0" fontId="36" fillId="2" borderId="3" xfId="70" applyFont="1" applyFill="1" applyBorder="1" applyAlignment="1">
      <alignment horizontal="center" vertical="center" wrapText="1"/>
    </xf>
    <xf numFmtId="0" fontId="36" fillId="2" borderId="0" xfId="70" applyFont="1" applyFill="1" applyAlignment="1">
      <alignment horizontal="center" vertical="center" wrapText="1"/>
    </xf>
    <xf numFmtId="0" fontId="36" fillId="2" borderId="0" xfId="72" applyFont="1" applyFill="1" applyAlignment="1">
      <alignment horizontal="right" vertical="center" wrapText="1"/>
    </xf>
    <xf numFmtId="0" fontId="36" fillId="2" borderId="0" xfId="72" applyFont="1" applyFill="1" applyAlignment="1">
      <alignment horizontal="center" vertical="center" wrapText="1"/>
    </xf>
    <xf numFmtId="0" fontId="36" fillId="2" borderId="1" xfId="70" applyFont="1" applyFill="1" applyBorder="1" applyAlignment="1">
      <alignment horizontal="center" vertical="center" wrapText="1"/>
    </xf>
    <xf numFmtId="0" fontId="36" fillId="2" borderId="1" xfId="73" applyFont="1" applyFill="1" applyBorder="1" applyAlignment="1">
      <alignment horizontal="right" vertical="center"/>
    </xf>
    <xf numFmtId="0" fontId="53" fillId="2" borderId="1" xfId="73" applyFont="1" applyFill="1" applyBorder="1" applyAlignment="1">
      <alignment vertical="center"/>
    </xf>
    <xf numFmtId="0" fontId="34" fillId="0" borderId="0" xfId="70" applyFont="1" applyAlignment="1">
      <alignment horizontal="left" vertical="center" wrapText="1"/>
    </xf>
    <xf numFmtId="0" fontId="34" fillId="0" borderId="0" xfId="70" applyFont="1" applyAlignment="1">
      <alignment horizontal="right" vertical="center" wrapText="1"/>
    </xf>
    <xf numFmtId="0" fontId="36" fillId="0" borderId="0" xfId="70" applyFont="1" applyAlignment="1">
      <alignment horizontal="right" vertical="center" wrapText="1"/>
    </xf>
    <xf numFmtId="0" fontId="13" fillId="0" borderId="0" xfId="70" applyAlignment="1">
      <alignment horizontal="right" vertical="center"/>
    </xf>
    <xf numFmtId="167" fontId="34" fillId="0" borderId="0" xfId="70" applyNumberFormat="1" applyFont="1"/>
    <xf numFmtId="167" fontId="33" fillId="0" borderId="0" xfId="70" applyNumberFormat="1" applyFont="1"/>
    <xf numFmtId="167" fontId="33" fillId="0" borderId="0" xfId="70" applyNumberFormat="1" applyFont="1" applyAlignment="1">
      <alignment horizontal="left"/>
    </xf>
    <xf numFmtId="167" fontId="35" fillId="2" borderId="0" xfId="71" applyNumberFormat="1" applyFont="1" applyFill="1" applyAlignment="1">
      <alignment horizontal="right" vertical="center"/>
    </xf>
    <xf numFmtId="167" fontId="35" fillId="3" borderId="0" xfId="70" applyNumberFormat="1" applyFont="1" applyFill="1" applyAlignment="1">
      <alignment horizontal="right" vertical="center"/>
    </xf>
    <xf numFmtId="167" fontId="35" fillId="2" borderId="0" xfId="72" applyNumberFormat="1" applyFont="1" applyFill="1" applyAlignment="1">
      <alignment horizontal="right" vertical="center"/>
    </xf>
    <xf numFmtId="0" fontId="13" fillId="0" borderId="5" xfId="70" applyBorder="1"/>
    <xf numFmtId="0" fontId="13" fillId="0" borderId="1" xfId="70" applyBorder="1" applyAlignment="1">
      <alignment horizontal="left"/>
    </xf>
    <xf numFmtId="166" fontId="35" fillId="2" borderId="1" xfId="71" applyNumberFormat="1" applyFont="1" applyFill="1" applyBorder="1" applyAlignment="1">
      <alignment horizontal="right" vertical="center"/>
    </xf>
    <xf numFmtId="165" fontId="35" fillId="2" borderId="1" xfId="71" applyNumberFormat="1" applyFont="1" applyFill="1" applyBorder="1" applyAlignment="1">
      <alignment horizontal="right" vertical="center"/>
    </xf>
    <xf numFmtId="165" fontId="35" fillId="3" borderId="1" xfId="70" applyNumberFormat="1" applyFont="1" applyFill="1" applyBorder="1" applyAlignment="1">
      <alignment horizontal="right" vertical="center"/>
    </xf>
    <xf numFmtId="165" fontId="35" fillId="2" borderId="1" xfId="72" applyNumberFormat="1" applyFont="1" applyFill="1" applyBorder="1" applyAlignment="1">
      <alignment horizontal="right" vertical="center"/>
    </xf>
    <xf numFmtId="0" fontId="13" fillId="0" borderId="0" xfId="70" applyAlignment="1">
      <alignment horizontal="left"/>
    </xf>
    <xf numFmtId="166" fontId="35" fillId="2" borderId="0" xfId="71" applyNumberFormat="1" applyFont="1" applyFill="1"/>
    <xf numFmtId="165" fontId="35" fillId="2" borderId="0" xfId="71" applyNumberFormat="1" applyFont="1" applyFill="1"/>
    <xf numFmtId="165" fontId="35" fillId="3" borderId="0" xfId="70" applyNumberFormat="1" applyFont="1" applyFill="1"/>
    <xf numFmtId="165" fontId="35" fillId="2" borderId="0" xfId="72" applyNumberFormat="1" applyFont="1" applyFill="1"/>
    <xf numFmtId="0" fontId="35" fillId="2" borderId="0" xfId="71" applyFont="1" applyFill="1" applyAlignment="1">
      <alignment horizontal="left" vertical="top" justifyLastLine="1"/>
    </xf>
    <xf numFmtId="0" fontId="13" fillId="0" borderId="0" xfId="70" applyAlignment="1">
      <alignment horizontal="center"/>
    </xf>
    <xf numFmtId="165" fontId="13" fillId="0" borderId="0" xfId="70" applyNumberFormat="1" applyAlignment="1">
      <alignment horizontal="center"/>
    </xf>
    <xf numFmtId="165" fontId="13" fillId="0" borderId="0" xfId="70" applyNumberFormat="1"/>
    <xf numFmtId="169" fontId="35" fillId="2" borderId="0" xfId="71" applyNumberFormat="1" applyFont="1" applyFill="1" applyAlignment="1">
      <alignment horizontal="right" vertical="center"/>
    </xf>
    <xf numFmtId="0" fontId="32" fillId="0" borderId="0" xfId="74" applyFont="1"/>
    <xf numFmtId="0" fontId="58" fillId="0" borderId="0" xfId="74" applyFont="1"/>
    <xf numFmtId="0" fontId="58" fillId="0" borderId="0" xfId="74" applyFont="1" applyAlignment="1">
      <alignment horizontal="center"/>
    </xf>
    <xf numFmtId="0" fontId="58" fillId="0" borderId="0" xfId="74" applyFont="1" applyAlignment="1">
      <alignment horizontal="left"/>
    </xf>
    <xf numFmtId="0" fontId="53" fillId="0" borderId="1" xfId="74" applyFont="1" applyBorder="1"/>
    <xf numFmtId="0" fontId="53" fillId="0" borderId="0" xfId="74" applyFont="1" applyAlignment="1">
      <alignment horizontal="left"/>
    </xf>
    <xf numFmtId="0" fontId="53" fillId="0" borderId="0" xfId="74" applyFont="1" applyAlignment="1">
      <alignment horizontal="center"/>
    </xf>
    <xf numFmtId="0" fontId="12" fillId="0" borderId="0" xfId="74"/>
    <xf numFmtId="0" fontId="36" fillId="2" borderId="3" xfId="74" applyFont="1" applyFill="1" applyBorder="1" applyAlignment="1">
      <alignment horizontal="center" vertical="center" wrapText="1"/>
    </xf>
    <xf numFmtId="0" fontId="36" fillId="2" borderId="0" xfId="74" applyFont="1" applyFill="1" applyAlignment="1">
      <alignment horizontal="center" vertical="center" wrapText="1"/>
    </xf>
    <xf numFmtId="0" fontId="36" fillId="2" borderId="0" xfId="76" applyFont="1" applyFill="1" applyAlignment="1">
      <alignment horizontal="right" vertical="center" wrapText="1"/>
    </xf>
    <xf numFmtId="0" fontId="36" fillId="2" borderId="1" xfId="74" applyFont="1" applyFill="1" applyBorder="1" applyAlignment="1">
      <alignment horizontal="center" vertical="center" wrapText="1"/>
    </xf>
    <xf numFmtId="0" fontId="36" fillId="2" borderId="1" xfId="77" applyFont="1" applyFill="1" applyBorder="1" applyAlignment="1">
      <alignment horizontal="right" vertical="center"/>
    </xf>
    <xf numFmtId="0" fontId="36" fillId="0" borderId="0" xfId="74" applyFont="1" applyAlignment="1">
      <alignment horizontal="right" vertical="center" wrapText="1"/>
    </xf>
    <xf numFmtId="167" fontId="36" fillId="0" borderId="0" xfId="74" applyNumberFormat="1" applyFont="1" applyAlignment="1">
      <alignment horizontal="right" vertical="center"/>
    </xf>
    <xf numFmtId="167" fontId="34" fillId="0" borderId="0" xfId="74" applyNumberFormat="1" applyFont="1"/>
    <xf numFmtId="167" fontId="35" fillId="0" borderId="0" xfId="74" applyNumberFormat="1" applyFont="1" applyAlignment="1">
      <alignment horizontal="right" vertical="center"/>
    </xf>
    <xf numFmtId="167" fontId="33" fillId="0" borderId="0" xfId="74" applyNumberFormat="1" applyFont="1"/>
    <xf numFmtId="167" fontId="35" fillId="2" borderId="0" xfId="75" applyNumberFormat="1" applyFont="1" applyFill="1" applyAlignment="1">
      <alignment horizontal="right" vertical="center"/>
    </xf>
    <xf numFmtId="0" fontId="53" fillId="0" borderId="5" xfId="74" applyFont="1" applyBorder="1"/>
    <xf numFmtId="0" fontId="53" fillId="0" borderId="1" xfId="74" applyFont="1" applyBorder="1" applyAlignment="1">
      <alignment horizontal="right" vertical="center"/>
    </xf>
    <xf numFmtId="166" fontId="35" fillId="2" borderId="1" xfId="75" applyNumberFormat="1" applyFont="1" applyFill="1" applyBorder="1" applyAlignment="1">
      <alignment horizontal="right" vertical="center"/>
    </xf>
    <xf numFmtId="165" fontId="35" fillId="2" borderId="1" xfId="75" applyNumberFormat="1" applyFont="1" applyFill="1" applyBorder="1" applyAlignment="1">
      <alignment horizontal="right" vertical="center"/>
    </xf>
    <xf numFmtId="166" fontId="35" fillId="2" borderId="0" xfId="75" applyNumberFormat="1" applyFont="1" applyFill="1"/>
    <xf numFmtId="165" fontId="35" fillId="2" borderId="0" xfId="75" applyNumberFormat="1" applyFont="1" applyFill="1"/>
    <xf numFmtId="0" fontId="35" fillId="2" borderId="0" xfId="79" applyFont="1" applyFill="1" applyAlignment="1">
      <alignment horizontal="left" vertical="top"/>
    </xf>
    <xf numFmtId="0" fontId="12" fillId="0" borderId="0" xfId="74" applyAlignment="1">
      <alignment horizontal="left"/>
    </xf>
    <xf numFmtId="0" fontId="12" fillId="0" borderId="0" xfId="74" applyAlignment="1">
      <alignment horizontal="center"/>
    </xf>
    <xf numFmtId="165" fontId="12" fillId="0" borderId="0" xfId="74" applyNumberFormat="1" applyAlignment="1">
      <alignment horizontal="center"/>
    </xf>
    <xf numFmtId="169" fontId="35" fillId="2" borderId="0" xfId="75" applyNumberFormat="1" applyFont="1" applyFill="1" applyAlignment="1">
      <alignment horizontal="right" vertical="center"/>
    </xf>
    <xf numFmtId="0" fontId="32" fillId="0" borderId="0" xfId="80" applyFont="1"/>
    <xf numFmtId="0" fontId="58" fillId="0" borderId="0" xfId="80" applyFont="1"/>
    <xf numFmtId="0" fontId="58" fillId="0" borderId="0" xfId="80" applyFont="1" applyAlignment="1">
      <alignment horizontal="center"/>
    </xf>
    <xf numFmtId="0" fontId="58" fillId="0" borderId="0" xfId="80" applyFont="1" applyAlignment="1">
      <alignment horizontal="left"/>
    </xf>
    <xf numFmtId="0" fontId="55" fillId="0" borderId="0" xfId="80" applyFont="1"/>
    <xf numFmtId="0" fontId="53" fillId="0" borderId="0" xfId="80" applyFont="1"/>
    <xf numFmtId="0" fontId="53" fillId="0" borderId="0" xfId="80" applyFont="1" applyAlignment="1">
      <alignment horizontal="left"/>
    </xf>
    <xf numFmtId="0" fontId="53" fillId="0" borderId="0" xfId="80" applyFont="1" applyAlignment="1">
      <alignment horizontal="center"/>
    </xf>
    <xf numFmtId="0" fontId="11" fillId="0" borderId="0" xfId="80"/>
    <xf numFmtId="0" fontId="36" fillId="2" borderId="2" xfId="82" applyFont="1" applyFill="1" applyBorder="1" applyAlignment="1">
      <alignment horizontal="right" vertical="center" wrapText="1"/>
    </xf>
    <xf numFmtId="0" fontId="36" fillId="2" borderId="2" xfId="80" applyFont="1" applyFill="1" applyBorder="1" applyAlignment="1">
      <alignment horizontal="center" vertical="center" wrapText="1"/>
    </xf>
    <xf numFmtId="0" fontId="36" fillId="2" borderId="2" xfId="83" applyFont="1" applyFill="1" applyBorder="1" applyAlignment="1">
      <alignment horizontal="right" vertical="center" wrapText="1"/>
    </xf>
    <xf numFmtId="0" fontId="36" fillId="0" borderId="0" xfId="80" applyFont="1" applyAlignment="1">
      <alignment horizontal="left" vertical="center" wrapText="1"/>
    </xf>
    <xf numFmtId="0" fontId="36" fillId="0" borderId="0" xfId="80" applyFont="1" applyAlignment="1">
      <alignment horizontal="right" vertical="center" wrapText="1"/>
    </xf>
    <xf numFmtId="167" fontId="36" fillId="0" borderId="0" xfId="80" applyNumberFormat="1" applyFont="1"/>
    <xf numFmtId="167" fontId="34" fillId="0" borderId="0" xfId="80" applyNumberFormat="1" applyFont="1"/>
    <xf numFmtId="167" fontId="35" fillId="0" borderId="0" xfId="80" applyNumberFormat="1" applyFont="1"/>
    <xf numFmtId="167" fontId="33" fillId="0" borderId="0" xfId="80" applyNumberFormat="1" applyFont="1"/>
    <xf numFmtId="167" fontId="35" fillId="0" borderId="0" xfId="80" applyNumberFormat="1" applyFont="1" applyAlignment="1">
      <alignment horizontal="left"/>
    </xf>
    <xf numFmtId="167" fontId="35" fillId="2" borderId="0" xfId="81" applyNumberFormat="1" applyFont="1" applyFill="1" applyAlignment="1">
      <alignment horizontal="right" vertical="center"/>
    </xf>
    <xf numFmtId="0" fontId="53" fillId="0" borderId="5" xfId="80" applyFont="1" applyBorder="1"/>
    <xf numFmtId="0" fontId="53" fillId="0" borderId="1" xfId="80" applyFont="1" applyBorder="1" applyAlignment="1">
      <alignment horizontal="left"/>
    </xf>
    <xf numFmtId="166" fontId="35" fillId="2" borderId="1" xfId="81" applyNumberFormat="1" applyFont="1" applyFill="1" applyBorder="1" applyAlignment="1">
      <alignment horizontal="right" vertical="center"/>
    </xf>
    <xf numFmtId="165" fontId="35" fillId="2" borderId="1" xfId="81" applyNumberFormat="1" applyFont="1" applyFill="1" applyBorder="1" applyAlignment="1">
      <alignment horizontal="right" vertical="center"/>
    </xf>
    <xf numFmtId="166" fontId="35" fillId="2" borderId="0" xfId="81" applyNumberFormat="1" applyFont="1" applyFill="1"/>
    <xf numFmtId="165" fontId="35" fillId="2" borderId="0" xfId="81" applyNumberFormat="1" applyFont="1" applyFill="1"/>
    <xf numFmtId="0" fontId="11" fillId="0" borderId="0" xfId="80" applyAlignment="1">
      <alignment horizontal="left"/>
    </xf>
    <xf numFmtId="0" fontId="11" fillId="0" borderId="0" xfId="80" applyAlignment="1">
      <alignment horizontal="center"/>
    </xf>
    <xf numFmtId="165" fontId="11" fillId="0" borderId="0" xfId="80" applyNumberFormat="1" applyAlignment="1">
      <alignment horizontal="center"/>
    </xf>
    <xf numFmtId="169" fontId="35" fillId="2" borderId="0" xfId="81" applyNumberFormat="1" applyFont="1" applyFill="1" applyAlignment="1">
      <alignment horizontal="right" vertical="center"/>
    </xf>
    <xf numFmtId="0" fontId="32" fillId="0" borderId="0" xfId="85" applyFont="1"/>
    <xf numFmtId="0" fontId="58" fillId="0" borderId="0" xfId="85" applyFont="1"/>
    <xf numFmtId="0" fontId="58" fillId="0" borderId="0" xfId="85" applyFont="1" applyAlignment="1">
      <alignment horizontal="center"/>
    </xf>
    <xf numFmtId="0" fontId="58" fillId="0" borderId="0" xfId="85" applyFont="1" applyAlignment="1">
      <alignment horizontal="left"/>
    </xf>
    <xf numFmtId="0" fontId="10" fillId="0" borderId="1" xfId="85" applyBorder="1"/>
    <xf numFmtId="0" fontId="10" fillId="0" borderId="0" xfId="85" applyAlignment="1">
      <alignment horizontal="left"/>
    </xf>
    <xf numFmtId="0" fontId="10" fillId="0" borderId="0" xfId="85" applyAlignment="1">
      <alignment horizontal="center"/>
    </xf>
    <xf numFmtId="0" fontId="10" fillId="0" borderId="0" xfId="85"/>
    <xf numFmtId="0" fontId="34" fillId="2" borderId="3" xfId="85" applyFont="1" applyFill="1" applyBorder="1" applyAlignment="1">
      <alignment horizontal="center" vertical="center" wrapText="1"/>
    </xf>
    <xf numFmtId="0" fontId="34" fillId="2" borderId="0" xfId="85" applyFont="1" applyFill="1" applyAlignment="1">
      <alignment horizontal="center" vertical="center" wrapText="1"/>
    </xf>
    <xf numFmtId="0" fontId="34" fillId="2" borderId="3" xfId="89" applyFont="1" applyFill="1" applyBorder="1" applyAlignment="1">
      <alignment horizontal="right" vertical="center" wrapText="1"/>
    </xf>
    <xf numFmtId="0" fontId="34" fillId="2" borderId="3" xfId="89" applyFont="1" applyFill="1" applyBorder="1" applyAlignment="1">
      <alignment horizontal="center" vertical="center" wrapText="1"/>
    </xf>
    <xf numFmtId="0" fontId="10" fillId="0" borderId="3" xfId="89" applyBorder="1" applyAlignment="1">
      <alignment vertical="center"/>
    </xf>
    <xf numFmtId="0" fontId="10" fillId="2" borderId="3" xfId="89" applyFill="1" applyBorder="1" applyAlignment="1">
      <alignment vertical="center"/>
    </xf>
    <xf numFmtId="0" fontId="34" fillId="2" borderId="1" xfId="85" applyFont="1" applyFill="1" applyBorder="1" applyAlignment="1">
      <alignment horizontal="center" vertical="center" wrapText="1"/>
    </xf>
    <xf numFmtId="0" fontId="34" fillId="2" borderId="1" xfId="88" applyFont="1" applyFill="1" applyBorder="1" applyAlignment="1">
      <alignment horizontal="right" vertical="center"/>
    </xf>
    <xf numFmtId="0" fontId="10" fillId="0" borderId="1" xfId="85" applyBorder="1" applyAlignment="1">
      <alignment horizontal="right"/>
    </xf>
    <xf numFmtId="0" fontId="34" fillId="0" borderId="0" xfId="85" applyFont="1" applyAlignment="1">
      <alignment horizontal="left" vertical="center" wrapText="1"/>
    </xf>
    <xf numFmtId="0" fontId="34" fillId="0" borderId="0" xfId="85" applyFont="1" applyAlignment="1">
      <alignment horizontal="right" vertical="center" wrapText="1"/>
    </xf>
    <xf numFmtId="0" fontId="36" fillId="0" borderId="0" xfId="85" applyFont="1" applyAlignment="1">
      <alignment horizontal="right" vertical="center" wrapText="1"/>
    </xf>
    <xf numFmtId="0" fontId="10" fillId="0" borderId="0" xfId="85" applyAlignment="1">
      <alignment horizontal="right"/>
    </xf>
    <xf numFmtId="167" fontId="34" fillId="0" borderId="0" xfId="85" applyNumberFormat="1" applyFont="1"/>
    <xf numFmtId="167" fontId="34" fillId="0" borderId="0" xfId="85" applyNumberFormat="1" applyFont="1" applyAlignment="1">
      <alignment horizontal="right"/>
    </xf>
    <xf numFmtId="167" fontId="33" fillId="0" borderId="0" xfId="85" applyNumberFormat="1" applyFont="1"/>
    <xf numFmtId="167" fontId="33" fillId="0" borderId="0" xfId="85" applyNumberFormat="1" applyFont="1" applyAlignment="1">
      <alignment horizontal="right"/>
    </xf>
    <xf numFmtId="168" fontId="33" fillId="0" borderId="0" xfId="85" applyNumberFormat="1" applyFont="1" applyAlignment="1">
      <alignment horizontal="right"/>
    </xf>
    <xf numFmtId="167" fontId="33" fillId="0" borderId="0" xfId="85" applyNumberFormat="1" applyFont="1" applyAlignment="1">
      <alignment horizontal="left"/>
    </xf>
    <xf numFmtId="167" fontId="35" fillId="2" borderId="0" xfId="86" applyNumberFormat="1" applyFont="1" applyFill="1" applyAlignment="1">
      <alignment horizontal="right"/>
    </xf>
    <xf numFmtId="0" fontId="10" fillId="0" borderId="5" xfId="85" applyBorder="1"/>
    <xf numFmtId="0" fontId="10" fillId="0" borderId="1" xfId="85" applyBorder="1" applyAlignment="1">
      <alignment horizontal="left"/>
    </xf>
    <xf numFmtId="166" fontId="35" fillId="2" borderId="1" xfId="2" applyNumberFormat="1" applyFont="1" applyFill="1" applyBorder="1" applyAlignment="1">
      <alignment horizontal="right"/>
    </xf>
    <xf numFmtId="166" fontId="35" fillId="2" borderId="1" xfId="86" applyNumberFormat="1" applyFont="1" applyFill="1" applyBorder="1" applyAlignment="1">
      <alignment horizontal="right"/>
    </xf>
    <xf numFmtId="165" fontId="35" fillId="2" borderId="1" xfId="86" applyNumberFormat="1" applyFont="1" applyFill="1" applyBorder="1" applyAlignment="1">
      <alignment horizontal="right"/>
    </xf>
    <xf numFmtId="166" fontId="35" fillId="2" borderId="0" xfId="86" applyNumberFormat="1" applyFont="1" applyFill="1"/>
    <xf numFmtId="165" fontId="35" fillId="2" borderId="0" xfId="86" applyNumberFormat="1" applyFont="1" applyFill="1"/>
    <xf numFmtId="165" fontId="10" fillId="0" borderId="0" xfId="85" applyNumberFormat="1" applyAlignment="1">
      <alignment horizontal="center"/>
    </xf>
    <xf numFmtId="169" fontId="33" fillId="0" borderId="0" xfId="85" applyNumberFormat="1" applyFont="1" applyAlignment="1">
      <alignment horizontal="right"/>
    </xf>
    <xf numFmtId="169" fontId="35" fillId="2" borderId="0" xfId="2" applyNumberFormat="1" applyFont="1" applyFill="1" applyAlignment="1">
      <alignment horizontal="right"/>
    </xf>
    <xf numFmtId="169" fontId="34" fillId="0" borderId="0" xfId="85" applyNumberFormat="1" applyFont="1" applyAlignment="1">
      <alignment horizontal="right"/>
    </xf>
    <xf numFmtId="169" fontId="35" fillId="2" borderId="0" xfId="86" applyNumberFormat="1" applyFont="1" applyFill="1" applyAlignment="1">
      <alignment horizontal="right"/>
    </xf>
    <xf numFmtId="0" fontId="36" fillId="6" borderId="3" xfId="0" applyFont="1" applyFill="1" applyBorder="1" applyAlignment="1">
      <alignment horizontal="left" vertical="center" wrapText="1"/>
    </xf>
    <xf numFmtId="0" fontId="36" fillId="6" borderId="0" xfId="0" applyFont="1" applyFill="1" applyAlignment="1">
      <alignment horizontal="left" vertical="center" wrapText="1"/>
    </xf>
    <xf numFmtId="0" fontId="36" fillId="6" borderId="1" xfId="0" applyFont="1" applyFill="1" applyBorder="1" applyAlignment="1">
      <alignment horizontal="left" vertical="center" wrapText="1"/>
    </xf>
    <xf numFmtId="0" fontId="32" fillId="0" borderId="0" xfId="90" applyFont="1"/>
    <xf numFmtId="0" fontId="58" fillId="0" borderId="0" xfId="90" applyFont="1"/>
    <xf numFmtId="0" fontId="58" fillId="0" borderId="0" xfId="90" applyFont="1" applyAlignment="1">
      <alignment horizontal="center"/>
    </xf>
    <xf numFmtId="0" fontId="55" fillId="0" borderId="0" xfId="90" applyFont="1"/>
    <xf numFmtId="0" fontId="55" fillId="0" borderId="0" xfId="90" applyFont="1" applyAlignment="1">
      <alignment horizontal="left"/>
    </xf>
    <xf numFmtId="0" fontId="55" fillId="0" borderId="0" xfId="90" applyFont="1" applyAlignment="1">
      <alignment horizontal="center"/>
    </xf>
    <xf numFmtId="0" fontId="55" fillId="2" borderId="0" xfId="90" applyFont="1" applyFill="1"/>
    <xf numFmtId="164" fontId="55" fillId="2" borderId="0" xfId="92" applyFont="1" applyFill="1" applyBorder="1" applyAlignment="1">
      <alignment horizontal="right" vertical="top"/>
    </xf>
    <xf numFmtId="0" fontId="55" fillId="0" borderId="0" xfId="91" applyFont="1" applyAlignment="1">
      <alignment vertical="center"/>
    </xf>
    <xf numFmtId="0" fontId="53" fillId="0" borderId="1" xfId="90" applyFont="1" applyBorder="1"/>
    <xf numFmtId="0" fontId="53" fillId="0" borderId="0" xfId="90" applyFont="1" applyAlignment="1">
      <alignment horizontal="left"/>
    </xf>
    <xf numFmtId="0" fontId="53" fillId="0" borderId="0" xfId="90" applyFont="1" applyAlignment="1">
      <alignment horizontal="center"/>
    </xf>
    <xf numFmtId="0" fontId="53" fillId="0" borderId="0" xfId="90" applyFont="1"/>
    <xf numFmtId="0" fontId="36" fillId="2" borderId="3" xfId="90" applyFont="1" applyFill="1" applyBorder="1" applyAlignment="1">
      <alignment horizontal="center" vertical="center" wrapText="1"/>
    </xf>
    <xf numFmtId="0" fontId="36" fillId="2" borderId="3" xfId="94" applyFont="1" applyFill="1" applyBorder="1" applyAlignment="1">
      <alignment horizontal="center" vertical="center" wrapText="1"/>
    </xf>
    <xf numFmtId="0" fontId="36" fillId="2" borderId="0" xfId="90" applyFont="1" applyFill="1" applyAlignment="1">
      <alignment horizontal="center" vertical="center" wrapText="1"/>
    </xf>
    <xf numFmtId="0" fontId="36" fillId="2" borderId="0" xfId="95" applyFont="1" applyFill="1" applyAlignment="1">
      <alignment horizontal="center" vertical="center"/>
    </xf>
    <xf numFmtId="0" fontId="36" fillId="2" borderId="1" xfId="90" applyFont="1" applyFill="1" applyBorder="1" applyAlignment="1">
      <alignment horizontal="center" vertical="center" wrapText="1"/>
    </xf>
    <xf numFmtId="0" fontId="36" fillId="2" borderId="1" xfId="94" applyFont="1" applyFill="1" applyBorder="1" applyAlignment="1">
      <alignment horizontal="right" vertical="center"/>
    </xf>
    <xf numFmtId="0" fontId="53" fillId="2" borderId="1" xfId="94" applyFont="1" applyFill="1" applyBorder="1" applyAlignment="1">
      <alignment horizontal="right" vertical="center"/>
    </xf>
    <xf numFmtId="0" fontId="53" fillId="0" borderId="1" xfId="90" applyFont="1" applyBorder="1" applyAlignment="1">
      <alignment horizontal="right"/>
    </xf>
    <xf numFmtId="0" fontId="36" fillId="0" borderId="0" xfId="90" applyFont="1" applyAlignment="1">
      <alignment horizontal="left" vertical="center" wrapText="1"/>
    </xf>
    <xf numFmtId="0" fontId="36" fillId="0" borderId="0" xfId="90" applyFont="1" applyAlignment="1">
      <alignment horizontal="right" vertical="center" wrapText="1"/>
    </xf>
    <xf numFmtId="0" fontId="53" fillId="0" borderId="0" xfId="90" applyFont="1" applyAlignment="1">
      <alignment horizontal="right" vertical="center"/>
    </xf>
    <xf numFmtId="167" fontId="36" fillId="0" borderId="0" xfId="90" applyNumberFormat="1" applyFont="1"/>
    <xf numFmtId="168" fontId="36" fillId="2" borderId="0" xfId="2" applyNumberFormat="1" applyFont="1" applyFill="1" applyAlignment="1">
      <alignment horizontal="right" vertical="center"/>
    </xf>
    <xf numFmtId="167" fontId="35" fillId="0" borderId="0" xfId="90" applyNumberFormat="1" applyFont="1"/>
    <xf numFmtId="167" fontId="35" fillId="0" borderId="0" xfId="90" applyNumberFormat="1" applyFont="1" applyAlignment="1">
      <alignment horizontal="left"/>
    </xf>
    <xf numFmtId="167" fontId="35" fillId="2" borderId="0" xfId="91" applyNumberFormat="1" applyFont="1" applyFill="1" applyAlignment="1">
      <alignment horizontal="right" vertical="center"/>
    </xf>
    <xf numFmtId="167" fontId="35" fillId="3" borderId="0" xfId="90" applyNumberFormat="1" applyFont="1" applyFill="1" applyAlignment="1">
      <alignment horizontal="right" vertical="center"/>
    </xf>
    <xf numFmtId="167" fontId="35" fillId="2" borderId="0" xfId="93" applyNumberFormat="1" applyFont="1" applyFill="1" applyAlignment="1">
      <alignment horizontal="right" vertical="center"/>
    </xf>
    <xf numFmtId="167" fontId="35" fillId="0" borderId="0" xfId="90" applyNumberFormat="1" applyFont="1" applyAlignment="1">
      <alignment horizontal="right" vertical="center"/>
    </xf>
    <xf numFmtId="0" fontId="53" fillId="0" borderId="5" xfId="90" applyFont="1" applyBorder="1"/>
    <xf numFmtId="0" fontId="53" fillId="0" borderId="1" xfId="90" applyFont="1" applyBorder="1" applyAlignment="1">
      <alignment horizontal="left"/>
    </xf>
    <xf numFmtId="166" fontId="35" fillId="2" borderId="1" xfId="91" applyNumberFormat="1" applyFont="1" applyFill="1" applyBorder="1" applyAlignment="1">
      <alignment horizontal="right" vertical="center"/>
    </xf>
    <xf numFmtId="165" fontId="35" fillId="2" borderId="1" xfId="91" applyNumberFormat="1" applyFont="1" applyFill="1" applyBorder="1" applyAlignment="1">
      <alignment horizontal="right" vertical="center"/>
    </xf>
    <xf numFmtId="165" fontId="35" fillId="3" borderId="1" xfId="90" applyNumberFormat="1" applyFont="1" applyFill="1" applyBorder="1" applyAlignment="1">
      <alignment horizontal="right" vertical="center"/>
    </xf>
    <xf numFmtId="165" fontId="35" fillId="2" borderId="1" xfId="93" applyNumberFormat="1" applyFont="1" applyFill="1" applyBorder="1" applyAlignment="1">
      <alignment horizontal="right" vertical="center"/>
    </xf>
    <xf numFmtId="0" fontId="9" fillId="0" borderId="0" xfId="90"/>
    <xf numFmtId="166" fontId="35" fillId="2" borderId="0" xfId="91" applyNumberFormat="1" applyFont="1" applyFill="1"/>
    <xf numFmtId="165" fontId="35" fillId="2" borderId="0" xfId="91" applyNumberFormat="1" applyFont="1" applyFill="1"/>
    <xf numFmtId="165" fontId="35" fillId="3" borderId="0" xfId="90" applyNumberFormat="1" applyFont="1" applyFill="1"/>
    <xf numFmtId="165" fontId="35" fillId="2" borderId="0" xfId="93" applyNumberFormat="1" applyFont="1" applyFill="1"/>
    <xf numFmtId="166" fontId="35" fillId="0" borderId="0" xfId="90" applyNumberFormat="1" applyFont="1"/>
    <xf numFmtId="0" fontId="53" fillId="0" borderId="0" xfId="96" applyFont="1" applyAlignment="1">
      <alignment horizontal="left"/>
    </xf>
    <xf numFmtId="166" fontId="35" fillId="2" borderId="0" xfId="97" applyNumberFormat="1" applyFont="1" applyFill="1"/>
    <xf numFmtId="165" fontId="35" fillId="2" borderId="0" xfId="97" applyNumberFormat="1" applyFont="1" applyFill="1"/>
    <xf numFmtId="165" fontId="35" fillId="3" borderId="0" xfId="96" applyNumberFormat="1" applyFont="1" applyFill="1"/>
    <xf numFmtId="165" fontId="35" fillId="2" borderId="0" xfId="98" applyNumberFormat="1" applyFont="1" applyFill="1"/>
    <xf numFmtId="166" fontId="35" fillId="0" borderId="0" xfId="96" applyNumberFormat="1" applyFont="1"/>
    <xf numFmtId="0" fontId="53" fillId="0" borderId="0" xfId="96" applyFont="1"/>
    <xf numFmtId="0" fontId="9" fillId="0" borderId="0" xfId="96"/>
    <xf numFmtId="0" fontId="9" fillId="0" borderId="0" xfId="90" applyAlignment="1">
      <alignment horizontal="left"/>
    </xf>
    <xf numFmtId="0" fontId="9" fillId="0" borderId="0" xfId="90" applyAlignment="1">
      <alignment horizontal="center"/>
    </xf>
    <xf numFmtId="165" fontId="9" fillId="0" borderId="0" xfId="90" applyNumberFormat="1" applyAlignment="1">
      <alignment horizontal="center"/>
    </xf>
    <xf numFmtId="165" fontId="9" fillId="0" borderId="0" xfId="90" applyNumberFormat="1"/>
    <xf numFmtId="169" fontId="35" fillId="2" borderId="0" xfId="91" applyNumberFormat="1" applyFont="1" applyFill="1" applyAlignment="1">
      <alignment horizontal="right" vertical="center"/>
    </xf>
    <xf numFmtId="169" fontId="35" fillId="0" borderId="0" xfId="90" applyNumberFormat="1" applyFont="1" applyAlignment="1">
      <alignment horizontal="right" vertical="center"/>
    </xf>
    <xf numFmtId="0" fontId="32" fillId="0" borderId="0" xfId="99" applyFont="1"/>
    <xf numFmtId="0" fontId="58" fillId="0" borderId="0" xfId="99" applyFont="1"/>
    <xf numFmtId="0" fontId="58" fillId="0" borderId="0" xfId="99" applyFont="1" applyAlignment="1">
      <alignment horizontal="left"/>
    </xf>
    <xf numFmtId="0" fontId="55" fillId="0" borderId="0" xfId="99" applyFont="1"/>
    <xf numFmtId="0" fontId="53" fillId="0" borderId="1" xfId="99" applyFont="1" applyBorder="1"/>
    <xf numFmtId="0" fontId="53" fillId="0" borderId="0" xfId="99" applyFont="1" applyAlignment="1">
      <alignment horizontal="left"/>
    </xf>
    <xf numFmtId="0" fontId="53" fillId="0" borderId="0" xfId="99" applyFont="1"/>
    <xf numFmtId="0" fontId="8" fillId="0" borderId="0" xfId="99"/>
    <xf numFmtId="0" fontId="36" fillId="0" borderId="3" xfId="101" applyFont="1" applyBorder="1" applyAlignment="1">
      <alignment horizontal="right" vertical="center" wrapText="1"/>
    </xf>
    <xf numFmtId="0" fontId="53" fillId="0" borderId="3" xfId="99" applyFont="1" applyBorder="1"/>
    <xf numFmtId="0" fontId="36" fillId="0" borderId="0" xfId="101" applyFont="1" applyAlignment="1">
      <alignment horizontal="right" vertical="center" wrapText="1"/>
    </xf>
    <xf numFmtId="0" fontId="36" fillId="0" borderId="1" xfId="101" applyFont="1" applyBorder="1" applyAlignment="1">
      <alignment horizontal="right" vertical="center" wrapText="1"/>
    </xf>
    <xf numFmtId="0" fontId="36" fillId="0" borderId="0" xfId="99" applyFont="1" applyAlignment="1">
      <alignment horizontal="left" vertical="center" wrapText="1"/>
    </xf>
    <xf numFmtId="0" fontId="36" fillId="0" borderId="0" xfId="99" applyFont="1" applyAlignment="1">
      <alignment horizontal="right" vertical="center" wrapText="1"/>
    </xf>
    <xf numFmtId="0" fontId="53" fillId="0" borderId="0" xfId="99" applyFont="1" applyAlignment="1">
      <alignment horizontal="right"/>
    </xf>
    <xf numFmtId="167" fontId="36" fillId="0" borderId="0" xfId="99" applyNumberFormat="1" applyFont="1"/>
    <xf numFmtId="167" fontId="36" fillId="0" borderId="0" xfId="99" applyNumberFormat="1" applyFont="1" applyAlignment="1">
      <alignment horizontal="right"/>
    </xf>
    <xf numFmtId="167" fontId="34" fillId="0" borderId="0" xfId="99" applyNumberFormat="1" applyFont="1"/>
    <xf numFmtId="167" fontId="35" fillId="0" borderId="0" xfId="99" applyNumberFormat="1" applyFont="1"/>
    <xf numFmtId="167" fontId="35" fillId="0" borderId="0" xfId="99" applyNumberFormat="1" applyFont="1" applyAlignment="1">
      <alignment horizontal="right"/>
    </xf>
    <xf numFmtId="167" fontId="33" fillId="0" borderId="0" xfId="99" applyNumberFormat="1" applyFont="1"/>
    <xf numFmtId="167" fontId="35" fillId="0" borderId="0" xfId="99" applyNumberFormat="1" applyFont="1" applyAlignment="1">
      <alignment horizontal="left"/>
    </xf>
    <xf numFmtId="0" fontId="53" fillId="0" borderId="5" xfId="99" applyFont="1" applyBorder="1"/>
    <xf numFmtId="0" fontId="53" fillId="0" borderId="1" xfId="99" applyFont="1" applyBorder="1" applyAlignment="1">
      <alignment horizontal="left"/>
    </xf>
    <xf numFmtId="0" fontId="53" fillId="0" borderId="1" xfId="99" applyFont="1" applyBorder="1" applyAlignment="1">
      <alignment horizontal="right"/>
    </xf>
    <xf numFmtId="166" fontId="35" fillId="0" borderId="1" xfId="99" applyNumberFormat="1" applyFont="1" applyBorder="1" applyAlignment="1">
      <alignment horizontal="right"/>
    </xf>
    <xf numFmtId="166" fontId="35" fillId="0" borderId="0" xfId="99" applyNumberFormat="1" applyFont="1"/>
    <xf numFmtId="0" fontId="8" fillId="0" borderId="0" xfId="99" applyAlignment="1">
      <alignment horizontal="left"/>
    </xf>
    <xf numFmtId="169" fontId="35" fillId="0" borderId="0" xfId="99" applyNumberFormat="1" applyFont="1" applyAlignment="1">
      <alignment horizontal="right"/>
    </xf>
    <xf numFmtId="169" fontId="36" fillId="0" borderId="0" xfId="99" applyNumberFormat="1" applyFont="1" applyAlignment="1">
      <alignment horizontal="right"/>
    </xf>
    <xf numFmtId="0" fontId="36" fillId="6" borderId="3" xfId="0" applyFont="1" applyFill="1" applyBorder="1" applyAlignment="1">
      <alignment horizontal="left" vertical="center" wrapText="1"/>
    </xf>
    <xf numFmtId="0" fontId="36" fillId="6" borderId="0" xfId="0" applyFont="1" applyFill="1" applyAlignment="1">
      <alignment horizontal="left" vertical="center" wrapText="1"/>
    </xf>
    <xf numFmtId="0" fontId="36" fillId="6" borderId="1" xfId="0" applyFont="1" applyFill="1" applyBorder="1" applyAlignment="1">
      <alignment horizontal="left" vertical="center" wrapText="1"/>
    </xf>
    <xf numFmtId="167" fontId="35" fillId="2" borderId="0" xfId="102" applyNumberFormat="1" applyFont="1" applyFill="1" applyAlignment="1">
      <alignment horizontal="right"/>
    </xf>
    <xf numFmtId="169" fontId="35" fillId="2" borderId="0" xfId="102" applyNumberFormat="1" applyFont="1" applyFill="1" applyAlignment="1">
      <alignment horizontal="right"/>
    </xf>
    <xf numFmtId="169" fontId="36" fillId="2" borderId="0" xfId="102" applyNumberFormat="1" applyFont="1" applyFill="1" applyAlignment="1">
      <alignment horizontal="right"/>
    </xf>
    <xf numFmtId="0" fontId="32" fillId="0" borderId="0" xfId="105" applyFont="1"/>
    <xf numFmtId="0" fontId="58" fillId="0" borderId="0" xfId="105" applyFont="1"/>
    <xf numFmtId="0" fontId="58" fillId="0" borderId="0" xfId="105" applyFont="1" applyAlignment="1">
      <alignment horizontal="left"/>
    </xf>
    <xf numFmtId="0" fontId="53" fillId="0" borderId="1" xfId="105" applyFont="1" applyBorder="1"/>
    <xf numFmtId="0" fontId="53" fillId="0" borderId="0" xfId="105" applyFont="1" applyAlignment="1">
      <alignment horizontal="left"/>
    </xf>
    <xf numFmtId="0" fontId="53" fillId="0" borderId="0" xfId="105" applyFont="1"/>
    <xf numFmtId="0" fontId="6" fillId="0" borderId="0" xfId="105"/>
    <xf numFmtId="0" fontId="36" fillId="0" borderId="3" xfId="107" applyFont="1" applyBorder="1" applyAlignment="1">
      <alignment horizontal="right" vertical="center" wrapText="1"/>
    </xf>
    <xf numFmtId="0" fontId="53" fillId="0" borderId="3" xfId="105" applyFont="1" applyBorder="1"/>
    <xf numFmtId="0" fontId="36" fillId="0" borderId="0" xfId="107" applyFont="1" applyAlignment="1">
      <alignment horizontal="right" vertical="center" wrapText="1"/>
    </xf>
    <xf numFmtId="0" fontId="36" fillId="0" borderId="1" xfId="107" applyFont="1" applyBorder="1" applyAlignment="1">
      <alignment horizontal="right" vertical="center" wrapText="1"/>
    </xf>
    <xf numFmtId="0" fontId="36" fillId="0" borderId="0" xfId="105" applyFont="1" applyAlignment="1">
      <alignment horizontal="left" vertical="center" wrapText="1"/>
    </xf>
    <xf numFmtId="0" fontId="36" fillId="0" borderId="0" xfId="105" applyFont="1" applyAlignment="1">
      <alignment horizontal="right" vertical="center" wrapText="1"/>
    </xf>
    <xf numFmtId="0" fontId="53" fillId="0" borderId="0" xfId="105" applyFont="1" applyAlignment="1">
      <alignment horizontal="right"/>
    </xf>
    <xf numFmtId="167" fontId="36" fillId="0" borderId="0" xfId="105" applyNumberFormat="1" applyFont="1"/>
    <xf numFmtId="167" fontId="36" fillId="0" borderId="0" xfId="105" applyNumberFormat="1" applyFont="1" applyAlignment="1">
      <alignment horizontal="right"/>
    </xf>
    <xf numFmtId="167" fontId="34" fillId="0" borderId="0" xfId="105" applyNumberFormat="1" applyFont="1"/>
    <xf numFmtId="167" fontId="35" fillId="0" borderId="0" xfId="105" applyNumberFormat="1" applyFont="1"/>
    <xf numFmtId="167" fontId="35" fillId="0" borderId="0" xfId="105" applyNumberFormat="1" applyFont="1" applyAlignment="1">
      <alignment horizontal="right"/>
    </xf>
    <xf numFmtId="167" fontId="33" fillId="0" borderId="0" xfId="105" applyNumberFormat="1" applyFont="1"/>
    <xf numFmtId="167" fontId="35" fillId="0" borderId="0" xfId="105" applyNumberFormat="1" applyFont="1" applyAlignment="1">
      <alignment horizontal="left"/>
    </xf>
    <xf numFmtId="0" fontId="53" fillId="0" borderId="5" xfId="105" applyFont="1" applyBorder="1"/>
    <xf numFmtId="0" fontId="53" fillId="0" borderId="1" xfId="105" applyFont="1" applyBorder="1" applyAlignment="1">
      <alignment horizontal="left"/>
    </xf>
    <xf numFmtId="0" fontId="53" fillId="0" borderId="1" xfId="105" applyFont="1" applyBorder="1" applyAlignment="1">
      <alignment horizontal="right"/>
    </xf>
    <xf numFmtId="166" fontId="35" fillId="0" borderId="1" xfId="105" applyNumberFormat="1" applyFont="1" applyBorder="1" applyAlignment="1">
      <alignment horizontal="right"/>
    </xf>
    <xf numFmtId="166" fontId="35" fillId="0" borderId="0" xfId="105" applyNumberFormat="1" applyFont="1"/>
    <xf numFmtId="0" fontId="6" fillId="0" borderId="0" xfId="105" applyAlignment="1">
      <alignment horizontal="left"/>
    </xf>
    <xf numFmtId="169" fontId="35" fillId="0" borderId="0" xfId="105" applyNumberFormat="1" applyFont="1" applyAlignment="1">
      <alignment horizontal="right"/>
    </xf>
    <xf numFmtId="169" fontId="36" fillId="0" borderId="0" xfId="105" applyNumberFormat="1" applyFont="1" applyAlignment="1">
      <alignment horizontal="right"/>
    </xf>
    <xf numFmtId="167" fontId="35" fillId="2" borderId="0" xfId="108" applyNumberFormat="1" applyFont="1" applyFill="1" applyAlignment="1">
      <alignment horizontal="right"/>
    </xf>
    <xf numFmtId="169" fontId="35" fillId="2" borderId="0" xfId="108" applyNumberFormat="1" applyFont="1" applyFill="1" applyAlignment="1">
      <alignment horizontal="right"/>
    </xf>
    <xf numFmtId="169" fontId="36" fillId="2" borderId="0" xfId="108" applyNumberFormat="1" applyFont="1" applyFill="1" applyAlignment="1">
      <alignment horizontal="right"/>
    </xf>
    <xf numFmtId="0" fontId="36" fillId="2" borderId="1" xfId="2" applyFont="1" applyFill="1" applyBorder="1" applyAlignment="1">
      <alignment horizontal="right" vertical="center" wrapText="1"/>
    </xf>
    <xf numFmtId="0" fontId="36" fillId="2" borderId="2" xfId="27" applyFont="1" applyFill="1" applyBorder="1" applyAlignment="1">
      <alignment horizontal="center" vertical="center"/>
    </xf>
    <xf numFmtId="0" fontId="36" fillId="2" borderId="0" xfId="2" applyFont="1" applyFill="1" applyAlignment="1">
      <alignment horizontal="right" vertical="center" wrapText="1"/>
    </xf>
    <xf numFmtId="0" fontId="32" fillId="0" borderId="0" xfId="111" applyFont="1"/>
    <xf numFmtId="0" fontId="35" fillId="2" borderId="0" xfId="13" applyFont="1" applyFill="1" applyAlignment="1">
      <alignment horizontal="left" vertical="center"/>
    </xf>
    <xf numFmtId="0" fontId="36" fillId="2" borderId="0" xfId="2" applyFont="1" applyFill="1" applyAlignment="1">
      <alignment vertical="center"/>
    </xf>
    <xf numFmtId="0" fontId="36" fillId="0" borderId="1" xfId="2" applyFont="1" applyBorder="1" applyAlignment="1">
      <alignment horizontal="right" vertical="center" wrapText="1"/>
    </xf>
    <xf numFmtId="167" fontId="36" fillId="2" borderId="0" xfId="11" applyNumberFormat="1" applyFont="1" applyFill="1" applyAlignment="1" applyProtection="1">
      <alignment vertical="center" wrapText="1" readingOrder="1"/>
      <protection locked="0"/>
    </xf>
    <xf numFmtId="167" fontId="35" fillId="2" borderId="0" xfId="2" applyNumberFormat="1" applyFont="1" applyFill="1" applyAlignment="1">
      <alignment horizontal="left" indent="1"/>
    </xf>
    <xf numFmtId="167" fontId="36" fillId="2" borderId="0" xfId="11" applyNumberFormat="1" applyFont="1" applyFill="1" applyAlignment="1">
      <alignment horizontal="left" readingOrder="1"/>
    </xf>
    <xf numFmtId="167" fontId="36" fillId="0" borderId="0" xfId="11" applyNumberFormat="1" applyFont="1" applyAlignment="1">
      <alignment horizontal="left" readingOrder="1"/>
    </xf>
    <xf numFmtId="169" fontId="35" fillId="2" borderId="0" xfId="13" applyNumberFormat="1" applyFont="1" applyFill="1" applyAlignment="1">
      <alignment horizontal="right"/>
    </xf>
    <xf numFmtId="169" fontId="36" fillId="2" borderId="0" xfId="13" applyNumberFormat="1" applyFont="1" applyFill="1" applyAlignment="1">
      <alignment horizontal="right"/>
    </xf>
    <xf numFmtId="0" fontId="32" fillId="2" borderId="0" xfId="112" applyFont="1" applyFill="1"/>
    <xf numFmtId="0" fontId="30" fillId="2" borderId="0" xfId="2" applyFill="1"/>
    <xf numFmtId="0" fontId="30" fillId="2" borderId="0" xfId="2" applyFill="1" applyAlignment="1">
      <alignment horizontal="left" vertical="center"/>
    </xf>
    <xf numFmtId="169" fontId="36" fillId="0" borderId="0" xfId="2" applyNumberFormat="1" applyFont="1" applyAlignment="1">
      <alignment horizontal="right" wrapText="1"/>
    </xf>
    <xf numFmtId="169" fontId="35" fillId="2" borderId="0" xfId="27" applyNumberFormat="1" applyFont="1" applyFill="1" applyAlignment="1">
      <alignment horizontal="right"/>
    </xf>
    <xf numFmtId="169" fontId="35" fillId="0" borderId="0" xfId="14" applyNumberFormat="1" applyFont="1" applyAlignment="1">
      <alignment horizontal="right" vertical="center"/>
    </xf>
    <xf numFmtId="169" fontId="35" fillId="0" borderId="0" xfId="2" applyNumberFormat="1" applyFont="1" applyAlignment="1">
      <alignment horizontal="right" vertical="center"/>
    </xf>
    <xf numFmtId="169" fontId="35" fillId="0" borderId="0" xfId="27" applyNumberFormat="1" applyFont="1" applyAlignment="1">
      <alignment horizontal="right"/>
    </xf>
    <xf numFmtId="169" fontId="36" fillId="2" borderId="0" xfId="27" applyNumberFormat="1" applyFont="1" applyFill="1" applyAlignment="1">
      <alignment horizontal="right"/>
    </xf>
    <xf numFmtId="169" fontId="36" fillId="0" borderId="0" xfId="27" applyNumberFormat="1" applyFont="1" applyAlignment="1">
      <alignment horizontal="right"/>
    </xf>
    <xf numFmtId="169" fontId="36" fillId="2" borderId="0" xfId="2" applyNumberFormat="1" applyFont="1" applyFill="1" applyAlignment="1">
      <alignment horizontal="right"/>
    </xf>
    <xf numFmtId="0" fontId="36" fillId="2" borderId="0" xfId="2" applyFont="1" applyFill="1" applyAlignment="1">
      <alignment horizontal="right" vertical="center" wrapText="1"/>
    </xf>
    <xf numFmtId="0" fontId="36" fillId="2" borderId="1" xfId="2" applyFont="1" applyFill="1" applyBorder="1" applyAlignment="1">
      <alignment horizontal="right" vertical="center" wrapText="1"/>
    </xf>
    <xf numFmtId="0" fontId="36" fillId="2" borderId="2" xfId="27" applyFont="1" applyFill="1" applyBorder="1" applyAlignment="1">
      <alignment horizontal="center" vertical="center"/>
    </xf>
    <xf numFmtId="0" fontId="32" fillId="0" borderId="0" xfId="113" applyFont="1"/>
    <xf numFmtId="0" fontId="36" fillId="2" borderId="0" xfId="11" applyFont="1" applyFill="1" applyAlignment="1">
      <alignment horizontal="left" readingOrder="1"/>
    </xf>
    <xf numFmtId="0" fontId="36" fillId="0" borderId="0" xfId="11" applyFont="1" applyAlignment="1">
      <alignment horizontal="left" readingOrder="1"/>
    </xf>
    <xf numFmtId="0" fontId="32" fillId="2" borderId="0" xfId="114" applyFont="1" applyFill="1"/>
    <xf numFmtId="0" fontId="31" fillId="0" borderId="0" xfId="0" applyFont="1" applyAlignment="1">
      <alignment vertical="center"/>
    </xf>
    <xf numFmtId="0" fontId="67" fillId="8" borderId="7" xfId="31" applyFont="1" applyFill="1" applyBorder="1" applyAlignment="1">
      <alignment horizontal="center" vertical="center"/>
    </xf>
    <xf numFmtId="0" fontId="67" fillId="8" borderId="8" xfId="31" applyFont="1" applyFill="1" applyBorder="1" applyAlignment="1">
      <alignment horizontal="center" vertical="center"/>
    </xf>
    <xf numFmtId="0" fontId="52" fillId="0" borderId="16" xfId="31" applyFont="1" applyBorder="1" applyAlignment="1">
      <alignment horizontal="left" vertical="center" wrapText="1" indent="1"/>
    </xf>
    <xf numFmtId="0" fontId="52" fillId="0" borderId="15" xfId="31" applyFont="1" applyBorder="1" applyAlignment="1">
      <alignment horizontal="left" vertical="center" wrapText="1" indent="1"/>
    </xf>
    <xf numFmtId="0" fontId="52" fillId="0" borderId="17" xfId="31" applyFont="1" applyBorder="1" applyAlignment="1">
      <alignment horizontal="left" vertical="center" wrapText="1" indent="1"/>
    </xf>
    <xf numFmtId="0" fontId="65" fillId="0" borderId="0" xfId="31" applyFont="1" applyAlignment="1">
      <alignment horizontal="center" vertical="center"/>
    </xf>
    <xf numFmtId="0" fontId="66" fillId="0" borderId="0" xfId="31" applyFont="1" applyAlignment="1">
      <alignment horizontal="center" vertical="center"/>
    </xf>
    <xf numFmtId="0" fontId="67" fillId="7" borderId="0" xfId="31" applyFont="1" applyFill="1" applyAlignment="1">
      <alignment horizontal="center" vertical="center"/>
    </xf>
    <xf numFmtId="0" fontId="31" fillId="0" borderId="0" xfId="11" applyFont="1" applyAlignment="1">
      <alignment horizontal="center" vertical="center"/>
    </xf>
    <xf numFmtId="0" fontId="31" fillId="0" borderId="0" xfId="31" applyFont="1" applyAlignment="1">
      <alignment horizontal="right"/>
    </xf>
    <xf numFmtId="0" fontId="52" fillId="0" borderId="20" xfId="31" applyFont="1" applyBorder="1" applyAlignment="1">
      <alignment horizontal="left" vertical="center" wrapText="1" indent="1"/>
    </xf>
    <xf numFmtId="0" fontId="52" fillId="0" borderId="19" xfId="31" applyFont="1" applyBorder="1" applyAlignment="1">
      <alignment horizontal="left" vertical="center" wrapText="1" indent="1"/>
    </xf>
    <xf numFmtId="0" fontId="52" fillId="0" borderId="21" xfId="31" applyFont="1" applyBorder="1" applyAlignment="1">
      <alignment horizontal="left" vertical="center" wrapText="1" indent="1"/>
    </xf>
    <xf numFmtId="0" fontId="69" fillId="0" borderId="9" xfId="32" applyFont="1" applyFill="1" applyBorder="1" applyAlignment="1">
      <alignment horizontal="center" vertical="center" wrapText="1"/>
    </xf>
    <xf numFmtId="0" fontId="70" fillId="0" borderId="14" xfId="32" applyFont="1" applyFill="1" applyBorder="1" applyAlignment="1">
      <alignment horizontal="center" vertical="center" wrapText="1"/>
    </xf>
    <xf numFmtId="0" fontId="70" fillId="0" borderId="18" xfId="32" applyFont="1" applyFill="1" applyBorder="1" applyAlignment="1">
      <alignment horizontal="center" vertical="center" wrapText="1"/>
    </xf>
    <xf numFmtId="0" fontId="52" fillId="0" borderId="11" xfId="31" applyFont="1" applyBorder="1" applyAlignment="1">
      <alignment horizontal="left" vertical="center" wrapText="1" indent="1"/>
    </xf>
    <xf numFmtId="0" fontId="52" fillId="0" borderId="12" xfId="31" applyFont="1" applyBorder="1" applyAlignment="1">
      <alignment horizontal="left" vertical="center" wrapText="1" indent="1"/>
    </xf>
    <xf numFmtId="0" fontId="52" fillId="0" borderId="13" xfId="31" applyFont="1" applyBorder="1" applyAlignment="1">
      <alignment horizontal="left" vertical="center" wrapText="1" indent="1"/>
    </xf>
    <xf numFmtId="0" fontId="38" fillId="0" borderId="0" xfId="11" applyFont="1" applyAlignment="1">
      <alignment horizontal="left" vertical="center" wrapText="1"/>
    </xf>
    <xf numFmtId="0" fontId="36" fillId="0" borderId="3" xfId="11" applyFont="1" applyBorder="1" applyAlignment="1">
      <alignment horizontal="left" vertical="center" wrapText="1"/>
    </xf>
    <xf numFmtId="0" fontId="36" fillId="0" borderId="0" xfId="11" applyFont="1" applyAlignment="1">
      <alignment horizontal="left" vertical="center" wrapText="1"/>
    </xf>
    <xf numFmtId="0" fontId="36" fillId="0" borderId="1" xfId="11" applyFont="1" applyBorder="1" applyAlignment="1">
      <alignment horizontal="left" vertical="center" wrapText="1"/>
    </xf>
    <xf numFmtId="0" fontId="36" fillId="0" borderId="3" xfId="11" applyFont="1" applyBorder="1" applyAlignment="1">
      <alignment horizontal="right" vertical="center" wrapText="1"/>
    </xf>
    <xf numFmtId="0" fontId="36" fillId="0" borderId="0" xfId="11" applyFont="1" applyAlignment="1">
      <alignment horizontal="right" vertical="center" wrapText="1"/>
    </xf>
    <xf numFmtId="0" fontId="36" fillId="0" borderId="1" xfId="11" applyFont="1" applyBorder="1" applyAlignment="1">
      <alignment horizontal="right" vertical="center" wrapText="1"/>
    </xf>
    <xf numFmtId="0" fontId="36" fillId="0" borderId="2" xfId="11" applyFont="1" applyBorder="1" applyAlignment="1">
      <alignment horizontal="center" vertical="center" wrapText="1"/>
    </xf>
    <xf numFmtId="0" fontId="38" fillId="0" borderId="0" xfId="11" applyFont="1" applyAlignment="1">
      <alignment horizontal="left" vertical="top" wrapText="1"/>
    </xf>
    <xf numFmtId="0" fontId="43" fillId="0" borderId="3" xfId="11" applyFont="1" applyBorder="1" applyAlignment="1">
      <alignment horizontal="left" vertical="center" wrapText="1"/>
    </xf>
    <xf numFmtId="0" fontId="43" fillId="0" borderId="1" xfId="11" applyFont="1" applyBorder="1" applyAlignment="1">
      <alignment horizontal="left" vertical="center" wrapText="1"/>
    </xf>
    <xf numFmtId="0" fontId="43" fillId="0" borderId="3" xfId="11" applyFont="1" applyBorder="1" applyAlignment="1">
      <alignment horizontal="right" vertical="center" wrapText="1"/>
    </xf>
    <xf numFmtId="0" fontId="43" fillId="0" borderId="1" xfId="11" applyFont="1" applyBorder="1" applyAlignment="1">
      <alignment horizontal="right" vertical="center" wrapText="1"/>
    </xf>
    <xf numFmtId="0" fontId="34" fillId="0" borderId="3" xfId="11" applyFont="1" applyBorder="1" applyAlignment="1">
      <alignment horizontal="right" vertical="center" wrapText="1"/>
    </xf>
    <xf numFmtId="0" fontId="34" fillId="0" borderId="1" xfId="11" applyFont="1" applyBorder="1" applyAlignment="1">
      <alignment horizontal="right" vertical="center" wrapText="1"/>
    </xf>
    <xf numFmtId="0" fontId="46" fillId="6" borderId="3" xfId="0" applyFont="1" applyFill="1" applyBorder="1" applyAlignment="1">
      <alignment horizontal="left" vertical="center" wrapText="1"/>
    </xf>
    <xf numFmtId="0" fontId="46" fillId="6" borderId="0" xfId="0" applyFont="1" applyFill="1" applyAlignment="1">
      <alignment horizontal="left" vertical="center" wrapText="1"/>
    </xf>
    <xf numFmtId="0" fontId="46" fillId="6" borderId="1" xfId="0" applyFont="1" applyFill="1" applyBorder="1" applyAlignment="1">
      <alignment horizontal="left" vertical="center" wrapText="1"/>
    </xf>
    <xf numFmtId="0" fontId="34" fillId="2" borderId="3" xfId="60" applyFont="1" applyFill="1" applyBorder="1" applyAlignment="1">
      <alignment horizontal="right" vertical="center" wrapText="1"/>
    </xf>
    <xf numFmtId="0" fontId="34" fillId="2" borderId="0" xfId="60" applyFont="1" applyFill="1" applyAlignment="1">
      <alignment horizontal="right" vertical="center" wrapText="1"/>
    </xf>
    <xf numFmtId="0" fontId="34" fillId="2" borderId="1" xfId="60" applyFont="1" applyFill="1" applyBorder="1" applyAlignment="1">
      <alignment horizontal="right" vertical="center" wrapText="1"/>
    </xf>
    <xf numFmtId="0" fontId="38" fillId="2" borderId="0" xfId="62" applyFont="1" applyFill="1" applyAlignment="1">
      <alignment horizontal="left" vertical="top" wrapText="1"/>
    </xf>
    <xf numFmtId="0" fontId="36" fillId="6" borderId="3" xfId="0" applyFont="1" applyFill="1" applyBorder="1" applyAlignment="1">
      <alignment horizontal="left" vertical="center" wrapText="1"/>
    </xf>
    <xf numFmtId="0" fontId="36" fillId="6" borderId="0" xfId="0" applyFont="1" applyFill="1" applyAlignment="1">
      <alignment horizontal="left" vertical="center" wrapText="1"/>
    </xf>
    <xf numFmtId="0" fontId="36" fillId="6" borderId="1" xfId="0" applyFont="1" applyFill="1" applyBorder="1" applyAlignment="1">
      <alignment horizontal="left" vertical="center" wrapText="1"/>
    </xf>
    <xf numFmtId="0" fontId="36" fillId="2" borderId="3" xfId="63" applyFont="1" applyFill="1" applyBorder="1" applyAlignment="1">
      <alignment horizontal="right" vertical="center" wrapText="1"/>
    </xf>
    <xf numFmtId="0" fontId="36" fillId="2" borderId="0" xfId="63" applyFont="1" applyFill="1" applyAlignment="1">
      <alignment horizontal="right" vertical="center" wrapText="1"/>
    </xf>
    <xf numFmtId="0" fontId="36" fillId="2" borderId="1" xfId="63" applyFont="1" applyFill="1" applyBorder="1" applyAlignment="1">
      <alignment horizontal="right" vertical="center" wrapText="1"/>
    </xf>
    <xf numFmtId="0" fontId="36" fillId="0" borderId="2" xfId="61" applyFont="1" applyBorder="1" applyAlignment="1">
      <alignment horizontal="center" vertical="center" wrapText="1"/>
    </xf>
    <xf numFmtId="0" fontId="36" fillId="2" borderId="1" xfId="13" applyFont="1" applyFill="1" applyBorder="1" applyAlignment="1">
      <alignment horizontal="center" vertical="center"/>
    </xf>
    <xf numFmtId="0" fontId="36" fillId="2" borderId="1" xfId="13" applyFont="1" applyFill="1" applyBorder="1" applyAlignment="1">
      <alignment horizontal="center" vertical="center" wrapText="1"/>
    </xf>
    <xf numFmtId="0" fontId="38" fillId="2" borderId="0" xfId="65" applyFont="1" applyFill="1" applyAlignment="1">
      <alignment horizontal="left" vertical="top" wrapText="1"/>
    </xf>
    <xf numFmtId="0" fontId="36" fillId="2" borderId="3" xfId="67" applyFont="1" applyFill="1" applyBorder="1" applyAlignment="1">
      <alignment horizontal="right" vertical="center" wrapText="1"/>
    </xf>
    <xf numFmtId="0" fontId="36" fillId="2" borderId="0" xfId="67" applyFont="1" applyFill="1" applyAlignment="1">
      <alignment horizontal="right" vertical="center" wrapText="1"/>
    </xf>
    <xf numFmtId="0" fontId="36" fillId="2" borderId="1" xfId="67" applyFont="1" applyFill="1" applyBorder="1" applyAlignment="1">
      <alignment horizontal="right" vertical="center" wrapText="1"/>
    </xf>
    <xf numFmtId="0" fontId="36" fillId="2" borderId="2" xfId="68" applyFont="1" applyFill="1" applyBorder="1" applyAlignment="1">
      <alignment horizontal="center" vertical="center" wrapText="1"/>
    </xf>
    <xf numFmtId="0" fontId="36" fillId="2" borderId="5" xfId="69" applyFont="1" applyFill="1" applyBorder="1" applyAlignment="1">
      <alignment horizontal="center" vertical="center" wrapText="1"/>
    </xf>
    <xf numFmtId="0" fontId="38" fillId="2" borderId="0" xfId="71" applyFont="1" applyFill="1" applyAlignment="1">
      <alignment horizontal="left" vertical="top" wrapText="1"/>
    </xf>
    <xf numFmtId="0" fontId="36" fillId="2" borderId="3" xfId="72" applyFont="1" applyFill="1" applyBorder="1" applyAlignment="1">
      <alignment horizontal="right" vertical="center" wrapText="1"/>
    </xf>
    <xf numFmtId="0" fontId="36" fillId="2" borderId="0" xfId="72" applyFont="1" applyFill="1" applyAlignment="1">
      <alignment horizontal="right" vertical="center" wrapText="1"/>
    </xf>
    <xf numFmtId="0" fontId="36" fillId="2" borderId="1" xfId="72" applyFont="1" applyFill="1" applyBorder="1" applyAlignment="1">
      <alignment horizontal="right" vertical="center" wrapText="1"/>
    </xf>
    <xf numFmtId="0" fontId="36" fillId="2" borderId="2" xfId="73" applyFont="1" applyFill="1" applyBorder="1" applyAlignment="1">
      <alignment horizontal="center" vertical="center" wrapText="1"/>
    </xf>
    <xf numFmtId="0" fontId="36" fillId="2" borderId="2" xfId="72" applyFont="1" applyFill="1" applyBorder="1" applyAlignment="1">
      <alignment horizontal="center" vertical="center" wrapText="1"/>
    </xf>
    <xf numFmtId="0" fontId="35" fillId="6" borderId="0" xfId="0" applyFont="1" applyFill="1" applyAlignment="1">
      <alignment horizontal="left" vertical="center" wrapText="1"/>
    </xf>
    <xf numFmtId="0" fontId="38" fillId="2" borderId="0" xfId="75" applyFont="1" applyFill="1" applyAlignment="1">
      <alignment horizontal="left" vertical="top" wrapText="1"/>
    </xf>
    <xf numFmtId="0" fontId="36" fillId="2" borderId="3" xfId="76" applyFont="1" applyFill="1" applyBorder="1" applyAlignment="1">
      <alignment horizontal="right" vertical="center" wrapText="1"/>
    </xf>
    <xf numFmtId="0" fontId="36" fillId="2" borderId="0" xfId="76" applyFont="1" applyFill="1" applyAlignment="1">
      <alignment horizontal="right" vertical="center" wrapText="1"/>
    </xf>
    <xf numFmtId="0" fontId="36" fillId="2" borderId="1" xfId="76" applyFont="1" applyFill="1" applyBorder="1" applyAlignment="1">
      <alignment horizontal="right" vertical="center" wrapText="1"/>
    </xf>
    <xf numFmtId="0" fontId="36" fillId="2" borderId="2" xfId="77" applyFont="1" applyFill="1" applyBorder="1" applyAlignment="1">
      <alignment horizontal="center" vertical="center" wrapText="1"/>
    </xf>
    <xf numFmtId="0" fontId="36" fillId="2" borderId="2" xfId="78" applyFont="1" applyFill="1" applyBorder="1" applyAlignment="1">
      <alignment horizontal="center" vertical="center"/>
    </xf>
    <xf numFmtId="0" fontId="36" fillId="2" borderId="2" xfId="79" applyFont="1" applyFill="1" applyBorder="1" applyAlignment="1">
      <alignment horizontal="center" vertical="center" wrapText="1"/>
    </xf>
    <xf numFmtId="0" fontId="38" fillId="2" borderId="0" xfId="81" applyFont="1" applyFill="1" applyAlignment="1">
      <alignment horizontal="left" vertical="top" wrapText="1"/>
    </xf>
    <xf numFmtId="0" fontId="38" fillId="2" borderId="0" xfId="86" applyFont="1" applyFill="1" applyAlignment="1">
      <alignment horizontal="left" vertical="top" wrapText="1"/>
    </xf>
    <xf numFmtId="0" fontId="34" fillId="2" borderId="3" xfId="87" applyFont="1" applyFill="1" applyBorder="1" applyAlignment="1">
      <alignment horizontal="right" vertical="center" wrapText="1"/>
    </xf>
    <xf numFmtId="0" fontId="34" fillId="2" borderId="0" xfId="87" applyFont="1" applyFill="1" applyAlignment="1">
      <alignment horizontal="right" vertical="center" wrapText="1"/>
    </xf>
    <xf numFmtId="0" fontId="34" fillId="2" borderId="1" xfId="87" applyFont="1" applyFill="1" applyBorder="1" applyAlignment="1">
      <alignment horizontal="right" vertical="center" wrapText="1"/>
    </xf>
    <xf numFmtId="0" fontId="34" fillId="2" borderId="2" xfId="88" applyFont="1" applyFill="1" applyBorder="1" applyAlignment="1">
      <alignment horizontal="center" vertical="center" wrapText="1"/>
    </xf>
    <xf numFmtId="0" fontId="34" fillId="2" borderId="2" xfId="89" applyFont="1" applyFill="1" applyBorder="1" applyAlignment="1">
      <alignment horizontal="center" vertical="center" wrapText="1"/>
    </xf>
    <xf numFmtId="0" fontId="38" fillId="2" borderId="0" xfId="91" applyFont="1" applyFill="1" applyAlignment="1">
      <alignment horizontal="left" vertical="top" wrapText="1"/>
    </xf>
    <xf numFmtId="0" fontId="36" fillId="2" borderId="3" xfId="93" applyFont="1" applyFill="1" applyBorder="1" applyAlignment="1">
      <alignment horizontal="right" vertical="center" wrapText="1"/>
    </xf>
    <xf numFmtId="0" fontId="36" fillId="2" borderId="0" xfId="93" applyFont="1" applyFill="1" applyAlignment="1">
      <alignment horizontal="right" vertical="center" wrapText="1"/>
    </xf>
    <xf numFmtId="0" fontId="36" fillId="2" borderId="1" xfId="93" applyFont="1" applyFill="1" applyBorder="1" applyAlignment="1">
      <alignment horizontal="right" vertical="center" wrapText="1"/>
    </xf>
    <xf numFmtId="0" fontId="36" fillId="2" borderId="2" xfId="94" applyFont="1" applyFill="1" applyBorder="1" applyAlignment="1">
      <alignment horizontal="center" vertical="center" wrapText="1"/>
    </xf>
    <xf numFmtId="0" fontId="36" fillId="2" borderId="3" xfId="95" applyFont="1" applyFill="1" applyBorder="1" applyAlignment="1">
      <alignment horizontal="center" vertical="center" wrapText="1"/>
    </xf>
    <xf numFmtId="0" fontId="36" fillId="2" borderId="1" xfId="95" applyFont="1" applyFill="1" applyBorder="1" applyAlignment="1">
      <alignment horizontal="center" vertical="center" wrapText="1"/>
    </xf>
    <xf numFmtId="0" fontId="36" fillId="2" borderId="2" xfId="95" applyFont="1" applyFill="1" applyBorder="1" applyAlignment="1">
      <alignment horizontal="center" vertical="center" wrapText="1"/>
    </xf>
    <xf numFmtId="0" fontId="36" fillId="2" borderId="3" xfId="101" applyFont="1" applyFill="1" applyBorder="1" applyAlignment="1">
      <alignment horizontal="right" vertical="center" wrapText="1"/>
    </xf>
    <xf numFmtId="0" fontId="36" fillId="2" borderId="0" xfId="101" applyFont="1" applyFill="1" applyAlignment="1">
      <alignment horizontal="right" vertical="center" wrapText="1"/>
    </xf>
    <xf numFmtId="0" fontId="36" fillId="2" borderId="1" xfId="101" applyFont="1" applyFill="1" applyBorder="1" applyAlignment="1">
      <alignment horizontal="right" vertical="center" wrapText="1"/>
    </xf>
    <xf numFmtId="0" fontId="38" fillId="2" borderId="0" xfId="100" applyFont="1" applyFill="1" applyAlignment="1">
      <alignment horizontal="left" vertical="top" wrapText="1"/>
    </xf>
    <xf numFmtId="0" fontId="36" fillId="2" borderId="3" xfId="107" applyFont="1" applyFill="1" applyBorder="1" applyAlignment="1">
      <alignment horizontal="right" vertical="center" wrapText="1"/>
    </xf>
    <xf numFmtId="0" fontId="36" fillId="2" borderId="0" xfId="107" applyFont="1" applyFill="1" applyAlignment="1">
      <alignment horizontal="right" vertical="center" wrapText="1"/>
    </xf>
    <xf numFmtId="0" fontId="36" fillId="2" borderId="1" xfId="107" applyFont="1" applyFill="1" applyBorder="1" applyAlignment="1">
      <alignment horizontal="right" vertical="center" wrapText="1"/>
    </xf>
    <xf numFmtId="0" fontId="38" fillId="2" borderId="0" xfId="106" applyFont="1" applyFill="1" applyAlignment="1">
      <alignment horizontal="left" vertical="top" wrapText="1"/>
    </xf>
    <xf numFmtId="0" fontId="38" fillId="2" borderId="0" xfId="14" applyFont="1" applyFill="1" applyAlignment="1">
      <alignment horizontal="left" vertical="center" wrapText="1"/>
    </xf>
    <xf numFmtId="0" fontId="36" fillId="2" borderId="3" xfId="2" applyFont="1" applyFill="1" applyBorder="1" applyAlignment="1">
      <alignment horizontal="left" vertical="center" wrapText="1"/>
    </xf>
    <xf numFmtId="0" fontId="36" fillId="2" borderId="0" xfId="2" applyFont="1" applyFill="1" applyAlignment="1">
      <alignment horizontal="left" vertical="center" wrapText="1"/>
    </xf>
    <xf numFmtId="0" fontId="36" fillId="2" borderId="1" xfId="2" applyFont="1" applyFill="1" applyBorder="1" applyAlignment="1">
      <alignment horizontal="left" vertical="center" wrapText="1"/>
    </xf>
    <xf numFmtId="0" fontId="36" fillId="2" borderId="3" xfId="2" applyFont="1" applyFill="1" applyBorder="1" applyAlignment="1">
      <alignment horizontal="right" vertical="center" wrapText="1"/>
    </xf>
    <xf numFmtId="0" fontId="36" fillId="2" borderId="0" xfId="2" applyFont="1" applyFill="1" applyAlignment="1">
      <alignment horizontal="right" vertical="center" wrapText="1"/>
    </xf>
    <xf numFmtId="0" fontId="36" fillId="2" borderId="1" xfId="2" applyFont="1" applyFill="1" applyBorder="1" applyAlignment="1">
      <alignment horizontal="right" vertical="center" wrapText="1"/>
    </xf>
    <xf numFmtId="0" fontId="36" fillId="2" borderId="2" xfId="13" applyFont="1" applyFill="1" applyBorder="1" applyAlignment="1">
      <alignment horizontal="center" vertical="center"/>
    </xf>
    <xf numFmtId="0" fontId="38" fillId="0" borderId="0" xfId="14" applyFont="1" applyAlignment="1">
      <alignment horizontal="left" vertical="center" wrapText="1"/>
    </xf>
    <xf numFmtId="0" fontId="36" fillId="2" borderId="3" xfId="2" applyFont="1" applyFill="1" applyBorder="1" applyAlignment="1">
      <alignment horizontal="center" vertical="center" wrapText="1"/>
    </xf>
    <xf numFmtId="0" fontId="36" fillId="2" borderId="1" xfId="2" applyFont="1" applyFill="1" applyBorder="1" applyAlignment="1">
      <alignment horizontal="center" vertical="center" wrapText="1"/>
    </xf>
    <xf numFmtId="0" fontId="36" fillId="2" borderId="2" xfId="27" applyFont="1" applyFill="1" applyBorder="1" applyAlignment="1">
      <alignment horizontal="center" vertical="center" wrapText="1"/>
    </xf>
    <xf numFmtId="0" fontId="36" fillId="2" borderId="2" xfId="27" applyFont="1" applyFill="1" applyBorder="1" applyAlignment="1">
      <alignment horizontal="center" vertical="center"/>
    </xf>
  </cellXfs>
  <cellStyles count="115">
    <cellStyle name="Hipervínculo" xfId="30" builtinId="8"/>
    <cellStyle name="Hipervínculo 2" xfId="32" xr:uid="{BFCA8CD2-347E-4F7F-8004-319B664CADF1}"/>
    <cellStyle name="Hipervínculo 2 2" xfId="6" xr:uid="{00000000-0005-0000-0000-000000000000}"/>
    <cellStyle name="Millares 2" xfId="9" xr:uid="{00000000-0005-0000-0000-000001000000}"/>
    <cellStyle name="Millares 2 2" xfId="7" xr:uid="{00000000-0005-0000-0000-000002000000}"/>
    <cellStyle name="Millares 2 2 2" xfId="26" xr:uid="{156327F1-260E-4485-AD88-DF6ED2B2E58F}"/>
    <cellStyle name="Millares 2 2 3" xfId="66" xr:uid="{A5CBAA40-8BE0-4F14-9A9B-24FD7A52936B}"/>
    <cellStyle name="Millares 2 2 4" xfId="92" xr:uid="{323DFA16-CB4F-47FB-B521-3B1F6E8AAE87}"/>
    <cellStyle name="Millares 3" xfId="23" xr:uid="{A26019EB-8C96-4E83-B30C-C1ECF248D920}"/>
    <cellStyle name="Millares 4" xfId="17" xr:uid="{D204205D-E9FD-42A6-B900-BD05AC771B65}"/>
    <cellStyle name="Normal" xfId="0" builtinId="0"/>
    <cellStyle name="Normal 10" xfId="3" xr:uid="{00000000-0005-0000-0000-000004000000}"/>
    <cellStyle name="Normal 10 2" xfId="15" xr:uid="{00000000-0005-0000-0000-000005000000}"/>
    <cellStyle name="Normal 10 2 2" xfId="29" xr:uid="{DB74D8B2-B73B-4B84-B4F4-5502A907A597}"/>
    <cellStyle name="Normal 10 3" xfId="19" xr:uid="{B1BAE04A-0714-4801-A9D6-196F03290DCF}"/>
    <cellStyle name="Normal 10 3 3 13" xfId="48" xr:uid="{A0E7FF2A-CA23-4102-BD35-88446877E5EF}"/>
    <cellStyle name="Normal 10 4" xfId="24" xr:uid="{C7E13E38-155F-41AE-8FAC-0131AF8C7E5C}"/>
    <cellStyle name="Normal 11" xfId="14" xr:uid="{00000000-0005-0000-0000-000006000000}"/>
    <cellStyle name="Normal 2" xfId="13" xr:uid="{00000000-0005-0000-0000-000007000000}"/>
    <cellStyle name="Normal 2 2" xfId="4" xr:uid="{00000000-0005-0000-0000-000008000000}"/>
    <cellStyle name="Normal 2 2 10" xfId="81" xr:uid="{0D71D06F-F318-436B-89CE-18AED885AF68}"/>
    <cellStyle name="Normal 2 2 11" xfId="86" xr:uid="{214A70FC-276C-484E-A5DB-E899887C5154}"/>
    <cellStyle name="Normal 2 2 12" xfId="91" xr:uid="{8F85E4B6-EACF-4766-A007-C061AF32E856}"/>
    <cellStyle name="Normal 2 2 13" xfId="100" xr:uid="{1EE174EA-787C-4E60-AFC0-884154A1E603}"/>
    <cellStyle name="Normal 2 2 14" xfId="103" xr:uid="{DA1BEDAE-2040-4AC9-9C80-D171E7A66320}"/>
    <cellStyle name="Normal 2 2 15" xfId="106" xr:uid="{662AF947-A0FB-488B-B44B-BA313534A44D}"/>
    <cellStyle name="Normal 2 2 16" xfId="109" xr:uid="{F1B0799F-8097-4987-97A8-A73A4D3B7856}"/>
    <cellStyle name="Normal 2 2 2" xfId="2" xr:uid="{00000000-0005-0000-0000-000009000000}"/>
    <cellStyle name="Normal 2 2 3" xfId="18" xr:uid="{0A18AC2A-06A0-47CC-9D13-5EF1C6CA39C0}"/>
    <cellStyle name="Normal 2 2 3 2" xfId="69" xr:uid="{E3B8F4E7-0639-46D2-B494-78F2EC4DE707}"/>
    <cellStyle name="Normal 2 2 4" xfId="22" xr:uid="{86F74144-233B-40E5-B199-CA808D676A4D}"/>
    <cellStyle name="Normal 2 2 4 2" xfId="78" xr:uid="{B66926C2-59FE-4CB9-8D6F-22BAF665C8D2}"/>
    <cellStyle name="Normal 2 2 4 3" xfId="83" xr:uid="{512FC9BF-ED94-4541-9D3D-AE58C2EC3C54}"/>
    <cellStyle name="Normal 2 2 4 4" xfId="95" xr:uid="{625E9CDD-90EA-4144-BD9D-7B93294F2171}"/>
    <cellStyle name="Normal 2 2 5" xfId="59" xr:uid="{8D058022-A672-4ACC-8D4F-35EAF82ED76B}"/>
    <cellStyle name="Normal 2 2 6" xfId="62" xr:uid="{23BDCC9E-F57B-4394-80F2-ADBDFC487E3B}"/>
    <cellStyle name="Normal 2 2 7" xfId="65" xr:uid="{3FBC6587-3AF3-4371-A8D9-89EA165A4C8D}"/>
    <cellStyle name="Normal 2 2 7 2" xfId="51" xr:uid="{EA611531-AB51-4511-B302-7CE1723F5593}"/>
    <cellStyle name="Normal 2 2 7 2 2" xfId="97" xr:uid="{73B33BC4-0392-450A-A0B3-34FBD0A7ECDC}"/>
    <cellStyle name="Normal 2 2 8" xfId="71" xr:uid="{F8499F73-51B5-45BA-9FD1-EAC57100B9A5}"/>
    <cellStyle name="Normal 2 2 9" xfId="75" xr:uid="{CE70E55E-6F45-48AC-AFF5-83328EC71FAE}"/>
    <cellStyle name="Normal 2 3 2" xfId="33" xr:uid="{B7F6B4DF-B3F7-4931-A567-F302FD1F74BE}"/>
    <cellStyle name="Normal 2 3 2 2" xfId="41" xr:uid="{D8A4F4FB-EB2C-407A-905D-15A70C474674}"/>
    <cellStyle name="Normal 2 3 3 2" xfId="44" xr:uid="{4519C61C-7CD3-441A-9760-7AFC1B33D276}"/>
    <cellStyle name="Normal 2 4 2" xfId="34" xr:uid="{AA71D35C-AED6-48B4-8EBB-33C18C94E5D4}"/>
    <cellStyle name="Normal 2 4 2 2" xfId="38" xr:uid="{C0753D1C-86DA-437E-9DC8-BDB566D38A3C}"/>
    <cellStyle name="Normal 2 4 3 2" xfId="42" xr:uid="{906BB099-983E-4B98-A154-1B0732DE067E}"/>
    <cellStyle name="Normal 2 5" xfId="27" xr:uid="{1A168B70-BB9F-4B20-AA8E-1D80F7ED08AB}"/>
    <cellStyle name="Normal 3" xfId="1" xr:uid="{00000000-0005-0000-0000-00000A000000}"/>
    <cellStyle name="Normal 3 10" xfId="85" xr:uid="{67AC20C6-F26E-4F47-B131-72FFECF5B99E}"/>
    <cellStyle name="Normal 3 11" xfId="90" xr:uid="{A1F1BC87-BB23-4FAD-BD4D-C7B2FFDF78C8}"/>
    <cellStyle name="Normal 3 12" xfId="99" xr:uid="{5960368C-A2BE-4575-94DF-99EA90629D16}"/>
    <cellStyle name="Normal 3 13" xfId="102" xr:uid="{5B2F2944-EF93-4EE9-AF91-ADD7AAA0477A}"/>
    <cellStyle name="Normal 3 14" xfId="105" xr:uid="{1C879A60-4450-410B-96EC-B4AAE69B2ADF}"/>
    <cellStyle name="Normal 3 15" xfId="108" xr:uid="{0DEFCE94-BF40-40FB-93F2-50F290A93AE9}"/>
    <cellStyle name="Normal 3 2" xfId="12" xr:uid="{00000000-0005-0000-0000-00000B000000}"/>
    <cellStyle name="Normal 3 2 2" xfId="16" xr:uid="{A9BA29C9-3047-486A-9B12-293C846C455A}"/>
    <cellStyle name="Normal 3 2 2 10" xfId="68" xr:uid="{03980868-8815-4E1A-B520-694BD63B1808}"/>
    <cellStyle name="Normal 3 2 2 11" xfId="73" xr:uid="{0D4AB56C-EA7B-4236-813F-8DA6AFD4E82F}"/>
    <cellStyle name="Normal 3 2 2 12" xfId="77" xr:uid="{55704011-29C6-4353-BA3E-C460ACB2B86B}"/>
    <cellStyle name="Normal 3 2 2 13" xfId="88" xr:uid="{1B4D379D-5F24-402C-8FA1-BD0DEA721957}"/>
    <cellStyle name="Normal 3 2 2 14" xfId="94" xr:uid="{0503B03A-339F-4289-94D0-01763A297680}"/>
    <cellStyle name="Normal 3 2 2 2" xfId="36" xr:uid="{75B2CC98-E890-4DD2-B0BD-D0392CACBD2B}"/>
    <cellStyle name="Normal 3 2 2 2 2" xfId="37" xr:uid="{D726D3F1-A1DD-402E-9A79-206704F8059B}"/>
    <cellStyle name="Normal 3 2 2 2 2 2" xfId="40" xr:uid="{EA62BD89-E0CF-4F3E-BA75-F06A2FC6E41D}"/>
    <cellStyle name="Normal 3 2 2 3" xfId="46" xr:uid="{F49D4989-CA43-40F9-BCE4-0EA989C8F11C}"/>
    <cellStyle name="Normal 3 2 2 4" xfId="43" xr:uid="{ACB268B8-1177-4655-81A5-F0212973CC17}"/>
    <cellStyle name="Normal 3 2 2 5" xfId="53" xr:uid="{2E01F3B5-2447-432D-9130-C35F62C5A1E4}"/>
    <cellStyle name="Normal 3 2 2 6" xfId="54" xr:uid="{4C347ABF-D49F-47C5-937A-11DEE5D63B35}"/>
    <cellStyle name="Normal 3 2 2 7" xfId="55" xr:uid="{9F8C7439-76B7-42EB-84D5-A7058256D1C4}"/>
    <cellStyle name="Normal 3 2 2 8" xfId="56" xr:uid="{6BC79C3B-4B8A-49C2-8202-3124658025A9}"/>
    <cellStyle name="Normal 3 2 2 9" xfId="57" xr:uid="{ED1C434E-6853-409B-90C0-F370321C75E3}"/>
    <cellStyle name="Normal 3 2 3" xfId="25" xr:uid="{D4F64793-EFF9-407D-9C55-A3DAC5084745}"/>
    <cellStyle name="Normal 3 2 3 2" xfId="47" xr:uid="{5AE95DEB-DABB-4882-AA31-6B99ACF139B2}"/>
    <cellStyle name="Normal 3 2 3 3" xfId="79" xr:uid="{2E543B2A-299D-4F22-901A-28909F2BA71D}"/>
    <cellStyle name="Normal 3 2 3 4" xfId="84" xr:uid="{96DEDE04-0B25-495E-98CB-093D046EC0F5}"/>
    <cellStyle name="Normal 3 2 4" xfId="49" xr:uid="{57A5B9BB-9834-4449-BEB9-0BA3D65D6E7D}"/>
    <cellStyle name="Normal 3 2 5" xfId="28" xr:uid="{4752A4CD-BEF0-4593-9DB5-6AE5559F64B7}"/>
    <cellStyle name="Normal 3 2 5 2" xfId="112" xr:uid="{4400F92B-056A-4055-A51A-453FF9B7AF0F}"/>
    <cellStyle name="Normal 3 2 5 3" xfId="114" xr:uid="{A2908DFB-36A2-472E-B0EE-B2295C37FF2D}"/>
    <cellStyle name="Normal 3 2 6" xfId="111" xr:uid="{AFAAEBFF-6EBE-4ECB-BAAF-5A479184EA53}"/>
    <cellStyle name="Normal 3 2 7" xfId="113" xr:uid="{A6B59FED-66B4-4A5B-9AD0-7853C6EA101C}"/>
    <cellStyle name="Normal 3 3" xfId="20" xr:uid="{DFC31904-65FA-4DF6-93D7-E59D319F701C}"/>
    <cellStyle name="Normal 3 3 2" xfId="35" xr:uid="{7EEED5E9-EAF6-4ADC-8347-52A9360F724A}"/>
    <cellStyle name="Normal 3 3 2 2" xfId="39" xr:uid="{652AEFC9-7FFD-4596-B1F5-E6769306B2C4}"/>
    <cellStyle name="Normal 3 3 3" xfId="45" xr:uid="{61D6EF50-6413-4D78-8838-19746DB08167}"/>
    <cellStyle name="Normal 3 4" xfId="58" xr:uid="{1D58C117-59B8-4596-93EB-8297A22460B0}"/>
    <cellStyle name="Normal 3 5" xfId="61" xr:uid="{255B59A3-0A28-4D7A-8A5E-A170FA8D409E}"/>
    <cellStyle name="Normal 3 6" xfId="64" xr:uid="{35F3EC87-EBD0-41C8-B947-F6B2616F8ECA}"/>
    <cellStyle name="Normal 3 6 2" xfId="50" xr:uid="{2AC23972-7A09-42D6-B0BB-0C21196E18F0}"/>
    <cellStyle name="Normal 3 6 2 2" xfId="96" xr:uid="{49F9B946-7ACB-403C-8676-50A791E307F2}"/>
    <cellStyle name="Normal 3 7" xfId="70" xr:uid="{BF351754-7F46-4718-A622-3D655A0E8E39}"/>
    <cellStyle name="Normal 3 8" xfId="74" xr:uid="{2C78970D-CD10-4EDC-91A7-5462ECBFB93F}"/>
    <cellStyle name="Normal 3 9" xfId="80" xr:uid="{F86EC2BE-342A-4FD4-8CFC-20E16EA28714}"/>
    <cellStyle name="Normal 4" xfId="5" xr:uid="{00000000-0005-0000-0000-00000C000000}"/>
    <cellStyle name="Normal 4 10" xfId="93" xr:uid="{63B2675F-9563-427A-A0F1-01B501654AA3}"/>
    <cellStyle name="Normal 4 11" xfId="101" xr:uid="{319CEE9B-8C8E-4955-884D-A17181DCD230}"/>
    <cellStyle name="Normal 4 12" xfId="104" xr:uid="{186D324B-3133-437C-8B62-71D246606BE8}"/>
    <cellStyle name="Normal 4 13" xfId="107" xr:uid="{6F968C8C-61A5-4FF5-BF1A-054D4FB54D01}"/>
    <cellStyle name="Normal 4 14" xfId="110" xr:uid="{F72D4ED8-2551-4043-81C6-CF02E8637818}"/>
    <cellStyle name="Normal 4 2" xfId="21" xr:uid="{2B28C96F-BCA3-4DB9-8DE0-90497FFD5FA1}"/>
    <cellStyle name="Normal 4 2 2" xfId="89" xr:uid="{CA01F83D-A53F-40CA-9F27-DAABFF208167}"/>
    <cellStyle name="Normal 4 3" xfId="60" xr:uid="{A7CAA8F7-4D93-4A49-B516-31604308BA7C}"/>
    <cellStyle name="Normal 4 4" xfId="63" xr:uid="{F3003E0C-C02E-4081-BDB5-8AB039039F6F}"/>
    <cellStyle name="Normal 4 5" xfId="67" xr:uid="{B3D5CE75-313F-442F-ACB7-F0CFA0CADE1D}"/>
    <cellStyle name="Normal 4 5 2" xfId="52" xr:uid="{C31FEA28-BDA3-4DE7-A009-4997EDD5082C}"/>
    <cellStyle name="Normal 4 5 2 2" xfId="98" xr:uid="{ACB051B0-A87B-49D8-9873-15323BAE8CFD}"/>
    <cellStyle name="Normal 4 6" xfId="72" xr:uid="{F15A80C4-9704-4B8D-B17E-20C6AE038378}"/>
    <cellStyle name="Normal 4 7" xfId="76" xr:uid="{E104BA9E-52B6-4833-9A8D-918DAE9CDA11}"/>
    <cellStyle name="Normal 4 8" xfId="82" xr:uid="{CB893A99-C080-4880-A10D-99C980877D65}"/>
    <cellStyle name="Normal 4 9" xfId="87" xr:uid="{C79F2E16-81E1-4BDC-B79D-324CDBAD0186}"/>
    <cellStyle name="Normal 5 2" xfId="10" xr:uid="{00000000-0005-0000-0000-00000D000000}"/>
    <cellStyle name="Normal 6" xfId="11" xr:uid="{00000000-0005-0000-0000-00000E000000}"/>
    <cellStyle name="Normal 7 2" xfId="31" xr:uid="{38E174D6-6539-4C3E-B04C-99B0FBB21523}"/>
    <cellStyle name="Normal 9" xfId="8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4C879953-910A-4929-BB1B-677DF1553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9F44298D-A9DA-472A-AF74-FD484B423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4" name="Imagen 3">
          <a:extLst>
            <a:ext uri="{FF2B5EF4-FFF2-40B4-BE49-F238E27FC236}">
              <a16:creationId xmlns:a16="http://schemas.microsoft.com/office/drawing/2014/main" id="{BFE8D630-3D6E-4BDF-AFDB-F7C8BC226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5" name="Imagen 4">
          <a:extLst>
            <a:ext uri="{FF2B5EF4-FFF2-40B4-BE49-F238E27FC236}">
              <a16:creationId xmlns:a16="http://schemas.microsoft.com/office/drawing/2014/main" id="{26E63465-42EC-41B7-B03F-420063B21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4D7C-0D36-4D54-A1E6-DDA53EE235D8}">
  <dimension ref="A1:O37"/>
  <sheetViews>
    <sheetView showGridLines="0" tabSelected="1" zoomScaleNormal="100" workbookViewId="0"/>
  </sheetViews>
  <sheetFormatPr baseColWidth="10" defaultColWidth="11.42578125" defaultRowHeight="14.25" x14ac:dyDescent="0.2"/>
  <cols>
    <col min="1" max="1" width="1.7109375" style="59" customWidth="1"/>
    <col min="2" max="2" width="20.28515625" style="59" customWidth="1"/>
    <col min="3" max="3" width="17.42578125" style="59" customWidth="1"/>
    <col min="4" max="14" width="11.42578125" style="59"/>
    <col min="15" max="15" width="1.7109375" style="59" customWidth="1"/>
    <col min="16" max="16384" width="11.42578125" style="59"/>
  </cols>
  <sheetData>
    <row r="1" spans="1:15" x14ac:dyDescent="0.2">
      <c r="B1" s="60"/>
      <c r="C1" s="60"/>
    </row>
    <row r="2" spans="1:15" ht="19.5" customHeight="1" x14ac:dyDescent="0.2">
      <c r="B2" s="645" t="s">
        <v>145</v>
      </c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5"/>
      <c r="N2" s="645"/>
    </row>
    <row r="3" spans="1:15" ht="19.5" customHeight="1" x14ac:dyDescent="0.2">
      <c r="B3" s="646" t="s">
        <v>146</v>
      </c>
      <c r="C3" s="646"/>
      <c r="D3" s="646"/>
      <c r="E3" s="646"/>
      <c r="F3" s="646"/>
      <c r="G3" s="646"/>
      <c r="H3" s="646"/>
      <c r="I3" s="646"/>
      <c r="J3" s="646"/>
      <c r="K3" s="646"/>
      <c r="L3" s="646"/>
      <c r="M3" s="646"/>
      <c r="N3" s="646"/>
    </row>
    <row r="4" spans="1:15" ht="16.5" customHeight="1" x14ac:dyDescent="0.2">
      <c r="A4" s="647" t="s">
        <v>199</v>
      </c>
      <c r="B4" s="647"/>
      <c r="C4" s="647"/>
      <c r="D4" s="647"/>
      <c r="E4" s="647"/>
      <c r="F4" s="647"/>
      <c r="G4" s="647"/>
      <c r="H4" s="647"/>
      <c r="I4" s="647"/>
      <c r="J4" s="647"/>
      <c r="K4" s="647"/>
      <c r="L4" s="647"/>
      <c r="M4" s="647"/>
      <c r="N4" s="647"/>
      <c r="O4" s="647"/>
    </row>
    <row r="5" spans="1:15" s="63" customFormat="1" ht="6.95" customHeight="1" x14ac:dyDescent="0.2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1"/>
    </row>
    <row r="6" spans="1:15" s="63" customFormat="1" ht="16.5" customHeight="1" x14ac:dyDescent="0.2">
      <c r="A6" s="61"/>
      <c r="B6" s="648" t="s">
        <v>147</v>
      </c>
      <c r="C6" s="648"/>
      <c r="D6" s="648"/>
      <c r="E6" s="648"/>
      <c r="F6" s="648"/>
      <c r="G6" s="648"/>
      <c r="H6" s="648"/>
      <c r="I6" s="648"/>
      <c r="J6" s="648"/>
      <c r="K6" s="648"/>
      <c r="L6" s="648"/>
      <c r="M6" s="648"/>
      <c r="N6" s="648"/>
      <c r="O6" s="61"/>
    </row>
    <row r="7" spans="1:15" ht="19.5" customHeight="1" x14ac:dyDescent="0.2">
      <c r="B7" s="64" t="s">
        <v>198</v>
      </c>
      <c r="C7" s="64"/>
      <c r="D7" s="65"/>
      <c r="E7" s="65"/>
      <c r="F7" s="65"/>
      <c r="G7" s="65"/>
      <c r="H7" s="65"/>
      <c r="I7" s="65"/>
      <c r="J7" s="65"/>
      <c r="K7" s="65"/>
      <c r="L7" s="65"/>
      <c r="M7" s="649" t="str">
        <f>CONCATENATE("Total de tabulados: ", COUNTIF(D10:D35,"&lt;&gt;"))</f>
        <v>Total de tabulados: 18</v>
      </c>
      <c r="N7" s="649"/>
    </row>
    <row r="8" spans="1:15" ht="6.95" customHeight="1" thickBot="1" x14ac:dyDescent="0.25"/>
    <row r="9" spans="1:15" ht="18.75" customHeight="1" thickBot="1" x14ac:dyDescent="0.25">
      <c r="B9" s="66" t="s">
        <v>148</v>
      </c>
      <c r="C9" s="67" t="s">
        <v>149</v>
      </c>
      <c r="D9" s="640" t="s">
        <v>150</v>
      </c>
      <c r="E9" s="640"/>
      <c r="F9" s="640"/>
      <c r="G9" s="640"/>
      <c r="H9" s="640"/>
      <c r="I9" s="640"/>
      <c r="J9" s="640"/>
      <c r="K9" s="640"/>
      <c r="L9" s="640"/>
      <c r="M9" s="640"/>
      <c r="N9" s="641"/>
    </row>
    <row r="10" spans="1:15" ht="39.950000000000003" customHeight="1" x14ac:dyDescent="0.2">
      <c r="B10" s="653" t="s">
        <v>172</v>
      </c>
      <c r="C10" s="68" t="s">
        <v>99</v>
      </c>
      <c r="D10" s="656" t="s">
        <v>161</v>
      </c>
      <c r="E10" s="657"/>
      <c r="F10" s="657"/>
      <c r="G10" s="657"/>
      <c r="H10" s="657"/>
      <c r="I10" s="657"/>
      <c r="J10" s="657"/>
      <c r="K10" s="657"/>
      <c r="L10" s="657"/>
      <c r="M10" s="657"/>
      <c r="N10" s="658"/>
    </row>
    <row r="11" spans="1:15" ht="39.950000000000003" customHeight="1" x14ac:dyDescent="0.2">
      <c r="B11" s="654"/>
      <c r="C11" s="69" t="s">
        <v>100</v>
      </c>
      <c r="D11" s="642" t="s">
        <v>101</v>
      </c>
      <c r="E11" s="643"/>
      <c r="F11" s="643"/>
      <c r="G11" s="643"/>
      <c r="H11" s="643"/>
      <c r="I11" s="643"/>
      <c r="J11" s="643"/>
      <c r="K11" s="643"/>
      <c r="L11" s="643"/>
      <c r="M11" s="643"/>
      <c r="N11" s="644"/>
    </row>
    <row r="12" spans="1:15" ht="39.950000000000003" customHeight="1" x14ac:dyDescent="0.2">
      <c r="B12" s="654"/>
      <c r="C12" s="69" t="s">
        <v>102</v>
      </c>
      <c r="D12" s="642" t="s">
        <v>103</v>
      </c>
      <c r="E12" s="643"/>
      <c r="F12" s="643"/>
      <c r="G12" s="643"/>
      <c r="H12" s="643"/>
      <c r="I12" s="643"/>
      <c r="J12" s="643"/>
      <c r="K12" s="643"/>
      <c r="L12" s="643"/>
      <c r="M12" s="643"/>
      <c r="N12" s="644"/>
    </row>
    <row r="13" spans="1:15" ht="39.950000000000003" customHeight="1" x14ac:dyDescent="0.2">
      <c r="B13" s="654"/>
      <c r="C13" s="69" t="s">
        <v>105</v>
      </c>
      <c r="D13" s="642" t="s">
        <v>104</v>
      </c>
      <c r="E13" s="643"/>
      <c r="F13" s="643"/>
      <c r="G13" s="643"/>
      <c r="H13" s="643"/>
      <c r="I13" s="643"/>
      <c r="J13" s="643"/>
      <c r="K13" s="643"/>
      <c r="L13" s="643"/>
      <c r="M13" s="643"/>
      <c r="N13" s="644"/>
    </row>
    <row r="14" spans="1:15" ht="39.950000000000003" customHeight="1" x14ac:dyDescent="0.2">
      <c r="B14" s="654"/>
      <c r="C14" s="69" t="s">
        <v>106</v>
      </c>
      <c r="D14" s="642" t="s">
        <v>89</v>
      </c>
      <c r="E14" s="643"/>
      <c r="F14" s="643"/>
      <c r="G14" s="643"/>
      <c r="H14" s="643"/>
      <c r="I14" s="643"/>
      <c r="J14" s="643"/>
      <c r="K14" s="643"/>
      <c r="L14" s="643"/>
      <c r="M14" s="643"/>
      <c r="N14" s="644"/>
    </row>
    <row r="15" spans="1:15" ht="39.950000000000003" customHeight="1" x14ac:dyDescent="0.2">
      <c r="B15" s="654"/>
      <c r="C15" s="69" t="s">
        <v>107</v>
      </c>
      <c r="D15" s="642" t="s">
        <v>162</v>
      </c>
      <c r="E15" s="643"/>
      <c r="F15" s="643"/>
      <c r="G15" s="643"/>
      <c r="H15" s="643"/>
      <c r="I15" s="643"/>
      <c r="J15" s="643"/>
      <c r="K15" s="643"/>
      <c r="L15" s="643"/>
      <c r="M15" s="643"/>
      <c r="N15" s="644"/>
    </row>
    <row r="16" spans="1:15" ht="39.950000000000003" customHeight="1" x14ac:dyDescent="0.2">
      <c r="B16" s="654"/>
      <c r="C16" s="69" t="s">
        <v>112</v>
      </c>
      <c r="D16" s="642" t="s">
        <v>163</v>
      </c>
      <c r="E16" s="643"/>
      <c r="F16" s="643"/>
      <c r="G16" s="643"/>
      <c r="H16" s="643"/>
      <c r="I16" s="643"/>
      <c r="J16" s="643"/>
      <c r="K16" s="643"/>
      <c r="L16" s="643"/>
      <c r="M16" s="643"/>
      <c r="N16" s="644"/>
    </row>
    <row r="17" spans="2:14" ht="39.950000000000003" customHeight="1" x14ac:dyDescent="0.2">
      <c r="B17" s="654"/>
      <c r="C17" s="69" t="s">
        <v>113</v>
      </c>
      <c r="D17" s="642" t="s">
        <v>164</v>
      </c>
      <c r="E17" s="643"/>
      <c r="F17" s="643"/>
      <c r="G17" s="643"/>
      <c r="H17" s="643"/>
      <c r="I17" s="643"/>
      <c r="J17" s="643"/>
      <c r="K17" s="643"/>
      <c r="L17" s="643"/>
      <c r="M17" s="643"/>
      <c r="N17" s="644"/>
    </row>
    <row r="18" spans="2:14" ht="39.950000000000003" customHeight="1" x14ac:dyDescent="0.2">
      <c r="B18" s="654"/>
      <c r="C18" s="69" t="s">
        <v>114</v>
      </c>
      <c r="D18" s="642" t="s">
        <v>165</v>
      </c>
      <c r="E18" s="643"/>
      <c r="F18" s="643"/>
      <c r="G18" s="643"/>
      <c r="H18" s="643"/>
      <c r="I18" s="643"/>
      <c r="J18" s="643"/>
      <c r="K18" s="643"/>
      <c r="L18" s="643"/>
      <c r="M18" s="643"/>
      <c r="N18" s="644"/>
    </row>
    <row r="19" spans="2:14" ht="39.950000000000003" customHeight="1" x14ac:dyDescent="0.2">
      <c r="B19" s="654"/>
      <c r="C19" s="69" t="s">
        <v>115</v>
      </c>
      <c r="D19" s="642" t="s">
        <v>166</v>
      </c>
      <c r="E19" s="643"/>
      <c r="F19" s="643"/>
      <c r="G19" s="643"/>
      <c r="H19" s="643"/>
      <c r="I19" s="643"/>
      <c r="J19" s="643"/>
      <c r="K19" s="643"/>
      <c r="L19" s="643"/>
      <c r="M19" s="643"/>
      <c r="N19" s="644"/>
    </row>
    <row r="20" spans="2:14" ht="39.950000000000003" customHeight="1" x14ac:dyDescent="0.2">
      <c r="B20" s="654"/>
      <c r="C20" s="69" t="s">
        <v>116</v>
      </c>
      <c r="D20" s="642" t="s">
        <v>167</v>
      </c>
      <c r="E20" s="643"/>
      <c r="F20" s="643"/>
      <c r="G20" s="643"/>
      <c r="H20" s="643"/>
      <c r="I20" s="643"/>
      <c r="J20" s="643"/>
      <c r="K20" s="643"/>
      <c r="L20" s="643"/>
      <c r="M20" s="643"/>
      <c r="N20" s="644"/>
    </row>
    <row r="21" spans="2:14" ht="39.950000000000003" customHeight="1" x14ac:dyDescent="0.2">
      <c r="B21" s="654"/>
      <c r="C21" s="69" t="s">
        <v>117</v>
      </c>
      <c r="D21" s="642" t="s">
        <v>200</v>
      </c>
      <c r="E21" s="643"/>
      <c r="F21" s="643"/>
      <c r="G21" s="643"/>
      <c r="H21" s="643"/>
      <c r="I21" s="643"/>
      <c r="J21" s="643"/>
      <c r="K21" s="643"/>
      <c r="L21" s="643"/>
      <c r="M21" s="643"/>
      <c r="N21" s="644"/>
    </row>
    <row r="22" spans="2:14" ht="39.950000000000003" customHeight="1" x14ac:dyDescent="0.2">
      <c r="B22" s="654"/>
      <c r="C22" s="69" t="s">
        <v>118</v>
      </c>
      <c r="D22" s="642" t="s">
        <v>170</v>
      </c>
      <c r="E22" s="643"/>
      <c r="F22" s="643"/>
      <c r="G22" s="643"/>
      <c r="H22" s="643"/>
      <c r="I22" s="643"/>
      <c r="J22" s="643"/>
      <c r="K22" s="643"/>
      <c r="L22" s="643"/>
      <c r="M22" s="643"/>
      <c r="N22" s="644"/>
    </row>
    <row r="23" spans="2:14" ht="39.950000000000003" customHeight="1" x14ac:dyDescent="0.2">
      <c r="B23" s="654"/>
      <c r="C23" s="69" t="s">
        <v>119</v>
      </c>
      <c r="D23" s="642" t="s">
        <v>171</v>
      </c>
      <c r="E23" s="643"/>
      <c r="F23" s="643"/>
      <c r="G23" s="643"/>
      <c r="H23" s="643"/>
      <c r="I23" s="643"/>
      <c r="J23" s="643"/>
      <c r="K23" s="643"/>
      <c r="L23" s="643"/>
      <c r="M23" s="643"/>
      <c r="N23" s="644"/>
    </row>
    <row r="24" spans="2:14" ht="39.950000000000003" customHeight="1" x14ac:dyDescent="0.2">
      <c r="B24" s="654"/>
      <c r="C24" s="69" t="s">
        <v>120</v>
      </c>
      <c r="D24" s="642" t="s">
        <v>168</v>
      </c>
      <c r="E24" s="643"/>
      <c r="F24" s="643"/>
      <c r="G24" s="643"/>
      <c r="H24" s="643"/>
      <c r="I24" s="643"/>
      <c r="J24" s="643"/>
      <c r="K24" s="643"/>
      <c r="L24" s="643"/>
      <c r="M24" s="643"/>
      <c r="N24" s="644"/>
    </row>
    <row r="25" spans="2:14" ht="39.950000000000003" customHeight="1" x14ac:dyDescent="0.2">
      <c r="B25" s="654"/>
      <c r="C25" s="69" t="s">
        <v>121</v>
      </c>
      <c r="D25" s="642" t="s">
        <v>158</v>
      </c>
      <c r="E25" s="643"/>
      <c r="F25" s="643"/>
      <c r="G25" s="643"/>
      <c r="H25" s="643"/>
      <c r="I25" s="643"/>
      <c r="J25" s="643"/>
      <c r="K25" s="643"/>
      <c r="L25" s="643"/>
      <c r="M25" s="643"/>
      <c r="N25" s="644"/>
    </row>
    <row r="26" spans="2:14" ht="39.950000000000003" customHeight="1" x14ac:dyDescent="0.2">
      <c r="B26" s="654"/>
      <c r="C26" s="69" t="s">
        <v>122</v>
      </c>
      <c r="D26" s="642" t="s">
        <v>169</v>
      </c>
      <c r="E26" s="643"/>
      <c r="F26" s="643"/>
      <c r="G26" s="643"/>
      <c r="H26" s="643"/>
      <c r="I26" s="643"/>
      <c r="J26" s="643"/>
      <c r="K26" s="643"/>
      <c r="L26" s="643"/>
      <c r="M26" s="643"/>
      <c r="N26" s="644"/>
    </row>
    <row r="27" spans="2:14" ht="39.950000000000003" customHeight="1" thickBot="1" x14ac:dyDescent="0.25">
      <c r="B27" s="655"/>
      <c r="C27" s="70" t="s">
        <v>123</v>
      </c>
      <c r="D27" s="650" t="s">
        <v>160</v>
      </c>
      <c r="E27" s="651"/>
      <c r="F27" s="651"/>
      <c r="G27" s="651"/>
      <c r="H27" s="651"/>
      <c r="I27" s="651"/>
      <c r="J27" s="651"/>
      <c r="K27" s="651"/>
      <c r="L27" s="651"/>
      <c r="M27" s="651"/>
      <c r="N27" s="652"/>
    </row>
    <row r="28" spans="2:14" ht="39.950000000000003" customHeight="1" x14ac:dyDescent="0.2"/>
    <row r="37" ht="14.25" customHeight="1" x14ac:dyDescent="0.2"/>
  </sheetData>
  <mergeCells count="25">
    <mergeCell ref="D27:N27"/>
    <mergeCell ref="B10:B27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24:N24"/>
    <mergeCell ref="D25:N25"/>
    <mergeCell ref="D26:N26"/>
    <mergeCell ref="B2:N2"/>
    <mergeCell ref="B3:N3"/>
    <mergeCell ref="A4:O4"/>
    <mergeCell ref="B6:N6"/>
    <mergeCell ref="M7:N7"/>
    <mergeCell ref="D9:N9"/>
    <mergeCell ref="D20:N20"/>
    <mergeCell ref="D21:N21"/>
    <mergeCell ref="D22:N22"/>
    <mergeCell ref="D23:N23"/>
    <mergeCell ref="D19:N19"/>
  </mergeCells>
  <hyperlinks>
    <hyperlink ref="C10" location="'Cuadro 4.1'!A1" tooltip="Ir a Cuadro 4.1" display="Cuadro 4.1" xr:uid="{0660BDC2-11A9-46A7-BCDD-A1B066DD6271}"/>
    <hyperlink ref="C11" location="'Cuadro 4.2'!A1" tooltip="Ir aCuadro 4.2" display="Cuadro 4.2" xr:uid="{C870324A-6A22-4AB0-A0F7-932424015743}"/>
    <hyperlink ref="C27" location="'Cuadro 4.18'!A1" tooltip="Ir a Cuadro 4.18" display="Cuadro 4.18" xr:uid="{7E82D795-B685-4085-844C-FD6866E4873D}"/>
    <hyperlink ref="C12" location="'Cuadro 4.3'!A1" tooltip="Ir a Cuadro 4.3" display="Cuadro 4.3" xr:uid="{9DCB6C33-6A2C-4ACC-9D38-0F4A7CCDBCF0}"/>
    <hyperlink ref="C13" location="'Cuadro 4.4'!A1" tooltip="Ir a Cuadro 4.4" display="Cuadro 4.4" xr:uid="{E3681ECA-6989-4628-8FEB-FFDF88D2C43E}"/>
    <hyperlink ref="C14" location="'Cuadro 4.5'!A1" tooltip="Ir a Cuadro 4.5" display="Cuadro 4.5" xr:uid="{58A06B1B-3329-41E6-A045-AD8C491885A8}"/>
    <hyperlink ref="C17" location="'Cuadro 4.8'!A1" tooltip="Ir a Cuadro 4.8" display="Cuadro 4.8" xr:uid="{459A78ED-9A1A-4AB4-A8D3-11F8DBC2AD52}"/>
    <hyperlink ref="C15" location="'Cuadro 4.6'!A1" tooltip="Ir a Cuadro 4.6" display="Cuadro 4.6" xr:uid="{6EA49552-D112-4243-A071-04636BA9B428}"/>
    <hyperlink ref="C18" location="'Cuadro 4.9'!A1" tooltip="Ir a Cuadro 4.9" display="Cuadro 4.9" xr:uid="{C1687548-5C4A-4B87-9D8B-1C601ED722A4}"/>
    <hyperlink ref="C16" location="'Cuadro 4.7'!A1" tooltip="ir a Cuadro 4.7" display="Cuadro 4.7" xr:uid="{EFA195A0-3B6F-4324-8F67-C64B1ED77B55}"/>
    <hyperlink ref="C19" location="'Cuadro 4.10'!A1" tooltip="Ir a Cuadro 4.10" display="Cuadro 4.10" xr:uid="{9C7A914D-EAE7-4AB6-BCDC-D7C9F5095344}"/>
    <hyperlink ref="C20" location="'Cuadro 4.11'!A1" tooltip="Ir a Cuadro 4.11" display="Cuadro 4.11" xr:uid="{CAA4FC25-E612-458A-B443-D1942C58E674}"/>
    <hyperlink ref="C23" location="'Cuadro 4.14'!A1" tooltip="Ir a Cuadro 4.14" display="Cuadro 4.14" xr:uid="{A99C4423-AB8A-44AD-B80F-30F8D4CEA414}"/>
    <hyperlink ref="C21" location="'Cuadro 4.12'!A1" tooltip="Ir a Cuadro 4.12" display="Cuadro 4.12" xr:uid="{A3D880E5-A42D-4F7A-8C9D-62D3E30795B3}"/>
    <hyperlink ref="C24" location="'Cuadro 4.15'!A1" tooltip="Ir a Cuadro 4.15" display="Cuadro 4.15" xr:uid="{3AAA1576-5DD2-43AA-A0AC-A3386B692B5F}"/>
    <hyperlink ref="C22" location="'Cuadro 4.13'!A1" tooltip="Ir a Cuadro 4.13" display="Cuadro 4.13" xr:uid="{E17C6688-BDC4-4225-9CAC-CC67C5A0DC44}"/>
    <hyperlink ref="C25" location="'Cuadro 4.16'!A1" tooltip="Ir a Cuadro 4.16" display="Cuadro 4.16" xr:uid="{1E25A5EE-4DD2-4EAB-9F21-2E20CD4D4FA0}"/>
    <hyperlink ref="C26" location="'Cuadro 4.17'!A1" tooltip="Ir a Cuadro 4.17" display="Cuadro 4.17" xr:uid="{780C7631-08E4-4034-8192-7031631D53D9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2F83-DEA3-4EC5-9198-371E6C1CC54B}">
  <dimension ref="B1:S19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7" width="11.7109375" style="13" customWidth="1"/>
    <col min="8" max="8" width="0.85546875" style="13" customWidth="1"/>
    <col min="9" max="10" width="11.7109375" style="13" customWidth="1"/>
    <col min="11" max="16384" width="9.140625" style="13"/>
  </cols>
  <sheetData>
    <row r="1" spans="2:19" s="58" customFormat="1" ht="12" customHeight="1" x14ac:dyDescent="0.2">
      <c r="B1" s="639" t="s">
        <v>202</v>
      </c>
      <c r="C1" s="181"/>
      <c r="J1" s="72" t="s">
        <v>151</v>
      </c>
    </row>
    <row r="2" spans="2:19" s="58" customFormat="1" ht="6.95" customHeight="1" x14ac:dyDescent="0.2">
      <c r="B2" s="639"/>
      <c r="C2" s="181"/>
    </row>
    <row r="3" spans="2:19" s="58" customFormat="1" ht="12.75" x14ac:dyDescent="0.2">
      <c r="B3" s="639" t="s">
        <v>199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</row>
    <row r="4" spans="2:19" s="58" customFormat="1" ht="6.95" customHeight="1" x14ac:dyDescent="0.2"/>
    <row r="5" spans="2:19" s="58" customFormat="1" ht="25.5" customHeight="1" x14ac:dyDescent="0.2">
      <c r="B5" s="659" t="s">
        <v>161</v>
      </c>
      <c r="C5" s="659"/>
      <c r="D5" s="659"/>
      <c r="E5" s="659"/>
      <c r="F5" s="659"/>
      <c r="G5" s="659"/>
      <c r="H5" s="659"/>
      <c r="I5" s="182"/>
      <c r="J5" s="71" t="s">
        <v>99</v>
      </c>
    </row>
    <row r="6" spans="2:19" ht="6" customHeight="1" x14ac:dyDescent="0.2">
      <c r="B6" s="157"/>
      <c r="C6" s="157"/>
      <c r="D6" s="158"/>
      <c r="E6" s="158"/>
      <c r="F6" s="158"/>
      <c r="G6" s="158"/>
      <c r="H6" s="158"/>
      <c r="I6" s="158"/>
      <c r="J6" s="159"/>
    </row>
    <row r="7" spans="2:19" ht="21" customHeight="1" x14ac:dyDescent="0.2">
      <c r="B7" s="660" t="s">
        <v>55</v>
      </c>
      <c r="C7" s="153"/>
      <c r="D7" s="663" t="s">
        <v>58</v>
      </c>
      <c r="E7" s="155"/>
      <c r="F7" s="666" t="s">
        <v>94</v>
      </c>
      <c r="G7" s="666"/>
      <c r="H7" s="666"/>
      <c r="I7" s="666"/>
      <c r="J7" s="666"/>
    </row>
    <row r="8" spans="2:19" ht="16.5" customHeight="1" x14ac:dyDescent="0.2">
      <c r="B8" s="661"/>
      <c r="C8" s="160"/>
      <c r="D8" s="664"/>
      <c r="E8" s="161"/>
      <c r="F8" s="666" t="s">
        <v>59</v>
      </c>
      <c r="G8" s="666"/>
      <c r="H8" s="26"/>
      <c r="I8" s="666" t="s">
        <v>60</v>
      </c>
      <c r="J8" s="666"/>
    </row>
    <row r="9" spans="2:19" ht="15" customHeight="1" x14ac:dyDescent="0.2">
      <c r="B9" s="662"/>
      <c r="C9" s="154"/>
      <c r="D9" s="665"/>
      <c r="E9" s="156"/>
      <c r="F9" s="73" t="s">
        <v>0</v>
      </c>
      <c r="G9" s="73" t="s">
        <v>1</v>
      </c>
      <c r="H9" s="73"/>
      <c r="I9" s="73" t="s">
        <v>0</v>
      </c>
      <c r="J9" s="73" t="s">
        <v>1</v>
      </c>
    </row>
    <row r="10" spans="2:19" s="19" customFormat="1" ht="6" customHeight="1" x14ac:dyDescent="0.2">
      <c r="B10" s="162"/>
      <c r="C10" s="162"/>
      <c r="D10" s="183"/>
      <c r="E10" s="183"/>
      <c r="F10" s="183"/>
      <c r="G10" s="183"/>
      <c r="H10" s="183"/>
      <c r="I10" s="183"/>
      <c r="J10" s="183"/>
    </row>
    <row r="11" spans="2:19" s="98" customFormat="1" ht="11.25" x14ac:dyDescent="0.2">
      <c r="B11" s="97" t="s">
        <v>35</v>
      </c>
      <c r="C11" s="164"/>
      <c r="D11" s="148">
        <v>250260.72309012999</v>
      </c>
      <c r="E11" s="114"/>
      <c r="F11" s="148">
        <v>56577.937364962003</v>
      </c>
      <c r="G11" s="148">
        <v>0.15051841229999999</v>
      </c>
      <c r="H11" s="114"/>
      <c r="I11" s="148">
        <v>240898.30955236001</v>
      </c>
      <c r="J11" s="148">
        <v>0.15051841229999999</v>
      </c>
    </row>
    <row r="12" spans="2:19" s="99" customFormat="1" ht="6" customHeight="1" x14ac:dyDescent="0.2">
      <c r="B12" s="164"/>
      <c r="C12" s="164"/>
      <c r="D12" s="115"/>
      <c r="E12" s="115"/>
      <c r="F12" s="115"/>
      <c r="G12" s="116"/>
      <c r="H12" s="115"/>
      <c r="I12" s="115"/>
      <c r="J12" s="116"/>
    </row>
    <row r="13" spans="2:19" s="99" customFormat="1" ht="15" customHeight="1" x14ac:dyDescent="0.2">
      <c r="B13" s="184" t="s">
        <v>36</v>
      </c>
      <c r="C13" s="184"/>
      <c r="D13" s="150">
        <v>133269.25477961899</v>
      </c>
      <c r="E13" s="115"/>
      <c r="F13" s="150">
        <v>19603.1731849721</v>
      </c>
      <c r="G13" s="150">
        <v>0.23897963420000001</v>
      </c>
      <c r="H13" s="115"/>
      <c r="I13" s="150">
        <v>126539.32550558601</v>
      </c>
      <c r="J13" s="150">
        <v>0.23897963420000001</v>
      </c>
      <c r="K13" s="185"/>
      <c r="L13" s="185"/>
    </row>
    <row r="14" spans="2:19" s="104" customFormat="1" ht="15" customHeight="1" x14ac:dyDescent="0.2">
      <c r="B14" s="184" t="s">
        <v>37</v>
      </c>
      <c r="C14" s="184"/>
      <c r="D14" s="152">
        <v>123653.74346785199</v>
      </c>
      <c r="E14" s="139"/>
      <c r="F14" s="149">
        <v>17991.714304529702</v>
      </c>
      <c r="G14" s="149">
        <v>0.36071871020000001</v>
      </c>
      <c r="H14" s="140"/>
      <c r="I14" s="149">
        <v>119779.042873732</v>
      </c>
      <c r="J14" s="151">
        <v>0.36071871020000001</v>
      </c>
    </row>
    <row r="15" spans="2:19" s="104" customFormat="1" ht="15" customHeight="1" x14ac:dyDescent="0.2">
      <c r="B15" s="186" t="s">
        <v>38</v>
      </c>
      <c r="C15" s="186"/>
      <c r="D15" s="152">
        <v>131250.167902257</v>
      </c>
      <c r="E15" s="139"/>
      <c r="F15" s="149">
        <v>24742.024941071799</v>
      </c>
      <c r="G15" s="149">
        <v>0.39049616640000001</v>
      </c>
      <c r="H15" s="140"/>
      <c r="I15" s="149">
        <v>123706.338540397</v>
      </c>
      <c r="J15" s="151">
        <v>0.39049616640000001</v>
      </c>
    </row>
    <row r="16" spans="2:19" s="104" customFormat="1" ht="15" customHeight="1" x14ac:dyDescent="0.2">
      <c r="B16" s="186" t="s">
        <v>56</v>
      </c>
      <c r="C16" s="186"/>
      <c r="D16" s="152">
        <v>116013.521780977</v>
      </c>
      <c r="E16" s="139"/>
      <c r="F16" s="149">
        <v>43517.913615197402</v>
      </c>
      <c r="G16" s="149">
        <v>0.23633978280000001</v>
      </c>
      <c r="H16" s="140"/>
      <c r="I16" s="149">
        <v>115104.30255061699</v>
      </c>
      <c r="J16" s="151">
        <v>0.23633978280000001</v>
      </c>
    </row>
    <row r="17" spans="2:10" s="19" customFormat="1" ht="6" customHeight="1" x14ac:dyDescent="0.2">
      <c r="B17" s="28"/>
      <c r="C17" s="29"/>
      <c r="D17" s="30"/>
      <c r="E17" s="30"/>
      <c r="F17" s="30"/>
      <c r="G17" s="30"/>
      <c r="H17" s="30"/>
      <c r="I17" s="30"/>
      <c r="J17" s="105"/>
    </row>
    <row r="18" spans="2:10" s="19" customFormat="1" ht="6" customHeight="1" x14ac:dyDescent="0.2">
      <c r="B18" s="162"/>
      <c r="C18" s="162"/>
      <c r="D18" s="183"/>
      <c r="E18" s="183"/>
      <c r="F18" s="183"/>
      <c r="G18" s="183"/>
      <c r="H18" s="183"/>
      <c r="I18" s="183"/>
      <c r="J18" s="183"/>
    </row>
    <row r="19" spans="2:10" x14ac:dyDescent="0.2">
      <c r="B19" s="109" t="s">
        <v>57</v>
      </c>
    </row>
  </sheetData>
  <mergeCells count="6">
    <mergeCell ref="B5:H5"/>
    <mergeCell ref="B7:B9"/>
    <mergeCell ref="D7:D9"/>
    <mergeCell ref="F7:J7"/>
    <mergeCell ref="F8:G8"/>
    <mergeCell ref="I8:J8"/>
  </mergeCells>
  <hyperlinks>
    <hyperlink ref="J1" location="Índice!A1" tooltip="Ir a ÍNDICE" display="INDICE" xr:uid="{73DE2880-ACEC-41F5-8870-884837B9BD81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03796-6E71-40A5-B9DC-6CE14DD1CCA9}">
  <dimension ref="B1:S47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7" width="11.7109375" style="13" customWidth="1"/>
    <col min="8" max="8" width="0.85546875" style="13" customWidth="1"/>
    <col min="9" max="10" width="11.7109375" style="13" customWidth="1"/>
    <col min="11" max="16384" width="9.140625" style="13"/>
  </cols>
  <sheetData>
    <row r="1" spans="2:19" s="58" customFormat="1" ht="12" customHeight="1" x14ac:dyDescent="0.2">
      <c r="B1" s="639" t="s">
        <v>202</v>
      </c>
      <c r="C1" s="193"/>
      <c r="J1" s="72" t="s">
        <v>151</v>
      </c>
    </row>
    <row r="2" spans="2:19" s="58" customFormat="1" ht="6.95" customHeight="1" x14ac:dyDescent="0.2">
      <c r="B2" s="639"/>
      <c r="C2" s="193"/>
    </row>
    <row r="3" spans="2:19" s="58" customFormat="1" ht="12.75" x14ac:dyDescent="0.2">
      <c r="B3" s="639" t="s">
        <v>199</v>
      </c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</row>
    <row r="4" spans="2:19" s="58" customFormat="1" ht="6.95" customHeight="1" x14ac:dyDescent="0.2"/>
    <row r="5" spans="2:19" s="58" customFormat="1" ht="25.5" customHeight="1" x14ac:dyDescent="0.2">
      <c r="B5" s="667" t="s">
        <v>101</v>
      </c>
      <c r="C5" s="667"/>
      <c r="D5" s="667"/>
      <c r="E5" s="667"/>
      <c r="F5" s="667"/>
      <c r="G5" s="667"/>
      <c r="H5" s="667"/>
      <c r="I5" s="667"/>
      <c r="J5" s="71" t="s">
        <v>100</v>
      </c>
    </row>
    <row r="6" spans="2:19" ht="6" customHeight="1" x14ac:dyDescent="0.2">
      <c r="B6" s="157"/>
      <c r="C6" s="157"/>
      <c r="D6" s="158"/>
      <c r="E6" s="158"/>
      <c r="F6" s="158"/>
      <c r="G6" s="158"/>
      <c r="H6" s="158"/>
      <c r="I6" s="158"/>
      <c r="J6" s="159"/>
    </row>
    <row r="7" spans="2:19" ht="21" customHeight="1" x14ac:dyDescent="0.2">
      <c r="B7" s="660" t="s">
        <v>76</v>
      </c>
      <c r="C7" s="175"/>
      <c r="D7" s="663" t="s">
        <v>58</v>
      </c>
      <c r="E7" s="177"/>
      <c r="F7" s="666" t="s">
        <v>94</v>
      </c>
      <c r="G7" s="666"/>
      <c r="H7" s="666"/>
      <c r="I7" s="666"/>
      <c r="J7" s="666"/>
    </row>
    <row r="8" spans="2:19" ht="16.5" customHeight="1" x14ac:dyDescent="0.2">
      <c r="B8" s="661"/>
      <c r="C8" s="179"/>
      <c r="D8" s="664"/>
      <c r="E8" s="180"/>
      <c r="F8" s="666" t="s">
        <v>59</v>
      </c>
      <c r="G8" s="666"/>
      <c r="H8" s="26"/>
      <c r="I8" s="666" t="s">
        <v>60</v>
      </c>
      <c r="J8" s="666"/>
    </row>
    <row r="9" spans="2:19" ht="15" customHeight="1" x14ac:dyDescent="0.2">
      <c r="B9" s="662"/>
      <c r="C9" s="176"/>
      <c r="D9" s="665"/>
      <c r="E9" s="178"/>
      <c r="F9" s="73" t="s">
        <v>0</v>
      </c>
      <c r="G9" s="73" t="s">
        <v>1</v>
      </c>
      <c r="H9" s="73"/>
      <c r="I9" s="73" t="s">
        <v>0</v>
      </c>
      <c r="J9" s="73" t="s">
        <v>1</v>
      </c>
    </row>
    <row r="10" spans="2:19" s="19" customFormat="1" ht="6" customHeight="1" x14ac:dyDescent="0.2">
      <c r="B10" s="162"/>
      <c r="C10" s="162"/>
      <c r="D10" s="163"/>
      <c r="E10" s="163"/>
      <c r="F10" s="163"/>
      <c r="G10" s="163"/>
      <c r="H10" s="163"/>
      <c r="I10" s="163"/>
      <c r="J10" s="163"/>
      <c r="K10" s="18"/>
    </row>
    <row r="11" spans="2:19" s="98" customFormat="1" ht="11.25" x14ac:dyDescent="0.2">
      <c r="B11" s="97" t="s">
        <v>35</v>
      </c>
      <c r="C11" s="164"/>
      <c r="D11" s="168">
        <v>250260.72309012999</v>
      </c>
      <c r="E11" s="137"/>
      <c r="F11" s="168">
        <v>56577.937364962003</v>
      </c>
      <c r="G11" s="168">
        <v>0.15051841229999999</v>
      </c>
      <c r="H11" s="137"/>
      <c r="I11" s="168">
        <v>240898.30955236001</v>
      </c>
      <c r="J11" s="168">
        <v>0.15051841229999999</v>
      </c>
      <c r="K11" s="103"/>
      <c r="L11" s="103"/>
      <c r="M11" s="103"/>
    </row>
    <row r="12" spans="2:19" s="99" customFormat="1" ht="6" customHeight="1" x14ac:dyDescent="0.2">
      <c r="B12" s="164"/>
      <c r="C12" s="164"/>
      <c r="D12" s="100"/>
      <c r="E12" s="100"/>
      <c r="F12" s="101"/>
      <c r="G12" s="106"/>
      <c r="H12" s="101"/>
      <c r="I12" s="101"/>
      <c r="J12" s="107"/>
    </row>
    <row r="13" spans="2:19" s="99" customFormat="1" ht="12.75" customHeight="1" x14ac:dyDescent="0.2">
      <c r="B13" s="95" t="s">
        <v>3</v>
      </c>
      <c r="C13" s="165"/>
      <c r="D13" s="171">
        <v>9362.5604288325994</v>
      </c>
      <c r="E13" s="110"/>
      <c r="F13" s="169">
        <v>3457.0382503924002</v>
      </c>
      <c r="G13" s="169">
        <v>0.8355420938</v>
      </c>
      <c r="H13" s="111"/>
      <c r="I13" s="169">
        <v>9031.9031381525001</v>
      </c>
      <c r="J13" s="170">
        <v>0.8355420938</v>
      </c>
    </row>
    <row r="14" spans="2:19" s="99" customFormat="1" ht="12.75" customHeight="1" x14ac:dyDescent="0.2">
      <c r="B14" s="95" t="s">
        <v>4</v>
      </c>
      <c r="C14" s="165"/>
      <c r="D14" s="171">
        <v>30667.900587003602</v>
      </c>
      <c r="E14" s="110"/>
      <c r="F14" s="169">
        <v>9441.4238019166005</v>
      </c>
      <c r="G14" s="169">
        <v>0.75555626649999996</v>
      </c>
      <c r="H14" s="111"/>
      <c r="I14" s="169">
        <v>28411.1419395782</v>
      </c>
      <c r="J14" s="170">
        <v>0.75555626649999996</v>
      </c>
    </row>
    <row r="15" spans="2:19" s="99" customFormat="1" ht="12.75" customHeight="1" x14ac:dyDescent="0.2">
      <c r="B15" s="95" t="s">
        <v>5</v>
      </c>
      <c r="C15" s="165"/>
      <c r="D15" s="171">
        <v>9038.0646569114997</v>
      </c>
      <c r="E15" s="110"/>
      <c r="F15" s="169">
        <v>2013.6741777553</v>
      </c>
      <c r="G15" s="169">
        <v>0.75308433939999997</v>
      </c>
      <c r="H15" s="111"/>
      <c r="I15" s="169">
        <v>8470.9359128625001</v>
      </c>
      <c r="J15" s="170">
        <v>0.75308433939999997</v>
      </c>
    </row>
    <row r="16" spans="2:19" s="99" customFormat="1" ht="12.75" customHeight="1" x14ac:dyDescent="0.2">
      <c r="B16" s="95" t="s">
        <v>6</v>
      </c>
      <c r="C16" s="165"/>
      <c r="D16" s="171">
        <v>10080.177464787001</v>
      </c>
      <c r="E16" s="110"/>
      <c r="F16" s="169">
        <v>1943.0442259709</v>
      </c>
      <c r="G16" s="169">
        <v>0.6960176441</v>
      </c>
      <c r="H16" s="111"/>
      <c r="I16" s="169">
        <v>9582.0858906137</v>
      </c>
      <c r="J16" s="170">
        <v>0.6960176441</v>
      </c>
    </row>
    <row r="17" spans="2:10" s="99" customFormat="1" ht="12.75" customHeight="1" x14ac:dyDescent="0.2">
      <c r="B17" s="95" t="s">
        <v>7</v>
      </c>
      <c r="C17" s="165"/>
      <c r="D17" s="171">
        <v>20581.753539188601</v>
      </c>
      <c r="E17" s="110"/>
      <c r="F17" s="169">
        <v>7357.6406072541004</v>
      </c>
      <c r="G17" s="169">
        <v>0.79340610720000004</v>
      </c>
      <c r="H17" s="111"/>
      <c r="I17" s="169">
        <v>20578.032724202301</v>
      </c>
      <c r="J17" s="170">
        <v>0.79340610720000004</v>
      </c>
    </row>
    <row r="18" spans="2:10" s="99" customFormat="1" ht="12.75" customHeight="1" x14ac:dyDescent="0.2">
      <c r="B18" s="95" t="s">
        <v>8</v>
      </c>
      <c r="C18" s="166"/>
      <c r="D18" s="174">
        <v>8612.2121237758001</v>
      </c>
      <c r="E18" s="112"/>
      <c r="F18" s="172">
        <v>2371.3013550322999</v>
      </c>
      <c r="G18" s="172">
        <v>0.87239958780000004</v>
      </c>
      <c r="H18" s="113"/>
      <c r="I18" s="172">
        <v>7654.0723139284</v>
      </c>
      <c r="J18" s="173">
        <v>0.87239958780000004</v>
      </c>
    </row>
    <row r="19" spans="2:10" s="99" customFormat="1" ht="12.75" customHeight="1" x14ac:dyDescent="0.2">
      <c r="B19" s="95" t="s">
        <v>9</v>
      </c>
      <c r="C19" s="166"/>
      <c r="D19" s="174">
        <v>65259.754453488698</v>
      </c>
      <c r="E19" s="112"/>
      <c r="F19" s="172">
        <v>9130.2067438832</v>
      </c>
      <c r="G19" s="172">
        <v>0.61353574229999996</v>
      </c>
      <c r="H19" s="113"/>
      <c r="I19" s="172">
        <v>63795.511812892903</v>
      </c>
      <c r="J19" s="173">
        <v>0.61353574229999996</v>
      </c>
    </row>
    <row r="20" spans="2:10" s="99" customFormat="1" ht="12.75" customHeight="1" x14ac:dyDescent="0.2">
      <c r="B20" s="95" t="s">
        <v>10</v>
      </c>
      <c r="C20" s="166"/>
      <c r="D20" s="174">
        <v>21729.674891123199</v>
      </c>
      <c r="E20" s="112"/>
      <c r="F20" s="172">
        <v>7688.6070130014004</v>
      </c>
      <c r="G20" s="172">
        <v>0.65715147829999998</v>
      </c>
      <c r="H20" s="113"/>
      <c r="I20" s="172">
        <v>21578.581072341</v>
      </c>
      <c r="J20" s="173">
        <v>0.65715147829999998</v>
      </c>
    </row>
    <row r="21" spans="2:10" s="99" customFormat="1" ht="12.75" customHeight="1" x14ac:dyDescent="0.2">
      <c r="B21" s="95" t="s">
        <v>11</v>
      </c>
      <c r="C21" s="166"/>
      <c r="D21" s="174">
        <v>53774.155230495897</v>
      </c>
      <c r="E21" s="112"/>
      <c r="F21" s="172">
        <v>19892.538938932201</v>
      </c>
      <c r="G21" s="172">
        <v>0.69632129239999996</v>
      </c>
      <c r="H21" s="113"/>
      <c r="I21" s="172">
        <v>53816.2901141814</v>
      </c>
      <c r="J21" s="173">
        <v>0.69632129239999996</v>
      </c>
    </row>
    <row r="22" spans="2:10" s="99" customFormat="1" ht="12.75" customHeight="1" x14ac:dyDescent="0.2">
      <c r="B22" s="95" t="s">
        <v>12</v>
      </c>
      <c r="C22" s="166"/>
      <c r="D22" s="174">
        <v>12451.339215033</v>
      </c>
      <c r="E22" s="112"/>
      <c r="F22" s="172">
        <v>4055.0632364841999</v>
      </c>
      <c r="G22" s="172">
        <v>0.79046396299999999</v>
      </c>
      <c r="H22" s="113"/>
      <c r="I22" s="172">
        <v>12367.3003892829</v>
      </c>
      <c r="J22" s="173">
        <v>0.79046396299999999</v>
      </c>
    </row>
    <row r="23" spans="2:10" s="99" customFormat="1" ht="12.75" customHeight="1" x14ac:dyDescent="0.2">
      <c r="B23" s="95" t="s">
        <v>13</v>
      </c>
      <c r="C23" s="166"/>
      <c r="D23" s="174">
        <v>43662.953027581403</v>
      </c>
      <c r="E23" s="112"/>
      <c r="F23" s="172">
        <v>10164.3451479943</v>
      </c>
      <c r="G23" s="172">
        <v>0.60168936510000004</v>
      </c>
      <c r="H23" s="113"/>
      <c r="I23" s="172">
        <v>42881.002324413901</v>
      </c>
      <c r="J23" s="173">
        <v>0.60168936510000004</v>
      </c>
    </row>
    <row r="24" spans="2:10" s="99" customFormat="1" ht="12.75" customHeight="1" x14ac:dyDescent="0.2">
      <c r="B24" s="95" t="s">
        <v>14</v>
      </c>
      <c r="C24" s="166"/>
      <c r="D24" s="174">
        <v>29227.595625408401</v>
      </c>
      <c r="E24" s="112"/>
      <c r="F24" s="172">
        <v>5089.6859873043004</v>
      </c>
      <c r="G24" s="172">
        <v>0.53770938850000005</v>
      </c>
      <c r="H24" s="113"/>
      <c r="I24" s="172">
        <v>29325.404941826098</v>
      </c>
      <c r="J24" s="173">
        <v>0.53770938850000005</v>
      </c>
    </row>
    <row r="25" spans="2:10" s="99" customFormat="1" ht="12.75" customHeight="1" x14ac:dyDescent="0.2">
      <c r="B25" s="95" t="s">
        <v>15</v>
      </c>
      <c r="C25" s="166"/>
      <c r="D25" s="174">
        <v>25147.753568331998</v>
      </c>
      <c r="E25" s="112"/>
      <c r="F25" s="172">
        <v>5367.4213710432005</v>
      </c>
      <c r="G25" s="172">
        <v>0.61090848369999995</v>
      </c>
      <c r="H25" s="113"/>
      <c r="I25" s="172">
        <v>25078.775126192799</v>
      </c>
      <c r="J25" s="173">
        <v>0.61090848369999995</v>
      </c>
    </row>
    <row r="26" spans="2:10" s="99" customFormat="1" ht="12.75" customHeight="1" x14ac:dyDescent="0.2">
      <c r="B26" s="95" t="s">
        <v>16</v>
      </c>
      <c r="C26" s="166"/>
      <c r="D26" s="174">
        <v>60219.557228772697</v>
      </c>
      <c r="E26" s="112"/>
      <c r="F26" s="172">
        <v>20594.251905317298</v>
      </c>
      <c r="G26" s="172">
        <v>0.82376509099999995</v>
      </c>
      <c r="H26" s="113"/>
      <c r="I26" s="172">
        <v>57390.196388021701</v>
      </c>
      <c r="J26" s="173">
        <v>0.82376509099999995</v>
      </c>
    </row>
    <row r="27" spans="2:10" s="99" customFormat="1" ht="12.75" customHeight="1" x14ac:dyDescent="0.2">
      <c r="B27" s="95" t="s">
        <v>17</v>
      </c>
      <c r="C27" s="166"/>
      <c r="D27" s="174">
        <v>154102.19178467401</v>
      </c>
      <c r="E27" s="112"/>
      <c r="F27" s="172">
        <v>27387.584714156201</v>
      </c>
      <c r="G27" s="172">
        <v>0.538521743</v>
      </c>
      <c r="H27" s="113"/>
      <c r="I27" s="172">
        <v>147080.49284333701</v>
      </c>
      <c r="J27" s="173">
        <v>0.538521743</v>
      </c>
    </row>
    <row r="28" spans="2:10" s="99" customFormat="1" ht="12.75" customHeight="1" x14ac:dyDescent="0.2">
      <c r="B28" s="95" t="s">
        <v>18</v>
      </c>
      <c r="C28" s="166"/>
      <c r="D28" s="174">
        <v>48980.807753356698</v>
      </c>
      <c r="E28" s="112"/>
      <c r="F28" s="172">
        <v>10816.581452463</v>
      </c>
      <c r="G28" s="172">
        <v>0.75065682860000005</v>
      </c>
      <c r="H28" s="113"/>
      <c r="I28" s="172">
        <v>46095.747734365003</v>
      </c>
      <c r="J28" s="173">
        <v>0.75065682860000005</v>
      </c>
    </row>
    <row r="29" spans="2:10" s="99" customFormat="1" ht="12.75" customHeight="1" x14ac:dyDescent="0.2">
      <c r="B29" s="95" t="s">
        <v>19</v>
      </c>
      <c r="C29" s="166"/>
      <c r="D29" s="174">
        <v>20541.2434334073</v>
      </c>
      <c r="E29" s="112"/>
      <c r="F29" s="172">
        <v>3076.6494291401</v>
      </c>
      <c r="G29" s="172">
        <v>0.52579695130000004</v>
      </c>
      <c r="H29" s="113"/>
      <c r="I29" s="172">
        <v>20471.896468578401</v>
      </c>
      <c r="J29" s="173">
        <v>0.52579695130000004</v>
      </c>
    </row>
    <row r="30" spans="2:10" s="99" customFormat="1" ht="12.75" customHeight="1" x14ac:dyDescent="0.2">
      <c r="B30" s="95" t="s">
        <v>20</v>
      </c>
      <c r="C30" s="166"/>
      <c r="D30" s="174">
        <v>10262.2485268529</v>
      </c>
      <c r="E30" s="112"/>
      <c r="F30" s="172">
        <v>3694.2273356922001</v>
      </c>
      <c r="G30" s="172">
        <v>0.93805562710000001</v>
      </c>
      <c r="H30" s="113"/>
      <c r="I30" s="172">
        <v>9474.5335684297006</v>
      </c>
      <c r="J30" s="173">
        <v>0.93805562710000001</v>
      </c>
    </row>
    <row r="31" spans="2:10" s="99" customFormat="1" ht="12.75" customHeight="1" x14ac:dyDescent="0.2">
      <c r="B31" s="95" t="s">
        <v>21</v>
      </c>
      <c r="C31" s="166"/>
      <c r="D31" s="174">
        <v>47509.691131512198</v>
      </c>
      <c r="E31" s="112"/>
      <c r="F31" s="172">
        <v>15161.012906124301</v>
      </c>
      <c r="G31" s="172">
        <v>0.85696578069999996</v>
      </c>
      <c r="H31" s="113"/>
      <c r="I31" s="172">
        <v>45496.271615687801</v>
      </c>
      <c r="J31" s="173">
        <v>0.85696578069999996</v>
      </c>
    </row>
    <row r="32" spans="2:10" s="99" customFormat="1" ht="12.75" customHeight="1" x14ac:dyDescent="0.2">
      <c r="B32" s="95" t="s">
        <v>22</v>
      </c>
      <c r="C32" s="166"/>
      <c r="D32" s="174">
        <v>53248.154462816798</v>
      </c>
      <c r="E32" s="112"/>
      <c r="F32" s="172">
        <v>9033.4492597897006</v>
      </c>
      <c r="G32" s="172">
        <v>0.68784052230000003</v>
      </c>
      <c r="H32" s="113"/>
      <c r="I32" s="172">
        <v>49527.897426379503</v>
      </c>
      <c r="J32" s="173">
        <v>0.68784052230000003</v>
      </c>
    </row>
    <row r="33" spans="2:11" s="99" customFormat="1" ht="12.75" customHeight="1" x14ac:dyDescent="0.2">
      <c r="B33" s="95" t="s">
        <v>23</v>
      </c>
      <c r="C33" s="166"/>
      <c r="D33" s="174">
        <v>61405.772431330399</v>
      </c>
      <c r="E33" s="112"/>
      <c r="F33" s="172">
        <v>8789.8607291222997</v>
      </c>
      <c r="G33" s="172">
        <v>0.46017990489999999</v>
      </c>
      <c r="H33" s="113"/>
      <c r="I33" s="172">
        <v>58693.143558250602</v>
      </c>
      <c r="J33" s="173">
        <v>0.46017990489999999</v>
      </c>
    </row>
    <row r="34" spans="2:11" s="99" customFormat="1" ht="12.75" customHeight="1" x14ac:dyDescent="0.2">
      <c r="B34" s="95" t="s">
        <v>24</v>
      </c>
      <c r="C34" s="166"/>
      <c r="D34" s="174">
        <v>33271.499208339301</v>
      </c>
      <c r="E34" s="112"/>
      <c r="F34" s="172">
        <v>7937.3227678046997</v>
      </c>
      <c r="G34" s="172">
        <v>1.1235372400999999</v>
      </c>
      <c r="H34" s="113"/>
      <c r="I34" s="172">
        <v>31764.1229396737</v>
      </c>
      <c r="J34" s="173">
        <v>1.1235372400999999</v>
      </c>
    </row>
    <row r="35" spans="2:11" s="99" customFormat="1" ht="12.75" customHeight="1" x14ac:dyDescent="0.2">
      <c r="B35" s="95" t="s">
        <v>25</v>
      </c>
      <c r="C35" s="166"/>
      <c r="D35" s="174">
        <v>22050.121615099601</v>
      </c>
      <c r="E35" s="112"/>
      <c r="F35" s="172">
        <v>4603.5634766825997</v>
      </c>
      <c r="G35" s="172">
        <v>0.81280462890000005</v>
      </c>
      <c r="H35" s="113"/>
      <c r="I35" s="172">
        <v>21394.119287961701</v>
      </c>
      <c r="J35" s="173">
        <v>0.81280462890000005</v>
      </c>
    </row>
    <row r="36" spans="2:11" s="99" customFormat="1" ht="12.75" customHeight="1" x14ac:dyDescent="0.2">
      <c r="B36" s="95" t="s">
        <v>26</v>
      </c>
      <c r="C36" s="166"/>
      <c r="D36" s="174">
        <v>16199.5442898978</v>
      </c>
      <c r="E36" s="112"/>
      <c r="F36" s="172">
        <v>4816.2024424693</v>
      </c>
      <c r="G36" s="172">
        <v>0.59144104190000002</v>
      </c>
      <c r="H36" s="113"/>
      <c r="I36" s="172">
        <v>15761.4319759149</v>
      </c>
      <c r="J36" s="173">
        <v>0.59144104190000002</v>
      </c>
    </row>
    <row r="37" spans="2:11" s="99" customFormat="1" ht="12.75" customHeight="1" x14ac:dyDescent="0.2">
      <c r="B37" s="95" t="s">
        <v>27</v>
      </c>
      <c r="C37" s="166"/>
      <c r="D37" s="174">
        <v>19436.070996340299</v>
      </c>
      <c r="E37" s="112"/>
      <c r="F37" s="172">
        <v>5766.3141421504997</v>
      </c>
      <c r="G37" s="172">
        <v>0.65566053810000002</v>
      </c>
      <c r="H37" s="113"/>
      <c r="I37" s="172">
        <v>19338.471312915899</v>
      </c>
      <c r="J37" s="173">
        <v>0.65566053810000002</v>
      </c>
    </row>
    <row r="38" spans="2:11" s="99" customFormat="1" ht="12.75" customHeight="1" x14ac:dyDescent="0.2">
      <c r="B38" s="95" t="s">
        <v>28</v>
      </c>
      <c r="C38" s="166"/>
      <c r="D38" s="174">
        <v>26162.194676580599</v>
      </c>
      <c r="E38" s="112"/>
      <c r="F38" s="172">
        <v>8293.1261557607995</v>
      </c>
      <c r="G38" s="172">
        <v>0.93888912930000001</v>
      </c>
      <c r="H38" s="113"/>
      <c r="I38" s="172">
        <v>25691.384348822499</v>
      </c>
      <c r="J38" s="173">
        <v>0.93888912930000001</v>
      </c>
    </row>
    <row r="39" spans="2:11" s="99" customFormat="1" ht="12.75" customHeight="1" x14ac:dyDescent="0.2">
      <c r="B39" s="95" t="s">
        <v>29</v>
      </c>
      <c r="C39" s="166"/>
      <c r="D39" s="174">
        <v>25398.5941537945</v>
      </c>
      <c r="E39" s="112"/>
      <c r="F39" s="172">
        <v>5761.3882655631996</v>
      </c>
      <c r="G39" s="172">
        <v>0.7672570313</v>
      </c>
      <c r="H39" s="113"/>
      <c r="I39" s="172">
        <v>23808.2994461991</v>
      </c>
      <c r="J39" s="173">
        <v>0.7672570313</v>
      </c>
    </row>
    <row r="40" spans="2:11" s="99" customFormat="1" ht="12.75" customHeight="1" x14ac:dyDescent="0.2">
      <c r="B40" s="95" t="s">
        <v>30</v>
      </c>
      <c r="C40" s="166"/>
      <c r="D40" s="174">
        <v>22381.889964789701</v>
      </c>
      <c r="E40" s="112"/>
      <c r="F40" s="172">
        <v>9093.3090191860992</v>
      </c>
      <c r="G40" s="172">
        <v>0.84363140199999997</v>
      </c>
      <c r="H40" s="113"/>
      <c r="I40" s="172">
        <v>22432.4124834299</v>
      </c>
      <c r="J40" s="173">
        <v>0.84363140199999997</v>
      </c>
    </row>
    <row r="41" spans="2:11" s="99" customFormat="1" ht="12.75" customHeight="1" x14ac:dyDescent="0.2">
      <c r="B41" s="95" t="s">
        <v>31</v>
      </c>
      <c r="C41" s="166"/>
      <c r="D41" s="174">
        <v>9438.4892405188002</v>
      </c>
      <c r="E41" s="112"/>
      <c r="F41" s="172">
        <v>1525.9695606063001</v>
      </c>
      <c r="G41" s="172">
        <v>0.4390566051</v>
      </c>
      <c r="H41" s="113"/>
      <c r="I41" s="172">
        <v>9420.2106860824006</v>
      </c>
      <c r="J41" s="173">
        <v>0.4390566051</v>
      </c>
    </row>
    <row r="42" spans="2:11" s="99" customFormat="1" ht="12.75" customHeight="1" x14ac:dyDescent="0.2">
      <c r="B42" s="95" t="s">
        <v>32</v>
      </c>
      <c r="C42" s="166"/>
      <c r="D42" s="174">
        <v>75073.973302049504</v>
      </c>
      <c r="E42" s="112"/>
      <c r="F42" s="172">
        <v>14910.498056673099</v>
      </c>
      <c r="G42" s="172">
        <v>0.6172957926</v>
      </c>
      <c r="H42" s="113"/>
      <c r="I42" s="172">
        <v>74113.735108880705</v>
      </c>
      <c r="J42" s="173">
        <v>0.6172957926</v>
      </c>
    </row>
    <row r="43" spans="2:11" s="99" customFormat="1" ht="12.75" customHeight="1" x14ac:dyDescent="0.2">
      <c r="B43" s="95" t="s">
        <v>33</v>
      </c>
      <c r="C43" s="166"/>
      <c r="D43" s="174">
        <v>23033.342983461502</v>
      </c>
      <c r="E43" s="112"/>
      <c r="F43" s="172">
        <v>6761.1369281678999</v>
      </c>
      <c r="G43" s="172">
        <v>0.86697641910000001</v>
      </c>
      <c r="H43" s="113"/>
      <c r="I43" s="172">
        <v>20628.863950230399</v>
      </c>
      <c r="J43" s="173">
        <v>0.86697641910000001</v>
      </c>
    </row>
    <row r="44" spans="2:11" s="99" customFormat="1" ht="12.75" customHeight="1" x14ac:dyDescent="0.2">
      <c r="B44" s="95" t="s">
        <v>34</v>
      </c>
      <c r="C44" s="166"/>
      <c r="D44" s="174">
        <v>16348.792928994601</v>
      </c>
      <c r="E44" s="112"/>
      <c r="F44" s="172">
        <v>4585.3068667014004</v>
      </c>
      <c r="G44" s="172">
        <v>0.91700165219999996</v>
      </c>
      <c r="H44" s="113"/>
      <c r="I44" s="172">
        <v>15204.1799842256</v>
      </c>
      <c r="J44" s="173">
        <v>0.91700165219999996</v>
      </c>
    </row>
    <row r="45" spans="2:11" s="19" customFormat="1" ht="6" customHeight="1" x14ac:dyDescent="0.2">
      <c r="B45" s="15"/>
      <c r="C45" s="16"/>
      <c r="D45" s="138"/>
      <c r="E45" s="138"/>
      <c r="F45" s="138"/>
      <c r="G45" s="138"/>
      <c r="H45" s="138"/>
      <c r="I45" s="138"/>
      <c r="J45" s="138"/>
      <c r="K45" s="18"/>
    </row>
    <row r="46" spans="2:11" s="19" customFormat="1" ht="6" customHeight="1" x14ac:dyDescent="0.2">
      <c r="B46" s="18"/>
      <c r="C46" s="18"/>
      <c r="D46" s="167"/>
      <c r="E46" s="167"/>
      <c r="F46" s="167"/>
      <c r="G46" s="167"/>
      <c r="H46" s="167"/>
      <c r="I46" s="167"/>
      <c r="J46" s="167"/>
      <c r="K46" s="18"/>
    </row>
    <row r="47" spans="2:11" x14ac:dyDescent="0.2">
      <c r="B47" s="109" t="s">
        <v>57</v>
      </c>
    </row>
  </sheetData>
  <mergeCells count="6">
    <mergeCell ref="B5:I5"/>
    <mergeCell ref="B7:B9"/>
    <mergeCell ref="D7:D9"/>
    <mergeCell ref="F7:J7"/>
    <mergeCell ref="F8:G8"/>
    <mergeCell ref="I8:J8"/>
  </mergeCells>
  <hyperlinks>
    <hyperlink ref="J1" location="Índice!A1" tooltip="Ir a ÍNDICE" display="INDICE" xr:uid="{257FEF9D-3CA6-425C-ABA7-0A09A0CB8CBF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0872-F5C6-4425-891A-C0D38F2E70A6}">
  <dimension ref="B1:S18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6" width="17.7109375" style="13" customWidth="1"/>
    <col min="7" max="7" width="1.7109375" style="13" customWidth="1"/>
    <col min="8" max="8" width="17.7109375" style="13" customWidth="1"/>
    <col min="9" max="16384" width="9.140625" style="13"/>
  </cols>
  <sheetData>
    <row r="1" spans="2:19" s="58" customFormat="1" ht="12" customHeight="1" x14ac:dyDescent="0.2">
      <c r="B1" s="639" t="s">
        <v>202</v>
      </c>
      <c r="C1" s="199"/>
      <c r="H1" s="72" t="s">
        <v>151</v>
      </c>
    </row>
    <row r="2" spans="2:19" s="58" customFormat="1" ht="6.95" customHeight="1" x14ac:dyDescent="0.2">
      <c r="B2" s="639"/>
      <c r="C2" s="199"/>
    </row>
    <row r="3" spans="2:19" s="58" customFormat="1" ht="12.75" x14ac:dyDescent="0.2">
      <c r="B3" s="639" t="s">
        <v>199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</row>
    <row r="4" spans="2:19" s="58" customFormat="1" ht="6.95" customHeight="1" x14ac:dyDescent="0.2"/>
    <row r="5" spans="2:19" s="58" customFormat="1" ht="25.5" customHeight="1" x14ac:dyDescent="0.2">
      <c r="B5" s="667" t="s">
        <v>103</v>
      </c>
      <c r="C5" s="667"/>
      <c r="D5" s="667"/>
      <c r="E5" s="667"/>
      <c r="F5" s="667"/>
      <c r="G5" s="200"/>
      <c r="H5" s="71" t="s">
        <v>102</v>
      </c>
    </row>
    <row r="6" spans="2:19" ht="6" customHeight="1" x14ac:dyDescent="0.2">
      <c r="B6" s="201"/>
      <c r="C6" s="201"/>
      <c r="D6" s="202"/>
      <c r="E6" s="202"/>
      <c r="F6" s="202"/>
      <c r="G6" s="202"/>
      <c r="H6" s="159"/>
    </row>
    <row r="7" spans="2:19" ht="16.5" customHeight="1" x14ac:dyDescent="0.2">
      <c r="B7" s="668" t="s">
        <v>55</v>
      </c>
      <c r="C7" s="187"/>
      <c r="D7" s="670" t="s">
        <v>85</v>
      </c>
      <c r="E7" s="189"/>
      <c r="F7" s="672" t="s">
        <v>83</v>
      </c>
      <c r="G7" s="191"/>
      <c r="H7" s="663" t="s">
        <v>84</v>
      </c>
    </row>
    <row r="8" spans="2:19" ht="23.25" customHeight="1" x14ac:dyDescent="0.2">
      <c r="B8" s="669"/>
      <c r="C8" s="188"/>
      <c r="D8" s="671"/>
      <c r="E8" s="190"/>
      <c r="F8" s="673"/>
      <c r="G8" s="192"/>
      <c r="H8" s="665"/>
    </row>
    <row r="9" spans="2:19" s="19" customFormat="1" ht="6" customHeight="1" x14ac:dyDescent="0.2">
      <c r="B9" s="18"/>
      <c r="C9" s="18"/>
      <c r="D9" s="167"/>
      <c r="E9" s="167"/>
      <c r="F9" s="167"/>
      <c r="G9" s="167"/>
      <c r="H9" s="167"/>
      <c r="I9" s="18"/>
    </row>
    <row r="10" spans="2:19" s="98" customFormat="1" ht="11.25" x14ac:dyDescent="0.2">
      <c r="B10" s="102" t="s">
        <v>35</v>
      </c>
      <c r="C10" s="103"/>
      <c r="D10" s="206">
        <v>56577.937364962003</v>
      </c>
      <c r="E10" s="133"/>
      <c r="F10" s="206">
        <v>53876.669852867803</v>
      </c>
      <c r="G10" s="133"/>
      <c r="H10" s="206">
        <v>21008.072979993201</v>
      </c>
      <c r="I10" s="103"/>
      <c r="J10" s="103"/>
      <c r="K10" s="103"/>
    </row>
    <row r="11" spans="2:19" s="99" customFormat="1" ht="6" customHeight="1" x14ac:dyDescent="0.2">
      <c r="B11" s="203"/>
      <c r="C11" s="104"/>
      <c r="D11" s="134"/>
      <c r="E11" s="134"/>
      <c r="F11" s="134"/>
      <c r="G11" s="134"/>
      <c r="H11" s="134"/>
      <c r="I11" s="104"/>
      <c r="J11" s="104"/>
      <c r="K11" s="104"/>
    </row>
    <row r="12" spans="2:19" s="99" customFormat="1" ht="15" customHeight="1" x14ac:dyDescent="0.2">
      <c r="B12" s="184" t="s">
        <v>36</v>
      </c>
      <c r="C12" s="104"/>
      <c r="D12" s="205">
        <v>19603.1731849721</v>
      </c>
      <c r="E12" s="134"/>
      <c r="F12" s="205">
        <v>19211.2709370905</v>
      </c>
      <c r="G12" s="134"/>
      <c r="H12" s="205">
        <v>5246.1762045052001</v>
      </c>
      <c r="I12" s="104"/>
      <c r="J12" s="104"/>
      <c r="K12" s="104"/>
    </row>
    <row r="13" spans="2:19" s="104" customFormat="1" ht="15" customHeight="1" x14ac:dyDescent="0.2">
      <c r="B13" s="184" t="s">
        <v>37</v>
      </c>
      <c r="C13" s="184"/>
      <c r="D13" s="208">
        <v>17991.714304529702</v>
      </c>
      <c r="E13" s="135"/>
      <c r="F13" s="204">
        <v>16905.667125992499</v>
      </c>
      <c r="G13" s="136"/>
      <c r="H13" s="207">
        <v>7169.8203558983996</v>
      </c>
    </row>
    <row r="14" spans="2:19" s="104" customFormat="1" ht="15" customHeight="1" x14ac:dyDescent="0.2">
      <c r="B14" s="186" t="s">
        <v>38</v>
      </c>
      <c r="C14" s="186"/>
      <c r="D14" s="208">
        <v>24742.024941071799</v>
      </c>
      <c r="E14" s="135"/>
      <c r="F14" s="204">
        <v>23687.107453301898</v>
      </c>
      <c r="G14" s="136"/>
      <c r="H14" s="207">
        <v>9595.0993516309009</v>
      </c>
    </row>
    <row r="15" spans="2:19" s="104" customFormat="1" ht="15" customHeight="1" x14ac:dyDescent="0.2">
      <c r="B15" s="186" t="s">
        <v>56</v>
      </c>
      <c r="C15" s="186"/>
      <c r="D15" s="208">
        <v>43517.913615197402</v>
      </c>
      <c r="E15" s="135"/>
      <c r="F15" s="204">
        <v>41178.279152211799</v>
      </c>
      <c r="G15" s="136"/>
      <c r="H15" s="207">
        <v>16455.884461000998</v>
      </c>
    </row>
    <row r="16" spans="2:19" s="19" customFormat="1" ht="6" customHeight="1" x14ac:dyDescent="0.2">
      <c r="B16" s="15"/>
      <c r="C16" s="16"/>
      <c r="D16" s="17"/>
      <c r="E16" s="17"/>
      <c r="F16" s="17"/>
      <c r="G16" s="17"/>
      <c r="H16" s="17"/>
      <c r="I16" s="18"/>
    </row>
    <row r="17" spans="2:9" s="19" customFormat="1" ht="6" customHeight="1" x14ac:dyDescent="0.2">
      <c r="B17" s="18"/>
      <c r="C17" s="18"/>
      <c r="D17" s="167"/>
      <c r="E17" s="167"/>
      <c r="F17" s="167"/>
      <c r="G17" s="167"/>
      <c r="H17" s="167"/>
      <c r="I17" s="18"/>
    </row>
    <row r="18" spans="2:9" x14ac:dyDescent="0.2">
      <c r="B18" s="109" t="s">
        <v>57</v>
      </c>
    </row>
  </sheetData>
  <mergeCells count="5">
    <mergeCell ref="B5:F5"/>
    <mergeCell ref="B7:B8"/>
    <mergeCell ref="D7:D8"/>
    <mergeCell ref="F7:F8"/>
    <mergeCell ref="H7:H8"/>
  </mergeCells>
  <hyperlinks>
    <hyperlink ref="H1" location="Índice!A1" tooltip="Ir a ÍNDICE" display="INDICE" xr:uid="{A8D945D0-B33A-4F6C-A34C-8C742609C7DF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B4ED2-EDDF-4121-B35C-35FB7D1924A6}">
  <dimension ref="B1:S46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6" width="16.28515625" style="13" customWidth="1"/>
    <col min="7" max="7" width="1.7109375" style="13" customWidth="1"/>
    <col min="8" max="8" width="17.7109375" style="13" customWidth="1"/>
    <col min="9" max="16384" width="9.140625" style="13"/>
  </cols>
  <sheetData>
    <row r="1" spans="2:19" s="58" customFormat="1" ht="12" customHeight="1" x14ac:dyDescent="0.2">
      <c r="B1" s="639" t="s">
        <v>202</v>
      </c>
      <c r="C1" s="211"/>
      <c r="H1" s="72" t="s">
        <v>151</v>
      </c>
    </row>
    <row r="2" spans="2:19" s="58" customFormat="1" ht="6.95" customHeight="1" x14ac:dyDescent="0.2">
      <c r="B2" s="639"/>
      <c r="C2" s="211"/>
    </row>
    <row r="3" spans="2:19" s="58" customFormat="1" ht="12.75" x14ac:dyDescent="0.2">
      <c r="B3" s="639" t="s">
        <v>199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</row>
    <row r="4" spans="2:19" s="58" customFormat="1" ht="6.95" customHeight="1" x14ac:dyDescent="0.2"/>
    <row r="5" spans="2:19" s="58" customFormat="1" ht="25.5" customHeight="1" x14ac:dyDescent="0.2">
      <c r="B5" s="667" t="s">
        <v>104</v>
      </c>
      <c r="C5" s="667"/>
      <c r="D5" s="667"/>
      <c r="E5" s="667"/>
      <c r="F5" s="667"/>
      <c r="G5" s="198"/>
      <c r="H5" s="71" t="s">
        <v>105</v>
      </c>
    </row>
    <row r="6" spans="2:19" ht="6" customHeight="1" x14ac:dyDescent="0.2">
      <c r="B6" s="157"/>
      <c r="C6" s="157"/>
      <c r="D6" s="158"/>
      <c r="E6" s="158"/>
      <c r="F6" s="158"/>
      <c r="G6" s="158"/>
      <c r="H6" s="159"/>
    </row>
    <row r="7" spans="2:19" ht="16.5" customHeight="1" x14ac:dyDescent="0.2">
      <c r="B7" s="660" t="s">
        <v>76</v>
      </c>
      <c r="C7" s="194"/>
      <c r="D7" s="663" t="s">
        <v>85</v>
      </c>
      <c r="E7" s="196"/>
      <c r="F7" s="663" t="s">
        <v>83</v>
      </c>
      <c r="G7" s="196"/>
      <c r="H7" s="663" t="s">
        <v>84</v>
      </c>
    </row>
    <row r="8" spans="2:19" ht="23.25" customHeight="1" x14ac:dyDescent="0.2">
      <c r="B8" s="662"/>
      <c r="C8" s="195"/>
      <c r="D8" s="665"/>
      <c r="E8" s="197"/>
      <c r="F8" s="665"/>
      <c r="G8" s="197"/>
      <c r="H8" s="665"/>
    </row>
    <row r="9" spans="2:19" s="19" customFormat="1" ht="6" customHeight="1" x14ac:dyDescent="0.2">
      <c r="B9" s="162"/>
      <c r="C9" s="162"/>
      <c r="D9" s="27"/>
      <c r="E9" s="27"/>
      <c r="F9" s="27"/>
      <c r="G9" s="27"/>
      <c r="H9" s="27"/>
      <c r="I9" s="14"/>
      <c r="J9" s="14"/>
      <c r="K9" s="14"/>
      <c r="L9" s="14"/>
    </row>
    <row r="10" spans="2:19" s="98" customFormat="1" ht="11.25" x14ac:dyDescent="0.2">
      <c r="B10" s="97" t="s">
        <v>35</v>
      </c>
      <c r="C10" s="164"/>
      <c r="D10" s="148">
        <v>56577.937364962003</v>
      </c>
      <c r="E10" s="114"/>
      <c r="F10" s="148">
        <v>53876.669852867803</v>
      </c>
      <c r="G10" s="114"/>
      <c r="H10" s="148">
        <v>21008.072979993201</v>
      </c>
    </row>
    <row r="11" spans="2:19" s="99" customFormat="1" ht="6" customHeight="1" x14ac:dyDescent="0.2">
      <c r="B11" s="164"/>
      <c r="C11" s="164"/>
      <c r="D11" s="115"/>
      <c r="E11" s="115"/>
      <c r="F11" s="115"/>
      <c r="G11" s="115"/>
      <c r="H11" s="115"/>
    </row>
    <row r="12" spans="2:19" s="99" customFormat="1" ht="12.75" customHeight="1" x14ac:dyDescent="0.2">
      <c r="B12" s="95" t="s">
        <v>3</v>
      </c>
      <c r="C12" s="165"/>
      <c r="D12" s="150">
        <v>3457.0382503924002</v>
      </c>
      <c r="E12" s="115"/>
      <c r="F12" s="150">
        <v>2994.2385756367999</v>
      </c>
      <c r="G12" s="115"/>
      <c r="H12" s="150">
        <v>2018.1681414202999</v>
      </c>
    </row>
    <row r="13" spans="2:19" s="99" customFormat="1" ht="12.75" customHeight="1" x14ac:dyDescent="0.2">
      <c r="B13" s="95" t="s">
        <v>4</v>
      </c>
      <c r="C13" s="165"/>
      <c r="D13" s="150">
        <v>9441.4238019166005</v>
      </c>
      <c r="E13" s="115"/>
      <c r="F13" s="150">
        <v>8681.9954481381992</v>
      </c>
      <c r="G13" s="115"/>
      <c r="H13" s="150">
        <v>3775.0950831287</v>
      </c>
    </row>
    <row r="14" spans="2:19" s="99" customFormat="1" ht="12.75" customHeight="1" x14ac:dyDescent="0.2">
      <c r="B14" s="95" t="s">
        <v>5</v>
      </c>
      <c r="C14" s="165"/>
      <c r="D14" s="150">
        <v>2013.6741777553</v>
      </c>
      <c r="E14" s="115"/>
      <c r="F14" s="150">
        <v>1921.3796512338999</v>
      </c>
      <c r="G14" s="115"/>
      <c r="H14" s="150">
        <v>778.78204513699995</v>
      </c>
    </row>
    <row r="15" spans="2:19" s="99" customFormat="1" ht="12.75" customHeight="1" x14ac:dyDescent="0.2">
      <c r="B15" s="95" t="s">
        <v>6</v>
      </c>
      <c r="C15" s="165"/>
      <c r="D15" s="171">
        <v>1943.0442259709</v>
      </c>
      <c r="E15" s="110"/>
      <c r="F15" s="169">
        <v>1702.7672901235001</v>
      </c>
      <c r="G15" s="111"/>
      <c r="H15" s="170">
        <v>1092.4066840174</v>
      </c>
    </row>
    <row r="16" spans="2:19" s="99" customFormat="1" ht="12.75" customHeight="1" x14ac:dyDescent="0.2">
      <c r="B16" s="95" t="s">
        <v>7</v>
      </c>
      <c r="C16" s="165"/>
      <c r="D16" s="171">
        <v>7357.6406072541004</v>
      </c>
      <c r="E16" s="110"/>
      <c r="F16" s="169">
        <v>6651.6014605540004</v>
      </c>
      <c r="G16" s="111"/>
      <c r="H16" s="170">
        <v>2916.7635152876001</v>
      </c>
    </row>
    <row r="17" spans="2:8" s="99" customFormat="1" ht="12.75" customHeight="1" x14ac:dyDescent="0.2">
      <c r="B17" s="95" t="s">
        <v>8</v>
      </c>
      <c r="C17" s="165"/>
      <c r="D17" s="171">
        <v>2371.3013550322999</v>
      </c>
      <c r="E17" s="110"/>
      <c r="F17" s="169">
        <v>2087.3514902197999</v>
      </c>
      <c r="G17" s="111"/>
      <c r="H17" s="170">
        <v>798.64882011980001</v>
      </c>
    </row>
    <row r="18" spans="2:8" s="99" customFormat="1" ht="12.75" customHeight="1" x14ac:dyDescent="0.2">
      <c r="B18" s="95" t="s">
        <v>9</v>
      </c>
      <c r="C18" s="165"/>
      <c r="D18" s="171">
        <v>9130.2067438832</v>
      </c>
      <c r="E18" s="110"/>
      <c r="F18" s="169">
        <v>8748.4747381690995</v>
      </c>
      <c r="G18" s="111"/>
      <c r="H18" s="170">
        <v>2189.8461703964999</v>
      </c>
    </row>
    <row r="19" spans="2:8" s="99" customFormat="1" ht="12.75" customHeight="1" x14ac:dyDescent="0.2">
      <c r="B19" s="95" t="s">
        <v>10</v>
      </c>
      <c r="C19" s="165"/>
      <c r="D19" s="171">
        <v>7688.6070130014004</v>
      </c>
      <c r="E19" s="110"/>
      <c r="F19" s="169">
        <v>7315.0658209055</v>
      </c>
      <c r="G19" s="111"/>
      <c r="H19" s="170">
        <v>3065.8157027338998</v>
      </c>
    </row>
    <row r="20" spans="2:8" s="99" customFormat="1" ht="12.75" customHeight="1" x14ac:dyDescent="0.2">
      <c r="B20" s="95" t="s">
        <v>11</v>
      </c>
      <c r="C20" s="165"/>
      <c r="D20" s="171">
        <v>19892.538938932201</v>
      </c>
      <c r="E20" s="110"/>
      <c r="F20" s="169">
        <v>18511.238567822798</v>
      </c>
      <c r="G20" s="111"/>
      <c r="H20" s="170">
        <v>7191.0737057162996</v>
      </c>
    </row>
    <row r="21" spans="2:8" s="99" customFormat="1" ht="12.75" customHeight="1" x14ac:dyDescent="0.2">
      <c r="B21" s="95" t="s">
        <v>12</v>
      </c>
      <c r="C21" s="165"/>
      <c r="D21" s="171">
        <v>4055.0632364841999</v>
      </c>
      <c r="E21" s="110"/>
      <c r="F21" s="169">
        <v>3794.9366193445999</v>
      </c>
      <c r="G21" s="111"/>
      <c r="H21" s="170">
        <v>1388.4945416875</v>
      </c>
    </row>
    <row r="22" spans="2:8" s="99" customFormat="1" ht="12.75" customHeight="1" x14ac:dyDescent="0.2">
      <c r="B22" s="95" t="s">
        <v>13</v>
      </c>
      <c r="C22" s="165"/>
      <c r="D22" s="171">
        <v>10164.3451479943</v>
      </c>
      <c r="E22" s="110"/>
      <c r="F22" s="169">
        <v>9338.4779038698998</v>
      </c>
      <c r="G22" s="111"/>
      <c r="H22" s="170">
        <v>4021.3847456602002</v>
      </c>
    </row>
    <row r="23" spans="2:8" s="99" customFormat="1" ht="12.75" customHeight="1" x14ac:dyDescent="0.2">
      <c r="B23" s="95" t="s">
        <v>14</v>
      </c>
      <c r="C23" s="165"/>
      <c r="D23" s="171">
        <v>5089.6859873043004</v>
      </c>
      <c r="E23" s="110"/>
      <c r="F23" s="169">
        <v>5083.2215845585997</v>
      </c>
      <c r="G23" s="111"/>
      <c r="H23" s="170">
        <v>1600.9690441548</v>
      </c>
    </row>
    <row r="24" spans="2:8" s="99" customFormat="1" ht="12.75" customHeight="1" x14ac:dyDescent="0.2">
      <c r="B24" s="95" t="s">
        <v>15</v>
      </c>
      <c r="C24" s="165"/>
      <c r="D24" s="171">
        <v>5367.4213710432005</v>
      </c>
      <c r="E24" s="110"/>
      <c r="F24" s="169">
        <v>4608.0252666790002</v>
      </c>
      <c r="G24" s="111"/>
      <c r="H24" s="170">
        <v>2531.4544318663998</v>
      </c>
    </row>
    <row r="25" spans="2:8" s="99" customFormat="1" ht="12.75" customHeight="1" x14ac:dyDescent="0.2">
      <c r="B25" s="95" t="s">
        <v>16</v>
      </c>
      <c r="C25" s="165"/>
      <c r="D25" s="171">
        <v>20594.251905317298</v>
      </c>
      <c r="E25" s="110"/>
      <c r="F25" s="169">
        <v>19434.816359953398</v>
      </c>
      <c r="G25" s="111"/>
      <c r="H25" s="170">
        <v>8339.4503282790993</v>
      </c>
    </row>
    <row r="26" spans="2:8" s="99" customFormat="1" ht="12.75" customHeight="1" x14ac:dyDescent="0.2">
      <c r="B26" s="95" t="s">
        <v>17</v>
      </c>
      <c r="C26" s="165"/>
      <c r="D26" s="171">
        <v>27387.584714156201</v>
      </c>
      <c r="E26" s="110"/>
      <c r="F26" s="169">
        <v>27013.526350918099</v>
      </c>
      <c r="G26" s="111"/>
      <c r="H26" s="170">
        <v>10149.0851412314</v>
      </c>
    </row>
    <row r="27" spans="2:8" s="99" customFormat="1" ht="12.75" customHeight="1" x14ac:dyDescent="0.2">
      <c r="B27" s="95" t="s">
        <v>18</v>
      </c>
      <c r="C27" s="165"/>
      <c r="D27" s="171">
        <v>10816.581452463</v>
      </c>
      <c r="E27" s="110"/>
      <c r="F27" s="169">
        <v>10334.2007801707</v>
      </c>
      <c r="G27" s="111"/>
      <c r="H27" s="170">
        <v>4287.9772887886002</v>
      </c>
    </row>
    <row r="28" spans="2:8" s="99" customFormat="1" ht="12.75" customHeight="1" x14ac:dyDescent="0.2">
      <c r="B28" s="95" t="s">
        <v>19</v>
      </c>
      <c r="C28" s="165"/>
      <c r="D28" s="171">
        <v>3076.6494291401</v>
      </c>
      <c r="E28" s="110"/>
      <c r="F28" s="169">
        <v>2583.4226974734001</v>
      </c>
      <c r="G28" s="111"/>
      <c r="H28" s="170">
        <v>1807.9200067632</v>
      </c>
    </row>
    <row r="29" spans="2:8" s="99" customFormat="1" ht="12.75" customHeight="1" x14ac:dyDescent="0.2">
      <c r="B29" s="95" t="s">
        <v>20</v>
      </c>
      <c r="C29" s="165"/>
      <c r="D29" s="171">
        <v>3694.2273356922001</v>
      </c>
      <c r="E29" s="110"/>
      <c r="F29" s="169">
        <v>3077.0155857591999</v>
      </c>
      <c r="G29" s="111"/>
      <c r="H29" s="170">
        <v>1289.1560447218001</v>
      </c>
    </row>
    <row r="30" spans="2:8" s="99" customFormat="1" ht="12.75" customHeight="1" x14ac:dyDescent="0.2">
      <c r="B30" s="95" t="s">
        <v>21</v>
      </c>
      <c r="C30" s="165"/>
      <c r="D30" s="171">
        <v>15161.012906124301</v>
      </c>
      <c r="E30" s="110"/>
      <c r="F30" s="169">
        <v>14706.8191641264</v>
      </c>
      <c r="G30" s="111"/>
      <c r="H30" s="170">
        <v>5807.3664542906999</v>
      </c>
    </row>
    <row r="31" spans="2:8" s="99" customFormat="1" ht="12.75" customHeight="1" x14ac:dyDescent="0.2">
      <c r="B31" s="95" t="s">
        <v>22</v>
      </c>
      <c r="C31" s="165"/>
      <c r="D31" s="171">
        <v>9033.4492597897006</v>
      </c>
      <c r="E31" s="110"/>
      <c r="F31" s="169">
        <v>8727.2468218904996</v>
      </c>
      <c r="G31" s="111"/>
      <c r="H31" s="170">
        <v>2224.0782308058001</v>
      </c>
    </row>
    <row r="32" spans="2:8" s="99" customFormat="1" ht="12.75" customHeight="1" x14ac:dyDescent="0.2">
      <c r="B32" s="95" t="s">
        <v>23</v>
      </c>
      <c r="C32" s="165"/>
      <c r="D32" s="171">
        <v>8789.8607291222997</v>
      </c>
      <c r="E32" s="110"/>
      <c r="F32" s="169">
        <v>8017.7195427358001</v>
      </c>
      <c r="G32" s="111"/>
      <c r="H32" s="170">
        <v>3073.7780010924998</v>
      </c>
    </row>
    <row r="33" spans="2:9" s="99" customFormat="1" ht="12.75" customHeight="1" x14ac:dyDescent="0.2">
      <c r="B33" s="95" t="s">
        <v>24</v>
      </c>
      <c r="C33" s="165"/>
      <c r="D33" s="171">
        <v>7937.3227678046997</v>
      </c>
      <c r="E33" s="110"/>
      <c r="F33" s="169">
        <v>7424.5609951052002</v>
      </c>
      <c r="G33" s="111"/>
      <c r="H33" s="170">
        <v>2861.3348984722002</v>
      </c>
    </row>
    <row r="34" spans="2:9" s="99" customFormat="1" ht="12.75" customHeight="1" x14ac:dyDescent="0.2">
      <c r="B34" s="95" t="s">
        <v>25</v>
      </c>
      <c r="C34" s="165"/>
      <c r="D34" s="171">
        <v>4603.5634766825997</v>
      </c>
      <c r="E34" s="110"/>
      <c r="F34" s="169">
        <v>4468.6632358736997</v>
      </c>
      <c r="G34" s="111"/>
      <c r="H34" s="170">
        <v>1549.3525441515001</v>
      </c>
    </row>
    <row r="35" spans="2:9" s="99" customFormat="1" ht="12.75" customHeight="1" x14ac:dyDescent="0.2">
      <c r="B35" s="95" t="s">
        <v>26</v>
      </c>
      <c r="C35" s="165"/>
      <c r="D35" s="171">
        <v>4816.2024424693</v>
      </c>
      <c r="E35" s="110"/>
      <c r="F35" s="169">
        <v>4313.3564592740004</v>
      </c>
      <c r="G35" s="111"/>
      <c r="H35" s="170">
        <v>2546.2881954701002</v>
      </c>
    </row>
    <row r="36" spans="2:9" s="99" customFormat="1" ht="12.75" customHeight="1" x14ac:dyDescent="0.2">
      <c r="B36" s="95" t="s">
        <v>27</v>
      </c>
      <c r="C36" s="165"/>
      <c r="D36" s="171">
        <v>5766.3141421504997</v>
      </c>
      <c r="E36" s="110"/>
      <c r="F36" s="169">
        <v>5592.6021914863004</v>
      </c>
      <c r="G36" s="111"/>
      <c r="H36" s="170">
        <v>1832.2092665746</v>
      </c>
    </row>
    <row r="37" spans="2:9" s="99" customFormat="1" ht="12.75" customHeight="1" x14ac:dyDescent="0.2">
      <c r="B37" s="95" t="s">
        <v>28</v>
      </c>
      <c r="C37" s="165"/>
      <c r="D37" s="171">
        <v>8293.1261557607995</v>
      </c>
      <c r="E37" s="110"/>
      <c r="F37" s="169">
        <v>7512.3033642946002</v>
      </c>
      <c r="G37" s="111"/>
      <c r="H37" s="170">
        <v>3925.0227196218002</v>
      </c>
    </row>
    <row r="38" spans="2:9" s="99" customFormat="1" ht="12.75" customHeight="1" x14ac:dyDescent="0.2">
      <c r="B38" s="95" t="s">
        <v>29</v>
      </c>
      <c r="C38" s="165"/>
      <c r="D38" s="171">
        <v>5761.3882655631996</v>
      </c>
      <c r="E38" s="110"/>
      <c r="F38" s="169">
        <v>5213.9485226998004</v>
      </c>
      <c r="G38" s="111"/>
      <c r="H38" s="170">
        <v>1918.0113008374001</v>
      </c>
    </row>
    <row r="39" spans="2:9" s="99" customFormat="1" ht="12.75" customHeight="1" x14ac:dyDescent="0.2">
      <c r="B39" s="95" t="s">
        <v>30</v>
      </c>
      <c r="C39" s="165"/>
      <c r="D39" s="171">
        <v>9093.3090191860992</v>
      </c>
      <c r="E39" s="110"/>
      <c r="F39" s="169">
        <v>8385.0252313462006</v>
      </c>
      <c r="G39" s="111"/>
      <c r="H39" s="170">
        <v>3138.504491271</v>
      </c>
    </row>
    <row r="40" spans="2:9" s="99" customFormat="1" ht="12.75" customHeight="1" x14ac:dyDescent="0.2">
      <c r="B40" s="95" t="s">
        <v>31</v>
      </c>
      <c r="C40" s="165"/>
      <c r="D40" s="171">
        <v>1525.9695606063001</v>
      </c>
      <c r="E40" s="110"/>
      <c r="F40" s="169">
        <v>1485.1415153820999</v>
      </c>
      <c r="G40" s="111"/>
      <c r="H40" s="170">
        <v>506.7691782261</v>
      </c>
    </row>
    <row r="41" spans="2:9" s="99" customFormat="1" ht="12.75" customHeight="1" x14ac:dyDescent="0.2">
      <c r="B41" s="95" t="s">
        <v>32</v>
      </c>
      <c r="C41" s="165"/>
      <c r="D41" s="171">
        <v>14910.498056673099</v>
      </c>
      <c r="E41" s="110"/>
      <c r="F41" s="169">
        <v>14614.424919463099</v>
      </c>
      <c r="G41" s="111"/>
      <c r="H41" s="170">
        <v>4277.4058727224001</v>
      </c>
    </row>
    <row r="42" spans="2:9" s="99" customFormat="1" ht="12.75" customHeight="1" x14ac:dyDescent="0.2">
      <c r="B42" s="95" t="s">
        <v>33</v>
      </c>
      <c r="C42" s="165"/>
      <c r="D42" s="171">
        <v>6761.1369281678999</v>
      </c>
      <c r="E42" s="110"/>
      <c r="F42" s="169">
        <v>6433.6859149339998</v>
      </c>
      <c r="G42" s="111"/>
      <c r="H42" s="170">
        <v>2203.8836326828</v>
      </c>
    </row>
    <row r="43" spans="2:9" s="99" customFormat="1" ht="12.75" customHeight="1" x14ac:dyDescent="0.2">
      <c r="B43" s="95" t="s">
        <v>34</v>
      </c>
      <c r="C43" s="165"/>
      <c r="D43" s="171">
        <v>4585.3068667014004</v>
      </c>
      <c r="E43" s="110"/>
      <c r="F43" s="169">
        <v>4308.6438467341004</v>
      </c>
      <c r="G43" s="111"/>
      <c r="H43" s="170">
        <v>1526.9639004262999</v>
      </c>
    </row>
    <row r="44" spans="2:9" s="19" customFormat="1" ht="6" customHeight="1" x14ac:dyDescent="0.2">
      <c r="B44" s="28"/>
      <c r="C44" s="29"/>
      <c r="D44" s="30"/>
      <c r="E44" s="30"/>
      <c r="F44" s="30"/>
      <c r="G44" s="30"/>
      <c r="H44" s="30"/>
      <c r="I44" s="18"/>
    </row>
    <row r="45" spans="2:9" s="19" customFormat="1" ht="6" customHeight="1" x14ac:dyDescent="0.2">
      <c r="B45" s="162"/>
      <c r="C45" s="162"/>
      <c r="D45" s="183"/>
      <c r="E45" s="183"/>
      <c r="F45" s="183"/>
      <c r="G45" s="183"/>
      <c r="H45" s="183"/>
      <c r="I45" s="18"/>
    </row>
    <row r="46" spans="2:9" x14ac:dyDescent="0.2">
      <c r="B46" s="109" t="s">
        <v>57</v>
      </c>
    </row>
  </sheetData>
  <mergeCells count="5">
    <mergeCell ref="B5:F5"/>
    <mergeCell ref="B7:B8"/>
    <mergeCell ref="D7:D8"/>
    <mergeCell ref="F7:F8"/>
    <mergeCell ref="H7:H8"/>
  </mergeCells>
  <hyperlinks>
    <hyperlink ref="H1" location="Índice!A1" tooltip="Ir a ÍNDICE" display="INDICE" xr:uid="{85DD9C09-AC63-4D2A-822F-B9A299DAE927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0D53F-0188-4B63-A47D-F7F7332029AC}">
  <dimension ref="B1:S47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218" customWidth="1"/>
    <col min="2" max="2" width="31.85546875" style="218" customWidth="1"/>
    <col min="3" max="3" width="33.7109375" style="217" customWidth="1"/>
    <col min="4" max="4" width="14.5703125" style="218" customWidth="1"/>
    <col min="5" max="16384" width="11.42578125" style="218"/>
  </cols>
  <sheetData>
    <row r="1" spans="2:19" s="213" customFormat="1" ht="12" customHeight="1" x14ac:dyDescent="0.2">
      <c r="B1" s="639" t="s">
        <v>202</v>
      </c>
      <c r="D1" s="72" t="s">
        <v>151</v>
      </c>
    </row>
    <row r="2" spans="2:19" s="213" customFormat="1" ht="6.95" customHeight="1" x14ac:dyDescent="0.2">
      <c r="B2" s="639"/>
    </row>
    <row r="3" spans="2:19" s="213" customFormat="1" ht="15" customHeight="1" x14ac:dyDescent="0.2">
      <c r="B3" s="639" t="s">
        <v>199</v>
      </c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</row>
    <row r="4" spans="2:19" s="213" customFormat="1" ht="6.95" customHeight="1" x14ac:dyDescent="0.2">
      <c r="C4" s="214"/>
    </row>
    <row r="5" spans="2:19" s="213" customFormat="1" ht="25.5" customHeight="1" x14ac:dyDescent="0.2">
      <c r="B5" s="215" t="s">
        <v>89</v>
      </c>
      <c r="C5" s="215"/>
      <c r="D5" s="71" t="s">
        <v>106</v>
      </c>
    </row>
    <row r="6" spans="2:19" ht="6" customHeight="1" x14ac:dyDescent="0.25">
      <c r="B6" s="216"/>
    </row>
    <row r="7" spans="2:19" ht="6.95" customHeight="1" x14ac:dyDescent="0.25">
      <c r="B7" s="674" t="s">
        <v>76</v>
      </c>
      <c r="C7" s="209"/>
      <c r="D7" s="677" t="s">
        <v>90</v>
      </c>
    </row>
    <row r="8" spans="2:19" ht="24.75" customHeight="1" x14ac:dyDescent="0.25">
      <c r="B8" s="675"/>
      <c r="C8" s="219"/>
      <c r="D8" s="678"/>
    </row>
    <row r="9" spans="2:19" ht="6.95" customHeight="1" x14ac:dyDescent="0.25">
      <c r="B9" s="676"/>
      <c r="C9" s="210"/>
      <c r="D9" s="679"/>
    </row>
    <row r="10" spans="2:19" ht="6" customHeight="1" x14ac:dyDescent="0.25">
      <c r="B10" s="10"/>
      <c r="C10" s="220"/>
    </row>
    <row r="11" spans="2:19" s="222" customFormat="1" ht="11.25" x14ac:dyDescent="0.2">
      <c r="B11" s="96" t="s">
        <v>2</v>
      </c>
      <c r="C11" s="221"/>
      <c r="D11" s="231">
        <v>70583.602244218098</v>
      </c>
    </row>
    <row r="12" spans="2:19" s="225" customFormat="1" ht="6" customHeight="1" x14ac:dyDescent="0.2">
      <c r="B12" s="96"/>
      <c r="C12" s="223"/>
      <c r="D12" s="224"/>
    </row>
    <row r="13" spans="2:19" s="225" customFormat="1" ht="12.75" customHeight="1" x14ac:dyDescent="0.2">
      <c r="B13" s="95" t="s">
        <v>3</v>
      </c>
      <c r="C13" s="223"/>
      <c r="D13" s="230">
        <v>5246.9006222625003</v>
      </c>
    </row>
    <row r="14" spans="2:19" s="225" customFormat="1" ht="12.75" customHeight="1" x14ac:dyDescent="0.2">
      <c r="B14" s="95" t="s">
        <v>4</v>
      </c>
      <c r="C14" s="223"/>
      <c r="D14" s="230">
        <v>13446.1667971642</v>
      </c>
    </row>
    <row r="15" spans="2:19" s="225" customFormat="1" ht="12.75" customHeight="1" x14ac:dyDescent="0.2">
      <c r="B15" s="95" t="s">
        <v>5</v>
      </c>
      <c r="C15" s="223"/>
      <c r="D15" s="230">
        <v>2476.4057952416001</v>
      </c>
    </row>
    <row r="16" spans="2:19" s="225" customFormat="1" ht="12.75" customHeight="1" x14ac:dyDescent="0.2">
      <c r="B16" s="95" t="s">
        <v>6</v>
      </c>
      <c r="C16" s="223"/>
      <c r="D16" s="230">
        <v>2942.2330966362001</v>
      </c>
    </row>
    <row r="17" spans="2:4" s="225" customFormat="1" ht="12.75" customHeight="1" x14ac:dyDescent="0.2">
      <c r="B17" s="95" t="s">
        <v>7</v>
      </c>
      <c r="C17" s="223"/>
      <c r="D17" s="230">
        <v>10053.6691898398</v>
      </c>
    </row>
    <row r="18" spans="2:4" s="225" customFormat="1" ht="12.75" customHeight="1" x14ac:dyDescent="0.2">
      <c r="B18" s="95" t="s">
        <v>8</v>
      </c>
      <c r="C18" s="223"/>
      <c r="D18" s="230">
        <v>2927.7071071393998</v>
      </c>
    </row>
    <row r="19" spans="2:4" s="225" customFormat="1" ht="12.75" customHeight="1" x14ac:dyDescent="0.2">
      <c r="B19" s="95" t="s">
        <v>9</v>
      </c>
      <c r="C19" s="223"/>
      <c r="D19" s="230">
        <v>10500.948653703501</v>
      </c>
    </row>
    <row r="20" spans="2:4" s="225" customFormat="1" ht="12.75" customHeight="1" x14ac:dyDescent="0.2">
      <c r="B20" s="95" t="s">
        <v>10</v>
      </c>
      <c r="C20" s="223"/>
      <c r="D20" s="230">
        <v>9242.3035539213997</v>
      </c>
    </row>
    <row r="21" spans="2:4" s="225" customFormat="1" ht="12.75" customHeight="1" x14ac:dyDescent="0.2">
      <c r="B21" s="95" t="s">
        <v>11</v>
      </c>
      <c r="C21" s="223"/>
      <c r="D21" s="230">
        <v>23920.576803314601</v>
      </c>
    </row>
    <row r="22" spans="2:4" s="225" customFormat="1" ht="12.75" customHeight="1" x14ac:dyDescent="0.2">
      <c r="B22" s="95" t="s">
        <v>12</v>
      </c>
      <c r="C22" s="223"/>
      <c r="D22" s="230">
        <v>4766.9498574582003</v>
      </c>
    </row>
    <row r="23" spans="2:4" s="225" customFormat="1" ht="12.75" customHeight="1" x14ac:dyDescent="0.2">
      <c r="B23" s="95" t="s">
        <v>13</v>
      </c>
      <c r="C23" s="223"/>
      <c r="D23" s="230">
        <v>13731.9294094569</v>
      </c>
    </row>
    <row r="24" spans="2:4" s="225" customFormat="1" ht="12.75" customHeight="1" x14ac:dyDescent="0.2">
      <c r="B24" s="95" t="s">
        <v>14</v>
      </c>
      <c r="C24" s="223"/>
      <c r="D24" s="230">
        <v>5630.3161324134999</v>
      </c>
    </row>
    <row r="25" spans="2:4" s="225" customFormat="1" ht="12.75" customHeight="1" x14ac:dyDescent="0.2">
      <c r="B25" s="95" t="s">
        <v>15</v>
      </c>
      <c r="C25" s="223"/>
      <c r="D25" s="230">
        <v>9203.0519158560001</v>
      </c>
    </row>
    <row r="26" spans="2:4" s="225" customFormat="1" ht="12.75" customHeight="1" x14ac:dyDescent="0.2">
      <c r="B26" s="95" t="s">
        <v>16</v>
      </c>
      <c r="C26" s="223"/>
      <c r="D26" s="230">
        <v>25933.395567242002</v>
      </c>
    </row>
    <row r="27" spans="2:4" s="225" customFormat="1" ht="12.75" customHeight="1" x14ac:dyDescent="0.2">
      <c r="B27" s="95" t="s">
        <v>17</v>
      </c>
      <c r="C27" s="223"/>
      <c r="D27" s="230">
        <v>34534.299416096997</v>
      </c>
    </row>
    <row r="28" spans="2:4" s="225" customFormat="1" ht="12.75" customHeight="1" x14ac:dyDescent="0.2">
      <c r="B28" s="95" t="s">
        <v>18</v>
      </c>
      <c r="C28" s="223"/>
      <c r="D28" s="230">
        <v>13444.112183089101</v>
      </c>
    </row>
    <row r="29" spans="2:4" s="225" customFormat="1" ht="12.75" customHeight="1" x14ac:dyDescent="0.2">
      <c r="B29" s="95" t="s">
        <v>19</v>
      </c>
      <c r="C29" s="223"/>
      <c r="D29" s="230">
        <v>4682.5290673007003</v>
      </c>
    </row>
    <row r="30" spans="2:4" s="225" customFormat="1" ht="12.75" customHeight="1" x14ac:dyDescent="0.2">
      <c r="B30" s="95" t="s">
        <v>20</v>
      </c>
      <c r="C30" s="223"/>
      <c r="D30" s="230">
        <v>5128.8808046859003</v>
      </c>
    </row>
    <row r="31" spans="2:4" s="225" customFormat="1" ht="12.75" customHeight="1" x14ac:dyDescent="0.2">
      <c r="B31" s="95" t="s">
        <v>21</v>
      </c>
      <c r="C31" s="223"/>
      <c r="D31" s="230">
        <v>17811.585894610598</v>
      </c>
    </row>
    <row r="32" spans="2:4" s="225" customFormat="1" ht="12.75" customHeight="1" x14ac:dyDescent="0.2">
      <c r="B32" s="95" t="s">
        <v>22</v>
      </c>
      <c r="C32" s="223"/>
      <c r="D32" s="230">
        <v>9845.5381732884998</v>
      </c>
    </row>
    <row r="33" spans="2:4" s="225" customFormat="1" ht="12.75" customHeight="1" x14ac:dyDescent="0.2">
      <c r="B33" s="95" t="s">
        <v>23</v>
      </c>
      <c r="C33" s="223"/>
      <c r="D33" s="230">
        <v>10494.727238416801</v>
      </c>
    </row>
    <row r="34" spans="2:4" s="225" customFormat="1" ht="12.75" customHeight="1" x14ac:dyDescent="0.2">
      <c r="B34" s="95" t="s">
        <v>24</v>
      </c>
      <c r="C34" s="223"/>
      <c r="D34" s="230">
        <v>9799.7936658244998</v>
      </c>
    </row>
    <row r="35" spans="2:4" s="225" customFormat="1" ht="12.75" customHeight="1" x14ac:dyDescent="0.2">
      <c r="B35" s="95" t="s">
        <v>25</v>
      </c>
      <c r="C35" s="223"/>
      <c r="D35" s="230">
        <v>7630.8452505023997</v>
      </c>
    </row>
    <row r="36" spans="2:4" s="225" customFormat="1" ht="12.75" customHeight="1" x14ac:dyDescent="0.2">
      <c r="B36" s="95" t="s">
        <v>26</v>
      </c>
      <c r="C36" s="223"/>
      <c r="D36" s="230">
        <v>7277.4722125461003</v>
      </c>
    </row>
    <row r="37" spans="2:4" s="225" customFormat="1" ht="12.75" customHeight="1" x14ac:dyDescent="0.2">
      <c r="B37" s="95" t="s">
        <v>27</v>
      </c>
      <c r="C37" s="223"/>
      <c r="D37" s="230">
        <v>6550.3150987380996</v>
      </c>
    </row>
    <row r="38" spans="2:4" s="225" customFormat="1" ht="12.75" customHeight="1" x14ac:dyDescent="0.2">
      <c r="B38" s="95" t="s">
        <v>28</v>
      </c>
      <c r="C38" s="223"/>
      <c r="D38" s="230">
        <v>11000.2903262728</v>
      </c>
    </row>
    <row r="39" spans="2:4" s="225" customFormat="1" ht="12.75" customHeight="1" x14ac:dyDescent="0.2">
      <c r="B39" s="95" t="s">
        <v>29</v>
      </c>
      <c r="C39" s="223"/>
      <c r="D39" s="230">
        <v>7358.0847460048999</v>
      </c>
    </row>
    <row r="40" spans="2:4" s="225" customFormat="1" ht="12.75" customHeight="1" x14ac:dyDescent="0.2">
      <c r="B40" s="95" t="s">
        <v>30</v>
      </c>
      <c r="C40" s="223"/>
      <c r="D40" s="230">
        <v>10784.313934808801</v>
      </c>
    </row>
    <row r="41" spans="2:4" s="225" customFormat="1" ht="12.75" customHeight="1" x14ac:dyDescent="0.2">
      <c r="B41" s="95" t="s">
        <v>31</v>
      </c>
      <c r="C41" s="223"/>
      <c r="D41" s="230">
        <v>1721.9613465704001</v>
      </c>
    </row>
    <row r="42" spans="2:4" s="225" customFormat="1" ht="12.75" customHeight="1" x14ac:dyDescent="0.2">
      <c r="B42" s="95" t="s">
        <v>32</v>
      </c>
      <c r="C42" s="223"/>
      <c r="D42" s="230">
        <v>17017.019200479299</v>
      </c>
    </row>
    <row r="43" spans="2:4" s="225" customFormat="1" ht="12.75" customHeight="1" x14ac:dyDescent="0.2">
      <c r="B43" s="95" t="s">
        <v>33</v>
      </c>
      <c r="C43" s="223"/>
      <c r="D43" s="230">
        <v>8420.7351613874998</v>
      </c>
    </row>
    <row r="44" spans="2:4" s="225" customFormat="1" ht="12.75" customHeight="1" x14ac:dyDescent="0.2">
      <c r="B44" s="95" t="s">
        <v>34</v>
      </c>
      <c r="C44" s="223"/>
      <c r="D44" s="230">
        <v>5496.4517568501997</v>
      </c>
    </row>
    <row r="45" spans="2:4" ht="6" customHeight="1" x14ac:dyDescent="0.25">
      <c r="B45" s="216"/>
      <c r="C45" s="226"/>
      <c r="D45" s="227"/>
    </row>
    <row r="46" spans="2:4" ht="6" customHeight="1" x14ac:dyDescent="0.25">
      <c r="B46" s="228"/>
      <c r="D46" s="229"/>
    </row>
    <row r="47" spans="2:4" s="13" customFormat="1" ht="14.25" x14ac:dyDescent="0.2">
      <c r="B47" s="109" t="s">
        <v>57</v>
      </c>
    </row>
  </sheetData>
  <mergeCells count="2">
    <mergeCell ref="B7:B9"/>
    <mergeCell ref="D7:D9"/>
  </mergeCells>
  <hyperlinks>
    <hyperlink ref="D1" location="Índice!A1" tooltip="Ir a ÍNDICE" display="INDICE" xr:uid="{55D02A3E-8739-4F2A-AA56-2808EE9880EE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3161-5161-4264-90A3-7B7D1A7423D6}">
  <dimension ref="B1:S51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241" customWidth="1"/>
    <col min="2" max="2" width="24.28515625" style="241" customWidth="1"/>
    <col min="3" max="3" width="0.85546875" style="274" customWidth="1"/>
    <col min="4" max="4" width="18.7109375" style="275" customWidth="1"/>
    <col min="5" max="5" width="1.7109375" style="275" customWidth="1"/>
    <col min="6" max="6" width="12.7109375" style="275" customWidth="1"/>
    <col min="7" max="7" width="12.7109375" style="276" customWidth="1"/>
    <col min="8" max="8" width="1.7109375" style="275" customWidth="1"/>
    <col min="9" max="9" width="12.7109375" style="275" customWidth="1"/>
    <col min="10" max="10" width="12.7109375" style="276" customWidth="1"/>
    <col min="11" max="11" width="1.7109375" style="275" customWidth="1"/>
    <col min="12" max="12" width="12.7109375" style="275" customWidth="1"/>
    <col min="13" max="13" width="12.7109375" style="276" customWidth="1"/>
    <col min="14" max="14" width="1.7109375" style="275" customWidth="1"/>
    <col min="15" max="15" width="12.7109375" style="241" customWidth="1"/>
    <col min="16" max="16" width="12.7109375" style="277" customWidth="1"/>
    <col min="17" max="16384" width="11.42578125" style="241"/>
  </cols>
  <sheetData>
    <row r="1" spans="2:19" s="233" customFormat="1" ht="12" customHeight="1" x14ac:dyDescent="0.2">
      <c r="B1" s="639" t="s">
        <v>202</v>
      </c>
      <c r="D1" s="234"/>
      <c r="E1" s="234"/>
      <c r="F1" s="234"/>
      <c r="G1" s="234"/>
      <c r="H1" s="234"/>
      <c r="I1" s="234"/>
      <c r="K1" s="234"/>
      <c r="L1" s="234"/>
      <c r="M1" s="234"/>
      <c r="N1" s="234"/>
      <c r="P1" s="72" t="s">
        <v>151</v>
      </c>
    </row>
    <row r="2" spans="2:19" s="233" customFormat="1" ht="6.95" customHeight="1" x14ac:dyDescent="0.2">
      <c r="B2" s="639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</row>
    <row r="3" spans="2:19" s="233" customFormat="1" ht="15" customHeight="1" x14ac:dyDescent="0.2">
      <c r="B3" s="639" t="s">
        <v>199</v>
      </c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</row>
    <row r="4" spans="2:19" s="233" customFormat="1" ht="6.95" customHeight="1" x14ac:dyDescent="0.2">
      <c r="C4" s="235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</row>
    <row r="5" spans="2:19" s="233" customFormat="1" ht="25.5" customHeight="1" x14ac:dyDescent="0.2">
      <c r="B5" s="680" t="s">
        <v>156</v>
      </c>
      <c r="C5" s="680"/>
      <c r="D5" s="680"/>
      <c r="E5" s="680"/>
      <c r="F5" s="680"/>
      <c r="G5" s="680"/>
      <c r="H5" s="680"/>
      <c r="I5" s="680"/>
      <c r="J5" s="680"/>
      <c r="K5" s="680"/>
      <c r="L5" s="680"/>
      <c r="M5" s="680"/>
      <c r="N5" s="680"/>
      <c r="O5" s="236"/>
      <c r="P5" s="71" t="s">
        <v>107</v>
      </c>
    </row>
    <row r="6" spans="2:19" ht="6" customHeight="1" x14ac:dyDescent="0.25">
      <c r="B6" s="237"/>
      <c r="C6" s="238"/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/>
      <c r="O6" s="240"/>
      <c r="P6" s="240"/>
    </row>
    <row r="7" spans="2:19" ht="15" customHeight="1" x14ac:dyDescent="0.25">
      <c r="B7" s="681" t="s">
        <v>76</v>
      </c>
      <c r="C7" s="681"/>
      <c r="D7" s="684" t="s">
        <v>108</v>
      </c>
      <c r="E7" s="242"/>
      <c r="F7" s="687" t="s">
        <v>73</v>
      </c>
      <c r="G7" s="687"/>
      <c r="H7" s="687"/>
      <c r="I7" s="687"/>
      <c r="J7" s="687"/>
      <c r="K7" s="687"/>
      <c r="L7" s="687"/>
      <c r="M7" s="687"/>
      <c r="N7" s="687"/>
      <c r="O7" s="687"/>
      <c r="P7" s="687"/>
    </row>
    <row r="8" spans="2:19" ht="24.75" customHeight="1" x14ac:dyDescent="0.25">
      <c r="B8" s="682"/>
      <c r="C8" s="682"/>
      <c r="D8" s="685"/>
      <c r="E8" s="243"/>
      <c r="F8" s="688" t="s">
        <v>61</v>
      </c>
      <c r="G8" s="688"/>
      <c r="H8" s="244"/>
      <c r="I8" s="688" t="s">
        <v>109</v>
      </c>
      <c r="J8" s="688"/>
      <c r="K8" s="245"/>
      <c r="L8" s="689" t="s">
        <v>110</v>
      </c>
      <c r="M8" s="689"/>
      <c r="N8" s="245"/>
      <c r="O8" s="688" t="s">
        <v>111</v>
      </c>
      <c r="P8" s="688"/>
    </row>
    <row r="9" spans="2:19" x14ac:dyDescent="0.25">
      <c r="B9" s="683"/>
      <c r="C9" s="683"/>
      <c r="D9" s="686"/>
      <c r="E9" s="246"/>
      <c r="F9" s="73" t="s">
        <v>0</v>
      </c>
      <c r="G9" s="73" t="s">
        <v>1</v>
      </c>
      <c r="H9" s="247"/>
      <c r="I9" s="73" t="s">
        <v>0</v>
      </c>
      <c r="J9" s="73" t="s">
        <v>1</v>
      </c>
      <c r="K9" s="247"/>
      <c r="L9" s="73" t="s">
        <v>0</v>
      </c>
      <c r="M9" s="73" t="s">
        <v>1</v>
      </c>
      <c r="N9" s="247"/>
      <c r="O9" s="73" t="s">
        <v>0</v>
      </c>
      <c r="P9" s="73" t="s">
        <v>1</v>
      </c>
    </row>
    <row r="10" spans="2:19" ht="6" customHeight="1" x14ac:dyDescent="0.25">
      <c r="B10" s="31"/>
      <c r="C10" s="248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50"/>
      <c r="O10" s="250"/>
      <c r="P10" s="250"/>
    </row>
    <row r="11" spans="2:19" s="253" customFormat="1" ht="11.25" x14ac:dyDescent="0.2">
      <c r="B11" s="94" t="s">
        <v>2</v>
      </c>
      <c r="C11" s="251"/>
      <c r="D11" s="281">
        <v>35389.533301433599</v>
      </c>
      <c r="E11" s="252"/>
      <c r="F11" s="281">
        <v>34607.078565475902</v>
      </c>
      <c r="G11" s="281">
        <v>1.0477992339</v>
      </c>
      <c r="H11" s="252"/>
      <c r="I11" s="281">
        <v>31180.081953926299</v>
      </c>
      <c r="J11" s="281">
        <v>1.0203323701</v>
      </c>
      <c r="K11" s="252"/>
      <c r="L11" s="281">
        <v>13450.0451597718</v>
      </c>
      <c r="M11" s="281">
        <v>0.4822924636</v>
      </c>
      <c r="N11" s="252"/>
      <c r="O11" s="281">
        <v>8717.9267294568999</v>
      </c>
      <c r="P11" s="281">
        <v>0.31177637339999997</v>
      </c>
    </row>
    <row r="12" spans="2:19" s="258" customFormat="1" ht="6" customHeight="1" x14ac:dyDescent="0.2">
      <c r="B12" s="254"/>
      <c r="C12" s="255"/>
      <c r="D12" s="256"/>
      <c r="E12" s="256"/>
      <c r="F12" s="256"/>
      <c r="G12" s="257"/>
      <c r="H12" s="256"/>
      <c r="I12" s="256"/>
      <c r="J12" s="257"/>
      <c r="K12" s="256"/>
      <c r="L12" s="256"/>
      <c r="M12" s="257"/>
      <c r="N12" s="256"/>
      <c r="O12" s="256"/>
      <c r="P12" s="257"/>
    </row>
    <row r="13" spans="2:19" s="258" customFormat="1" ht="12.75" customHeight="1" x14ac:dyDescent="0.2">
      <c r="B13" s="95" t="s">
        <v>3</v>
      </c>
      <c r="C13" s="259"/>
      <c r="D13" s="278">
        <v>2080.6618581107</v>
      </c>
      <c r="E13" s="256"/>
      <c r="F13" s="278">
        <v>2117.1441945449001</v>
      </c>
      <c r="G13" s="278">
        <v>3.4705168532999999</v>
      </c>
      <c r="H13" s="256"/>
      <c r="I13" s="278">
        <v>1734.1773629556999</v>
      </c>
      <c r="J13" s="278">
        <v>3.3124940574999999</v>
      </c>
      <c r="K13" s="256"/>
      <c r="L13" s="278">
        <v>253.0316185776</v>
      </c>
      <c r="M13" s="278">
        <v>0.53899715010000004</v>
      </c>
      <c r="N13" s="256"/>
      <c r="O13" s="278">
        <v>423.45119171480002</v>
      </c>
      <c r="P13" s="278">
        <v>0.90121124799999996</v>
      </c>
    </row>
    <row r="14" spans="2:19" s="258" customFormat="1" ht="12.75" customHeight="1" x14ac:dyDescent="0.2">
      <c r="B14" s="95" t="s">
        <v>4</v>
      </c>
      <c r="C14" s="259"/>
      <c r="D14" s="278">
        <v>6205.0470532730997</v>
      </c>
      <c r="E14" s="256"/>
      <c r="F14" s="278">
        <v>6076.6309488801999</v>
      </c>
      <c r="G14" s="278">
        <v>3.8574782872000002</v>
      </c>
      <c r="H14" s="256"/>
      <c r="I14" s="278">
        <v>3665.4726146691</v>
      </c>
      <c r="J14" s="278">
        <v>3.1239525352999999</v>
      </c>
      <c r="K14" s="256"/>
      <c r="L14" s="278">
        <v>3353.6950964570001</v>
      </c>
      <c r="M14" s="278">
        <v>2.8541515258999999</v>
      </c>
      <c r="N14" s="256"/>
      <c r="O14" s="278">
        <v>797.16811275919997</v>
      </c>
      <c r="P14" s="278">
        <v>0.70613907600000003</v>
      </c>
    </row>
    <row r="15" spans="2:19" s="258" customFormat="1" ht="12.75" customHeight="1" x14ac:dyDescent="0.2">
      <c r="B15" s="95" t="s">
        <v>5</v>
      </c>
      <c r="C15" s="259"/>
      <c r="D15" s="279">
        <v>1475.9625279483</v>
      </c>
      <c r="E15" s="256"/>
      <c r="F15" s="279">
        <v>1327.3027627122999</v>
      </c>
      <c r="G15" s="278">
        <v>4.2645672332000002</v>
      </c>
      <c r="H15" s="256"/>
      <c r="I15" s="279">
        <v>1054.680788527</v>
      </c>
      <c r="J15" s="278">
        <v>4.1123024942999997</v>
      </c>
      <c r="K15" s="260"/>
      <c r="L15" s="279">
        <v>117</v>
      </c>
      <c r="M15" s="278">
        <v>0.52591392000000003</v>
      </c>
      <c r="N15" s="261"/>
      <c r="O15" s="279">
        <v>296.89673947860001</v>
      </c>
      <c r="P15" s="278">
        <v>1.3589810012000001</v>
      </c>
    </row>
    <row r="16" spans="2:19" s="258" customFormat="1" ht="12.75" customHeight="1" x14ac:dyDescent="0.2">
      <c r="B16" s="95" t="s">
        <v>6</v>
      </c>
      <c r="C16" s="259"/>
      <c r="D16" s="279">
        <v>1210.4592467523</v>
      </c>
      <c r="E16" s="256"/>
      <c r="F16" s="279">
        <v>1006.9364613385</v>
      </c>
      <c r="G16" s="278">
        <v>4.1607366416999998</v>
      </c>
      <c r="H16" s="256"/>
      <c r="I16" s="279">
        <v>1076.3405586578999</v>
      </c>
      <c r="J16" s="278">
        <v>4.4969906602999998</v>
      </c>
      <c r="K16" s="260"/>
      <c r="L16" s="279">
        <v>384.49447330229998</v>
      </c>
      <c r="M16" s="278">
        <v>1.7813289957</v>
      </c>
      <c r="N16" s="261"/>
      <c r="O16" s="279">
        <v>382.09333244610002</v>
      </c>
      <c r="P16" s="278">
        <v>1.85088063</v>
      </c>
    </row>
    <row r="17" spans="2:16" s="258" customFormat="1" ht="12.75" customHeight="1" x14ac:dyDescent="0.2">
      <c r="B17" s="95" t="s">
        <v>7</v>
      </c>
      <c r="C17" s="259"/>
      <c r="D17" s="279">
        <v>4510.6752510282004</v>
      </c>
      <c r="E17" s="256"/>
      <c r="F17" s="279">
        <v>4736.9851328466002</v>
      </c>
      <c r="G17" s="278">
        <v>3.7011704067000002</v>
      </c>
      <c r="H17" s="256"/>
      <c r="I17" s="279">
        <v>2362.5527154613001</v>
      </c>
      <c r="J17" s="278">
        <v>3.2027834139000002</v>
      </c>
      <c r="K17" s="260"/>
      <c r="L17" s="279">
        <v>1172.8606055282</v>
      </c>
      <c r="M17" s="278">
        <v>1.5460858381</v>
      </c>
      <c r="N17" s="261"/>
      <c r="O17" s="279">
        <v>1030.0189318647999</v>
      </c>
      <c r="P17" s="278">
        <v>1.3404692023</v>
      </c>
    </row>
    <row r="18" spans="2:16" s="258" customFormat="1" ht="12.75" customHeight="1" x14ac:dyDescent="0.2">
      <c r="B18" s="95" t="s">
        <v>8</v>
      </c>
      <c r="C18" s="259"/>
      <c r="D18" s="279">
        <v>1739.9265267776</v>
      </c>
      <c r="E18" s="256"/>
      <c r="F18" s="279">
        <v>1471.9558850074</v>
      </c>
      <c r="G18" s="278">
        <v>3.9652136141000001</v>
      </c>
      <c r="H18" s="256"/>
      <c r="I18" s="279">
        <v>1205.0888850754</v>
      </c>
      <c r="J18" s="278">
        <v>3.7924725578</v>
      </c>
      <c r="K18" s="260"/>
      <c r="L18" s="279">
        <v>306.50488059750001</v>
      </c>
      <c r="M18" s="278">
        <v>1.1678488441999999</v>
      </c>
      <c r="N18" s="261"/>
      <c r="O18" s="279">
        <v>157.0795976567</v>
      </c>
      <c r="P18" s="278">
        <v>0.59968892360000003</v>
      </c>
    </row>
    <row r="19" spans="2:16" s="258" customFormat="1" ht="12.75" customHeight="1" x14ac:dyDescent="0.2">
      <c r="B19" s="95" t="s">
        <v>9</v>
      </c>
      <c r="C19" s="259"/>
      <c r="D19" s="279">
        <v>7119.9463858091003</v>
      </c>
      <c r="E19" s="256"/>
      <c r="F19" s="279">
        <v>4797.5673157705996</v>
      </c>
      <c r="G19" s="278">
        <v>6.0109210395000003</v>
      </c>
      <c r="H19" s="256"/>
      <c r="I19" s="279">
        <v>6256.4397618378998</v>
      </c>
      <c r="J19" s="278">
        <v>5.8597922061999999</v>
      </c>
      <c r="K19" s="260"/>
      <c r="L19" s="279">
        <v>1774.6779989621</v>
      </c>
      <c r="M19" s="278">
        <v>2.4141136856999998</v>
      </c>
      <c r="N19" s="261"/>
      <c r="O19" s="279">
        <v>1565.2569350516001</v>
      </c>
      <c r="P19" s="278">
        <v>2.3119390913000002</v>
      </c>
    </row>
    <row r="20" spans="2:16" s="258" customFormat="1" ht="12.75" customHeight="1" x14ac:dyDescent="0.2">
      <c r="B20" s="95" t="s">
        <v>10</v>
      </c>
      <c r="C20" s="259"/>
      <c r="D20" s="279">
        <v>3708.0028280094002</v>
      </c>
      <c r="E20" s="256"/>
      <c r="F20" s="279">
        <v>4652.1481472576997</v>
      </c>
      <c r="G20" s="278">
        <v>4.6506098348</v>
      </c>
      <c r="H20" s="256"/>
      <c r="I20" s="279">
        <v>4226.1127326770002</v>
      </c>
      <c r="J20" s="278">
        <v>4.4556629364999996</v>
      </c>
      <c r="K20" s="260"/>
      <c r="L20" s="279">
        <v>2397.6025922734002</v>
      </c>
      <c r="M20" s="278">
        <v>2.5780321786</v>
      </c>
      <c r="N20" s="261"/>
      <c r="O20" s="279">
        <v>1516.7148710288</v>
      </c>
      <c r="P20" s="278">
        <v>1.6586036593</v>
      </c>
    </row>
    <row r="21" spans="2:16" s="258" customFormat="1" ht="12.75" customHeight="1" x14ac:dyDescent="0.2">
      <c r="B21" s="95" t="s">
        <v>11</v>
      </c>
      <c r="C21" s="259"/>
      <c r="D21" s="279">
        <v>9441.1636455700009</v>
      </c>
      <c r="E21" s="256"/>
      <c r="F21" s="279">
        <v>12117.2957589131</v>
      </c>
      <c r="G21" s="278">
        <v>5.2887505574000002</v>
      </c>
      <c r="H21" s="256"/>
      <c r="I21" s="279">
        <v>10373.3516268108</v>
      </c>
      <c r="J21" s="278">
        <v>5.2333591612000001</v>
      </c>
      <c r="K21" s="260"/>
      <c r="L21" s="279">
        <v>3195.6718222228001</v>
      </c>
      <c r="M21" s="278">
        <v>1.6766446645999999</v>
      </c>
      <c r="N21" s="261"/>
      <c r="O21" s="279">
        <v>0</v>
      </c>
      <c r="P21" s="278">
        <v>0</v>
      </c>
    </row>
    <row r="22" spans="2:16" s="258" customFormat="1" ht="12.75" customHeight="1" x14ac:dyDescent="0.2">
      <c r="B22" s="95" t="s">
        <v>12</v>
      </c>
      <c r="C22" s="259"/>
      <c r="D22" s="279">
        <v>2679.8635192955999</v>
      </c>
      <c r="E22" s="256"/>
      <c r="F22" s="279">
        <v>2531.2027396030999</v>
      </c>
      <c r="G22" s="278">
        <v>4.2237667276000002</v>
      </c>
      <c r="H22" s="256"/>
      <c r="I22" s="279">
        <v>2148.3319386918001</v>
      </c>
      <c r="J22" s="278">
        <v>4.0780243787000003</v>
      </c>
      <c r="K22" s="260"/>
      <c r="L22" s="279">
        <v>984.69173188239995</v>
      </c>
      <c r="M22" s="278">
        <v>2.0472655925000001</v>
      </c>
      <c r="N22" s="261"/>
      <c r="O22" s="279">
        <v>868.48456776410001</v>
      </c>
      <c r="P22" s="278">
        <v>1.8137753688</v>
      </c>
    </row>
    <row r="23" spans="2:16" s="258" customFormat="1" ht="12.75" customHeight="1" x14ac:dyDescent="0.2">
      <c r="B23" s="95" t="s">
        <v>13</v>
      </c>
      <c r="C23" s="259"/>
      <c r="D23" s="279">
        <v>6083.5762575119998</v>
      </c>
      <c r="E23" s="256"/>
      <c r="F23" s="279">
        <v>6392.4468163667998</v>
      </c>
      <c r="G23" s="278">
        <v>4.4961430808999996</v>
      </c>
      <c r="H23" s="256"/>
      <c r="I23" s="279">
        <v>4803.8522759227999</v>
      </c>
      <c r="J23" s="278">
        <v>4.3783392866000002</v>
      </c>
      <c r="K23" s="260"/>
      <c r="L23" s="279">
        <v>1234.3941833951999</v>
      </c>
      <c r="M23" s="278">
        <v>1.1338770364999999</v>
      </c>
      <c r="N23" s="261"/>
      <c r="O23" s="279">
        <v>1962.7006903754</v>
      </c>
      <c r="P23" s="278">
        <v>1.8271520733</v>
      </c>
    </row>
    <row r="24" spans="2:16" s="258" customFormat="1" ht="12.75" customHeight="1" x14ac:dyDescent="0.2">
      <c r="B24" s="95" t="s">
        <v>14</v>
      </c>
      <c r="C24" s="259"/>
      <c r="D24" s="279">
        <v>3197.3289737946002</v>
      </c>
      <c r="E24" s="256"/>
      <c r="F24" s="279">
        <v>2574.9175922088998</v>
      </c>
      <c r="G24" s="278">
        <v>4.4335130364999999</v>
      </c>
      <c r="H24" s="256"/>
      <c r="I24" s="279">
        <v>2659.0723745947998</v>
      </c>
      <c r="J24" s="278">
        <v>5.4732855526000002</v>
      </c>
      <c r="K24" s="260"/>
      <c r="L24" s="279">
        <v>1604.6362703116999</v>
      </c>
      <c r="M24" s="278">
        <v>2.9689381957999998</v>
      </c>
      <c r="N24" s="261"/>
      <c r="O24" s="279">
        <v>1650.5497266063001</v>
      </c>
      <c r="P24" s="278">
        <v>3.0601442587999999</v>
      </c>
    </row>
    <row r="25" spans="2:16" s="258" customFormat="1" ht="12.75" customHeight="1" x14ac:dyDescent="0.2">
      <c r="B25" s="95" t="s">
        <v>15</v>
      </c>
      <c r="C25" s="259"/>
      <c r="D25" s="279">
        <v>3321.5400839618001</v>
      </c>
      <c r="E25" s="256"/>
      <c r="F25" s="279">
        <v>2959.5245924797</v>
      </c>
      <c r="G25" s="278">
        <v>5.7407192391999997</v>
      </c>
      <c r="H25" s="256"/>
      <c r="I25" s="279">
        <v>3413.2867426135999</v>
      </c>
      <c r="J25" s="278">
        <v>6.1203950601999999</v>
      </c>
      <c r="K25" s="260"/>
      <c r="L25" s="279">
        <v>1420.5707605446</v>
      </c>
      <c r="M25" s="278">
        <v>3.1047910818000002</v>
      </c>
      <c r="N25" s="261"/>
      <c r="O25" s="279">
        <v>827.24361587140004</v>
      </c>
      <c r="P25" s="278">
        <v>1.7916818099</v>
      </c>
    </row>
    <row r="26" spans="2:16" s="258" customFormat="1" ht="12.75" customHeight="1" x14ac:dyDescent="0.2">
      <c r="B26" s="95" t="s">
        <v>16</v>
      </c>
      <c r="C26" s="259"/>
      <c r="D26" s="279">
        <v>13753.0530024039</v>
      </c>
      <c r="E26" s="256"/>
      <c r="F26" s="279">
        <v>13628.613517894</v>
      </c>
      <c r="G26" s="278">
        <v>3.6083757382999999</v>
      </c>
      <c r="H26" s="256"/>
      <c r="I26" s="279">
        <v>9751.6993754553005</v>
      </c>
      <c r="J26" s="278">
        <v>3.2921642353</v>
      </c>
      <c r="K26" s="260"/>
      <c r="L26" s="279">
        <v>8462.2904411956006</v>
      </c>
      <c r="M26" s="278">
        <v>2.8046423681000001</v>
      </c>
      <c r="N26" s="261"/>
      <c r="O26" s="279">
        <v>3534.0633836986999</v>
      </c>
      <c r="P26" s="278">
        <v>1.1578263348</v>
      </c>
    </row>
    <row r="27" spans="2:16" s="258" customFormat="1" ht="12.75" customHeight="1" x14ac:dyDescent="0.2">
      <c r="B27" s="95" t="s">
        <v>17</v>
      </c>
      <c r="C27" s="259"/>
      <c r="D27" s="279">
        <v>14957.490784076601</v>
      </c>
      <c r="E27" s="256"/>
      <c r="F27" s="279">
        <v>14706.4070586013</v>
      </c>
      <c r="G27" s="278">
        <v>6.3618623958000002</v>
      </c>
      <c r="H27" s="256"/>
      <c r="I27" s="279">
        <v>17467.964200574399</v>
      </c>
      <c r="J27" s="278">
        <v>6.4101961227000004</v>
      </c>
      <c r="K27" s="260"/>
      <c r="L27" s="279">
        <v>5076.1627239481004</v>
      </c>
      <c r="M27" s="278">
        <v>2.3185891492000001</v>
      </c>
      <c r="N27" s="261"/>
      <c r="O27" s="279">
        <v>3526</v>
      </c>
      <c r="P27" s="278">
        <v>1.5941220641</v>
      </c>
    </row>
    <row r="28" spans="2:16" s="258" customFormat="1" ht="12.75" customHeight="1" x14ac:dyDescent="0.2">
      <c r="B28" s="95" t="s">
        <v>18</v>
      </c>
      <c r="C28" s="259"/>
      <c r="D28" s="279">
        <v>8595.0909068524998</v>
      </c>
      <c r="E28" s="256"/>
      <c r="F28" s="279">
        <v>8686.4906737698002</v>
      </c>
      <c r="G28" s="278">
        <v>5.5927092479000002</v>
      </c>
      <c r="H28" s="256"/>
      <c r="I28" s="279">
        <v>4496.4431218507998</v>
      </c>
      <c r="J28" s="278">
        <v>5.2536119558000003</v>
      </c>
      <c r="K28" s="260"/>
      <c r="L28" s="279">
        <v>1840.1342342339999</v>
      </c>
      <c r="M28" s="278">
        <v>1.8810253474</v>
      </c>
      <c r="N28" s="261"/>
      <c r="O28" s="279">
        <v>1578.3285462793001</v>
      </c>
      <c r="P28" s="278">
        <v>1.6450280599</v>
      </c>
    </row>
    <row r="29" spans="2:16" s="258" customFormat="1" ht="12.75" customHeight="1" x14ac:dyDescent="0.2">
      <c r="B29" s="95" t="s">
        <v>19</v>
      </c>
      <c r="C29" s="259"/>
      <c r="D29" s="279">
        <v>1688.0708367837999</v>
      </c>
      <c r="E29" s="256"/>
      <c r="F29" s="279">
        <v>1736.9726633810999</v>
      </c>
      <c r="G29" s="278">
        <v>5.9700570548999998</v>
      </c>
      <c r="H29" s="256"/>
      <c r="I29" s="279">
        <v>1859.3932029921</v>
      </c>
      <c r="J29" s="278">
        <v>6.1934947539999996</v>
      </c>
      <c r="K29" s="260"/>
      <c r="L29" s="279">
        <v>729.8417636721</v>
      </c>
      <c r="M29" s="278">
        <v>2.7422224572</v>
      </c>
      <c r="N29" s="261"/>
      <c r="O29" s="279">
        <v>662.26429769389995</v>
      </c>
      <c r="P29" s="278">
        <v>2.5290604949</v>
      </c>
    </row>
    <row r="30" spans="2:16" s="258" customFormat="1" ht="12.75" customHeight="1" x14ac:dyDescent="0.2">
      <c r="B30" s="95" t="s">
        <v>20</v>
      </c>
      <c r="C30" s="259"/>
      <c r="D30" s="279">
        <v>2887.4391531567999</v>
      </c>
      <c r="E30" s="256"/>
      <c r="F30" s="279">
        <v>2392.96069945</v>
      </c>
      <c r="G30" s="278">
        <v>3.5590539885000001</v>
      </c>
      <c r="H30" s="256"/>
      <c r="I30" s="279">
        <v>1623.0253525947001</v>
      </c>
      <c r="J30" s="278">
        <v>3.3706247465999999</v>
      </c>
      <c r="K30" s="260"/>
      <c r="L30" s="279">
        <v>493.0062931933</v>
      </c>
      <c r="M30" s="278">
        <v>1.2561212907999999</v>
      </c>
      <c r="N30" s="261"/>
      <c r="O30" s="279">
        <v>564.43983078860003</v>
      </c>
      <c r="P30" s="278">
        <v>1.4154548913</v>
      </c>
    </row>
    <row r="31" spans="2:16" s="258" customFormat="1" ht="12.75" customHeight="1" x14ac:dyDescent="0.2">
      <c r="B31" s="95" t="s">
        <v>21</v>
      </c>
      <c r="C31" s="259"/>
      <c r="D31" s="279">
        <v>10000.8140926499</v>
      </c>
      <c r="E31" s="256"/>
      <c r="F31" s="279">
        <v>9608.2599805283007</v>
      </c>
      <c r="G31" s="278">
        <v>3.8020767094000001</v>
      </c>
      <c r="H31" s="256"/>
      <c r="I31" s="279">
        <v>9224.9174391041997</v>
      </c>
      <c r="J31" s="278">
        <v>3.6569620247999999</v>
      </c>
      <c r="K31" s="260"/>
      <c r="L31" s="279">
        <v>2242.2366066051</v>
      </c>
      <c r="M31" s="278">
        <v>1.0650163292999999</v>
      </c>
      <c r="N31" s="261"/>
      <c r="O31" s="279">
        <v>1601.7923184916999</v>
      </c>
      <c r="P31" s="278">
        <v>0.76843061130000001</v>
      </c>
    </row>
    <row r="32" spans="2:16" s="258" customFormat="1" ht="12.75" customHeight="1" x14ac:dyDescent="0.2">
      <c r="B32" s="95" t="s">
        <v>22</v>
      </c>
      <c r="C32" s="259"/>
      <c r="D32" s="279">
        <v>6380.8979534733999</v>
      </c>
      <c r="E32" s="256"/>
      <c r="F32" s="279">
        <v>4427.3234587794004</v>
      </c>
      <c r="G32" s="278">
        <v>4.7258239733999998</v>
      </c>
      <c r="H32" s="256"/>
      <c r="I32" s="279">
        <v>4097.0905863463004</v>
      </c>
      <c r="J32" s="278">
        <v>4.8100070201999996</v>
      </c>
      <c r="K32" s="260"/>
      <c r="L32" s="279">
        <v>1926.4445504764999</v>
      </c>
      <c r="M32" s="278">
        <v>2.4512713663999999</v>
      </c>
      <c r="N32" s="261"/>
      <c r="O32" s="279">
        <v>2727.4275870175002</v>
      </c>
      <c r="P32" s="278">
        <v>3.4164123532000001</v>
      </c>
    </row>
    <row r="33" spans="2:16" s="258" customFormat="1" ht="12.75" customHeight="1" x14ac:dyDescent="0.2">
      <c r="B33" s="95" t="s">
        <v>23</v>
      </c>
      <c r="C33" s="259"/>
      <c r="D33" s="279">
        <v>4612.5792870677997</v>
      </c>
      <c r="E33" s="256"/>
      <c r="F33" s="279">
        <v>5195.3481707566998</v>
      </c>
      <c r="G33" s="278">
        <v>6.0982399375999998</v>
      </c>
      <c r="H33" s="256"/>
      <c r="I33" s="279">
        <v>4905.2265682531997</v>
      </c>
      <c r="J33" s="278">
        <v>5.7804500438000002</v>
      </c>
      <c r="K33" s="260"/>
      <c r="L33" s="279">
        <v>760</v>
      </c>
      <c r="M33" s="278">
        <v>0.99585780099999999</v>
      </c>
      <c r="N33" s="261"/>
      <c r="O33" s="279">
        <v>1528.1382463639</v>
      </c>
      <c r="P33" s="278">
        <v>2.0044886345999999</v>
      </c>
    </row>
    <row r="34" spans="2:16" s="258" customFormat="1" ht="12.75" customHeight="1" x14ac:dyDescent="0.2">
      <c r="B34" s="95" t="s">
        <v>24</v>
      </c>
      <c r="C34" s="259"/>
      <c r="D34" s="279">
        <v>6674.5021808894999</v>
      </c>
      <c r="E34" s="256"/>
      <c r="F34" s="279">
        <v>5003.3385105140997</v>
      </c>
      <c r="G34" s="278">
        <v>4.4073355233999996</v>
      </c>
      <c r="H34" s="256"/>
      <c r="I34" s="279">
        <v>3957.9141213603002</v>
      </c>
      <c r="J34" s="278">
        <v>4.2042725954</v>
      </c>
      <c r="K34" s="260"/>
      <c r="L34" s="279">
        <v>1191.6636363598</v>
      </c>
      <c r="M34" s="278">
        <v>1.6668596116000001</v>
      </c>
      <c r="N34" s="261"/>
      <c r="O34" s="279">
        <v>1211.2598812806</v>
      </c>
      <c r="P34" s="278">
        <v>1.6481685953</v>
      </c>
    </row>
    <row r="35" spans="2:16" s="258" customFormat="1" ht="12.75" customHeight="1" x14ac:dyDescent="0.2">
      <c r="B35" s="95" t="s">
        <v>25</v>
      </c>
      <c r="C35" s="259"/>
      <c r="D35" s="279">
        <v>2945.8123467055002</v>
      </c>
      <c r="E35" s="256"/>
      <c r="F35" s="279">
        <v>3282.3959059580002</v>
      </c>
      <c r="G35" s="278">
        <v>3.8174043451999999</v>
      </c>
      <c r="H35" s="256"/>
      <c r="I35" s="279">
        <v>1770.7529419419</v>
      </c>
      <c r="J35" s="278">
        <v>3.2971472885000002</v>
      </c>
      <c r="K35" s="260"/>
      <c r="L35" s="279">
        <v>735.20099292639998</v>
      </c>
      <c r="M35" s="278">
        <v>1.3314518169</v>
      </c>
      <c r="N35" s="261"/>
      <c r="O35" s="279">
        <v>651.79598034970002</v>
      </c>
      <c r="P35" s="278">
        <v>1.1815279675999999</v>
      </c>
    </row>
    <row r="36" spans="2:16" s="258" customFormat="1" ht="12.75" customHeight="1" x14ac:dyDescent="0.2">
      <c r="B36" s="95" t="s">
        <v>26</v>
      </c>
      <c r="C36" s="259"/>
      <c r="D36" s="279">
        <v>2570.7326840976998</v>
      </c>
      <c r="E36" s="256"/>
      <c r="F36" s="279">
        <v>3009.5347479336001</v>
      </c>
      <c r="G36" s="278">
        <v>5.3840061577</v>
      </c>
      <c r="H36" s="256"/>
      <c r="I36" s="279">
        <v>2571.3385955168001</v>
      </c>
      <c r="J36" s="278">
        <v>4.4449454830999997</v>
      </c>
      <c r="K36" s="260"/>
      <c r="L36" s="279">
        <v>1107.2110909849</v>
      </c>
      <c r="M36" s="278">
        <v>1.971865159</v>
      </c>
      <c r="N36" s="261"/>
      <c r="O36" s="279">
        <v>1092.1906026422</v>
      </c>
      <c r="P36" s="278">
        <v>2.0304134654000001</v>
      </c>
    </row>
    <row r="37" spans="2:16" s="258" customFormat="1" ht="12.75" customHeight="1" x14ac:dyDescent="0.2">
      <c r="B37" s="95" t="s">
        <v>27</v>
      </c>
      <c r="C37" s="259"/>
      <c r="D37" s="279">
        <v>3309.1428382409999</v>
      </c>
      <c r="E37" s="256"/>
      <c r="F37" s="279">
        <v>3417.0338400004998</v>
      </c>
      <c r="G37" s="278">
        <v>5.0139257527999996</v>
      </c>
      <c r="H37" s="256"/>
      <c r="I37" s="279">
        <v>3729.0769127121998</v>
      </c>
      <c r="J37" s="278">
        <v>5.0810951647999998</v>
      </c>
      <c r="K37" s="260"/>
      <c r="L37" s="279">
        <v>751.37873273069999</v>
      </c>
      <c r="M37" s="278">
        <v>1.1396604776000001</v>
      </c>
      <c r="N37" s="261"/>
      <c r="O37" s="279">
        <v>1174.7357536523</v>
      </c>
      <c r="P37" s="278">
        <v>1.7346082311</v>
      </c>
    </row>
    <row r="38" spans="2:16" s="258" customFormat="1" ht="12.75" customHeight="1" x14ac:dyDescent="0.2">
      <c r="B38" s="95" t="s">
        <v>28</v>
      </c>
      <c r="C38" s="259"/>
      <c r="D38" s="279">
        <v>6316.5770537108001</v>
      </c>
      <c r="E38" s="256"/>
      <c r="F38" s="279">
        <v>5651.2120261381997</v>
      </c>
      <c r="G38" s="278">
        <v>2.9069656629999998</v>
      </c>
      <c r="H38" s="256"/>
      <c r="I38" s="279">
        <v>3663.13658824</v>
      </c>
      <c r="J38" s="278">
        <v>2.8805629428000001</v>
      </c>
      <c r="K38" s="260"/>
      <c r="L38" s="279">
        <v>1134.9739204052</v>
      </c>
      <c r="M38" s="278">
        <v>0.97099342099999997</v>
      </c>
      <c r="N38" s="261"/>
      <c r="O38" s="279">
        <v>1816.2694861043999</v>
      </c>
      <c r="P38" s="278">
        <v>1.4517960543999999</v>
      </c>
    </row>
    <row r="39" spans="2:16" s="258" customFormat="1" ht="12.75" customHeight="1" x14ac:dyDescent="0.2">
      <c r="B39" s="95" t="s">
        <v>29</v>
      </c>
      <c r="C39" s="259"/>
      <c r="D39" s="279">
        <v>4247.9733525112997</v>
      </c>
      <c r="E39" s="256"/>
      <c r="F39" s="279">
        <v>3289.7786758993998</v>
      </c>
      <c r="G39" s="278">
        <v>5.2284867362999998</v>
      </c>
      <c r="H39" s="256"/>
      <c r="I39" s="279">
        <v>3133.3267053178001</v>
      </c>
      <c r="J39" s="278">
        <v>5.1126916817000003</v>
      </c>
      <c r="K39" s="260"/>
      <c r="L39" s="279">
        <v>1572.0409964949999</v>
      </c>
      <c r="M39" s="278">
        <v>2.6971145595000001</v>
      </c>
      <c r="N39" s="261"/>
      <c r="O39" s="279">
        <v>1276.5591372002</v>
      </c>
      <c r="P39" s="278">
        <v>2.2855039299</v>
      </c>
    </row>
    <row r="40" spans="2:16" s="258" customFormat="1" ht="12.75" customHeight="1" x14ac:dyDescent="0.2">
      <c r="B40" s="95" t="s">
        <v>30</v>
      </c>
      <c r="C40" s="259"/>
      <c r="D40" s="279">
        <v>5085.6909832765996</v>
      </c>
      <c r="E40" s="256"/>
      <c r="F40" s="279">
        <v>4412.2427375428997</v>
      </c>
      <c r="G40" s="278">
        <v>4.2439362252999997</v>
      </c>
      <c r="H40" s="256"/>
      <c r="I40" s="279">
        <v>5788.7783670937997</v>
      </c>
      <c r="J40" s="278">
        <v>4.2339516043999996</v>
      </c>
      <c r="K40" s="260"/>
      <c r="L40" s="279">
        <v>1578.4254812946001</v>
      </c>
      <c r="M40" s="278">
        <v>1.4726062306000001</v>
      </c>
      <c r="N40" s="261"/>
      <c r="O40" s="279">
        <v>1682.3873768292001</v>
      </c>
      <c r="P40" s="278">
        <v>1.5751305816000001</v>
      </c>
    </row>
    <row r="41" spans="2:16" s="258" customFormat="1" ht="12.75" customHeight="1" x14ac:dyDescent="0.2">
      <c r="B41" s="95" t="s">
        <v>31</v>
      </c>
      <c r="C41" s="259"/>
      <c r="D41" s="279">
        <v>683.77133929729996</v>
      </c>
      <c r="E41" s="256"/>
      <c r="F41" s="279">
        <v>857.57021092540003</v>
      </c>
      <c r="G41" s="278">
        <v>6.5458744922000003</v>
      </c>
      <c r="H41" s="256"/>
      <c r="I41" s="279">
        <v>776.49099586969999</v>
      </c>
      <c r="J41" s="278">
        <v>7.2813166508</v>
      </c>
      <c r="K41" s="260"/>
      <c r="L41" s="279">
        <v>431.4985515619</v>
      </c>
      <c r="M41" s="278">
        <v>3.9427091291999998</v>
      </c>
      <c r="N41" s="261"/>
      <c r="O41" s="279">
        <v>373.87029836559998</v>
      </c>
      <c r="P41" s="278">
        <v>3.3087164979999999</v>
      </c>
    </row>
    <row r="42" spans="2:16" s="258" customFormat="1" ht="12.75" customHeight="1" x14ac:dyDescent="0.2">
      <c r="B42" s="95" t="s">
        <v>32</v>
      </c>
      <c r="C42" s="259"/>
      <c r="D42" s="280">
        <v>10640.5971219246</v>
      </c>
      <c r="E42" s="256"/>
      <c r="F42" s="279">
        <v>10376.477193365999</v>
      </c>
      <c r="G42" s="278">
        <v>6.0826797677000002</v>
      </c>
      <c r="H42" s="256"/>
      <c r="I42" s="279">
        <v>8354.0552960158002</v>
      </c>
      <c r="J42" s="278">
        <v>5.6878602945000001</v>
      </c>
      <c r="K42" s="260"/>
      <c r="L42" s="279">
        <v>4224.9978698219002</v>
      </c>
      <c r="M42" s="278">
        <v>2.9643290711999999</v>
      </c>
      <c r="N42" s="261"/>
      <c r="O42" s="279">
        <v>1944</v>
      </c>
      <c r="P42" s="278">
        <v>1.3891180615000001</v>
      </c>
    </row>
    <row r="43" spans="2:16" s="258" customFormat="1" ht="12.75" customHeight="1" x14ac:dyDescent="0.2">
      <c r="B43" s="95" t="s">
        <v>33</v>
      </c>
      <c r="C43" s="259"/>
      <c r="D43" s="279">
        <v>4803.1215171054</v>
      </c>
      <c r="E43" s="256"/>
      <c r="F43" s="279">
        <v>4064.7768889658</v>
      </c>
      <c r="G43" s="278">
        <v>3.9706667844000001</v>
      </c>
      <c r="H43" s="256"/>
      <c r="I43" s="279">
        <v>3460.4712233563</v>
      </c>
      <c r="J43" s="278">
        <v>3.4675493652</v>
      </c>
      <c r="K43" s="260"/>
      <c r="L43" s="279">
        <v>1208.7205858036</v>
      </c>
      <c r="M43" s="278">
        <v>1.4065069853000001</v>
      </c>
      <c r="N43" s="261"/>
      <c r="O43" s="279">
        <v>2012.7625990166</v>
      </c>
      <c r="P43" s="278">
        <v>2.1622022256000002</v>
      </c>
    </row>
    <row r="44" spans="2:16" s="258" customFormat="1" ht="12.75" customHeight="1" x14ac:dyDescent="0.2">
      <c r="B44" s="95" t="s">
        <v>34</v>
      </c>
      <c r="C44" s="259"/>
      <c r="D44" s="279">
        <v>3499.5146189134998</v>
      </c>
      <c r="E44" s="256"/>
      <c r="F44" s="279">
        <v>2426.7711715462001</v>
      </c>
      <c r="G44" s="278">
        <v>3.8842631481000001</v>
      </c>
      <c r="H44" s="256"/>
      <c r="I44" s="279">
        <v>2124.2569454682998</v>
      </c>
      <c r="J44" s="278">
        <v>3.3274523993999998</v>
      </c>
      <c r="K44" s="260"/>
      <c r="L44" s="279">
        <v>1187.0235574435001</v>
      </c>
      <c r="M44" s="278">
        <v>2.7080470499999998</v>
      </c>
      <c r="N44" s="261"/>
      <c r="O44" s="279">
        <v>630.77983480770001</v>
      </c>
      <c r="P44" s="278">
        <v>1.4455647935</v>
      </c>
    </row>
    <row r="45" spans="2:16" ht="6" customHeight="1" x14ac:dyDescent="0.25">
      <c r="B45" s="262"/>
      <c r="C45" s="263"/>
      <c r="D45" s="264"/>
      <c r="E45" s="265"/>
      <c r="F45" s="264"/>
      <c r="G45" s="266"/>
      <c r="H45" s="266"/>
      <c r="I45" s="264"/>
      <c r="J45" s="266"/>
      <c r="K45" s="267"/>
      <c r="L45" s="264"/>
      <c r="M45" s="266"/>
      <c r="N45" s="268"/>
      <c r="O45" s="264"/>
      <c r="P45" s="266"/>
    </row>
    <row r="46" spans="2:16" ht="6" customHeight="1" x14ac:dyDescent="0.25">
      <c r="B46" s="228"/>
      <c r="C46" s="238"/>
      <c r="D46" s="145"/>
      <c r="E46" s="269"/>
      <c r="F46" s="145"/>
      <c r="G46" s="270"/>
      <c r="H46" s="270"/>
      <c r="I46" s="145"/>
      <c r="J46" s="270"/>
      <c r="K46" s="271"/>
      <c r="L46" s="145"/>
      <c r="M46" s="270"/>
      <c r="N46" s="272"/>
      <c r="O46" s="145"/>
      <c r="P46" s="270"/>
    </row>
    <row r="47" spans="2:16" ht="12.75" customHeight="1" x14ac:dyDescent="0.25">
      <c r="B47" s="273" t="s">
        <v>93</v>
      </c>
      <c r="C47" s="238"/>
      <c r="D47" s="145"/>
      <c r="E47" s="269"/>
      <c r="F47" s="145"/>
      <c r="G47" s="270"/>
      <c r="H47" s="270"/>
      <c r="I47" s="145"/>
      <c r="J47" s="270"/>
      <c r="K47" s="271"/>
      <c r="L47" s="145"/>
      <c r="M47" s="270"/>
      <c r="N47" s="272"/>
      <c r="O47" s="145"/>
      <c r="P47" s="270"/>
    </row>
    <row r="48" spans="2:16" ht="12" customHeight="1" x14ac:dyDescent="0.25">
      <c r="B48" s="4" t="s">
        <v>69</v>
      </c>
      <c r="C48" s="238"/>
      <c r="D48" s="145"/>
      <c r="E48" s="269"/>
      <c r="F48" s="145"/>
      <c r="G48" s="270"/>
      <c r="H48" s="270"/>
      <c r="I48" s="145"/>
      <c r="J48" s="270"/>
      <c r="K48" s="271"/>
      <c r="L48" s="145"/>
      <c r="M48" s="270"/>
      <c r="N48" s="272"/>
      <c r="O48" s="145"/>
      <c r="P48" s="270"/>
    </row>
    <row r="49" spans="2:16" ht="12" customHeight="1" x14ac:dyDescent="0.25">
      <c r="B49" s="4" t="s">
        <v>70</v>
      </c>
      <c r="C49" s="238"/>
      <c r="D49" s="145"/>
      <c r="E49" s="269"/>
      <c r="F49" s="145"/>
      <c r="G49" s="270"/>
      <c r="H49" s="270"/>
      <c r="I49" s="145"/>
      <c r="J49" s="270"/>
      <c r="K49" s="271"/>
      <c r="L49" s="145"/>
      <c r="M49" s="270"/>
      <c r="N49" s="272"/>
      <c r="O49" s="145"/>
      <c r="P49" s="270"/>
    </row>
    <row r="50" spans="2:16" ht="12" customHeight="1" x14ac:dyDescent="0.25">
      <c r="B50" s="4" t="s">
        <v>71</v>
      </c>
      <c r="C50" s="238"/>
      <c r="D50" s="145"/>
      <c r="E50" s="269"/>
      <c r="F50" s="145"/>
      <c r="G50" s="270"/>
      <c r="H50" s="270"/>
      <c r="I50" s="145"/>
      <c r="J50" s="270"/>
      <c r="K50" s="271"/>
      <c r="L50" s="145"/>
      <c r="M50" s="270"/>
      <c r="N50" s="272"/>
      <c r="O50" s="145"/>
      <c r="P50" s="270"/>
    </row>
    <row r="51" spans="2:16" s="13" customFormat="1" ht="14.25" x14ac:dyDescent="0.2">
      <c r="B51" s="109" t="s">
        <v>57</v>
      </c>
    </row>
  </sheetData>
  <mergeCells count="8"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3B98B38A-E798-4F8B-8136-38993ED8DE70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00C4-CE5B-4649-B44A-8D05F3FABF45}">
  <dimension ref="B1:T52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293" customWidth="1"/>
    <col min="2" max="2" width="24.28515625" style="293" customWidth="1"/>
    <col min="3" max="3" width="0.85546875" style="329" customWidth="1"/>
    <col min="4" max="4" width="18.7109375" style="330" customWidth="1"/>
    <col min="5" max="5" width="1.7109375" style="330" customWidth="1"/>
    <col min="6" max="6" width="12.7109375" style="330" customWidth="1"/>
    <col min="7" max="7" width="12.7109375" style="331" customWidth="1"/>
    <col min="8" max="8" width="1.7109375" style="330" customWidth="1"/>
    <col min="9" max="9" width="12.7109375" style="330" customWidth="1"/>
    <col min="10" max="10" width="12.7109375" style="331" customWidth="1"/>
    <col min="11" max="11" width="1.7109375" style="330" customWidth="1"/>
    <col min="12" max="12" width="12.7109375" style="330" customWidth="1"/>
    <col min="13" max="13" width="12.7109375" style="331" customWidth="1"/>
    <col min="14" max="14" width="1.7109375" style="330" customWidth="1"/>
    <col min="15" max="15" width="12.7109375" style="293" customWidth="1"/>
    <col min="16" max="16" width="12.7109375" style="332" customWidth="1"/>
    <col min="17" max="17" width="1.7109375" style="293" customWidth="1"/>
    <col min="18" max="16384" width="11.42578125" style="293"/>
  </cols>
  <sheetData>
    <row r="1" spans="2:20" s="283" customFormat="1" ht="12" customHeight="1" x14ac:dyDescent="0.2">
      <c r="B1" s="639" t="s">
        <v>202</v>
      </c>
      <c r="D1" s="284"/>
      <c r="E1" s="284"/>
      <c r="F1" s="284"/>
      <c r="G1" s="284"/>
      <c r="H1" s="284"/>
      <c r="I1" s="284"/>
      <c r="K1" s="284"/>
      <c r="L1" s="284"/>
      <c r="M1" s="284"/>
      <c r="N1" s="284"/>
      <c r="S1" s="72" t="s">
        <v>151</v>
      </c>
    </row>
    <row r="2" spans="2:20" s="283" customFormat="1" ht="6.95" customHeight="1" x14ac:dyDescent="0.2">
      <c r="B2" s="639"/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284"/>
    </row>
    <row r="3" spans="2:20" s="283" customFormat="1" ht="15" customHeight="1" x14ac:dyDescent="0.2">
      <c r="B3" s="639" t="s">
        <v>199</v>
      </c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</row>
    <row r="4" spans="2:20" s="283" customFormat="1" ht="6.95" customHeight="1" x14ac:dyDescent="0.2">
      <c r="C4" s="285"/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</row>
    <row r="5" spans="2:20" s="283" customFormat="1" ht="25.5" customHeight="1" x14ac:dyDescent="0.2">
      <c r="B5" s="690" t="s">
        <v>153</v>
      </c>
      <c r="C5" s="690"/>
      <c r="D5" s="690"/>
      <c r="E5" s="690"/>
      <c r="F5" s="690"/>
      <c r="G5" s="690"/>
      <c r="H5" s="690"/>
      <c r="I5" s="690"/>
      <c r="J5" s="690"/>
      <c r="K5" s="690"/>
      <c r="L5" s="690"/>
      <c r="M5" s="690"/>
      <c r="N5" s="690"/>
      <c r="O5" s="286"/>
      <c r="P5" s="287"/>
      <c r="Q5" s="288"/>
      <c r="R5" s="57"/>
      <c r="S5" s="71" t="s">
        <v>112</v>
      </c>
    </row>
    <row r="6" spans="2:20" ht="6" customHeight="1" x14ac:dyDescent="0.25">
      <c r="B6" s="289"/>
      <c r="C6" s="290"/>
      <c r="D6" s="291"/>
      <c r="E6" s="291"/>
      <c r="F6" s="291"/>
      <c r="G6" s="291"/>
      <c r="H6" s="291"/>
      <c r="I6" s="291"/>
      <c r="J6" s="291"/>
      <c r="K6" s="291"/>
      <c r="L6" s="291"/>
      <c r="M6" s="291"/>
      <c r="N6" s="291"/>
      <c r="O6" s="292"/>
      <c r="P6" s="292"/>
      <c r="Q6" s="292"/>
      <c r="R6" s="292"/>
      <c r="S6" s="292"/>
    </row>
    <row r="7" spans="2:20" ht="15" customHeight="1" x14ac:dyDescent="0.25">
      <c r="B7" s="681" t="s">
        <v>76</v>
      </c>
      <c r="C7" s="681"/>
      <c r="D7" s="691" t="s">
        <v>108</v>
      </c>
      <c r="E7" s="294"/>
      <c r="F7" s="694" t="s">
        <v>124</v>
      </c>
      <c r="G7" s="694"/>
      <c r="H7" s="694"/>
      <c r="I7" s="694"/>
      <c r="J7" s="694"/>
      <c r="K7" s="694"/>
      <c r="L7" s="694"/>
      <c r="M7" s="694"/>
      <c r="N7" s="694"/>
      <c r="O7" s="694"/>
      <c r="P7" s="694"/>
      <c r="Q7" s="694"/>
      <c r="R7" s="694"/>
      <c r="S7" s="694"/>
    </row>
    <row r="8" spans="2:20" ht="24.75" customHeight="1" x14ac:dyDescent="0.25">
      <c r="B8" s="682"/>
      <c r="C8" s="682"/>
      <c r="D8" s="692"/>
      <c r="E8" s="295"/>
      <c r="F8" s="695" t="s">
        <v>125</v>
      </c>
      <c r="G8" s="695"/>
      <c r="H8" s="296"/>
      <c r="I8" s="694" t="s">
        <v>126</v>
      </c>
      <c r="J8" s="694"/>
      <c r="K8" s="297"/>
      <c r="L8" s="694" t="s">
        <v>127</v>
      </c>
      <c r="M8" s="694"/>
      <c r="N8" s="297"/>
      <c r="O8" s="694" t="s">
        <v>62</v>
      </c>
      <c r="P8" s="694"/>
      <c r="Q8" s="297"/>
      <c r="R8" s="694" t="s">
        <v>39</v>
      </c>
      <c r="S8" s="694"/>
    </row>
    <row r="9" spans="2:20" x14ac:dyDescent="0.25">
      <c r="B9" s="683"/>
      <c r="C9" s="683"/>
      <c r="D9" s="693"/>
      <c r="E9" s="298"/>
      <c r="F9" s="299" t="s">
        <v>0</v>
      </c>
      <c r="G9" s="299" t="s">
        <v>1</v>
      </c>
      <c r="H9" s="299"/>
      <c r="I9" s="299" t="s">
        <v>0</v>
      </c>
      <c r="J9" s="299" t="s">
        <v>1</v>
      </c>
      <c r="K9" s="300"/>
      <c r="L9" s="299" t="s">
        <v>0</v>
      </c>
      <c r="M9" s="299" t="s">
        <v>1</v>
      </c>
      <c r="N9" s="300"/>
      <c r="O9" s="299" t="s">
        <v>0</v>
      </c>
      <c r="P9" s="299" t="s">
        <v>1</v>
      </c>
      <c r="Q9" s="300"/>
      <c r="R9" s="299" t="s">
        <v>0</v>
      </c>
      <c r="S9" s="299" t="s">
        <v>1</v>
      </c>
    </row>
    <row r="10" spans="2:20" ht="6" customHeight="1" x14ac:dyDescent="0.25">
      <c r="B10" s="31"/>
      <c r="C10" s="301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3"/>
      <c r="O10" s="303"/>
      <c r="P10" s="303"/>
      <c r="Q10" s="303"/>
      <c r="R10" s="303"/>
      <c r="S10" s="303"/>
      <c r="T10" s="304"/>
    </row>
    <row r="11" spans="2:20" s="307" customFormat="1" ht="11.25" x14ac:dyDescent="0.2">
      <c r="B11" s="94" t="s">
        <v>2</v>
      </c>
      <c r="C11" s="305"/>
      <c r="D11" s="334">
        <v>35389.533301433599</v>
      </c>
      <c r="E11" s="87"/>
      <c r="F11" s="334">
        <v>24552.403185927102</v>
      </c>
      <c r="G11" s="334">
        <v>0.80709923230000002</v>
      </c>
      <c r="H11" s="87"/>
      <c r="I11" s="334">
        <v>35517.098119125003</v>
      </c>
      <c r="J11" s="334">
        <v>0.94151258719999997</v>
      </c>
      <c r="K11" s="87"/>
      <c r="L11" s="334">
        <v>33792.623267028401</v>
      </c>
      <c r="M11" s="334">
        <v>0.9790227064</v>
      </c>
      <c r="N11" s="87"/>
      <c r="O11" s="334">
        <v>4484.4554994438004</v>
      </c>
      <c r="P11" s="334">
        <v>0.1621869386</v>
      </c>
      <c r="Q11" s="87"/>
      <c r="R11" s="334">
        <v>1042.5579120605</v>
      </c>
      <c r="S11" s="334">
        <v>3.7686166399999999E-2</v>
      </c>
      <c r="T11" s="306"/>
    </row>
    <row r="12" spans="2:20" s="311" customFormat="1" ht="6" customHeight="1" x14ac:dyDescent="0.2">
      <c r="B12" s="254"/>
      <c r="C12" s="308"/>
      <c r="D12" s="89"/>
      <c r="E12" s="89"/>
      <c r="F12" s="89"/>
      <c r="G12" s="309"/>
      <c r="H12" s="89"/>
      <c r="I12" s="89"/>
      <c r="J12" s="309"/>
      <c r="K12" s="89"/>
      <c r="L12" s="89"/>
      <c r="M12" s="309"/>
      <c r="N12" s="89"/>
      <c r="O12" s="89"/>
      <c r="P12" s="309"/>
      <c r="Q12" s="89"/>
      <c r="R12" s="89"/>
      <c r="S12" s="309"/>
      <c r="T12" s="310"/>
    </row>
    <row r="13" spans="2:20" s="311" customFormat="1" ht="12.75" customHeight="1" x14ac:dyDescent="0.2">
      <c r="B13" s="95" t="s">
        <v>3</v>
      </c>
      <c r="C13" s="312"/>
      <c r="D13" s="279">
        <v>2080.6618581107</v>
      </c>
      <c r="E13" s="89"/>
      <c r="F13" s="279">
        <v>1294.3273988205001</v>
      </c>
      <c r="G13" s="279">
        <v>2.7006481146999999</v>
      </c>
      <c r="H13" s="89"/>
      <c r="I13" s="279">
        <v>2028.148498599</v>
      </c>
      <c r="J13" s="279">
        <v>3.9776068572000001</v>
      </c>
      <c r="K13" s="89"/>
      <c r="L13" s="279">
        <v>2337.0796511840999</v>
      </c>
      <c r="M13" s="279">
        <v>3.8509155112000002</v>
      </c>
      <c r="N13" s="89"/>
      <c r="O13" s="279">
        <v>315.08252887139997</v>
      </c>
      <c r="P13" s="279">
        <v>0.66726677830000003</v>
      </c>
      <c r="Q13" s="89"/>
      <c r="R13" s="279">
        <v>0</v>
      </c>
      <c r="S13" s="279">
        <v>0</v>
      </c>
      <c r="T13" s="310"/>
    </row>
    <row r="14" spans="2:20" s="311" customFormat="1" ht="12.75" customHeight="1" x14ac:dyDescent="0.2">
      <c r="B14" s="95" t="s">
        <v>4</v>
      </c>
      <c r="C14" s="312"/>
      <c r="D14" s="279">
        <v>6205.0470532730997</v>
      </c>
      <c r="E14" s="89"/>
      <c r="F14" s="279">
        <v>4704.6014301603</v>
      </c>
      <c r="G14" s="279">
        <v>3.8504735431000001</v>
      </c>
      <c r="H14" s="89"/>
      <c r="I14" s="279">
        <v>6225.5679180920997</v>
      </c>
      <c r="J14" s="279">
        <v>3.8547954401000002</v>
      </c>
      <c r="K14" s="89"/>
      <c r="L14" s="279">
        <v>5467.7125633120004</v>
      </c>
      <c r="M14" s="279">
        <v>3.8056116633000001</v>
      </c>
      <c r="N14" s="89"/>
      <c r="O14" s="279">
        <v>0</v>
      </c>
      <c r="P14" s="279">
        <v>0</v>
      </c>
      <c r="Q14" s="89"/>
      <c r="R14" s="279">
        <v>0</v>
      </c>
      <c r="S14" s="279">
        <v>0</v>
      </c>
      <c r="T14" s="310"/>
    </row>
    <row r="15" spans="2:20" s="311" customFormat="1" ht="12.75" customHeight="1" x14ac:dyDescent="0.2">
      <c r="B15" s="95" t="s">
        <v>5</v>
      </c>
      <c r="C15" s="312"/>
      <c r="D15" s="279">
        <v>1475.9625279483</v>
      </c>
      <c r="E15" s="89"/>
      <c r="F15" s="279">
        <v>1235.3008746126</v>
      </c>
      <c r="G15" s="279">
        <v>4.4555263948999997</v>
      </c>
      <c r="H15" s="89"/>
      <c r="I15" s="279">
        <v>1434.1863219275999</v>
      </c>
      <c r="J15" s="279">
        <v>3.1726507772999999</v>
      </c>
      <c r="K15" s="89"/>
      <c r="L15" s="279">
        <v>1130.6329666059</v>
      </c>
      <c r="M15" s="279">
        <v>4.7295608919000003</v>
      </c>
      <c r="N15" s="89"/>
      <c r="O15" s="279">
        <v>0</v>
      </c>
      <c r="P15" s="279">
        <v>0</v>
      </c>
      <c r="Q15" s="89"/>
      <c r="R15" s="279">
        <v>0</v>
      </c>
      <c r="S15" s="279">
        <v>0</v>
      </c>
      <c r="T15" s="310"/>
    </row>
    <row r="16" spans="2:20" s="311" customFormat="1" ht="12.75" customHeight="1" x14ac:dyDescent="0.2">
      <c r="B16" s="95" t="s">
        <v>6</v>
      </c>
      <c r="C16" s="312"/>
      <c r="D16" s="279">
        <v>1210.4592467523</v>
      </c>
      <c r="E16" s="89"/>
      <c r="F16" s="279">
        <v>804.23304925599996</v>
      </c>
      <c r="G16" s="279">
        <v>4.1017937999000003</v>
      </c>
      <c r="H16" s="89"/>
      <c r="I16" s="279">
        <v>1267.2263716478999</v>
      </c>
      <c r="J16" s="279">
        <v>4.3891626221999998</v>
      </c>
      <c r="K16" s="89"/>
      <c r="L16" s="279">
        <v>1389.7725551451999</v>
      </c>
      <c r="M16" s="279">
        <v>3.5254686530999999</v>
      </c>
      <c r="N16" s="89"/>
      <c r="O16" s="279">
        <v>221.46598343350001</v>
      </c>
      <c r="P16" s="279">
        <v>1.0888049660000001</v>
      </c>
      <c r="Q16" s="89"/>
      <c r="R16" s="279">
        <v>0</v>
      </c>
      <c r="S16" s="279">
        <v>0</v>
      </c>
      <c r="T16" s="310"/>
    </row>
    <row r="17" spans="2:20" s="311" customFormat="1" ht="12.75" customHeight="1" x14ac:dyDescent="0.2">
      <c r="B17" s="95" t="s">
        <v>7</v>
      </c>
      <c r="C17" s="312"/>
      <c r="D17" s="279">
        <v>4510.6752510282004</v>
      </c>
      <c r="E17" s="89"/>
      <c r="F17" s="279">
        <v>3004.9726842906998</v>
      </c>
      <c r="G17" s="279">
        <v>3.7437062546000002</v>
      </c>
      <c r="H17" s="89"/>
      <c r="I17" s="279">
        <v>4782.7826622215998</v>
      </c>
      <c r="J17" s="279">
        <v>4.5456803491000004</v>
      </c>
      <c r="K17" s="89"/>
      <c r="L17" s="279">
        <v>3949.4755709731999</v>
      </c>
      <c r="M17" s="279">
        <v>4.3899504731999999</v>
      </c>
      <c r="N17" s="89"/>
      <c r="O17" s="279">
        <v>432</v>
      </c>
      <c r="P17" s="279">
        <v>0.57194584989999997</v>
      </c>
      <c r="Q17" s="89"/>
      <c r="R17" s="279">
        <v>0</v>
      </c>
      <c r="S17" s="279">
        <v>0</v>
      </c>
      <c r="T17" s="310"/>
    </row>
    <row r="18" spans="2:20" s="311" customFormat="1" ht="12.75" customHeight="1" x14ac:dyDescent="0.2">
      <c r="B18" s="95" t="s">
        <v>8</v>
      </c>
      <c r="C18" s="312"/>
      <c r="D18" s="279">
        <v>1739.9265267776</v>
      </c>
      <c r="E18" s="89"/>
      <c r="F18" s="279">
        <v>614.9374943066</v>
      </c>
      <c r="G18" s="279">
        <v>2.1593531134999999</v>
      </c>
      <c r="H18" s="89"/>
      <c r="I18" s="279">
        <v>1746.2936854481</v>
      </c>
      <c r="J18" s="279">
        <v>3.8630278292</v>
      </c>
      <c r="K18" s="89"/>
      <c r="L18" s="279">
        <v>1275.2686630712999</v>
      </c>
      <c r="M18" s="279">
        <v>4.3099177576000001</v>
      </c>
      <c r="N18" s="89"/>
      <c r="O18" s="279">
        <v>260.99808428419999</v>
      </c>
      <c r="P18" s="279">
        <v>0.97223105850000002</v>
      </c>
      <c r="Q18" s="89"/>
      <c r="R18" s="279">
        <v>87</v>
      </c>
      <c r="S18" s="279">
        <v>0.33221063690000002</v>
      </c>
      <c r="T18" s="310"/>
    </row>
    <row r="19" spans="2:20" s="311" customFormat="1" ht="12.75" customHeight="1" x14ac:dyDescent="0.2">
      <c r="B19" s="95" t="s">
        <v>9</v>
      </c>
      <c r="C19" s="312"/>
      <c r="D19" s="279">
        <v>7119.9463858091003</v>
      </c>
      <c r="E19" s="313"/>
      <c r="F19" s="279">
        <v>4723.7698089336</v>
      </c>
      <c r="G19" s="333">
        <v>5.6841981350999999</v>
      </c>
      <c r="H19" s="313"/>
      <c r="I19" s="279">
        <v>6162.6562574255004</v>
      </c>
      <c r="J19" s="333">
        <v>5.7522814458999996</v>
      </c>
      <c r="K19" s="314"/>
      <c r="L19" s="279">
        <v>6349.2479680463002</v>
      </c>
      <c r="M19" s="333">
        <v>5.3534992688000003</v>
      </c>
      <c r="N19" s="315"/>
      <c r="O19" s="279">
        <v>851.6885901229</v>
      </c>
      <c r="P19" s="333">
        <v>1.2261972858000001</v>
      </c>
      <c r="Q19" s="316"/>
      <c r="R19" s="335">
        <v>0</v>
      </c>
      <c r="S19" s="335">
        <v>0</v>
      </c>
      <c r="T19" s="310"/>
    </row>
    <row r="20" spans="2:20" s="311" customFormat="1" ht="12.75" customHeight="1" x14ac:dyDescent="0.2">
      <c r="B20" s="95" t="s">
        <v>10</v>
      </c>
      <c r="C20" s="312"/>
      <c r="D20" s="279">
        <v>3708.0028280094002</v>
      </c>
      <c r="E20" s="313"/>
      <c r="F20" s="279">
        <v>3945.9610399413</v>
      </c>
      <c r="G20" s="333">
        <v>4.1636608783</v>
      </c>
      <c r="H20" s="313"/>
      <c r="I20" s="279">
        <v>4724.8698240038002</v>
      </c>
      <c r="J20" s="333">
        <v>4.6916232418000003</v>
      </c>
      <c r="K20" s="314"/>
      <c r="L20" s="279">
        <v>4766.8450927090998</v>
      </c>
      <c r="M20" s="333">
        <v>4.6402614777000002</v>
      </c>
      <c r="N20" s="315"/>
      <c r="O20" s="279">
        <v>699</v>
      </c>
      <c r="P20" s="333">
        <v>0.76621586730000002</v>
      </c>
      <c r="Q20" s="316"/>
      <c r="R20" s="335">
        <v>0</v>
      </c>
      <c r="S20" s="335">
        <v>0</v>
      </c>
      <c r="T20" s="310"/>
    </row>
    <row r="21" spans="2:20" s="311" customFormat="1" ht="12.75" customHeight="1" x14ac:dyDescent="0.2">
      <c r="B21" s="95" t="s">
        <v>11</v>
      </c>
      <c r="C21" s="312"/>
      <c r="D21" s="279">
        <v>9441.1636455700009</v>
      </c>
      <c r="E21" s="313"/>
      <c r="F21" s="279">
        <v>7399.8972461558997</v>
      </c>
      <c r="G21" s="333">
        <v>3.6852454023000001</v>
      </c>
      <c r="H21" s="313"/>
      <c r="I21" s="279">
        <v>10679.253929140499</v>
      </c>
      <c r="J21" s="333">
        <v>4.4614566595999996</v>
      </c>
      <c r="K21" s="314"/>
      <c r="L21" s="279">
        <v>10401.425248813201</v>
      </c>
      <c r="M21" s="333">
        <v>5.0805803188000001</v>
      </c>
      <c r="N21" s="315"/>
      <c r="O21" s="279">
        <v>1488</v>
      </c>
      <c r="P21" s="333">
        <v>0.77055603510000004</v>
      </c>
      <c r="Q21" s="316"/>
      <c r="R21" s="335">
        <v>0</v>
      </c>
      <c r="S21" s="335">
        <v>0</v>
      </c>
      <c r="T21" s="310"/>
    </row>
    <row r="22" spans="2:20" s="311" customFormat="1" ht="12.75" customHeight="1" x14ac:dyDescent="0.2">
      <c r="B22" s="95" t="s">
        <v>12</v>
      </c>
      <c r="C22" s="312"/>
      <c r="D22" s="279">
        <v>2679.8635192955999</v>
      </c>
      <c r="E22" s="313"/>
      <c r="F22" s="279">
        <v>2389.5452319632</v>
      </c>
      <c r="G22" s="333">
        <v>4.1435005872000001</v>
      </c>
      <c r="H22" s="313"/>
      <c r="I22" s="279">
        <v>2828.5524391204999</v>
      </c>
      <c r="J22" s="333">
        <v>3.5942374482999999</v>
      </c>
      <c r="K22" s="314"/>
      <c r="L22" s="279">
        <v>2491.7795386062999</v>
      </c>
      <c r="M22" s="333">
        <v>4.2752976091999999</v>
      </c>
      <c r="N22" s="315"/>
      <c r="O22" s="279">
        <v>466.53295703520001</v>
      </c>
      <c r="P22" s="333">
        <v>0.98498535740000004</v>
      </c>
      <c r="Q22" s="316"/>
      <c r="R22" s="335">
        <v>0</v>
      </c>
      <c r="S22" s="335">
        <v>0</v>
      </c>
      <c r="T22" s="310"/>
    </row>
    <row r="23" spans="2:20" s="311" customFormat="1" ht="12.75" customHeight="1" x14ac:dyDescent="0.2">
      <c r="B23" s="95" t="s">
        <v>13</v>
      </c>
      <c r="C23" s="312"/>
      <c r="D23" s="279">
        <v>6083.5762575119998</v>
      </c>
      <c r="E23" s="313"/>
      <c r="F23" s="279">
        <v>4299.5214461303003</v>
      </c>
      <c r="G23" s="333">
        <v>4.0986710888999998</v>
      </c>
      <c r="H23" s="313"/>
      <c r="I23" s="279">
        <v>6366.9751493872</v>
      </c>
      <c r="J23" s="333">
        <v>4.2902327836999996</v>
      </c>
      <c r="K23" s="314"/>
      <c r="L23" s="279">
        <v>5696.5211930369996</v>
      </c>
      <c r="M23" s="333">
        <v>4.5220778859999999</v>
      </c>
      <c r="N23" s="315"/>
      <c r="O23" s="279">
        <v>1748.1707582499</v>
      </c>
      <c r="P23" s="333">
        <v>1.6178570942999999</v>
      </c>
      <c r="Q23" s="316"/>
      <c r="R23" s="335">
        <v>744</v>
      </c>
      <c r="S23" s="335">
        <v>0.68733765170000005</v>
      </c>
      <c r="T23" s="310"/>
    </row>
    <row r="24" spans="2:20" s="311" customFormat="1" ht="12.75" customHeight="1" x14ac:dyDescent="0.2">
      <c r="B24" s="95" t="s">
        <v>14</v>
      </c>
      <c r="C24" s="312"/>
      <c r="D24" s="279">
        <v>3197.3289737946002</v>
      </c>
      <c r="E24" s="313"/>
      <c r="F24" s="279">
        <v>2109.4229669114002</v>
      </c>
      <c r="G24" s="333">
        <v>4.3702216917000003</v>
      </c>
      <c r="H24" s="313"/>
      <c r="I24" s="279">
        <v>2490.3668377703998</v>
      </c>
      <c r="J24" s="333">
        <v>5.0740652527999996</v>
      </c>
      <c r="K24" s="314"/>
      <c r="L24" s="279">
        <v>3347.3940740024</v>
      </c>
      <c r="M24" s="333">
        <v>4.5224978381999996</v>
      </c>
      <c r="N24" s="315"/>
      <c r="O24" s="279">
        <v>1197.7128871310999</v>
      </c>
      <c r="P24" s="333">
        <v>2.2829371197000001</v>
      </c>
      <c r="Q24" s="316"/>
      <c r="R24" s="335">
        <v>0</v>
      </c>
      <c r="S24" s="335">
        <v>0</v>
      </c>
      <c r="T24" s="310"/>
    </row>
    <row r="25" spans="2:20" s="311" customFormat="1" ht="12.75" customHeight="1" x14ac:dyDescent="0.2">
      <c r="B25" s="95" t="s">
        <v>15</v>
      </c>
      <c r="C25" s="312"/>
      <c r="D25" s="279">
        <v>3321.5400839618001</v>
      </c>
      <c r="E25" s="313"/>
      <c r="F25" s="279">
        <v>2580.8302776863002</v>
      </c>
      <c r="G25" s="333">
        <v>5.0187286451000004</v>
      </c>
      <c r="H25" s="313"/>
      <c r="I25" s="279">
        <v>2601.4598008114999</v>
      </c>
      <c r="J25" s="333">
        <v>4.8726301211000003</v>
      </c>
      <c r="K25" s="314"/>
      <c r="L25" s="279">
        <v>3311.0555299213001</v>
      </c>
      <c r="M25" s="333">
        <v>4.8482784913000003</v>
      </c>
      <c r="N25" s="315"/>
      <c r="O25" s="279">
        <v>830.70873355230003</v>
      </c>
      <c r="P25" s="333">
        <v>1.8036554599000001</v>
      </c>
      <c r="Q25" s="316"/>
      <c r="R25" s="335">
        <v>0</v>
      </c>
      <c r="S25" s="335">
        <v>0</v>
      </c>
      <c r="T25" s="310"/>
    </row>
    <row r="26" spans="2:20" s="311" customFormat="1" ht="12.75" customHeight="1" x14ac:dyDescent="0.2">
      <c r="B26" s="95" t="s">
        <v>16</v>
      </c>
      <c r="C26" s="312"/>
      <c r="D26" s="279">
        <v>13753.0530024039</v>
      </c>
      <c r="E26" s="313"/>
      <c r="F26" s="279">
        <v>8081.8477850366999</v>
      </c>
      <c r="G26" s="333">
        <v>2.4831612419</v>
      </c>
      <c r="H26" s="313"/>
      <c r="I26" s="279">
        <v>13717.861379735699</v>
      </c>
      <c r="J26" s="333">
        <v>2.3681746415</v>
      </c>
      <c r="K26" s="314"/>
      <c r="L26" s="279">
        <v>11499.365911203</v>
      </c>
      <c r="M26" s="333">
        <v>3.3710384585000002</v>
      </c>
      <c r="N26" s="315"/>
      <c r="O26" s="279">
        <v>2199.9840908515998</v>
      </c>
      <c r="P26" s="333">
        <v>0.74504935620000001</v>
      </c>
      <c r="Q26" s="316"/>
      <c r="R26" s="335">
        <v>0</v>
      </c>
      <c r="S26" s="335">
        <v>0</v>
      </c>
      <c r="T26" s="310"/>
    </row>
    <row r="27" spans="2:20" s="311" customFormat="1" ht="12.75" customHeight="1" x14ac:dyDescent="0.2">
      <c r="B27" s="95" t="s">
        <v>17</v>
      </c>
      <c r="C27" s="312"/>
      <c r="D27" s="279">
        <v>14957.490784076601</v>
      </c>
      <c r="E27" s="313"/>
      <c r="F27" s="279">
        <v>12500.9780287829</v>
      </c>
      <c r="G27" s="333">
        <v>4.8096372520999999</v>
      </c>
      <c r="H27" s="313"/>
      <c r="I27" s="279">
        <v>17249.108173914701</v>
      </c>
      <c r="J27" s="333">
        <v>6.2765274074999997</v>
      </c>
      <c r="K27" s="314"/>
      <c r="L27" s="279">
        <v>15981.642361194699</v>
      </c>
      <c r="M27" s="333">
        <v>6.4637812167000002</v>
      </c>
      <c r="N27" s="315"/>
      <c r="O27" s="279">
        <v>0</v>
      </c>
      <c r="P27" s="333">
        <v>0</v>
      </c>
      <c r="Q27" s="316"/>
      <c r="R27" s="335">
        <v>0</v>
      </c>
      <c r="S27" s="335">
        <v>0</v>
      </c>
      <c r="T27" s="310"/>
    </row>
    <row r="28" spans="2:20" s="311" customFormat="1" ht="12.75" customHeight="1" x14ac:dyDescent="0.2">
      <c r="B28" s="95" t="s">
        <v>18</v>
      </c>
      <c r="C28" s="312"/>
      <c r="D28" s="279">
        <v>8595.0909068524998</v>
      </c>
      <c r="E28" s="313"/>
      <c r="F28" s="279">
        <v>3874.4721575977001</v>
      </c>
      <c r="G28" s="333">
        <v>4.0577881943999996</v>
      </c>
      <c r="H28" s="313"/>
      <c r="I28" s="279">
        <v>8048.5850684404004</v>
      </c>
      <c r="J28" s="333">
        <v>4.5735921697000004</v>
      </c>
      <c r="K28" s="314"/>
      <c r="L28" s="279">
        <v>8874.6653392301996</v>
      </c>
      <c r="M28" s="333">
        <v>5.1127927904000003</v>
      </c>
      <c r="N28" s="315"/>
      <c r="O28" s="279">
        <v>880.19600089979997</v>
      </c>
      <c r="P28" s="333">
        <v>0.90503612259999999</v>
      </c>
      <c r="Q28" s="316"/>
      <c r="R28" s="335">
        <v>0</v>
      </c>
      <c r="S28" s="335">
        <v>0</v>
      </c>
      <c r="T28" s="310"/>
    </row>
    <row r="29" spans="2:20" s="311" customFormat="1" ht="12.75" customHeight="1" x14ac:dyDescent="0.2">
      <c r="B29" s="95" t="s">
        <v>19</v>
      </c>
      <c r="C29" s="312"/>
      <c r="D29" s="279">
        <v>1688.0708367837999</v>
      </c>
      <c r="E29" s="313"/>
      <c r="F29" s="279">
        <v>1138.7935721631</v>
      </c>
      <c r="G29" s="333">
        <v>4.1483963971</v>
      </c>
      <c r="H29" s="313"/>
      <c r="I29" s="279">
        <v>1931.3477461780001</v>
      </c>
      <c r="J29" s="333">
        <v>5.8404369216000003</v>
      </c>
      <c r="K29" s="314"/>
      <c r="L29" s="279">
        <v>1899.1652157373001</v>
      </c>
      <c r="M29" s="333">
        <v>5.7817100303000002</v>
      </c>
      <c r="N29" s="315"/>
      <c r="O29" s="279">
        <v>471.78066937929998</v>
      </c>
      <c r="P29" s="333">
        <v>1.8106698859999999</v>
      </c>
      <c r="Q29" s="316"/>
      <c r="R29" s="335">
        <v>0</v>
      </c>
      <c r="S29" s="335">
        <v>0</v>
      </c>
      <c r="T29" s="310"/>
    </row>
    <row r="30" spans="2:20" s="311" customFormat="1" ht="12.75" customHeight="1" x14ac:dyDescent="0.2">
      <c r="B30" s="95" t="s">
        <v>20</v>
      </c>
      <c r="C30" s="312"/>
      <c r="D30" s="279">
        <v>2887.4391531567999</v>
      </c>
      <c r="E30" s="313"/>
      <c r="F30" s="279">
        <v>996.14147053040006</v>
      </c>
      <c r="G30" s="333">
        <v>2.6777202595</v>
      </c>
      <c r="H30" s="313"/>
      <c r="I30" s="279">
        <v>2210.0550585054002</v>
      </c>
      <c r="J30" s="333">
        <v>3.3557962162999999</v>
      </c>
      <c r="K30" s="314"/>
      <c r="L30" s="279">
        <v>2395.2771627525999</v>
      </c>
      <c r="M30" s="333">
        <v>3.4059790248000001</v>
      </c>
      <c r="N30" s="315"/>
      <c r="O30" s="279">
        <v>555.78011700809998</v>
      </c>
      <c r="P30" s="333">
        <v>1.3927473151</v>
      </c>
      <c r="Q30" s="316"/>
      <c r="R30" s="335">
        <v>0</v>
      </c>
      <c r="S30" s="335">
        <v>0</v>
      </c>
      <c r="T30" s="310"/>
    </row>
    <row r="31" spans="2:20" s="311" customFormat="1" ht="12.75" customHeight="1" x14ac:dyDescent="0.2">
      <c r="B31" s="95" t="s">
        <v>21</v>
      </c>
      <c r="C31" s="312"/>
      <c r="D31" s="279">
        <v>10000.8140926499</v>
      </c>
      <c r="E31" s="313"/>
      <c r="F31" s="279">
        <v>6059.7737616126997</v>
      </c>
      <c r="G31" s="333">
        <v>2.7431913138000001</v>
      </c>
      <c r="H31" s="313"/>
      <c r="I31" s="279">
        <v>9768.4100141597992</v>
      </c>
      <c r="J31" s="333">
        <v>3.5087110153999999</v>
      </c>
      <c r="K31" s="314"/>
      <c r="L31" s="279">
        <v>9933.1424285796002</v>
      </c>
      <c r="M31" s="333">
        <v>3.3910794064999998</v>
      </c>
      <c r="N31" s="315"/>
      <c r="O31" s="279">
        <v>0</v>
      </c>
      <c r="P31" s="333">
        <v>0</v>
      </c>
      <c r="Q31" s="316"/>
      <c r="R31" s="335">
        <v>0</v>
      </c>
      <c r="S31" s="335">
        <v>0</v>
      </c>
      <c r="T31" s="310"/>
    </row>
    <row r="32" spans="2:20" s="311" customFormat="1" ht="12.75" customHeight="1" x14ac:dyDescent="0.2">
      <c r="B32" s="95" t="s">
        <v>22</v>
      </c>
      <c r="C32" s="312"/>
      <c r="D32" s="279">
        <v>6380.8979534733999</v>
      </c>
      <c r="E32" s="313"/>
      <c r="F32" s="279">
        <v>2674.8545131776</v>
      </c>
      <c r="G32" s="333">
        <v>3.6217959814</v>
      </c>
      <c r="H32" s="313"/>
      <c r="I32" s="279">
        <v>5463.1889879216997</v>
      </c>
      <c r="J32" s="333">
        <v>5.8858961692999996</v>
      </c>
      <c r="K32" s="314"/>
      <c r="L32" s="279">
        <v>5554.4886797531999</v>
      </c>
      <c r="M32" s="333">
        <v>3.7732479860999999</v>
      </c>
      <c r="N32" s="315"/>
      <c r="O32" s="279">
        <v>0</v>
      </c>
      <c r="P32" s="333">
        <v>0</v>
      </c>
      <c r="Q32" s="316"/>
      <c r="R32" s="335">
        <v>0</v>
      </c>
      <c r="S32" s="335">
        <v>0</v>
      </c>
      <c r="T32" s="310"/>
    </row>
    <row r="33" spans="2:20" s="311" customFormat="1" ht="12.75" customHeight="1" x14ac:dyDescent="0.2">
      <c r="B33" s="95" t="s">
        <v>23</v>
      </c>
      <c r="C33" s="312"/>
      <c r="D33" s="279">
        <v>4612.5792870677997</v>
      </c>
      <c r="E33" s="313"/>
      <c r="F33" s="279">
        <v>3438.3815820595</v>
      </c>
      <c r="G33" s="333">
        <v>4.3490827210000003</v>
      </c>
      <c r="H33" s="313"/>
      <c r="I33" s="279">
        <v>4862.7054079611999</v>
      </c>
      <c r="J33" s="333">
        <v>5.3323051879000003</v>
      </c>
      <c r="K33" s="314"/>
      <c r="L33" s="279">
        <v>4725.6769071498002</v>
      </c>
      <c r="M33" s="333">
        <v>4.9024874919999997</v>
      </c>
      <c r="N33" s="315"/>
      <c r="O33" s="279">
        <v>0</v>
      </c>
      <c r="P33" s="333">
        <v>0</v>
      </c>
      <c r="Q33" s="316"/>
      <c r="R33" s="335">
        <v>0</v>
      </c>
      <c r="S33" s="335">
        <v>0</v>
      </c>
      <c r="T33" s="310"/>
    </row>
    <row r="34" spans="2:20" s="311" customFormat="1" ht="12.75" customHeight="1" x14ac:dyDescent="0.2">
      <c r="B34" s="95" t="s">
        <v>24</v>
      </c>
      <c r="C34" s="312"/>
      <c r="D34" s="279">
        <v>6674.5021808894999</v>
      </c>
      <c r="E34" s="313"/>
      <c r="F34" s="279">
        <v>4441.5133096012996</v>
      </c>
      <c r="G34" s="333">
        <v>4.7097731384000001</v>
      </c>
      <c r="H34" s="313"/>
      <c r="I34" s="279">
        <v>3978.2757260377002</v>
      </c>
      <c r="J34" s="333">
        <v>6.1361089730999998</v>
      </c>
      <c r="K34" s="314"/>
      <c r="L34" s="279">
        <v>4828.1731272630996</v>
      </c>
      <c r="M34" s="333">
        <v>4.4071641272999997</v>
      </c>
      <c r="N34" s="315"/>
      <c r="O34" s="279">
        <v>643.3467183409</v>
      </c>
      <c r="P34" s="333">
        <v>0.90448758350000003</v>
      </c>
      <c r="Q34" s="316"/>
      <c r="R34" s="335">
        <v>0</v>
      </c>
      <c r="S34" s="335">
        <v>0</v>
      </c>
      <c r="T34" s="310"/>
    </row>
    <row r="35" spans="2:20" s="311" customFormat="1" ht="12.75" customHeight="1" x14ac:dyDescent="0.2">
      <c r="B35" s="95" t="s">
        <v>25</v>
      </c>
      <c r="C35" s="312"/>
      <c r="D35" s="279">
        <v>2945.8123467055002</v>
      </c>
      <c r="E35" s="313"/>
      <c r="F35" s="279">
        <v>1687.8316296541</v>
      </c>
      <c r="G35" s="333">
        <v>2.9659866248000002</v>
      </c>
      <c r="H35" s="313"/>
      <c r="I35" s="279">
        <v>2497.2893789940999</v>
      </c>
      <c r="J35" s="333">
        <v>4.4667405165999998</v>
      </c>
      <c r="K35" s="314"/>
      <c r="L35" s="279">
        <v>3151.4950207671</v>
      </c>
      <c r="M35" s="333">
        <v>4.1063636462000002</v>
      </c>
      <c r="N35" s="315"/>
      <c r="O35" s="279">
        <v>575.07981330129996</v>
      </c>
      <c r="P35" s="333">
        <v>1.0293427811</v>
      </c>
      <c r="Q35" s="316"/>
      <c r="R35" s="335">
        <v>0</v>
      </c>
      <c r="S35" s="335">
        <v>0</v>
      </c>
      <c r="T35" s="310"/>
    </row>
    <row r="36" spans="2:20" s="311" customFormat="1" ht="12.75" customHeight="1" x14ac:dyDescent="0.2">
      <c r="B36" s="95" t="s">
        <v>26</v>
      </c>
      <c r="C36" s="312"/>
      <c r="D36" s="279">
        <v>2570.7326840976998</v>
      </c>
      <c r="E36" s="313"/>
      <c r="F36" s="279">
        <v>2653.6279800714001</v>
      </c>
      <c r="G36" s="333">
        <v>4.4304399912000001</v>
      </c>
      <c r="H36" s="313"/>
      <c r="I36" s="279">
        <v>2803.3598959771002</v>
      </c>
      <c r="J36" s="333">
        <v>4.1974859754000002</v>
      </c>
      <c r="K36" s="314"/>
      <c r="L36" s="279">
        <v>2590.5670346526999</v>
      </c>
      <c r="M36" s="333">
        <v>4.4153348995000004</v>
      </c>
      <c r="N36" s="315"/>
      <c r="O36" s="279">
        <v>852.25465677809996</v>
      </c>
      <c r="P36" s="333">
        <v>1.5948660861999999</v>
      </c>
      <c r="Q36" s="316"/>
      <c r="R36" s="335">
        <v>0</v>
      </c>
      <c r="S36" s="335">
        <v>0</v>
      </c>
      <c r="T36" s="310"/>
    </row>
    <row r="37" spans="2:20" s="311" customFormat="1" ht="12.75" customHeight="1" x14ac:dyDescent="0.2">
      <c r="B37" s="95" t="s">
        <v>27</v>
      </c>
      <c r="C37" s="312"/>
      <c r="D37" s="279">
        <v>3309.1428382409999</v>
      </c>
      <c r="E37" s="313"/>
      <c r="F37" s="279">
        <v>1959.6431106739999</v>
      </c>
      <c r="G37" s="333">
        <v>2.9555506686999999</v>
      </c>
      <c r="H37" s="313"/>
      <c r="I37" s="279">
        <v>3586.0058153997002</v>
      </c>
      <c r="J37" s="333">
        <v>3.9242069737</v>
      </c>
      <c r="K37" s="314"/>
      <c r="L37" s="279">
        <v>3596.9071179890002</v>
      </c>
      <c r="M37" s="333">
        <v>4.4368770822999997</v>
      </c>
      <c r="N37" s="315"/>
      <c r="O37" s="279">
        <v>635</v>
      </c>
      <c r="P37" s="333">
        <v>0.96116252660000001</v>
      </c>
      <c r="Q37" s="316"/>
      <c r="R37" s="335">
        <v>0</v>
      </c>
      <c r="S37" s="335">
        <v>0</v>
      </c>
      <c r="T37" s="310"/>
    </row>
    <row r="38" spans="2:20" s="311" customFormat="1" ht="12.75" customHeight="1" x14ac:dyDescent="0.2">
      <c r="B38" s="95" t="s">
        <v>28</v>
      </c>
      <c r="C38" s="312"/>
      <c r="D38" s="279">
        <v>6316.5770537108001</v>
      </c>
      <c r="E38" s="313"/>
      <c r="F38" s="279">
        <v>3534.3954143391002</v>
      </c>
      <c r="G38" s="333">
        <v>2.7708663481000002</v>
      </c>
      <c r="H38" s="313"/>
      <c r="I38" s="279">
        <v>4789.1292265837001</v>
      </c>
      <c r="J38" s="333">
        <v>2.9696477298000001</v>
      </c>
      <c r="K38" s="314"/>
      <c r="L38" s="279">
        <v>5935.6088889796001</v>
      </c>
      <c r="M38" s="333">
        <v>3.4645047717000002</v>
      </c>
      <c r="N38" s="315"/>
      <c r="O38" s="279">
        <v>776.03672593509998</v>
      </c>
      <c r="P38" s="333">
        <v>0.64599812469999995</v>
      </c>
      <c r="Q38" s="316"/>
      <c r="R38" s="335">
        <v>0</v>
      </c>
      <c r="S38" s="335">
        <v>0</v>
      </c>
      <c r="T38" s="310"/>
    </row>
    <row r="39" spans="2:20" s="311" customFormat="1" ht="12.75" customHeight="1" x14ac:dyDescent="0.2">
      <c r="B39" s="95" t="s">
        <v>29</v>
      </c>
      <c r="C39" s="312"/>
      <c r="D39" s="279">
        <v>4247.9733525112997</v>
      </c>
      <c r="E39" s="313"/>
      <c r="F39" s="279">
        <v>2892.0918593707001</v>
      </c>
      <c r="G39" s="333">
        <v>4.5100595443999998</v>
      </c>
      <c r="H39" s="313"/>
      <c r="I39" s="279">
        <v>2795.352748191</v>
      </c>
      <c r="J39" s="333">
        <v>3.7331917288000001</v>
      </c>
      <c r="K39" s="314"/>
      <c r="L39" s="279">
        <v>3976.3697818658002</v>
      </c>
      <c r="M39" s="333">
        <v>4.0059949744000001</v>
      </c>
      <c r="N39" s="315"/>
      <c r="O39" s="279">
        <v>0</v>
      </c>
      <c r="P39" s="333">
        <v>0</v>
      </c>
      <c r="Q39" s="316"/>
      <c r="R39" s="335">
        <v>421</v>
      </c>
      <c r="S39" s="335">
        <v>0.78108138819999995</v>
      </c>
      <c r="T39" s="310"/>
    </row>
    <row r="40" spans="2:20" s="311" customFormat="1" ht="12.75" customHeight="1" x14ac:dyDescent="0.2">
      <c r="B40" s="95" t="s">
        <v>30</v>
      </c>
      <c r="C40" s="312"/>
      <c r="D40" s="279">
        <v>5085.6909832765996</v>
      </c>
      <c r="E40" s="313"/>
      <c r="F40" s="279">
        <v>3914.3249957839998</v>
      </c>
      <c r="G40" s="333">
        <v>3.5727299970000002</v>
      </c>
      <c r="H40" s="313"/>
      <c r="I40" s="279">
        <v>5942.7751785356004</v>
      </c>
      <c r="J40" s="333">
        <v>3.2898847521999999</v>
      </c>
      <c r="K40" s="314"/>
      <c r="L40" s="279">
        <v>5002.6478178345997</v>
      </c>
      <c r="M40" s="333">
        <v>4.0028929401999997</v>
      </c>
      <c r="N40" s="315"/>
      <c r="O40" s="279">
        <v>1093.7097421163</v>
      </c>
      <c r="P40" s="333">
        <v>1.0308093977999999</v>
      </c>
      <c r="Q40" s="316"/>
      <c r="R40" s="335">
        <v>0</v>
      </c>
      <c r="S40" s="335">
        <v>0</v>
      </c>
      <c r="T40" s="310"/>
    </row>
    <row r="41" spans="2:20" s="311" customFormat="1" ht="12.75" customHeight="1" x14ac:dyDescent="0.2">
      <c r="B41" s="95" t="s">
        <v>31</v>
      </c>
      <c r="C41" s="312"/>
      <c r="D41" s="279">
        <v>683.77133929729996</v>
      </c>
      <c r="E41" s="313"/>
      <c r="F41" s="279">
        <v>639.76662411639995</v>
      </c>
      <c r="G41" s="333">
        <v>5.3642291088</v>
      </c>
      <c r="H41" s="313"/>
      <c r="I41" s="279">
        <v>872.99627083329995</v>
      </c>
      <c r="J41" s="333">
        <v>6.7001614140000001</v>
      </c>
      <c r="K41" s="314"/>
      <c r="L41" s="279">
        <v>733.16434416549998</v>
      </c>
      <c r="M41" s="333">
        <v>5.4915044873000003</v>
      </c>
      <c r="N41" s="315"/>
      <c r="O41" s="279">
        <v>231</v>
      </c>
      <c r="P41" s="333">
        <v>2.0910164361999999</v>
      </c>
      <c r="Q41" s="316"/>
      <c r="R41" s="335">
        <v>0</v>
      </c>
      <c r="S41" s="335">
        <v>0</v>
      </c>
      <c r="T41" s="310"/>
    </row>
    <row r="42" spans="2:20" s="311" customFormat="1" ht="12.75" customHeight="1" x14ac:dyDescent="0.2">
      <c r="B42" s="95" t="s">
        <v>32</v>
      </c>
      <c r="C42" s="312"/>
      <c r="D42" s="279">
        <v>10640.5971219246</v>
      </c>
      <c r="E42" s="313"/>
      <c r="F42" s="279">
        <v>7942.5532243871003</v>
      </c>
      <c r="G42" s="333">
        <v>5.1022458083000002</v>
      </c>
      <c r="H42" s="313"/>
      <c r="I42" s="279">
        <v>10504.5268971684</v>
      </c>
      <c r="J42" s="333">
        <v>4.9375680683000001</v>
      </c>
      <c r="K42" s="314"/>
      <c r="L42" s="279">
        <v>8449.6852341111007</v>
      </c>
      <c r="M42" s="333">
        <v>4.8337719887999997</v>
      </c>
      <c r="N42" s="315"/>
      <c r="O42" s="279">
        <v>0</v>
      </c>
      <c r="P42" s="333">
        <v>0</v>
      </c>
      <c r="Q42" s="316"/>
      <c r="R42" s="335">
        <v>0</v>
      </c>
      <c r="S42" s="335">
        <v>0</v>
      </c>
      <c r="T42" s="310"/>
    </row>
    <row r="43" spans="2:20" s="311" customFormat="1" ht="12.75" customHeight="1" x14ac:dyDescent="0.2">
      <c r="B43" s="95" t="s">
        <v>33</v>
      </c>
      <c r="C43" s="312"/>
      <c r="D43" s="279">
        <v>4803.1215171054</v>
      </c>
      <c r="E43" s="313"/>
      <c r="F43" s="279">
        <v>2908.1287768298998</v>
      </c>
      <c r="G43" s="333">
        <v>3.5302532882</v>
      </c>
      <c r="H43" s="313"/>
      <c r="I43" s="279">
        <v>4116.1205295566997</v>
      </c>
      <c r="J43" s="333">
        <v>3.6473281502999999</v>
      </c>
      <c r="K43" s="314"/>
      <c r="L43" s="279">
        <v>4368.1902482665</v>
      </c>
      <c r="M43" s="333">
        <v>2.8594065188000002</v>
      </c>
      <c r="N43" s="315"/>
      <c r="O43" s="279">
        <v>788</v>
      </c>
      <c r="P43" s="333">
        <v>0.89685170579999995</v>
      </c>
      <c r="Q43" s="316"/>
      <c r="R43" s="335">
        <v>575</v>
      </c>
      <c r="S43" s="335">
        <v>0.64813795659999995</v>
      </c>
      <c r="T43" s="310"/>
    </row>
    <row r="44" spans="2:20" s="311" customFormat="1" ht="12.75" customHeight="1" x14ac:dyDescent="0.2">
      <c r="B44" s="95" t="s">
        <v>34</v>
      </c>
      <c r="C44" s="312"/>
      <c r="D44" s="279">
        <v>3499.5146189134998</v>
      </c>
      <c r="E44" s="313"/>
      <c r="F44" s="279">
        <v>1818.1979367773999</v>
      </c>
      <c r="G44" s="333">
        <v>3.8406742336000002</v>
      </c>
      <c r="H44" s="313"/>
      <c r="I44" s="279">
        <v>2868.9543589532</v>
      </c>
      <c r="J44" s="333">
        <v>3.6117539628999999</v>
      </c>
      <c r="K44" s="314"/>
      <c r="L44" s="279">
        <v>2552.4828706109001</v>
      </c>
      <c r="M44" s="333">
        <v>3.1879941707000001</v>
      </c>
      <c r="N44" s="315"/>
      <c r="O44" s="279">
        <v>622.69575235419995</v>
      </c>
      <c r="P44" s="333">
        <v>1.4000092548</v>
      </c>
      <c r="Q44" s="316"/>
      <c r="R44" s="335">
        <v>134</v>
      </c>
      <c r="S44" s="335">
        <v>0.30984211680000001</v>
      </c>
      <c r="T44" s="310"/>
    </row>
    <row r="45" spans="2:20" ht="6" customHeight="1" x14ac:dyDescent="0.25">
      <c r="B45" s="317"/>
      <c r="C45" s="318"/>
      <c r="D45" s="264"/>
      <c r="E45" s="319"/>
      <c r="F45" s="264"/>
      <c r="G45" s="320"/>
      <c r="H45" s="320"/>
      <c r="I45" s="264"/>
      <c r="J45" s="320"/>
      <c r="K45" s="321"/>
      <c r="L45" s="264"/>
      <c r="M45" s="320"/>
      <c r="N45" s="322"/>
      <c r="O45" s="264"/>
      <c r="P45" s="320"/>
      <c r="Q45" s="264"/>
      <c r="R45" s="264"/>
      <c r="S45" s="264"/>
      <c r="T45" s="304"/>
    </row>
    <row r="46" spans="2:20" ht="6" customHeight="1" x14ac:dyDescent="0.25">
      <c r="B46" s="228"/>
      <c r="C46" s="290"/>
      <c r="D46" s="145"/>
      <c r="E46" s="323"/>
      <c r="F46" s="145"/>
      <c r="G46" s="324"/>
      <c r="H46" s="324"/>
      <c r="I46" s="145"/>
      <c r="J46" s="324"/>
      <c r="K46" s="325"/>
      <c r="L46" s="145"/>
      <c r="M46" s="324"/>
      <c r="N46" s="326"/>
      <c r="O46" s="145"/>
      <c r="P46" s="324"/>
      <c r="Q46" s="327"/>
      <c r="R46" s="292"/>
      <c r="S46" s="292"/>
    </row>
    <row r="47" spans="2:20" ht="12.75" customHeight="1" x14ac:dyDescent="0.25">
      <c r="B47" s="273" t="s">
        <v>93</v>
      </c>
      <c r="C47" s="290"/>
      <c r="D47" s="145"/>
      <c r="E47" s="323"/>
      <c r="F47" s="145"/>
      <c r="G47" s="324"/>
      <c r="H47" s="324"/>
      <c r="I47" s="145"/>
      <c r="J47" s="324"/>
      <c r="K47" s="325"/>
      <c r="L47" s="145"/>
      <c r="M47" s="324"/>
      <c r="N47" s="326"/>
      <c r="O47" s="145"/>
      <c r="P47" s="324"/>
      <c r="Q47" s="327"/>
      <c r="R47" s="292"/>
      <c r="S47" s="292"/>
    </row>
    <row r="48" spans="2:20" ht="12.75" customHeight="1" x14ac:dyDescent="0.25">
      <c r="B48" s="328" t="s">
        <v>74</v>
      </c>
      <c r="C48" s="290"/>
      <c r="D48" s="145"/>
      <c r="E48" s="323"/>
      <c r="F48" s="145"/>
      <c r="G48" s="324"/>
      <c r="H48" s="324"/>
      <c r="I48" s="145"/>
      <c r="J48" s="324"/>
      <c r="K48" s="325"/>
      <c r="L48" s="145"/>
      <c r="M48" s="324"/>
      <c r="N48" s="326"/>
      <c r="O48" s="145"/>
      <c r="P48" s="324"/>
      <c r="Q48" s="327"/>
      <c r="R48" s="292"/>
      <c r="S48" s="292"/>
    </row>
    <row r="49" spans="2:19" ht="12" customHeight="1" x14ac:dyDescent="0.25">
      <c r="B49" s="4" t="s">
        <v>77</v>
      </c>
      <c r="C49" s="290"/>
      <c r="D49" s="145"/>
      <c r="E49" s="323"/>
      <c r="F49" s="145"/>
      <c r="G49" s="324"/>
      <c r="H49" s="324"/>
      <c r="I49" s="145"/>
      <c r="J49" s="324"/>
      <c r="K49" s="325"/>
      <c r="L49" s="145"/>
      <c r="M49" s="324"/>
      <c r="N49" s="326"/>
      <c r="O49" s="145"/>
      <c r="P49" s="324"/>
      <c r="Q49" s="327"/>
      <c r="R49" s="292"/>
      <c r="S49" s="292"/>
    </row>
    <row r="50" spans="2:19" ht="12" customHeight="1" x14ac:dyDescent="0.25">
      <c r="B50" s="4" t="s">
        <v>78</v>
      </c>
      <c r="C50" s="290"/>
      <c r="D50" s="145"/>
      <c r="E50" s="323"/>
      <c r="F50" s="145"/>
      <c r="G50" s="324"/>
      <c r="H50" s="324"/>
      <c r="I50" s="145"/>
      <c r="J50" s="324"/>
      <c r="K50" s="325"/>
      <c r="L50" s="145"/>
      <c r="M50" s="324"/>
      <c r="N50" s="326"/>
      <c r="O50" s="145"/>
      <c r="P50" s="324"/>
      <c r="Q50" s="327"/>
      <c r="R50" s="292"/>
      <c r="S50" s="292"/>
    </row>
    <row r="51" spans="2:19" ht="12" customHeight="1" x14ac:dyDescent="0.25">
      <c r="B51" s="4" t="s">
        <v>79</v>
      </c>
      <c r="C51" s="290"/>
      <c r="D51" s="145"/>
      <c r="E51" s="323"/>
      <c r="F51" s="145"/>
      <c r="G51" s="324"/>
      <c r="H51" s="324"/>
      <c r="I51" s="145"/>
      <c r="J51" s="324"/>
      <c r="K51" s="325"/>
      <c r="L51" s="145"/>
      <c r="M51" s="324"/>
      <c r="N51" s="326"/>
      <c r="O51" s="145"/>
      <c r="P51" s="324"/>
      <c r="Q51" s="327"/>
      <c r="R51" s="292"/>
      <c r="S51" s="292"/>
    </row>
    <row r="52" spans="2:19" s="13" customFormat="1" ht="14.25" x14ac:dyDescent="0.2">
      <c r="B52" s="109" t="s">
        <v>57</v>
      </c>
    </row>
  </sheetData>
  <mergeCells count="9">
    <mergeCell ref="B5:N5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B75564D4-B7B1-4938-8018-01ABE521DBC2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038C-A5EC-4827-B96C-C21C289F495A}">
  <dimension ref="B1:S49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345" customWidth="1"/>
    <col min="2" max="2" width="24.28515625" style="345" customWidth="1"/>
    <col min="3" max="3" width="0.85546875" style="369" customWidth="1"/>
    <col min="4" max="4" width="18.7109375" style="375" customWidth="1"/>
    <col min="5" max="5" width="1.7109375" style="375" customWidth="1"/>
    <col min="6" max="6" width="12.7109375" style="375" customWidth="1"/>
    <col min="7" max="7" width="12.7109375" style="376" customWidth="1"/>
    <col min="8" max="8" width="1.7109375" style="375" customWidth="1"/>
    <col min="9" max="9" width="12.7109375" style="375" customWidth="1"/>
    <col min="10" max="10" width="12.7109375" style="376" customWidth="1"/>
    <col min="11" max="11" width="1.7109375" style="375" customWidth="1"/>
    <col min="12" max="12" width="12.7109375" style="375" customWidth="1"/>
    <col min="13" max="13" width="12.7109375" style="376" customWidth="1"/>
    <col min="14" max="14" width="1.7109375" style="375" customWidth="1"/>
    <col min="15" max="15" width="12.7109375" style="345" customWidth="1"/>
    <col min="16" max="16" width="12.7109375" style="377" customWidth="1"/>
    <col min="17" max="16384" width="11.42578125" style="345"/>
  </cols>
  <sheetData>
    <row r="1" spans="2:19" s="337" customFormat="1" ht="12" customHeight="1" x14ac:dyDescent="0.2">
      <c r="B1" s="639" t="s">
        <v>202</v>
      </c>
      <c r="D1" s="338"/>
      <c r="E1" s="338"/>
      <c r="F1" s="338"/>
      <c r="G1" s="338"/>
      <c r="H1" s="338"/>
      <c r="I1" s="338"/>
      <c r="K1" s="338"/>
      <c r="L1" s="338"/>
      <c r="M1" s="338"/>
      <c r="N1" s="338"/>
      <c r="P1" s="72" t="s">
        <v>151</v>
      </c>
    </row>
    <row r="2" spans="2:19" s="337" customFormat="1" ht="6.95" customHeight="1" x14ac:dyDescent="0.2">
      <c r="B2" s="639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</row>
    <row r="3" spans="2:19" s="337" customFormat="1" ht="15" customHeight="1" x14ac:dyDescent="0.2">
      <c r="B3" s="639" t="s">
        <v>199</v>
      </c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</row>
    <row r="4" spans="2:19" s="337" customFormat="1" ht="6.95" customHeight="1" x14ac:dyDescent="0.2">
      <c r="C4" s="339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</row>
    <row r="5" spans="2:19" s="337" customFormat="1" ht="25.5" customHeight="1" x14ac:dyDescent="0.2">
      <c r="B5" s="696" t="s">
        <v>154</v>
      </c>
      <c r="C5" s="696"/>
      <c r="D5" s="696"/>
      <c r="E5" s="696"/>
      <c r="F5" s="696"/>
      <c r="G5" s="696"/>
      <c r="H5" s="696"/>
      <c r="I5" s="696"/>
      <c r="J5" s="696"/>
      <c r="K5" s="696"/>
      <c r="L5" s="696"/>
      <c r="M5" s="696"/>
      <c r="N5" s="696"/>
      <c r="O5" s="340"/>
      <c r="P5" s="71" t="s">
        <v>113</v>
      </c>
    </row>
    <row r="6" spans="2:19" ht="6" customHeight="1" x14ac:dyDescent="0.25">
      <c r="B6" s="341"/>
      <c r="C6" s="342"/>
      <c r="D6" s="343"/>
      <c r="E6" s="343"/>
      <c r="F6" s="343"/>
      <c r="G6" s="343"/>
      <c r="H6" s="343"/>
      <c r="I6" s="343"/>
      <c r="J6" s="343"/>
      <c r="K6" s="343"/>
      <c r="L6" s="343"/>
      <c r="M6" s="343"/>
      <c r="N6" s="343"/>
      <c r="O6" s="344"/>
      <c r="P6" s="344"/>
    </row>
    <row r="7" spans="2:19" ht="15" customHeight="1" x14ac:dyDescent="0.25">
      <c r="B7" s="681" t="s">
        <v>76</v>
      </c>
      <c r="C7" s="681"/>
      <c r="D7" s="697" t="s">
        <v>108</v>
      </c>
      <c r="E7" s="346"/>
      <c r="F7" s="700" t="s">
        <v>40</v>
      </c>
      <c r="G7" s="700"/>
      <c r="H7" s="700"/>
      <c r="I7" s="700"/>
      <c r="J7" s="700"/>
      <c r="K7" s="700"/>
      <c r="L7" s="700"/>
      <c r="M7" s="700"/>
      <c r="N7" s="700"/>
      <c r="O7" s="700"/>
      <c r="P7" s="700"/>
    </row>
    <row r="8" spans="2:19" ht="24.75" customHeight="1" x14ac:dyDescent="0.25">
      <c r="B8" s="682"/>
      <c r="C8" s="682"/>
      <c r="D8" s="698"/>
      <c r="E8" s="347"/>
      <c r="F8" s="701" t="s">
        <v>41</v>
      </c>
      <c r="G8" s="701"/>
      <c r="H8" s="348"/>
      <c r="I8" s="701" t="s">
        <v>42</v>
      </c>
      <c r="J8" s="701"/>
      <c r="K8" s="348"/>
      <c r="L8" s="701" t="s">
        <v>128</v>
      </c>
      <c r="M8" s="701"/>
      <c r="N8" s="349"/>
      <c r="O8" s="701" t="s">
        <v>43</v>
      </c>
      <c r="P8" s="701"/>
    </row>
    <row r="9" spans="2:19" x14ac:dyDescent="0.25">
      <c r="B9" s="683"/>
      <c r="C9" s="683"/>
      <c r="D9" s="699"/>
      <c r="E9" s="350"/>
      <c r="F9" s="351" t="s">
        <v>0</v>
      </c>
      <c r="G9" s="351" t="s">
        <v>1</v>
      </c>
      <c r="H9" s="351"/>
      <c r="I9" s="351" t="s">
        <v>0</v>
      </c>
      <c r="J9" s="351" t="s">
        <v>1</v>
      </c>
      <c r="K9" s="352"/>
      <c r="L9" s="351" t="s">
        <v>0</v>
      </c>
      <c r="M9" s="351" t="s">
        <v>1</v>
      </c>
      <c r="N9" s="352"/>
      <c r="O9" s="351" t="s">
        <v>0</v>
      </c>
      <c r="P9" s="351" t="s">
        <v>1</v>
      </c>
    </row>
    <row r="10" spans="2:19" ht="6" customHeight="1" x14ac:dyDescent="0.25">
      <c r="B10" s="10"/>
      <c r="C10" s="353"/>
      <c r="D10" s="354"/>
      <c r="E10" s="354"/>
      <c r="F10" s="355"/>
      <c r="G10" s="355"/>
      <c r="H10" s="355"/>
      <c r="I10" s="355"/>
      <c r="J10" s="355"/>
      <c r="K10" s="355"/>
      <c r="L10" s="355"/>
      <c r="M10" s="355"/>
      <c r="N10" s="356"/>
      <c r="O10" s="356"/>
      <c r="P10" s="356"/>
    </row>
    <row r="11" spans="2:19" s="357" customFormat="1" ht="11.25" x14ac:dyDescent="0.2">
      <c r="B11" s="96" t="s">
        <v>2</v>
      </c>
      <c r="D11" s="334">
        <v>35389.533301433599</v>
      </c>
      <c r="E11" s="87"/>
      <c r="F11" s="334">
        <v>29857.128421402402</v>
      </c>
      <c r="G11" s="334">
        <v>0.96945683709999997</v>
      </c>
      <c r="H11" s="87"/>
      <c r="I11" s="334">
        <v>22513.008480832301</v>
      </c>
      <c r="J11" s="334">
        <v>0.77043318459999999</v>
      </c>
      <c r="K11" s="87"/>
      <c r="L11" s="334">
        <v>27487.220028156498</v>
      </c>
      <c r="M11" s="334">
        <v>0.91296084290000001</v>
      </c>
      <c r="N11" s="87"/>
      <c r="O11" s="334">
        <v>16923.128544748601</v>
      </c>
      <c r="P11" s="334">
        <v>0.59765875540000002</v>
      </c>
    </row>
    <row r="12" spans="2:19" s="358" customFormat="1" ht="6" customHeight="1" x14ac:dyDescent="0.2">
      <c r="B12" s="96"/>
      <c r="D12" s="89"/>
      <c r="E12" s="89"/>
      <c r="F12" s="89"/>
      <c r="G12" s="309"/>
      <c r="H12" s="89"/>
      <c r="I12" s="89"/>
      <c r="J12" s="309"/>
      <c r="K12" s="89"/>
      <c r="L12" s="89"/>
      <c r="M12" s="309"/>
      <c r="N12" s="89"/>
      <c r="O12" s="89"/>
      <c r="P12" s="309"/>
    </row>
    <row r="13" spans="2:19" s="358" customFormat="1" ht="12.75" customHeight="1" x14ac:dyDescent="0.2">
      <c r="B13" s="95" t="s">
        <v>3</v>
      </c>
      <c r="C13" s="359"/>
      <c r="D13" s="279">
        <v>2080.6618581107</v>
      </c>
      <c r="E13" s="89"/>
      <c r="F13" s="279">
        <v>2170.2659011409</v>
      </c>
      <c r="G13" s="279">
        <v>3.6257363785000001</v>
      </c>
      <c r="H13" s="89"/>
      <c r="I13" s="279">
        <v>1252.8960752089999</v>
      </c>
      <c r="J13" s="279">
        <v>2.6973644361</v>
      </c>
      <c r="K13" s="89"/>
      <c r="L13" s="279">
        <v>1149.0583536313</v>
      </c>
      <c r="M13" s="279">
        <v>2.3972358969999998</v>
      </c>
      <c r="N13" s="89"/>
      <c r="O13" s="279">
        <v>1375.9903153328</v>
      </c>
      <c r="P13" s="279">
        <v>2.8028480531</v>
      </c>
    </row>
    <row r="14" spans="2:19" s="358" customFormat="1" ht="12.75" customHeight="1" x14ac:dyDescent="0.2">
      <c r="B14" s="95" t="s">
        <v>4</v>
      </c>
      <c r="C14" s="359"/>
      <c r="D14" s="279">
        <v>6205.0470532730997</v>
      </c>
      <c r="E14" s="89"/>
      <c r="F14" s="279">
        <v>5513.1167571326996</v>
      </c>
      <c r="G14" s="279">
        <v>4.1017152775000003</v>
      </c>
      <c r="H14" s="89"/>
      <c r="I14" s="279">
        <v>4749.3596939774998</v>
      </c>
      <c r="J14" s="279">
        <v>3.9861263129000002</v>
      </c>
      <c r="K14" s="89"/>
      <c r="L14" s="279">
        <v>3670.0304191896998</v>
      </c>
      <c r="M14" s="279">
        <v>3.1299156129000001</v>
      </c>
      <c r="N14" s="89"/>
      <c r="O14" s="279">
        <v>3285.4043586748999</v>
      </c>
      <c r="P14" s="279">
        <v>2.7863708011999999</v>
      </c>
    </row>
    <row r="15" spans="2:19" s="358" customFormat="1" ht="12.75" customHeight="1" x14ac:dyDescent="0.2">
      <c r="B15" s="95" t="s">
        <v>5</v>
      </c>
      <c r="C15" s="359"/>
      <c r="D15" s="279">
        <v>1475.9625279483</v>
      </c>
      <c r="E15" s="89"/>
      <c r="F15" s="279">
        <v>1162.2680869036999</v>
      </c>
      <c r="G15" s="279">
        <v>4.2895967008999998</v>
      </c>
      <c r="H15" s="89"/>
      <c r="I15" s="279">
        <v>1021.9064735269</v>
      </c>
      <c r="J15" s="279">
        <v>4.0799778647</v>
      </c>
      <c r="K15" s="89"/>
      <c r="L15" s="279">
        <v>875.3866127901</v>
      </c>
      <c r="M15" s="279">
        <v>3.9485836538000001</v>
      </c>
      <c r="N15" s="89"/>
      <c r="O15" s="279">
        <v>663.11286183610002</v>
      </c>
      <c r="P15" s="279">
        <v>2.9214722599999998</v>
      </c>
    </row>
    <row r="16" spans="2:19" s="358" customFormat="1" ht="12.75" customHeight="1" x14ac:dyDescent="0.2">
      <c r="B16" s="95" t="s">
        <v>6</v>
      </c>
      <c r="C16" s="359"/>
      <c r="D16" s="279">
        <v>1210.4592467523</v>
      </c>
      <c r="E16" s="360"/>
      <c r="F16" s="279">
        <v>835.21960104439995</v>
      </c>
      <c r="G16" s="378">
        <v>4.0227971158000004</v>
      </c>
      <c r="H16" s="360"/>
      <c r="I16" s="279">
        <v>659.23879102149999</v>
      </c>
      <c r="J16" s="378">
        <v>3.1536886166999998</v>
      </c>
      <c r="K16" s="361"/>
      <c r="L16" s="279">
        <v>1239.4627981460001</v>
      </c>
      <c r="M16" s="378">
        <v>4.8807699317999997</v>
      </c>
      <c r="N16" s="362"/>
      <c r="O16" s="279">
        <v>729.26254335650003</v>
      </c>
      <c r="P16" s="378">
        <v>3.4345866551999999</v>
      </c>
    </row>
    <row r="17" spans="2:16" s="358" customFormat="1" ht="12.75" customHeight="1" x14ac:dyDescent="0.2">
      <c r="B17" s="95" t="s">
        <v>7</v>
      </c>
      <c r="C17" s="359"/>
      <c r="D17" s="279">
        <v>4510.6752510282004</v>
      </c>
      <c r="E17" s="360"/>
      <c r="F17" s="279">
        <v>3754.0592157340998</v>
      </c>
      <c r="G17" s="378">
        <v>4.9226568340999997</v>
      </c>
      <c r="H17" s="360"/>
      <c r="I17" s="279">
        <v>4099.4160189506001</v>
      </c>
      <c r="J17" s="378">
        <v>4.8078096134999999</v>
      </c>
      <c r="K17" s="361"/>
      <c r="L17" s="279">
        <v>2559.8591758142002</v>
      </c>
      <c r="M17" s="378">
        <v>3.0931963495999999</v>
      </c>
      <c r="N17" s="362"/>
      <c r="O17" s="279">
        <v>2211.6246667702999</v>
      </c>
      <c r="P17" s="378">
        <v>2.9301153468000001</v>
      </c>
    </row>
    <row r="18" spans="2:16" s="358" customFormat="1" ht="12.75" customHeight="1" x14ac:dyDescent="0.2">
      <c r="B18" s="95" t="s">
        <v>8</v>
      </c>
      <c r="C18" s="359"/>
      <c r="D18" s="279">
        <v>1739.9265267776</v>
      </c>
      <c r="E18" s="360"/>
      <c r="F18" s="279">
        <v>1637.1239214739001</v>
      </c>
      <c r="G18" s="378">
        <v>4.1526004107999999</v>
      </c>
      <c r="H18" s="360"/>
      <c r="I18" s="279">
        <v>905.81239108789998</v>
      </c>
      <c r="J18" s="378">
        <v>3.2834133021</v>
      </c>
      <c r="K18" s="361"/>
      <c r="L18" s="279">
        <v>899.58014174139998</v>
      </c>
      <c r="M18" s="378">
        <v>3.3876200292999998</v>
      </c>
      <c r="N18" s="362"/>
      <c r="O18" s="279">
        <v>539.14409085620002</v>
      </c>
      <c r="P18" s="378">
        <v>2.0824707375</v>
      </c>
    </row>
    <row r="19" spans="2:16" s="358" customFormat="1" ht="12.75" customHeight="1" x14ac:dyDescent="0.2">
      <c r="B19" s="95" t="s">
        <v>9</v>
      </c>
      <c r="C19" s="359"/>
      <c r="D19" s="279">
        <v>7119.9463858091003</v>
      </c>
      <c r="E19" s="360"/>
      <c r="F19" s="279">
        <v>3842.3887225576</v>
      </c>
      <c r="G19" s="378">
        <v>4.8591474104000003</v>
      </c>
      <c r="H19" s="360"/>
      <c r="I19" s="279">
        <v>3070.9141496118</v>
      </c>
      <c r="J19" s="378">
        <v>4.1884911186</v>
      </c>
      <c r="K19" s="361"/>
      <c r="L19" s="279">
        <v>4941.012265497</v>
      </c>
      <c r="M19" s="378">
        <v>5.1290614436000004</v>
      </c>
      <c r="N19" s="362"/>
      <c r="O19" s="279">
        <v>3911.7973083760999</v>
      </c>
      <c r="P19" s="378">
        <v>4.9744892942999996</v>
      </c>
    </row>
    <row r="20" spans="2:16" s="358" customFormat="1" ht="12.75" customHeight="1" x14ac:dyDescent="0.2">
      <c r="B20" s="95" t="s">
        <v>10</v>
      </c>
      <c r="C20" s="359"/>
      <c r="D20" s="279">
        <v>3708.0028280094002</v>
      </c>
      <c r="E20" s="360"/>
      <c r="F20" s="279">
        <v>4441.3347165624</v>
      </c>
      <c r="G20" s="378">
        <v>4.5852961252000002</v>
      </c>
      <c r="H20" s="360"/>
      <c r="I20" s="279">
        <v>4008.7548915361999</v>
      </c>
      <c r="J20" s="378">
        <v>4.2580369027999998</v>
      </c>
      <c r="K20" s="361"/>
      <c r="L20" s="279">
        <v>3024.1190387340998</v>
      </c>
      <c r="M20" s="378">
        <v>3.2369177143000001</v>
      </c>
      <c r="N20" s="362"/>
      <c r="O20" s="279">
        <v>3066.0398929237999</v>
      </c>
      <c r="P20" s="378">
        <v>3.2922251026999998</v>
      </c>
    </row>
    <row r="21" spans="2:16" s="358" customFormat="1" ht="12.75" customHeight="1" x14ac:dyDescent="0.2">
      <c r="B21" s="95" t="s">
        <v>11</v>
      </c>
      <c r="C21" s="359"/>
      <c r="D21" s="279">
        <v>9441.1636455700009</v>
      </c>
      <c r="E21" s="360"/>
      <c r="F21" s="279">
        <v>10880.725105341</v>
      </c>
      <c r="G21" s="378">
        <v>5.0884926069</v>
      </c>
      <c r="H21" s="360"/>
      <c r="I21" s="279">
        <v>8692.7707828234998</v>
      </c>
      <c r="J21" s="378">
        <v>4.3468519378000003</v>
      </c>
      <c r="K21" s="361"/>
      <c r="L21" s="279">
        <v>7504.9613251779001</v>
      </c>
      <c r="M21" s="378">
        <v>3.7896354433999999</v>
      </c>
      <c r="N21" s="362"/>
      <c r="O21" s="279">
        <v>3647.0417575612</v>
      </c>
      <c r="P21" s="378">
        <v>1.8776948575000001</v>
      </c>
    </row>
    <row r="22" spans="2:16" s="358" customFormat="1" ht="12.75" customHeight="1" x14ac:dyDescent="0.2">
      <c r="B22" s="95" t="s">
        <v>12</v>
      </c>
      <c r="C22" s="359"/>
      <c r="D22" s="279">
        <v>2679.8635192955999</v>
      </c>
      <c r="E22" s="360"/>
      <c r="F22" s="279">
        <v>2434.2057346823999</v>
      </c>
      <c r="G22" s="378">
        <v>4.4033926129000003</v>
      </c>
      <c r="H22" s="360"/>
      <c r="I22" s="279">
        <v>1481.0879957208001</v>
      </c>
      <c r="J22" s="378">
        <v>3.1342290350000002</v>
      </c>
      <c r="K22" s="361"/>
      <c r="L22" s="279">
        <v>2270.0886804000002</v>
      </c>
      <c r="M22" s="378">
        <v>4.0934367026</v>
      </c>
      <c r="N22" s="362"/>
      <c r="O22" s="279">
        <v>1124.1665098553001</v>
      </c>
      <c r="P22" s="378">
        <v>2.4041589990999999</v>
      </c>
    </row>
    <row r="23" spans="2:16" s="358" customFormat="1" ht="12.75" customHeight="1" x14ac:dyDescent="0.2">
      <c r="B23" s="95" t="s">
        <v>13</v>
      </c>
      <c r="C23" s="359"/>
      <c r="D23" s="279">
        <v>6083.5762575119998</v>
      </c>
      <c r="E23" s="360"/>
      <c r="F23" s="279">
        <v>5511.1135874042002</v>
      </c>
      <c r="G23" s="378">
        <v>4.5120877291000001</v>
      </c>
      <c r="H23" s="360"/>
      <c r="I23" s="279">
        <v>4064.9836255501</v>
      </c>
      <c r="J23" s="378">
        <v>3.4479845386000001</v>
      </c>
      <c r="K23" s="361"/>
      <c r="L23" s="279">
        <v>3913.6123588988999</v>
      </c>
      <c r="M23" s="378">
        <v>3.5277329323000002</v>
      </c>
      <c r="N23" s="362"/>
      <c r="O23" s="279">
        <v>2720.9790517384999</v>
      </c>
      <c r="P23" s="378">
        <v>2.4888116486</v>
      </c>
    </row>
    <row r="24" spans="2:16" s="358" customFormat="1" ht="12.75" customHeight="1" x14ac:dyDescent="0.2">
      <c r="B24" s="95" t="s">
        <v>14</v>
      </c>
      <c r="C24" s="359"/>
      <c r="D24" s="279">
        <v>3197.3289737946002</v>
      </c>
      <c r="E24" s="360"/>
      <c r="F24" s="279">
        <v>1664.9345772933</v>
      </c>
      <c r="G24" s="378">
        <v>3.4043028800999999</v>
      </c>
      <c r="H24" s="360"/>
      <c r="I24" s="279">
        <v>1837.1180038309999</v>
      </c>
      <c r="J24" s="378">
        <v>3.6180865572999998</v>
      </c>
      <c r="K24" s="361"/>
      <c r="L24" s="279">
        <v>3178.1127838179</v>
      </c>
      <c r="M24" s="378">
        <v>4.7560302905</v>
      </c>
      <c r="N24" s="362"/>
      <c r="O24" s="279">
        <v>2249.6661485651998</v>
      </c>
      <c r="P24" s="378">
        <v>4.1588002152000003</v>
      </c>
    </row>
    <row r="25" spans="2:16" s="358" customFormat="1" ht="12.75" customHeight="1" x14ac:dyDescent="0.2">
      <c r="B25" s="95" t="s">
        <v>15</v>
      </c>
      <c r="C25" s="359"/>
      <c r="D25" s="279">
        <v>3321.5400839618001</v>
      </c>
      <c r="E25" s="360"/>
      <c r="F25" s="279">
        <v>2891.7442997674998</v>
      </c>
      <c r="G25" s="378">
        <v>5.5184689556000004</v>
      </c>
      <c r="H25" s="360"/>
      <c r="I25" s="279">
        <v>1678.7316262631</v>
      </c>
      <c r="J25" s="378">
        <v>3.4748809572999999</v>
      </c>
      <c r="K25" s="361"/>
      <c r="L25" s="279">
        <v>2815.6994214131</v>
      </c>
      <c r="M25" s="378">
        <v>5.3358429172999999</v>
      </c>
      <c r="N25" s="362"/>
      <c r="O25" s="279">
        <v>1440.5853748467</v>
      </c>
      <c r="P25" s="378">
        <v>3.0814246578</v>
      </c>
    </row>
    <row r="26" spans="2:16" s="358" customFormat="1" ht="12.75" customHeight="1" x14ac:dyDescent="0.2">
      <c r="B26" s="95" t="s">
        <v>16</v>
      </c>
      <c r="C26" s="359"/>
      <c r="D26" s="279">
        <v>13753.0530024039</v>
      </c>
      <c r="E26" s="360"/>
      <c r="F26" s="279">
        <v>13149.235068636001</v>
      </c>
      <c r="G26" s="378">
        <v>3.9928578483999999</v>
      </c>
      <c r="H26" s="360"/>
      <c r="I26" s="279">
        <v>8189.3786706342999</v>
      </c>
      <c r="J26" s="378">
        <v>2.5002088863999998</v>
      </c>
      <c r="K26" s="361"/>
      <c r="L26" s="279">
        <v>10122.361409659699</v>
      </c>
      <c r="M26" s="378">
        <v>3.2303697310000001</v>
      </c>
      <c r="N26" s="362"/>
      <c r="O26" s="279">
        <v>5757.5701288073997</v>
      </c>
      <c r="P26" s="378">
        <v>1.9768536072</v>
      </c>
    </row>
    <row r="27" spans="2:16" s="358" customFormat="1" ht="12.75" customHeight="1" x14ac:dyDescent="0.2">
      <c r="B27" s="95" t="s">
        <v>17</v>
      </c>
      <c r="C27" s="359"/>
      <c r="D27" s="279">
        <v>14957.490784076601</v>
      </c>
      <c r="E27" s="360"/>
      <c r="F27" s="279">
        <v>12625.619569998</v>
      </c>
      <c r="G27" s="378">
        <v>5.4789464153000003</v>
      </c>
      <c r="H27" s="360"/>
      <c r="I27" s="279">
        <v>11169.9508531389</v>
      </c>
      <c r="J27" s="378">
        <v>4.9216410408</v>
      </c>
      <c r="K27" s="361"/>
      <c r="L27" s="279">
        <v>15727.8879200839</v>
      </c>
      <c r="M27" s="378">
        <v>6.2236858311000001</v>
      </c>
      <c r="N27" s="362"/>
      <c r="O27" s="279">
        <v>8452.6413156199997</v>
      </c>
      <c r="P27" s="378">
        <v>3.8072033016</v>
      </c>
    </row>
    <row r="28" spans="2:16" s="358" customFormat="1" ht="12.75" customHeight="1" x14ac:dyDescent="0.2">
      <c r="B28" s="95" t="s">
        <v>18</v>
      </c>
      <c r="C28" s="359"/>
      <c r="D28" s="279">
        <v>8595.0909068524998</v>
      </c>
      <c r="E28" s="360"/>
      <c r="F28" s="279">
        <v>5091.6405640356998</v>
      </c>
      <c r="G28" s="378">
        <v>4.2017845497000001</v>
      </c>
      <c r="H28" s="360"/>
      <c r="I28" s="279">
        <v>3264.1142359142</v>
      </c>
      <c r="J28" s="378">
        <v>2.9263667432</v>
      </c>
      <c r="K28" s="361"/>
      <c r="L28" s="279">
        <v>5000.3028501419003</v>
      </c>
      <c r="M28" s="378">
        <v>4.1537752742</v>
      </c>
      <c r="N28" s="362"/>
      <c r="O28" s="279">
        <v>2625.5586072300998</v>
      </c>
      <c r="P28" s="378">
        <v>2.6155673472999998</v>
      </c>
    </row>
    <row r="29" spans="2:16" s="358" customFormat="1" ht="12.75" customHeight="1" x14ac:dyDescent="0.2">
      <c r="B29" s="95" t="s">
        <v>19</v>
      </c>
      <c r="C29" s="359"/>
      <c r="D29" s="279">
        <v>1688.0708367837999</v>
      </c>
      <c r="E29" s="360"/>
      <c r="F29" s="279">
        <v>1475.2285472654</v>
      </c>
      <c r="G29" s="378">
        <v>5.2196236713999999</v>
      </c>
      <c r="H29" s="360"/>
      <c r="I29" s="279">
        <v>820.3756456648</v>
      </c>
      <c r="J29" s="378">
        <v>3.1543997070000001</v>
      </c>
      <c r="K29" s="361"/>
      <c r="L29" s="279">
        <v>1863.8572727902999</v>
      </c>
      <c r="M29" s="378">
        <v>5.9695264104000003</v>
      </c>
      <c r="N29" s="362"/>
      <c r="O29" s="279">
        <v>923.75012855210002</v>
      </c>
      <c r="P29" s="378">
        <v>3.4334094420999999</v>
      </c>
    </row>
    <row r="30" spans="2:16" s="358" customFormat="1" ht="12.75" customHeight="1" x14ac:dyDescent="0.2">
      <c r="B30" s="95" t="s">
        <v>20</v>
      </c>
      <c r="C30" s="359"/>
      <c r="D30" s="279">
        <v>2887.4391531567999</v>
      </c>
      <c r="E30" s="360"/>
      <c r="F30" s="279">
        <v>1994.6125966697</v>
      </c>
      <c r="G30" s="378">
        <v>3.5283482048999999</v>
      </c>
      <c r="H30" s="360"/>
      <c r="I30" s="279">
        <v>1441.1192059496</v>
      </c>
      <c r="J30" s="378">
        <v>3.0366980796999998</v>
      </c>
      <c r="K30" s="361"/>
      <c r="L30" s="279">
        <v>1537.2191560212</v>
      </c>
      <c r="M30" s="378">
        <v>3.9256565129999998</v>
      </c>
      <c r="N30" s="362"/>
      <c r="O30" s="279">
        <v>1187.157334061</v>
      </c>
      <c r="P30" s="378">
        <v>2.9439005836000001</v>
      </c>
    </row>
    <row r="31" spans="2:16" s="358" customFormat="1" ht="12.75" customHeight="1" x14ac:dyDescent="0.2">
      <c r="B31" s="95" t="s">
        <v>21</v>
      </c>
      <c r="C31" s="359"/>
      <c r="D31" s="279">
        <v>10000.8140926499</v>
      </c>
      <c r="E31" s="360"/>
      <c r="F31" s="279">
        <v>8811.6318939598004</v>
      </c>
      <c r="G31" s="378">
        <v>3.5113309442</v>
      </c>
      <c r="H31" s="360"/>
      <c r="I31" s="279">
        <v>5152.0825187362998</v>
      </c>
      <c r="J31" s="378">
        <v>2.2936065494000002</v>
      </c>
      <c r="K31" s="361"/>
      <c r="L31" s="279">
        <v>7002.6185432101001</v>
      </c>
      <c r="M31" s="378">
        <v>3.1322343675000002</v>
      </c>
      <c r="N31" s="362"/>
      <c r="O31" s="279">
        <v>3489.9571720151998</v>
      </c>
      <c r="P31" s="378">
        <v>1.5989711606999999</v>
      </c>
    </row>
    <row r="32" spans="2:16" s="358" customFormat="1" ht="12.75" customHeight="1" x14ac:dyDescent="0.2">
      <c r="B32" s="95" t="s">
        <v>22</v>
      </c>
      <c r="C32" s="359"/>
      <c r="D32" s="279">
        <v>6380.8979534733999</v>
      </c>
      <c r="E32" s="360"/>
      <c r="F32" s="279">
        <v>1899.6730796439001</v>
      </c>
      <c r="G32" s="378">
        <v>2.5023677096000001</v>
      </c>
      <c r="H32" s="360"/>
      <c r="I32" s="279">
        <v>3153.7048672331998</v>
      </c>
      <c r="J32" s="378">
        <v>3.925595993</v>
      </c>
      <c r="K32" s="361"/>
      <c r="L32" s="279">
        <v>4780.8672916748001</v>
      </c>
      <c r="M32" s="378">
        <v>4.1523590213999997</v>
      </c>
      <c r="N32" s="362"/>
      <c r="O32" s="279">
        <v>2702.0333084549002</v>
      </c>
      <c r="P32" s="378">
        <v>3.2665467939999999</v>
      </c>
    </row>
    <row r="33" spans="2:16" s="358" customFormat="1" ht="12.75" customHeight="1" x14ac:dyDescent="0.2">
      <c r="B33" s="95" t="s">
        <v>23</v>
      </c>
      <c r="C33" s="359"/>
      <c r="D33" s="279">
        <v>4612.5792870677997</v>
      </c>
      <c r="E33" s="360"/>
      <c r="F33" s="279">
        <v>3767.6173998689001</v>
      </c>
      <c r="G33" s="378">
        <v>4.8141524628000001</v>
      </c>
      <c r="H33" s="360"/>
      <c r="I33" s="279">
        <v>2854.6898120596002</v>
      </c>
      <c r="J33" s="378">
        <v>3.6020675994000002</v>
      </c>
      <c r="K33" s="361"/>
      <c r="L33" s="279">
        <v>4436.674740163</v>
      </c>
      <c r="M33" s="378">
        <v>5.5453123321</v>
      </c>
      <c r="N33" s="362"/>
      <c r="O33" s="279">
        <v>3957.5207468234998</v>
      </c>
      <c r="P33" s="378">
        <v>4.8778991740000004</v>
      </c>
    </row>
    <row r="34" spans="2:16" s="358" customFormat="1" ht="12.75" customHeight="1" x14ac:dyDescent="0.2">
      <c r="B34" s="95" t="s">
        <v>24</v>
      </c>
      <c r="C34" s="359"/>
      <c r="D34" s="279">
        <v>6674.5021808894999</v>
      </c>
      <c r="E34" s="360"/>
      <c r="F34" s="279">
        <v>5247.0480012082999</v>
      </c>
      <c r="G34" s="378">
        <v>3.9721153775000002</v>
      </c>
      <c r="H34" s="360"/>
      <c r="I34" s="279">
        <v>1690.4973659975001</v>
      </c>
      <c r="J34" s="378">
        <v>2.5041836310000001</v>
      </c>
      <c r="K34" s="361"/>
      <c r="L34" s="279">
        <v>2739.7854798134999</v>
      </c>
      <c r="M34" s="378">
        <v>4.0048569765000002</v>
      </c>
      <c r="N34" s="362"/>
      <c r="O34" s="279">
        <v>2277.550443398</v>
      </c>
      <c r="P34" s="378">
        <v>2.6832746432999999</v>
      </c>
    </row>
    <row r="35" spans="2:16" s="358" customFormat="1" ht="12.75" customHeight="1" x14ac:dyDescent="0.2">
      <c r="B35" s="95" t="s">
        <v>25</v>
      </c>
      <c r="C35" s="359"/>
      <c r="D35" s="279">
        <v>2945.8123467055002</v>
      </c>
      <c r="E35" s="360"/>
      <c r="F35" s="279">
        <v>2384.6705568399002</v>
      </c>
      <c r="G35" s="378">
        <v>4.3337074365000001</v>
      </c>
      <c r="H35" s="360"/>
      <c r="I35" s="279">
        <v>1434.6623666815999</v>
      </c>
      <c r="J35" s="378">
        <v>2.5747806661000001</v>
      </c>
      <c r="K35" s="361"/>
      <c r="L35" s="279">
        <v>2893.0755753581998</v>
      </c>
      <c r="M35" s="378">
        <v>4.3921967748000004</v>
      </c>
      <c r="N35" s="362"/>
      <c r="O35" s="279">
        <v>1168.0764356513</v>
      </c>
      <c r="P35" s="378">
        <v>2.1495064222</v>
      </c>
    </row>
    <row r="36" spans="2:16" s="358" customFormat="1" ht="12.75" customHeight="1" x14ac:dyDescent="0.2">
      <c r="B36" s="95" t="s">
        <v>26</v>
      </c>
      <c r="C36" s="359"/>
      <c r="D36" s="279">
        <v>2570.7326840976998</v>
      </c>
      <c r="E36" s="360"/>
      <c r="F36" s="279">
        <v>2579.8838192510002</v>
      </c>
      <c r="G36" s="378">
        <v>4.5149541118999998</v>
      </c>
      <c r="H36" s="360"/>
      <c r="I36" s="279">
        <v>1936.1618754234</v>
      </c>
      <c r="J36" s="378">
        <v>3.7423748277</v>
      </c>
      <c r="K36" s="361"/>
      <c r="L36" s="279">
        <v>2521.2122845613999</v>
      </c>
      <c r="M36" s="378">
        <v>4.1935077448999998</v>
      </c>
      <c r="N36" s="362"/>
      <c r="O36" s="279">
        <v>1254.4592859077</v>
      </c>
      <c r="P36" s="378">
        <v>2.2391194417000002</v>
      </c>
    </row>
    <row r="37" spans="2:16" s="358" customFormat="1" ht="12.75" customHeight="1" x14ac:dyDescent="0.2">
      <c r="B37" s="95" t="s">
        <v>27</v>
      </c>
      <c r="C37" s="359"/>
      <c r="D37" s="279">
        <v>3309.1428382409999</v>
      </c>
      <c r="E37" s="360"/>
      <c r="F37" s="279">
        <v>3699.2281822332002</v>
      </c>
      <c r="G37" s="378">
        <v>4.2709547718999996</v>
      </c>
      <c r="H37" s="360"/>
      <c r="I37" s="279">
        <v>2235.9254166843998</v>
      </c>
      <c r="J37" s="378">
        <v>3.227023312</v>
      </c>
      <c r="K37" s="361"/>
      <c r="L37" s="279">
        <v>1854.5566855720999</v>
      </c>
      <c r="M37" s="378">
        <v>3.0158976016999999</v>
      </c>
      <c r="N37" s="362"/>
      <c r="O37" s="279">
        <v>1695.8048236751999</v>
      </c>
      <c r="P37" s="378">
        <v>2.5578186889999999</v>
      </c>
    </row>
    <row r="38" spans="2:16" s="358" customFormat="1" ht="12.75" customHeight="1" x14ac:dyDescent="0.2">
      <c r="B38" s="95" t="s">
        <v>28</v>
      </c>
      <c r="C38" s="359"/>
      <c r="D38" s="279">
        <v>6316.5770537108001</v>
      </c>
      <c r="E38" s="360"/>
      <c r="F38" s="279">
        <v>4580.0134749354002</v>
      </c>
      <c r="G38" s="378">
        <v>3.1825523751000002</v>
      </c>
      <c r="H38" s="360"/>
      <c r="I38" s="279">
        <v>3591.1437444899998</v>
      </c>
      <c r="J38" s="378">
        <v>2.8053420073000002</v>
      </c>
      <c r="K38" s="361"/>
      <c r="L38" s="279">
        <v>3407.2069774964002</v>
      </c>
      <c r="M38" s="378">
        <v>2.6042894748999998</v>
      </c>
      <c r="N38" s="362"/>
      <c r="O38" s="279">
        <v>2659.1260860791999</v>
      </c>
      <c r="P38" s="378">
        <v>2.0492720386999999</v>
      </c>
    </row>
    <row r="39" spans="2:16" s="358" customFormat="1" ht="12.75" customHeight="1" x14ac:dyDescent="0.2">
      <c r="B39" s="95" t="s">
        <v>29</v>
      </c>
      <c r="C39" s="359"/>
      <c r="D39" s="279">
        <v>4247.9733525112997</v>
      </c>
      <c r="E39" s="360"/>
      <c r="F39" s="279">
        <v>2212.6548073984</v>
      </c>
      <c r="G39" s="378">
        <v>3.6388044244</v>
      </c>
      <c r="H39" s="360"/>
      <c r="I39" s="279">
        <v>1892.2938477749999</v>
      </c>
      <c r="J39" s="378">
        <v>3.1659755216000001</v>
      </c>
      <c r="K39" s="361"/>
      <c r="L39" s="279">
        <v>2977.4112419026001</v>
      </c>
      <c r="M39" s="378">
        <v>4.5743068686999999</v>
      </c>
      <c r="N39" s="362"/>
      <c r="O39" s="279">
        <v>2123.8624632543001</v>
      </c>
      <c r="P39" s="378">
        <v>3.7233546706</v>
      </c>
    </row>
    <row r="40" spans="2:16" s="358" customFormat="1" ht="12.75" customHeight="1" x14ac:dyDescent="0.2">
      <c r="B40" s="95" t="s">
        <v>30</v>
      </c>
      <c r="C40" s="359"/>
      <c r="D40" s="279">
        <v>5085.6909832765996</v>
      </c>
      <c r="E40" s="360"/>
      <c r="F40" s="279">
        <v>4821.1816477864004</v>
      </c>
      <c r="G40" s="378">
        <v>4.0309522592000002</v>
      </c>
      <c r="H40" s="360"/>
      <c r="I40" s="279">
        <v>3706.8481064813</v>
      </c>
      <c r="J40" s="378">
        <v>3.3470472355999998</v>
      </c>
      <c r="K40" s="361"/>
      <c r="L40" s="279">
        <v>4777.9780873891996</v>
      </c>
      <c r="M40" s="378">
        <v>4.1359858904999998</v>
      </c>
      <c r="N40" s="362"/>
      <c r="O40" s="279">
        <v>2022.8246958151999</v>
      </c>
      <c r="P40" s="378">
        <v>1.8878155852</v>
      </c>
    </row>
    <row r="41" spans="2:16" s="358" customFormat="1" ht="12.75" customHeight="1" x14ac:dyDescent="0.2">
      <c r="B41" s="95" t="s">
        <v>31</v>
      </c>
      <c r="C41" s="359"/>
      <c r="D41" s="279">
        <v>683.77133929729996</v>
      </c>
      <c r="E41" s="360"/>
      <c r="F41" s="279">
        <v>790.49250470829998</v>
      </c>
      <c r="G41" s="378">
        <v>6.6595195522999999</v>
      </c>
      <c r="H41" s="360"/>
      <c r="I41" s="279">
        <v>319.8812279581</v>
      </c>
      <c r="J41" s="378">
        <v>2.8900314218999998</v>
      </c>
      <c r="K41" s="361"/>
      <c r="L41" s="279">
        <v>853.37960812029996</v>
      </c>
      <c r="M41" s="378">
        <v>6.9608781724000002</v>
      </c>
      <c r="N41" s="362"/>
      <c r="O41" s="279">
        <v>582.21387822689996</v>
      </c>
      <c r="P41" s="378">
        <v>5.4641361951</v>
      </c>
    </row>
    <row r="42" spans="2:16" s="358" customFormat="1" ht="12.75" customHeight="1" x14ac:dyDescent="0.2">
      <c r="B42" s="95" t="s">
        <v>32</v>
      </c>
      <c r="C42" s="359"/>
      <c r="D42" s="279">
        <v>10640.5971219246</v>
      </c>
      <c r="E42" s="360"/>
      <c r="F42" s="279">
        <v>7482.0504913797004</v>
      </c>
      <c r="G42" s="378">
        <v>4.6413097610999996</v>
      </c>
      <c r="H42" s="360"/>
      <c r="I42" s="279">
        <v>6028.8135372283004</v>
      </c>
      <c r="J42" s="378">
        <v>3.8688332240999999</v>
      </c>
      <c r="K42" s="361"/>
      <c r="L42" s="279">
        <v>6861.1824701641999</v>
      </c>
      <c r="M42" s="378">
        <v>4.9720176789000003</v>
      </c>
      <c r="N42" s="362"/>
      <c r="O42" s="279">
        <v>5451.8316086328996</v>
      </c>
      <c r="P42" s="378">
        <v>3.6169121399000002</v>
      </c>
    </row>
    <row r="43" spans="2:16" s="358" customFormat="1" ht="12.75" customHeight="1" x14ac:dyDescent="0.2">
      <c r="B43" s="95" t="s">
        <v>33</v>
      </c>
      <c r="C43" s="359"/>
      <c r="D43" s="279">
        <v>4803.1215171054</v>
      </c>
      <c r="E43" s="360"/>
      <c r="F43" s="279">
        <v>3516.7359614313</v>
      </c>
      <c r="G43" s="378">
        <v>3.7059314819</v>
      </c>
      <c r="H43" s="360"/>
      <c r="I43" s="279">
        <v>2507.5901253328002</v>
      </c>
      <c r="J43" s="378">
        <v>2.7031992074</v>
      </c>
      <c r="K43" s="361"/>
      <c r="L43" s="279">
        <v>3184.6222333729002</v>
      </c>
      <c r="M43" s="378">
        <v>3.1382541166000002</v>
      </c>
      <c r="N43" s="362"/>
      <c r="O43" s="279">
        <v>2502.8520866557001</v>
      </c>
      <c r="P43" s="378">
        <v>2.7002817238999999</v>
      </c>
    </row>
    <row r="44" spans="2:16" s="358" customFormat="1" ht="12.75" customHeight="1" x14ac:dyDescent="0.2">
      <c r="B44" s="95" t="s">
        <v>34</v>
      </c>
      <c r="C44" s="359"/>
      <c r="D44" s="279">
        <v>3499.5146189134998</v>
      </c>
      <c r="E44" s="360"/>
      <c r="F44" s="279">
        <v>2392.8880160608001</v>
      </c>
      <c r="G44" s="378">
        <v>3.7685934322999999</v>
      </c>
      <c r="H44" s="360"/>
      <c r="I44" s="279">
        <v>1064.4759004283001</v>
      </c>
      <c r="J44" s="378">
        <v>2.6132981939</v>
      </c>
      <c r="K44" s="361"/>
      <c r="L44" s="279">
        <v>1882.6024610775</v>
      </c>
      <c r="M44" s="378">
        <v>3.8382232778000001</v>
      </c>
      <c r="N44" s="362"/>
      <c r="O44" s="279">
        <v>1359.4299424827</v>
      </c>
      <c r="P44" s="378">
        <v>2.7244112218000001</v>
      </c>
    </row>
    <row r="45" spans="2:16" ht="6" customHeight="1" x14ac:dyDescent="0.25">
      <c r="B45" s="363"/>
      <c r="C45" s="364"/>
      <c r="D45" s="264"/>
      <c r="E45" s="365"/>
      <c r="F45" s="264"/>
      <c r="G45" s="366"/>
      <c r="H45" s="366"/>
      <c r="I45" s="264"/>
      <c r="J45" s="366"/>
      <c r="K45" s="367"/>
      <c r="L45" s="264"/>
      <c r="M45" s="366"/>
      <c r="N45" s="368"/>
      <c r="O45" s="264"/>
      <c r="P45" s="366"/>
    </row>
    <row r="46" spans="2:16" ht="6" customHeight="1" x14ac:dyDescent="0.25">
      <c r="B46" s="228"/>
      <c r="D46" s="145"/>
      <c r="E46" s="370"/>
      <c r="F46" s="145"/>
      <c r="G46" s="371"/>
      <c r="H46" s="371"/>
      <c r="I46" s="145"/>
      <c r="J46" s="371"/>
      <c r="K46" s="372"/>
      <c r="L46" s="145"/>
      <c r="M46" s="371"/>
      <c r="N46" s="373"/>
      <c r="O46" s="145"/>
      <c r="P46" s="371"/>
    </row>
    <row r="47" spans="2:16" ht="12.75" customHeight="1" x14ac:dyDescent="0.25">
      <c r="B47" s="273" t="s">
        <v>93</v>
      </c>
      <c r="C47" s="342"/>
      <c r="D47" s="145"/>
      <c r="E47" s="370"/>
      <c r="F47" s="145"/>
      <c r="G47" s="371"/>
      <c r="H47" s="371"/>
      <c r="I47" s="145"/>
      <c r="J47" s="371"/>
      <c r="K47" s="372"/>
      <c r="L47" s="145"/>
      <c r="M47" s="371"/>
      <c r="N47" s="373"/>
      <c r="O47" s="145"/>
      <c r="P47" s="371"/>
    </row>
    <row r="48" spans="2:16" ht="12" customHeight="1" x14ac:dyDescent="0.25">
      <c r="B48" s="374" t="s">
        <v>129</v>
      </c>
      <c r="C48" s="342"/>
      <c r="D48" s="145"/>
      <c r="E48" s="370"/>
      <c r="F48" s="145"/>
      <c r="G48" s="371"/>
      <c r="H48" s="371"/>
      <c r="I48" s="145"/>
      <c r="J48" s="371"/>
      <c r="K48" s="372"/>
      <c r="L48" s="145"/>
      <c r="M48" s="371"/>
      <c r="N48" s="373"/>
      <c r="O48" s="145"/>
      <c r="P48" s="371"/>
    </row>
    <row r="49" spans="2:2" s="13" customFormat="1" ht="14.25" x14ac:dyDescent="0.2">
      <c r="B49" s="109" t="s">
        <v>57</v>
      </c>
    </row>
  </sheetData>
  <mergeCells count="8"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A9B6C54F-B88B-4C2D-82C8-21E1B7C66F5F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2145-3DE3-4395-BF91-F8216CFEADF1}">
  <dimension ref="B1:S50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386" customWidth="1"/>
    <col min="2" max="2" width="24.28515625" style="386" customWidth="1"/>
    <col min="3" max="3" width="0.85546875" style="405" customWidth="1"/>
    <col min="4" max="4" width="18.7109375" style="406" customWidth="1"/>
    <col min="5" max="5" width="1.7109375" style="406" customWidth="1"/>
    <col min="6" max="6" width="12.7109375" style="406" customWidth="1"/>
    <col min="7" max="7" width="12.7109375" style="407" customWidth="1"/>
    <col min="8" max="8" width="1.7109375" style="406" customWidth="1"/>
    <col min="9" max="9" width="12.7109375" style="406" customWidth="1"/>
    <col min="10" max="10" width="12.5703125" style="407" customWidth="1"/>
    <col min="11" max="16384" width="11.42578125" style="386"/>
  </cols>
  <sheetData>
    <row r="1" spans="2:19" s="380" customFormat="1" ht="12" customHeight="1" x14ac:dyDescent="0.2">
      <c r="B1" s="639" t="s">
        <v>202</v>
      </c>
      <c r="D1" s="381"/>
      <c r="E1" s="381"/>
      <c r="F1" s="381"/>
      <c r="G1" s="381"/>
      <c r="H1" s="381"/>
      <c r="I1" s="381"/>
      <c r="J1" s="72" t="s">
        <v>151</v>
      </c>
    </row>
    <row r="2" spans="2:19" s="380" customFormat="1" ht="6.95" customHeight="1" x14ac:dyDescent="0.2">
      <c r="B2" s="639"/>
      <c r="D2" s="381"/>
      <c r="E2" s="381"/>
      <c r="F2" s="381"/>
      <c r="G2" s="381"/>
      <c r="H2" s="381"/>
      <c r="I2" s="381"/>
      <c r="J2" s="381"/>
    </row>
    <row r="3" spans="2:19" s="380" customFormat="1" ht="15" customHeight="1" x14ac:dyDescent="0.2">
      <c r="B3" s="639" t="s">
        <v>199</v>
      </c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</row>
    <row r="4" spans="2:19" s="380" customFormat="1" ht="6.95" customHeight="1" x14ac:dyDescent="0.2">
      <c r="C4" s="382"/>
      <c r="D4" s="381"/>
      <c r="E4" s="381"/>
      <c r="F4" s="381"/>
      <c r="G4" s="381"/>
      <c r="H4" s="381"/>
      <c r="I4" s="381"/>
      <c r="J4" s="381"/>
    </row>
    <row r="5" spans="2:19" s="380" customFormat="1" ht="25.5" customHeight="1" x14ac:dyDescent="0.2">
      <c r="B5" s="703" t="s">
        <v>155</v>
      </c>
      <c r="C5" s="703"/>
      <c r="D5" s="703"/>
      <c r="E5" s="703"/>
      <c r="F5" s="703"/>
      <c r="G5" s="703"/>
      <c r="H5" s="703"/>
      <c r="I5" s="703"/>
      <c r="J5" s="71" t="s">
        <v>114</v>
      </c>
    </row>
    <row r="6" spans="2:19" ht="6" customHeight="1" x14ac:dyDescent="0.25">
      <c r="B6" s="383"/>
      <c r="C6" s="384"/>
      <c r="D6" s="385"/>
      <c r="E6" s="385"/>
      <c r="F6" s="385"/>
      <c r="G6" s="385"/>
      <c r="H6" s="385"/>
      <c r="I6" s="385"/>
      <c r="J6" s="385"/>
    </row>
    <row r="7" spans="2:19" ht="15" customHeight="1" x14ac:dyDescent="0.25">
      <c r="B7" s="681" t="s">
        <v>76</v>
      </c>
      <c r="C7" s="681"/>
      <c r="D7" s="704" t="s">
        <v>108</v>
      </c>
      <c r="E7" s="387"/>
      <c r="F7" s="707" t="s">
        <v>68</v>
      </c>
      <c r="G7" s="707"/>
      <c r="H7" s="707"/>
      <c r="I7" s="707"/>
      <c r="J7" s="707"/>
    </row>
    <row r="8" spans="2:19" ht="24.75" customHeight="1" x14ac:dyDescent="0.25">
      <c r="B8" s="682"/>
      <c r="C8" s="682"/>
      <c r="D8" s="705"/>
      <c r="E8" s="388"/>
      <c r="F8" s="708" t="s">
        <v>72</v>
      </c>
      <c r="G8" s="708"/>
      <c r="H8" s="389"/>
      <c r="I8" s="709" t="s">
        <v>130</v>
      </c>
      <c r="J8" s="709"/>
    </row>
    <row r="9" spans="2:19" x14ac:dyDescent="0.25">
      <c r="B9" s="683"/>
      <c r="C9" s="683"/>
      <c r="D9" s="706"/>
      <c r="E9" s="390"/>
      <c r="F9" s="391" t="s">
        <v>0</v>
      </c>
      <c r="G9" s="391" t="s">
        <v>1</v>
      </c>
      <c r="H9" s="391"/>
      <c r="I9" s="391" t="s">
        <v>0</v>
      </c>
      <c r="J9" s="391" t="s">
        <v>1</v>
      </c>
    </row>
    <row r="10" spans="2:19" ht="6" customHeight="1" x14ac:dyDescent="0.25">
      <c r="B10" s="31"/>
      <c r="C10" s="392"/>
      <c r="D10" s="392"/>
      <c r="E10" s="392"/>
      <c r="F10" s="392"/>
      <c r="G10" s="392"/>
      <c r="H10" s="392"/>
      <c r="I10" s="392"/>
      <c r="J10" s="392"/>
    </row>
    <row r="11" spans="2:19" s="394" customFormat="1" ht="11.25" x14ac:dyDescent="0.2">
      <c r="B11" s="94" t="s">
        <v>2</v>
      </c>
      <c r="C11" s="393"/>
      <c r="D11" s="334">
        <v>35389.533301433599</v>
      </c>
      <c r="E11" s="87"/>
      <c r="F11" s="334">
        <v>36585.7414459336</v>
      </c>
      <c r="G11" s="334">
        <v>0.75628791969999998</v>
      </c>
      <c r="H11" s="87"/>
      <c r="I11" s="334">
        <v>21503.7483092123</v>
      </c>
      <c r="J11" s="334">
        <v>0.75628791969999998</v>
      </c>
    </row>
    <row r="12" spans="2:19" s="396" customFormat="1" ht="6" customHeight="1" x14ac:dyDescent="0.2">
      <c r="B12" s="94"/>
      <c r="C12" s="395"/>
      <c r="D12" s="89"/>
      <c r="E12" s="89"/>
      <c r="F12" s="89"/>
      <c r="G12" s="309"/>
      <c r="H12" s="89"/>
      <c r="I12" s="89"/>
      <c r="J12" s="309"/>
    </row>
    <row r="13" spans="2:19" s="396" customFormat="1" ht="12.75" customHeight="1" x14ac:dyDescent="0.2">
      <c r="B13" s="95" t="s">
        <v>3</v>
      </c>
      <c r="C13" s="395"/>
      <c r="D13" s="279">
        <v>2080.6618581107</v>
      </c>
      <c r="E13" s="89"/>
      <c r="F13" s="279">
        <v>2180.3998558000999</v>
      </c>
      <c r="G13" s="279">
        <v>2.0671803577999999</v>
      </c>
      <c r="H13" s="89"/>
      <c r="I13" s="279">
        <v>984.56193476579995</v>
      </c>
      <c r="J13" s="279">
        <v>2.0671803577999999</v>
      </c>
    </row>
    <row r="14" spans="2:19" s="396" customFormat="1" ht="12.75" customHeight="1" x14ac:dyDescent="0.2">
      <c r="B14" s="95" t="s">
        <v>4</v>
      </c>
      <c r="C14" s="395"/>
      <c r="D14" s="279">
        <v>6205.0470532730997</v>
      </c>
      <c r="E14" s="397"/>
      <c r="F14" s="279">
        <v>6249.3264783761997</v>
      </c>
      <c r="G14" s="408">
        <v>2.0667478358000002</v>
      </c>
      <c r="H14" s="397"/>
      <c r="I14" s="279">
        <v>2388.157553429</v>
      </c>
      <c r="J14" s="408">
        <v>2.0667478358000002</v>
      </c>
    </row>
    <row r="15" spans="2:19" s="396" customFormat="1" ht="12.75" customHeight="1" x14ac:dyDescent="0.2">
      <c r="B15" s="95" t="s">
        <v>5</v>
      </c>
      <c r="C15" s="395"/>
      <c r="D15" s="279">
        <v>1475.9625279483</v>
      </c>
      <c r="E15" s="397"/>
      <c r="F15" s="279">
        <v>1363.3056321596</v>
      </c>
      <c r="G15" s="408">
        <v>2.4950439764999999</v>
      </c>
      <c r="H15" s="397"/>
      <c r="I15" s="279">
        <v>591.97412412740005</v>
      </c>
      <c r="J15" s="408">
        <v>2.4950439764999999</v>
      </c>
    </row>
    <row r="16" spans="2:19" s="396" customFormat="1" ht="12.75" customHeight="1" x14ac:dyDescent="0.2">
      <c r="B16" s="95" t="s">
        <v>6</v>
      </c>
      <c r="C16" s="395"/>
      <c r="D16" s="279">
        <v>1210.4592467523</v>
      </c>
      <c r="E16" s="397"/>
      <c r="F16" s="279">
        <v>1216.5645699552001</v>
      </c>
      <c r="G16" s="408">
        <v>1.8803833844</v>
      </c>
      <c r="H16" s="397"/>
      <c r="I16" s="279">
        <v>394.63435320209999</v>
      </c>
      <c r="J16" s="408">
        <v>1.8803833844</v>
      </c>
    </row>
    <row r="17" spans="2:10" s="396" customFormat="1" ht="12.75" customHeight="1" x14ac:dyDescent="0.2">
      <c r="B17" s="95" t="s">
        <v>7</v>
      </c>
      <c r="C17" s="395"/>
      <c r="D17" s="279">
        <v>4510.6752510282004</v>
      </c>
      <c r="E17" s="397"/>
      <c r="F17" s="279">
        <v>4510.6752510282004</v>
      </c>
      <c r="G17" s="408">
        <v>0</v>
      </c>
      <c r="H17" s="397"/>
      <c r="I17" s="279">
        <v>0</v>
      </c>
      <c r="J17" s="408">
        <v>0</v>
      </c>
    </row>
    <row r="18" spans="2:10" s="396" customFormat="1" ht="12.75" customHeight="1" x14ac:dyDescent="0.2">
      <c r="B18" s="95" t="s">
        <v>8</v>
      </c>
      <c r="C18" s="395"/>
      <c r="D18" s="279">
        <v>1739.9265267776</v>
      </c>
      <c r="E18" s="397"/>
      <c r="F18" s="279">
        <v>1765.0200007077001</v>
      </c>
      <c r="G18" s="408">
        <v>1.0806712211</v>
      </c>
      <c r="H18" s="397"/>
      <c r="I18" s="279">
        <v>280.50049805970002</v>
      </c>
      <c r="J18" s="408">
        <v>1.0806712211</v>
      </c>
    </row>
    <row r="19" spans="2:10" s="396" customFormat="1" ht="12.75" customHeight="1" x14ac:dyDescent="0.2">
      <c r="B19" s="95" t="s">
        <v>9</v>
      </c>
      <c r="C19" s="395"/>
      <c r="D19" s="279">
        <v>7119.9463858091003</v>
      </c>
      <c r="E19" s="397"/>
      <c r="F19" s="279">
        <v>6960.1529836833997</v>
      </c>
      <c r="G19" s="408">
        <v>2.4860659030000001</v>
      </c>
      <c r="H19" s="397"/>
      <c r="I19" s="279">
        <v>1831.0344071044001</v>
      </c>
      <c r="J19" s="408">
        <v>2.4860659030000001</v>
      </c>
    </row>
    <row r="20" spans="2:10" s="396" customFormat="1" ht="12.75" customHeight="1" x14ac:dyDescent="0.2">
      <c r="B20" s="95" t="s">
        <v>10</v>
      </c>
      <c r="C20" s="395"/>
      <c r="D20" s="279">
        <v>3708.0028280094002</v>
      </c>
      <c r="E20" s="397"/>
      <c r="F20" s="279">
        <v>3922.3928280484001</v>
      </c>
      <c r="G20" s="408">
        <v>1.3090307750000001</v>
      </c>
      <c r="H20" s="397"/>
      <c r="I20" s="279">
        <v>1191.1177943427999</v>
      </c>
      <c r="J20" s="408">
        <v>1.3090307750000001</v>
      </c>
    </row>
    <row r="21" spans="2:10" s="396" customFormat="1" ht="12.75" customHeight="1" x14ac:dyDescent="0.2">
      <c r="B21" s="95" t="s">
        <v>11</v>
      </c>
      <c r="C21" s="395"/>
      <c r="D21" s="279">
        <v>9441.1636455700009</v>
      </c>
      <c r="E21" s="397"/>
      <c r="F21" s="279">
        <v>10193.1042369815</v>
      </c>
      <c r="G21" s="408">
        <v>4.8001358381000001</v>
      </c>
      <c r="H21" s="397"/>
      <c r="I21" s="279">
        <v>10133.302143459299</v>
      </c>
      <c r="J21" s="408">
        <v>4.8001358381000001</v>
      </c>
    </row>
    <row r="22" spans="2:10" s="396" customFormat="1" ht="12.75" customHeight="1" x14ac:dyDescent="0.2">
      <c r="B22" s="95" t="s">
        <v>12</v>
      </c>
      <c r="C22" s="395"/>
      <c r="D22" s="279">
        <v>2679.8635192955999</v>
      </c>
      <c r="E22" s="397"/>
      <c r="F22" s="279">
        <v>2577.6250635347001</v>
      </c>
      <c r="G22" s="408">
        <v>1.8773946646999999</v>
      </c>
      <c r="H22" s="397"/>
      <c r="I22" s="279">
        <v>918.23009099030003</v>
      </c>
      <c r="J22" s="408">
        <v>1.8773946646999999</v>
      </c>
    </row>
    <row r="23" spans="2:10" s="396" customFormat="1" ht="12.75" customHeight="1" x14ac:dyDescent="0.2">
      <c r="B23" s="95" t="s">
        <v>13</v>
      </c>
      <c r="C23" s="395"/>
      <c r="D23" s="279">
        <v>6083.5762575119998</v>
      </c>
      <c r="E23" s="397"/>
      <c r="F23" s="279">
        <v>5840.1437300835996</v>
      </c>
      <c r="G23" s="408">
        <v>3.6236734360999998</v>
      </c>
      <c r="H23" s="397"/>
      <c r="I23" s="279">
        <v>4082.6942208558999</v>
      </c>
      <c r="J23" s="408">
        <v>3.6236734360999998</v>
      </c>
    </row>
    <row r="24" spans="2:10" s="396" customFormat="1" ht="12.75" customHeight="1" x14ac:dyDescent="0.2">
      <c r="B24" s="95" t="s">
        <v>14</v>
      </c>
      <c r="C24" s="395"/>
      <c r="D24" s="279">
        <v>3197.3289737946002</v>
      </c>
      <c r="E24" s="397"/>
      <c r="F24" s="279">
        <v>3480.0050986553001</v>
      </c>
      <c r="G24" s="408">
        <v>3.5871467008</v>
      </c>
      <c r="H24" s="397"/>
      <c r="I24" s="279">
        <v>1819.7828661684</v>
      </c>
      <c r="J24" s="408">
        <v>3.5871467008</v>
      </c>
    </row>
    <row r="25" spans="2:10" s="396" customFormat="1" ht="12.75" customHeight="1" x14ac:dyDescent="0.2">
      <c r="B25" s="95" t="s">
        <v>15</v>
      </c>
      <c r="C25" s="395"/>
      <c r="D25" s="279">
        <v>3321.5400839618001</v>
      </c>
      <c r="E25" s="397"/>
      <c r="F25" s="279">
        <v>3297.0449389362002</v>
      </c>
      <c r="G25" s="408">
        <v>1.8404746452</v>
      </c>
      <c r="H25" s="397"/>
      <c r="I25" s="279">
        <v>866.86042705850002</v>
      </c>
      <c r="J25" s="408">
        <v>1.8404746452</v>
      </c>
    </row>
    <row r="26" spans="2:10" s="396" customFormat="1" ht="12.75" customHeight="1" x14ac:dyDescent="0.2">
      <c r="B26" s="95" t="s">
        <v>16</v>
      </c>
      <c r="C26" s="395"/>
      <c r="D26" s="279">
        <v>13753.0530024039</v>
      </c>
      <c r="E26" s="397"/>
      <c r="F26" s="279">
        <v>13871.904288775901</v>
      </c>
      <c r="G26" s="408">
        <v>2.7195140289999999</v>
      </c>
      <c r="H26" s="397"/>
      <c r="I26" s="279">
        <v>8374.3694638817997</v>
      </c>
      <c r="J26" s="408">
        <v>2.7195140289999999</v>
      </c>
    </row>
    <row r="27" spans="2:10" s="396" customFormat="1" ht="12.75" customHeight="1" x14ac:dyDescent="0.2">
      <c r="B27" s="95" t="s">
        <v>17</v>
      </c>
      <c r="C27" s="395"/>
      <c r="D27" s="279">
        <v>14957.490784076601</v>
      </c>
      <c r="E27" s="397"/>
      <c r="F27" s="279">
        <v>17495.9712712892</v>
      </c>
      <c r="G27" s="408">
        <v>5.5167633523999999</v>
      </c>
      <c r="H27" s="397"/>
      <c r="I27" s="279">
        <v>12404.1548506746</v>
      </c>
      <c r="J27" s="408">
        <v>5.5167633523999999</v>
      </c>
    </row>
    <row r="28" spans="2:10" s="396" customFormat="1" ht="12.75" customHeight="1" x14ac:dyDescent="0.2">
      <c r="B28" s="95" t="s">
        <v>18</v>
      </c>
      <c r="C28" s="395"/>
      <c r="D28" s="279">
        <v>8595.0909068524998</v>
      </c>
      <c r="E28" s="397"/>
      <c r="F28" s="279">
        <v>8149.0153152895</v>
      </c>
      <c r="G28" s="408">
        <v>3.0654559901999998</v>
      </c>
      <c r="H28" s="397"/>
      <c r="I28" s="279">
        <v>3110.1734205479002</v>
      </c>
      <c r="J28" s="408">
        <v>3.0654559901999998</v>
      </c>
    </row>
    <row r="29" spans="2:10" s="396" customFormat="1" ht="12.75" customHeight="1" x14ac:dyDescent="0.2">
      <c r="B29" s="95" t="s">
        <v>19</v>
      </c>
      <c r="C29" s="395"/>
      <c r="D29" s="279">
        <v>1688.0708367837999</v>
      </c>
      <c r="E29" s="397"/>
      <c r="F29" s="279">
        <v>1949.9742776081</v>
      </c>
      <c r="G29" s="408">
        <v>3.3659221249</v>
      </c>
      <c r="H29" s="397"/>
      <c r="I29" s="279">
        <v>868.21790659570001</v>
      </c>
      <c r="J29" s="408">
        <v>3.3659221249</v>
      </c>
    </row>
    <row r="30" spans="2:10" s="396" customFormat="1" ht="12.75" customHeight="1" x14ac:dyDescent="0.2">
      <c r="B30" s="95" t="s">
        <v>20</v>
      </c>
      <c r="C30" s="395"/>
      <c r="D30" s="279">
        <v>2887.4391531567999</v>
      </c>
      <c r="E30" s="397"/>
      <c r="F30" s="279">
        <v>2960.8615829916998</v>
      </c>
      <c r="G30" s="408">
        <v>2.3767265929999999</v>
      </c>
      <c r="H30" s="397"/>
      <c r="I30" s="279">
        <v>945.62697915880005</v>
      </c>
      <c r="J30" s="408">
        <v>2.3767265929999999</v>
      </c>
    </row>
    <row r="31" spans="2:10" s="396" customFormat="1" ht="12.75" customHeight="1" x14ac:dyDescent="0.2">
      <c r="B31" s="95" t="s">
        <v>21</v>
      </c>
      <c r="C31" s="395"/>
      <c r="D31" s="279">
        <v>10000.8140926499</v>
      </c>
      <c r="E31" s="397"/>
      <c r="F31" s="279">
        <v>9630.3462719826002</v>
      </c>
      <c r="G31" s="408">
        <v>2.5241529762999999</v>
      </c>
      <c r="H31" s="397"/>
      <c r="I31" s="279">
        <v>5550.0956663636998</v>
      </c>
      <c r="J31" s="408">
        <v>2.5241529762999999</v>
      </c>
    </row>
    <row r="32" spans="2:10" s="396" customFormat="1" ht="12.75" customHeight="1" x14ac:dyDescent="0.2">
      <c r="B32" s="95" t="s">
        <v>22</v>
      </c>
      <c r="C32" s="395"/>
      <c r="D32" s="279">
        <v>6380.8979534733999</v>
      </c>
      <c r="E32" s="397"/>
      <c r="F32" s="279">
        <v>6432.9179210025004</v>
      </c>
      <c r="G32" s="408">
        <v>1.4970722670000001</v>
      </c>
      <c r="H32" s="397"/>
      <c r="I32" s="279">
        <v>1115.6705009395</v>
      </c>
      <c r="J32" s="408">
        <v>1.4970722670000001</v>
      </c>
    </row>
    <row r="33" spans="2:10" s="396" customFormat="1" ht="12.75" customHeight="1" x14ac:dyDescent="0.2">
      <c r="B33" s="95" t="s">
        <v>23</v>
      </c>
      <c r="C33" s="395"/>
      <c r="D33" s="279">
        <v>4612.5792870677997</v>
      </c>
      <c r="E33" s="397"/>
      <c r="F33" s="279">
        <v>4594.360670905</v>
      </c>
      <c r="G33" s="408">
        <v>4.4652719260999998</v>
      </c>
      <c r="H33" s="397"/>
      <c r="I33" s="279">
        <v>3642.4030793293</v>
      </c>
      <c r="J33" s="408">
        <v>4.4652719260999998</v>
      </c>
    </row>
    <row r="34" spans="2:10" s="396" customFormat="1" ht="12.75" customHeight="1" x14ac:dyDescent="0.2">
      <c r="B34" s="95" t="s">
        <v>24</v>
      </c>
      <c r="C34" s="395"/>
      <c r="D34" s="279">
        <v>6674.5021808894999</v>
      </c>
      <c r="E34" s="397"/>
      <c r="F34" s="279">
        <v>5146.2564772235</v>
      </c>
      <c r="G34" s="408">
        <v>2.9601460681999998</v>
      </c>
      <c r="H34" s="397"/>
      <c r="I34" s="279">
        <v>2598.2751714678998</v>
      </c>
      <c r="J34" s="408">
        <v>2.9601460681999998</v>
      </c>
    </row>
    <row r="35" spans="2:10" s="396" customFormat="1" ht="12.75" customHeight="1" x14ac:dyDescent="0.2">
      <c r="B35" s="95" t="s">
        <v>25</v>
      </c>
      <c r="C35" s="395"/>
      <c r="D35" s="279">
        <v>2945.8123467055002</v>
      </c>
      <c r="E35" s="397"/>
      <c r="F35" s="279">
        <v>3349.1001593848</v>
      </c>
      <c r="G35" s="408">
        <v>2.8819806783000002</v>
      </c>
      <c r="H35" s="397"/>
      <c r="I35" s="279">
        <v>1507.7932213866</v>
      </c>
      <c r="J35" s="408">
        <v>2.8819806783000002</v>
      </c>
    </row>
    <row r="36" spans="2:10" s="396" customFormat="1" ht="12.75" customHeight="1" x14ac:dyDescent="0.2">
      <c r="B36" s="95" t="s">
        <v>26</v>
      </c>
      <c r="C36" s="395"/>
      <c r="D36" s="279">
        <v>2570.7326840976998</v>
      </c>
      <c r="E36" s="397"/>
      <c r="F36" s="279">
        <v>2730.2957641176999</v>
      </c>
      <c r="G36" s="408">
        <v>1.3748215157000001</v>
      </c>
      <c r="H36" s="397"/>
      <c r="I36" s="279">
        <v>730.86093470809999</v>
      </c>
      <c r="J36" s="408">
        <v>1.3748215157000001</v>
      </c>
    </row>
    <row r="37" spans="2:10" s="396" customFormat="1" ht="12.75" customHeight="1" x14ac:dyDescent="0.2">
      <c r="B37" s="95" t="s">
        <v>27</v>
      </c>
      <c r="C37" s="395"/>
      <c r="D37" s="279">
        <v>3309.1428382409999</v>
      </c>
      <c r="E37" s="397"/>
      <c r="F37" s="279">
        <v>3560.5640293356</v>
      </c>
      <c r="G37" s="408">
        <v>1.7600317404000001</v>
      </c>
      <c r="H37" s="397"/>
      <c r="I37" s="279">
        <v>1131.9816092306</v>
      </c>
      <c r="J37" s="408">
        <v>1.7600317404000001</v>
      </c>
    </row>
    <row r="38" spans="2:10" s="396" customFormat="1" ht="12.75" customHeight="1" x14ac:dyDescent="0.2">
      <c r="B38" s="95" t="s">
        <v>28</v>
      </c>
      <c r="C38" s="395"/>
      <c r="D38" s="279">
        <v>6316.5770537108001</v>
      </c>
      <c r="E38" s="397"/>
      <c r="F38" s="279">
        <v>6316.5770537108001</v>
      </c>
      <c r="G38" s="408">
        <v>0</v>
      </c>
      <c r="H38" s="397"/>
      <c r="I38" s="279">
        <v>0</v>
      </c>
      <c r="J38" s="408">
        <v>0</v>
      </c>
    </row>
    <row r="39" spans="2:10" s="396" customFormat="1" ht="12.75" customHeight="1" x14ac:dyDescent="0.2">
      <c r="B39" s="95" t="s">
        <v>29</v>
      </c>
      <c r="C39" s="395"/>
      <c r="D39" s="279">
        <v>4247.9733525112997</v>
      </c>
      <c r="E39" s="397"/>
      <c r="F39" s="279">
        <v>4367.5661775107001</v>
      </c>
      <c r="G39" s="408">
        <v>1.7510972621000001</v>
      </c>
      <c r="H39" s="397"/>
      <c r="I39" s="279">
        <v>925.08347113729997</v>
      </c>
      <c r="J39" s="408">
        <v>1.7510972621000001</v>
      </c>
    </row>
    <row r="40" spans="2:10" s="396" customFormat="1" ht="12.75" customHeight="1" x14ac:dyDescent="0.2">
      <c r="B40" s="95" t="s">
        <v>30</v>
      </c>
      <c r="C40" s="395"/>
      <c r="D40" s="279">
        <v>5085.6909832765996</v>
      </c>
      <c r="E40" s="397"/>
      <c r="F40" s="279">
        <v>5420.9123453486</v>
      </c>
      <c r="G40" s="408">
        <v>2.2890695983999998</v>
      </c>
      <c r="H40" s="397"/>
      <c r="I40" s="279">
        <v>2458.7091379420999</v>
      </c>
      <c r="J40" s="408">
        <v>2.2890695983999998</v>
      </c>
    </row>
    <row r="41" spans="2:10" s="396" customFormat="1" ht="12.75" customHeight="1" x14ac:dyDescent="0.2">
      <c r="B41" s="95" t="s">
        <v>31</v>
      </c>
      <c r="C41" s="395"/>
      <c r="D41" s="279">
        <v>683.77133929729996</v>
      </c>
      <c r="E41" s="397"/>
      <c r="F41" s="279">
        <v>642.03881848720005</v>
      </c>
      <c r="G41" s="408">
        <v>2.4636939515999998</v>
      </c>
      <c r="H41" s="397"/>
      <c r="I41" s="279">
        <v>280.25167260870001</v>
      </c>
      <c r="J41" s="408">
        <v>2.4636939515999998</v>
      </c>
    </row>
    <row r="42" spans="2:10" s="396" customFormat="1" ht="12.75" customHeight="1" x14ac:dyDescent="0.2">
      <c r="B42" s="95" t="s">
        <v>32</v>
      </c>
      <c r="C42" s="395"/>
      <c r="D42" s="279">
        <v>10640.5971219246</v>
      </c>
      <c r="E42" s="397"/>
      <c r="F42" s="279">
        <v>11054.9053264955</v>
      </c>
      <c r="G42" s="408">
        <v>3.4438232815999998</v>
      </c>
      <c r="H42" s="397"/>
      <c r="I42" s="279">
        <v>4753.7372315543998</v>
      </c>
      <c r="J42" s="408">
        <v>3.4438232815999998</v>
      </c>
    </row>
    <row r="43" spans="2:10" s="396" customFormat="1" ht="12.75" customHeight="1" x14ac:dyDescent="0.2">
      <c r="B43" s="95" t="s">
        <v>33</v>
      </c>
      <c r="C43" s="395"/>
      <c r="D43" s="279">
        <v>4803.1215171054</v>
      </c>
      <c r="E43" s="397"/>
      <c r="F43" s="279">
        <v>4755.0857079445996</v>
      </c>
      <c r="G43" s="408">
        <v>2.4605873150000002</v>
      </c>
      <c r="H43" s="397"/>
      <c r="I43" s="279">
        <v>2185.6359590412999</v>
      </c>
      <c r="J43" s="408">
        <v>2.4605873150000002</v>
      </c>
    </row>
    <row r="44" spans="2:10" s="396" customFormat="1" ht="12.75" customHeight="1" x14ac:dyDescent="0.2">
      <c r="B44" s="95" t="s">
        <v>34</v>
      </c>
      <c r="C44" s="395"/>
      <c r="D44" s="279">
        <v>3499.5146189134998</v>
      </c>
      <c r="E44" s="397"/>
      <c r="F44" s="279">
        <v>3503.0609212500999</v>
      </c>
      <c r="G44" s="408">
        <v>1.2539741765000001</v>
      </c>
      <c r="H44" s="397"/>
      <c r="I44" s="279">
        <v>547.28694484699997</v>
      </c>
      <c r="J44" s="408">
        <v>1.2539741765000001</v>
      </c>
    </row>
    <row r="45" spans="2:10" ht="6" customHeight="1" x14ac:dyDescent="0.25">
      <c r="B45" s="398"/>
      <c r="C45" s="399"/>
      <c r="D45" s="264"/>
      <c r="E45" s="400"/>
      <c r="F45" s="264"/>
      <c r="G45" s="401"/>
      <c r="H45" s="401"/>
      <c r="I45" s="264"/>
      <c r="J45" s="401"/>
    </row>
    <row r="46" spans="2:10" ht="6" customHeight="1" x14ac:dyDescent="0.25">
      <c r="B46" s="228"/>
      <c r="C46" s="384"/>
      <c r="D46" s="145"/>
      <c r="E46" s="402"/>
      <c r="F46" s="145"/>
      <c r="G46" s="403"/>
      <c r="H46" s="403"/>
      <c r="I46" s="145"/>
      <c r="J46" s="403"/>
    </row>
    <row r="47" spans="2:10" ht="25.5" customHeight="1" x14ac:dyDescent="0.25">
      <c r="B47" s="702" t="s">
        <v>93</v>
      </c>
      <c r="C47" s="702"/>
      <c r="D47" s="702"/>
      <c r="E47" s="702"/>
      <c r="F47" s="702"/>
      <c r="G47" s="702"/>
      <c r="H47" s="702"/>
      <c r="I47" s="702"/>
      <c r="J47" s="702"/>
    </row>
    <row r="48" spans="2:10" ht="12.75" customHeight="1" x14ac:dyDescent="0.25">
      <c r="B48" s="404" t="s">
        <v>80</v>
      </c>
      <c r="C48" s="384"/>
      <c r="D48" s="145"/>
      <c r="E48" s="402"/>
      <c r="F48" s="145"/>
      <c r="G48" s="403"/>
      <c r="H48" s="403"/>
      <c r="I48" s="145"/>
      <c r="J48" s="403"/>
    </row>
    <row r="49" spans="2:10" ht="12" customHeight="1" x14ac:dyDescent="0.25">
      <c r="B49" s="404" t="s">
        <v>81</v>
      </c>
      <c r="C49" s="384"/>
      <c r="D49" s="145"/>
      <c r="E49" s="402"/>
      <c r="F49" s="145"/>
      <c r="G49" s="403"/>
      <c r="H49" s="403"/>
      <c r="I49" s="145"/>
      <c r="J49" s="403"/>
    </row>
    <row r="50" spans="2:10" s="13" customFormat="1" ht="14.25" x14ac:dyDescent="0.2">
      <c r="B50" s="109" t="s">
        <v>57</v>
      </c>
    </row>
  </sheetData>
  <mergeCells count="7">
    <mergeCell ref="B47:J47"/>
    <mergeCell ref="B5:I5"/>
    <mergeCell ref="B7:C9"/>
    <mergeCell ref="D7:D9"/>
    <mergeCell ref="F7:J7"/>
    <mergeCell ref="F8:G8"/>
    <mergeCell ref="I8:J8"/>
  </mergeCells>
  <hyperlinks>
    <hyperlink ref="J1" location="Índice!A1" tooltip="Ir a ÍNDICE" display="INDICE" xr:uid="{0FBB66A7-EE49-41AE-A205-56BDF40CE4B2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7551-8F18-4206-A5F6-E83F99A78013}">
  <dimension ref="B1:R46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417" customWidth="1"/>
    <col min="2" max="2" width="24.28515625" style="417" customWidth="1"/>
    <col min="3" max="3" width="0.85546875" style="435" customWidth="1"/>
    <col min="4" max="4" width="27" style="436" customWidth="1"/>
    <col min="5" max="5" width="11.28515625" style="436" customWidth="1"/>
    <col min="6" max="6" width="28.85546875" style="437" customWidth="1"/>
    <col min="7" max="16384" width="11.42578125" style="417"/>
  </cols>
  <sheetData>
    <row r="1" spans="2:18" s="410" customFormat="1" ht="12" customHeight="1" x14ac:dyDescent="0.2">
      <c r="B1" s="639" t="s">
        <v>202</v>
      </c>
      <c r="D1" s="411"/>
      <c r="E1" s="411"/>
      <c r="F1" s="72" t="s">
        <v>151</v>
      </c>
    </row>
    <row r="2" spans="2:18" s="410" customFormat="1" ht="6.95" customHeight="1" x14ac:dyDescent="0.2">
      <c r="B2" s="639"/>
      <c r="D2" s="411"/>
      <c r="E2" s="411"/>
      <c r="F2" s="411"/>
    </row>
    <row r="3" spans="2:18" s="410" customFormat="1" ht="15" customHeight="1" x14ac:dyDescent="0.2">
      <c r="B3" s="639" t="s">
        <v>199</v>
      </c>
      <c r="C3" s="409"/>
      <c r="D3" s="409"/>
      <c r="E3" s="409"/>
      <c r="F3" s="409"/>
      <c r="G3" s="409"/>
      <c r="H3" s="409"/>
      <c r="I3" s="409"/>
      <c r="J3" s="409"/>
      <c r="K3" s="409"/>
      <c r="L3" s="409"/>
      <c r="M3" s="409"/>
      <c r="N3" s="409"/>
      <c r="O3" s="409"/>
      <c r="P3" s="409"/>
      <c r="Q3" s="409"/>
      <c r="R3" s="409"/>
    </row>
    <row r="4" spans="2:18" s="410" customFormat="1" ht="6.95" customHeight="1" x14ac:dyDescent="0.2">
      <c r="C4" s="412"/>
      <c r="D4" s="411"/>
      <c r="E4" s="411"/>
      <c r="F4" s="411"/>
    </row>
    <row r="5" spans="2:18" s="410" customFormat="1" ht="25.5" customHeight="1" x14ac:dyDescent="0.2">
      <c r="B5" s="710" t="s">
        <v>152</v>
      </c>
      <c r="C5" s="710"/>
      <c r="D5" s="710"/>
      <c r="E5" s="710"/>
      <c r="F5" s="71" t="s">
        <v>115</v>
      </c>
      <c r="G5" s="413"/>
      <c r="H5" s="413"/>
      <c r="I5" s="413"/>
      <c r="J5" s="413"/>
      <c r="K5" s="413"/>
    </row>
    <row r="6" spans="2:18" ht="6" customHeight="1" x14ac:dyDescent="0.25">
      <c r="B6" s="414"/>
      <c r="C6" s="415"/>
      <c r="D6" s="416"/>
      <c r="E6" s="416"/>
      <c r="F6" s="416"/>
      <c r="G6" s="414"/>
      <c r="H6" s="414"/>
      <c r="I6" s="414"/>
      <c r="J6" s="414"/>
      <c r="K6" s="414"/>
    </row>
    <row r="7" spans="2:18" ht="60.75" customHeight="1" x14ac:dyDescent="0.25">
      <c r="B7" s="32" t="s">
        <v>76</v>
      </c>
      <c r="C7" s="32"/>
      <c r="D7" s="418" t="s">
        <v>108</v>
      </c>
      <c r="E7" s="419"/>
      <c r="F7" s="420" t="s">
        <v>82</v>
      </c>
      <c r="G7" s="414"/>
      <c r="H7" s="414"/>
      <c r="I7" s="414"/>
      <c r="J7" s="414"/>
      <c r="K7" s="414"/>
    </row>
    <row r="8" spans="2:18" ht="6" customHeight="1" x14ac:dyDescent="0.25">
      <c r="B8" s="31"/>
      <c r="C8" s="421"/>
      <c r="D8" s="422"/>
      <c r="E8" s="422"/>
      <c r="F8" s="422"/>
      <c r="G8" s="414"/>
      <c r="H8" s="414"/>
      <c r="I8" s="414"/>
      <c r="J8" s="414"/>
      <c r="K8" s="414"/>
    </row>
    <row r="9" spans="2:18" s="424" customFormat="1" ht="11.25" x14ac:dyDescent="0.2">
      <c r="B9" s="94" t="s">
        <v>2</v>
      </c>
      <c r="C9" s="423"/>
      <c r="D9" s="334">
        <v>35389.533301433599</v>
      </c>
      <c r="E9" s="87"/>
      <c r="F9" s="334">
        <v>3.04599025E-2</v>
      </c>
      <c r="G9" s="423"/>
      <c r="H9" s="423"/>
      <c r="I9" s="423"/>
      <c r="J9" s="423"/>
      <c r="K9" s="423"/>
    </row>
    <row r="10" spans="2:18" s="426" customFormat="1" ht="6" customHeight="1" x14ac:dyDescent="0.2">
      <c r="B10" s="94"/>
      <c r="C10" s="425"/>
      <c r="D10" s="89"/>
      <c r="E10" s="89"/>
      <c r="F10" s="89"/>
      <c r="G10" s="425"/>
      <c r="H10" s="425"/>
      <c r="I10" s="425"/>
      <c r="J10" s="425"/>
      <c r="K10" s="425"/>
    </row>
    <row r="11" spans="2:18" s="426" customFormat="1" ht="12.75" customHeight="1" x14ac:dyDescent="0.2">
      <c r="B11" s="95" t="s">
        <v>3</v>
      </c>
      <c r="C11" s="427"/>
      <c r="D11" s="279">
        <v>2080.6618581107</v>
      </c>
      <c r="E11" s="89"/>
      <c r="F11" s="279">
        <v>0.17374853270000001</v>
      </c>
      <c r="G11" s="425"/>
      <c r="H11" s="425"/>
      <c r="I11" s="425"/>
      <c r="J11" s="425"/>
      <c r="K11" s="425"/>
    </row>
    <row r="12" spans="2:18" s="426" customFormat="1" ht="12.75" customHeight="1" x14ac:dyDescent="0.2">
      <c r="B12" s="95" t="s">
        <v>4</v>
      </c>
      <c r="C12" s="427"/>
      <c r="D12" s="279">
        <v>6205.0470532730997</v>
      </c>
      <c r="E12" s="89"/>
      <c r="F12" s="279">
        <v>0.11794120499999999</v>
      </c>
      <c r="G12" s="425"/>
      <c r="H12" s="425"/>
      <c r="I12" s="425"/>
      <c r="J12" s="425"/>
      <c r="K12" s="425"/>
    </row>
    <row r="13" spans="2:18" s="426" customFormat="1" ht="12.75" customHeight="1" x14ac:dyDescent="0.2">
      <c r="B13" s="95" t="s">
        <v>5</v>
      </c>
      <c r="C13" s="427"/>
      <c r="D13" s="279">
        <v>1475.9625279483</v>
      </c>
      <c r="E13" s="89"/>
      <c r="F13" s="279">
        <v>0.13825541459999999</v>
      </c>
      <c r="G13" s="425"/>
      <c r="H13" s="425"/>
      <c r="I13" s="425"/>
      <c r="J13" s="425"/>
      <c r="K13" s="425"/>
    </row>
    <row r="14" spans="2:18" s="426" customFormat="1" ht="12.75" customHeight="1" x14ac:dyDescent="0.2">
      <c r="B14" s="95" t="s">
        <v>6</v>
      </c>
      <c r="C14" s="427"/>
      <c r="D14" s="279">
        <v>1210.4592467523</v>
      </c>
      <c r="E14" s="428"/>
      <c r="F14" s="438">
        <v>0.1521060374</v>
      </c>
      <c r="G14" s="425"/>
      <c r="H14" s="425"/>
      <c r="I14" s="425"/>
      <c r="J14" s="425"/>
      <c r="K14" s="425"/>
    </row>
    <row r="15" spans="2:18" s="426" customFormat="1" ht="12.75" customHeight="1" x14ac:dyDescent="0.2">
      <c r="B15" s="95" t="s">
        <v>7</v>
      </c>
      <c r="C15" s="427"/>
      <c r="D15" s="279">
        <v>4510.6752510282004</v>
      </c>
      <c r="E15" s="428"/>
      <c r="F15" s="438">
        <v>0.13218322909999999</v>
      </c>
      <c r="G15" s="425"/>
      <c r="H15" s="425"/>
      <c r="I15" s="425"/>
      <c r="J15" s="425"/>
      <c r="K15" s="425"/>
    </row>
    <row r="16" spans="2:18" s="426" customFormat="1" ht="12.75" customHeight="1" x14ac:dyDescent="0.2">
      <c r="B16" s="95" t="s">
        <v>8</v>
      </c>
      <c r="C16" s="427"/>
      <c r="D16" s="279">
        <v>1739.9265267776</v>
      </c>
      <c r="E16" s="428"/>
      <c r="F16" s="438">
        <v>0.1056743668</v>
      </c>
      <c r="G16" s="425"/>
      <c r="H16" s="425"/>
      <c r="I16" s="425"/>
      <c r="J16" s="425"/>
      <c r="K16" s="425"/>
    </row>
    <row r="17" spans="2:11" s="426" customFormat="1" ht="12.75" customHeight="1" x14ac:dyDescent="0.2">
      <c r="B17" s="95" t="s">
        <v>9</v>
      </c>
      <c r="C17" s="427"/>
      <c r="D17" s="279">
        <v>7119.9463858091003</v>
      </c>
      <c r="E17" s="428"/>
      <c r="F17" s="438">
        <v>0.13722712370000001</v>
      </c>
      <c r="G17" s="425"/>
      <c r="H17" s="425"/>
      <c r="I17" s="425"/>
      <c r="J17" s="425"/>
      <c r="K17" s="425"/>
    </row>
    <row r="18" spans="2:11" s="426" customFormat="1" ht="12.75" customHeight="1" x14ac:dyDescent="0.2">
      <c r="B18" s="95" t="s">
        <v>10</v>
      </c>
      <c r="C18" s="427"/>
      <c r="D18" s="279">
        <v>3708.0028280094002</v>
      </c>
      <c r="E18" s="428"/>
      <c r="F18" s="438">
        <v>0.1430761093</v>
      </c>
      <c r="G18" s="425"/>
      <c r="H18" s="425"/>
      <c r="I18" s="425"/>
      <c r="J18" s="425"/>
      <c r="K18" s="425"/>
    </row>
    <row r="19" spans="2:11" s="426" customFormat="1" ht="12.75" customHeight="1" x14ac:dyDescent="0.2">
      <c r="B19" s="95" t="s">
        <v>11</v>
      </c>
      <c r="C19" s="427"/>
      <c r="D19" s="279">
        <v>9441.1636455700009</v>
      </c>
      <c r="E19" s="428"/>
      <c r="F19" s="438">
        <v>0.1295515454</v>
      </c>
      <c r="G19" s="425"/>
      <c r="H19" s="425"/>
      <c r="I19" s="425"/>
      <c r="J19" s="425"/>
      <c r="K19" s="425"/>
    </row>
    <row r="20" spans="2:11" s="426" customFormat="1" ht="12.75" customHeight="1" x14ac:dyDescent="0.2">
      <c r="B20" s="95" t="s">
        <v>12</v>
      </c>
      <c r="C20" s="427"/>
      <c r="D20" s="279">
        <v>2679.8635192955999</v>
      </c>
      <c r="E20" s="428"/>
      <c r="F20" s="438">
        <v>0.12236164970000001</v>
      </c>
      <c r="G20" s="425"/>
      <c r="H20" s="425"/>
      <c r="I20" s="425"/>
      <c r="J20" s="425"/>
      <c r="K20" s="425"/>
    </row>
    <row r="21" spans="2:11" s="426" customFormat="1" ht="12.75" customHeight="1" x14ac:dyDescent="0.2">
      <c r="B21" s="95" t="s">
        <v>13</v>
      </c>
      <c r="C21" s="427"/>
      <c r="D21" s="279">
        <v>6083.5762575119998</v>
      </c>
      <c r="E21" s="428"/>
      <c r="F21" s="438">
        <v>0.1528068246</v>
      </c>
      <c r="G21" s="425"/>
      <c r="H21" s="425"/>
      <c r="I21" s="425"/>
      <c r="J21" s="425"/>
      <c r="K21" s="425"/>
    </row>
    <row r="22" spans="2:11" s="426" customFormat="1" ht="12.75" customHeight="1" x14ac:dyDescent="0.2">
      <c r="B22" s="95" t="s">
        <v>14</v>
      </c>
      <c r="C22" s="427"/>
      <c r="D22" s="279">
        <v>3197.3289737946002</v>
      </c>
      <c r="E22" s="428"/>
      <c r="F22" s="438">
        <v>0.1564081346</v>
      </c>
      <c r="G22" s="425"/>
      <c r="H22" s="425"/>
      <c r="I22" s="425"/>
      <c r="J22" s="425"/>
      <c r="K22" s="425"/>
    </row>
    <row r="23" spans="2:11" s="426" customFormat="1" ht="12.75" customHeight="1" x14ac:dyDescent="0.2">
      <c r="B23" s="95" t="s">
        <v>15</v>
      </c>
      <c r="C23" s="427"/>
      <c r="D23" s="279">
        <v>3321.5400839618001</v>
      </c>
      <c r="E23" s="428"/>
      <c r="F23" s="438">
        <v>0.16786791549999999</v>
      </c>
      <c r="G23" s="425"/>
      <c r="H23" s="425"/>
      <c r="I23" s="425"/>
      <c r="J23" s="425"/>
      <c r="K23" s="425"/>
    </row>
    <row r="24" spans="2:11" s="426" customFormat="1" ht="12.75" customHeight="1" x14ac:dyDescent="0.2">
      <c r="B24" s="95" t="s">
        <v>16</v>
      </c>
      <c r="C24" s="427"/>
      <c r="D24" s="279">
        <v>13753.0530024039</v>
      </c>
      <c r="E24" s="428"/>
      <c r="F24" s="438">
        <v>0.10783171630000001</v>
      </c>
      <c r="G24" s="425"/>
      <c r="H24" s="425"/>
      <c r="I24" s="425"/>
      <c r="J24" s="425"/>
      <c r="K24" s="425"/>
    </row>
    <row r="25" spans="2:11" s="426" customFormat="1" ht="12.75" customHeight="1" x14ac:dyDescent="0.2">
      <c r="B25" s="95" t="s">
        <v>17</v>
      </c>
      <c r="C25" s="427"/>
      <c r="D25" s="279">
        <v>14957.490784076601</v>
      </c>
      <c r="E25" s="428"/>
      <c r="F25" s="438">
        <v>0.1715023688</v>
      </c>
      <c r="G25" s="425"/>
      <c r="H25" s="425"/>
      <c r="I25" s="425"/>
      <c r="J25" s="425"/>
      <c r="K25" s="425"/>
    </row>
    <row r="26" spans="2:11" s="426" customFormat="1" ht="12.75" customHeight="1" x14ac:dyDescent="0.2">
      <c r="B26" s="95" t="s">
        <v>18</v>
      </c>
      <c r="C26" s="427"/>
      <c r="D26" s="279">
        <v>8595.0909068524998</v>
      </c>
      <c r="E26" s="428"/>
      <c r="F26" s="438">
        <v>0.19050367579999999</v>
      </c>
      <c r="G26" s="425"/>
      <c r="H26" s="425"/>
      <c r="I26" s="425"/>
      <c r="J26" s="425"/>
      <c r="K26" s="425"/>
    </row>
    <row r="27" spans="2:11" s="426" customFormat="1" ht="12.75" customHeight="1" x14ac:dyDescent="0.2">
      <c r="B27" s="95" t="s">
        <v>19</v>
      </c>
      <c r="C27" s="427"/>
      <c r="D27" s="279">
        <v>1688.0708367837999</v>
      </c>
      <c r="E27" s="428"/>
      <c r="F27" s="438">
        <v>0.1802981223</v>
      </c>
      <c r="G27" s="425"/>
      <c r="H27" s="425"/>
      <c r="I27" s="425"/>
      <c r="J27" s="425"/>
      <c r="K27" s="425"/>
    </row>
    <row r="28" spans="2:11" s="426" customFormat="1" ht="12.75" customHeight="1" x14ac:dyDescent="0.2">
      <c r="B28" s="95" t="s">
        <v>20</v>
      </c>
      <c r="C28" s="427"/>
      <c r="D28" s="279">
        <v>2887.4391531567999</v>
      </c>
      <c r="E28" s="428"/>
      <c r="F28" s="438">
        <v>0.14321995330000001</v>
      </c>
      <c r="G28" s="425"/>
      <c r="H28" s="425"/>
      <c r="I28" s="425"/>
      <c r="J28" s="425"/>
      <c r="K28" s="425"/>
    </row>
    <row r="29" spans="2:11" s="426" customFormat="1" ht="12.75" customHeight="1" x14ac:dyDescent="0.2">
      <c r="B29" s="95" t="s">
        <v>21</v>
      </c>
      <c r="C29" s="427"/>
      <c r="D29" s="279">
        <v>10000.8140926499</v>
      </c>
      <c r="E29" s="428"/>
      <c r="F29" s="438">
        <v>0.11281214940000001</v>
      </c>
      <c r="G29" s="425"/>
      <c r="H29" s="425"/>
      <c r="I29" s="425"/>
      <c r="J29" s="425"/>
      <c r="K29" s="425"/>
    </row>
    <row r="30" spans="2:11" s="426" customFormat="1" ht="12.75" customHeight="1" x14ac:dyDescent="0.2">
      <c r="B30" s="95" t="s">
        <v>22</v>
      </c>
      <c r="C30" s="427"/>
      <c r="D30" s="279">
        <v>6380.8979534733999</v>
      </c>
      <c r="E30" s="428"/>
      <c r="F30" s="438">
        <v>0.18664390789999999</v>
      </c>
      <c r="G30" s="425"/>
      <c r="H30" s="425"/>
      <c r="I30" s="425"/>
      <c r="J30" s="425"/>
      <c r="K30" s="425"/>
    </row>
    <row r="31" spans="2:11" s="426" customFormat="1" ht="12.75" customHeight="1" x14ac:dyDescent="0.2">
      <c r="B31" s="95" t="s">
        <v>23</v>
      </c>
      <c r="C31" s="427"/>
      <c r="D31" s="279">
        <v>4612.5792870677997</v>
      </c>
      <c r="E31" s="428"/>
      <c r="F31" s="438">
        <v>0.22061174889999999</v>
      </c>
      <c r="G31" s="425"/>
      <c r="H31" s="425"/>
      <c r="I31" s="425"/>
      <c r="J31" s="425"/>
      <c r="K31" s="425"/>
    </row>
    <row r="32" spans="2:11" s="426" customFormat="1" ht="12.75" customHeight="1" x14ac:dyDescent="0.2">
      <c r="B32" s="95" t="s">
        <v>24</v>
      </c>
      <c r="C32" s="427"/>
      <c r="D32" s="279">
        <v>6674.5021808894999</v>
      </c>
      <c r="E32" s="428"/>
      <c r="F32" s="438">
        <v>0.16736130539999999</v>
      </c>
      <c r="G32" s="425"/>
      <c r="H32" s="425"/>
      <c r="I32" s="425"/>
      <c r="J32" s="425"/>
      <c r="K32" s="425"/>
    </row>
    <row r="33" spans="2:11" s="426" customFormat="1" ht="12.75" customHeight="1" x14ac:dyDescent="0.2">
      <c r="B33" s="95" t="s">
        <v>25</v>
      </c>
      <c r="C33" s="427"/>
      <c r="D33" s="279">
        <v>2945.8123467055002</v>
      </c>
      <c r="E33" s="428"/>
      <c r="F33" s="438">
        <v>0.1655117324</v>
      </c>
      <c r="G33" s="425"/>
      <c r="H33" s="425"/>
      <c r="I33" s="425"/>
      <c r="J33" s="425"/>
      <c r="K33" s="425"/>
    </row>
    <row r="34" spans="2:11" s="426" customFormat="1" ht="12.75" customHeight="1" x14ac:dyDescent="0.2">
      <c r="B34" s="95" t="s">
        <v>26</v>
      </c>
      <c r="C34" s="427"/>
      <c r="D34" s="279">
        <v>2570.7326840976998</v>
      </c>
      <c r="E34" s="428"/>
      <c r="F34" s="438">
        <v>0.131661469</v>
      </c>
      <c r="G34" s="425"/>
      <c r="H34" s="425"/>
      <c r="I34" s="425"/>
      <c r="J34" s="425"/>
      <c r="K34" s="425"/>
    </row>
    <row r="35" spans="2:11" s="426" customFormat="1" ht="12.75" customHeight="1" x14ac:dyDescent="0.2">
      <c r="B35" s="95" t="s">
        <v>27</v>
      </c>
      <c r="C35" s="427"/>
      <c r="D35" s="279">
        <v>3309.1428382409999</v>
      </c>
      <c r="E35" s="428"/>
      <c r="F35" s="438">
        <v>0.1128943666</v>
      </c>
      <c r="G35" s="425"/>
      <c r="H35" s="425"/>
      <c r="I35" s="425"/>
      <c r="J35" s="425"/>
      <c r="K35" s="425"/>
    </row>
    <row r="36" spans="2:11" s="426" customFormat="1" ht="12.75" customHeight="1" x14ac:dyDescent="0.2">
      <c r="B36" s="95" t="s">
        <v>28</v>
      </c>
      <c r="C36" s="427"/>
      <c r="D36" s="279">
        <v>6316.5770537108001</v>
      </c>
      <c r="E36" s="428"/>
      <c r="F36" s="438">
        <v>0.12646052269999999</v>
      </c>
      <c r="G36" s="425"/>
      <c r="H36" s="425"/>
      <c r="I36" s="425"/>
      <c r="J36" s="425"/>
      <c r="K36" s="425"/>
    </row>
    <row r="37" spans="2:11" s="426" customFormat="1" ht="12.75" customHeight="1" x14ac:dyDescent="0.2">
      <c r="B37" s="95" t="s">
        <v>29</v>
      </c>
      <c r="C37" s="427"/>
      <c r="D37" s="279">
        <v>4247.9733525112997</v>
      </c>
      <c r="E37" s="428"/>
      <c r="F37" s="438">
        <v>0.14108313250000001</v>
      </c>
      <c r="G37" s="425"/>
      <c r="H37" s="425"/>
      <c r="I37" s="425"/>
      <c r="J37" s="425"/>
      <c r="K37" s="425"/>
    </row>
    <row r="38" spans="2:11" s="426" customFormat="1" ht="12.75" customHeight="1" x14ac:dyDescent="0.2">
      <c r="B38" s="95" t="s">
        <v>30</v>
      </c>
      <c r="C38" s="427"/>
      <c r="D38" s="279">
        <v>5085.6909832765996</v>
      </c>
      <c r="E38" s="428"/>
      <c r="F38" s="438">
        <v>0.1185338514</v>
      </c>
      <c r="G38" s="425"/>
      <c r="H38" s="425"/>
      <c r="I38" s="425"/>
      <c r="J38" s="425"/>
      <c r="K38" s="425"/>
    </row>
    <row r="39" spans="2:11" s="426" customFormat="1" ht="12.75" customHeight="1" x14ac:dyDescent="0.2">
      <c r="B39" s="95" t="s">
        <v>31</v>
      </c>
      <c r="C39" s="427"/>
      <c r="D39" s="279">
        <v>683.77133929729996</v>
      </c>
      <c r="E39" s="428"/>
      <c r="F39" s="438">
        <v>0.2101253676</v>
      </c>
      <c r="G39" s="425"/>
      <c r="H39" s="425"/>
      <c r="I39" s="425"/>
      <c r="J39" s="425"/>
      <c r="K39" s="425"/>
    </row>
    <row r="40" spans="2:11" s="426" customFormat="1" ht="12.75" customHeight="1" x14ac:dyDescent="0.2">
      <c r="B40" s="95" t="s">
        <v>32</v>
      </c>
      <c r="C40" s="427"/>
      <c r="D40" s="279">
        <v>10640.5971219246</v>
      </c>
      <c r="E40" s="428"/>
      <c r="F40" s="438">
        <v>0.14098282600000001</v>
      </c>
      <c r="G40" s="425"/>
      <c r="H40" s="425"/>
      <c r="I40" s="425"/>
      <c r="J40" s="425"/>
      <c r="K40" s="425"/>
    </row>
    <row r="41" spans="2:11" s="426" customFormat="1" ht="12.75" customHeight="1" x14ac:dyDescent="0.2">
      <c r="B41" s="95" t="s">
        <v>33</v>
      </c>
      <c r="C41" s="427"/>
      <c r="D41" s="279">
        <v>4803.1215171054</v>
      </c>
      <c r="E41" s="428"/>
      <c r="F41" s="438">
        <v>0.11734876029999999</v>
      </c>
      <c r="G41" s="425"/>
      <c r="H41" s="425"/>
      <c r="I41" s="425"/>
      <c r="J41" s="425"/>
      <c r="K41" s="425"/>
    </row>
    <row r="42" spans="2:11" s="426" customFormat="1" ht="12.75" customHeight="1" x14ac:dyDescent="0.2">
      <c r="B42" s="95" t="s">
        <v>34</v>
      </c>
      <c r="C42" s="427"/>
      <c r="D42" s="279">
        <v>3499.5146189134998</v>
      </c>
      <c r="E42" s="428"/>
      <c r="F42" s="438">
        <v>0.13641148459999999</v>
      </c>
      <c r="G42" s="425"/>
      <c r="H42" s="425"/>
      <c r="I42" s="425"/>
      <c r="J42" s="425"/>
      <c r="K42" s="425"/>
    </row>
    <row r="43" spans="2:11" ht="6" customHeight="1" x14ac:dyDescent="0.25">
      <c r="B43" s="429"/>
      <c r="C43" s="430"/>
      <c r="D43" s="264"/>
      <c r="E43" s="431"/>
      <c r="F43" s="432"/>
      <c r="G43" s="414"/>
      <c r="H43" s="414"/>
      <c r="I43" s="414"/>
      <c r="J43" s="414"/>
      <c r="K43" s="414"/>
    </row>
    <row r="44" spans="2:11" ht="6" customHeight="1" x14ac:dyDescent="0.25">
      <c r="B44" s="228"/>
      <c r="C44" s="415"/>
      <c r="D44" s="145"/>
      <c r="E44" s="433"/>
      <c r="F44" s="434"/>
      <c r="G44" s="414"/>
      <c r="H44" s="414"/>
      <c r="I44" s="414"/>
      <c r="J44" s="414"/>
      <c r="K44" s="414"/>
    </row>
    <row r="45" spans="2:11" ht="25.5" customHeight="1" x14ac:dyDescent="0.25">
      <c r="B45" s="702" t="s">
        <v>93</v>
      </c>
      <c r="C45" s="702"/>
      <c r="D45" s="702"/>
      <c r="E45" s="702"/>
      <c r="F45" s="702"/>
      <c r="G45" s="414"/>
      <c r="H45" s="414"/>
      <c r="I45" s="414"/>
      <c r="J45" s="414"/>
      <c r="K45" s="414"/>
    </row>
    <row r="46" spans="2:11" s="13" customFormat="1" ht="14.25" x14ac:dyDescent="0.2">
      <c r="B46" s="109" t="s">
        <v>57</v>
      </c>
    </row>
  </sheetData>
  <mergeCells count="2">
    <mergeCell ref="B5:E5"/>
    <mergeCell ref="B45:F45"/>
  </mergeCells>
  <hyperlinks>
    <hyperlink ref="F1" location="Índice!A1" tooltip="Ir a ÍNDICE" display="INDICE" xr:uid="{5D334E70-24D7-481D-8C49-0681B30AF4C3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C43B-F605-41DD-8C2A-0D88B004C97D}">
  <dimension ref="B1:AA48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446" customWidth="1"/>
    <col min="2" max="2" width="24.28515625" style="446" customWidth="1"/>
    <col min="3" max="3" width="0.85546875" style="444" customWidth="1"/>
    <col min="4" max="4" width="18.7109375" style="445" customWidth="1"/>
    <col min="5" max="5" width="1.7109375" style="445" customWidth="1"/>
    <col min="6" max="6" width="15" style="445" customWidth="1"/>
    <col min="7" max="7" width="12.7109375" style="474" customWidth="1"/>
    <col min="8" max="8" width="1.7109375" style="445" customWidth="1"/>
    <col min="9" max="9" width="16.28515625" style="445" customWidth="1"/>
    <col min="10" max="10" width="12.7109375" style="474" customWidth="1"/>
    <col min="11" max="11" width="1.7109375" style="446" customWidth="1"/>
    <col min="12" max="12" width="16.85546875" style="446" customWidth="1"/>
    <col min="13" max="13" width="11.42578125" style="446"/>
    <col min="14" max="14" width="1.7109375" style="446" customWidth="1"/>
    <col min="15" max="15" width="17.140625" style="446" customWidth="1"/>
    <col min="16" max="16" width="11.42578125" style="446"/>
    <col min="17" max="17" width="1.7109375" style="446" customWidth="1"/>
    <col min="18" max="18" width="18" style="446" customWidth="1"/>
    <col min="19" max="19" width="11.42578125" style="446"/>
    <col min="20" max="20" width="1.7109375" style="446" customWidth="1"/>
    <col min="21" max="21" width="17" style="446" customWidth="1"/>
    <col min="22" max="16384" width="11.42578125" style="446"/>
  </cols>
  <sheetData>
    <row r="1" spans="2:27" s="440" customFormat="1" ht="12" customHeight="1" x14ac:dyDescent="0.2">
      <c r="B1" s="639" t="s">
        <v>202</v>
      </c>
      <c r="D1" s="441"/>
      <c r="E1" s="441"/>
      <c r="F1" s="441"/>
      <c r="G1" s="441"/>
      <c r="H1" s="441"/>
      <c r="I1" s="441"/>
      <c r="V1" s="72" t="s">
        <v>151</v>
      </c>
    </row>
    <row r="2" spans="2:27" s="440" customFormat="1" ht="6.95" customHeight="1" x14ac:dyDescent="0.2">
      <c r="B2" s="639"/>
      <c r="D2" s="441"/>
      <c r="E2" s="441"/>
      <c r="F2" s="441"/>
      <c r="G2" s="441"/>
      <c r="H2" s="441"/>
      <c r="I2" s="441"/>
      <c r="J2" s="441"/>
    </row>
    <row r="3" spans="2:27" s="440" customFormat="1" ht="15" customHeight="1" x14ac:dyDescent="0.2">
      <c r="B3" s="639" t="s">
        <v>199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</row>
    <row r="4" spans="2:27" s="440" customFormat="1" ht="6.95" customHeight="1" x14ac:dyDescent="0.2">
      <c r="C4" s="442"/>
      <c r="D4" s="441"/>
      <c r="E4" s="441"/>
      <c r="F4" s="441"/>
      <c r="G4" s="441"/>
      <c r="H4" s="441"/>
      <c r="I4" s="441"/>
      <c r="J4" s="441"/>
    </row>
    <row r="5" spans="2:27" s="440" customFormat="1" ht="25.5" customHeight="1" x14ac:dyDescent="0.2">
      <c r="B5" s="711" t="s">
        <v>144</v>
      </c>
      <c r="C5" s="711"/>
      <c r="D5" s="711"/>
      <c r="E5" s="711"/>
      <c r="F5" s="711"/>
      <c r="G5" s="711"/>
      <c r="H5" s="711"/>
      <c r="I5" s="711"/>
      <c r="J5" s="711"/>
      <c r="V5" s="71" t="s">
        <v>116</v>
      </c>
    </row>
    <row r="6" spans="2:27" ht="6" customHeight="1" x14ac:dyDescent="0.25">
      <c r="B6" s="443"/>
      <c r="G6" s="445"/>
      <c r="J6" s="445"/>
    </row>
    <row r="7" spans="2:27" ht="15" customHeight="1" x14ac:dyDescent="0.25">
      <c r="B7" s="674" t="s">
        <v>76</v>
      </c>
      <c r="C7" s="674"/>
      <c r="D7" s="712" t="s">
        <v>86</v>
      </c>
      <c r="E7" s="447"/>
      <c r="F7" s="715" t="s">
        <v>75</v>
      </c>
      <c r="G7" s="715"/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</row>
    <row r="8" spans="2:27" ht="24.75" customHeight="1" x14ac:dyDescent="0.25">
      <c r="B8" s="675"/>
      <c r="C8" s="675"/>
      <c r="D8" s="713"/>
      <c r="E8" s="448"/>
      <c r="F8" s="716" t="s">
        <v>63</v>
      </c>
      <c r="G8" s="716"/>
      <c r="H8" s="449"/>
      <c r="I8" s="716" t="s">
        <v>64</v>
      </c>
      <c r="J8" s="716"/>
      <c r="K8" s="450"/>
      <c r="L8" s="716" t="s">
        <v>65</v>
      </c>
      <c r="M8" s="716"/>
      <c r="N8" s="450"/>
      <c r="O8" s="716" t="s">
        <v>66</v>
      </c>
      <c r="P8" s="716"/>
      <c r="Q8" s="451"/>
      <c r="R8" s="716" t="s">
        <v>67</v>
      </c>
      <c r="S8" s="716"/>
      <c r="T8" s="452"/>
      <c r="U8" s="716" t="s">
        <v>39</v>
      </c>
      <c r="V8" s="716"/>
    </row>
    <row r="9" spans="2:27" x14ac:dyDescent="0.25">
      <c r="B9" s="676"/>
      <c r="C9" s="676"/>
      <c r="D9" s="714"/>
      <c r="E9" s="453"/>
      <c r="F9" s="454" t="s">
        <v>0</v>
      </c>
      <c r="G9" s="454" t="s">
        <v>1</v>
      </c>
      <c r="H9" s="454"/>
      <c r="I9" s="454" t="s">
        <v>0</v>
      </c>
      <c r="J9" s="454" t="s">
        <v>1</v>
      </c>
      <c r="K9" s="455"/>
      <c r="L9" s="454" t="s">
        <v>0</v>
      </c>
      <c r="M9" s="454" t="s">
        <v>1</v>
      </c>
      <c r="N9" s="455"/>
      <c r="O9" s="454" t="s">
        <v>0</v>
      </c>
      <c r="P9" s="454" t="s">
        <v>1</v>
      </c>
      <c r="Q9" s="455"/>
      <c r="R9" s="454" t="s">
        <v>0</v>
      </c>
      <c r="S9" s="454" t="s">
        <v>1</v>
      </c>
      <c r="T9" s="455"/>
      <c r="U9" s="454" t="s">
        <v>0</v>
      </c>
      <c r="V9" s="454" t="s">
        <v>1</v>
      </c>
    </row>
    <row r="10" spans="2:27" ht="6" customHeight="1" x14ac:dyDescent="0.25">
      <c r="B10" s="10"/>
      <c r="C10" s="456"/>
      <c r="D10" s="457"/>
      <c r="E10" s="457"/>
      <c r="F10" s="458"/>
      <c r="G10" s="458"/>
      <c r="H10" s="458"/>
      <c r="I10" s="458"/>
      <c r="J10" s="458"/>
      <c r="K10" s="459"/>
      <c r="L10" s="459"/>
      <c r="M10" s="459"/>
      <c r="N10" s="459"/>
      <c r="O10" s="459"/>
      <c r="P10" s="459"/>
      <c r="Q10" s="459"/>
      <c r="R10" s="459"/>
      <c r="S10" s="459"/>
      <c r="T10" s="459"/>
      <c r="U10" s="459"/>
      <c r="V10" s="459"/>
      <c r="W10" s="459"/>
      <c r="X10" s="459"/>
      <c r="Y10" s="459"/>
      <c r="Z10" s="459"/>
      <c r="AA10" s="459"/>
    </row>
    <row r="11" spans="2:27" s="460" customFormat="1" ht="11.25" x14ac:dyDescent="0.2">
      <c r="B11" s="96" t="s">
        <v>2</v>
      </c>
      <c r="D11" s="477">
        <v>35389.533301433599</v>
      </c>
      <c r="E11" s="461"/>
      <c r="F11" s="477">
        <v>19895.0483816618</v>
      </c>
      <c r="G11" s="477">
        <v>0.69346443930000001</v>
      </c>
      <c r="H11" s="461"/>
      <c r="I11" s="477">
        <v>28790.7695455744</v>
      </c>
      <c r="J11" s="477">
        <v>0.94572646770000002</v>
      </c>
      <c r="K11" s="461"/>
      <c r="L11" s="477">
        <v>23478.1069375685</v>
      </c>
      <c r="M11" s="477">
        <v>0.81413609170000001</v>
      </c>
      <c r="N11" s="461"/>
      <c r="O11" s="477">
        <v>21712.0585999004</v>
      </c>
      <c r="P11" s="477">
        <v>0.74990159290000002</v>
      </c>
      <c r="Q11" s="461"/>
      <c r="R11" s="477">
        <v>19610.737587678301</v>
      </c>
      <c r="S11" s="477">
        <v>0.70054030869999995</v>
      </c>
      <c r="T11" s="461"/>
      <c r="U11" s="477">
        <v>10777.183724247599</v>
      </c>
      <c r="V11" s="477">
        <v>0.3898160289</v>
      </c>
      <c r="W11" s="461"/>
      <c r="X11" s="461"/>
      <c r="Y11" s="461"/>
      <c r="Z11" s="461"/>
      <c r="AA11" s="461"/>
    </row>
    <row r="12" spans="2:27" s="462" customFormat="1" ht="6" customHeight="1" x14ac:dyDescent="0.2">
      <c r="B12" s="96"/>
      <c r="D12" s="463"/>
      <c r="E12" s="463"/>
      <c r="F12" s="463"/>
      <c r="G12" s="464"/>
      <c r="H12" s="463"/>
      <c r="I12" s="463"/>
      <c r="J12" s="464"/>
      <c r="K12" s="463"/>
      <c r="L12" s="463"/>
      <c r="M12" s="464"/>
      <c r="N12" s="463"/>
      <c r="O12" s="463"/>
      <c r="P12" s="464"/>
      <c r="Q12" s="463"/>
      <c r="R12" s="463"/>
      <c r="S12" s="464"/>
      <c r="T12" s="463"/>
      <c r="U12" s="463"/>
      <c r="V12" s="464"/>
      <c r="W12" s="463"/>
      <c r="X12" s="463"/>
      <c r="Y12" s="463"/>
      <c r="Z12" s="463"/>
      <c r="AA12" s="463"/>
    </row>
    <row r="13" spans="2:27" s="462" customFormat="1" ht="12.75" customHeight="1" x14ac:dyDescent="0.2">
      <c r="B13" s="95" t="s">
        <v>3</v>
      </c>
      <c r="C13" s="465"/>
      <c r="D13" s="475">
        <v>2080.6618581107</v>
      </c>
      <c r="E13" s="463"/>
      <c r="F13" s="475">
        <v>1076.465903536</v>
      </c>
      <c r="G13" s="475">
        <v>2.2042898128999999</v>
      </c>
      <c r="H13" s="463"/>
      <c r="I13" s="475">
        <v>1200.9670208328</v>
      </c>
      <c r="J13" s="475">
        <v>2.5967137127000002</v>
      </c>
      <c r="K13" s="463"/>
      <c r="L13" s="475">
        <v>1503.55943574</v>
      </c>
      <c r="M13" s="475">
        <v>3.3611259545999999</v>
      </c>
      <c r="N13" s="463"/>
      <c r="O13" s="475">
        <v>1451.7367710983001</v>
      </c>
      <c r="P13" s="475">
        <v>2.8095421564</v>
      </c>
      <c r="Q13" s="463"/>
      <c r="R13" s="475">
        <v>1222.0579867914</v>
      </c>
      <c r="S13" s="475">
        <v>2.3171353026000001</v>
      </c>
      <c r="T13" s="463"/>
      <c r="U13" s="475">
        <v>956.22412189099998</v>
      </c>
      <c r="V13" s="475">
        <v>1.9935833286</v>
      </c>
      <c r="W13" s="463"/>
      <c r="X13" s="463"/>
      <c r="Y13" s="463"/>
      <c r="Z13" s="463"/>
      <c r="AA13" s="463"/>
    </row>
    <row r="14" spans="2:27" s="462" customFormat="1" ht="12.75" customHeight="1" x14ac:dyDescent="0.2">
      <c r="B14" s="95" t="s">
        <v>4</v>
      </c>
      <c r="C14" s="465"/>
      <c r="D14" s="475">
        <v>6205.0470532730997</v>
      </c>
      <c r="E14" s="463"/>
      <c r="F14" s="475">
        <v>3165.1764458451999</v>
      </c>
      <c r="G14" s="475">
        <v>2.7522043574000001</v>
      </c>
      <c r="H14" s="463"/>
      <c r="I14" s="475">
        <v>3623.0768680317001</v>
      </c>
      <c r="J14" s="475">
        <v>3.0903259071</v>
      </c>
      <c r="K14" s="463"/>
      <c r="L14" s="475">
        <v>4614.2723616815001</v>
      </c>
      <c r="M14" s="475">
        <v>3.7601059769999998</v>
      </c>
      <c r="N14" s="463"/>
      <c r="O14" s="475">
        <v>3227.9436798061001</v>
      </c>
      <c r="P14" s="475">
        <v>2.8271047076000002</v>
      </c>
      <c r="Q14" s="463"/>
      <c r="R14" s="475">
        <v>5269.9811131856004</v>
      </c>
      <c r="S14" s="475">
        <v>4.1009647605000001</v>
      </c>
      <c r="T14" s="463"/>
      <c r="U14" s="475">
        <v>1240.2443307671001</v>
      </c>
      <c r="V14" s="475">
        <v>1.1058104447999999</v>
      </c>
      <c r="W14" s="463"/>
      <c r="X14" s="463"/>
      <c r="Y14" s="463"/>
      <c r="Z14" s="463"/>
      <c r="AA14" s="463"/>
    </row>
    <row r="15" spans="2:27" s="462" customFormat="1" ht="12.75" customHeight="1" x14ac:dyDescent="0.2">
      <c r="B15" s="95" t="s">
        <v>5</v>
      </c>
      <c r="C15" s="465"/>
      <c r="D15" s="475">
        <v>1475.9625279483</v>
      </c>
      <c r="E15" s="463"/>
      <c r="F15" s="475">
        <v>861.11061575470001</v>
      </c>
      <c r="G15" s="475">
        <v>3.6753025141000002</v>
      </c>
      <c r="H15" s="463"/>
      <c r="I15" s="475">
        <v>1035.3605898553999</v>
      </c>
      <c r="J15" s="475">
        <v>4.2636457710000002</v>
      </c>
      <c r="K15" s="463"/>
      <c r="L15" s="475">
        <v>684.54563831999997</v>
      </c>
      <c r="M15" s="475">
        <v>2.9822676505999999</v>
      </c>
      <c r="N15" s="463"/>
      <c r="O15" s="475">
        <v>947.98752740609996</v>
      </c>
      <c r="P15" s="475">
        <v>3.8902125180999998</v>
      </c>
      <c r="Q15" s="463"/>
      <c r="R15" s="475">
        <v>646.3711837413</v>
      </c>
      <c r="S15" s="475">
        <v>3.0004540709</v>
      </c>
      <c r="T15" s="463"/>
      <c r="U15" s="475">
        <v>508.43222369059998</v>
      </c>
      <c r="V15" s="475">
        <v>2.2223956625999999</v>
      </c>
      <c r="W15" s="463"/>
      <c r="X15" s="463"/>
      <c r="Y15" s="463"/>
      <c r="Z15" s="463"/>
      <c r="AA15" s="463"/>
    </row>
    <row r="16" spans="2:27" s="462" customFormat="1" ht="12.75" customHeight="1" x14ac:dyDescent="0.2">
      <c r="B16" s="95" t="s">
        <v>6</v>
      </c>
      <c r="C16" s="465"/>
      <c r="D16" s="475">
        <v>1210.4592467523</v>
      </c>
      <c r="E16" s="463"/>
      <c r="F16" s="475">
        <v>792.84816742049998</v>
      </c>
      <c r="G16" s="475">
        <v>3.4240790556</v>
      </c>
      <c r="H16" s="463"/>
      <c r="I16" s="475">
        <v>688.64299745289998</v>
      </c>
      <c r="J16" s="475">
        <v>3.0091037923999999</v>
      </c>
      <c r="K16" s="463"/>
      <c r="L16" s="475">
        <v>687.66593637660003</v>
      </c>
      <c r="M16" s="475">
        <v>3.0281177223000002</v>
      </c>
      <c r="N16" s="463"/>
      <c r="O16" s="475">
        <v>449.76680826640001</v>
      </c>
      <c r="P16" s="475">
        <v>2.1517510516999998</v>
      </c>
      <c r="Q16" s="463"/>
      <c r="R16" s="475">
        <v>788.42515253869999</v>
      </c>
      <c r="S16" s="475">
        <v>3.8256778362000001</v>
      </c>
      <c r="T16" s="463"/>
      <c r="U16" s="475">
        <v>563.28912073670006</v>
      </c>
      <c r="V16" s="475">
        <v>2.6853600420000001</v>
      </c>
      <c r="W16" s="463"/>
      <c r="X16" s="463"/>
      <c r="Y16" s="463"/>
      <c r="Z16" s="463"/>
      <c r="AA16" s="463"/>
    </row>
    <row r="17" spans="2:27" s="462" customFormat="1" ht="12.75" customHeight="1" x14ac:dyDescent="0.2">
      <c r="B17" s="95" t="s">
        <v>7</v>
      </c>
      <c r="C17" s="465"/>
      <c r="D17" s="476">
        <v>4510.6752510282004</v>
      </c>
      <c r="E17" s="466"/>
      <c r="F17" s="476">
        <v>1688.1079151918</v>
      </c>
      <c r="G17" s="478">
        <v>2.1791144495000001</v>
      </c>
      <c r="H17" s="466"/>
      <c r="I17" s="476">
        <v>2385.8430637827</v>
      </c>
      <c r="J17" s="478">
        <v>3.0322749319</v>
      </c>
      <c r="K17" s="463"/>
      <c r="L17" s="475">
        <v>2509.7888464114999</v>
      </c>
      <c r="M17" s="478">
        <v>3.2954677809000001</v>
      </c>
      <c r="N17" s="463"/>
      <c r="O17" s="475">
        <v>3750.0739603818001</v>
      </c>
      <c r="P17" s="478">
        <v>4.3132726538000004</v>
      </c>
      <c r="Q17" s="463"/>
      <c r="R17" s="475">
        <v>3506.8511686480001</v>
      </c>
      <c r="S17" s="478">
        <v>4.5394526135</v>
      </c>
      <c r="T17" s="463"/>
      <c r="U17" s="475">
        <v>1693.2733585179999</v>
      </c>
      <c r="V17" s="478">
        <v>2.2975224385000002</v>
      </c>
      <c r="W17" s="463"/>
      <c r="X17" s="463"/>
      <c r="Y17" s="463"/>
      <c r="Z17" s="463"/>
      <c r="AA17" s="463"/>
    </row>
    <row r="18" spans="2:27" s="462" customFormat="1" ht="12.75" customHeight="1" x14ac:dyDescent="0.2">
      <c r="B18" s="95" t="s">
        <v>8</v>
      </c>
      <c r="C18" s="465"/>
      <c r="D18" s="476">
        <v>1739.9265267776</v>
      </c>
      <c r="E18" s="466"/>
      <c r="F18" s="476">
        <v>518.56124522560003</v>
      </c>
      <c r="G18" s="478">
        <v>1.9703610619</v>
      </c>
      <c r="H18" s="466"/>
      <c r="I18" s="476">
        <v>898.4283567018</v>
      </c>
      <c r="J18" s="478">
        <v>2.9056008092000001</v>
      </c>
      <c r="K18" s="463"/>
      <c r="L18" s="475">
        <v>1116.2813368715999</v>
      </c>
      <c r="M18" s="478">
        <v>3.6625466042000001</v>
      </c>
      <c r="N18" s="463"/>
      <c r="O18" s="475">
        <v>882.86715903000004</v>
      </c>
      <c r="P18" s="478">
        <v>3.6092450122000002</v>
      </c>
      <c r="Q18" s="463"/>
      <c r="R18" s="475">
        <v>870.31577007759995</v>
      </c>
      <c r="S18" s="478">
        <v>3.0727648300000001</v>
      </c>
      <c r="T18" s="463"/>
      <c r="U18" s="475">
        <v>667.57978036930001</v>
      </c>
      <c r="V18" s="478">
        <v>2.4784833872999998</v>
      </c>
      <c r="W18" s="463"/>
      <c r="X18" s="463"/>
      <c r="Y18" s="463"/>
      <c r="Z18" s="463"/>
      <c r="AA18" s="463"/>
    </row>
    <row r="19" spans="2:27" s="462" customFormat="1" ht="12.75" customHeight="1" x14ac:dyDescent="0.2">
      <c r="B19" s="95" t="s">
        <v>9</v>
      </c>
      <c r="C19" s="465"/>
      <c r="D19" s="476">
        <v>7119.9463858091003</v>
      </c>
      <c r="E19" s="466"/>
      <c r="F19" s="476">
        <v>5783.8344468951</v>
      </c>
      <c r="G19" s="478">
        <v>5.5173654983000002</v>
      </c>
      <c r="H19" s="466"/>
      <c r="I19" s="476">
        <v>4352.2353093911997</v>
      </c>
      <c r="J19" s="478">
        <v>5.3687281625000001</v>
      </c>
      <c r="K19" s="463"/>
      <c r="L19" s="475">
        <v>2022.3685547962</v>
      </c>
      <c r="M19" s="478">
        <v>2.8436495020999999</v>
      </c>
      <c r="N19" s="463"/>
      <c r="O19" s="475">
        <v>2351.0272416347998</v>
      </c>
      <c r="P19" s="478">
        <v>3.2022628373000002</v>
      </c>
      <c r="Q19" s="463"/>
      <c r="R19" s="475">
        <v>1831.5744593109</v>
      </c>
      <c r="S19" s="478">
        <v>2.5841812739000001</v>
      </c>
      <c r="T19" s="463"/>
      <c r="U19" s="475">
        <v>309</v>
      </c>
      <c r="V19" s="478">
        <v>0.43467740049999998</v>
      </c>
      <c r="W19" s="463"/>
      <c r="X19" s="463"/>
      <c r="Y19" s="463"/>
      <c r="Z19" s="463"/>
      <c r="AA19" s="463"/>
    </row>
    <row r="20" spans="2:27" s="462" customFormat="1" ht="12.75" customHeight="1" x14ac:dyDescent="0.2">
      <c r="B20" s="95" t="s">
        <v>10</v>
      </c>
      <c r="C20" s="465"/>
      <c r="D20" s="476">
        <v>3708.0028280094002</v>
      </c>
      <c r="E20" s="466"/>
      <c r="F20" s="476">
        <v>2838.3160238405999</v>
      </c>
      <c r="G20" s="478">
        <v>2.9177136758</v>
      </c>
      <c r="H20" s="466"/>
      <c r="I20" s="476">
        <v>2352.4383720126998</v>
      </c>
      <c r="J20" s="478">
        <v>2.5516367460999998</v>
      </c>
      <c r="K20" s="463"/>
      <c r="L20" s="475">
        <v>3402.4814112186</v>
      </c>
      <c r="M20" s="478">
        <v>3.5196532505000002</v>
      </c>
      <c r="N20" s="463"/>
      <c r="O20" s="475">
        <v>3564.5771628983998</v>
      </c>
      <c r="P20" s="478">
        <v>3.9780623121000001</v>
      </c>
      <c r="Q20" s="463"/>
      <c r="R20" s="475">
        <v>3257.7995009261999</v>
      </c>
      <c r="S20" s="478">
        <v>3.5291107823000001</v>
      </c>
      <c r="T20" s="463"/>
      <c r="U20" s="475">
        <v>2061.6458237002998</v>
      </c>
      <c r="V20" s="478">
        <v>2.2610143126</v>
      </c>
      <c r="W20" s="463"/>
      <c r="X20" s="463"/>
      <c r="Y20" s="463"/>
      <c r="Z20" s="463"/>
      <c r="AA20" s="463"/>
    </row>
    <row r="21" spans="2:27" s="462" customFormat="1" ht="12.75" customHeight="1" x14ac:dyDescent="0.2">
      <c r="B21" s="95" t="s">
        <v>11</v>
      </c>
      <c r="C21" s="465"/>
      <c r="D21" s="476">
        <v>9441.1636455700009</v>
      </c>
      <c r="E21" s="466"/>
      <c r="F21" s="476">
        <v>5548.2902422944999</v>
      </c>
      <c r="G21" s="478">
        <v>2.8535567138000002</v>
      </c>
      <c r="H21" s="466"/>
      <c r="I21" s="476">
        <v>10319.469066665801</v>
      </c>
      <c r="J21" s="478">
        <v>4.6436569349000001</v>
      </c>
      <c r="K21" s="463"/>
      <c r="L21" s="475">
        <v>8343.8559024685001</v>
      </c>
      <c r="M21" s="478">
        <v>4.2514238083000002</v>
      </c>
      <c r="N21" s="463"/>
      <c r="O21" s="475">
        <v>6022.4278709729997</v>
      </c>
      <c r="P21" s="478">
        <v>3.1289489389999998</v>
      </c>
      <c r="Q21" s="463"/>
      <c r="R21" s="475">
        <v>6755.8676252626001</v>
      </c>
      <c r="S21" s="478">
        <v>3.5910200165999999</v>
      </c>
      <c r="T21" s="463"/>
      <c r="U21" s="475">
        <v>4554.9109981660004</v>
      </c>
      <c r="V21" s="478">
        <v>2.3486479346000002</v>
      </c>
      <c r="W21" s="463"/>
      <c r="X21" s="463"/>
      <c r="Y21" s="463"/>
      <c r="Z21" s="463"/>
      <c r="AA21" s="463"/>
    </row>
    <row r="22" spans="2:27" s="462" customFormat="1" ht="12.75" customHeight="1" x14ac:dyDescent="0.2">
      <c r="B22" s="95" t="s">
        <v>12</v>
      </c>
      <c r="C22" s="465"/>
      <c r="D22" s="476">
        <v>2679.8635192955999</v>
      </c>
      <c r="E22" s="466"/>
      <c r="F22" s="476">
        <v>1431.2714578692</v>
      </c>
      <c r="G22" s="478">
        <v>2.8617201605</v>
      </c>
      <c r="H22" s="466"/>
      <c r="I22" s="476">
        <v>1581.1510402127001</v>
      </c>
      <c r="J22" s="478">
        <v>3.1043625149</v>
      </c>
      <c r="K22" s="463"/>
      <c r="L22" s="475">
        <v>1775.2307966599999</v>
      </c>
      <c r="M22" s="478">
        <v>3.4601571119000001</v>
      </c>
      <c r="N22" s="463"/>
      <c r="O22" s="475">
        <v>1463.5164836322001</v>
      </c>
      <c r="P22" s="478">
        <v>2.9243265303000001</v>
      </c>
      <c r="Q22" s="463"/>
      <c r="R22" s="475">
        <v>1941.6030077052001</v>
      </c>
      <c r="S22" s="478">
        <v>3.9120627619000001</v>
      </c>
      <c r="T22" s="463"/>
      <c r="U22" s="475">
        <v>863.74052371510004</v>
      </c>
      <c r="V22" s="478">
        <v>1.8400704443</v>
      </c>
      <c r="W22" s="463"/>
      <c r="X22" s="463"/>
      <c r="Y22" s="463"/>
      <c r="Z22" s="463"/>
      <c r="AA22" s="463"/>
    </row>
    <row r="23" spans="2:27" s="462" customFormat="1" ht="12.75" customHeight="1" x14ac:dyDescent="0.2">
      <c r="B23" s="95" t="s">
        <v>13</v>
      </c>
      <c r="C23" s="465"/>
      <c r="D23" s="476">
        <v>6083.5762575119998</v>
      </c>
      <c r="E23" s="466"/>
      <c r="F23" s="476">
        <v>3086.9931972713998</v>
      </c>
      <c r="G23" s="478">
        <v>2.9590674577999998</v>
      </c>
      <c r="H23" s="466"/>
      <c r="I23" s="476">
        <v>4925.8101872461002</v>
      </c>
      <c r="J23" s="478">
        <v>4.3930420918999999</v>
      </c>
      <c r="K23" s="463"/>
      <c r="L23" s="475">
        <v>3918.2506949095</v>
      </c>
      <c r="M23" s="478">
        <v>3.5600381182</v>
      </c>
      <c r="N23" s="463"/>
      <c r="O23" s="475">
        <v>4885.8343777598002</v>
      </c>
      <c r="P23" s="478">
        <v>4.1023038388000002</v>
      </c>
      <c r="Q23" s="463"/>
      <c r="R23" s="475">
        <v>3911.1307401653999</v>
      </c>
      <c r="S23" s="478">
        <v>3.4962882959999999</v>
      </c>
      <c r="T23" s="463"/>
      <c r="U23" s="475">
        <v>1330.467962786</v>
      </c>
      <c r="V23" s="478">
        <v>1.2268130709</v>
      </c>
      <c r="W23" s="463"/>
      <c r="X23" s="463"/>
      <c r="Y23" s="463"/>
      <c r="Z23" s="463"/>
      <c r="AA23" s="463"/>
    </row>
    <row r="24" spans="2:27" s="462" customFormat="1" ht="12.75" customHeight="1" x14ac:dyDescent="0.2">
      <c r="B24" s="95" t="s">
        <v>14</v>
      </c>
      <c r="C24" s="465"/>
      <c r="D24" s="476">
        <v>3197.3289737946002</v>
      </c>
      <c r="E24" s="466"/>
      <c r="F24" s="476">
        <v>2867.9681634681001</v>
      </c>
      <c r="G24" s="478">
        <v>5.0988332584</v>
      </c>
      <c r="H24" s="466"/>
      <c r="I24" s="476">
        <v>2676.5566287053998</v>
      </c>
      <c r="J24" s="478">
        <v>4.9687075645999998</v>
      </c>
      <c r="K24" s="463"/>
      <c r="L24" s="475">
        <v>2009.1502449211</v>
      </c>
      <c r="M24" s="478">
        <v>4.0291210966</v>
      </c>
      <c r="N24" s="463"/>
      <c r="O24" s="475">
        <v>1907.2561582895</v>
      </c>
      <c r="P24" s="478">
        <v>3.6064158378000002</v>
      </c>
      <c r="Q24" s="463"/>
      <c r="R24" s="475">
        <v>1059.3907116829</v>
      </c>
      <c r="S24" s="478">
        <v>2.1311997050999998</v>
      </c>
      <c r="T24" s="463"/>
      <c r="U24" s="475">
        <v>1459.3933671221</v>
      </c>
      <c r="V24" s="478">
        <v>2.8677189040000002</v>
      </c>
      <c r="W24" s="463"/>
      <c r="X24" s="463"/>
      <c r="Y24" s="463"/>
      <c r="Z24" s="463"/>
      <c r="AA24" s="463"/>
    </row>
    <row r="25" spans="2:27" s="462" customFormat="1" ht="12.75" customHeight="1" x14ac:dyDescent="0.2">
      <c r="B25" s="95" t="s">
        <v>15</v>
      </c>
      <c r="C25" s="465"/>
      <c r="D25" s="476">
        <v>3321.5400839618001</v>
      </c>
      <c r="E25" s="466"/>
      <c r="F25" s="476">
        <v>1615.5221979974001</v>
      </c>
      <c r="G25" s="478">
        <v>3.5240479999000001</v>
      </c>
      <c r="H25" s="466"/>
      <c r="I25" s="476">
        <v>2580.5163796639999</v>
      </c>
      <c r="J25" s="478">
        <v>4.9052733517</v>
      </c>
      <c r="K25" s="463"/>
      <c r="L25" s="475">
        <v>2319.2264802444001</v>
      </c>
      <c r="M25" s="478">
        <v>4.6951162509</v>
      </c>
      <c r="N25" s="463"/>
      <c r="O25" s="475">
        <v>2066.9726328810998</v>
      </c>
      <c r="P25" s="478">
        <v>4.3911468077000002</v>
      </c>
      <c r="Q25" s="463"/>
      <c r="R25" s="475">
        <v>1762.7438658261999</v>
      </c>
      <c r="S25" s="478">
        <v>3.6044669459000001</v>
      </c>
      <c r="T25" s="463"/>
      <c r="U25" s="475">
        <v>1036.9249869549001</v>
      </c>
      <c r="V25" s="478">
        <v>2.1906750756000002</v>
      </c>
      <c r="W25" s="463"/>
      <c r="X25" s="463"/>
      <c r="Y25" s="463"/>
      <c r="Z25" s="463"/>
      <c r="AA25" s="463"/>
    </row>
    <row r="26" spans="2:27" s="462" customFormat="1" ht="12.75" customHeight="1" x14ac:dyDescent="0.2">
      <c r="B26" s="95" t="s">
        <v>16</v>
      </c>
      <c r="C26" s="465"/>
      <c r="D26" s="476">
        <v>13753.0530024039</v>
      </c>
      <c r="E26" s="466"/>
      <c r="F26" s="476">
        <v>6540.5108316266997</v>
      </c>
      <c r="G26" s="478">
        <v>2.1272804538000001</v>
      </c>
      <c r="H26" s="466"/>
      <c r="I26" s="476">
        <v>11652.402456539099</v>
      </c>
      <c r="J26" s="478">
        <v>3.5570239993000001</v>
      </c>
      <c r="K26" s="463"/>
      <c r="L26" s="475">
        <v>10527.7303950849</v>
      </c>
      <c r="M26" s="478">
        <v>3.2096233662000002</v>
      </c>
      <c r="N26" s="463"/>
      <c r="O26" s="475">
        <v>7283.8563227239001</v>
      </c>
      <c r="P26" s="478">
        <v>2.4770190315999998</v>
      </c>
      <c r="Q26" s="463"/>
      <c r="R26" s="475">
        <v>7149.7135737342996</v>
      </c>
      <c r="S26" s="478">
        <v>2.3944002115999998</v>
      </c>
      <c r="T26" s="463"/>
      <c r="U26" s="475">
        <v>3095.8686734092998</v>
      </c>
      <c r="V26" s="478">
        <v>1.0602918175</v>
      </c>
      <c r="W26" s="463"/>
      <c r="X26" s="463"/>
      <c r="Y26" s="463"/>
      <c r="Z26" s="463"/>
      <c r="AA26" s="463"/>
    </row>
    <row r="27" spans="2:27" s="462" customFormat="1" ht="12.75" customHeight="1" x14ac:dyDescent="0.2">
      <c r="B27" s="95" t="s">
        <v>17</v>
      </c>
      <c r="C27" s="465"/>
      <c r="D27" s="476">
        <v>14957.490784076601</v>
      </c>
      <c r="E27" s="466"/>
      <c r="F27" s="476">
        <v>9538.0017409583998</v>
      </c>
      <c r="G27" s="478">
        <v>4.3465731777999999</v>
      </c>
      <c r="H27" s="466"/>
      <c r="I27" s="476">
        <v>15473.2146783592</v>
      </c>
      <c r="J27" s="478">
        <v>6.2993384045000003</v>
      </c>
      <c r="K27" s="463"/>
      <c r="L27" s="475">
        <v>11181.750126102401</v>
      </c>
      <c r="M27" s="478">
        <v>4.8751031851000004</v>
      </c>
      <c r="N27" s="463"/>
      <c r="O27" s="475">
        <v>9847.6160250346002</v>
      </c>
      <c r="P27" s="478">
        <v>4.2726127154000002</v>
      </c>
      <c r="Q27" s="463"/>
      <c r="R27" s="475">
        <v>8711.4280846302008</v>
      </c>
      <c r="S27" s="478">
        <v>3.9527170920999999</v>
      </c>
      <c r="T27" s="463"/>
      <c r="U27" s="475">
        <v>5041.2749186756</v>
      </c>
      <c r="V27" s="478">
        <v>2.3010766701000001</v>
      </c>
      <c r="W27" s="463"/>
      <c r="X27" s="463"/>
      <c r="Y27" s="463"/>
      <c r="Z27" s="463"/>
      <c r="AA27" s="463"/>
    </row>
    <row r="28" spans="2:27" s="462" customFormat="1" ht="12.75" customHeight="1" x14ac:dyDescent="0.2">
      <c r="B28" s="95" t="s">
        <v>18</v>
      </c>
      <c r="C28" s="465"/>
      <c r="D28" s="476">
        <v>8595.0909068524998</v>
      </c>
      <c r="E28" s="466"/>
      <c r="F28" s="476">
        <v>2567.9508854338001</v>
      </c>
      <c r="G28" s="478">
        <v>2.7386332561</v>
      </c>
      <c r="H28" s="466"/>
      <c r="I28" s="476">
        <v>4530.8104284151004</v>
      </c>
      <c r="J28" s="478">
        <v>4.4966679402</v>
      </c>
      <c r="K28" s="463"/>
      <c r="L28" s="475">
        <v>4104.7195642309998</v>
      </c>
      <c r="M28" s="478">
        <v>3.3608047492000002</v>
      </c>
      <c r="N28" s="463"/>
      <c r="O28" s="475">
        <v>5889.6057667924997</v>
      </c>
      <c r="P28" s="478">
        <v>4.7128292398999996</v>
      </c>
      <c r="Q28" s="463"/>
      <c r="R28" s="475">
        <v>3024.4274275813</v>
      </c>
      <c r="S28" s="478">
        <v>3.6080371597999998</v>
      </c>
      <c r="T28" s="463"/>
      <c r="U28" s="475">
        <v>1704.8753620133</v>
      </c>
      <c r="V28" s="478">
        <v>1.7632410774</v>
      </c>
      <c r="W28" s="463"/>
      <c r="X28" s="463"/>
      <c r="Y28" s="463"/>
      <c r="Z28" s="463"/>
      <c r="AA28" s="463"/>
    </row>
    <row r="29" spans="2:27" s="462" customFormat="1" ht="12.75" customHeight="1" x14ac:dyDescent="0.2">
      <c r="B29" s="95" t="s">
        <v>19</v>
      </c>
      <c r="C29" s="465"/>
      <c r="D29" s="476">
        <v>1688.0708367837999</v>
      </c>
      <c r="E29" s="466"/>
      <c r="F29" s="476">
        <v>1183.1925315292999</v>
      </c>
      <c r="G29" s="478">
        <v>4.6389314603000003</v>
      </c>
      <c r="H29" s="466"/>
      <c r="I29" s="476">
        <v>1536.7293515776</v>
      </c>
      <c r="J29" s="478">
        <v>5.4227412720999997</v>
      </c>
      <c r="K29" s="463"/>
      <c r="L29" s="475">
        <v>1364.4830767241999</v>
      </c>
      <c r="M29" s="478">
        <v>4.7238826611000002</v>
      </c>
      <c r="N29" s="463"/>
      <c r="O29" s="475">
        <v>1110.9619855482999</v>
      </c>
      <c r="P29" s="478">
        <v>3.9272894901000002</v>
      </c>
      <c r="Q29" s="463"/>
      <c r="R29" s="475">
        <v>777.40594286379996</v>
      </c>
      <c r="S29" s="478">
        <v>2.9361066290000002</v>
      </c>
      <c r="T29" s="463"/>
      <c r="U29" s="475">
        <v>528</v>
      </c>
      <c r="V29" s="478">
        <v>2.0084077523000001</v>
      </c>
      <c r="W29" s="463"/>
      <c r="X29" s="463"/>
      <c r="Y29" s="463"/>
      <c r="Z29" s="463"/>
      <c r="AA29" s="463"/>
    </row>
    <row r="30" spans="2:27" s="462" customFormat="1" ht="12.75" customHeight="1" x14ac:dyDescent="0.2">
      <c r="B30" s="95" t="s">
        <v>20</v>
      </c>
      <c r="C30" s="465"/>
      <c r="D30" s="476">
        <v>2887.4391531567999</v>
      </c>
      <c r="E30" s="466"/>
      <c r="F30" s="476">
        <v>1101.4710818200999</v>
      </c>
      <c r="G30" s="478">
        <v>2.6810198543000001</v>
      </c>
      <c r="H30" s="466"/>
      <c r="I30" s="476">
        <v>1573.9753934555999</v>
      </c>
      <c r="J30" s="478">
        <v>3.1243058024999999</v>
      </c>
      <c r="K30" s="463"/>
      <c r="L30" s="475">
        <v>1491.2594488459999</v>
      </c>
      <c r="M30" s="478">
        <v>3.2552271489</v>
      </c>
      <c r="N30" s="463"/>
      <c r="O30" s="475">
        <v>1419.9232254579999</v>
      </c>
      <c r="P30" s="478">
        <v>2.9387560635000001</v>
      </c>
      <c r="Q30" s="463"/>
      <c r="R30" s="475">
        <v>1038.3859002874001</v>
      </c>
      <c r="S30" s="478">
        <v>2.6343038469</v>
      </c>
      <c r="T30" s="463"/>
      <c r="U30" s="475">
        <v>0</v>
      </c>
      <c r="V30" s="478">
        <v>0</v>
      </c>
      <c r="W30" s="463"/>
      <c r="X30" s="463"/>
      <c r="Y30" s="463"/>
      <c r="Z30" s="463"/>
      <c r="AA30" s="463"/>
    </row>
    <row r="31" spans="2:27" s="462" customFormat="1" ht="12.75" customHeight="1" x14ac:dyDescent="0.2">
      <c r="B31" s="95" t="s">
        <v>21</v>
      </c>
      <c r="C31" s="465"/>
      <c r="D31" s="476">
        <v>10000.8140926499</v>
      </c>
      <c r="E31" s="466"/>
      <c r="F31" s="476">
        <v>4187.5381502740001</v>
      </c>
      <c r="G31" s="478">
        <v>1.9857775232999999</v>
      </c>
      <c r="H31" s="466"/>
      <c r="I31" s="476">
        <v>7695.9826907921997</v>
      </c>
      <c r="J31" s="478">
        <v>3.3758036046000002</v>
      </c>
      <c r="K31" s="463"/>
      <c r="L31" s="475">
        <v>6760.9523670499002</v>
      </c>
      <c r="M31" s="478">
        <v>3.2810156359999998</v>
      </c>
      <c r="N31" s="463"/>
      <c r="O31" s="475">
        <v>8176.5470420833999</v>
      </c>
      <c r="P31" s="478">
        <v>3.4999583184</v>
      </c>
      <c r="Q31" s="463"/>
      <c r="R31" s="475">
        <v>4842.4555252872997</v>
      </c>
      <c r="S31" s="478">
        <v>2.182742621</v>
      </c>
      <c r="T31" s="463"/>
      <c r="U31" s="475">
        <v>3622.4928986405998</v>
      </c>
      <c r="V31" s="478">
        <v>1.6927195797000001</v>
      </c>
      <c r="W31" s="463"/>
      <c r="X31" s="463"/>
      <c r="Y31" s="463"/>
      <c r="Z31" s="463"/>
      <c r="AA31" s="463"/>
    </row>
    <row r="32" spans="2:27" s="462" customFormat="1" ht="12.75" customHeight="1" x14ac:dyDescent="0.2">
      <c r="B32" s="95" t="s">
        <v>22</v>
      </c>
      <c r="C32" s="465"/>
      <c r="D32" s="476">
        <v>6380.8979534733999</v>
      </c>
      <c r="E32" s="466"/>
      <c r="F32" s="476">
        <v>3862.3786998143</v>
      </c>
      <c r="G32" s="478">
        <v>4.5179412434000001</v>
      </c>
      <c r="H32" s="466"/>
      <c r="I32" s="476">
        <v>3263.9615964393001</v>
      </c>
      <c r="J32" s="478">
        <v>3.7154980332999998</v>
      </c>
      <c r="K32" s="463"/>
      <c r="L32" s="475">
        <v>2501.9715005592002</v>
      </c>
      <c r="M32" s="478">
        <v>3.4847182939999999</v>
      </c>
      <c r="N32" s="463"/>
      <c r="O32" s="475">
        <v>3265.3334508828998</v>
      </c>
      <c r="P32" s="478">
        <v>3.6728081257</v>
      </c>
      <c r="Q32" s="463"/>
      <c r="R32" s="475">
        <v>2189.6117339507</v>
      </c>
      <c r="S32" s="478">
        <v>2.7569311400999998</v>
      </c>
      <c r="T32" s="463"/>
      <c r="U32" s="475">
        <v>953.35932365500003</v>
      </c>
      <c r="V32" s="478">
        <v>1.30709509</v>
      </c>
      <c r="W32" s="463"/>
      <c r="X32" s="463"/>
      <c r="Y32" s="463"/>
      <c r="Z32" s="463"/>
      <c r="AA32" s="463"/>
    </row>
    <row r="33" spans="2:27" s="462" customFormat="1" ht="12.75" customHeight="1" x14ac:dyDescent="0.2">
      <c r="B33" s="95" t="s">
        <v>23</v>
      </c>
      <c r="C33" s="465"/>
      <c r="D33" s="476">
        <v>4612.5792870677997</v>
      </c>
      <c r="E33" s="466"/>
      <c r="F33" s="476">
        <v>4261.7867633971</v>
      </c>
      <c r="G33" s="478">
        <v>5.2667852727</v>
      </c>
      <c r="H33" s="466"/>
      <c r="I33" s="476">
        <v>3699.9613684747001</v>
      </c>
      <c r="J33" s="478">
        <v>4.741658707</v>
      </c>
      <c r="K33" s="463"/>
      <c r="L33" s="475">
        <v>3409.5582389240999</v>
      </c>
      <c r="M33" s="478">
        <v>4.3896997797999999</v>
      </c>
      <c r="N33" s="463"/>
      <c r="O33" s="475">
        <v>2648.5986897284001</v>
      </c>
      <c r="P33" s="478">
        <v>3.4387760160999998</v>
      </c>
      <c r="Q33" s="463"/>
      <c r="R33" s="475">
        <v>3218.9967381157999</v>
      </c>
      <c r="S33" s="478">
        <v>4.1108630089</v>
      </c>
      <c r="T33" s="463"/>
      <c r="U33" s="475">
        <v>2720.9869532947</v>
      </c>
      <c r="V33" s="478">
        <v>3.5284192088999999</v>
      </c>
      <c r="W33" s="463"/>
      <c r="X33" s="463"/>
      <c r="Y33" s="463"/>
      <c r="Z33" s="463"/>
      <c r="AA33" s="463"/>
    </row>
    <row r="34" spans="2:27" s="462" customFormat="1" ht="12.75" customHeight="1" x14ac:dyDescent="0.2">
      <c r="B34" s="95" t="s">
        <v>24</v>
      </c>
      <c r="C34" s="465"/>
      <c r="D34" s="476">
        <v>6674.5021808894999</v>
      </c>
      <c r="E34" s="466"/>
      <c r="F34" s="476">
        <v>2499.4239136248998</v>
      </c>
      <c r="G34" s="478">
        <v>2.8374135972999999</v>
      </c>
      <c r="H34" s="466"/>
      <c r="I34" s="476">
        <v>4493.3385274451002</v>
      </c>
      <c r="J34" s="478">
        <v>4.5477604482</v>
      </c>
      <c r="K34" s="463"/>
      <c r="L34" s="475">
        <v>3667.8191722274</v>
      </c>
      <c r="M34" s="478">
        <v>4.7809719649</v>
      </c>
      <c r="N34" s="463"/>
      <c r="O34" s="475">
        <v>1973.2515185742</v>
      </c>
      <c r="P34" s="478">
        <v>3.0078940781000001</v>
      </c>
      <c r="Q34" s="463"/>
      <c r="R34" s="475">
        <v>2005.0674987648999</v>
      </c>
      <c r="S34" s="478">
        <v>2.9450585359999999</v>
      </c>
      <c r="T34" s="463"/>
      <c r="U34" s="475">
        <v>465.19888219990003</v>
      </c>
      <c r="V34" s="478">
        <v>0.64508365889999997</v>
      </c>
      <c r="W34" s="463"/>
      <c r="X34" s="463"/>
      <c r="Y34" s="463"/>
      <c r="Z34" s="463"/>
      <c r="AA34" s="463"/>
    </row>
    <row r="35" spans="2:27" s="462" customFormat="1" ht="12.75" customHeight="1" x14ac:dyDescent="0.2">
      <c r="B35" s="95" t="s">
        <v>25</v>
      </c>
      <c r="C35" s="465"/>
      <c r="D35" s="476">
        <v>2945.8123467055002</v>
      </c>
      <c r="E35" s="466"/>
      <c r="F35" s="476">
        <v>1783.2057112898999</v>
      </c>
      <c r="G35" s="478">
        <v>3.2557986716</v>
      </c>
      <c r="H35" s="466"/>
      <c r="I35" s="476">
        <v>2755.0452353981</v>
      </c>
      <c r="J35" s="478">
        <v>4.4214680244000002</v>
      </c>
      <c r="K35" s="463"/>
      <c r="L35" s="475">
        <v>2121.2228762735999</v>
      </c>
      <c r="M35" s="478">
        <v>3.6447737949999999</v>
      </c>
      <c r="N35" s="463"/>
      <c r="O35" s="475">
        <v>1298.9485623561</v>
      </c>
      <c r="P35" s="478">
        <v>2.3212680359000002</v>
      </c>
      <c r="Q35" s="463"/>
      <c r="R35" s="475">
        <v>1729.1031613461</v>
      </c>
      <c r="S35" s="478">
        <v>3.0887239791000001</v>
      </c>
      <c r="T35" s="463"/>
      <c r="U35" s="475">
        <v>1235.9885628318</v>
      </c>
      <c r="V35" s="478">
        <v>2.2446772328</v>
      </c>
      <c r="W35" s="463"/>
      <c r="X35" s="463"/>
      <c r="Y35" s="463"/>
      <c r="Z35" s="463"/>
      <c r="AA35" s="463"/>
    </row>
    <row r="36" spans="2:27" s="462" customFormat="1" ht="12.75" customHeight="1" x14ac:dyDescent="0.2">
      <c r="B36" s="95" t="s">
        <v>26</v>
      </c>
      <c r="C36" s="465"/>
      <c r="D36" s="476">
        <v>2570.7326840976998</v>
      </c>
      <c r="E36" s="466"/>
      <c r="F36" s="476">
        <v>1818.0273134637</v>
      </c>
      <c r="G36" s="478">
        <v>3.2638914376999999</v>
      </c>
      <c r="H36" s="466"/>
      <c r="I36" s="476">
        <v>2202.1982005955001</v>
      </c>
      <c r="J36" s="478">
        <v>3.9755356451999999</v>
      </c>
      <c r="K36" s="463"/>
      <c r="L36" s="475">
        <v>2457.5496154207999</v>
      </c>
      <c r="M36" s="478">
        <v>4.4632171226999997</v>
      </c>
      <c r="N36" s="463"/>
      <c r="O36" s="475">
        <v>1917.1872218507001</v>
      </c>
      <c r="P36" s="478">
        <v>3.5334158461</v>
      </c>
      <c r="Q36" s="463"/>
      <c r="R36" s="475">
        <v>1846.6085749737999</v>
      </c>
      <c r="S36" s="478">
        <v>3.2820622486</v>
      </c>
      <c r="T36" s="463"/>
      <c r="U36" s="475">
        <v>732.18372011400004</v>
      </c>
      <c r="V36" s="478">
        <v>1.3550865007999999</v>
      </c>
      <c r="W36" s="463"/>
      <c r="X36" s="463"/>
      <c r="Y36" s="463"/>
      <c r="Z36" s="463"/>
      <c r="AA36" s="463"/>
    </row>
    <row r="37" spans="2:27" s="462" customFormat="1" ht="12.75" customHeight="1" x14ac:dyDescent="0.2">
      <c r="B37" s="95" t="s">
        <v>27</v>
      </c>
      <c r="C37" s="465"/>
      <c r="D37" s="476">
        <v>3309.1428382409999</v>
      </c>
      <c r="E37" s="466"/>
      <c r="F37" s="476">
        <v>1841.6710963885</v>
      </c>
      <c r="G37" s="478">
        <v>2.8338936668999999</v>
      </c>
      <c r="H37" s="466"/>
      <c r="I37" s="476">
        <v>2603.4382652997001</v>
      </c>
      <c r="J37" s="478">
        <v>3.7679680393999999</v>
      </c>
      <c r="K37" s="463"/>
      <c r="L37" s="475">
        <v>2766.8247014922999</v>
      </c>
      <c r="M37" s="478">
        <v>4.0488243395000003</v>
      </c>
      <c r="N37" s="463"/>
      <c r="O37" s="475">
        <v>2912.2146832111998</v>
      </c>
      <c r="P37" s="478">
        <v>4.1735543811999998</v>
      </c>
      <c r="Q37" s="463"/>
      <c r="R37" s="475">
        <v>2143.1357709908002</v>
      </c>
      <c r="S37" s="478">
        <v>3.3023748408000002</v>
      </c>
      <c r="T37" s="463"/>
      <c r="U37" s="475">
        <v>1249.5523925862999</v>
      </c>
      <c r="V37" s="478">
        <v>1.8876645877</v>
      </c>
      <c r="W37" s="463"/>
      <c r="X37" s="463"/>
      <c r="Y37" s="463"/>
      <c r="Z37" s="463"/>
      <c r="AA37" s="463"/>
    </row>
    <row r="38" spans="2:27" s="462" customFormat="1" ht="12.75" customHeight="1" x14ac:dyDescent="0.2">
      <c r="B38" s="95" t="s">
        <v>28</v>
      </c>
      <c r="C38" s="465"/>
      <c r="D38" s="476">
        <v>6316.5770537108001</v>
      </c>
      <c r="E38" s="466"/>
      <c r="F38" s="476">
        <v>3250.1032655589001</v>
      </c>
      <c r="G38" s="478">
        <v>2.5109451565000001</v>
      </c>
      <c r="H38" s="466"/>
      <c r="I38" s="476">
        <v>3232.1525258749998</v>
      </c>
      <c r="J38" s="478">
        <v>2.6643851186999998</v>
      </c>
      <c r="K38" s="463"/>
      <c r="L38" s="475">
        <v>4149.3913195253999</v>
      </c>
      <c r="M38" s="478">
        <v>3.2327439159</v>
      </c>
      <c r="N38" s="463"/>
      <c r="O38" s="475">
        <v>3023.1315722643999</v>
      </c>
      <c r="P38" s="478">
        <v>2.4183944217</v>
      </c>
      <c r="Q38" s="463"/>
      <c r="R38" s="475">
        <v>4162.5847500665004</v>
      </c>
      <c r="S38" s="478">
        <v>3.2691885085000001</v>
      </c>
      <c r="T38" s="463"/>
      <c r="U38" s="475">
        <v>1469.7574629850001</v>
      </c>
      <c r="V38" s="478">
        <v>1.1917244649000001</v>
      </c>
      <c r="W38" s="463"/>
      <c r="X38" s="463"/>
      <c r="Y38" s="463"/>
      <c r="Z38" s="463"/>
      <c r="AA38" s="463"/>
    </row>
    <row r="39" spans="2:27" s="462" customFormat="1" ht="12.75" customHeight="1" x14ac:dyDescent="0.2">
      <c r="B39" s="95" t="s">
        <v>29</v>
      </c>
      <c r="C39" s="465"/>
      <c r="D39" s="476">
        <v>4247.9733525112997</v>
      </c>
      <c r="E39" s="466"/>
      <c r="F39" s="476">
        <v>2034.4405660743</v>
      </c>
      <c r="G39" s="478">
        <v>3.2914453758</v>
      </c>
      <c r="H39" s="466"/>
      <c r="I39" s="476">
        <v>2046.3498142610999</v>
      </c>
      <c r="J39" s="478">
        <v>3.6613981013000001</v>
      </c>
      <c r="K39" s="463"/>
      <c r="L39" s="475">
        <v>1966.7655137229001</v>
      </c>
      <c r="M39" s="478">
        <v>3.6382664655000001</v>
      </c>
      <c r="N39" s="463"/>
      <c r="O39" s="475">
        <v>2296.1863351864999</v>
      </c>
      <c r="P39" s="478">
        <v>3.6079100371999999</v>
      </c>
      <c r="Q39" s="463"/>
      <c r="R39" s="475">
        <v>1860.5758937041001</v>
      </c>
      <c r="S39" s="478">
        <v>3.2186340869999999</v>
      </c>
      <c r="T39" s="463"/>
      <c r="U39" s="475">
        <v>1317.2200330183</v>
      </c>
      <c r="V39" s="478">
        <v>2.3824063483</v>
      </c>
      <c r="W39" s="463"/>
      <c r="X39" s="463"/>
      <c r="Y39" s="463"/>
      <c r="Z39" s="463"/>
      <c r="AA39" s="463"/>
    </row>
    <row r="40" spans="2:27" s="462" customFormat="1" ht="12.75" customHeight="1" x14ac:dyDescent="0.2">
      <c r="B40" s="95" t="s">
        <v>30</v>
      </c>
      <c r="C40" s="465"/>
      <c r="D40" s="476">
        <v>5085.6909832765996</v>
      </c>
      <c r="E40" s="466"/>
      <c r="F40" s="476">
        <v>2713.6447095233002</v>
      </c>
      <c r="G40" s="478">
        <v>2.4888179369999999</v>
      </c>
      <c r="H40" s="466"/>
      <c r="I40" s="476">
        <v>4638.6337901676998</v>
      </c>
      <c r="J40" s="478">
        <v>3.8799186711</v>
      </c>
      <c r="K40" s="463"/>
      <c r="L40" s="475">
        <v>3503.4939235881002</v>
      </c>
      <c r="M40" s="478">
        <v>3.2784723191</v>
      </c>
      <c r="N40" s="463"/>
      <c r="O40" s="475">
        <v>3132.9942216444001</v>
      </c>
      <c r="P40" s="478">
        <v>2.9013740590000001</v>
      </c>
      <c r="Q40" s="463"/>
      <c r="R40" s="475">
        <v>2972.5884593750002</v>
      </c>
      <c r="S40" s="478">
        <v>2.7045194439000002</v>
      </c>
      <c r="T40" s="463"/>
      <c r="U40" s="475">
        <v>2126.1052251879</v>
      </c>
      <c r="V40" s="478">
        <v>1.9250366707</v>
      </c>
      <c r="W40" s="463"/>
      <c r="X40" s="463"/>
      <c r="Y40" s="463"/>
      <c r="Z40" s="463"/>
      <c r="AA40" s="463"/>
    </row>
    <row r="41" spans="2:27" s="462" customFormat="1" ht="12.75" customHeight="1" x14ac:dyDescent="0.2">
      <c r="B41" s="95" t="s">
        <v>31</v>
      </c>
      <c r="C41" s="465"/>
      <c r="D41" s="476">
        <v>683.77133929729996</v>
      </c>
      <c r="E41" s="466"/>
      <c r="F41" s="476">
        <v>523.89636379729995</v>
      </c>
      <c r="G41" s="478">
        <v>4.5473806782999997</v>
      </c>
      <c r="H41" s="466"/>
      <c r="I41" s="476">
        <v>610.45141766840004</v>
      </c>
      <c r="J41" s="478">
        <v>5.3256669641999999</v>
      </c>
      <c r="K41" s="463"/>
      <c r="L41" s="475">
        <v>658.49874715140004</v>
      </c>
      <c r="M41" s="478">
        <v>5.9622736547999997</v>
      </c>
      <c r="N41" s="463"/>
      <c r="O41" s="475">
        <v>558.05575189419994</v>
      </c>
      <c r="P41" s="478">
        <v>4.8302577335999999</v>
      </c>
      <c r="Q41" s="463"/>
      <c r="R41" s="475">
        <v>512.34233347120005</v>
      </c>
      <c r="S41" s="478">
        <v>4.3319179525999996</v>
      </c>
      <c r="T41" s="463"/>
      <c r="U41" s="475">
        <v>91</v>
      </c>
      <c r="V41" s="478">
        <v>0.82192103780000003</v>
      </c>
      <c r="W41" s="463"/>
      <c r="X41" s="463"/>
      <c r="Y41" s="463"/>
      <c r="Z41" s="463"/>
      <c r="AA41" s="463"/>
    </row>
    <row r="42" spans="2:27" s="462" customFormat="1" ht="12.75" customHeight="1" x14ac:dyDescent="0.2">
      <c r="B42" s="95" t="s">
        <v>32</v>
      </c>
      <c r="C42" s="465"/>
      <c r="D42" s="476">
        <v>10640.5971219246</v>
      </c>
      <c r="E42" s="466"/>
      <c r="F42" s="476">
        <v>6822.1194572427003</v>
      </c>
      <c r="G42" s="478">
        <v>4.3055626127000002</v>
      </c>
      <c r="H42" s="466"/>
      <c r="I42" s="476">
        <v>7639.0395702309997</v>
      </c>
      <c r="J42" s="478">
        <v>4.8925398729999996</v>
      </c>
      <c r="K42" s="463"/>
      <c r="L42" s="475">
        <v>3251.635280901</v>
      </c>
      <c r="M42" s="478">
        <v>2.4064305442</v>
      </c>
      <c r="N42" s="463"/>
      <c r="O42" s="475">
        <v>5790.5940157773002</v>
      </c>
      <c r="P42" s="478">
        <v>4.0327391836000004</v>
      </c>
      <c r="Q42" s="463"/>
      <c r="R42" s="475">
        <v>4943.7042286123997</v>
      </c>
      <c r="S42" s="478">
        <v>3.3920398637</v>
      </c>
      <c r="T42" s="463"/>
      <c r="U42" s="475">
        <v>2019.0151064317999</v>
      </c>
      <c r="V42" s="478">
        <v>1.4691709309000001</v>
      </c>
      <c r="W42" s="463"/>
      <c r="X42" s="463"/>
      <c r="Y42" s="463"/>
      <c r="Z42" s="463"/>
      <c r="AA42" s="463"/>
    </row>
    <row r="43" spans="2:27" s="462" customFormat="1" ht="12.75" customHeight="1" x14ac:dyDescent="0.2">
      <c r="B43" s="95" t="s">
        <v>33</v>
      </c>
      <c r="C43" s="465"/>
      <c r="D43" s="476">
        <v>4803.1215171054</v>
      </c>
      <c r="E43" s="466"/>
      <c r="F43" s="476">
        <v>2350.4363378063999</v>
      </c>
      <c r="G43" s="478">
        <v>2.6522785593</v>
      </c>
      <c r="H43" s="466"/>
      <c r="I43" s="476">
        <v>3740.9728508379999</v>
      </c>
      <c r="J43" s="478">
        <v>3.6896762279000002</v>
      </c>
      <c r="K43" s="463"/>
      <c r="L43" s="475">
        <v>1873.2532706929001</v>
      </c>
      <c r="M43" s="478">
        <v>2.0558786065999999</v>
      </c>
      <c r="N43" s="463"/>
      <c r="O43" s="475">
        <v>1852.8478794122</v>
      </c>
      <c r="P43" s="478">
        <v>2.1663063719000002</v>
      </c>
      <c r="Q43" s="463"/>
      <c r="R43" s="475">
        <v>3105.6647459021001</v>
      </c>
      <c r="S43" s="478">
        <v>3.4833327003000001</v>
      </c>
      <c r="T43" s="463"/>
      <c r="U43" s="475">
        <v>1616.2181352175</v>
      </c>
      <c r="V43" s="478">
        <v>1.7658944771</v>
      </c>
      <c r="W43" s="463"/>
      <c r="X43" s="463"/>
      <c r="Y43" s="463"/>
      <c r="Z43" s="463"/>
      <c r="AA43" s="463"/>
    </row>
    <row r="44" spans="2:27" s="462" customFormat="1" ht="12.75" customHeight="1" x14ac:dyDescent="0.2">
      <c r="B44" s="95" t="s">
        <v>34</v>
      </c>
      <c r="C44" s="465"/>
      <c r="D44" s="476">
        <v>3499.5146189134998</v>
      </c>
      <c r="E44" s="466"/>
      <c r="F44" s="476">
        <v>1155.7467811862</v>
      </c>
      <c r="G44" s="478">
        <v>2.6623665953</v>
      </c>
      <c r="H44" s="466"/>
      <c r="I44" s="476">
        <v>1523.3991997153</v>
      </c>
      <c r="J44" s="478">
        <v>3.4790557364999999</v>
      </c>
      <c r="K44" s="463"/>
      <c r="L44" s="475">
        <v>2461.4123286949998</v>
      </c>
      <c r="M44" s="478">
        <v>4.5343573733999998</v>
      </c>
      <c r="N44" s="463"/>
      <c r="O44" s="475">
        <v>1665.6963716058999</v>
      </c>
      <c r="P44" s="478">
        <v>3.5734290839999998</v>
      </c>
      <c r="Q44" s="463"/>
      <c r="R44" s="475">
        <v>1698.5517594011999</v>
      </c>
      <c r="S44" s="478">
        <v>3.4767185801</v>
      </c>
      <c r="T44" s="463"/>
      <c r="U44" s="475">
        <v>647.15977762670002</v>
      </c>
      <c r="V44" s="478">
        <v>1.4879873695000001</v>
      </c>
      <c r="W44" s="463"/>
      <c r="X44" s="463"/>
      <c r="Y44" s="463"/>
      <c r="Z44" s="463"/>
      <c r="AA44" s="463"/>
    </row>
    <row r="45" spans="2:27" ht="6" customHeight="1" x14ac:dyDescent="0.25">
      <c r="B45" s="467"/>
      <c r="C45" s="468"/>
      <c r="D45" s="469"/>
      <c r="E45" s="470"/>
      <c r="F45" s="469"/>
      <c r="G45" s="471"/>
      <c r="H45" s="471"/>
      <c r="I45" s="469"/>
      <c r="J45" s="469"/>
      <c r="K45" s="469"/>
      <c r="L45" s="469"/>
      <c r="M45" s="469"/>
      <c r="N45" s="469"/>
      <c r="O45" s="469"/>
      <c r="P45" s="469"/>
      <c r="Q45" s="469"/>
      <c r="R45" s="469"/>
      <c r="S45" s="469"/>
      <c r="T45" s="469"/>
      <c r="U45" s="469"/>
      <c r="V45" s="469"/>
      <c r="W45" s="459"/>
      <c r="X45" s="459"/>
      <c r="Y45" s="459"/>
      <c r="Z45" s="459"/>
      <c r="AA45" s="459"/>
    </row>
    <row r="46" spans="2:27" ht="6" customHeight="1" x14ac:dyDescent="0.25">
      <c r="B46" s="228"/>
      <c r="D46" s="145"/>
      <c r="E46" s="472"/>
      <c r="F46" s="145"/>
      <c r="G46" s="473"/>
      <c r="H46" s="473"/>
      <c r="I46" s="145"/>
      <c r="J46" s="473"/>
    </row>
    <row r="47" spans="2:27" ht="25.5" customHeight="1" x14ac:dyDescent="0.25">
      <c r="B47" s="702" t="s">
        <v>93</v>
      </c>
      <c r="C47" s="702"/>
      <c r="D47" s="702"/>
      <c r="E47" s="702"/>
      <c r="F47" s="702"/>
      <c r="G47" s="702"/>
      <c r="H47" s="702"/>
      <c r="I47" s="702"/>
      <c r="J47" s="702"/>
    </row>
    <row r="48" spans="2:27" s="13" customFormat="1" ht="14.25" x14ac:dyDescent="0.2">
      <c r="B48" s="109" t="s">
        <v>57</v>
      </c>
    </row>
  </sheetData>
  <mergeCells count="11">
    <mergeCell ref="B47:J47"/>
    <mergeCell ref="B5:J5"/>
    <mergeCell ref="B7:C9"/>
    <mergeCell ref="D7:D9"/>
    <mergeCell ref="F7:V7"/>
    <mergeCell ref="F8:G8"/>
    <mergeCell ref="I8:J8"/>
    <mergeCell ref="L8:M8"/>
    <mergeCell ref="O8:P8"/>
    <mergeCell ref="R8:S8"/>
    <mergeCell ref="U8:V8"/>
  </mergeCells>
  <hyperlinks>
    <hyperlink ref="V1" location="Índice!A1" tooltip="Ir a ÍNDICE" display="INDICE" xr:uid="{D252A7B8-1787-4C41-8172-A4DE0254616E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81F01-7B69-479C-9246-571F0590FEDD}">
  <dimension ref="B1:V51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520" customWidth="1"/>
    <col min="2" max="2" width="24.28515625" style="520" customWidth="1"/>
    <col min="3" max="3" width="0.85546875" style="534" customWidth="1"/>
    <col min="4" max="4" width="18.7109375" style="535" customWidth="1"/>
    <col min="5" max="5" width="1.7109375" style="535" customWidth="1"/>
    <col min="6" max="6" width="12.7109375" style="535" customWidth="1"/>
    <col min="7" max="7" width="12.7109375" style="536" customWidth="1"/>
    <col min="8" max="8" width="1.7109375" style="535" customWidth="1"/>
    <col min="9" max="9" width="12.7109375" style="535" customWidth="1"/>
    <col min="10" max="10" width="12.7109375" style="536" customWidth="1"/>
    <col min="11" max="11" width="1.7109375" style="535" customWidth="1"/>
    <col min="12" max="12" width="12.7109375" style="535" customWidth="1"/>
    <col min="13" max="13" width="12.7109375" style="536" customWidth="1"/>
    <col min="14" max="14" width="1.7109375" style="535" customWidth="1"/>
    <col min="15" max="15" width="14" style="520" customWidth="1"/>
    <col min="16" max="16" width="12.7109375" style="537" customWidth="1"/>
    <col min="17" max="17" width="1.7109375" style="520" customWidth="1"/>
    <col min="18" max="18" width="13.85546875" style="520" customWidth="1"/>
    <col min="19" max="19" width="11.42578125" style="520"/>
    <col min="20" max="20" width="1.7109375" style="520" customWidth="1"/>
    <col min="21" max="21" width="17" style="520" customWidth="1"/>
    <col min="22" max="16384" width="11.42578125" style="520"/>
  </cols>
  <sheetData>
    <row r="1" spans="2:22" s="483" customFormat="1" ht="12" customHeight="1" x14ac:dyDescent="0.2">
      <c r="B1" s="639" t="s">
        <v>202</v>
      </c>
      <c r="D1" s="484"/>
      <c r="E1" s="484"/>
      <c r="F1" s="484"/>
      <c r="G1" s="484"/>
      <c r="H1" s="484"/>
      <c r="I1" s="484"/>
      <c r="K1" s="484"/>
      <c r="L1" s="484"/>
      <c r="M1" s="484"/>
      <c r="N1" s="484"/>
      <c r="V1" s="72" t="s">
        <v>151</v>
      </c>
    </row>
    <row r="2" spans="2:22" s="483" customFormat="1" ht="6.95" customHeight="1" x14ac:dyDescent="0.2">
      <c r="B2" s="639"/>
      <c r="D2" s="484"/>
      <c r="E2" s="484"/>
      <c r="F2" s="484"/>
      <c r="G2" s="484"/>
      <c r="H2" s="484"/>
      <c r="I2" s="484"/>
      <c r="J2" s="484"/>
      <c r="K2" s="484"/>
      <c r="L2" s="484"/>
      <c r="M2" s="484"/>
      <c r="N2" s="484"/>
    </row>
    <row r="3" spans="2:22" s="483" customFormat="1" ht="15" customHeight="1" x14ac:dyDescent="0.2">
      <c r="B3" s="639" t="s">
        <v>199</v>
      </c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</row>
    <row r="4" spans="2:22" s="485" customFormat="1" ht="6.95" customHeight="1" x14ac:dyDescent="0.2">
      <c r="C4" s="486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</row>
    <row r="5" spans="2:22" s="485" customFormat="1" ht="18" customHeight="1" x14ac:dyDescent="0.2">
      <c r="B5" s="717" t="s">
        <v>197</v>
      </c>
      <c r="C5" s="717"/>
      <c r="D5" s="717"/>
      <c r="E5" s="717"/>
      <c r="F5" s="717"/>
      <c r="G5" s="717"/>
      <c r="H5" s="717"/>
      <c r="I5" s="717"/>
      <c r="J5" s="717"/>
      <c r="K5" s="717"/>
      <c r="L5" s="717"/>
      <c r="M5" s="717"/>
      <c r="N5" s="717"/>
      <c r="O5" s="488"/>
      <c r="P5" s="489"/>
      <c r="Q5" s="490"/>
      <c r="R5" s="57"/>
      <c r="V5" s="71" t="s">
        <v>117</v>
      </c>
    </row>
    <row r="6" spans="2:22" s="494" customFormat="1" ht="6" customHeight="1" x14ac:dyDescent="0.25">
      <c r="B6" s="491"/>
      <c r="C6" s="492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</row>
    <row r="7" spans="2:22" s="494" customFormat="1" ht="15" customHeight="1" x14ac:dyDescent="0.25">
      <c r="B7" s="681" t="s">
        <v>76</v>
      </c>
      <c r="C7" s="681"/>
      <c r="D7" s="718" t="s">
        <v>108</v>
      </c>
      <c r="E7" s="495"/>
      <c r="F7" s="721" t="s">
        <v>175</v>
      </c>
      <c r="G7" s="721"/>
      <c r="H7" s="721"/>
      <c r="I7" s="721"/>
      <c r="J7" s="721"/>
      <c r="K7" s="721"/>
      <c r="L7" s="721"/>
      <c r="M7" s="721"/>
      <c r="N7" s="721"/>
      <c r="O7" s="721"/>
      <c r="P7" s="721"/>
      <c r="Q7" s="721"/>
      <c r="R7" s="721"/>
      <c r="S7" s="721"/>
      <c r="T7" s="496"/>
      <c r="U7" s="722" t="s">
        <v>174</v>
      </c>
      <c r="V7" s="722"/>
    </row>
    <row r="8" spans="2:22" s="494" customFormat="1" ht="24.75" customHeight="1" x14ac:dyDescent="0.25">
      <c r="B8" s="682"/>
      <c r="C8" s="682"/>
      <c r="D8" s="719"/>
      <c r="E8" s="497"/>
      <c r="F8" s="723" t="s">
        <v>173</v>
      </c>
      <c r="G8" s="723"/>
      <c r="H8" s="498"/>
      <c r="I8" s="723" t="s">
        <v>196</v>
      </c>
      <c r="J8" s="723"/>
      <c r="K8" s="498"/>
      <c r="L8" s="724" t="s">
        <v>176</v>
      </c>
      <c r="M8" s="724"/>
      <c r="N8" s="498"/>
      <c r="O8" s="724" t="s">
        <v>177</v>
      </c>
      <c r="P8" s="724"/>
      <c r="Q8" s="498"/>
      <c r="R8" s="723" t="s">
        <v>44</v>
      </c>
      <c r="S8" s="723"/>
      <c r="T8" s="498"/>
      <c r="U8" s="723"/>
      <c r="V8" s="723"/>
    </row>
    <row r="9" spans="2:22" s="494" customFormat="1" x14ac:dyDescent="0.25">
      <c r="B9" s="683"/>
      <c r="C9" s="683"/>
      <c r="D9" s="720"/>
      <c r="E9" s="499"/>
      <c r="F9" s="500" t="s">
        <v>0</v>
      </c>
      <c r="G9" s="500" t="s">
        <v>1</v>
      </c>
      <c r="H9" s="500"/>
      <c r="I9" s="500" t="s">
        <v>0</v>
      </c>
      <c r="J9" s="500" t="s">
        <v>1</v>
      </c>
      <c r="K9" s="501"/>
      <c r="L9" s="500" t="s">
        <v>0</v>
      </c>
      <c r="M9" s="500" t="s">
        <v>1</v>
      </c>
      <c r="N9" s="501"/>
      <c r="O9" s="500" t="s">
        <v>0</v>
      </c>
      <c r="P9" s="500" t="s">
        <v>1</v>
      </c>
      <c r="Q9" s="501"/>
      <c r="R9" s="500" t="s">
        <v>0</v>
      </c>
      <c r="S9" s="500" t="s">
        <v>1</v>
      </c>
      <c r="T9" s="502"/>
      <c r="U9" s="500" t="s">
        <v>0</v>
      </c>
      <c r="V9" s="500" t="s">
        <v>1</v>
      </c>
    </row>
    <row r="10" spans="2:22" s="494" customFormat="1" ht="6" customHeight="1" x14ac:dyDescent="0.25">
      <c r="B10" s="31"/>
      <c r="C10" s="503"/>
      <c r="D10" s="504"/>
      <c r="E10" s="504"/>
      <c r="F10" s="504"/>
      <c r="G10" s="504"/>
      <c r="H10" s="504"/>
      <c r="I10" s="504"/>
      <c r="J10" s="504"/>
      <c r="K10" s="504"/>
      <c r="L10" s="504"/>
      <c r="M10" s="504"/>
      <c r="N10" s="505"/>
      <c r="O10" s="505"/>
      <c r="P10" s="505"/>
      <c r="Q10" s="505"/>
      <c r="R10" s="505"/>
      <c r="S10" s="505"/>
      <c r="T10" s="505"/>
      <c r="U10" s="505"/>
      <c r="V10" s="505"/>
    </row>
    <row r="11" spans="2:22" s="506" customFormat="1" ht="11.25" x14ac:dyDescent="0.2">
      <c r="B11" s="94" t="s">
        <v>2</v>
      </c>
      <c r="D11" s="334">
        <v>35389.533301433599</v>
      </c>
      <c r="E11" s="87"/>
      <c r="F11" s="334">
        <v>30295.691517374202</v>
      </c>
      <c r="G11" s="334">
        <v>0.97644509859999995</v>
      </c>
      <c r="H11" s="87"/>
      <c r="I11" s="334">
        <v>14608.136914832399</v>
      </c>
      <c r="J11" s="334">
        <v>0.52343964009999999</v>
      </c>
      <c r="K11" s="87"/>
      <c r="L11" s="334">
        <v>13015.838765545701</v>
      </c>
      <c r="M11" s="334">
        <v>0.46197255450000002</v>
      </c>
      <c r="N11" s="87"/>
      <c r="O11" s="334">
        <v>31241.659970317902</v>
      </c>
      <c r="P11" s="334">
        <v>0.98656242979999997</v>
      </c>
      <c r="Q11" s="87"/>
      <c r="R11" s="334">
        <v>10099.908678244799</v>
      </c>
      <c r="S11" s="334">
        <v>0.36394242380000003</v>
      </c>
      <c r="U11" s="334">
        <v>10152.24673363</v>
      </c>
      <c r="V11" s="334">
        <v>0.36452745809999998</v>
      </c>
    </row>
    <row r="12" spans="2:22" s="508" customFormat="1" ht="6" customHeight="1" x14ac:dyDescent="0.2">
      <c r="B12" s="94"/>
      <c r="D12" s="87"/>
      <c r="E12" s="87"/>
      <c r="F12" s="87"/>
      <c r="G12" s="507"/>
      <c r="H12" s="87"/>
      <c r="I12" s="87"/>
      <c r="J12" s="507"/>
      <c r="K12" s="87"/>
      <c r="L12" s="87"/>
      <c r="M12" s="507"/>
      <c r="N12" s="87"/>
      <c r="O12" s="87"/>
      <c r="P12" s="507"/>
      <c r="Q12" s="87"/>
      <c r="R12" s="87"/>
      <c r="S12" s="507"/>
      <c r="U12" s="87"/>
      <c r="V12" s="507"/>
    </row>
    <row r="13" spans="2:22" s="508" customFormat="1" ht="12.75" customHeight="1" x14ac:dyDescent="0.2">
      <c r="B13" s="95" t="s">
        <v>3</v>
      </c>
      <c r="C13" s="509"/>
      <c r="D13" s="279">
        <v>2080.6618581107</v>
      </c>
      <c r="E13" s="510"/>
      <c r="F13" s="279">
        <v>1900.423934619</v>
      </c>
      <c r="G13" s="538">
        <v>3.4465184858</v>
      </c>
      <c r="H13" s="510"/>
      <c r="I13" s="279">
        <v>867.86663530559997</v>
      </c>
      <c r="J13" s="538">
        <v>1.8675945324000001</v>
      </c>
      <c r="K13" s="511"/>
      <c r="L13" s="279">
        <v>895.99523600550003</v>
      </c>
      <c r="M13" s="538">
        <v>1.9095896143</v>
      </c>
      <c r="N13" s="512"/>
      <c r="O13" s="279">
        <v>1521.2867867163</v>
      </c>
      <c r="P13" s="538">
        <v>3.3107525852999999</v>
      </c>
      <c r="Q13" s="513"/>
      <c r="R13" s="539">
        <v>659.53432165100003</v>
      </c>
      <c r="S13" s="538">
        <v>1.3957082030000001</v>
      </c>
      <c r="U13" s="539">
        <v>782.54613769870002</v>
      </c>
      <c r="V13" s="538">
        <v>1.6020908552999999</v>
      </c>
    </row>
    <row r="14" spans="2:22" s="508" customFormat="1" ht="12.75" customHeight="1" x14ac:dyDescent="0.2">
      <c r="B14" s="95" t="s">
        <v>4</v>
      </c>
      <c r="C14" s="509"/>
      <c r="D14" s="279">
        <v>6205.0470532730997</v>
      </c>
      <c r="E14" s="510"/>
      <c r="F14" s="279">
        <v>6091.1453071469004</v>
      </c>
      <c r="G14" s="538">
        <v>4.1183809633999999</v>
      </c>
      <c r="H14" s="510"/>
      <c r="I14" s="279">
        <v>1706.10111072</v>
      </c>
      <c r="J14" s="538">
        <v>1.5194502646000001</v>
      </c>
      <c r="K14" s="511"/>
      <c r="L14" s="279">
        <v>2116.6472604096998</v>
      </c>
      <c r="M14" s="538">
        <v>1.8239334711999999</v>
      </c>
      <c r="N14" s="512"/>
      <c r="O14" s="279">
        <v>4238.1297594969001</v>
      </c>
      <c r="P14" s="538">
        <v>3.9004713832000002</v>
      </c>
      <c r="Q14" s="513"/>
      <c r="R14" s="539">
        <v>1227.5121180665001</v>
      </c>
      <c r="S14" s="538">
        <v>1.0799149987000001</v>
      </c>
      <c r="U14" s="539">
        <v>1084.4547016818999</v>
      </c>
      <c r="V14" s="538">
        <v>0.95210531509999996</v>
      </c>
    </row>
    <row r="15" spans="2:22" s="508" customFormat="1" ht="12.75" customHeight="1" x14ac:dyDescent="0.2">
      <c r="B15" s="95" t="s">
        <v>5</v>
      </c>
      <c r="C15" s="509"/>
      <c r="D15" s="279">
        <v>1475.9625279483</v>
      </c>
      <c r="E15" s="510"/>
      <c r="F15" s="279">
        <v>1014.6920068546</v>
      </c>
      <c r="G15" s="538">
        <v>3.9310263534000001</v>
      </c>
      <c r="H15" s="510"/>
      <c r="I15" s="279">
        <v>697.63360490790001</v>
      </c>
      <c r="J15" s="538">
        <v>3.1784778422</v>
      </c>
      <c r="K15" s="511"/>
      <c r="L15" s="279">
        <v>548.17971505699995</v>
      </c>
      <c r="M15" s="538">
        <v>2.4576187082000001</v>
      </c>
      <c r="N15" s="512"/>
      <c r="O15" s="279">
        <v>1173.3001336540001</v>
      </c>
      <c r="P15" s="538">
        <v>4.5717555693999996</v>
      </c>
      <c r="Q15" s="513"/>
      <c r="R15" s="539">
        <v>98</v>
      </c>
      <c r="S15" s="538">
        <v>0.44172988899999999</v>
      </c>
      <c r="U15" s="539">
        <v>237.05906436999999</v>
      </c>
      <c r="V15" s="538">
        <v>1.0561927515</v>
      </c>
    </row>
    <row r="16" spans="2:22" s="508" customFormat="1" ht="12.75" customHeight="1" x14ac:dyDescent="0.2">
      <c r="B16" s="95" t="s">
        <v>6</v>
      </c>
      <c r="C16" s="509"/>
      <c r="D16" s="279">
        <v>1210.4592467523</v>
      </c>
      <c r="E16" s="510"/>
      <c r="F16" s="279">
        <v>756.19783279169997</v>
      </c>
      <c r="G16" s="538">
        <v>3.7040178999000002</v>
      </c>
      <c r="H16" s="510"/>
      <c r="I16" s="279">
        <v>579.01807829259997</v>
      </c>
      <c r="J16" s="538">
        <v>2.6654613477</v>
      </c>
      <c r="K16" s="511"/>
      <c r="L16" s="279">
        <v>621.78971467480005</v>
      </c>
      <c r="M16" s="538">
        <v>2.7842192657</v>
      </c>
      <c r="N16" s="512"/>
      <c r="O16" s="279">
        <v>1052.6442027751</v>
      </c>
      <c r="P16" s="538">
        <v>4.0345371001999997</v>
      </c>
      <c r="Q16" s="513"/>
      <c r="R16" s="539">
        <v>306.59327256580002</v>
      </c>
      <c r="S16" s="538">
        <v>1.4692113798999999</v>
      </c>
      <c r="U16" s="539">
        <v>467.83631558680003</v>
      </c>
      <c r="V16" s="538">
        <v>2.2728074431</v>
      </c>
    </row>
    <row r="17" spans="2:22" s="508" customFormat="1" ht="12.75" customHeight="1" x14ac:dyDescent="0.2">
      <c r="B17" s="95" t="s">
        <v>7</v>
      </c>
      <c r="C17" s="509"/>
      <c r="D17" s="279">
        <v>4510.6752510282004</v>
      </c>
      <c r="E17" s="510"/>
      <c r="F17" s="279">
        <v>4226.5959665297996</v>
      </c>
      <c r="G17" s="538">
        <v>4.5739987524999997</v>
      </c>
      <c r="H17" s="510"/>
      <c r="I17" s="279">
        <v>1914.5780540369999</v>
      </c>
      <c r="J17" s="538">
        <v>2.5752085404999998</v>
      </c>
      <c r="K17" s="511"/>
      <c r="L17" s="279">
        <v>1252.9107443601999</v>
      </c>
      <c r="M17" s="538">
        <v>1.6745188449999999</v>
      </c>
      <c r="N17" s="512"/>
      <c r="O17" s="279">
        <v>3247.9859656921999</v>
      </c>
      <c r="P17" s="538">
        <v>3.7609856969000002</v>
      </c>
      <c r="Q17" s="513"/>
      <c r="R17" s="539">
        <v>1257.6261368149001</v>
      </c>
      <c r="S17" s="538">
        <v>1.6828588809</v>
      </c>
      <c r="U17" s="539">
        <v>709.42370978140002</v>
      </c>
      <c r="V17" s="538">
        <v>0.93373116730000005</v>
      </c>
    </row>
    <row r="18" spans="2:22" s="508" customFormat="1" ht="12.75" customHeight="1" x14ac:dyDescent="0.2">
      <c r="B18" s="95" t="s">
        <v>8</v>
      </c>
      <c r="C18" s="509"/>
      <c r="D18" s="279">
        <v>1739.9265267776</v>
      </c>
      <c r="E18" s="510"/>
      <c r="F18" s="279">
        <v>1517.0331824745001</v>
      </c>
      <c r="G18" s="538">
        <v>3.8284772039999999</v>
      </c>
      <c r="H18" s="510"/>
      <c r="I18" s="279">
        <v>629.49136797330004</v>
      </c>
      <c r="J18" s="538">
        <v>2.2542639449999999</v>
      </c>
      <c r="K18" s="511"/>
      <c r="L18" s="279">
        <v>490.62301329680002</v>
      </c>
      <c r="M18" s="538">
        <v>1.8288628987</v>
      </c>
      <c r="N18" s="512"/>
      <c r="O18" s="279">
        <v>956.28383756749997</v>
      </c>
      <c r="P18" s="538">
        <v>3.7861931632000001</v>
      </c>
      <c r="Q18" s="513"/>
      <c r="R18" s="539">
        <v>394.06408108329998</v>
      </c>
      <c r="S18" s="538">
        <v>1.4682661735</v>
      </c>
      <c r="U18" s="539">
        <v>413.36273416940003</v>
      </c>
      <c r="V18" s="538">
        <v>1.5676318212</v>
      </c>
    </row>
    <row r="19" spans="2:22" s="508" customFormat="1" ht="12.75" customHeight="1" x14ac:dyDescent="0.2">
      <c r="B19" s="95" t="s">
        <v>9</v>
      </c>
      <c r="C19" s="509"/>
      <c r="D19" s="279">
        <v>7119.9463858091003</v>
      </c>
      <c r="E19" s="510"/>
      <c r="F19" s="279">
        <v>2888.4919075531002</v>
      </c>
      <c r="G19" s="538">
        <v>3.4790049465999999</v>
      </c>
      <c r="H19" s="510"/>
      <c r="I19" s="279">
        <v>2175.4484595136</v>
      </c>
      <c r="J19" s="538">
        <v>2.993976848</v>
      </c>
      <c r="K19" s="511"/>
      <c r="L19" s="279">
        <v>1067.5790368866999</v>
      </c>
      <c r="M19" s="538">
        <v>1.4486914573</v>
      </c>
      <c r="N19" s="512"/>
      <c r="O19" s="279">
        <v>4622.3554734979998</v>
      </c>
      <c r="P19" s="538">
        <v>4.8339473413</v>
      </c>
      <c r="Q19" s="513"/>
      <c r="R19" s="539">
        <v>1623.5932372365</v>
      </c>
      <c r="S19" s="538">
        <v>2.2680997691</v>
      </c>
      <c r="U19" s="539">
        <v>2002.8149281358001</v>
      </c>
      <c r="V19" s="538">
        <v>2.6921030701999999</v>
      </c>
    </row>
    <row r="20" spans="2:22" s="508" customFormat="1" ht="12.75" customHeight="1" x14ac:dyDescent="0.2">
      <c r="B20" s="95" t="s">
        <v>10</v>
      </c>
      <c r="C20" s="509"/>
      <c r="D20" s="279">
        <v>3708.0028280094002</v>
      </c>
      <c r="E20" s="510"/>
      <c r="F20" s="279">
        <v>4630.2453710091004</v>
      </c>
      <c r="G20" s="538">
        <v>4.7447647212000001</v>
      </c>
      <c r="H20" s="510"/>
      <c r="I20" s="279">
        <v>1588.7530750036001</v>
      </c>
      <c r="J20" s="538">
        <v>1.7161751051</v>
      </c>
      <c r="K20" s="511"/>
      <c r="L20" s="279">
        <v>2186.6467493712998</v>
      </c>
      <c r="M20" s="538">
        <v>2.3930121040999999</v>
      </c>
      <c r="N20" s="512"/>
      <c r="O20" s="279">
        <v>4183.2998715224003</v>
      </c>
      <c r="P20" s="538">
        <v>4.4650622167999998</v>
      </c>
      <c r="Q20" s="513"/>
      <c r="R20" s="539">
        <v>1182.6698609502</v>
      </c>
      <c r="S20" s="538">
        <v>1.2854927232</v>
      </c>
      <c r="U20" s="539">
        <v>0</v>
      </c>
      <c r="V20" s="538">
        <v>0</v>
      </c>
    </row>
    <row r="21" spans="2:22" s="508" customFormat="1" ht="12.75" customHeight="1" x14ac:dyDescent="0.2">
      <c r="B21" s="95" t="s">
        <v>11</v>
      </c>
      <c r="C21" s="509"/>
      <c r="D21" s="279">
        <v>9441.1636455700009</v>
      </c>
      <c r="E21" s="510"/>
      <c r="F21" s="279">
        <v>9416.6241979551996</v>
      </c>
      <c r="G21" s="538">
        <v>4.6574975772</v>
      </c>
      <c r="H21" s="510"/>
      <c r="I21" s="279">
        <v>9311.6007735241001</v>
      </c>
      <c r="J21" s="538">
        <v>4.5977825993000003</v>
      </c>
      <c r="K21" s="511"/>
      <c r="L21" s="279">
        <v>6994.8061319856997</v>
      </c>
      <c r="M21" s="538">
        <v>3.5632604062</v>
      </c>
      <c r="N21" s="512"/>
      <c r="O21" s="279">
        <v>10376.4420006399</v>
      </c>
      <c r="P21" s="538">
        <v>5.1154609751000004</v>
      </c>
      <c r="Q21" s="513"/>
      <c r="R21" s="539">
        <v>2924.2469970917</v>
      </c>
      <c r="S21" s="538">
        <v>1.5514288465999999</v>
      </c>
      <c r="U21" s="539">
        <v>1872</v>
      </c>
      <c r="V21" s="538">
        <v>0.97512526070000005</v>
      </c>
    </row>
    <row r="22" spans="2:22" s="508" customFormat="1" ht="12.75" customHeight="1" x14ac:dyDescent="0.2">
      <c r="B22" s="95" t="s">
        <v>12</v>
      </c>
      <c r="C22" s="509"/>
      <c r="D22" s="279">
        <v>2679.8635192955999</v>
      </c>
      <c r="E22" s="510"/>
      <c r="F22" s="279">
        <v>2060.8481421906999</v>
      </c>
      <c r="G22" s="538">
        <v>4.1643021390000001</v>
      </c>
      <c r="H22" s="510"/>
      <c r="I22" s="279">
        <v>1443.6158147951001</v>
      </c>
      <c r="J22" s="538">
        <v>2.8942975792999999</v>
      </c>
      <c r="K22" s="511"/>
      <c r="L22" s="279">
        <v>1143.0818722500001</v>
      </c>
      <c r="M22" s="538">
        <v>2.3571064596000002</v>
      </c>
      <c r="N22" s="512"/>
      <c r="O22" s="279">
        <v>2543.2079177331002</v>
      </c>
      <c r="P22" s="538">
        <v>4.2752403911999997</v>
      </c>
      <c r="Q22" s="513"/>
      <c r="R22" s="539">
        <v>928.05591306650001</v>
      </c>
      <c r="S22" s="538">
        <v>1.9854785688000001</v>
      </c>
      <c r="U22" s="539">
        <v>559.74458460979997</v>
      </c>
      <c r="V22" s="538">
        <v>1.1858371974999999</v>
      </c>
    </row>
    <row r="23" spans="2:22" s="508" customFormat="1" ht="12.75" customHeight="1" x14ac:dyDescent="0.2">
      <c r="B23" s="95" t="s">
        <v>13</v>
      </c>
      <c r="C23" s="509"/>
      <c r="D23" s="279">
        <v>6083.5762575119998</v>
      </c>
      <c r="E23" s="510"/>
      <c r="F23" s="279">
        <v>5689.1778053335001</v>
      </c>
      <c r="G23" s="538">
        <v>4.7335891323999997</v>
      </c>
      <c r="H23" s="510"/>
      <c r="I23" s="279">
        <v>2531.3421999668999</v>
      </c>
      <c r="J23" s="538">
        <v>2.3096441965999999</v>
      </c>
      <c r="K23" s="511"/>
      <c r="L23" s="279">
        <v>2053.7913720726001</v>
      </c>
      <c r="M23" s="538">
        <v>1.9611767065000001</v>
      </c>
      <c r="N23" s="512"/>
      <c r="O23" s="279">
        <v>4810.4396552302996</v>
      </c>
      <c r="P23" s="538">
        <v>4.0247175884999997</v>
      </c>
      <c r="Q23" s="513"/>
      <c r="R23" s="539">
        <v>1773.6558290717001</v>
      </c>
      <c r="S23" s="538">
        <v>1.6811202121</v>
      </c>
      <c r="U23" s="539">
        <v>2453.8583903722001</v>
      </c>
      <c r="V23" s="538">
        <v>2.2676906321999999</v>
      </c>
    </row>
    <row r="24" spans="2:22" s="508" customFormat="1" ht="12.75" customHeight="1" x14ac:dyDescent="0.2">
      <c r="B24" s="95" t="s">
        <v>14</v>
      </c>
      <c r="C24" s="509"/>
      <c r="D24" s="279">
        <v>3197.3289737946002</v>
      </c>
      <c r="E24" s="510"/>
      <c r="F24" s="279">
        <v>1551.8396180018001</v>
      </c>
      <c r="G24" s="538">
        <v>2.9297323715000001</v>
      </c>
      <c r="H24" s="510"/>
      <c r="I24" s="279">
        <v>1263.2306466621999</v>
      </c>
      <c r="J24" s="538">
        <v>2.6785728735999998</v>
      </c>
      <c r="K24" s="511"/>
      <c r="L24" s="279">
        <v>1387.2797122426</v>
      </c>
      <c r="M24" s="538">
        <v>2.8070855169</v>
      </c>
      <c r="N24" s="512"/>
      <c r="O24" s="279">
        <v>3396.2724017173</v>
      </c>
      <c r="P24" s="538">
        <v>4.8384560604000004</v>
      </c>
      <c r="Q24" s="513"/>
      <c r="R24" s="539">
        <v>972.28442340710001</v>
      </c>
      <c r="S24" s="538">
        <v>1.940072341</v>
      </c>
      <c r="U24" s="539">
        <v>581</v>
      </c>
      <c r="V24" s="538">
        <v>1.1599142237</v>
      </c>
    </row>
    <row r="25" spans="2:22" s="508" customFormat="1" ht="12.75" customHeight="1" x14ac:dyDescent="0.2">
      <c r="B25" s="95" t="s">
        <v>15</v>
      </c>
      <c r="C25" s="509"/>
      <c r="D25" s="279">
        <v>3321.5400839618001</v>
      </c>
      <c r="E25" s="510"/>
      <c r="F25" s="279">
        <v>2130.5871386909998</v>
      </c>
      <c r="G25" s="538">
        <v>4.5591933225999997</v>
      </c>
      <c r="H25" s="510"/>
      <c r="I25" s="279">
        <v>1772.4563800127</v>
      </c>
      <c r="J25" s="538">
        <v>3.6742525927999998</v>
      </c>
      <c r="K25" s="511"/>
      <c r="L25" s="279">
        <v>2788.2072495901002</v>
      </c>
      <c r="M25" s="538">
        <v>5.6485563477999996</v>
      </c>
      <c r="N25" s="512"/>
      <c r="O25" s="279">
        <v>3114.3539455901</v>
      </c>
      <c r="P25" s="538">
        <v>5.7283401514000003</v>
      </c>
      <c r="Q25" s="513"/>
      <c r="R25" s="539">
        <v>516.98839445390001</v>
      </c>
      <c r="S25" s="538">
        <v>1.1006826127</v>
      </c>
      <c r="U25" s="539">
        <v>830.81526225749997</v>
      </c>
      <c r="V25" s="538">
        <v>1.8090971959</v>
      </c>
    </row>
    <row r="26" spans="2:22" s="508" customFormat="1" ht="12.75" customHeight="1" x14ac:dyDescent="0.2">
      <c r="B26" s="95" t="s">
        <v>16</v>
      </c>
      <c r="C26" s="509"/>
      <c r="D26" s="279">
        <v>13753.0530024039</v>
      </c>
      <c r="E26" s="510"/>
      <c r="F26" s="279">
        <v>14271.2744518158</v>
      </c>
      <c r="G26" s="538">
        <v>3.7196914491999999</v>
      </c>
      <c r="H26" s="510"/>
      <c r="I26" s="279">
        <v>3516.7934764401998</v>
      </c>
      <c r="J26" s="538">
        <v>1.2235437071999999</v>
      </c>
      <c r="K26" s="511"/>
      <c r="L26" s="279">
        <v>4245.1085211018999</v>
      </c>
      <c r="M26" s="538">
        <v>1.4562715685000001</v>
      </c>
      <c r="N26" s="512"/>
      <c r="O26" s="279">
        <v>13059.5650095327</v>
      </c>
      <c r="P26" s="538">
        <v>3.6359122187000001</v>
      </c>
      <c r="Q26" s="513"/>
      <c r="R26" s="539">
        <v>6497.7394200306999</v>
      </c>
      <c r="S26" s="538">
        <v>2.1339265034000001</v>
      </c>
      <c r="U26" s="539">
        <v>1156</v>
      </c>
      <c r="V26" s="538">
        <v>0.3930100259</v>
      </c>
    </row>
    <row r="27" spans="2:22" s="508" customFormat="1" ht="12.75" customHeight="1" x14ac:dyDescent="0.2">
      <c r="B27" s="95" t="s">
        <v>17</v>
      </c>
      <c r="C27" s="509"/>
      <c r="D27" s="279">
        <v>14957.490784076601</v>
      </c>
      <c r="E27" s="510"/>
      <c r="F27" s="279">
        <v>13694.0078651699</v>
      </c>
      <c r="G27" s="538">
        <v>6.0052291759000003</v>
      </c>
      <c r="H27" s="510"/>
      <c r="I27" s="279">
        <v>4461.7913855782999</v>
      </c>
      <c r="J27" s="538">
        <v>1.9669647219999999</v>
      </c>
      <c r="K27" s="511"/>
      <c r="L27" s="279">
        <v>3043</v>
      </c>
      <c r="M27" s="538">
        <v>1.3408377585</v>
      </c>
      <c r="N27" s="512"/>
      <c r="O27" s="279">
        <v>15558.375424698799</v>
      </c>
      <c r="P27" s="538">
        <v>6.2248767132999996</v>
      </c>
      <c r="Q27" s="513"/>
      <c r="R27" s="539">
        <v>1503</v>
      </c>
      <c r="S27" s="538">
        <v>0.68392354909999997</v>
      </c>
      <c r="U27" s="539">
        <v>7260.3137455767001</v>
      </c>
      <c r="V27" s="538">
        <v>3.2300037817999998</v>
      </c>
    </row>
    <row r="28" spans="2:22" s="508" customFormat="1" ht="12.75" customHeight="1" x14ac:dyDescent="0.2">
      <c r="B28" s="95" t="s">
        <v>18</v>
      </c>
      <c r="C28" s="509"/>
      <c r="D28" s="279">
        <v>8595.0909068524998</v>
      </c>
      <c r="E28" s="510"/>
      <c r="F28" s="279">
        <v>6138.7304541113999</v>
      </c>
      <c r="G28" s="538">
        <v>4.4888719719000001</v>
      </c>
      <c r="H28" s="510"/>
      <c r="I28" s="279">
        <v>2339.0991185229</v>
      </c>
      <c r="J28" s="538">
        <v>2.3644330665000002</v>
      </c>
      <c r="K28" s="511"/>
      <c r="L28" s="279">
        <v>2032.5500427960999</v>
      </c>
      <c r="M28" s="538">
        <v>2.1929100155999999</v>
      </c>
      <c r="N28" s="512"/>
      <c r="O28" s="279">
        <v>6084.3585146104997</v>
      </c>
      <c r="P28" s="538">
        <v>5.1262390590000004</v>
      </c>
      <c r="Q28" s="513"/>
      <c r="R28" s="539">
        <v>2351.9829931357999</v>
      </c>
      <c r="S28" s="538">
        <v>2.4475743886000001</v>
      </c>
      <c r="U28" s="539">
        <v>965.03419628530003</v>
      </c>
      <c r="V28" s="538">
        <v>1.0384729990999999</v>
      </c>
    </row>
    <row r="29" spans="2:22" s="508" customFormat="1" ht="12.75" customHeight="1" x14ac:dyDescent="0.2">
      <c r="B29" s="95" t="s">
        <v>19</v>
      </c>
      <c r="C29" s="509"/>
      <c r="D29" s="279">
        <v>1688.0708367837999</v>
      </c>
      <c r="E29" s="510"/>
      <c r="F29" s="279">
        <v>1170.7072363888999</v>
      </c>
      <c r="G29" s="538">
        <v>4.4130416697000001</v>
      </c>
      <c r="H29" s="510"/>
      <c r="I29" s="279">
        <v>1066.5870803642999</v>
      </c>
      <c r="J29" s="538">
        <v>4.0178502049000002</v>
      </c>
      <c r="K29" s="511"/>
      <c r="L29" s="279">
        <v>320</v>
      </c>
      <c r="M29" s="538">
        <v>1.2103900686</v>
      </c>
      <c r="N29" s="512"/>
      <c r="O29" s="279">
        <v>1767.0835765935999</v>
      </c>
      <c r="P29" s="538">
        <v>5.8622881183000004</v>
      </c>
      <c r="Q29" s="513"/>
      <c r="R29" s="539">
        <v>373.69640083899998</v>
      </c>
      <c r="S29" s="538">
        <v>1.4244890831999999</v>
      </c>
      <c r="U29" s="539">
        <v>682.43021621260004</v>
      </c>
      <c r="V29" s="538">
        <v>2.5193086587</v>
      </c>
    </row>
    <row r="30" spans="2:22" s="508" customFormat="1" ht="12.75" customHeight="1" x14ac:dyDescent="0.2">
      <c r="B30" s="95" t="s">
        <v>20</v>
      </c>
      <c r="C30" s="509"/>
      <c r="D30" s="279">
        <v>2887.4391531567999</v>
      </c>
      <c r="E30" s="510"/>
      <c r="F30" s="279">
        <v>1978.6618924006</v>
      </c>
      <c r="G30" s="538">
        <v>3.8348950481999999</v>
      </c>
      <c r="H30" s="510"/>
      <c r="I30" s="279">
        <v>1308.3536116129001</v>
      </c>
      <c r="J30" s="538">
        <v>2.7455321454999999</v>
      </c>
      <c r="K30" s="511"/>
      <c r="L30" s="279">
        <v>546.86903772009998</v>
      </c>
      <c r="M30" s="538">
        <v>1.3703277159</v>
      </c>
      <c r="N30" s="512"/>
      <c r="O30" s="279">
        <v>1659.1963209654</v>
      </c>
      <c r="P30" s="538">
        <v>3.6019171891999999</v>
      </c>
      <c r="Q30" s="513"/>
      <c r="R30" s="539">
        <v>511.5272223993</v>
      </c>
      <c r="S30" s="538">
        <v>1.2775550328</v>
      </c>
      <c r="U30" s="539">
        <v>587.72442521979997</v>
      </c>
      <c r="V30" s="538">
        <v>1.4460766693</v>
      </c>
    </row>
    <row r="31" spans="2:22" s="508" customFormat="1" ht="12.75" customHeight="1" x14ac:dyDescent="0.2">
      <c r="B31" s="95" t="s">
        <v>21</v>
      </c>
      <c r="C31" s="509"/>
      <c r="D31" s="279">
        <v>10000.8140926499</v>
      </c>
      <c r="E31" s="510"/>
      <c r="F31" s="279">
        <v>9131.6608475291996</v>
      </c>
      <c r="G31" s="538">
        <v>3.7920740141999998</v>
      </c>
      <c r="H31" s="510"/>
      <c r="I31" s="279">
        <v>2939.8675205487002</v>
      </c>
      <c r="J31" s="538">
        <v>1.4038676556</v>
      </c>
      <c r="K31" s="511"/>
      <c r="L31" s="279">
        <v>2956.6694993707001</v>
      </c>
      <c r="M31" s="538">
        <v>1.3700821921999999</v>
      </c>
      <c r="N31" s="512"/>
      <c r="O31" s="279">
        <v>7664.2567705065003</v>
      </c>
      <c r="P31" s="538">
        <v>3.2812844835999999</v>
      </c>
      <c r="Q31" s="513"/>
      <c r="R31" s="539">
        <v>1454.7485418449</v>
      </c>
      <c r="S31" s="538">
        <v>0.6872609448</v>
      </c>
      <c r="U31" s="539">
        <v>3453.3018197056999</v>
      </c>
      <c r="V31" s="538">
        <v>1.5843809518</v>
      </c>
    </row>
    <row r="32" spans="2:22" s="508" customFormat="1" ht="12.75" customHeight="1" x14ac:dyDescent="0.2">
      <c r="B32" s="95" t="s">
        <v>22</v>
      </c>
      <c r="C32" s="509"/>
      <c r="D32" s="279">
        <v>6380.8979534733999</v>
      </c>
      <c r="E32" s="510"/>
      <c r="F32" s="279">
        <v>1694.3935001448999</v>
      </c>
      <c r="G32" s="538">
        <v>2.2282496823</v>
      </c>
      <c r="H32" s="510"/>
      <c r="I32" s="279">
        <v>1284.1718843563999</v>
      </c>
      <c r="J32" s="538">
        <v>1.7253937333</v>
      </c>
      <c r="K32" s="511"/>
      <c r="L32" s="279">
        <v>2438.4712361840998</v>
      </c>
      <c r="M32" s="538">
        <v>3.1106973064000001</v>
      </c>
      <c r="N32" s="512"/>
      <c r="O32" s="279">
        <v>5789.7559395734997</v>
      </c>
      <c r="P32" s="538">
        <v>3.9880643613000002</v>
      </c>
      <c r="Q32" s="513"/>
      <c r="R32" s="539">
        <v>889.94008991409999</v>
      </c>
      <c r="S32" s="538">
        <v>1.1884905693000001</v>
      </c>
      <c r="U32" s="539">
        <v>0</v>
      </c>
      <c r="V32" s="538">
        <v>0</v>
      </c>
    </row>
    <row r="33" spans="2:22" s="508" customFormat="1" ht="12.75" customHeight="1" x14ac:dyDescent="0.2">
      <c r="B33" s="95" t="s">
        <v>23</v>
      </c>
      <c r="C33" s="509"/>
      <c r="D33" s="279">
        <v>4612.5792870677997</v>
      </c>
      <c r="E33" s="510"/>
      <c r="F33" s="279">
        <v>4201.2155139758997</v>
      </c>
      <c r="G33" s="538">
        <v>5.3340320146</v>
      </c>
      <c r="H33" s="510"/>
      <c r="I33" s="279">
        <v>2207.5710634088</v>
      </c>
      <c r="J33" s="538">
        <v>2.8664272773000001</v>
      </c>
      <c r="K33" s="511"/>
      <c r="L33" s="279">
        <v>0</v>
      </c>
      <c r="M33" s="538">
        <v>0</v>
      </c>
      <c r="N33" s="512"/>
      <c r="O33" s="279">
        <v>5166.8837989941003</v>
      </c>
      <c r="P33" s="538">
        <v>6.0211598914</v>
      </c>
      <c r="Q33" s="513"/>
      <c r="R33" s="539">
        <v>2477.3483187287002</v>
      </c>
      <c r="S33" s="538">
        <v>3.1827428329999998</v>
      </c>
      <c r="U33" s="539">
        <v>0</v>
      </c>
      <c r="V33" s="538">
        <v>0</v>
      </c>
    </row>
    <row r="34" spans="2:22" s="508" customFormat="1" ht="12.75" customHeight="1" x14ac:dyDescent="0.2">
      <c r="B34" s="95" t="s">
        <v>24</v>
      </c>
      <c r="C34" s="509"/>
      <c r="D34" s="279">
        <v>6674.5021808894999</v>
      </c>
      <c r="E34" s="510"/>
      <c r="F34" s="279">
        <v>4098.4278516958002</v>
      </c>
      <c r="G34" s="538">
        <v>4.2385802561999997</v>
      </c>
      <c r="H34" s="510"/>
      <c r="I34" s="279">
        <v>1606.4382894396001</v>
      </c>
      <c r="J34" s="538">
        <v>2.2940859651999999</v>
      </c>
      <c r="K34" s="511"/>
      <c r="L34" s="279">
        <v>2652.7853202918</v>
      </c>
      <c r="M34" s="538">
        <v>3.5118584335</v>
      </c>
      <c r="N34" s="512"/>
      <c r="O34" s="279">
        <v>3800.5167604979001</v>
      </c>
      <c r="P34" s="538">
        <v>4.3484743975000004</v>
      </c>
      <c r="Q34" s="513"/>
      <c r="R34" s="539">
        <v>503.69832241130001</v>
      </c>
      <c r="S34" s="538">
        <v>0.70278924610000004</v>
      </c>
      <c r="U34" s="539">
        <v>1087.9983915429</v>
      </c>
      <c r="V34" s="538">
        <v>1.5376974998999999</v>
      </c>
    </row>
    <row r="35" spans="2:22" s="508" customFormat="1" ht="12.75" customHeight="1" x14ac:dyDescent="0.2">
      <c r="B35" s="95" t="s">
        <v>25</v>
      </c>
      <c r="C35" s="509"/>
      <c r="D35" s="279">
        <v>2945.8123467055002</v>
      </c>
      <c r="E35" s="510"/>
      <c r="F35" s="279">
        <v>2371.0750934613998</v>
      </c>
      <c r="G35" s="538">
        <v>4.2826994308000002</v>
      </c>
      <c r="H35" s="510"/>
      <c r="I35" s="279">
        <v>1148.5905614177</v>
      </c>
      <c r="J35" s="538">
        <v>2.0367163600999998</v>
      </c>
      <c r="K35" s="511"/>
      <c r="L35" s="279">
        <v>772.27155388580002</v>
      </c>
      <c r="M35" s="538">
        <v>1.3680021372</v>
      </c>
      <c r="N35" s="512"/>
      <c r="O35" s="279">
        <v>3025.6085812104998</v>
      </c>
      <c r="P35" s="538">
        <v>4.2205459274999999</v>
      </c>
      <c r="Q35" s="513"/>
      <c r="R35" s="539">
        <v>738.3300978108</v>
      </c>
      <c r="S35" s="538">
        <v>1.3237670758</v>
      </c>
      <c r="U35" s="539">
        <v>598.76140013010001</v>
      </c>
      <c r="V35" s="538">
        <v>1.0948955225999999</v>
      </c>
    </row>
    <row r="36" spans="2:22" s="508" customFormat="1" ht="12.75" customHeight="1" x14ac:dyDescent="0.2">
      <c r="B36" s="95" t="s">
        <v>26</v>
      </c>
      <c r="C36" s="509"/>
      <c r="D36" s="279">
        <v>2570.7326840976998</v>
      </c>
      <c r="E36" s="510"/>
      <c r="F36" s="279">
        <v>2637.4163507783001</v>
      </c>
      <c r="G36" s="538">
        <v>4.8534725061000001</v>
      </c>
      <c r="H36" s="510"/>
      <c r="I36" s="279">
        <v>1237.1245137414001</v>
      </c>
      <c r="J36" s="538">
        <v>2.2196049051000002</v>
      </c>
      <c r="K36" s="511"/>
      <c r="L36" s="279">
        <v>1203.758151582</v>
      </c>
      <c r="M36" s="538">
        <v>2.2827130181999999</v>
      </c>
      <c r="N36" s="512"/>
      <c r="O36" s="279">
        <v>2688.9763961530998</v>
      </c>
      <c r="P36" s="538">
        <v>4.6593716822999998</v>
      </c>
      <c r="Q36" s="513"/>
      <c r="R36" s="539">
        <v>817.97288895099996</v>
      </c>
      <c r="S36" s="538">
        <v>1.5343223941999999</v>
      </c>
      <c r="U36" s="539">
        <v>998.23063467320003</v>
      </c>
      <c r="V36" s="538">
        <v>1.8147690912000001</v>
      </c>
    </row>
    <row r="37" spans="2:22" s="508" customFormat="1" ht="12.75" customHeight="1" x14ac:dyDescent="0.2">
      <c r="B37" s="95" t="s">
        <v>27</v>
      </c>
      <c r="C37" s="509"/>
      <c r="D37" s="279">
        <v>3309.1428382409999</v>
      </c>
      <c r="E37" s="510"/>
      <c r="F37" s="279">
        <v>3119.5985372283999</v>
      </c>
      <c r="G37" s="538">
        <v>4.2583541007000001</v>
      </c>
      <c r="H37" s="510"/>
      <c r="I37" s="279">
        <v>2777.1998833212001</v>
      </c>
      <c r="J37" s="538">
        <v>4.0004996356999998</v>
      </c>
      <c r="K37" s="511"/>
      <c r="L37" s="279">
        <v>1620.3254863817001</v>
      </c>
      <c r="M37" s="538">
        <v>2.3962726351999999</v>
      </c>
      <c r="N37" s="512"/>
      <c r="O37" s="279">
        <v>3512.1810498481</v>
      </c>
      <c r="P37" s="538">
        <v>4.7333466556000001</v>
      </c>
      <c r="Q37" s="513"/>
      <c r="R37" s="539">
        <v>1420.6181753026001</v>
      </c>
      <c r="S37" s="538">
        <v>2.1659332244999998</v>
      </c>
      <c r="U37" s="539">
        <v>1081.2506647396999</v>
      </c>
      <c r="V37" s="538">
        <v>1.6934265146</v>
      </c>
    </row>
    <row r="38" spans="2:22" s="508" customFormat="1" ht="12.75" customHeight="1" x14ac:dyDescent="0.2">
      <c r="B38" s="95" t="s">
        <v>28</v>
      </c>
      <c r="C38" s="509"/>
      <c r="D38" s="279">
        <v>6316.5770537108001</v>
      </c>
      <c r="E38" s="510"/>
      <c r="F38" s="279">
        <v>5146.1861422401998</v>
      </c>
      <c r="G38" s="538">
        <v>3.7040669845999998</v>
      </c>
      <c r="H38" s="510"/>
      <c r="I38" s="279">
        <v>2481.7981691191999</v>
      </c>
      <c r="J38" s="538">
        <v>1.9902407027</v>
      </c>
      <c r="K38" s="511"/>
      <c r="L38" s="279">
        <v>2049.4230946374</v>
      </c>
      <c r="M38" s="538">
        <v>1.7123481474</v>
      </c>
      <c r="N38" s="512"/>
      <c r="O38" s="279">
        <v>4338.0814800795997</v>
      </c>
      <c r="P38" s="538">
        <v>3.2895663550999998</v>
      </c>
      <c r="Q38" s="513"/>
      <c r="R38" s="539">
        <v>1357.390261284</v>
      </c>
      <c r="S38" s="538">
        <v>1.1263990412</v>
      </c>
      <c r="U38" s="539">
        <v>1252.0516662662001</v>
      </c>
      <c r="V38" s="538">
        <v>1.0015807184000001</v>
      </c>
    </row>
    <row r="39" spans="2:22" s="508" customFormat="1" ht="12.75" customHeight="1" x14ac:dyDescent="0.2">
      <c r="B39" s="95" t="s">
        <v>29</v>
      </c>
      <c r="C39" s="509"/>
      <c r="D39" s="279">
        <v>4247.9733525112997</v>
      </c>
      <c r="E39" s="510"/>
      <c r="F39" s="279">
        <v>1893.2766924125999</v>
      </c>
      <c r="G39" s="538">
        <v>3.4209992653999999</v>
      </c>
      <c r="H39" s="510"/>
      <c r="I39" s="279">
        <v>1872.3976202946001</v>
      </c>
      <c r="J39" s="538">
        <v>3.4016034997000002</v>
      </c>
      <c r="K39" s="511"/>
      <c r="L39" s="279">
        <v>1720.3848683471999</v>
      </c>
      <c r="M39" s="538">
        <v>3.0829501120999998</v>
      </c>
      <c r="N39" s="512"/>
      <c r="O39" s="279">
        <v>3365.4043700379998</v>
      </c>
      <c r="P39" s="538">
        <v>4.6813683888000002</v>
      </c>
      <c r="Q39" s="513"/>
      <c r="R39" s="539">
        <v>724.7300293106</v>
      </c>
      <c r="S39" s="538">
        <v>1.2959815264000001</v>
      </c>
      <c r="U39" s="539">
        <v>846.01536629069994</v>
      </c>
      <c r="V39" s="538">
        <v>1.5242981026</v>
      </c>
    </row>
    <row r="40" spans="2:22" s="508" customFormat="1" ht="12.75" customHeight="1" x14ac:dyDescent="0.2">
      <c r="B40" s="95" t="s">
        <v>30</v>
      </c>
      <c r="C40" s="509"/>
      <c r="D40" s="279">
        <v>5085.6909832765996</v>
      </c>
      <c r="E40" s="510"/>
      <c r="F40" s="279">
        <v>5164.7618286256002</v>
      </c>
      <c r="G40" s="538">
        <v>4.3355903093999997</v>
      </c>
      <c r="H40" s="510"/>
      <c r="I40" s="279">
        <v>2106.3345125054002</v>
      </c>
      <c r="J40" s="538">
        <v>1.9742491713999999</v>
      </c>
      <c r="K40" s="511"/>
      <c r="L40" s="279">
        <v>1665.6324928357999</v>
      </c>
      <c r="M40" s="538">
        <v>1.5475163882</v>
      </c>
      <c r="N40" s="512"/>
      <c r="O40" s="279">
        <v>4712.8553223376002</v>
      </c>
      <c r="P40" s="538">
        <v>3.8890926009000002</v>
      </c>
      <c r="Q40" s="513"/>
      <c r="R40" s="539">
        <v>1136.0968897313001</v>
      </c>
      <c r="S40" s="538">
        <v>1.0475459637</v>
      </c>
      <c r="U40" s="539">
        <v>1784.9542211016001</v>
      </c>
      <c r="V40" s="538">
        <v>1.6426603504999999</v>
      </c>
    </row>
    <row r="41" spans="2:22" s="508" customFormat="1" ht="12.75" customHeight="1" x14ac:dyDescent="0.2">
      <c r="B41" s="95" t="s">
        <v>31</v>
      </c>
      <c r="C41" s="509"/>
      <c r="D41" s="279">
        <v>683.77133929729996</v>
      </c>
      <c r="E41" s="510"/>
      <c r="F41" s="279">
        <v>563.05926271869998</v>
      </c>
      <c r="G41" s="538">
        <v>4.7620461133000003</v>
      </c>
      <c r="H41" s="510"/>
      <c r="I41" s="279">
        <v>0</v>
      </c>
      <c r="J41" s="538">
        <v>0</v>
      </c>
      <c r="K41" s="511"/>
      <c r="L41" s="279">
        <v>3</v>
      </c>
      <c r="M41" s="538">
        <v>0.2928132691</v>
      </c>
      <c r="N41" s="512"/>
      <c r="O41" s="279">
        <v>828.88625409170004</v>
      </c>
      <c r="P41" s="538">
        <v>6.0116203102999997</v>
      </c>
      <c r="Q41" s="513"/>
      <c r="R41" s="539">
        <v>0</v>
      </c>
      <c r="S41" s="538">
        <v>0</v>
      </c>
      <c r="U41" s="539">
        <v>405.74006457339999</v>
      </c>
      <c r="V41" s="538">
        <v>3.4188841700000001</v>
      </c>
    </row>
    <row r="42" spans="2:22" s="508" customFormat="1" ht="12.75" customHeight="1" x14ac:dyDescent="0.2">
      <c r="B42" s="95" t="s">
        <v>32</v>
      </c>
      <c r="C42" s="509"/>
      <c r="D42" s="279">
        <v>10640.5971219246</v>
      </c>
      <c r="E42" s="510"/>
      <c r="F42" s="279">
        <v>6546.4891608657999</v>
      </c>
      <c r="G42" s="538">
        <v>4.0968292676000004</v>
      </c>
      <c r="H42" s="510"/>
      <c r="I42" s="279">
        <v>3342.7039952709001</v>
      </c>
      <c r="J42" s="538">
        <v>2.3617016730999998</v>
      </c>
      <c r="K42" s="511"/>
      <c r="L42" s="279">
        <v>4330.3703588081999</v>
      </c>
      <c r="M42" s="538">
        <v>2.8861221986999999</v>
      </c>
      <c r="N42" s="512"/>
      <c r="O42" s="279">
        <v>7206.097950116</v>
      </c>
      <c r="P42" s="538">
        <v>4.9061600090999997</v>
      </c>
      <c r="Q42" s="513"/>
      <c r="R42" s="539">
        <v>3269.1269476727002</v>
      </c>
      <c r="S42" s="538">
        <v>2.3433563353000002</v>
      </c>
      <c r="U42" s="539">
        <v>2477.4214417414</v>
      </c>
      <c r="V42" s="538">
        <v>1.7864733827999999</v>
      </c>
    </row>
    <row r="43" spans="2:22" s="508" customFormat="1" ht="12.75" customHeight="1" x14ac:dyDescent="0.2">
      <c r="B43" s="95" t="s">
        <v>33</v>
      </c>
      <c r="C43" s="509"/>
      <c r="D43" s="279">
        <v>4803.1215171054</v>
      </c>
      <c r="E43" s="510"/>
      <c r="F43" s="279">
        <v>3668.8014175633998</v>
      </c>
      <c r="G43" s="538">
        <v>4.0383744142999998</v>
      </c>
      <c r="H43" s="510"/>
      <c r="I43" s="279">
        <v>1329.7755107877999</v>
      </c>
      <c r="J43" s="538">
        <v>1.4838011015999999</v>
      </c>
      <c r="K43" s="511"/>
      <c r="L43" s="279">
        <v>1657.211147645</v>
      </c>
      <c r="M43" s="538">
        <v>1.8500690308000001</v>
      </c>
      <c r="N43" s="512"/>
      <c r="O43" s="279">
        <v>3734.4407135379001</v>
      </c>
      <c r="P43" s="538">
        <v>3.3943399991000001</v>
      </c>
      <c r="Q43" s="513"/>
      <c r="R43" s="539">
        <v>1541.9236030283</v>
      </c>
      <c r="S43" s="538">
        <v>1.7410332910999999</v>
      </c>
      <c r="U43" s="539">
        <v>1378.1267699088</v>
      </c>
      <c r="V43" s="538">
        <v>1.5455992644000001</v>
      </c>
    </row>
    <row r="44" spans="2:22" s="508" customFormat="1" ht="12.75" customHeight="1" x14ac:dyDescent="0.2">
      <c r="B44" s="95" t="s">
        <v>34</v>
      </c>
      <c r="C44" s="509"/>
      <c r="D44" s="279">
        <v>3499.5146189134998</v>
      </c>
      <c r="E44" s="510"/>
      <c r="F44" s="279">
        <v>1665.8872421937001</v>
      </c>
      <c r="G44" s="538">
        <v>3.2833837443</v>
      </c>
      <c r="H44" s="510"/>
      <c r="I44" s="279">
        <v>1307.5360221448</v>
      </c>
      <c r="J44" s="538">
        <v>3.0072136046</v>
      </c>
      <c r="K44" s="511"/>
      <c r="L44" s="279">
        <v>1384.6513613876</v>
      </c>
      <c r="M44" s="538">
        <v>2.7672338999999999</v>
      </c>
      <c r="N44" s="512"/>
      <c r="O44" s="279">
        <v>2808.5134736629002</v>
      </c>
      <c r="P44" s="538">
        <v>5.2328901634999996</v>
      </c>
      <c r="Q44" s="513"/>
      <c r="R44" s="539">
        <v>867.50940711240003</v>
      </c>
      <c r="S44" s="538">
        <v>1.9575310110999999</v>
      </c>
      <c r="U44" s="539">
        <v>597.77126183969995</v>
      </c>
      <c r="V44" s="538">
        <v>1.3813374408000001</v>
      </c>
    </row>
    <row r="45" spans="2:22" ht="6" customHeight="1" x14ac:dyDescent="0.25">
      <c r="B45" s="514"/>
      <c r="C45" s="515"/>
      <c r="D45" s="264"/>
      <c r="E45" s="516"/>
      <c r="F45" s="264"/>
      <c r="G45" s="517"/>
      <c r="H45" s="517"/>
      <c r="I45" s="264"/>
      <c r="J45" s="517"/>
      <c r="K45" s="518"/>
      <c r="L45" s="264"/>
      <c r="M45" s="517"/>
      <c r="N45" s="519"/>
      <c r="O45" s="264"/>
      <c r="P45" s="517"/>
      <c r="Q45" s="517"/>
      <c r="R45" s="517"/>
      <c r="S45" s="517"/>
      <c r="T45" s="517"/>
      <c r="U45" s="517"/>
      <c r="V45" s="517"/>
    </row>
    <row r="46" spans="2:22" ht="6" customHeight="1" x14ac:dyDescent="0.25">
      <c r="B46" s="228"/>
      <c r="C46" s="492"/>
      <c r="D46" s="145"/>
      <c r="E46" s="521"/>
      <c r="F46" s="145"/>
      <c r="G46" s="522"/>
      <c r="H46" s="522"/>
      <c r="I46" s="145"/>
      <c r="J46" s="522"/>
      <c r="K46" s="523"/>
      <c r="L46" s="145"/>
      <c r="M46" s="522"/>
      <c r="N46" s="524"/>
      <c r="O46" s="145"/>
      <c r="P46" s="522"/>
      <c r="Q46" s="525"/>
      <c r="R46" s="494"/>
      <c r="S46" s="494"/>
      <c r="T46" s="494"/>
      <c r="U46" s="494"/>
      <c r="V46" s="494"/>
    </row>
    <row r="47" spans="2:22" ht="12.75" customHeight="1" x14ac:dyDescent="0.25">
      <c r="B47" s="273" t="s">
        <v>93</v>
      </c>
      <c r="C47" s="492"/>
      <c r="D47" s="145"/>
      <c r="E47" s="521"/>
      <c r="F47" s="145"/>
      <c r="G47" s="522"/>
      <c r="H47" s="522"/>
      <c r="I47" s="145"/>
      <c r="J47" s="522"/>
      <c r="K47" s="523"/>
      <c r="L47" s="145"/>
      <c r="M47" s="522"/>
      <c r="N47" s="524"/>
      <c r="O47" s="145"/>
      <c r="P47" s="522"/>
      <c r="Q47" s="525"/>
      <c r="R47" s="494"/>
      <c r="S47" s="494"/>
      <c r="T47" s="494"/>
      <c r="U47" s="494"/>
      <c r="V47" s="494"/>
    </row>
    <row r="48" spans="2:22" s="533" customFormat="1" ht="12.75" customHeight="1" x14ac:dyDescent="0.25">
      <c r="B48" s="20" t="s">
        <v>178</v>
      </c>
      <c r="C48" s="526"/>
      <c r="D48" s="145"/>
      <c r="E48" s="527"/>
      <c r="F48" s="145"/>
      <c r="G48" s="528"/>
      <c r="H48" s="528"/>
      <c r="I48" s="145"/>
      <c r="J48" s="528"/>
      <c r="K48" s="529"/>
      <c r="L48" s="145"/>
      <c r="M48" s="528"/>
      <c r="N48" s="530"/>
      <c r="O48" s="145"/>
      <c r="P48" s="528"/>
      <c r="Q48" s="531"/>
      <c r="R48" s="532"/>
      <c r="S48" s="532"/>
      <c r="T48" s="532"/>
      <c r="U48" s="532"/>
      <c r="V48" s="532"/>
    </row>
    <row r="49" spans="2:22" ht="12" customHeight="1" x14ac:dyDescent="0.25">
      <c r="B49" s="20" t="s">
        <v>179</v>
      </c>
      <c r="C49" s="492"/>
      <c r="D49" s="145"/>
      <c r="E49" s="521"/>
      <c r="F49" s="145"/>
      <c r="G49" s="522"/>
      <c r="H49" s="522"/>
      <c r="I49" s="145"/>
      <c r="J49" s="522"/>
      <c r="K49" s="523"/>
      <c r="L49" s="145"/>
      <c r="M49" s="522"/>
      <c r="N49" s="524"/>
      <c r="O49" s="145"/>
      <c r="P49" s="522"/>
      <c r="Q49" s="525"/>
      <c r="R49" s="494"/>
      <c r="S49" s="494"/>
      <c r="T49" s="494"/>
      <c r="U49" s="494"/>
      <c r="V49" s="494"/>
    </row>
    <row r="50" spans="2:22" ht="12" customHeight="1" x14ac:dyDescent="0.25">
      <c r="B50" s="20" t="s">
        <v>180</v>
      </c>
      <c r="C50" s="492"/>
      <c r="D50" s="145"/>
      <c r="E50" s="521"/>
      <c r="F50" s="145"/>
      <c r="G50" s="522"/>
      <c r="H50" s="522"/>
      <c r="I50" s="145"/>
      <c r="J50" s="522"/>
      <c r="K50" s="523"/>
      <c r="L50" s="145"/>
      <c r="M50" s="522"/>
      <c r="N50" s="524"/>
      <c r="O50" s="145"/>
      <c r="P50" s="522"/>
      <c r="Q50" s="525"/>
      <c r="R50" s="494"/>
      <c r="S50" s="494"/>
      <c r="T50" s="494"/>
      <c r="U50" s="494"/>
      <c r="V50" s="494"/>
    </row>
    <row r="51" spans="2:22" s="13" customFormat="1" ht="14.25" x14ac:dyDescent="0.2">
      <c r="B51" s="146" t="s">
        <v>181</v>
      </c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</row>
  </sheetData>
  <mergeCells count="10">
    <mergeCell ref="B5:N5"/>
    <mergeCell ref="B7:C9"/>
    <mergeCell ref="D7:D9"/>
    <mergeCell ref="F7:S7"/>
    <mergeCell ref="U7:V8"/>
    <mergeCell ref="F8:G8"/>
    <mergeCell ref="I8:J8"/>
    <mergeCell ref="L8:M8"/>
    <mergeCell ref="O8:P8"/>
    <mergeCell ref="R8:S8"/>
  </mergeCells>
  <hyperlinks>
    <hyperlink ref="V1" location="Índice!A1" tooltip="Ir a ÍNDICE" display="INDICE" xr:uid="{E434A8A9-4AF5-4AC6-933F-8C67540A6557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7C26-EE3C-440E-8712-B032BE4B31DD}">
  <dimension ref="B1:S52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547" customWidth="1"/>
    <col min="2" max="2" width="24.28515625" style="547" customWidth="1"/>
    <col min="3" max="3" width="0.85546875" style="567" customWidth="1"/>
    <col min="4" max="4" width="20.7109375" style="567" customWidth="1"/>
    <col min="5" max="5" width="0.85546875" style="567" customWidth="1"/>
    <col min="6" max="6" width="25.7109375" style="567" customWidth="1"/>
    <col min="7" max="7" width="2" style="567" customWidth="1"/>
    <col min="8" max="8" width="18.7109375" style="547" customWidth="1"/>
    <col min="9" max="9" width="1.7109375" style="547" customWidth="1"/>
    <col min="10" max="10" width="18.7109375" style="547" customWidth="1"/>
    <col min="11" max="16384" width="11.42578125" style="547"/>
  </cols>
  <sheetData>
    <row r="1" spans="2:19" s="541" customFormat="1" ht="12" customHeight="1" x14ac:dyDescent="0.2">
      <c r="B1" s="639" t="s">
        <v>202</v>
      </c>
      <c r="J1" s="72" t="s">
        <v>151</v>
      </c>
    </row>
    <row r="2" spans="2:19" s="541" customFormat="1" ht="6.95" customHeight="1" x14ac:dyDescent="0.2">
      <c r="B2" s="639"/>
    </row>
    <row r="3" spans="2:19" s="541" customFormat="1" ht="15" customHeight="1" x14ac:dyDescent="0.2">
      <c r="B3" s="639" t="s">
        <v>199</v>
      </c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  <c r="O3" s="540"/>
      <c r="P3" s="540"/>
      <c r="Q3" s="540"/>
      <c r="R3" s="540"/>
      <c r="S3" s="540"/>
    </row>
    <row r="4" spans="2:19" s="541" customFormat="1" ht="6.95" customHeight="1" x14ac:dyDescent="0.2">
      <c r="C4" s="542"/>
      <c r="D4" s="542"/>
      <c r="E4" s="542"/>
      <c r="F4" s="542"/>
      <c r="G4" s="542"/>
    </row>
    <row r="5" spans="2:19" s="541" customFormat="1" ht="38.25" customHeight="1" x14ac:dyDescent="0.2">
      <c r="B5" s="728" t="s">
        <v>170</v>
      </c>
      <c r="C5" s="728"/>
      <c r="D5" s="728"/>
      <c r="E5" s="728"/>
      <c r="F5" s="728"/>
      <c r="G5" s="728"/>
      <c r="H5" s="728"/>
      <c r="I5" s="57"/>
      <c r="J5" s="71" t="s">
        <v>118</v>
      </c>
      <c r="K5" s="543"/>
      <c r="L5" s="543"/>
    </row>
    <row r="6" spans="2:19" ht="6" customHeight="1" x14ac:dyDescent="0.25">
      <c r="B6" s="544"/>
      <c r="C6" s="545"/>
      <c r="D6" s="545"/>
      <c r="E6" s="545"/>
      <c r="F6" s="545"/>
      <c r="G6" s="545"/>
      <c r="H6" s="546"/>
      <c r="I6" s="546"/>
      <c r="J6" s="546"/>
      <c r="K6" s="546"/>
      <c r="L6" s="546"/>
    </row>
    <row r="7" spans="2:19" ht="24" customHeight="1" x14ac:dyDescent="0.25">
      <c r="B7" s="681" t="s">
        <v>76</v>
      </c>
      <c r="C7" s="681"/>
      <c r="D7" s="725" t="s">
        <v>131</v>
      </c>
      <c r="E7" s="479"/>
      <c r="F7" s="725" t="s">
        <v>91</v>
      </c>
      <c r="G7" s="548"/>
      <c r="H7" s="725" t="s">
        <v>182</v>
      </c>
      <c r="I7" s="549"/>
      <c r="J7" s="725" t="s">
        <v>183</v>
      </c>
      <c r="K7" s="546"/>
      <c r="L7" s="546"/>
    </row>
    <row r="8" spans="2:19" ht="42" customHeight="1" x14ac:dyDescent="0.25">
      <c r="B8" s="682"/>
      <c r="C8" s="682"/>
      <c r="D8" s="726"/>
      <c r="E8" s="480"/>
      <c r="F8" s="726"/>
      <c r="G8" s="550"/>
      <c r="H8" s="726"/>
      <c r="I8" s="546"/>
      <c r="J8" s="726"/>
      <c r="K8" s="546"/>
      <c r="L8" s="546"/>
    </row>
    <row r="9" spans="2:19" ht="25.5" customHeight="1" x14ac:dyDescent="0.25">
      <c r="B9" s="683"/>
      <c r="C9" s="683"/>
      <c r="D9" s="727"/>
      <c r="E9" s="481"/>
      <c r="F9" s="727"/>
      <c r="G9" s="551"/>
      <c r="H9" s="727"/>
      <c r="I9" s="544"/>
      <c r="J9" s="727"/>
      <c r="K9" s="546"/>
      <c r="L9" s="546"/>
    </row>
    <row r="10" spans="2:19" ht="6" customHeight="1" x14ac:dyDescent="0.25">
      <c r="B10" s="31"/>
      <c r="C10" s="552"/>
      <c r="D10" s="553"/>
      <c r="E10" s="553"/>
      <c r="F10" s="553"/>
      <c r="G10" s="553"/>
      <c r="H10" s="554"/>
      <c r="I10" s="554"/>
      <c r="J10" s="554"/>
      <c r="K10" s="546"/>
      <c r="L10" s="546"/>
    </row>
    <row r="11" spans="2:19" s="557" customFormat="1" ht="11.25" x14ac:dyDescent="0.2">
      <c r="B11" s="94" t="s">
        <v>2</v>
      </c>
      <c r="C11" s="555"/>
      <c r="D11" s="569">
        <v>24762.4274130706</v>
      </c>
      <c r="E11" s="556"/>
      <c r="F11" s="575">
        <v>22722.1851652398</v>
      </c>
      <c r="G11" s="556"/>
      <c r="H11" s="569">
        <v>4237333102.0269299</v>
      </c>
      <c r="I11" s="556"/>
      <c r="J11" s="569">
        <v>6658.7215044451004</v>
      </c>
      <c r="K11" s="555"/>
      <c r="L11" s="555"/>
    </row>
    <row r="12" spans="2:19" s="560" customFormat="1" ht="6" customHeight="1" x14ac:dyDescent="0.2">
      <c r="B12" s="94"/>
      <c r="C12" s="558"/>
      <c r="D12" s="559"/>
      <c r="E12" s="559"/>
      <c r="F12" s="573"/>
      <c r="G12" s="559"/>
      <c r="H12" s="559"/>
      <c r="I12" s="559"/>
      <c r="J12" s="559"/>
      <c r="K12" s="558"/>
      <c r="L12" s="558"/>
    </row>
    <row r="13" spans="2:19" s="560" customFormat="1" ht="12.75" customHeight="1" x14ac:dyDescent="0.2">
      <c r="B13" s="95" t="s">
        <v>3</v>
      </c>
      <c r="C13" s="561"/>
      <c r="D13" s="568">
        <v>1374.1175528388001</v>
      </c>
      <c r="E13" s="559"/>
      <c r="F13" s="574">
        <v>1193.4261817482</v>
      </c>
      <c r="G13" s="559"/>
      <c r="H13" s="568">
        <v>84207906.053819805</v>
      </c>
      <c r="I13" s="559"/>
      <c r="J13" s="568">
        <v>7295.7205400602998</v>
      </c>
      <c r="K13" s="558"/>
      <c r="L13" s="558"/>
    </row>
    <row r="14" spans="2:19" s="560" customFormat="1" ht="12.75" customHeight="1" x14ac:dyDescent="0.2">
      <c r="B14" s="95" t="s">
        <v>4</v>
      </c>
      <c r="C14" s="561"/>
      <c r="D14" s="568">
        <v>4053.9367697748999</v>
      </c>
      <c r="E14" s="559"/>
      <c r="F14" s="574">
        <v>3582.4482218037001</v>
      </c>
      <c r="G14" s="559"/>
      <c r="H14" s="568">
        <v>716963017.32803297</v>
      </c>
      <c r="I14" s="559"/>
      <c r="J14" s="568">
        <v>38246.4229866526</v>
      </c>
      <c r="K14" s="558"/>
      <c r="L14" s="558"/>
    </row>
    <row r="15" spans="2:19" s="560" customFormat="1" ht="12.75" customHeight="1" x14ac:dyDescent="0.2">
      <c r="B15" s="95" t="s">
        <v>5</v>
      </c>
      <c r="C15" s="561"/>
      <c r="D15" s="568">
        <v>936.46515875550006</v>
      </c>
      <c r="E15" s="559"/>
      <c r="F15" s="574">
        <v>971.19134008059996</v>
      </c>
      <c r="G15" s="559"/>
      <c r="H15" s="568">
        <v>71960474.676232606</v>
      </c>
      <c r="I15" s="559"/>
      <c r="J15" s="568">
        <v>13418.389079520701</v>
      </c>
      <c r="K15" s="558"/>
      <c r="L15" s="558"/>
    </row>
    <row r="16" spans="2:19" s="560" customFormat="1" ht="12.75" customHeight="1" x14ac:dyDescent="0.2">
      <c r="B16" s="95" t="s">
        <v>6</v>
      </c>
      <c r="C16" s="561"/>
      <c r="D16" s="568">
        <v>1214.8218055251</v>
      </c>
      <c r="E16" s="559"/>
      <c r="F16" s="574">
        <v>1079.2866791378001</v>
      </c>
      <c r="G16" s="559"/>
      <c r="H16" s="568">
        <v>45520699.212683</v>
      </c>
      <c r="I16" s="559"/>
      <c r="J16" s="568">
        <v>5230.6478667918</v>
      </c>
      <c r="K16" s="558"/>
      <c r="L16" s="558"/>
    </row>
    <row r="17" spans="2:12" s="560" customFormat="1" ht="12.75" customHeight="1" x14ac:dyDescent="0.2">
      <c r="B17" s="95" t="s">
        <v>7</v>
      </c>
      <c r="C17" s="561"/>
      <c r="D17" s="568">
        <v>2854.4613911092001</v>
      </c>
      <c r="E17" s="559"/>
      <c r="F17" s="574">
        <v>3005.2445158423002</v>
      </c>
      <c r="G17" s="559"/>
      <c r="H17" s="568">
        <v>491822370.617908</v>
      </c>
      <c r="I17" s="559"/>
      <c r="J17" s="568">
        <v>26311.061393363801</v>
      </c>
      <c r="K17" s="558"/>
      <c r="L17" s="558"/>
    </row>
    <row r="18" spans="2:12" s="560" customFormat="1" ht="12.75" customHeight="1" x14ac:dyDescent="0.2">
      <c r="B18" s="95" t="s">
        <v>8</v>
      </c>
      <c r="C18" s="561"/>
      <c r="D18" s="568">
        <v>881.11907657159998</v>
      </c>
      <c r="E18" s="559"/>
      <c r="F18" s="574">
        <v>772.33625017429995</v>
      </c>
      <c r="G18" s="559"/>
      <c r="H18" s="568">
        <v>68555192.603779703</v>
      </c>
      <c r="I18" s="559"/>
      <c r="J18" s="568">
        <v>10752.2976484828</v>
      </c>
      <c r="K18" s="558"/>
      <c r="L18" s="558"/>
    </row>
    <row r="19" spans="2:12" s="560" customFormat="1" ht="12.75" customHeight="1" x14ac:dyDescent="0.2">
      <c r="B19" s="95" t="s">
        <v>9</v>
      </c>
      <c r="C19" s="561"/>
      <c r="D19" s="568">
        <v>3852.3838723575</v>
      </c>
      <c r="E19" s="559"/>
      <c r="F19" s="574">
        <v>3416.8451091614002</v>
      </c>
      <c r="G19" s="559"/>
      <c r="H19" s="568">
        <v>96877773.277418494</v>
      </c>
      <c r="I19" s="559"/>
      <c r="J19" s="568">
        <v>3721.3614771206999</v>
      </c>
      <c r="K19" s="558"/>
      <c r="L19" s="558"/>
    </row>
    <row r="20" spans="2:12" s="560" customFormat="1" ht="12.75" customHeight="1" x14ac:dyDescent="0.2">
      <c r="B20" s="95" t="s">
        <v>10</v>
      </c>
      <c r="C20" s="561"/>
      <c r="D20" s="568">
        <v>3980.0211448402001</v>
      </c>
      <c r="E20" s="559"/>
      <c r="F20" s="574">
        <v>3567.8256403586001</v>
      </c>
      <c r="G20" s="559"/>
      <c r="H20" s="568">
        <v>140594491.55302599</v>
      </c>
      <c r="I20" s="559"/>
      <c r="J20" s="568">
        <v>5441.8603160166003</v>
      </c>
      <c r="K20" s="558"/>
      <c r="L20" s="558"/>
    </row>
    <row r="21" spans="2:12" s="560" customFormat="1" ht="12.75" customHeight="1" x14ac:dyDescent="0.2">
      <c r="B21" s="95" t="s">
        <v>11</v>
      </c>
      <c r="C21" s="561"/>
      <c r="D21" s="568">
        <v>8497.4121255098999</v>
      </c>
      <c r="E21" s="559"/>
      <c r="F21" s="574">
        <v>6628.7687089253996</v>
      </c>
      <c r="G21" s="559"/>
      <c r="H21" s="568">
        <v>338361543.39250898</v>
      </c>
      <c r="I21" s="559"/>
      <c r="J21" s="568">
        <v>5521.6382272970004</v>
      </c>
      <c r="K21" s="558"/>
      <c r="L21" s="558"/>
    </row>
    <row r="22" spans="2:12" s="560" customFormat="1" ht="12.75" customHeight="1" x14ac:dyDescent="0.2">
      <c r="B22" s="95" t="s">
        <v>12</v>
      </c>
      <c r="C22" s="561"/>
      <c r="D22" s="568">
        <v>2097.4140189990999</v>
      </c>
      <c r="E22" s="559"/>
      <c r="F22" s="574">
        <v>1734.7836889995999</v>
      </c>
      <c r="G22" s="559"/>
      <c r="H22" s="568">
        <v>256427796.18306401</v>
      </c>
      <c r="I22" s="559"/>
      <c r="J22" s="568">
        <v>15465.6412144076</v>
      </c>
      <c r="K22" s="558"/>
      <c r="L22" s="558"/>
    </row>
    <row r="23" spans="2:12" s="560" customFormat="1" ht="12.75" customHeight="1" x14ac:dyDescent="0.2">
      <c r="B23" s="95" t="s">
        <v>13</v>
      </c>
      <c r="C23" s="561"/>
      <c r="D23" s="568">
        <v>4684.9446013247998</v>
      </c>
      <c r="E23" s="559"/>
      <c r="F23" s="574">
        <v>4374.8238440727</v>
      </c>
      <c r="G23" s="559"/>
      <c r="H23" s="568">
        <v>335506543.825858</v>
      </c>
      <c r="I23" s="559"/>
      <c r="J23" s="568">
        <v>14866.779514775</v>
      </c>
      <c r="K23" s="558"/>
      <c r="L23" s="558"/>
    </row>
    <row r="24" spans="2:12" s="560" customFormat="1" ht="12.75" customHeight="1" x14ac:dyDescent="0.2">
      <c r="B24" s="95" t="s">
        <v>14</v>
      </c>
      <c r="C24" s="561"/>
      <c r="D24" s="568">
        <v>2196.0136308016999</v>
      </c>
      <c r="E24" s="559"/>
      <c r="F24" s="574">
        <v>2000.8738924112999</v>
      </c>
      <c r="G24" s="559"/>
      <c r="H24" s="568">
        <v>226422062.11598799</v>
      </c>
      <c r="I24" s="559"/>
      <c r="J24" s="568">
        <v>21675.056603820001</v>
      </c>
      <c r="K24" s="558"/>
      <c r="L24" s="558"/>
    </row>
    <row r="25" spans="2:12" s="560" customFormat="1" ht="12.75" customHeight="1" x14ac:dyDescent="0.2">
      <c r="B25" s="95" t="s">
        <v>15</v>
      </c>
      <c r="C25" s="561"/>
      <c r="D25" s="568">
        <v>1808.3851375068</v>
      </c>
      <c r="E25" s="559"/>
      <c r="F25" s="574">
        <v>1702.8678750859999</v>
      </c>
      <c r="G25" s="559"/>
      <c r="H25" s="568">
        <v>251781598.593007</v>
      </c>
      <c r="I25" s="559"/>
      <c r="J25" s="568">
        <v>27247.038078371101</v>
      </c>
      <c r="K25" s="558"/>
      <c r="L25" s="558"/>
    </row>
    <row r="26" spans="2:12" s="560" customFormat="1" ht="12.75" customHeight="1" x14ac:dyDescent="0.2">
      <c r="B26" s="95" t="s">
        <v>16</v>
      </c>
      <c r="C26" s="561"/>
      <c r="D26" s="568">
        <v>9689.1407296458001</v>
      </c>
      <c r="E26" s="559"/>
      <c r="F26" s="574">
        <v>10168.863686109</v>
      </c>
      <c r="G26" s="559"/>
      <c r="H26" s="568">
        <v>1282554749.5716901</v>
      </c>
      <c r="I26" s="559"/>
      <c r="J26" s="568">
        <v>19227.967964178799</v>
      </c>
      <c r="K26" s="558"/>
      <c r="L26" s="558"/>
    </row>
    <row r="27" spans="2:12" s="560" customFormat="1" ht="12.75" customHeight="1" x14ac:dyDescent="0.2">
      <c r="B27" s="95" t="s">
        <v>17</v>
      </c>
      <c r="C27" s="561"/>
      <c r="D27" s="568">
        <v>10825.5515483654</v>
      </c>
      <c r="E27" s="559"/>
      <c r="F27" s="574">
        <v>9985.8356936212003</v>
      </c>
      <c r="G27" s="559"/>
      <c r="H27" s="568">
        <v>3384576451.7143502</v>
      </c>
      <c r="I27" s="559"/>
      <c r="J27" s="568">
        <v>84003.0708825568</v>
      </c>
      <c r="K27" s="558"/>
      <c r="L27" s="558"/>
    </row>
    <row r="28" spans="2:12" s="560" customFormat="1" ht="12.75" customHeight="1" x14ac:dyDescent="0.2">
      <c r="B28" s="95" t="s">
        <v>18</v>
      </c>
      <c r="C28" s="561"/>
      <c r="D28" s="568">
        <v>6120.6470210168</v>
      </c>
      <c r="E28" s="559"/>
      <c r="F28" s="574">
        <v>6034.1966187168</v>
      </c>
      <c r="G28" s="559"/>
      <c r="H28" s="568">
        <v>839401359.82339001</v>
      </c>
      <c r="I28" s="559"/>
      <c r="J28" s="568">
        <v>32650.613715235399</v>
      </c>
      <c r="K28" s="558"/>
      <c r="L28" s="558"/>
    </row>
    <row r="29" spans="2:12" s="560" customFormat="1" ht="12.75" customHeight="1" x14ac:dyDescent="0.2">
      <c r="B29" s="95" t="s">
        <v>19</v>
      </c>
      <c r="C29" s="561"/>
      <c r="D29" s="568">
        <v>1560.014588607</v>
      </c>
      <c r="E29" s="559"/>
      <c r="F29" s="574">
        <v>1396.9832258597</v>
      </c>
      <c r="G29" s="559"/>
      <c r="H29" s="568">
        <v>319349174.16818202</v>
      </c>
      <c r="I29" s="559"/>
      <c r="J29" s="568">
        <v>33158.745949894903</v>
      </c>
      <c r="K29" s="558"/>
      <c r="L29" s="558"/>
    </row>
    <row r="30" spans="2:12" s="560" customFormat="1" ht="12.75" customHeight="1" x14ac:dyDescent="0.2">
      <c r="B30" s="95" t="s">
        <v>20</v>
      </c>
      <c r="C30" s="561"/>
      <c r="D30" s="568">
        <v>1268.8443633060001</v>
      </c>
      <c r="E30" s="559"/>
      <c r="F30" s="574">
        <v>1322.914845668</v>
      </c>
      <c r="G30" s="559"/>
      <c r="H30" s="568">
        <v>95583725.333692804</v>
      </c>
      <c r="I30" s="559"/>
      <c r="J30" s="568">
        <v>10277.940437572801</v>
      </c>
      <c r="K30" s="558"/>
      <c r="L30" s="558"/>
    </row>
    <row r="31" spans="2:12" s="560" customFormat="1" ht="12.75" customHeight="1" x14ac:dyDescent="0.2">
      <c r="B31" s="95" t="s">
        <v>21</v>
      </c>
      <c r="C31" s="561"/>
      <c r="D31" s="568">
        <v>6879.8526676041001</v>
      </c>
      <c r="E31" s="559"/>
      <c r="F31" s="574">
        <v>6352.7696317110003</v>
      </c>
      <c r="G31" s="559"/>
      <c r="H31" s="568">
        <v>283717116.38060498</v>
      </c>
      <c r="I31" s="559"/>
      <c r="J31" s="568">
        <v>7044.7068955938003</v>
      </c>
      <c r="K31" s="558"/>
      <c r="L31" s="558"/>
    </row>
    <row r="32" spans="2:12" s="560" customFormat="1" ht="12.75" customHeight="1" x14ac:dyDescent="0.2">
      <c r="B32" s="95" t="s">
        <v>22</v>
      </c>
      <c r="C32" s="561"/>
      <c r="D32" s="568">
        <v>3014.6028002524999</v>
      </c>
      <c r="E32" s="559"/>
      <c r="F32" s="574">
        <v>2532.3298363365002</v>
      </c>
      <c r="G32" s="559"/>
      <c r="H32" s="568">
        <v>380764994.86375099</v>
      </c>
      <c r="I32" s="559"/>
      <c r="J32" s="568">
        <v>17399.7577049717</v>
      </c>
      <c r="K32" s="558"/>
      <c r="L32" s="558"/>
    </row>
    <row r="33" spans="2:12" s="560" customFormat="1" ht="12.75" customHeight="1" x14ac:dyDescent="0.2">
      <c r="B33" s="95" t="s">
        <v>23</v>
      </c>
      <c r="C33" s="561"/>
      <c r="D33" s="568">
        <v>3921.4701946055002</v>
      </c>
      <c r="E33" s="559"/>
      <c r="F33" s="574">
        <v>2833.2471653563998</v>
      </c>
      <c r="G33" s="559"/>
      <c r="H33" s="568">
        <v>493923192.95412999</v>
      </c>
      <c r="I33" s="559"/>
      <c r="J33" s="568">
        <v>24021.324805112799</v>
      </c>
      <c r="K33" s="558"/>
      <c r="L33" s="558"/>
    </row>
    <row r="34" spans="2:12" s="560" customFormat="1" ht="12.75" customHeight="1" x14ac:dyDescent="0.2">
      <c r="B34" s="95" t="s">
        <v>24</v>
      </c>
      <c r="C34" s="561"/>
      <c r="D34" s="568">
        <v>1928.3704634858</v>
      </c>
      <c r="E34" s="559"/>
      <c r="F34" s="574">
        <v>1671.6629694210001</v>
      </c>
      <c r="G34" s="559"/>
      <c r="H34" s="568">
        <v>199681505.35513899</v>
      </c>
      <c r="I34" s="559"/>
      <c r="J34" s="568">
        <v>23216.103476077002</v>
      </c>
      <c r="K34" s="558"/>
      <c r="L34" s="558"/>
    </row>
    <row r="35" spans="2:12" s="560" customFormat="1" ht="12.75" customHeight="1" x14ac:dyDescent="0.2">
      <c r="B35" s="95" t="s">
        <v>25</v>
      </c>
      <c r="C35" s="561"/>
      <c r="D35" s="568">
        <v>2856.3681352776998</v>
      </c>
      <c r="E35" s="559"/>
      <c r="F35" s="574">
        <v>2605.8838502850999</v>
      </c>
      <c r="G35" s="559"/>
      <c r="H35" s="568">
        <v>152231000.24857399</v>
      </c>
      <c r="I35" s="559"/>
      <c r="J35" s="568">
        <v>6609.2022466491999</v>
      </c>
      <c r="K35" s="558"/>
      <c r="L35" s="558"/>
    </row>
    <row r="36" spans="2:12" s="560" customFormat="1" ht="12.75" customHeight="1" x14ac:dyDescent="0.2">
      <c r="B36" s="95" t="s">
        <v>26</v>
      </c>
      <c r="C36" s="561"/>
      <c r="D36" s="568">
        <v>2495.7976573279002</v>
      </c>
      <c r="E36" s="559"/>
      <c r="F36" s="574">
        <v>2427.0496129180001</v>
      </c>
      <c r="G36" s="559"/>
      <c r="H36" s="568">
        <v>352369492.477911</v>
      </c>
      <c r="I36" s="559"/>
      <c r="J36" s="568">
        <v>29696.564012036899</v>
      </c>
      <c r="K36" s="558"/>
      <c r="L36" s="558"/>
    </row>
    <row r="37" spans="2:12" s="560" customFormat="1" ht="12.75" customHeight="1" x14ac:dyDescent="0.2">
      <c r="B37" s="95" t="s">
        <v>27</v>
      </c>
      <c r="C37" s="561"/>
      <c r="D37" s="568">
        <v>2340.3860617661999</v>
      </c>
      <c r="E37" s="559"/>
      <c r="F37" s="574">
        <v>1917.4915979489999</v>
      </c>
      <c r="G37" s="559"/>
      <c r="H37" s="568">
        <v>1012849241.10612</v>
      </c>
      <c r="I37" s="559"/>
      <c r="J37" s="568">
        <v>72863.855545221595</v>
      </c>
      <c r="K37" s="558"/>
      <c r="L37" s="558"/>
    </row>
    <row r="38" spans="2:12" s="560" customFormat="1" ht="12.75" customHeight="1" x14ac:dyDescent="0.2">
      <c r="B38" s="95" t="s">
        <v>28</v>
      </c>
      <c r="C38" s="561"/>
      <c r="D38" s="568">
        <v>4867.6446493163003</v>
      </c>
      <c r="E38" s="559"/>
      <c r="F38" s="574">
        <v>4360.5295683742997</v>
      </c>
      <c r="G38" s="559"/>
      <c r="H38" s="568">
        <v>765029446.30215502</v>
      </c>
      <c r="I38" s="559"/>
      <c r="J38" s="568">
        <v>15581.1898668138</v>
      </c>
      <c r="K38" s="558"/>
      <c r="L38" s="558"/>
    </row>
    <row r="39" spans="2:12" s="560" customFormat="1" ht="12.75" customHeight="1" x14ac:dyDescent="0.2">
      <c r="B39" s="95" t="s">
        <v>29</v>
      </c>
      <c r="C39" s="561"/>
      <c r="D39" s="568">
        <v>2335.3282408135001</v>
      </c>
      <c r="E39" s="559"/>
      <c r="F39" s="574">
        <v>1958.4503956906999</v>
      </c>
      <c r="G39" s="559"/>
      <c r="H39" s="568">
        <v>148515375.12203899</v>
      </c>
      <c r="I39" s="559"/>
      <c r="J39" s="568">
        <v>7101.9293770886998</v>
      </c>
      <c r="K39" s="558"/>
      <c r="L39" s="558"/>
    </row>
    <row r="40" spans="2:12" s="560" customFormat="1" ht="12.75" customHeight="1" x14ac:dyDescent="0.2">
      <c r="B40" s="95" t="s">
        <v>30</v>
      </c>
      <c r="C40" s="561"/>
      <c r="D40" s="568">
        <v>3823.5970843035998</v>
      </c>
      <c r="E40" s="559"/>
      <c r="F40" s="574">
        <v>3250.8618754621998</v>
      </c>
      <c r="G40" s="559"/>
      <c r="H40" s="568">
        <v>291546186.18274999</v>
      </c>
      <c r="I40" s="559"/>
      <c r="J40" s="568">
        <v>10065.6063225085</v>
      </c>
      <c r="K40" s="558"/>
      <c r="L40" s="558"/>
    </row>
    <row r="41" spans="2:12" s="560" customFormat="1" ht="12.75" customHeight="1" x14ac:dyDescent="0.2">
      <c r="B41" s="95" t="s">
        <v>31</v>
      </c>
      <c r="C41" s="561"/>
      <c r="D41" s="568">
        <v>653.6690464006</v>
      </c>
      <c r="E41" s="559"/>
      <c r="F41" s="574">
        <v>526.74566918009998</v>
      </c>
      <c r="G41" s="559"/>
      <c r="H41" s="568">
        <v>27797956.741458502</v>
      </c>
      <c r="I41" s="559"/>
      <c r="J41" s="568">
        <v>9036.5034515945008</v>
      </c>
      <c r="K41" s="558"/>
      <c r="L41" s="558"/>
    </row>
    <row r="42" spans="2:12" s="560" customFormat="1" ht="12.75" customHeight="1" x14ac:dyDescent="0.2">
      <c r="B42" s="95" t="s">
        <v>32</v>
      </c>
      <c r="C42" s="561"/>
      <c r="D42" s="568">
        <v>6557.0567118351</v>
      </c>
      <c r="E42" s="559"/>
      <c r="F42" s="574">
        <v>5734.9276949816003</v>
      </c>
      <c r="G42" s="559"/>
      <c r="H42" s="568">
        <v>248801463.22268701</v>
      </c>
      <c r="I42" s="559"/>
      <c r="J42" s="568">
        <v>7223.2435009919</v>
      </c>
      <c r="K42" s="558"/>
      <c r="L42" s="558"/>
    </row>
    <row r="43" spans="2:12" s="560" customFormat="1" ht="12.75" customHeight="1" x14ac:dyDescent="0.2">
      <c r="B43" s="95" t="s">
        <v>33</v>
      </c>
      <c r="C43" s="561"/>
      <c r="D43" s="568">
        <v>2710.4519064300998</v>
      </c>
      <c r="E43" s="559"/>
      <c r="F43" s="574">
        <v>2472.2533614767999</v>
      </c>
      <c r="G43" s="559"/>
      <c r="H43" s="568">
        <v>419634554.56788701</v>
      </c>
      <c r="I43" s="559"/>
      <c r="J43" s="568">
        <v>19801.972995551001</v>
      </c>
      <c r="K43" s="558"/>
      <c r="L43" s="558"/>
    </row>
    <row r="44" spans="2:12" s="560" customFormat="1" ht="12.75" customHeight="1" x14ac:dyDescent="0.2">
      <c r="B44" s="95" t="s">
        <v>34</v>
      </c>
      <c r="C44" s="561"/>
      <c r="D44" s="568">
        <v>1937.4515154200001</v>
      </c>
      <c r="E44" s="559"/>
      <c r="F44" s="574">
        <v>1738.991415617</v>
      </c>
      <c r="G44" s="559"/>
      <c r="H44" s="568">
        <v>462361639.83855402</v>
      </c>
      <c r="I44" s="559"/>
      <c r="J44" s="568">
        <v>41797.799071042296</v>
      </c>
      <c r="K44" s="558"/>
      <c r="L44" s="558"/>
    </row>
    <row r="45" spans="2:12" ht="6" customHeight="1" x14ac:dyDescent="0.25">
      <c r="B45" s="562"/>
      <c r="C45" s="563"/>
      <c r="D45" s="564"/>
      <c r="E45" s="564"/>
      <c r="F45" s="564"/>
      <c r="G45" s="564"/>
      <c r="H45" s="565"/>
      <c r="I45" s="564"/>
      <c r="J45" s="564"/>
      <c r="K45" s="546"/>
      <c r="L45" s="546"/>
    </row>
    <row r="46" spans="2:12" ht="6" customHeight="1" x14ac:dyDescent="0.25">
      <c r="B46" s="228"/>
      <c r="C46" s="545"/>
      <c r="D46" s="545"/>
      <c r="E46" s="545"/>
      <c r="F46" s="545"/>
      <c r="G46" s="545"/>
      <c r="H46" s="566"/>
      <c r="I46" s="546"/>
      <c r="J46" s="546"/>
      <c r="K46" s="546"/>
      <c r="L46" s="546"/>
    </row>
    <row r="47" spans="2:12" ht="15" customHeight="1" x14ac:dyDescent="0.25">
      <c r="B47" s="273" t="s">
        <v>132</v>
      </c>
      <c r="C47" s="545"/>
      <c r="D47" s="545"/>
      <c r="E47" s="545"/>
      <c r="F47" s="545"/>
      <c r="G47" s="545"/>
      <c r="H47" s="566"/>
      <c r="I47" s="546"/>
      <c r="J47" s="546"/>
      <c r="K47" s="546"/>
      <c r="L47" s="546"/>
    </row>
    <row r="48" spans="2:12" s="13" customFormat="1" ht="14.25" x14ac:dyDescent="0.2">
      <c r="B48" s="146" t="s">
        <v>181</v>
      </c>
      <c r="C48" s="147"/>
      <c r="D48" s="147"/>
      <c r="E48" s="147"/>
      <c r="F48" s="147"/>
      <c r="G48" s="147"/>
      <c r="H48" s="147"/>
      <c r="I48" s="147"/>
      <c r="J48" s="147"/>
      <c r="K48" s="147"/>
      <c r="L48" s="147"/>
    </row>
    <row r="49" spans="2:12" x14ac:dyDescent="0.25">
      <c r="B49" s="546"/>
      <c r="C49" s="545"/>
      <c r="D49" s="545"/>
      <c r="E49" s="545"/>
      <c r="F49" s="545"/>
      <c r="G49" s="545"/>
      <c r="H49" s="546"/>
      <c r="I49" s="546"/>
      <c r="J49" s="546"/>
      <c r="K49" s="546"/>
      <c r="L49" s="546"/>
    </row>
    <row r="50" spans="2:12" x14ac:dyDescent="0.25">
      <c r="B50" s="546"/>
      <c r="C50" s="545"/>
      <c r="D50" s="545"/>
      <c r="E50" s="545"/>
      <c r="F50" s="545"/>
      <c r="G50" s="545"/>
      <c r="H50" s="546"/>
      <c r="I50" s="546"/>
      <c r="J50" s="546"/>
      <c r="K50" s="546"/>
      <c r="L50" s="546"/>
    </row>
    <row r="51" spans="2:12" x14ac:dyDescent="0.25">
      <c r="B51" s="546"/>
      <c r="C51" s="545"/>
      <c r="D51" s="545"/>
      <c r="E51" s="545"/>
      <c r="F51" s="545"/>
      <c r="G51" s="545"/>
      <c r="H51" s="546"/>
      <c r="I51" s="546"/>
      <c r="J51" s="546"/>
      <c r="K51" s="546"/>
      <c r="L51" s="546"/>
    </row>
    <row r="52" spans="2:12" x14ac:dyDescent="0.25">
      <c r="B52" s="546"/>
      <c r="C52" s="545"/>
      <c r="D52" s="545"/>
      <c r="E52" s="545"/>
      <c r="F52" s="545"/>
      <c r="G52" s="545"/>
      <c r="H52" s="546"/>
      <c r="I52" s="546"/>
      <c r="J52" s="546"/>
      <c r="K52" s="546"/>
      <c r="L52" s="546"/>
    </row>
  </sheetData>
  <mergeCells count="6">
    <mergeCell ref="J7:J9"/>
    <mergeCell ref="B5:H5"/>
    <mergeCell ref="B7:C9"/>
    <mergeCell ref="D7:D9"/>
    <mergeCell ref="F7:F9"/>
    <mergeCell ref="H7:H9"/>
  </mergeCells>
  <hyperlinks>
    <hyperlink ref="J1" location="Índice!A1" tooltip="Ir a ÍNDICE" display="INDICE" xr:uid="{E53F1EC4-B60C-40E1-B4D3-60B722ADBE1F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52DB-56C8-4CC2-B786-3FE38A46AAAB}">
  <dimension ref="B1:S48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582" customWidth="1"/>
    <col min="2" max="2" width="24.28515625" style="582" customWidth="1"/>
    <col min="3" max="3" width="0.85546875" style="602" customWidth="1"/>
    <col min="4" max="4" width="20.7109375" style="602" customWidth="1"/>
    <col min="5" max="5" width="0.85546875" style="602" customWidth="1"/>
    <col min="6" max="6" width="25.7109375" style="602" customWidth="1"/>
    <col min="7" max="7" width="2.5703125" style="602" customWidth="1"/>
    <col min="8" max="8" width="21.85546875" style="582" customWidth="1"/>
    <col min="9" max="9" width="1.7109375" style="582" customWidth="1"/>
    <col min="10" max="10" width="21.7109375" style="582" customWidth="1"/>
    <col min="11" max="16384" width="11.42578125" style="582"/>
  </cols>
  <sheetData>
    <row r="1" spans="2:19" s="577" customFormat="1" ht="12" customHeight="1" x14ac:dyDescent="0.2">
      <c r="B1" s="639" t="s">
        <v>202</v>
      </c>
      <c r="J1" s="72" t="s">
        <v>151</v>
      </c>
    </row>
    <row r="2" spans="2:19" s="577" customFormat="1" ht="6.95" customHeight="1" x14ac:dyDescent="0.2">
      <c r="B2" s="639"/>
    </row>
    <row r="3" spans="2:19" s="577" customFormat="1" ht="15" customHeight="1" x14ac:dyDescent="0.2">
      <c r="B3" s="639" t="s">
        <v>199</v>
      </c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6"/>
      <c r="N3" s="576"/>
      <c r="O3" s="576"/>
      <c r="P3" s="576"/>
      <c r="Q3" s="576"/>
      <c r="R3" s="576"/>
      <c r="S3" s="576"/>
    </row>
    <row r="4" spans="2:19" s="577" customFormat="1" ht="6.95" customHeight="1" x14ac:dyDescent="0.2">
      <c r="C4" s="578"/>
      <c r="D4" s="578"/>
      <c r="E4" s="578"/>
      <c r="F4" s="578"/>
      <c r="G4" s="578"/>
    </row>
    <row r="5" spans="2:19" s="577" customFormat="1" ht="39" customHeight="1" x14ac:dyDescent="0.2">
      <c r="B5" s="732" t="s">
        <v>171</v>
      </c>
      <c r="C5" s="732"/>
      <c r="D5" s="732"/>
      <c r="E5" s="732"/>
      <c r="F5" s="732"/>
      <c r="G5" s="732"/>
      <c r="H5" s="732"/>
      <c r="I5" s="732"/>
      <c r="J5" s="71" t="s">
        <v>119</v>
      </c>
    </row>
    <row r="6" spans="2:19" ht="6" customHeight="1" x14ac:dyDescent="0.25">
      <c r="B6" s="579"/>
      <c r="C6" s="580"/>
      <c r="D6" s="580"/>
      <c r="E6" s="580"/>
      <c r="F6" s="580"/>
      <c r="G6" s="580"/>
      <c r="H6" s="581"/>
      <c r="I6" s="581"/>
      <c r="J6" s="581"/>
    </row>
    <row r="7" spans="2:19" ht="24" customHeight="1" x14ac:dyDescent="0.25">
      <c r="B7" s="681" t="s">
        <v>76</v>
      </c>
      <c r="C7" s="681"/>
      <c r="D7" s="729" t="s">
        <v>133</v>
      </c>
      <c r="E7" s="570"/>
      <c r="F7" s="729" t="s">
        <v>92</v>
      </c>
      <c r="G7" s="583"/>
      <c r="H7" s="729" t="s">
        <v>184</v>
      </c>
      <c r="I7" s="584"/>
      <c r="J7" s="729" t="s">
        <v>185</v>
      </c>
    </row>
    <row r="8" spans="2:19" ht="42" customHeight="1" x14ac:dyDescent="0.25">
      <c r="B8" s="682"/>
      <c r="C8" s="682"/>
      <c r="D8" s="730"/>
      <c r="E8" s="571"/>
      <c r="F8" s="730"/>
      <c r="G8" s="585"/>
      <c r="H8" s="730"/>
      <c r="I8" s="581"/>
      <c r="J8" s="730"/>
    </row>
    <row r="9" spans="2:19" ht="25.5" customHeight="1" x14ac:dyDescent="0.25">
      <c r="B9" s="683"/>
      <c r="C9" s="683"/>
      <c r="D9" s="731"/>
      <c r="E9" s="572"/>
      <c r="F9" s="731"/>
      <c r="G9" s="586"/>
      <c r="H9" s="731"/>
      <c r="I9" s="579"/>
      <c r="J9" s="731"/>
    </row>
    <row r="10" spans="2:19" ht="6" customHeight="1" x14ac:dyDescent="0.25">
      <c r="B10" s="31"/>
      <c r="C10" s="587"/>
      <c r="D10" s="588"/>
      <c r="E10" s="588"/>
      <c r="F10" s="588"/>
      <c r="G10" s="588"/>
      <c r="H10" s="589"/>
      <c r="I10" s="589"/>
      <c r="J10" s="589"/>
    </row>
    <row r="11" spans="2:19" s="592" customFormat="1" ht="11.25" x14ac:dyDescent="0.2">
      <c r="B11" s="94" t="s">
        <v>2</v>
      </c>
      <c r="C11" s="590"/>
      <c r="D11" s="604">
        <v>22092.168035514602</v>
      </c>
      <c r="E11" s="591"/>
      <c r="F11" s="607">
        <v>22175.617039883498</v>
      </c>
      <c r="G11" s="591"/>
      <c r="H11" s="604">
        <v>1873175311.18117</v>
      </c>
      <c r="I11" s="591"/>
      <c r="J11" s="604">
        <v>3686.7973256355999</v>
      </c>
    </row>
    <row r="12" spans="2:19" s="595" customFormat="1" ht="6" customHeight="1" x14ac:dyDescent="0.2">
      <c r="B12" s="94"/>
      <c r="C12" s="593"/>
      <c r="D12" s="594"/>
      <c r="E12" s="594"/>
      <c r="F12" s="605"/>
      <c r="G12" s="594"/>
      <c r="H12" s="594"/>
      <c r="I12" s="594"/>
      <c r="J12" s="594"/>
    </row>
    <row r="13" spans="2:19" s="595" customFormat="1" ht="12.75" customHeight="1" x14ac:dyDescent="0.2">
      <c r="B13" s="95" t="s">
        <v>3</v>
      </c>
      <c r="C13" s="596"/>
      <c r="D13" s="603">
        <v>1060.1298922387</v>
      </c>
      <c r="E13" s="594"/>
      <c r="F13" s="606">
        <v>1075.2162513557</v>
      </c>
      <c r="G13" s="594"/>
      <c r="H13" s="603">
        <v>40215269.017647199</v>
      </c>
      <c r="I13" s="594"/>
      <c r="J13" s="603">
        <v>6103.8477081569999</v>
      </c>
    </row>
    <row r="14" spans="2:19" s="595" customFormat="1" ht="12.75" customHeight="1" x14ac:dyDescent="0.2">
      <c r="B14" s="95" t="s">
        <v>4</v>
      </c>
      <c r="C14" s="596"/>
      <c r="D14" s="603">
        <v>3908.2255415128002</v>
      </c>
      <c r="E14" s="594"/>
      <c r="F14" s="606">
        <v>3335.7977842104001</v>
      </c>
      <c r="G14" s="594"/>
      <c r="H14" s="603">
        <v>240669705.37095001</v>
      </c>
      <c r="I14" s="594"/>
      <c r="J14" s="603">
        <v>10941.201363303901</v>
      </c>
    </row>
    <row r="15" spans="2:19" s="595" customFormat="1" ht="12.75" customHeight="1" x14ac:dyDescent="0.2">
      <c r="B15" s="95" t="s">
        <v>5</v>
      </c>
      <c r="C15" s="596"/>
      <c r="D15" s="603">
        <v>951.59608339299996</v>
      </c>
      <c r="E15" s="594"/>
      <c r="F15" s="606">
        <v>887.02770129069995</v>
      </c>
      <c r="G15" s="594"/>
      <c r="H15" s="603">
        <v>57914245.418462999</v>
      </c>
      <c r="I15" s="594"/>
      <c r="J15" s="603">
        <v>10665.6781791837</v>
      </c>
    </row>
    <row r="16" spans="2:19" s="595" customFormat="1" ht="12.75" customHeight="1" x14ac:dyDescent="0.2">
      <c r="B16" s="95" t="s">
        <v>6</v>
      </c>
      <c r="C16" s="596"/>
      <c r="D16" s="603">
        <v>768.16003309140001</v>
      </c>
      <c r="E16" s="594"/>
      <c r="F16" s="606">
        <v>742.05663695400006</v>
      </c>
      <c r="G16" s="594"/>
      <c r="H16" s="603">
        <v>9063632.36323837</v>
      </c>
      <c r="I16" s="594"/>
      <c r="J16" s="603">
        <v>1707.2440350966999</v>
      </c>
    </row>
    <row r="17" spans="2:10" s="595" customFormat="1" ht="12.75" customHeight="1" x14ac:dyDescent="0.2">
      <c r="B17" s="95" t="s">
        <v>7</v>
      </c>
      <c r="C17" s="596"/>
      <c r="D17" s="603">
        <v>2025.6480444539</v>
      </c>
      <c r="E17" s="594"/>
      <c r="F17" s="606">
        <v>3529.2762714188002</v>
      </c>
      <c r="G17" s="594"/>
      <c r="H17" s="603">
        <v>477779292.51696301</v>
      </c>
      <c r="I17" s="594"/>
      <c r="J17" s="603">
        <v>51400.289591711</v>
      </c>
    </row>
    <row r="18" spans="2:10" s="595" customFormat="1" ht="12.75" customHeight="1" x14ac:dyDescent="0.2">
      <c r="B18" s="95" t="s">
        <v>8</v>
      </c>
      <c r="C18" s="596"/>
      <c r="D18" s="603">
        <v>938.02986384010001</v>
      </c>
      <c r="E18" s="594"/>
      <c r="F18" s="606">
        <v>816.01926477029997</v>
      </c>
      <c r="G18" s="594"/>
      <c r="H18" s="603">
        <v>24544516.638958</v>
      </c>
      <c r="I18" s="594"/>
      <c r="J18" s="603">
        <v>4173.7294077687002</v>
      </c>
    </row>
    <row r="19" spans="2:10" s="595" customFormat="1" ht="12.75" customHeight="1" x14ac:dyDescent="0.2">
      <c r="B19" s="95" t="s">
        <v>9</v>
      </c>
      <c r="C19" s="596"/>
      <c r="D19" s="603">
        <v>2440.2823979650998</v>
      </c>
      <c r="E19" s="594"/>
      <c r="F19" s="606">
        <v>2288.3224750896002</v>
      </c>
      <c r="G19" s="594"/>
      <c r="H19" s="603">
        <v>64295557.605193302</v>
      </c>
      <c r="I19" s="594"/>
      <c r="J19" s="603">
        <v>4881.2947031370004</v>
      </c>
    </row>
    <row r="20" spans="2:10" s="595" customFormat="1" ht="12.75" customHeight="1" x14ac:dyDescent="0.2">
      <c r="B20" s="95" t="s">
        <v>10</v>
      </c>
      <c r="C20" s="596"/>
      <c r="D20" s="603">
        <v>3492.8180090108999</v>
      </c>
      <c r="E20" s="594"/>
      <c r="F20" s="606">
        <v>3029.9731571968</v>
      </c>
      <c r="G20" s="594"/>
      <c r="H20" s="603">
        <v>121991037.00960501</v>
      </c>
      <c r="I20" s="594"/>
      <c r="J20" s="603">
        <v>5551.7423734077001</v>
      </c>
    </row>
    <row r="21" spans="2:10" s="595" customFormat="1" ht="12.75" customHeight="1" x14ac:dyDescent="0.2">
      <c r="B21" s="95" t="s">
        <v>11</v>
      </c>
      <c r="C21" s="596"/>
      <c r="D21" s="603">
        <v>6882.0163879641004</v>
      </c>
      <c r="E21" s="594"/>
      <c r="F21" s="606">
        <v>5787.4986232642996</v>
      </c>
      <c r="G21" s="594"/>
      <c r="H21" s="603">
        <v>509002902.17750299</v>
      </c>
      <c r="I21" s="594"/>
      <c r="J21" s="603">
        <v>14723.217482477399</v>
      </c>
    </row>
    <row r="22" spans="2:10" s="595" customFormat="1" ht="12.75" customHeight="1" x14ac:dyDescent="0.2">
      <c r="B22" s="95" t="s">
        <v>12</v>
      </c>
      <c r="C22" s="596"/>
      <c r="D22" s="603">
        <v>1721.2151962231001</v>
      </c>
      <c r="E22" s="594"/>
      <c r="F22" s="606">
        <v>1696.2992716639001</v>
      </c>
      <c r="G22" s="594"/>
      <c r="H22" s="603">
        <v>102716882.809746</v>
      </c>
      <c r="I22" s="594"/>
      <c r="J22" s="603">
        <v>9327.9077477625997</v>
      </c>
    </row>
    <row r="23" spans="2:10" s="595" customFormat="1" ht="12.75" customHeight="1" x14ac:dyDescent="0.2">
      <c r="B23" s="95" t="s">
        <v>13</v>
      </c>
      <c r="C23" s="596"/>
      <c r="D23" s="603">
        <v>4635.7617823357004</v>
      </c>
      <c r="E23" s="594"/>
      <c r="F23" s="606">
        <v>4497.7759504003998</v>
      </c>
      <c r="G23" s="594"/>
      <c r="H23" s="603">
        <v>138938493.35694</v>
      </c>
      <c r="I23" s="594"/>
      <c r="J23" s="603">
        <v>6673.3614218615003</v>
      </c>
    </row>
    <row r="24" spans="2:10" s="595" customFormat="1" ht="12.75" customHeight="1" x14ac:dyDescent="0.2">
      <c r="B24" s="95" t="s">
        <v>14</v>
      </c>
      <c r="C24" s="596"/>
      <c r="D24" s="603">
        <v>2169.0108298485002</v>
      </c>
      <c r="E24" s="594"/>
      <c r="F24" s="606">
        <v>1995.0793969163001</v>
      </c>
      <c r="G24" s="594"/>
      <c r="H24" s="603">
        <v>255750813.27453199</v>
      </c>
      <c r="I24" s="594"/>
      <c r="J24" s="603">
        <v>21633.1381204102</v>
      </c>
    </row>
    <row r="25" spans="2:10" s="595" customFormat="1" ht="12.75" customHeight="1" x14ac:dyDescent="0.2">
      <c r="B25" s="95" t="s">
        <v>15</v>
      </c>
      <c r="C25" s="596"/>
      <c r="D25" s="603">
        <v>1557.8781038668999</v>
      </c>
      <c r="E25" s="594"/>
      <c r="F25" s="606">
        <v>3481.9617674524002</v>
      </c>
      <c r="G25" s="594"/>
      <c r="H25" s="603">
        <v>169152560.605719</v>
      </c>
      <c r="I25" s="594"/>
      <c r="J25" s="603">
        <v>26277.335675484599</v>
      </c>
    </row>
    <row r="26" spans="2:10" s="595" customFormat="1" ht="12.75" customHeight="1" x14ac:dyDescent="0.2">
      <c r="B26" s="95" t="s">
        <v>16</v>
      </c>
      <c r="C26" s="596"/>
      <c r="D26" s="603">
        <v>8432.7060513756005</v>
      </c>
      <c r="E26" s="594"/>
      <c r="F26" s="606">
        <v>10025.880296069299</v>
      </c>
      <c r="G26" s="594"/>
      <c r="H26" s="603">
        <v>1014976046.16083</v>
      </c>
      <c r="I26" s="594"/>
      <c r="J26" s="603">
        <v>18517.1802605837</v>
      </c>
    </row>
    <row r="27" spans="2:10" s="595" customFormat="1" ht="12.75" customHeight="1" x14ac:dyDescent="0.2">
      <c r="B27" s="95" t="s">
        <v>17</v>
      </c>
      <c r="C27" s="596"/>
      <c r="D27" s="603">
        <v>12028.249979899299</v>
      </c>
      <c r="E27" s="594"/>
      <c r="F27" s="606">
        <v>11963.6590765535</v>
      </c>
      <c r="G27" s="594"/>
      <c r="H27" s="603">
        <v>1017399381.59556</v>
      </c>
      <c r="I27" s="594"/>
      <c r="J27" s="603">
        <v>25187.7915515389</v>
      </c>
    </row>
    <row r="28" spans="2:10" s="595" customFormat="1" ht="12.75" customHeight="1" x14ac:dyDescent="0.2">
      <c r="B28" s="95" t="s">
        <v>18</v>
      </c>
      <c r="C28" s="596"/>
      <c r="D28" s="603">
        <v>3248.6036547849999</v>
      </c>
      <c r="E28" s="594"/>
      <c r="F28" s="606">
        <v>3042.8686574787998</v>
      </c>
      <c r="G28" s="594"/>
      <c r="H28" s="603">
        <v>158325700.81423599</v>
      </c>
      <c r="I28" s="594"/>
      <c r="J28" s="603">
        <v>9465.4445791653998</v>
      </c>
    </row>
    <row r="29" spans="2:10" s="595" customFormat="1" ht="12.75" customHeight="1" x14ac:dyDescent="0.2">
      <c r="B29" s="95" t="s">
        <v>19</v>
      </c>
      <c r="C29" s="596"/>
      <c r="D29" s="603">
        <v>1161.1997961878001</v>
      </c>
      <c r="E29" s="594"/>
      <c r="F29" s="606">
        <v>1082.5276901770001</v>
      </c>
      <c r="G29" s="594"/>
      <c r="H29" s="603">
        <v>21373913.5831508</v>
      </c>
      <c r="I29" s="594"/>
      <c r="J29" s="603">
        <v>3815.7769427546</v>
      </c>
    </row>
    <row r="30" spans="2:10" s="595" customFormat="1" ht="12.75" customHeight="1" x14ac:dyDescent="0.2">
      <c r="B30" s="95" t="s">
        <v>20</v>
      </c>
      <c r="C30" s="596"/>
      <c r="D30" s="603">
        <v>1312.4961017912001</v>
      </c>
      <c r="E30" s="594"/>
      <c r="F30" s="606">
        <v>1261.3907529968999</v>
      </c>
      <c r="G30" s="594"/>
      <c r="H30" s="603">
        <v>155408108.387119</v>
      </c>
      <c r="I30" s="594"/>
      <c r="J30" s="603">
        <v>15268.747200072599</v>
      </c>
    </row>
    <row r="31" spans="2:10" s="595" customFormat="1" ht="12.75" customHeight="1" x14ac:dyDescent="0.2">
      <c r="B31" s="95" t="s">
        <v>21</v>
      </c>
      <c r="C31" s="596"/>
      <c r="D31" s="603">
        <v>4017.1407771147001</v>
      </c>
      <c r="E31" s="594"/>
      <c r="F31" s="606">
        <v>4200.1493254132001</v>
      </c>
      <c r="G31" s="594"/>
      <c r="H31" s="603">
        <v>169890621.29990199</v>
      </c>
      <c r="I31" s="594"/>
      <c r="J31" s="603">
        <v>9189.3908510750007</v>
      </c>
    </row>
    <row r="32" spans="2:10" s="595" customFormat="1" ht="12.75" customHeight="1" x14ac:dyDescent="0.2">
      <c r="B32" s="95" t="s">
        <v>22</v>
      </c>
      <c r="C32" s="596"/>
      <c r="D32" s="603">
        <v>2663.3137254180001</v>
      </c>
      <c r="E32" s="594"/>
      <c r="F32" s="606">
        <v>2606.2433501114001</v>
      </c>
      <c r="G32" s="594"/>
      <c r="H32" s="603">
        <v>179573159.752592</v>
      </c>
      <c r="I32" s="594"/>
      <c r="J32" s="603">
        <v>12818.2976994611</v>
      </c>
    </row>
    <row r="33" spans="2:10" s="595" customFormat="1" ht="12.75" customHeight="1" x14ac:dyDescent="0.2">
      <c r="B33" s="95" t="s">
        <v>23</v>
      </c>
      <c r="C33" s="596"/>
      <c r="D33" s="603">
        <v>3694.7624780533001</v>
      </c>
      <c r="E33" s="594"/>
      <c r="F33" s="606">
        <v>3569.6564260444002</v>
      </c>
      <c r="G33" s="594"/>
      <c r="H33" s="603">
        <v>353265472.69966</v>
      </c>
      <c r="I33" s="594"/>
      <c r="J33" s="603">
        <v>21401.668542379</v>
      </c>
    </row>
    <row r="34" spans="2:10" s="595" customFormat="1" ht="12.75" customHeight="1" x14ac:dyDescent="0.2">
      <c r="B34" s="95" t="s">
        <v>24</v>
      </c>
      <c r="C34" s="596"/>
      <c r="D34" s="603">
        <v>2319.4874192578</v>
      </c>
      <c r="E34" s="594"/>
      <c r="F34" s="606">
        <v>1982.9643214138</v>
      </c>
      <c r="G34" s="594"/>
      <c r="H34" s="603">
        <v>429007895.63065797</v>
      </c>
      <c r="I34" s="594"/>
      <c r="J34" s="603">
        <v>32905.406459915699</v>
      </c>
    </row>
    <row r="35" spans="2:10" s="595" customFormat="1" ht="12.75" customHeight="1" x14ac:dyDescent="0.2">
      <c r="B35" s="95" t="s">
        <v>25</v>
      </c>
      <c r="C35" s="596"/>
      <c r="D35" s="603">
        <v>2892.8561827654999</v>
      </c>
      <c r="E35" s="594"/>
      <c r="F35" s="606">
        <v>2671.4414879479</v>
      </c>
      <c r="G35" s="594"/>
      <c r="H35" s="603">
        <v>104044707.993457</v>
      </c>
      <c r="I35" s="594"/>
      <c r="J35" s="603">
        <v>7272.9644164649999</v>
      </c>
    </row>
    <row r="36" spans="2:10" s="595" customFormat="1" ht="12.75" customHeight="1" x14ac:dyDescent="0.2">
      <c r="B36" s="95" t="s">
        <v>26</v>
      </c>
      <c r="C36" s="596"/>
      <c r="D36" s="603">
        <v>2264.7772644563001</v>
      </c>
      <c r="E36" s="594"/>
      <c r="F36" s="606">
        <v>2198.0961756288002</v>
      </c>
      <c r="G36" s="594"/>
      <c r="H36" s="603">
        <v>132554018.65418001</v>
      </c>
      <c r="I36" s="594"/>
      <c r="J36" s="603">
        <v>9889.0126088128</v>
      </c>
    </row>
    <row r="37" spans="2:10" s="595" customFormat="1" ht="12.75" customHeight="1" x14ac:dyDescent="0.2">
      <c r="B37" s="95" t="s">
        <v>27</v>
      </c>
      <c r="C37" s="596"/>
      <c r="D37" s="603">
        <v>2849.3972980476001</v>
      </c>
      <c r="E37" s="594"/>
      <c r="F37" s="606">
        <v>2755.8782098801998</v>
      </c>
      <c r="G37" s="594"/>
      <c r="H37" s="603">
        <v>287521363.81969702</v>
      </c>
      <c r="I37" s="594"/>
      <c r="J37" s="603">
        <v>25793.8740742911</v>
      </c>
    </row>
    <row r="38" spans="2:10" s="595" customFormat="1" ht="12.75" customHeight="1" x14ac:dyDescent="0.2">
      <c r="B38" s="95" t="s">
        <v>28</v>
      </c>
      <c r="C38" s="596"/>
      <c r="D38" s="603">
        <v>3714.5861238942998</v>
      </c>
      <c r="E38" s="594"/>
      <c r="F38" s="606">
        <v>3277.6908233286999</v>
      </c>
      <c r="G38" s="594"/>
      <c r="H38" s="603">
        <v>187188102.54833901</v>
      </c>
      <c r="I38" s="594"/>
      <c r="J38" s="603">
        <v>5494.1884562673004</v>
      </c>
    </row>
    <row r="39" spans="2:10" s="595" customFormat="1" ht="12.75" customHeight="1" x14ac:dyDescent="0.2">
      <c r="B39" s="95" t="s">
        <v>29</v>
      </c>
      <c r="C39" s="596"/>
      <c r="D39" s="603">
        <v>1820.3035137203001</v>
      </c>
      <c r="E39" s="594"/>
      <c r="F39" s="606">
        <v>1863.3386702368</v>
      </c>
      <c r="G39" s="594"/>
      <c r="H39" s="603">
        <v>92923454.314075902</v>
      </c>
      <c r="I39" s="594"/>
      <c r="J39" s="603">
        <v>9314.1651675253997</v>
      </c>
    </row>
    <row r="40" spans="2:10" s="595" customFormat="1" ht="12.75" customHeight="1" x14ac:dyDescent="0.2">
      <c r="B40" s="95" t="s">
        <v>30</v>
      </c>
      <c r="C40" s="596"/>
      <c r="D40" s="603">
        <v>3021.5070595174998</v>
      </c>
      <c r="E40" s="594"/>
      <c r="F40" s="606">
        <v>2560.7703137922999</v>
      </c>
      <c r="G40" s="594"/>
      <c r="H40" s="603">
        <v>119401482.86089499</v>
      </c>
      <c r="I40" s="594"/>
      <c r="J40" s="603">
        <v>8293.3811548153008</v>
      </c>
    </row>
    <row r="41" spans="2:10" s="595" customFormat="1" ht="12.75" customHeight="1" x14ac:dyDescent="0.2">
      <c r="B41" s="95" t="s">
        <v>31</v>
      </c>
      <c r="C41" s="596"/>
      <c r="D41" s="603">
        <v>633.31992968270004</v>
      </c>
      <c r="E41" s="594"/>
      <c r="F41" s="606">
        <v>596.52535570589998</v>
      </c>
      <c r="G41" s="594"/>
      <c r="H41" s="603">
        <v>29311221.426386598</v>
      </c>
      <c r="I41" s="594"/>
      <c r="J41" s="603">
        <v>11588.295552244999</v>
      </c>
    </row>
    <row r="42" spans="2:10" s="595" customFormat="1" ht="12.75" customHeight="1" x14ac:dyDescent="0.2">
      <c r="B42" s="95" t="s">
        <v>32</v>
      </c>
      <c r="C42" s="596"/>
      <c r="D42" s="603">
        <v>5828.6382057333003</v>
      </c>
      <c r="E42" s="594"/>
      <c r="F42" s="606">
        <v>5322.5086816901003</v>
      </c>
      <c r="G42" s="594"/>
      <c r="H42" s="603">
        <v>320465805.10250401</v>
      </c>
      <c r="I42" s="594"/>
      <c r="J42" s="603">
        <v>11611.3568386692</v>
      </c>
    </row>
    <row r="43" spans="2:10" s="595" customFormat="1" ht="12.75" customHeight="1" x14ac:dyDescent="0.2">
      <c r="B43" s="95" t="s">
        <v>33</v>
      </c>
      <c r="C43" s="596"/>
      <c r="D43" s="603">
        <v>3310.4556418973002</v>
      </c>
      <c r="E43" s="594"/>
      <c r="F43" s="606">
        <v>3067.5586166634998</v>
      </c>
      <c r="G43" s="594"/>
      <c r="H43" s="603">
        <v>50300855.083062701</v>
      </c>
      <c r="I43" s="594"/>
      <c r="J43" s="603">
        <v>2175.9756880550999</v>
      </c>
    </row>
    <row r="44" spans="2:10" s="595" customFormat="1" ht="12.75" customHeight="1" x14ac:dyDescent="0.2">
      <c r="B44" s="95" t="s">
        <v>34</v>
      </c>
      <c r="C44" s="596"/>
      <c r="D44" s="603">
        <v>1794.0556175131001</v>
      </c>
      <c r="E44" s="594"/>
      <c r="F44" s="606">
        <v>1637.8406797695</v>
      </c>
      <c r="G44" s="594"/>
      <c r="H44" s="603">
        <v>234455737.199819</v>
      </c>
      <c r="I44" s="594"/>
      <c r="J44" s="603">
        <v>25959.5482287513</v>
      </c>
    </row>
    <row r="45" spans="2:10" ht="6" customHeight="1" x14ac:dyDescent="0.25">
      <c r="B45" s="597"/>
      <c r="C45" s="598"/>
      <c r="D45" s="599"/>
      <c r="E45" s="599"/>
      <c r="F45" s="599"/>
      <c r="G45" s="599"/>
      <c r="H45" s="600"/>
      <c r="I45" s="599"/>
      <c r="J45" s="599"/>
    </row>
    <row r="46" spans="2:10" ht="6" customHeight="1" x14ac:dyDescent="0.25">
      <c r="B46" s="228"/>
      <c r="C46" s="580"/>
      <c r="D46" s="580"/>
      <c r="E46" s="580"/>
      <c r="F46" s="580"/>
      <c r="G46" s="580"/>
      <c r="H46" s="601"/>
      <c r="I46" s="581"/>
      <c r="J46" s="581"/>
    </row>
    <row r="47" spans="2:10" x14ac:dyDescent="0.25">
      <c r="B47" s="273" t="s">
        <v>134</v>
      </c>
      <c r="C47" s="580"/>
      <c r="D47" s="580"/>
      <c r="E47" s="580"/>
      <c r="F47" s="580"/>
      <c r="G47" s="580"/>
      <c r="H47" s="601"/>
      <c r="I47" s="581"/>
      <c r="J47" s="581"/>
    </row>
    <row r="48" spans="2:10" s="13" customFormat="1" ht="14.25" x14ac:dyDescent="0.2">
      <c r="B48" s="146" t="s">
        <v>181</v>
      </c>
      <c r="C48" s="147"/>
      <c r="D48" s="147"/>
      <c r="E48" s="147"/>
      <c r="F48" s="147"/>
      <c r="G48" s="147"/>
      <c r="H48" s="147"/>
      <c r="I48" s="147"/>
      <c r="J48" s="147"/>
    </row>
  </sheetData>
  <mergeCells count="6">
    <mergeCell ref="J7:J9"/>
    <mergeCell ref="B5:I5"/>
    <mergeCell ref="B7:C9"/>
    <mergeCell ref="D7:D9"/>
    <mergeCell ref="F7:F9"/>
    <mergeCell ref="H7:H9"/>
  </mergeCells>
  <hyperlinks>
    <hyperlink ref="J1" location="Índice!A1" tooltip="Ir a ÍNDICE" display="INDICE" xr:uid="{B30C3C01-467F-4BD5-A762-6F8ADF4B3373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B38-76F1-40BA-9A0B-2F68C1F87409}">
  <dimension ref="B1:S56"/>
  <sheetViews>
    <sheetView showGridLines="0" zoomScaleNormal="100" workbookViewId="0"/>
  </sheetViews>
  <sheetFormatPr baseColWidth="10" defaultColWidth="11.42578125" defaultRowHeight="12.75" x14ac:dyDescent="0.2"/>
  <cols>
    <col min="1" max="1" width="1.7109375" style="3" customWidth="1"/>
    <col min="2" max="2" width="48.85546875" style="3" customWidth="1"/>
    <col min="3" max="3" width="1.7109375" style="3" customWidth="1"/>
    <col min="4" max="4" width="26.85546875" style="3" customWidth="1"/>
    <col min="5" max="5" width="1.7109375" style="3" customWidth="1"/>
    <col min="6" max="7" width="15.7109375" style="3" customWidth="1"/>
    <col min="8" max="8" width="1.7109375" style="3" customWidth="1"/>
    <col min="9" max="10" width="15.7109375" style="3" customWidth="1"/>
    <col min="11" max="11" width="1.7109375" style="3" customWidth="1"/>
    <col min="12" max="13" width="15.7109375" style="3" customWidth="1"/>
    <col min="14" max="14" width="1.7109375" style="3" customWidth="1"/>
    <col min="15" max="15" width="15.7109375" style="3" customWidth="1"/>
    <col min="16" max="16384" width="11.42578125" style="3"/>
  </cols>
  <sheetData>
    <row r="1" spans="2:19" s="52" customFormat="1" ht="12" customHeight="1" x14ac:dyDescent="0.2">
      <c r="B1" s="639" t="s">
        <v>202</v>
      </c>
      <c r="C1" s="49"/>
      <c r="D1" s="50"/>
      <c r="O1" s="72" t="s">
        <v>151</v>
      </c>
    </row>
    <row r="2" spans="2:19" s="52" customFormat="1" ht="6.95" customHeight="1" x14ac:dyDescent="0.2">
      <c r="B2" s="639"/>
      <c r="C2" s="49"/>
      <c r="D2" s="50"/>
    </row>
    <row r="3" spans="2:19" s="52" customFormat="1" x14ac:dyDescent="0.2">
      <c r="B3" s="639" t="s">
        <v>199</v>
      </c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1"/>
      <c r="N3" s="611"/>
      <c r="O3" s="611"/>
      <c r="P3" s="611"/>
      <c r="Q3" s="611"/>
      <c r="R3" s="611"/>
      <c r="S3" s="611"/>
    </row>
    <row r="4" spans="2:19" s="52" customFormat="1" ht="6.95" customHeight="1" x14ac:dyDescent="0.2">
      <c r="B4" s="9"/>
      <c r="C4" s="49"/>
      <c r="D4" s="50"/>
    </row>
    <row r="5" spans="2:19" s="52" customFormat="1" ht="25.5" customHeight="1" x14ac:dyDescent="0.2">
      <c r="B5" s="733" t="s">
        <v>157</v>
      </c>
      <c r="C5" s="733"/>
      <c r="D5" s="733"/>
      <c r="E5" s="733"/>
      <c r="F5" s="733"/>
      <c r="G5" s="733"/>
      <c r="H5" s="733"/>
      <c r="I5" s="733"/>
      <c r="J5" s="733"/>
      <c r="K5" s="733"/>
      <c r="L5" s="733"/>
      <c r="M5" s="55"/>
      <c r="N5" s="55"/>
      <c r="O5" s="71" t="s">
        <v>120</v>
      </c>
    </row>
    <row r="6" spans="2:19" ht="6" customHeight="1" x14ac:dyDescent="0.2">
      <c r="B6" s="612"/>
      <c r="C6" s="4"/>
      <c r="D6" s="5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2:19" ht="19.5" customHeight="1" x14ac:dyDescent="0.2">
      <c r="B7" s="734" t="s">
        <v>45</v>
      </c>
      <c r="C7" s="6"/>
      <c r="D7" s="737" t="s">
        <v>88</v>
      </c>
      <c r="E7" s="34"/>
      <c r="F7" s="740" t="s">
        <v>135</v>
      </c>
      <c r="G7" s="740"/>
      <c r="H7" s="740"/>
      <c r="I7" s="740"/>
      <c r="J7" s="740"/>
      <c r="K7" s="740"/>
      <c r="L7" s="740"/>
      <c r="M7" s="740"/>
      <c r="N7" s="34"/>
      <c r="O7" s="737" t="s">
        <v>136</v>
      </c>
    </row>
    <row r="8" spans="2:19" ht="27" customHeight="1" x14ac:dyDescent="0.2">
      <c r="B8" s="735"/>
      <c r="C8" s="613"/>
      <c r="D8" s="738"/>
      <c r="E8" s="33"/>
      <c r="F8" s="688" t="s">
        <v>46</v>
      </c>
      <c r="G8" s="688"/>
      <c r="H8" s="244"/>
      <c r="I8" s="688" t="s">
        <v>47</v>
      </c>
      <c r="J8" s="688"/>
      <c r="K8" s="245"/>
      <c r="L8" s="688" t="s">
        <v>48</v>
      </c>
      <c r="M8" s="688"/>
      <c r="N8" s="33"/>
      <c r="O8" s="738"/>
    </row>
    <row r="9" spans="2:19" ht="33" customHeight="1" x14ac:dyDescent="0.2">
      <c r="B9" s="736"/>
      <c r="C9" s="7"/>
      <c r="D9" s="739"/>
      <c r="E9" s="35"/>
      <c r="F9" s="614" t="s">
        <v>0</v>
      </c>
      <c r="G9" s="614" t="s">
        <v>1</v>
      </c>
      <c r="H9" s="614"/>
      <c r="I9" s="614" t="s">
        <v>0</v>
      </c>
      <c r="J9" s="614" t="s">
        <v>1</v>
      </c>
      <c r="K9" s="614"/>
      <c r="L9" s="614" t="s">
        <v>0</v>
      </c>
      <c r="M9" s="614" t="s">
        <v>1</v>
      </c>
      <c r="N9" s="35"/>
      <c r="O9" s="739"/>
    </row>
    <row r="10" spans="2:19" ht="6" customHeight="1" x14ac:dyDescent="0.2">
      <c r="B10" s="4"/>
      <c r="C10" s="4"/>
      <c r="D10" s="117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</row>
    <row r="11" spans="2:19" s="92" customFormat="1" ht="11.25" x14ac:dyDescent="0.2">
      <c r="B11" s="91" t="s">
        <v>35</v>
      </c>
      <c r="C11" s="83"/>
      <c r="D11" s="334">
        <v>24850.948699424898</v>
      </c>
      <c r="E11" s="87"/>
      <c r="F11" s="334">
        <v>24034.885885343501</v>
      </c>
      <c r="G11" s="620">
        <v>1.0679045872999999</v>
      </c>
      <c r="H11" s="119"/>
      <c r="I11" s="620">
        <v>20106.0960762424</v>
      </c>
      <c r="J11" s="620">
        <v>2.2004600025999999</v>
      </c>
      <c r="K11" s="119"/>
      <c r="L11" s="620">
        <v>6990.3848391915999</v>
      </c>
      <c r="M11" s="620">
        <v>1.1272716857</v>
      </c>
      <c r="N11" s="119"/>
      <c r="O11" s="620">
        <v>4581.5423676828004</v>
      </c>
    </row>
    <row r="12" spans="2:19" s="93" customFormat="1" ht="6" customHeight="1" x14ac:dyDescent="0.2">
      <c r="B12" s="615"/>
      <c r="C12" s="83"/>
      <c r="D12" s="89"/>
      <c r="E12" s="89"/>
      <c r="F12" s="89"/>
      <c r="G12" s="120"/>
      <c r="H12" s="121"/>
      <c r="I12" s="121"/>
      <c r="J12" s="120"/>
      <c r="K12" s="121"/>
      <c r="L12" s="121"/>
      <c r="M12" s="120"/>
      <c r="N12" s="121"/>
      <c r="O12" s="121"/>
    </row>
    <row r="13" spans="2:19" s="93" customFormat="1" ht="11.25" x14ac:dyDescent="0.2">
      <c r="B13" s="616" t="s">
        <v>49</v>
      </c>
      <c r="C13" s="90"/>
      <c r="D13" s="279">
        <v>13656.4327589401</v>
      </c>
      <c r="E13" s="89"/>
      <c r="F13" s="279">
        <v>12646.993095804701</v>
      </c>
      <c r="G13" s="619">
        <v>3.3334079015000002</v>
      </c>
      <c r="H13" s="121"/>
      <c r="I13" s="619">
        <v>12477.128382167801</v>
      </c>
      <c r="J13" s="619">
        <v>3.5443400887999998</v>
      </c>
      <c r="K13" s="121"/>
      <c r="L13" s="619">
        <v>5418.4034548932996</v>
      </c>
      <c r="M13" s="619">
        <v>3.4040277641999999</v>
      </c>
      <c r="N13" s="121"/>
      <c r="O13" s="619">
        <v>2446.7300627571999</v>
      </c>
    </row>
    <row r="14" spans="2:19" s="93" customFormat="1" ht="11.25" x14ac:dyDescent="0.2">
      <c r="B14" s="616" t="s">
        <v>50</v>
      </c>
      <c r="C14" s="90"/>
      <c r="D14" s="279">
        <v>8426.0526799584004</v>
      </c>
      <c r="E14" s="89"/>
      <c r="F14" s="279">
        <v>8181.0878472264003</v>
      </c>
      <c r="G14" s="619">
        <v>3.9000443800000002</v>
      </c>
      <c r="H14" s="121"/>
      <c r="I14" s="619">
        <v>7944.9703186378001</v>
      </c>
      <c r="J14" s="619">
        <v>5.4814927706000001</v>
      </c>
      <c r="K14" s="121"/>
      <c r="L14" s="619">
        <v>5473.3183718836999</v>
      </c>
      <c r="M14" s="619">
        <v>8.3180603421000008</v>
      </c>
      <c r="N14" s="121"/>
      <c r="O14" s="619">
        <v>1843.2153970710999</v>
      </c>
    </row>
    <row r="15" spans="2:19" s="93" customFormat="1" ht="11.25" x14ac:dyDescent="0.2">
      <c r="B15" s="616" t="s">
        <v>51</v>
      </c>
      <c r="C15" s="90"/>
      <c r="D15" s="279">
        <v>9699.3075441651999</v>
      </c>
      <c r="E15" s="89"/>
      <c r="F15" s="279">
        <v>9664.6022984032006</v>
      </c>
      <c r="G15" s="619">
        <v>1.4377284019000001</v>
      </c>
      <c r="H15" s="121"/>
      <c r="I15" s="619">
        <v>8939.2811542396994</v>
      </c>
      <c r="J15" s="619">
        <v>6.1039620454000003</v>
      </c>
      <c r="K15" s="121"/>
      <c r="L15" s="619">
        <v>5082.9962620486003</v>
      </c>
      <c r="M15" s="619">
        <v>7.1532238298999999</v>
      </c>
      <c r="N15" s="121"/>
      <c r="O15" s="619">
        <v>829.31718901759996</v>
      </c>
    </row>
    <row r="16" spans="2:19" s="93" customFormat="1" ht="11.25" x14ac:dyDescent="0.2">
      <c r="B16" s="616" t="s">
        <v>137</v>
      </c>
      <c r="C16" s="90"/>
      <c r="D16" s="279">
        <v>20446.2631159987</v>
      </c>
      <c r="E16" s="89"/>
      <c r="F16" s="279">
        <v>20276.2361734894</v>
      </c>
      <c r="G16" s="619">
        <v>0.89093334290000004</v>
      </c>
      <c r="H16" s="121"/>
      <c r="I16" s="619">
        <v>14720.169059445199</v>
      </c>
      <c r="J16" s="619">
        <v>3.0506025501999998</v>
      </c>
      <c r="K16" s="121"/>
      <c r="L16" s="141" t="s">
        <v>201</v>
      </c>
      <c r="M16" s="142" t="s">
        <v>201</v>
      </c>
      <c r="N16" s="121"/>
      <c r="O16" s="619">
        <v>3090.5345815894002</v>
      </c>
    </row>
    <row r="17" spans="2:15" s="93" customFormat="1" ht="11.25" x14ac:dyDescent="0.2">
      <c r="B17" s="616" t="s">
        <v>138</v>
      </c>
      <c r="C17" s="90"/>
      <c r="D17" s="279">
        <v>8512.9101442281008</v>
      </c>
      <c r="E17" s="89"/>
      <c r="F17" s="279">
        <v>8366.1518185972</v>
      </c>
      <c r="G17" s="619">
        <v>2.1489339299000001</v>
      </c>
      <c r="H17" s="121"/>
      <c r="I17" s="619">
        <v>5764.9825202273996</v>
      </c>
      <c r="J17" s="619">
        <v>5.9454122824000004</v>
      </c>
      <c r="K17" s="121"/>
      <c r="L17" s="141" t="s">
        <v>201</v>
      </c>
      <c r="M17" s="142" t="s">
        <v>201</v>
      </c>
      <c r="N17" s="121"/>
      <c r="O17" s="619">
        <v>1408.5013312028</v>
      </c>
    </row>
    <row r="18" spans="2:15" s="93" customFormat="1" ht="6" customHeight="1" x14ac:dyDescent="0.2">
      <c r="B18" s="616"/>
      <c r="C18" s="90"/>
      <c r="D18" s="89"/>
      <c r="E18" s="121"/>
      <c r="F18" s="121"/>
      <c r="G18" s="120"/>
      <c r="H18" s="121"/>
      <c r="I18" s="121"/>
      <c r="J18" s="120"/>
      <c r="K18" s="121"/>
      <c r="L18" s="121"/>
      <c r="M18" s="120"/>
      <c r="N18" s="121"/>
      <c r="O18" s="121"/>
    </row>
    <row r="19" spans="2:15" s="92" customFormat="1" ht="11.25" x14ac:dyDescent="0.2">
      <c r="B19" s="617" t="s">
        <v>36</v>
      </c>
      <c r="C19" s="88"/>
      <c r="D19" s="334">
        <v>7129.8037824664998</v>
      </c>
      <c r="E19" s="119"/>
      <c r="F19" s="620">
        <v>7068.6943177854</v>
      </c>
      <c r="G19" s="620">
        <v>2.5686109826000001</v>
      </c>
      <c r="H19" s="119"/>
      <c r="I19" s="620">
        <v>5584.5235148790998</v>
      </c>
      <c r="J19" s="620">
        <v>5.0352645328000003</v>
      </c>
      <c r="K19" s="119"/>
      <c r="L19" s="620">
        <v>1407</v>
      </c>
      <c r="M19" s="620">
        <v>1.8754572936</v>
      </c>
      <c r="N19" s="119"/>
      <c r="O19" s="620">
        <v>1571.0498516481</v>
      </c>
    </row>
    <row r="20" spans="2:15" s="93" customFormat="1" ht="6" customHeight="1" x14ac:dyDescent="0.2">
      <c r="B20" s="90"/>
      <c r="C20" s="90"/>
      <c r="D20" s="121"/>
      <c r="E20" s="121"/>
      <c r="F20" s="121"/>
      <c r="G20" s="120"/>
      <c r="H20" s="121"/>
      <c r="I20" s="121"/>
      <c r="J20" s="120"/>
      <c r="K20" s="121"/>
      <c r="L20" s="121"/>
      <c r="M20" s="120"/>
      <c r="N20" s="121"/>
      <c r="O20" s="121"/>
    </row>
    <row r="21" spans="2:15" s="93" customFormat="1" ht="11.25" x14ac:dyDescent="0.2">
      <c r="B21" s="616" t="s">
        <v>49</v>
      </c>
      <c r="C21" s="90"/>
      <c r="D21" s="279">
        <v>5246.7589584571997</v>
      </c>
      <c r="E21" s="121"/>
      <c r="F21" s="619">
        <v>5147.8956667189004</v>
      </c>
      <c r="G21" s="619">
        <v>4.1973400398000003</v>
      </c>
      <c r="H21" s="121"/>
      <c r="I21" s="619">
        <v>4286.4812757366999</v>
      </c>
      <c r="J21" s="619">
        <v>7.3262323035000003</v>
      </c>
      <c r="K21" s="121"/>
      <c r="L21" s="619">
        <v>0</v>
      </c>
      <c r="M21" s="619">
        <v>0</v>
      </c>
      <c r="N21" s="121"/>
      <c r="O21" s="619">
        <v>1080.5785487414</v>
      </c>
    </row>
    <row r="22" spans="2:15" s="93" customFormat="1" ht="11.25" x14ac:dyDescent="0.2">
      <c r="B22" s="616" t="s">
        <v>50</v>
      </c>
      <c r="C22" s="90"/>
      <c r="D22" s="279">
        <v>2227.3240449917998</v>
      </c>
      <c r="E22" s="121"/>
      <c r="F22" s="619">
        <v>2065.2898101719002</v>
      </c>
      <c r="G22" s="619">
        <v>10.346323230499999</v>
      </c>
      <c r="H22" s="121"/>
      <c r="I22" s="619">
        <v>1970.4509636120999</v>
      </c>
      <c r="J22" s="619">
        <v>11.9163693925</v>
      </c>
      <c r="K22" s="121"/>
      <c r="L22" s="619">
        <v>1407</v>
      </c>
      <c r="M22" s="619">
        <v>14.652192121800001</v>
      </c>
      <c r="N22" s="121"/>
      <c r="O22" s="619">
        <v>803.98258687609996</v>
      </c>
    </row>
    <row r="23" spans="2:15" s="93" customFormat="1" ht="11.25" x14ac:dyDescent="0.2">
      <c r="B23" s="616" t="s">
        <v>51</v>
      </c>
      <c r="C23" s="90"/>
      <c r="D23" s="279">
        <v>1781.4218146800999</v>
      </c>
      <c r="E23" s="121"/>
      <c r="F23" s="619">
        <v>1755.6365460477</v>
      </c>
      <c r="G23" s="619">
        <v>4.8105613252000001</v>
      </c>
      <c r="H23" s="121"/>
      <c r="I23" s="619">
        <v>1220.6986449645001</v>
      </c>
      <c r="J23" s="619">
        <v>14.3634167591</v>
      </c>
      <c r="K23" s="121"/>
      <c r="L23" s="619">
        <v>0</v>
      </c>
      <c r="M23" s="619">
        <v>0</v>
      </c>
      <c r="N23" s="121"/>
      <c r="O23" s="619">
        <v>302</v>
      </c>
    </row>
    <row r="24" spans="2:15" s="93" customFormat="1" ht="11.25" x14ac:dyDescent="0.2">
      <c r="B24" s="616" t="s">
        <v>137</v>
      </c>
      <c r="C24" s="90"/>
      <c r="D24" s="279">
        <v>4331.0157084374996</v>
      </c>
      <c r="E24" s="121"/>
      <c r="F24" s="619">
        <v>4186.2553426666</v>
      </c>
      <c r="G24" s="619">
        <v>4.0363278003999996</v>
      </c>
      <c r="H24" s="121"/>
      <c r="I24" s="619">
        <v>2478.9812767202998</v>
      </c>
      <c r="J24" s="619">
        <v>8.0941585193000005</v>
      </c>
      <c r="K24" s="121"/>
      <c r="L24" s="141" t="s">
        <v>201</v>
      </c>
      <c r="M24" s="142" t="s">
        <v>201</v>
      </c>
      <c r="N24" s="121"/>
      <c r="O24" s="619">
        <v>785.17386609590005</v>
      </c>
    </row>
    <row r="25" spans="2:15" s="93" customFormat="1" ht="11.25" x14ac:dyDescent="0.2">
      <c r="B25" s="616" t="s">
        <v>138</v>
      </c>
      <c r="C25" s="90"/>
      <c r="D25" s="279">
        <v>2619.4056577780998</v>
      </c>
      <c r="E25" s="121"/>
      <c r="F25" s="619">
        <v>2522.1233118148998</v>
      </c>
      <c r="G25" s="619">
        <v>7.9395259301000003</v>
      </c>
      <c r="H25" s="121"/>
      <c r="I25" s="619">
        <v>2448.4368482769</v>
      </c>
      <c r="J25" s="619">
        <v>10.260905087599999</v>
      </c>
      <c r="K25" s="121"/>
      <c r="L25" s="141" t="s">
        <v>201</v>
      </c>
      <c r="M25" s="142" t="s">
        <v>201</v>
      </c>
      <c r="N25" s="121"/>
      <c r="O25" s="619">
        <v>0</v>
      </c>
    </row>
    <row r="26" spans="2:15" s="93" customFormat="1" ht="6" customHeight="1" x14ac:dyDescent="0.2">
      <c r="B26" s="616"/>
      <c r="C26" s="90"/>
      <c r="D26" s="89"/>
      <c r="E26" s="121"/>
      <c r="F26" s="121"/>
      <c r="G26" s="120"/>
      <c r="H26" s="121"/>
      <c r="I26" s="121"/>
      <c r="J26" s="120"/>
      <c r="K26" s="121"/>
      <c r="L26" s="121"/>
      <c r="M26" s="120"/>
      <c r="N26" s="121"/>
      <c r="O26" s="121"/>
    </row>
    <row r="27" spans="2:15" s="92" customFormat="1" ht="11.25" x14ac:dyDescent="0.2">
      <c r="B27" s="617" t="s">
        <v>37</v>
      </c>
      <c r="C27" s="88"/>
      <c r="D27" s="334">
        <v>8783.9670108940009</v>
      </c>
      <c r="E27" s="119"/>
      <c r="F27" s="620">
        <v>8273.1297527367005</v>
      </c>
      <c r="G27" s="620">
        <v>2.4720527671000001</v>
      </c>
      <c r="H27" s="119"/>
      <c r="I27" s="620">
        <v>7615.0083006150999</v>
      </c>
      <c r="J27" s="620">
        <v>4.8258625169</v>
      </c>
      <c r="K27" s="119"/>
      <c r="L27" s="620">
        <v>5478.0998530511997</v>
      </c>
      <c r="M27" s="620">
        <v>7.2686009828999998</v>
      </c>
      <c r="N27" s="119"/>
      <c r="O27" s="620">
        <v>1598.8377028329</v>
      </c>
    </row>
    <row r="28" spans="2:15" s="93" customFormat="1" ht="6" customHeight="1" x14ac:dyDescent="0.2">
      <c r="B28" s="617"/>
      <c r="C28" s="90"/>
      <c r="D28" s="89"/>
      <c r="E28" s="121"/>
      <c r="F28" s="121"/>
      <c r="G28" s="120"/>
      <c r="H28" s="121"/>
      <c r="I28" s="121"/>
      <c r="J28" s="120"/>
      <c r="K28" s="121"/>
      <c r="L28" s="121"/>
      <c r="M28" s="120"/>
      <c r="N28" s="121"/>
      <c r="O28" s="121"/>
    </row>
    <row r="29" spans="2:15" s="93" customFormat="1" ht="9.75" customHeight="1" x14ac:dyDescent="0.2">
      <c r="B29" s="616" t="s">
        <v>49</v>
      </c>
      <c r="C29" s="90"/>
      <c r="D29" s="279">
        <v>6053.9291243215002</v>
      </c>
      <c r="E29" s="121"/>
      <c r="F29" s="619">
        <v>5953.1281224502</v>
      </c>
      <c r="G29" s="619">
        <v>4.6165838492000004</v>
      </c>
      <c r="H29" s="121"/>
      <c r="I29" s="619">
        <v>5732.9509366737002</v>
      </c>
      <c r="J29" s="619">
        <v>7.8233493510000001</v>
      </c>
      <c r="K29" s="121"/>
      <c r="L29" s="619">
        <v>5014.1239513996998</v>
      </c>
      <c r="M29" s="619">
        <v>13.0848914595</v>
      </c>
      <c r="N29" s="121"/>
      <c r="O29" s="619">
        <v>1313</v>
      </c>
    </row>
    <row r="30" spans="2:15" s="93" customFormat="1" ht="11.25" x14ac:dyDescent="0.2">
      <c r="B30" s="616" t="s">
        <v>50</v>
      </c>
      <c r="C30" s="90"/>
      <c r="D30" s="279">
        <v>5231.3623225695001</v>
      </c>
      <c r="E30" s="121"/>
      <c r="F30" s="619">
        <v>5147.3960164338996</v>
      </c>
      <c r="G30" s="619">
        <v>5.9992292064999999</v>
      </c>
      <c r="H30" s="121"/>
      <c r="I30" s="619">
        <v>5061.8202012715001</v>
      </c>
      <c r="J30" s="619">
        <v>9.3165762855000001</v>
      </c>
      <c r="K30" s="121"/>
      <c r="L30" s="619">
        <v>4820.1607856999999</v>
      </c>
      <c r="M30" s="619">
        <v>17.0198748832</v>
      </c>
      <c r="N30" s="121"/>
      <c r="O30" s="619">
        <v>672.94650604640003</v>
      </c>
    </row>
    <row r="31" spans="2:15" s="93" customFormat="1" ht="11.25" x14ac:dyDescent="0.2">
      <c r="B31" s="616" t="s">
        <v>51</v>
      </c>
      <c r="C31" s="90"/>
      <c r="D31" s="279">
        <v>4639.8043062180996</v>
      </c>
      <c r="E31" s="121"/>
      <c r="F31" s="619">
        <v>4639.8043062180996</v>
      </c>
      <c r="G31" s="619">
        <v>0</v>
      </c>
      <c r="H31" s="121"/>
      <c r="I31" s="619">
        <v>4568.4506126257002</v>
      </c>
      <c r="J31" s="619">
        <v>9.2646195571999996</v>
      </c>
      <c r="K31" s="121"/>
      <c r="L31" s="619">
        <v>4193</v>
      </c>
      <c r="M31" s="619">
        <v>25.788444046799999</v>
      </c>
      <c r="N31" s="121"/>
      <c r="O31" s="619">
        <v>0</v>
      </c>
    </row>
    <row r="32" spans="2:15" s="93" customFormat="1" ht="11.25" x14ac:dyDescent="0.2">
      <c r="B32" s="616" t="s">
        <v>137</v>
      </c>
      <c r="C32" s="90"/>
      <c r="D32" s="279">
        <v>6295.5093472806002</v>
      </c>
      <c r="E32" s="121"/>
      <c r="F32" s="619">
        <v>6263.0708874878001</v>
      </c>
      <c r="G32" s="619">
        <v>3.9059447577999999</v>
      </c>
      <c r="H32" s="121"/>
      <c r="I32" s="619">
        <v>5590.0725131595</v>
      </c>
      <c r="J32" s="619">
        <v>9.8717575486999998</v>
      </c>
      <c r="K32" s="121"/>
      <c r="L32" s="141" t="s">
        <v>201</v>
      </c>
      <c r="M32" s="142" t="s">
        <v>201</v>
      </c>
      <c r="N32" s="121"/>
      <c r="O32" s="619">
        <v>616</v>
      </c>
    </row>
    <row r="33" spans="2:15" s="93" customFormat="1" ht="11.25" x14ac:dyDescent="0.2">
      <c r="B33" s="616" t="s">
        <v>138</v>
      </c>
      <c r="C33" s="90"/>
      <c r="D33" s="279">
        <v>3019.0034779707998</v>
      </c>
      <c r="E33" s="121"/>
      <c r="F33" s="619">
        <v>2954.8639562592002</v>
      </c>
      <c r="G33" s="619">
        <v>8.3174861447000001</v>
      </c>
      <c r="H33" s="121"/>
      <c r="I33" s="619">
        <v>2902.2770370866001</v>
      </c>
      <c r="J33" s="619">
        <v>11.929657085300001</v>
      </c>
      <c r="K33" s="121"/>
      <c r="L33" s="141" t="s">
        <v>201</v>
      </c>
      <c r="M33" s="142" t="s">
        <v>201</v>
      </c>
      <c r="N33" s="121"/>
      <c r="O33" s="619">
        <v>619</v>
      </c>
    </row>
    <row r="34" spans="2:15" s="93" customFormat="1" ht="6" customHeight="1" x14ac:dyDescent="0.2">
      <c r="B34" s="616"/>
      <c r="C34" s="90"/>
      <c r="D34" s="89"/>
      <c r="E34" s="121"/>
      <c r="F34" s="121"/>
      <c r="G34" s="120"/>
      <c r="H34" s="121"/>
      <c r="I34" s="121"/>
      <c r="J34" s="120"/>
      <c r="K34" s="121"/>
      <c r="L34" s="121"/>
      <c r="M34" s="120"/>
      <c r="N34" s="121"/>
      <c r="O34" s="121"/>
    </row>
    <row r="35" spans="2:15" s="92" customFormat="1" ht="11.25" x14ac:dyDescent="0.2">
      <c r="B35" s="618" t="s">
        <v>38</v>
      </c>
      <c r="C35" s="88"/>
      <c r="D35" s="334">
        <v>11135.0601965734</v>
      </c>
      <c r="E35" s="119"/>
      <c r="F35" s="620">
        <v>10124.3381107761</v>
      </c>
      <c r="G35" s="620">
        <v>4.3590536468999996</v>
      </c>
      <c r="H35" s="119"/>
      <c r="I35" s="620">
        <v>10041.9811036398</v>
      </c>
      <c r="J35" s="620">
        <v>6.2730214264999997</v>
      </c>
      <c r="K35" s="119"/>
      <c r="L35" s="620">
        <v>1956.7186818753</v>
      </c>
      <c r="M35" s="620">
        <v>1.8572696049999999</v>
      </c>
      <c r="N35" s="119"/>
      <c r="O35" s="620">
        <v>1600.7769988353</v>
      </c>
    </row>
    <row r="36" spans="2:15" s="93" customFormat="1" ht="6" customHeight="1" x14ac:dyDescent="0.2">
      <c r="B36" s="616"/>
      <c r="C36" s="90"/>
      <c r="D36" s="89"/>
      <c r="E36" s="121"/>
      <c r="F36" s="121"/>
      <c r="G36" s="120"/>
      <c r="H36" s="121"/>
      <c r="I36" s="121"/>
      <c r="J36" s="120"/>
      <c r="K36" s="121"/>
      <c r="L36" s="121"/>
      <c r="M36" s="120"/>
      <c r="N36" s="121"/>
      <c r="O36" s="121"/>
    </row>
    <row r="37" spans="2:15" s="93" customFormat="1" ht="11.25" x14ac:dyDescent="0.2">
      <c r="B37" s="616" t="s">
        <v>49</v>
      </c>
      <c r="C37" s="90"/>
      <c r="D37" s="279">
        <v>6022.0295185446003</v>
      </c>
      <c r="E37" s="121"/>
      <c r="F37" s="619">
        <v>3906.291402625</v>
      </c>
      <c r="G37" s="619">
        <v>15.1408686709</v>
      </c>
      <c r="H37" s="121"/>
      <c r="I37" s="619">
        <v>5939.0167470905999</v>
      </c>
      <c r="J37" s="619">
        <v>4.1940747295999996</v>
      </c>
      <c r="K37" s="121"/>
      <c r="L37" s="619">
        <v>0</v>
      </c>
      <c r="M37" s="619">
        <v>0</v>
      </c>
      <c r="N37" s="121"/>
      <c r="O37" s="619">
        <v>328.77043662710003</v>
      </c>
    </row>
    <row r="38" spans="2:15" s="93" customFormat="1" ht="11.25" x14ac:dyDescent="0.2">
      <c r="B38" s="616" t="s">
        <v>50</v>
      </c>
      <c r="C38" s="90"/>
      <c r="D38" s="279">
        <v>2791.5617492722999</v>
      </c>
      <c r="E38" s="121"/>
      <c r="F38" s="619">
        <v>2502.5283215180998</v>
      </c>
      <c r="G38" s="619">
        <v>13.8696379182</v>
      </c>
      <c r="H38" s="121"/>
      <c r="I38" s="619">
        <v>2499.5527599953002</v>
      </c>
      <c r="J38" s="619">
        <v>13.8785125457</v>
      </c>
      <c r="K38" s="121"/>
      <c r="L38" s="619">
        <v>1956.7186818753</v>
      </c>
      <c r="M38" s="619">
        <v>17.767309124699999</v>
      </c>
      <c r="N38" s="121"/>
      <c r="O38" s="619">
        <v>1237</v>
      </c>
    </row>
    <row r="39" spans="2:15" s="93" customFormat="1" ht="11.25" x14ac:dyDescent="0.2">
      <c r="B39" s="616" t="s">
        <v>51</v>
      </c>
      <c r="C39" s="90"/>
      <c r="D39" s="279">
        <v>3448.7597190873998</v>
      </c>
      <c r="E39" s="121"/>
      <c r="F39" s="619">
        <v>3448.7597190873998</v>
      </c>
      <c r="G39" s="619">
        <v>0</v>
      </c>
      <c r="H39" s="121"/>
      <c r="I39" s="619">
        <v>3370.4104497819999</v>
      </c>
      <c r="J39" s="619">
        <v>10.7510107628</v>
      </c>
      <c r="K39" s="121"/>
      <c r="L39" s="619">
        <v>0</v>
      </c>
      <c r="M39" s="619">
        <v>0</v>
      </c>
      <c r="N39" s="121"/>
      <c r="O39" s="619">
        <v>0</v>
      </c>
    </row>
    <row r="40" spans="2:15" s="93" customFormat="1" ht="11.25" x14ac:dyDescent="0.2">
      <c r="B40" s="616" t="s">
        <v>137</v>
      </c>
      <c r="C40" s="90"/>
      <c r="D40" s="279">
        <v>8894.2585221642003</v>
      </c>
      <c r="E40" s="121"/>
      <c r="F40" s="619">
        <v>8933.2577741321002</v>
      </c>
      <c r="G40" s="619">
        <v>1.4434760566</v>
      </c>
      <c r="H40" s="121"/>
      <c r="I40" s="619">
        <v>7668.1249614388998</v>
      </c>
      <c r="J40" s="619">
        <v>8.1987354675000006</v>
      </c>
      <c r="K40" s="121"/>
      <c r="L40" s="141" t="s">
        <v>201</v>
      </c>
      <c r="M40" s="142" t="s">
        <v>201</v>
      </c>
      <c r="N40" s="121"/>
      <c r="O40" s="619">
        <v>1004.4446226647</v>
      </c>
    </row>
    <row r="41" spans="2:15" s="93" customFormat="1" ht="11.25" x14ac:dyDescent="0.2">
      <c r="B41" s="616" t="s">
        <v>138</v>
      </c>
      <c r="C41" s="90"/>
      <c r="D41" s="279">
        <v>4018.5327753629999</v>
      </c>
      <c r="E41" s="121"/>
      <c r="F41" s="619">
        <v>4018.5327753629999</v>
      </c>
      <c r="G41" s="619">
        <v>0</v>
      </c>
      <c r="H41" s="121"/>
      <c r="I41" s="619">
        <v>884.43974733540006</v>
      </c>
      <c r="J41" s="619">
        <v>11.0850850301</v>
      </c>
      <c r="K41" s="121"/>
      <c r="L41" s="141" t="s">
        <v>201</v>
      </c>
      <c r="M41" s="142" t="s">
        <v>201</v>
      </c>
      <c r="N41" s="121"/>
      <c r="O41" s="619">
        <v>0</v>
      </c>
    </row>
    <row r="42" spans="2:15" s="93" customFormat="1" ht="6" customHeight="1" x14ac:dyDescent="0.2">
      <c r="B42" s="90"/>
      <c r="C42" s="90"/>
      <c r="D42" s="121"/>
      <c r="E42" s="121"/>
      <c r="F42" s="121"/>
      <c r="G42" s="120"/>
      <c r="H42" s="121"/>
      <c r="I42" s="121"/>
      <c r="J42" s="120"/>
      <c r="K42" s="121"/>
      <c r="L42" s="121"/>
      <c r="M42" s="120"/>
      <c r="N42" s="121"/>
      <c r="O42" s="121"/>
    </row>
    <row r="43" spans="2:15" s="92" customFormat="1" ht="11.25" x14ac:dyDescent="0.2">
      <c r="B43" s="618" t="s">
        <v>54</v>
      </c>
      <c r="C43" s="88"/>
      <c r="D43" s="334">
        <v>19120.353219937901</v>
      </c>
      <c r="E43" s="119"/>
      <c r="F43" s="620">
        <v>18888.1550733857</v>
      </c>
      <c r="G43" s="620">
        <v>1.0375234251000001</v>
      </c>
      <c r="H43" s="119"/>
      <c r="I43" s="620">
        <v>14636.886985782099</v>
      </c>
      <c r="J43" s="620">
        <v>2.8676417544000001</v>
      </c>
      <c r="K43" s="119"/>
      <c r="L43" s="620">
        <v>3612.1330540278</v>
      </c>
      <c r="M43" s="620">
        <v>0.9966356059</v>
      </c>
      <c r="N43" s="119"/>
      <c r="O43" s="620">
        <v>3661.0877933352999</v>
      </c>
    </row>
    <row r="44" spans="2:15" s="93" customFormat="1" ht="6" customHeight="1" x14ac:dyDescent="0.2">
      <c r="B44" s="616"/>
      <c r="C44" s="90"/>
      <c r="D44" s="89"/>
      <c r="E44" s="121"/>
      <c r="F44" s="121"/>
      <c r="G44" s="120"/>
      <c r="H44" s="121"/>
      <c r="I44" s="121"/>
      <c r="J44" s="120"/>
      <c r="K44" s="121"/>
      <c r="L44" s="121"/>
      <c r="M44" s="120"/>
      <c r="N44" s="121"/>
      <c r="O44" s="121"/>
    </row>
    <row r="45" spans="2:15" s="93" customFormat="1" ht="12" customHeight="1" x14ac:dyDescent="0.2">
      <c r="B45" s="616" t="s">
        <v>49</v>
      </c>
      <c r="C45" s="90"/>
      <c r="D45" s="279">
        <v>9276.5714984994993</v>
      </c>
      <c r="E45" s="121"/>
      <c r="F45" s="619">
        <v>9096.5244794579994</v>
      </c>
      <c r="G45" s="619">
        <v>2.7647964562</v>
      </c>
      <c r="H45" s="121"/>
      <c r="I45" s="619">
        <v>8316.6197804953008</v>
      </c>
      <c r="J45" s="619">
        <v>5.8263754119</v>
      </c>
      <c r="K45" s="121"/>
      <c r="L45" s="619">
        <v>2053.6935019617999</v>
      </c>
      <c r="M45" s="619">
        <v>3.0954126676999998</v>
      </c>
      <c r="N45" s="121"/>
      <c r="O45" s="619">
        <v>1728.2300194129</v>
      </c>
    </row>
    <row r="46" spans="2:15" s="93" customFormat="1" ht="11.25" x14ac:dyDescent="0.2">
      <c r="B46" s="616" t="s">
        <v>50</v>
      </c>
      <c r="C46" s="90"/>
      <c r="D46" s="279">
        <v>5556.7456855641003</v>
      </c>
      <c r="E46" s="121"/>
      <c r="F46" s="619">
        <v>5468.6783242420997</v>
      </c>
      <c r="G46" s="619">
        <v>5.0481679375999997</v>
      </c>
      <c r="H46" s="121"/>
      <c r="I46" s="619">
        <v>5231.6430128626998</v>
      </c>
      <c r="J46" s="619">
        <v>9.6438554243999999</v>
      </c>
      <c r="K46" s="121"/>
      <c r="L46" s="619">
        <v>956.4868007453</v>
      </c>
      <c r="M46" s="619">
        <v>5.2059179703999998</v>
      </c>
      <c r="N46" s="121"/>
      <c r="O46" s="619">
        <v>876.3726376377</v>
      </c>
    </row>
    <row r="47" spans="2:15" s="93" customFormat="1" ht="11.25" x14ac:dyDescent="0.2">
      <c r="B47" s="616" t="s">
        <v>51</v>
      </c>
      <c r="C47" s="90"/>
      <c r="D47" s="279">
        <v>7581.6472850219998</v>
      </c>
      <c r="E47" s="121"/>
      <c r="F47" s="619">
        <v>7543.2453429860998</v>
      </c>
      <c r="G47" s="619">
        <v>2.1708104173999998</v>
      </c>
      <c r="H47" s="121"/>
      <c r="I47" s="619">
        <v>6796.3398070377998</v>
      </c>
      <c r="J47" s="619">
        <v>8.3606099731000008</v>
      </c>
      <c r="K47" s="121"/>
      <c r="L47" s="619">
        <v>2873.2563408092001</v>
      </c>
      <c r="M47" s="619">
        <v>6.7650489079999998</v>
      </c>
      <c r="N47" s="121"/>
      <c r="O47" s="619">
        <v>772.37490896580005</v>
      </c>
    </row>
    <row r="48" spans="2:15" s="93" customFormat="1" ht="11.25" x14ac:dyDescent="0.2">
      <c r="B48" s="616" t="s">
        <v>137</v>
      </c>
      <c r="C48" s="90"/>
      <c r="D48" s="279">
        <v>16749.647928870902</v>
      </c>
      <c r="E48" s="121"/>
      <c r="F48" s="619">
        <v>16570.210263250399</v>
      </c>
      <c r="G48" s="619">
        <v>1.1198900493999999</v>
      </c>
      <c r="H48" s="121"/>
      <c r="I48" s="619">
        <v>10976.7471430153</v>
      </c>
      <c r="J48" s="619">
        <v>3.5900337662999999</v>
      </c>
      <c r="K48" s="121"/>
      <c r="L48" s="141" t="s">
        <v>201</v>
      </c>
      <c r="M48" s="142" t="s">
        <v>201</v>
      </c>
      <c r="N48" s="121"/>
      <c r="O48" s="619">
        <v>2747.096831202</v>
      </c>
    </row>
    <row r="49" spans="2:15" s="93" customFormat="1" ht="13.5" customHeight="1" x14ac:dyDescent="0.2">
      <c r="B49" s="616" t="s">
        <v>138</v>
      </c>
      <c r="C49" s="90"/>
      <c r="D49" s="279">
        <v>6351.8001745202</v>
      </c>
      <c r="E49" s="121"/>
      <c r="F49" s="619">
        <v>6225.0753879089998</v>
      </c>
      <c r="G49" s="619">
        <v>2.6681599517999999</v>
      </c>
      <c r="H49" s="121"/>
      <c r="I49" s="619">
        <v>4246.7322486661997</v>
      </c>
      <c r="J49" s="619">
        <v>6.9180150209000004</v>
      </c>
      <c r="K49" s="121"/>
      <c r="L49" s="141" t="s">
        <v>201</v>
      </c>
      <c r="M49" s="142" t="s">
        <v>201</v>
      </c>
      <c r="N49" s="121"/>
      <c r="O49" s="619">
        <v>1265.1936610654</v>
      </c>
    </row>
    <row r="50" spans="2:15" ht="6" customHeight="1" x14ac:dyDescent="0.2">
      <c r="B50" s="11"/>
      <c r="C50" s="38"/>
      <c r="D50" s="1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</row>
    <row r="51" spans="2:15" ht="6" customHeight="1" x14ac:dyDescent="0.2">
      <c r="B51" s="23"/>
      <c r="C51" s="4"/>
      <c r="D51" s="4"/>
      <c r="E51" s="37"/>
      <c r="F51" s="33"/>
      <c r="G51" s="33"/>
      <c r="H51" s="33"/>
      <c r="I51" s="33"/>
      <c r="J51" s="33"/>
      <c r="K51" s="33"/>
      <c r="L51" s="33"/>
      <c r="M51" s="33"/>
      <c r="N51" s="33"/>
      <c r="O51" s="33"/>
    </row>
    <row r="52" spans="2:15" x14ac:dyDescent="0.2">
      <c r="B52" s="23" t="s">
        <v>139</v>
      </c>
      <c r="C52" s="4"/>
      <c r="D52" s="4"/>
      <c r="E52" s="37"/>
      <c r="F52" s="33"/>
      <c r="G52" s="33"/>
      <c r="H52" s="33"/>
      <c r="I52" s="33"/>
      <c r="J52" s="33"/>
      <c r="K52" s="33"/>
      <c r="L52" s="33"/>
      <c r="M52" s="33"/>
      <c r="N52" s="33"/>
      <c r="O52" s="33"/>
    </row>
    <row r="53" spans="2:15" x14ac:dyDescent="0.2">
      <c r="B53" s="23" t="s">
        <v>140</v>
      </c>
      <c r="C53" s="4"/>
      <c r="D53" s="4"/>
      <c r="E53" s="37"/>
      <c r="F53" s="33"/>
      <c r="G53" s="33"/>
      <c r="H53" s="33"/>
      <c r="I53" s="33"/>
      <c r="J53" s="33"/>
      <c r="K53" s="33"/>
      <c r="L53" s="33"/>
      <c r="M53" s="33"/>
      <c r="N53" s="33"/>
      <c r="O53" s="33"/>
    </row>
    <row r="54" spans="2:15" x14ac:dyDescent="0.2">
      <c r="B54" s="23" t="s">
        <v>141</v>
      </c>
      <c r="C54" s="4"/>
      <c r="D54" s="4"/>
      <c r="E54" s="37"/>
      <c r="F54" s="33"/>
      <c r="G54" s="33"/>
      <c r="H54" s="33"/>
      <c r="I54" s="33"/>
      <c r="J54" s="33"/>
      <c r="K54" s="33"/>
      <c r="L54" s="33"/>
      <c r="M54" s="33"/>
      <c r="N54" s="33"/>
      <c r="O54" s="33"/>
    </row>
    <row r="55" spans="2:15" ht="12.95" customHeight="1" x14ac:dyDescent="0.2">
      <c r="B55" s="23" t="s">
        <v>142</v>
      </c>
      <c r="C55" s="4"/>
      <c r="D55" s="4"/>
      <c r="E55" s="37"/>
      <c r="F55" s="33"/>
      <c r="G55" s="33"/>
      <c r="H55" s="33"/>
      <c r="I55" s="33"/>
      <c r="J55" s="33"/>
      <c r="K55" s="33"/>
      <c r="L55" s="33"/>
      <c r="M55" s="33"/>
      <c r="N55" s="33"/>
      <c r="O55" s="33"/>
    </row>
    <row r="56" spans="2:15" s="13" customFormat="1" ht="14.25" x14ac:dyDescent="0.2">
      <c r="B56" s="109" t="s">
        <v>57</v>
      </c>
    </row>
  </sheetData>
  <mergeCells count="8">
    <mergeCell ref="B5:L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8912A6A5-9493-442C-A848-CE5F49B25D8E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1A14-8596-467F-9387-5B2F88FF5723}">
  <dimension ref="B1:S23"/>
  <sheetViews>
    <sheetView showGridLines="0" zoomScaleNormal="100" workbookViewId="0"/>
  </sheetViews>
  <sheetFormatPr baseColWidth="10" defaultColWidth="11.42578125" defaultRowHeight="12.75" x14ac:dyDescent="0.2"/>
  <cols>
    <col min="1" max="1" width="1.7109375" style="21" customWidth="1"/>
    <col min="2" max="2" width="51.5703125" style="21" customWidth="1"/>
    <col min="3" max="3" width="1.7109375" style="21" customWidth="1"/>
    <col min="4" max="4" width="28.7109375" style="21" customWidth="1"/>
    <col min="5" max="5" width="1.7109375" style="21" customWidth="1"/>
    <col min="6" max="7" width="15.7109375" style="21" customWidth="1"/>
    <col min="8" max="8" width="1.7109375" style="21" customWidth="1"/>
    <col min="9" max="10" width="15.7109375" style="21" customWidth="1"/>
    <col min="11" max="11" width="1.7109375" style="21" customWidth="1"/>
    <col min="12" max="13" width="15.7109375" style="21" customWidth="1"/>
    <col min="14" max="14" width="1.7109375" style="21" customWidth="1"/>
    <col min="15" max="16" width="15.7109375" style="21" customWidth="1"/>
    <col min="17" max="16384" width="11.42578125" style="21"/>
  </cols>
  <sheetData>
    <row r="1" spans="2:19" s="48" customFormat="1" ht="12" customHeight="1" x14ac:dyDescent="0.2">
      <c r="B1" s="639" t="s">
        <v>202</v>
      </c>
      <c r="C1" s="49"/>
      <c r="D1" s="49"/>
      <c r="E1" s="49"/>
      <c r="F1" s="50"/>
      <c r="G1" s="50"/>
      <c r="P1" s="72" t="s">
        <v>151</v>
      </c>
    </row>
    <row r="2" spans="2:19" s="48" customFormat="1" ht="6.95" customHeight="1" x14ac:dyDescent="0.2">
      <c r="B2" s="639"/>
      <c r="C2" s="49"/>
      <c r="D2" s="49"/>
      <c r="E2" s="49"/>
      <c r="F2" s="50"/>
      <c r="G2" s="50"/>
    </row>
    <row r="3" spans="2:19" s="48" customFormat="1" x14ac:dyDescent="0.2">
      <c r="B3" s="639" t="s">
        <v>199</v>
      </c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1"/>
      <c r="N3" s="621"/>
      <c r="O3" s="621"/>
      <c r="P3" s="621"/>
      <c r="Q3" s="621"/>
      <c r="R3" s="621"/>
      <c r="S3" s="621"/>
    </row>
    <row r="4" spans="2:19" s="48" customFormat="1" ht="6.95" customHeight="1" x14ac:dyDescent="0.2">
      <c r="B4" s="621"/>
      <c r="C4" s="49"/>
      <c r="D4" s="49"/>
      <c r="E4" s="49"/>
      <c r="F4" s="50"/>
      <c r="G4" s="50"/>
    </row>
    <row r="5" spans="2:19" s="48" customFormat="1" ht="25.5" customHeight="1" x14ac:dyDescent="0.2">
      <c r="B5" s="741" t="s">
        <v>158</v>
      </c>
      <c r="C5" s="741"/>
      <c r="D5" s="741"/>
      <c r="E5" s="741"/>
      <c r="F5" s="741"/>
      <c r="G5" s="741"/>
      <c r="H5" s="741"/>
      <c r="I5" s="741"/>
      <c r="J5" s="741"/>
      <c r="K5" s="741"/>
      <c r="L5" s="741"/>
      <c r="M5" s="741"/>
      <c r="N5" s="741"/>
      <c r="O5" s="56"/>
      <c r="P5" s="71" t="s">
        <v>121</v>
      </c>
    </row>
    <row r="6" spans="2:19" ht="6" customHeight="1" x14ac:dyDescent="0.2">
      <c r="B6" s="25"/>
      <c r="C6" s="622"/>
      <c r="D6" s="622"/>
      <c r="E6" s="622"/>
      <c r="F6" s="623"/>
      <c r="G6" s="623"/>
      <c r="H6" s="39"/>
      <c r="I6" s="39"/>
      <c r="J6" s="39"/>
      <c r="K6" s="39"/>
      <c r="L6" s="39"/>
      <c r="M6" s="39"/>
      <c r="N6" s="39"/>
      <c r="O6" s="39"/>
      <c r="P6" s="39"/>
    </row>
    <row r="7" spans="2:19" ht="33.75" customHeight="1" x14ac:dyDescent="0.2">
      <c r="B7" s="734" t="s">
        <v>97</v>
      </c>
      <c r="C7" s="6"/>
      <c r="D7" s="737" t="s">
        <v>186</v>
      </c>
      <c r="E7" s="6"/>
      <c r="F7" s="742" t="s">
        <v>96</v>
      </c>
      <c r="G7" s="742"/>
      <c r="H7" s="40"/>
      <c r="I7" s="40"/>
      <c r="J7" s="744" t="s">
        <v>95</v>
      </c>
      <c r="K7" s="745"/>
      <c r="L7" s="745"/>
      <c r="M7" s="745"/>
      <c r="N7" s="745"/>
      <c r="O7" s="745"/>
      <c r="P7" s="41"/>
    </row>
    <row r="8" spans="2:19" ht="24" customHeight="1" x14ac:dyDescent="0.2">
      <c r="B8" s="735"/>
      <c r="C8" s="4"/>
      <c r="D8" s="738"/>
      <c r="E8" s="4"/>
      <c r="F8" s="743"/>
      <c r="G8" s="743"/>
      <c r="H8" s="39"/>
      <c r="I8" s="745" t="s">
        <v>46</v>
      </c>
      <c r="J8" s="745"/>
      <c r="K8" s="42"/>
      <c r="L8" s="745" t="s">
        <v>47</v>
      </c>
      <c r="M8" s="745"/>
      <c r="N8" s="609"/>
      <c r="O8" s="745" t="s">
        <v>48</v>
      </c>
      <c r="P8" s="745"/>
    </row>
    <row r="9" spans="2:19" ht="29.25" customHeight="1" x14ac:dyDescent="0.2">
      <c r="B9" s="736"/>
      <c r="C9" s="7"/>
      <c r="D9" s="739"/>
      <c r="E9" s="7"/>
      <c r="F9" s="608" t="s">
        <v>187</v>
      </c>
      <c r="G9" s="608" t="s">
        <v>188</v>
      </c>
      <c r="H9" s="74"/>
      <c r="I9" s="608" t="s">
        <v>187</v>
      </c>
      <c r="J9" s="608" t="s">
        <v>189</v>
      </c>
      <c r="K9" s="75"/>
      <c r="L9" s="608" t="s">
        <v>187</v>
      </c>
      <c r="M9" s="608" t="s">
        <v>188</v>
      </c>
      <c r="N9" s="76"/>
      <c r="O9" s="608" t="s">
        <v>187</v>
      </c>
      <c r="P9" s="608" t="s">
        <v>189</v>
      </c>
    </row>
    <row r="10" spans="2:19" ht="6" customHeight="1" x14ac:dyDescent="0.2">
      <c r="B10" s="4"/>
      <c r="C10" s="4"/>
      <c r="D10" s="610"/>
      <c r="E10" s="123"/>
      <c r="F10" s="117"/>
      <c r="G10" s="117"/>
      <c r="H10" s="124"/>
      <c r="I10" s="124"/>
      <c r="J10" s="124"/>
      <c r="K10" s="124"/>
      <c r="L10" s="124"/>
      <c r="M10" s="124"/>
      <c r="N10" s="124"/>
      <c r="O10" s="124"/>
      <c r="P10" s="124"/>
    </row>
    <row r="11" spans="2:19" s="78" customFormat="1" ht="11.25" x14ac:dyDescent="0.2">
      <c r="B11" s="36" t="s">
        <v>35</v>
      </c>
      <c r="C11" s="8"/>
      <c r="D11" s="631">
        <v>24480.1814526015</v>
      </c>
      <c r="E11" s="125"/>
      <c r="F11" s="624">
        <v>3999113698.7872701</v>
      </c>
      <c r="G11" s="624">
        <v>6606.4731201785999</v>
      </c>
      <c r="H11" s="126"/>
      <c r="I11" s="630">
        <v>2975599307.1268501</v>
      </c>
      <c r="J11" s="624">
        <v>5027.0722512144002</v>
      </c>
      <c r="K11" s="127"/>
      <c r="L11" s="629">
        <v>1082953576.07777</v>
      </c>
      <c r="M11" s="624">
        <v>2866.5862943664001</v>
      </c>
      <c r="N11" s="127"/>
      <c r="O11" s="629">
        <v>117836164.621205</v>
      </c>
      <c r="P11" s="624">
        <v>3118.2446410328998</v>
      </c>
    </row>
    <row r="12" spans="2:19" s="22" customFormat="1" ht="6" customHeight="1" x14ac:dyDescent="0.2">
      <c r="B12" s="43"/>
      <c r="C12" s="8"/>
      <c r="D12" s="125"/>
      <c r="E12" s="125"/>
      <c r="F12" s="85"/>
      <c r="G12" s="108"/>
      <c r="H12" s="128"/>
      <c r="I12" s="128"/>
      <c r="J12" s="108"/>
      <c r="K12" s="129"/>
      <c r="L12" s="129"/>
      <c r="M12" s="108"/>
      <c r="N12" s="129"/>
      <c r="O12" s="129"/>
      <c r="P12" s="108"/>
    </row>
    <row r="13" spans="2:19" s="22" customFormat="1" ht="11.25" x14ac:dyDescent="0.2">
      <c r="B13" s="24" t="s">
        <v>49</v>
      </c>
      <c r="C13" s="44"/>
      <c r="D13" s="625">
        <v>13462.623160769899</v>
      </c>
      <c r="E13" s="129"/>
      <c r="F13" s="626">
        <v>3720402937.7599902</v>
      </c>
      <c r="G13" s="626">
        <v>24736.605816646101</v>
      </c>
      <c r="H13" s="128"/>
      <c r="I13" s="628">
        <v>2801329338.8513398</v>
      </c>
      <c r="J13" s="626">
        <v>19653.689300480801</v>
      </c>
      <c r="K13" s="129"/>
      <c r="L13" s="625">
        <v>960143533.81889904</v>
      </c>
      <c r="M13" s="626">
        <v>7976.1800676775001</v>
      </c>
      <c r="N13" s="129"/>
      <c r="O13" s="625">
        <v>77519125.676285103</v>
      </c>
      <c r="P13" s="626">
        <v>5203.7690594976002</v>
      </c>
    </row>
    <row r="14" spans="2:19" s="22" customFormat="1" ht="11.25" x14ac:dyDescent="0.2">
      <c r="B14" s="24" t="s">
        <v>50</v>
      </c>
      <c r="C14" s="44"/>
      <c r="D14" s="625">
        <v>8219.5698405716994</v>
      </c>
      <c r="E14" s="129"/>
      <c r="F14" s="626">
        <v>776637842.42897296</v>
      </c>
      <c r="G14" s="626">
        <v>13942.998363048</v>
      </c>
      <c r="H14" s="128"/>
      <c r="I14" s="628">
        <v>489887301.637209</v>
      </c>
      <c r="J14" s="626">
        <v>9112.0218870847002</v>
      </c>
      <c r="K14" s="129"/>
      <c r="L14" s="625">
        <v>308330342.41313201</v>
      </c>
      <c r="M14" s="626">
        <v>7301.4634025636997</v>
      </c>
      <c r="N14" s="129"/>
      <c r="O14" s="625">
        <v>43022213.724307597</v>
      </c>
      <c r="P14" s="626">
        <v>1815.8267751783001</v>
      </c>
    </row>
    <row r="15" spans="2:19" s="22" customFormat="1" ht="11.25" x14ac:dyDescent="0.2">
      <c r="B15" s="24" t="s">
        <v>51</v>
      </c>
      <c r="C15" s="44"/>
      <c r="D15" s="625">
        <v>9664.6022984032006</v>
      </c>
      <c r="E15" s="129"/>
      <c r="F15" s="627">
        <v>601871311.13923895</v>
      </c>
      <c r="G15" s="627">
        <v>8453.8685086255009</v>
      </c>
      <c r="H15" s="128"/>
      <c r="I15" s="628">
        <v>414841648.96335399</v>
      </c>
      <c r="J15" s="627">
        <v>6109.7187006833001</v>
      </c>
      <c r="K15" s="129"/>
      <c r="L15" s="625">
        <v>220881981.60214999</v>
      </c>
      <c r="M15" s="627">
        <v>4455.6250136782</v>
      </c>
      <c r="N15" s="129"/>
      <c r="O15" s="625">
        <v>42257548.103031203</v>
      </c>
      <c r="P15" s="627">
        <v>2361.9081641573998</v>
      </c>
    </row>
    <row r="16" spans="2:19" s="22" customFormat="1" ht="11.25" x14ac:dyDescent="0.2">
      <c r="B16" s="24" t="s">
        <v>190</v>
      </c>
      <c r="C16" s="44"/>
      <c r="D16" s="625">
        <v>20301.626176447498</v>
      </c>
      <c r="E16" s="129"/>
      <c r="F16" s="627">
        <v>383618755.08148599</v>
      </c>
      <c r="G16" s="627">
        <v>895.77914360720001</v>
      </c>
      <c r="H16" s="128"/>
      <c r="I16" s="628">
        <v>287329150.39748299</v>
      </c>
      <c r="J16" s="627">
        <v>664.05079374100001</v>
      </c>
      <c r="K16" s="129"/>
      <c r="L16" s="625">
        <v>120592045.794055</v>
      </c>
      <c r="M16" s="627">
        <v>533.93184091800003</v>
      </c>
      <c r="N16" s="129"/>
      <c r="O16" s="143" t="s">
        <v>201</v>
      </c>
      <c r="P16" s="144" t="s">
        <v>201</v>
      </c>
    </row>
    <row r="17" spans="2:16" s="22" customFormat="1" ht="11.25" x14ac:dyDescent="0.2">
      <c r="B17" s="24" t="s">
        <v>191</v>
      </c>
      <c r="C17" s="44"/>
      <c r="D17" s="625">
        <v>8397.1043688421996</v>
      </c>
      <c r="E17" s="129"/>
      <c r="F17" s="627">
        <v>419949630.26870698</v>
      </c>
      <c r="G17" s="627">
        <v>5925.2334734183996</v>
      </c>
      <c r="H17" s="128"/>
      <c r="I17" s="628">
        <v>353671757.36332399</v>
      </c>
      <c r="J17" s="627">
        <v>5085.8563859510004</v>
      </c>
      <c r="K17" s="129"/>
      <c r="L17" s="625">
        <v>85917994.884292901</v>
      </c>
      <c r="M17" s="627">
        <v>2015.5572510782999</v>
      </c>
      <c r="N17" s="129"/>
      <c r="O17" s="143" t="s">
        <v>201</v>
      </c>
      <c r="P17" s="144" t="s">
        <v>201</v>
      </c>
    </row>
    <row r="18" spans="2:16" ht="6" customHeight="1" x14ac:dyDescent="0.2">
      <c r="B18" s="11"/>
      <c r="C18" s="45"/>
      <c r="D18" s="130"/>
      <c r="E18" s="130"/>
      <c r="F18" s="12"/>
      <c r="G18" s="12"/>
      <c r="H18" s="74"/>
      <c r="I18" s="74"/>
      <c r="J18" s="74"/>
      <c r="K18" s="74"/>
      <c r="L18" s="74"/>
      <c r="M18" s="74"/>
      <c r="N18" s="74"/>
      <c r="O18" s="74"/>
      <c r="P18" s="74"/>
    </row>
    <row r="19" spans="2:16" ht="6" customHeight="1" x14ac:dyDescent="0.2">
      <c r="B19" s="23"/>
      <c r="C19" s="4"/>
      <c r="D19" s="4"/>
      <c r="E19" s="4"/>
      <c r="F19" s="4"/>
      <c r="G19" s="4"/>
      <c r="H19" s="44"/>
      <c r="I19" s="44"/>
      <c r="J19" s="39"/>
      <c r="K19" s="39"/>
      <c r="L19" s="39"/>
      <c r="M19" s="39"/>
      <c r="N19" s="39"/>
      <c r="O19" s="39"/>
      <c r="P19" s="39"/>
    </row>
    <row r="20" spans="2:16" ht="12.75" customHeight="1" x14ac:dyDescent="0.2">
      <c r="B20" s="23" t="s">
        <v>192</v>
      </c>
      <c r="C20" s="4"/>
      <c r="D20" s="4"/>
      <c r="E20" s="4"/>
      <c r="F20" s="4"/>
      <c r="G20" s="4"/>
      <c r="H20" s="44"/>
      <c r="I20" s="44"/>
      <c r="J20" s="39"/>
      <c r="K20" s="39"/>
      <c r="L20" s="39"/>
      <c r="M20" s="39"/>
      <c r="N20" s="39"/>
      <c r="O20" s="39"/>
      <c r="P20" s="39"/>
    </row>
    <row r="21" spans="2:16" ht="12.75" customHeight="1" x14ac:dyDescent="0.2">
      <c r="B21" s="23" t="s">
        <v>193</v>
      </c>
      <c r="C21" s="4"/>
      <c r="D21" s="4"/>
      <c r="E21" s="4"/>
      <c r="F21" s="4"/>
      <c r="G21" s="4"/>
      <c r="H21" s="44"/>
      <c r="I21" s="44"/>
      <c r="J21" s="39"/>
      <c r="K21" s="39"/>
      <c r="L21" s="39"/>
      <c r="M21" s="39"/>
      <c r="N21" s="39"/>
      <c r="O21" s="39"/>
      <c r="P21" s="39"/>
    </row>
    <row r="22" spans="2:16" ht="12.75" customHeight="1" x14ac:dyDescent="0.2">
      <c r="B22" s="23" t="s">
        <v>141</v>
      </c>
      <c r="C22" s="4"/>
      <c r="D22" s="4"/>
      <c r="E22" s="4"/>
      <c r="F22" s="4"/>
      <c r="G22" s="4"/>
      <c r="H22" s="44"/>
      <c r="I22" s="44"/>
      <c r="J22" s="39"/>
      <c r="K22" s="39"/>
      <c r="L22" s="39"/>
      <c r="M22" s="39"/>
      <c r="N22" s="39"/>
      <c r="O22" s="39"/>
      <c r="P22" s="39"/>
    </row>
    <row r="23" spans="2:16" s="13" customFormat="1" ht="14.25" x14ac:dyDescent="0.2">
      <c r="B23" s="146" t="s">
        <v>181</v>
      </c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</row>
  </sheetData>
  <mergeCells count="8">
    <mergeCell ref="B5:N5"/>
    <mergeCell ref="B7:B9"/>
    <mergeCell ref="D7:D9"/>
    <mergeCell ref="F7:G8"/>
    <mergeCell ref="J7:O7"/>
    <mergeCell ref="I8:J8"/>
    <mergeCell ref="L8:M8"/>
    <mergeCell ref="O8:P8"/>
  </mergeCells>
  <hyperlinks>
    <hyperlink ref="P1" location="Índice!A1" tooltip="Ir a ÍNDICE" display="INDICE" xr:uid="{1E68039B-9AFB-4DE4-8255-BD5DC5BC5917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CE94-914D-42B2-A97D-261F7DA29170}">
  <dimension ref="B1:X238"/>
  <sheetViews>
    <sheetView showGridLines="0" zoomScaleNormal="100" workbookViewId="0"/>
  </sheetViews>
  <sheetFormatPr baseColWidth="10" defaultColWidth="11.42578125" defaultRowHeight="12.75" x14ac:dyDescent="0.2"/>
  <cols>
    <col min="1" max="1" width="1.7109375" customWidth="1"/>
    <col min="2" max="2" width="50.42578125" customWidth="1"/>
    <col min="3" max="3" width="1.7109375" customWidth="1"/>
    <col min="4" max="4" width="22" customWidth="1"/>
    <col min="5" max="5" width="1.7109375" customWidth="1"/>
    <col min="6" max="7" width="15.7109375" customWidth="1"/>
    <col min="8" max="8" width="1.7109375" customWidth="1"/>
    <col min="9" max="10" width="15.7109375" customWidth="1"/>
    <col min="11" max="11" width="1.7109375" customWidth="1"/>
    <col min="12" max="13" width="15.7109375" customWidth="1"/>
    <col min="14" max="14" width="1.7109375" customWidth="1"/>
    <col min="15" max="15" width="15.7109375" customWidth="1"/>
  </cols>
  <sheetData>
    <row r="1" spans="2:24" s="51" customFormat="1" ht="12" customHeight="1" x14ac:dyDescent="0.2">
      <c r="B1" s="639" t="s">
        <v>202</v>
      </c>
      <c r="C1" s="49"/>
      <c r="D1" s="50"/>
      <c r="E1" s="52"/>
      <c r="F1" s="52"/>
      <c r="G1" s="52"/>
      <c r="H1" s="52"/>
      <c r="I1" s="52"/>
      <c r="K1" s="52"/>
      <c r="L1" s="52"/>
      <c r="M1" s="52"/>
      <c r="N1" s="52"/>
      <c r="O1" s="72" t="s">
        <v>151</v>
      </c>
      <c r="P1" s="54"/>
      <c r="Q1" s="54"/>
      <c r="R1" s="54"/>
      <c r="S1" s="54"/>
      <c r="T1" s="54"/>
      <c r="U1" s="54"/>
      <c r="V1" s="54"/>
      <c r="W1" s="54"/>
      <c r="X1" s="54"/>
    </row>
    <row r="2" spans="2:24" s="51" customFormat="1" ht="6.95" customHeight="1" x14ac:dyDescent="0.2">
      <c r="B2" s="639"/>
      <c r="C2" s="49"/>
      <c r="D2" s="50"/>
      <c r="E2" s="52"/>
      <c r="F2" s="52"/>
      <c r="G2" s="52"/>
      <c r="H2" s="52"/>
      <c r="I2" s="52"/>
      <c r="J2" s="53"/>
      <c r="K2" s="52"/>
      <c r="L2" s="52"/>
      <c r="M2" s="52"/>
      <c r="N2" s="52"/>
      <c r="O2" s="54"/>
      <c r="P2" s="54"/>
      <c r="Q2" s="54"/>
      <c r="R2" s="54"/>
      <c r="S2" s="54"/>
      <c r="T2" s="54"/>
      <c r="U2" s="54"/>
      <c r="V2" s="54"/>
      <c r="W2" s="54"/>
      <c r="X2" s="54"/>
    </row>
    <row r="3" spans="2:24" s="51" customFormat="1" x14ac:dyDescent="0.2">
      <c r="B3" s="639" t="s">
        <v>199</v>
      </c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54"/>
      <c r="U3" s="54"/>
      <c r="V3" s="54"/>
      <c r="W3" s="54"/>
      <c r="X3" s="54"/>
    </row>
    <row r="4" spans="2:24" s="51" customFormat="1" ht="6.95" customHeight="1" x14ac:dyDescent="0.2">
      <c r="B4" s="9"/>
      <c r="C4" s="49"/>
      <c r="D4" s="50"/>
      <c r="E4" s="52"/>
      <c r="F4" s="52"/>
      <c r="G4" s="52"/>
      <c r="H4" s="52"/>
      <c r="I4" s="52"/>
      <c r="K4" s="52"/>
      <c r="L4" s="52"/>
      <c r="M4" s="52"/>
      <c r="N4" s="52"/>
      <c r="O4" s="54"/>
      <c r="P4" s="54"/>
      <c r="Q4" s="54"/>
      <c r="R4" s="54"/>
      <c r="S4" s="54"/>
      <c r="T4" s="54"/>
      <c r="U4" s="54"/>
      <c r="V4" s="54"/>
      <c r="W4" s="54"/>
      <c r="X4" s="54"/>
    </row>
    <row r="5" spans="2:24" s="51" customFormat="1" ht="25.5" customHeight="1" x14ac:dyDescent="0.2">
      <c r="B5" s="733" t="s">
        <v>159</v>
      </c>
      <c r="C5" s="733"/>
      <c r="D5" s="733"/>
      <c r="E5" s="733"/>
      <c r="F5" s="733"/>
      <c r="G5" s="733"/>
      <c r="H5" s="733"/>
      <c r="I5" s="733"/>
      <c r="J5" s="733"/>
      <c r="K5" s="733"/>
      <c r="L5" s="733"/>
      <c r="M5" s="55"/>
      <c r="N5" s="55"/>
      <c r="O5" s="71" t="s">
        <v>122</v>
      </c>
      <c r="P5" s="54"/>
      <c r="Q5" s="54"/>
      <c r="R5" s="54"/>
      <c r="S5" s="54"/>
      <c r="T5" s="54"/>
      <c r="U5" s="54"/>
      <c r="V5" s="54"/>
      <c r="W5" s="54"/>
      <c r="X5" s="54"/>
    </row>
    <row r="6" spans="2:24" ht="6" customHeight="1" x14ac:dyDescent="0.2">
      <c r="B6" s="612"/>
      <c r="C6" s="4"/>
      <c r="D6" s="5"/>
      <c r="E6" s="33"/>
      <c r="F6" s="33"/>
      <c r="G6" s="33"/>
      <c r="H6" s="33"/>
      <c r="I6" s="33"/>
      <c r="J6" s="33"/>
      <c r="K6" s="33"/>
      <c r="L6" s="33"/>
      <c r="M6" s="33"/>
      <c r="N6" s="2"/>
      <c r="O6" s="2"/>
      <c r="P6" s="1"/>
      <c r="Q6" s="1"/>
      <c r="R6" s="1"/>
      <c r="S6" s="1"/>
      <c r="T6" s="1"/>
      <c r="U6" s="1"/>
      <c r="V6" s="1"/>
      <c r="W6" s="1"/>
      <c r="X6" s="1"/>
    </row>
    <row r="7" spans="2:24" ht="22.5" customHeight="1" x14ac:dyDescent="0.2">
      <c r="B7" s="734" t="s">
        <v>45</v>
      </c>
      <c r="C7" s="6"/>
      <c r="D7" s="737" t="s">
        <v>87</v>
      </c>
      <c r="E7" s="34"/>
      <c r="F7" s="740" t="s">
        <v>135</v>
      </c>
      <c r="G7" s="740"/>
      <c r="H7" s="740"/>
      <c r="I7" s="740"/>
      <c r="J7" s="740"/>
      <c r="K7" s="740"/>
      <c r="L7" s="740"/>
      <c r="M7" s="740"/>
      <c r="N7" s="46"/>
      <c r="O7" s="737" t="s">
        <v>136</v>
      </c>
      <c r="P7" s="1"/>
      <c r="Q7" s="1"/>
      <c r="R7" s="1"/>
      <c r="S7" s="1"/>
      <c r="T7" s="1"/>
      <c r="U7" s="1"/>
      <c r="V7" s="1"/>
      <c r="W7" s="1"/>
      <c r="X7" s="1"/>
    </row>
    <row r="8" spans="2:24" ht="37.5" customHeight="1" x14ac:dyDescent="0.2">
      <c r="B8" s="735"/>
      <c r="C8" s="613"/>
      <c r="D8" s="738"/>
      <c r="E8" s="33"/>
      <c r="F8" s="688" t="s">
        <v>46</v>
      </c>
      <c r="G8" s="688"/>
      <c r="H8" s="244"/>
      <c r="I8" s="688" t="s">
        <v>47</v>
      </c>
      <c r="J8" s="688"/>
      <c r="K8" s="245"/>
      <c r="L8" s="688" t="s">
        <v>48</v>
      </c>
      <c r="M8" s="688"/>
      <c r="N8" s="2"/>
      <c r="O8" s="738"/>
      <c r="P8" s="1"/>
      <c r="Q8" s="1"/>
      <c r="R8" s="1"/>
      <c r="S8" s="1"/>
      <c r="T8" s="1"/>
      <c r="U8" s="1"/>
      <c r="V8" s="1"/>
      <c r="W8" s="1"/>
      <c r="X8" s="1"/>
    </row>
    <row r="9" spans="2:24" ht="18.75" customHeight="1" x14ac:dyDescent="0.2">
      <c r="B9" s="736"/>
      <c r="C9" s="7"/>
      <c r="D9" s="739"/>
      <c r="E9" s="35"/>
      <c r="F9" s="614" t="s">
        <v>0</v>
      </c>
      <c r="G9" s="614" t="s">
        <v>1</v>
      </c>
      <c r="H9" s="614"/>
      <c r="I9" s="614" t="s">
        <v>0</v>
      </c>
      <c r="J9" s="614" t="s">
        <v>1</v>
      </c>
      <c r="K9" s="614"/>
      <c r="L9" s="614" t="s">
        <v>0</v>
      </c>
      <c r="M9" s="614" t="s">
        <v>1</v>
      </c>
      <c r="N9" s="47"/>
      <c r="O9" s="739"/>
      <c r="P9" s="1"/>
      <c r="Q9" s="1"/>
      <c r="R9" s="1"/>
      <c r="S9" s="1"/>
      <c r="T9" s="1"/>
      <c r="U9" s="1"/>
      <c r="V9" s="1"/>
      <c r="W9" s="1"/>
      <c r="X9" s="1"/>
    </row>
    <row r="10" spans="2:24" ht="6" customHeight="1" x14ac:dyDescent="0.2">
      <c r="B10" s="4"/>
      <c r="C10" s="4"/>
      <c r="D10" s="117"/>
      <c r="E10" s="118"/>
      <c r="F10" s="118"/>
      <c r="G10" s="118"/>
      <c r="H10" s="118"/>
      <c r="I10" s="118"/>
      <c r="J10" s="118"/>
      <c r="K10" s="118"/>
      <c r="L10" s="118"/>
      <c r="M10" s="118"/>
      <c r="N10" s="131"/>
      <c r="O10" s="131"/>
      <c r="P10" s="1"/>
      <c r="Q10" s="1"/>
      <c r="R10" s="1"/>
      <c r="S10" s="1"/>
      <c r="T10" s="1"/>
      <c r="U10" s="1"/>
      <c r="V10" s="1"/>
      <c r="W10" s="1"/>
      <c r="X10" s="1"/>
    </row>
    <row r="11" spans="2:24" s="80" customFormat="1" ht="11.25" x14ac:dyDescent="0.2">
      <c r="B11" s="36" t="s">
        <v>35</v>
      </c>
      <c r="C11" s="8"/>
      <c r="D11" s="334">
        <v>22143.5238014395</v>
      </c>
      <c r="E11" s="87"/>
      <c r="F11" s="334">
        <v>20129.123224081901</v>
      </c>
      <c r="G11" s="620">
        <v>1.9447575625</v>
      </c>
      <c r="H11" s="119"/>
      <c r="I11" s="620">
        <v>17129.4387860432</v>
      </c>
      <c r="J11" s="620">
        <v>2.4736218268000001</v>
      </c>
      <c r="K11" s="119"/>
      <c r="L11" s="620">
        <v>1504.8824088665999</v>
      </c>
      <c r="M11" s="620">
        <v>0.32442349850000002</v>
      </c>
      <c r="N11" s="119"/>
      <c r="O11" s="620">
        <v>3932.4959869654999</v>
      </c>
      <c r="P11" s="79"/>
      <c r="Q11" s="79"/>
      <c r="R11" s="79"/>
      <c r="S11" s="79"/>
      <c r="T11" s="79"/>
      <c r="U11" s="79"/>
      <c r="V11" s="79"/>
      <c r="W11" s="79"/>
      <c r="X11" s="79"/>
    </row>
    <row r="12" spans="2:24" s="82" customFormat="1" ht="6" customHeight="1" x14ac:dyDescent="0.2">
      <c r="B12" s="43"/>
      <c r="C12" s="8"/>
      <c r="D12" s="89"/>
      <c r="E12" s="89"/>
      <c r="F12" s="89"/>
      <c r="G12" s="120"/>
      <c r="H12" s="121"/>
      <c r="I12" s="121"/>
      <c r="J12" s="120"/>
      <c r="K12" s="121"/>
      <c r="L12" s="121"/>
      <c r="M12" s="120"/>
      <c r="N12" s="121"/>
      <c r="O12" s="121"/>
      <c r="P12" s="81"/>
      <c r="Q12" s="81"/>
      <c r="R12" s="81"/>
      <c r="S12" s="81"/>
      <c r="T12" s="81"/>
      <c r="U12" s="81"/>
      <c r="V12" s="81"/>
      <c r="W12" s="81"/>
      <c r="X12" s="81"/>
    </row>
    <row r="13" spans="2:24" s="82" customFormat="1" ht="11.25" x14ac:dyDescent="0.2">
      <c r="B13" s="24" t="s">
        <v>49</v>
      </c>
      <c r="C13" s="37"/>
      <c r="D13" s="279">
        <v>11198.3604566673</v>
      </c>
      <c r="E13" s="89"/>
      <c r="F13" s="279">
        <v>11120.903877418599</v>
      </c>
      <c r="G13" s="619">
        <v>1.6755392419999999</v>
      </c>
      <c r="H13" s="121"/>
      <c r="I13" s="619">
        <v>8758.2587681293007</v>
      </c>
      <c r="J13" s="619">
        <v>5.3993838270000003</v>
      </c>
      <c r="K13" s="121"/>
      <c r="L13" s="619">
        <v>1294.8185201023</v>
      </c>
      <c r="M13" s="619">
        <v>1.3997117883000001</v>
      </c>
      <c r="N13" s="121"/>
      <c r="O13" s="619">
        <v>1533.1167600675001</v>
      </c>
      <c r="P13" s="81"/>
      <c r="Q13" s="81"/>
      <c r="R13" s="81"/>
      <c r="S13" s="81"/>
      <c r="T13" s="81"/>
      <c r="U13" s="81"/>
      <c r="V13" s="81"/>
      <c r="W13" s="81"/>
      <c r="X13" s="81"/>
    </row>
    <row r="14" spans="2:24" s="82" customFormat="1" ht="11.25" x14ac:dyDescent="0.2">
      <c r="B14" s="24" t="s">
        <v>50</v>
      </c>
      <c r="C14" s="37"/>
      <c r="D14" s="279">
        <v>5791.3858262497997</v>
      </c>
      <c r="E14" s="89"/>
      <c r="F14" s="279">
        <v>5417.2979231796999</v>
      </c>
      <c r="G14" s="619">
        <v>5.6275719525000003</v>
      </c>
      <c r="H14" s="121"/>
      <c r="I14" s="619">
        <v>4544.9508319140004</v>
      </c>
      <c r="J14" s="619">
        <v>8.3119882879000002</v>
      </c>
      <c r="K14" s="121"/>
      <c r="L14" s="619">
        <v>720.25833179220001</v>
      </c>
      <c r="M14" s="619">
        <v>2.1410242158999999</v>
      </c>
      <c r="N14" s="121"/>
      <c r="O14" s="619">
        <v>1473.0071282923</v>
      </c>
      <c r="P14" s="81"/>
      <c r="Q14" s="81"/>
      <c r="R14" s="81"/>
      <c r="S14" s="81"/>
      <c r="T14" s="81"/>
      <c r="U14" s="81"/>
      <c r="V14" s="81"/>
      <c r="W14" s="81"/>
      <c r="X14" s="81"/>
    </row>
    <row r="15" spans="2:24" s="82" customFormat="1" ht="11.25" x14ac:dyDescent="0.2">
      <c r="B15" s="24" t="s">
        <v>51</v>
      </c>
      <c r="C15" s="37"/>
      <c r="D15" s="279">
        <v>5459.6811382917003</v>
      </c>
      <c r="E15" s="89"/>
      <c r="F15" s="279">
        <v>5233.2167098084001</v>
      </c>
      <c r="G15" s="619">
        <v>4.4248432715000003</v>
      </c>
      <c r="H15" s="121"/>
      <c r="I15" s="619">
        <v>4545.0550251695004</v>
      </c>
      <c r="J15" s="619">
        <v>7.5344130998000001</v>
      </c>
      <c r="K15" s="121"/>
      <c r="L15" s="619">
        <v>392.46018906379999</v>
      </c>
      <c r="M15" s="619">
        <v>1.1668674509999999</v>
      </c>
      <c r="N15" s="121"/>
      <c r="O15" s="619">
        <v>1146.4894242861999</v>
      </c>
      <c r="P15" s="81"/>
      <c r="Q15" s="81"/>
      <c r="R15" s="81"/>
      <c r="S15" s="81"/>
      <c r="T15" s="81"/>
      <c r="U15" s="81"/>
      <c r="V15" s="81"/>
      <c r="W15" s="81"/>
      <c r="X15" s="81"/>
    </row>
    <row r="16" spans="2:24" s="82" customFormat="1" ht="11.25" x14ac:dyDescent="0.2">
      <c r="B16" s="24" t="s">
        <v>137</v>
      </c>
      <c r="C16" s="37"/>
      <c r="D16" s="279">
        <v>16221.964698210501</v>
      </c>
      <c r="E16" s="89"/>
      <c r="F16" s="279">
        <v>15434.623372622</v>
      </c>
      <c r="G16" s="619">
        <v>1.8034851827</v>
      </c>
      <c r="H16" s="121"/>
      <c r="I16" s="619">
        <v>11510.7825098913</v>
      </c>
      <c r="J16" s="619">
        <v>3.0786146359000002</v>
      </c>
      <c r="K16" s="121"/>
      <c r="L16" s="141" t="s">
        <v>201</v>
      </c>
      <c r="M16" s="142" t="s">
        <v>201</v>
      </c>
      <c r="N16" s="121"/>
      <c r="O16" s="619">
        <v>2889.9989619375001</v>
      </c>
      <c r="P16" s="81"/>
      <c r="Q16" s="81"/>
      <c r="R16" s="81"/>
      <c r="S16" s="81"/>
      <c r="T16" s="81"/>
      <c r="U16" s="81"/>
      <c r="V16" s="81"/>
      <c r="W16" s="81"/>
      <c r="X16" s="81"/>
    </row>
    <row r="17" spans="2:24" s="82" customFormat="1" ht="11.25" x14ac:dyDescent="0.2">
      <c r="B17" s="24" t="s">
        <v>138</v>
      </c>
      <c r="C17" s="37"/>
      <c r="D17" s="279">
        <v>8795.2979179565991</v>
      </c>
      <c r="E17" s="89"/>
      <c r="F17" s="279">
        <v>7364.8948052438</v>
      </c>
      <c r="G17" s="619">
        <v>6.2807726023999999</v>
      </c>
      <c r="H17" s="121"/>
      <c r="I17" s="619">
        <v>6300.4657733698996</v>
      </c>
      <c r="J17" s="619">
        <v>6.3970835496999996</v>
      </c>
      <c r="K17" s="121"/>
      <c r="L17" s="141" t="s">
        <v>201</v>
      </c>
      <c r="M17" s="142" t="s">
        <v>201</v>
      </c>
      <c r="N17" s="121"/>
      <c r="O17" s="619">
        <v>1440.8979838974999</v>
      </c>
      <c r="P17" s="81"/>
      <c r="Q17" s="81"/>
      <c r="R17" s="81"/>
      <c r="S17" s="81"/>
      <c r="T17" s="81"/>
      <c r="U17" s="81"/>
      <c r="V17" s="81"/>
      <c r="W17" s="81"/>
      <c r="X17" s="81"/>
    </row>
    <row r="18" spans="2:24" s="82" customFormat="1" ht="6" customHeight="1" x14ac:dyDescent="0.2">
      <c r="B18" s="24"/>
      <c r="C18" s="37"/>
      <c r="D18" s="89"/>
      <c r="E18" s="121"/>
      <c r="F18" s="121"/>
      <c r="G18" s="120"/>
      <c r="H18" s="121"/>
      <c r="I18" s="121"/>
      <c r="J18" s="120"/>
      <c r="K18" s="121"/>
      <c r="L18" s="121"/>
      <c r="M18" s="120"/>
      <c r="N18" s="121"/>
      <c r="O18" s="121"/>
      <c r="P18" s="81"/>
      <c r="Q18" s="81"/>
      <c r="R18" s="81"/>
      <c r="S18" s="81"/>
      <c r="T18" s="81"/>
      <c r="U18" s="81"/>
      <c r="V18" s="81"/>
      <c r="W18" s="81"/>
      <c r="X18" s="81"/>
    </row>
    <row r="19" spans="2:24" s="80" customFormat="1" ht="11.25" x14ac:dyDescent="0.2">
      <c r="B19" s="636" t="s">
        <v>36</v>
      </c>
      <c r="C19" s="77"/>
      <c r="D19" s="334">
        <v>10040.051937341201</v>
      </c>
      <c r="E19" s="119"/>
      <c r="F19" s="620">
        <v>4979.2107853670004</v>
      </c>
      <c r="G19" s="620">
        <v>11.830737088099999</v>
      </c>
      <c r="H19" s="119"/>
      <c r="I19" s="620">
        <v>9512.9894986842992</v>
      </c>
      <c r="J19" s="620">
        <v>7.5796483027999999</v>
      </c>
      <c r="K19" s="119"/>
      <c r="L19" s="620">
        <v>291</v>
      </c>
      <c r="M19" s="620">
        <v>0.51880584259999996</v>
      </c>
      <c r="N19" s="119"/>
      <c r="O19" s="620">
        <v>1834.2941421702001</v>
      </c>
      <c r="P19" s="79"/>
      <c r="Q19" s="79"/>
      <c r="R19" s="79"/>
      <c r="S19" s="79"/>
      <c r="T19" s="79"/>
      <c r="U19" s="79"/>
      <c r="V19" s="79"/>
      <c r="W19" s="79"/>
      <c r="X19" s="79"/>
    </row>
    <row r="20" spans="2:24" s="82" customFormat="1" ht="6" customHeight="1" x14ac:dyDescent="0.2">
      <c r="B20" s="37"/>
      <c r="C20" s="37"/>
      <c r="D20" s="121"/>
      <c r="E20" s="121"/>
      <c r="F20" s="121"/>
      <c r="G20" s="120"/>
      <c r="H20" s="121"/>
      <c r="I20" s="121"/>
      <c r="J20" s="120"/>
      <c r="K20" s="121"/>
      <c r="L20" s="121"/>
      <c r="M20" s="120"/>
      <c r="N20" s="121"/>
      <c r="O20" s="121"/>
      <c r="P20" s="81"/>
      <c r="Q20" s="81"/>
      <c r="R20" s="81"/>
      <c r="S20" s="81"/>
      <c r="T20" s="81"/>
      <c r="U20" s="81"/>
      <c r="V20" s="81"/>
      <c r="W20" s="81"/>
      <c r="X20" s="81"/>
    </row>
    <row r="21" spans="2:24" s="82" customFormat="1" ht="11.25" x14ac:dyDescent="0.2">
      <c r="B21" s="24" t="s">
        <v>49</v>
      </c>
      <c r="C21" s="37"/>
      <c r="D21" s="279">
        <v>2627.3753065214</v>
      </c>
      <c r="E21" s="121"/>
      <c r="F21" s="619">
        <v>2615.1657693765001</v>
      </c>
      <c r="G21" s="619">
        <v>2.121488185</v>
      </c>
      <c r="H21" s="121"/>
      <c r="I21" s="619">
        <v>2323.9271331089999</v>
      </c>
      <c r="J21" s="619">
        <v>10.105631365000001</v>
      </c>
      <c r="K21" s="121"/>
      <c r="L21" s="619">
        <v>291</v>
      </c>
      <c r="M21" s="619">
        <v>2.4324120273999998</v>
      </c>
      <c r="N21" s="121"/>
      <c r="O21" s="619">
        <v>0</v>
      </c>
      <c r="P21" s="81"/>
      <c r="Q21" s="81"/>
      <c r="R21" s="81"/>
      <c r="S21" s="81"/>
      <c r="T21" s="81"/>
      <c r="U21" s="81"/>
      <c r="V21" s="81"/>
      <c r="W21" s="81"/>
      <c r="X21" s="81"/>
    </row>
    <row r="22" spans="2:24" s="82" customFormat="1" ht="11.25" x14ac:dyDescent="0.2">
      <c r="B22" s="24" t="s">
        <v>50</v>
      </c>
      <c r="C22" s="37"/>
      <c r="D22" s="279">
        <v>1951.9910348154999</v>
      </c>
      <c r="E22" s="121"/>
      <c r="F22" s="619">
        <v>1735.7476775154</v>
      </c>
      <c r="G22" s="619">
        <v>19.668405849599999</v>
      </c>
      <c r="H22" s="121"/>
      <c r="I22" s="619">
        <v>1874.8493272794001</v>
      </c>
      <c r="J22" s="619">
        <v>13.9522921266</v>
      </c>
      <c r="K22" s="121"/>
      <c r="L22" s="619">
        <v>291</v>
      </c>
      <c r="M22" s="619">
        <v>7.5201547415999999</v>
      </c>
      <c r="N22" s="121"/>
      <c r="O22" s="619">
        <v>0</v>
      </c>
      <c r="P22" s="81"/>
      <c r="Q22" s="81"/>
      <c r="R22" s="81"/>
      <c r="S22" s="81"/>
      <c r="T22" s="81"/>
      <c r="U22" s="81"/>
      <c r="V22" s="81"/>
      <c r="W22" s="81"/>
      <c r="X22" s="81"/>
    </row>
    <row r="23" spans="2:24" s="82" customFormat="1" ht="11.25" x14ac:dyDescent="0.2">
      <c r="B23" s="24" t="s">
        <v>51</v>
      </c>
      <c r="C23" s="37"/>
      <c r="D23" s="279">
        <v>1413.9625171835</v>
      </c>
      <c r="E23" s="121"/>
      <c r="F23" s="619">
        <v>1366.5727203481999</v>
      </c>
      <c r="G23" s="619">
        <v>9.4701529067999992</v>
      </c>
      <c r="H23" s="121"/>
      <c r="I23" s="619">
        <v>1128.2610513529</v>
      </c>
      <c r="J23" s="619">
        <v>19.890202785</v>
      </c>
      <c r="K23" s="121"/>
      <c r="L23" s="619">
        <v>0</v>
      </c>
      <c r="M23" s="619">
        <v>0</v>
      </c>
      <c r="N23" s="121"/>
      <c r="O23" s="619">
        <v>363</v>
      </c>
      <c r="P23" s="81"/>
      <c r="Q23" s="81"/>
      <c r="R23" s="81"/>
      <c r="S23" s="81"/>
      <c r="T23" s="81"/>
      <c r="U23" s="81"/>
      <c r="V23" s="81"/>
      <c r="W23" s="81"/>
      <c r="X23" s="81"/>
    </row>
    <row r="24" spans="2:24" s="82" customFormat="1" ht="11.25" x14ac:dyDescent="0.2">
      <c r="B24" s="24" t="s">
        <v>52</v>
      </c>
      <c r="C24" s="37"/>
      <c r="D24" s="279">
        <v>6182.0965052649999</v>
      </c>
      <c r="E24" s="121"/>
      <c r="F24" s="619">
        <v>4130.6663433894</v>
      </c>
      <c r="G24" s="619">
        <v>11.097200040400001</v>
      </c>
      <c r="H24" s="121"/>
      <c r="I24" s="619">
        <v>5420.6304307241999</v>
      </c>
      <c r="J24" s="619">
        <v>8.9889284893999992</v>
      </c>
      <c r="K24" s="121"/>
      <c r="L24" s="141" t="s">
        <v>201</v>
      </c>
      <c r="M24" s="142" t="s">
        <v>201</v>
      </c>
      <c r="N24" s="121"/>
      <c r="O24" s="619">
        <v>1798.0172412966001</v>
      </c>
      <c r="P24" s="81"/>
      <c r="Q24" s="81"/>
      <c r="R24" s="81"/>
      <c r="S24" s="81"/>
      <c r="T24" s="81"/>
      <c r="U24" s="81"/>
      <c r="V24" s="81"/>
      <c r="W24" s="81"/>
      <c r="X24" s="81"/>
    </row>
    <row r="25" spans="2:24" s="82" customFormat="1" ht="11.25" x14ac:dyDescent="0.2">
      <c r="B25" s="24" t="s">
        <v>53</v>
      </c>
      <c r="C25" s="37"/>
      <c r="D25" s="279">
        <v>4383.8873160700996</v>
      </c>
      <c r="E25" s="121"/>
      <c r="F25" s="619">
        <v>1018.2200155173</v>
      </c>
      <c r="G25" s="619">
        <v>24.997225471699998</v>
      </c>
      <c r="H25" s="121"/>
      <c r="I25" s="619">
        <v>4321.4833101610002</v>
      </c>
      <c r="J25" s="619">
        <v>13.785558931200001</v>
      </c>
      <c r="K25" s="121"/>
      <c r="L25" s="141" t="s">
        <v>201</v>
      </c>
      <c r="M25" s="142" t="s">
        <v>201</v>
      </c>
      <c r="N25" s="121"/>
      <c r="O25" s="619">
        <v>0</v>
      </c>
      <c r="P25" s="81"/>
      <c r="Q25" s="81"/>
      <c r="R25" s="81"/>
      <c r="S25" s="81"/>
      <c r="T25" s="81"/>
      <c r="U25" s="81"/>
      <c r="V25" s="81"/>
      <c r="W25" s="81"/>
      <c r="X25" s="81"/>
    </row>
    <row r="26" spans="2:24" s="82" customFormat="1" ht="6" customHeight="1" x14ac:dyDescent="0.2">
      <c r="B26" s="24"/>
      <c r="C26" s="37"/>
      <c r="D26" s="89"/>
      <c r="E26" s="121"/>
      <c r="F26" s="121"/>
      <c r="G26" s="120"/>
      <c r="H26" s="121"/>
      <c r="I26" s="121"/>
      <c r="J26" s="120"/>
      <c r="K26" s="121"/>
      <c r="L26" s="121"/>
      <c r="M26" s="120"/>
      <c r="N26" s="121"/>
      <c r="O26" s="121"/>
      <c r="P26" s="81"/>
      <c r="Q26" s="81"/>
      <c r="R26" s="81"/>
      <c r="S26" s="81"/>
      <c r="T26" s="81"/>
      <c r="U26" s="81"/>
      <c r="V26" s="81"/>
      <c r="W26" s="81"/>
      <c r="X26" s="81"/>
    </row>
    <row r="27" spans="2:24" s="80" customFormat="1" ht="11.25" x14ac:dyDescent="0.2">
      <c r="B27" s="636" t="s">
        <v>37</v>
      </c>
      <c r="C27" s="77"/>
      <c r="D27" s="334">
        <v>8574.5272541328995</v>
      </c>
      <c r="E27" s="119"/>
      <c r="F27" s="620">
        <v>8301.2266341709001</v>
      </c>
      <c r="G27" s="620">
        <v>2.9841103028</v>
      </c>
      <c r="H27" s="119"/>
      <c r="I27" s="620">
        <v>6821.9972894375996</v>
      </c>
      <c r="J27" s="620">
        <v>5.2076822857999998</v>
      </c>
      <c r="K27" s="119"/>
      <c r="L27" s="620">
        <v>275</v>
      </c>
      <c r="M27" s="620">
        <v>0.42496548979999998</v>
      </c>
      <c r="N27" s="119"/>
      <c r="O27" s="620">
        <v>2003.5735574217999</v>
      </c>
      <c r="P27" s="79"/>
      <c r="Q27" s="79"/>
      <c r="R27" s="79"/>
      <c r="S27" s="79"/>
      <c r="T27" s="79"/>
      <c r="U27" s="79"/>
      <c r="V27" s="79"/>
      <c r="W27" s="79"/>
      <c r="X27" s="79"/>
    </row>
    <row r="28" spans="2:24" s="82" customFormat="1" ht="6" customHeight="1" x14ac:dyDescent="0.2">
      <c r="B28" s="636"/>
      <c r="C28" s="37"/>
      <c r="D28" s="89"/>
      <c r="E28" s="121"/>
      <c r="F28" s="121"/>
      <c r="G28" s="120"/>
      <c r="H28" s="121"/>
      <c r="I28" s="121"/>
      <c r="J28" s="120"/>
      <c r="K28" s="121"/>
      <c r="L28" s="121"/>
      <c r="M28" s="120"/>
      <c r="N28" s="121"/>
      <c r="O28" s="121"/>
      <c r="P28" s="81"/>
      <c r="Q28" s="81"/>
      <c r="R28" s="81"/>
      <c r="S28" s="81"/>
      <c r="T28" s="81"/>
      <c r="U28" s="81"/>
      <c r="V28" s="81"/>
      <c r="W28" s="81"/>
      <c r="X28" s="81"/>
    </row>
    <row r="29" spans="2:24" s="82" customFormat="1" ht="11.25" x14ac:dyDescent="0.2">
      <c r="B29" s="24" t="s">
        <v>49</v>
      </c>
      <c r="C29" s="37"/>
      <c r="D29" s="279">
        <v>7412.8572763814</v>
      </c>
      <c r="E29" s="121"/>
      <c r="F29" s="619">
        <v>7332.4618648855003</v>
      </c>
      <c r="G29" s="619">
        <v>4.7117144196999998</v>
      </c>
      <c r="H29" s="121"/>
      <c r="I29" s="619">
        <v>6207.5533827748995</v>
      </c>
      <c r="J29" s="619">
        <v>7.8401859626999997</v>
      </c>
      <c r="K29" s="121"/>
      <c r="L29" s="619">
        <v>0</v>
      </c>
      <c r="M29" s="619">
        <v>0</v>
      </c>
      <c r="N29" s="121"/>
      <c r="O29" s="619">
        <v>1324.8765980272001</v>
      </c>
      <c r="P29" s="81"/>
      <c r="Q29" s="81"/>
      <c r="R29" s="81"/>
      <c r="S29" s="81"/>
      <c r="T29" s="81"/>
      <c r="U29" s="81"/>
      <c r="V29" s="81"/>
      <c r="W29" s="81"/>
      <c r="X29" s="81"/>
    </row>
    <row r="30" spans="2:24" s="82" customFormat="1" ht="11.25" x14ac:dyDescent="0.2">
      <c r="B30" s="24" t="s">
        <v>50</v>
      </c>
      <c r="C30" s="37"/>
      <c r="D30" s="279">
        <v>1762.3641994289001</v>
      </c>
      <c r="E30" s="121"/>
      <c r="F30" s="619">
        <v>1737.3288610474999</v>
      </c>
      <c r="G30" s="619">
        <v>5.1162180636999999</v>
      </c>
      <c r="H30" s="121"/>
      <c r="I30" s="619">
        <v>1388.944203343</v>
      </c>
      <c r="J30" s="619">
        <v>16.209323451100001</v>
      </c>
      <c r="K30" s="121"/>
      <c r="L30" s="619">
        <v>0</v>
      </c>
      <c r="M30" s="619">
        <v>0</v>
      </c>
      <c r="N30" s="121"/>
      <c r="O30" s="619">
        <v>0</v>
      </c>
      <c r="P30" s="81"/>
      <c r="Q30" s="81"/>
      <c r="R30" s="81"/>
      <c r="S30" s="81"/>
      <c r="T30" s="81"/>
      <c r="U30" s="81"/>
      <c r="V30" s="81"/>
      <c r="W30" s="81"/>
      <c r="X30" s="81"/>
    </row>
    <row r="31" spans="2:24" s="82" customFormat="1" ht="11.25" x14ac:dyDescent="0.2">
      <c r="B31" s="24" t="s">
        <v>51</v>
      </c>
      <c r="C31" s="37"/>
      <c r="D31" s="279">
        <v>1509.0168985137</v>
      </c>
      <c r="E31" s="121"/>
      <c r="F31" s="619">
        <v>1479.7013212131999</v>
      </c>
      <c r="G31" s="619">
        <v>9.5832059047999998</v>
      </c>
      <c r="H31" s="121"/>
      <c r="I31" s="619">
        <v>1451.9955234091001</v>
      </c>
      <c r="J31" s="619">
        <v>13.6076378092</v>
      </c>
      <c r="K31" s="121"/>
      <c r="L31" s="619">
        <v>275</v>
      </c>
      <c r="M31" s="619">
        <v>8.9600958059</v>
      </c>
      <c r="N31" s="121"/>
      <c r="O31" s="619">
        <v>0</v>
      </c>
      <c r="P31" s="81"/>
      <c r="Q31" s="81"/>
      <c r="R31" s="81"/>
      <c r="S31" s="81"/>
      <c r="T31" s="81"/>
      <c r="U31" s="81"/>
      <c r="V31" s="81"/>
      <c r="W31" s="81"/>
      <c r="X31" s="81"/>
    </row>
    <row r="32" spans="2:24" s="82" customFormat="1" ht="11.25" x14ac:dyDescent="0.2">
      <c r="B32" s="24" t="s">
        <v>137</v>
      </c>
      <c r="C32" s="37"/>
      <c r="D32" s="279">
        <v>3948.0270924953002</v>
      </c>
      <c r="E32" s="121"/>
      <c r="F32" s="619">
        <v>3893.2523151915002</v>
      </c>
      <c r="G32" s="619">
        <v>6.3154952933999997</v>
      </c>
      <c r="H32" s="121"/>
      <c r="I32" s="619">
        <v>2810.2143909454999</v>
      </c>
      <c r="J32" s="619">
        <v>9.4252702667000001</v>
      </c>
      <c r="K32" s="121"/>
      <c r="L32" s="141" t="s">
        <v>201</v>
      </c>
      <c r="M32" s="142" t="s">
        <v>201</v>
      </c>
      <c r="N32" s="121"/>
      <c r="O32" s="619">
        <v>1503</v>
      </c>
      <c r="P32" s="81"/>
      <c r="Q32" s="81"/>
      <c r="R32" s="81"/>
      <c r="S32" s="81"/>
      <c r="T32" s="81"/>
      <c r="U32" s="81"/>
      <c r="V32" s="81"/>
      <c r="W32" s="81"/>
      <c r="X32" s="81"/>
    </row>
    <row r="33" spans="2:24" s="82" customFormat="1" ht="11.25" x14ac:dyDescent="0.2">
      <c r="B33" s="24" t="s">
        <v>138</v>
      </c>
      <c r="C33" s="37"/>
      <c r="D33" s="279">
        <v>2085.8897382171999</v>
      </c>
      <c r="E33" s="121"/>
      <c r="F33" s="619">
        <v>2064.7808600429998</v>
      </c>
      <c r="G33" s="619">
        <v>4.4256720341999998</v>
      </c>
      <c r="H33" s="121"/>
      <c r="I33" s="619">
        <v>1961.5960338458999</v>
      </c>
      <c r="J33" s="619">
        <v>10.1593880711</v>
      </c>
      <c r="K33" s="121"/>
      <c r="L33" s="141" t="s">
        <v>201</v>
      </c>
      <c r="M33" s="142" t="s">
        <v>201</v>
      </c>
      <c r="N33" s="121"/>
      <c r="O33" s="619">
        <v>0</v>
      </c>
      <c r="P33" s="81"/>
      <c r="Q33" s="81"/>
      <c r="R33" s="81"/>
      <c r="S33" s="81"/>
      <c r="T33" s="81"/>
      <c r="U33" s="81"/>
      <c r="V33" s="81"/>
      <c r="W33" s="81"/>
      <c r="X33" s="81"/>
    </row>
    <row r="34" spans="2:24" s="82" customFormat="1" ht="6" customHeight="1" x14ac:dyDescent="0.2">
      <c r="B34" s="24"/>
      <c r="C34" s="37"/>
      <c r="D34" s="89"/>
      <c r="E34" s="121"/>
      <c r="F34" s="121"/>
      <c r="G34" s="120"/>
      <c r="H34" s="121"/>
      <c r="I34" s="121"/>
      <c r="J34" s="120"/>
      <c r="K34" s="121"/>
      <c r="L34" s="121"/>
      <c r="M34" s="120"/>
      <c r="N34" s="121"/>
      <c r="O34" s="121"/>
      <c r="P34" s="81"/>
      <c r="Q34" s="81"/>
      <c r="R34" s="81"/>
      <c r="S34" s="81"/>
      <c r="T34" s="81"/>
      <c r="U34" s="81"/>
      <c r="V34" s="81"/>
      <c r="W34" s="81"/>
      <c r="X34" s="81"/>
    </row>
    <row r="35" spans="2:24" s="80" customFormat="1" ht="11.25" x14ac:dyDescent="0.2">
      <c r="B35" s="637" t="s">
        <v>38</v>
      </c>
      <c r="C35" s="77"/>
      <c r="D35" s="334">
        <v>10167.6166163497</v>
      </c>
      <c r="E35" s="119"/>
      <c r="F35" s="620">
        <v>10122.056205323999</v>
      </c>
      <c r="G35" s="620">
        <v>2.1475694477</v>
      </c>
      <c r="H35" s="119"/>
      <c r="I35" s="620">
        <v>6507.6913694567002</v>
      </c>
      <c r="J35" s="620">
        <v>6.1263037672999996</v>
      </c>
      <c r="K35" s="119"/>
      <c r="L35" s="620">
        <v>957.06060414169997</v>
      </c>
      <c r="M35" s="620">
        <v>1.0838682654</v>
      </c>
      <c r="N35" s="119"/>
      <c r="O35" s="620">
        <v>1656.6079801812</v>
      </c>
      <c r="P35" s="79"/>
      <c r="Q35" s="79"/>
      <c r="R35" s="79"/>
      <c r="S35" s="79"/>
      <c r="T35" s="79"/>
      <c r="U35" s="79"/>
      <c r="V35" s="79"/>
      <c r="W35" s="79"/>
      <c r="X35" s="79"/>
    </row>
    <row r="36" spans="2:24" s="82" customFormat="1" ht="6" customHeight="1" x14ac:dyDescent="0.2">
      <c r="B36" s="24"/>
      <c r="C36" s="37"/>
      <c r="D36" s="89"/>
      <c r="E36" s="121"/>
      <c r="F36" s="121"/>
      <c r="G36" s="120"/>
      <c r="H36" s="121"/>
      <c r="I36" s="121"/>
      <c r="J36" s="120"/>
      <c r="K36" s="121"/>
      <c r="L36" s="121"/>
      <c r="M36" s="120"/>
      <c r="N36" s="121"/>
      <c r="O36" s="121"/>
      <c r="P36" s="81"/>
      <c r="Q36" s="81"/>
      <c r="R36" s="81"/>
      <c r="S36" s="81"/>
      <c r="T36" s="81"/>
      <c r="U36" s="81"/>
      <c r="V36" s="81"/>
      <c r="W36" s="81"/>
      <c r="X36" s="81"/>
    </row>
    <row r="37" spans="2:24" s="82" customFormat="1" ht="11.25" x14ac:dyDescent="0.2">
      <c r="B37" s="24" t="s">
        <v>49</v>
      </c>
      <c r="C37" s="37"/>
      <c r="D37" s="279">
        <v>5610.8591498984997</v>
      </c>
      <c r="E37" s="121"/>
      <c r="F37" s="619">
        <v>5610.8591498984997</v>
      </c>
      <c r="G37" s="619">
        <v>0</v>
      </c>
      <c r="H37" s="121"/>
      <c r="I37" s="619">
        <v>3165.2928774443999</v>
      </c>
      <c r="J37" s="619">
        <v>17.469992407399999</v>
      </c>
      <c r="K37" s="121"/>
      <c r="L37" s="619">
        <v>957.06060414169997</v>
      </c>
      <c r="M37" s="619">
        <v>5.3459184702</v>
      </c>
      <c r="N37" s="121"/>
      <c r="O37" s="619">
        <v>0</v>
      </c>
      <c r="P37" s="81"/>
      <c r="Q37" s="81"/>
      <c r="R37" s="81"/>
      <c r="S37" s="81"/>
      <c r="T37" s="81"/>
      <c r="U37" s="81"/>
      <c r="V37" s="81"/>
      <c r="W37" s="81"/>
      <c r="X37" s="81"/>
    </row>
    <row r="38" spans="2:24" s="82" customFormat="1" ht="11.25" x14ac:dyDescent="0.2">
      <c r="B38" s="24" t="s">
        <v>50</v>
      </c>
      <c r="C38" s="37"/>
      <c r="D38" s="279">
        <v>2866.7793776292001</v>
      </c>
      <c r="E38" s="121"/>
      <c r="F38" s="619">
        <v>2301.4710513061</v>
      </c>
      <c r="G38" s="619">
        <v>14.7254350367</v>
      </c>
      <c r="H38" s="121"/>
      <c r="I38" s="619">
        <v>1850.3232150086999</v>
      </c>
      <c r="J38" s="619">
        <v>15.1287308713</v>
      </c>
      <c r="K38" s="121"/>
      <c r="L38" s="619">
        <v>0</v>
      </c>
      <c r="M38" s="619">
        <v>0</v>
      </c>
      <c r="N38" s="121"/>
      <c r="O38" s="619">
        <v>1381.1611057368</v>
      </c>
      <c r="P38" s="81"/>
      <c r="Q38" s="81"/>
      <c r="R38" s="81"/>
      <c r="S38" s="81"/>
      <c r="T38" s="81"/>
      <c r="U38" s="81"/>
      <c r="V38" s="81"/>
      <c r="W38" s="81"/>
      <c r="X38" s="81"/>
    </row>
    <row r="39" spans="2:24" s="82" customFormat="1" ht="11.25" x14ac:dyDescent="0.2">
      <c r="B39" s="24" t="s">
        <v>51</v>
      </c>
      <c r="C39" s="37"/>
      <c r="D39" s="279">
        <v>2798.4494278082002</v>
      </c>
      <c r="E39" s="121"/>
      <c r="F39" s="619">
        <v>2468.6743811204001</v>
      </c>
      <c r="G39" s="619">
        <v>12.0588340514</v>
      </c>
      <c r="H39" s="121"/>
      <c r="I39" s="619">
        <v>2617.2924941626002</v>
      </c>
      <c r="J39" s="619">
        <v>10.717822438000001</v>
      </c>
      <c r="K39" s="121"/>
      <c r="L39" s="619">
        <v>0</v>
      </c>
      <c r="M39" s="619">
        <v>0</v>
      </c>
      <c r="N39" s="121"/>
      <c r="O39" s="619">
        <v>850</v>
      </c>
      <c r="P39" s="81"/>
      <c r="Q39" s="81"/>
      <c r="R39" s="81"/>
      <c r="S39" s="81"/>
      <c r="T39" s="81"/>
      <c r="U39" s="81"/>
      <c r="V39" s="81"/>
      <c r="W39" s="81"/>
      <c r="X39" s="81"/>
    </row>
    <row r="40" spans="2:24" s="82" customFormat="1" ht="11.25" x14ac:dyDescent="0.2">
      <c r="B40" s="24" t="s">
        <v>137</v>
      </c>
      <c r="C40" s="37"/>
      <c r="D40" s="279">
        <v>7495.5544034549002</v>
      </c>
      <c r="E40" s="121"/>
      <c r="F40" s="619">
        <v>7488.0409197032996</v>
      </c>
      <c r="G40" s="619">
        <v>0.68112692699999999</v>
      </c>
      <c r="H40" s="121"/>
      <c r="I40" s="619">
        <v>4556.6433954538998</v>
      </c>
      <c r="J40" s="619">
        <v>7.7137093135999999</v>
      </c>
      <c r="K40" s="121"/>
      <c r="L40" s="141" t="s">
        <v>201</v>
      </c>
      <c r="M40" s="142" t="s">
        <v>201</v>
      </c>
      <c r="N40" s="121"/>
      <c r="O40" s="619">
        <v>338</v>
      </c>
      <c r="P40" s="81"/>
      <c r="Q40" s="81"/>
      <c r="R40" s="81"/>
      <c r="S40" s="81"/>
      <c r="T40" s="81"/>
      <c r="U40" s="81"/>
      <c r="V40" s="81"/>
      <c r="W40" s="81"/>
      <c r="X40" s="81"/>
    </row>
    <row r="41" spans="2:24" s="82" customFormat="1" ht="11.25" x14ac:dyDescent="0.2">
      <c r="B41" s="24" t="s">
        <v>138</v>
      </c>
      <c r="C41" s="37"/>
      <c r="D41" s="279">
        <v>2646.2333505295001</v>
      </c>
      <c r="E41" s="121"/>
      <c r="F41" s="619">
        <v>2646.2333505295001</v>
      </c>
      <c r="G41" s="619">
        <v>0</v>
      </c>
      <c r="H41" s="121"/>
      <c r="I41" s="619">
        <v>2214.4532056469002</v>
      </c>
      <c r="J41" s="619">
        <v>13.2248274411</v>
      </c>
      <c r="K41" s="121"/>
      <c r="L41" s="141" t="s">
        <v>201</v>
      </c>
      <c r="M41" s="142" t="s">
        <v>201</v>
      </c>
      <c r="N41" s="121"/>
      <c r="O41" s="619">
        <v>0</v>
      </c>
      <c r="P41" s="81"/>
      <c r="Q41" s="81"/>
      <c r="R41" s="81"/>
      <c r="S41" s="81"/>
      <c r="T41" s="81"/>
      <c r="U41" s="81"/>
      <c r="V41" s="81"/>
      <c r="W41" s="81"/>
      <c r="X41" s="81"/>
    </row>
    <row r="42" spans="2:24" s="82" customFormat="1" ht="6" customHeight="1" x14ac:dyDescent="0.2">
      <c r="B42" s="37"/>
      <c r="C42" s="37"/>
      <c r="D42" s="121"/>
      <c r="E42" s="121"/>
      <c r="F42" s="121"/>
      <c r="G42" s="120"/>
      <c r="H42" s="121"/>
      <c r="I42" s="121"/>
      <c r="J42" s="120"/>
      <c r="K42" s="121"/>
      <c r="L42" s="121"/>
      <c r="M42" s="120"/>
      <c r="N42" s="121"/>
      <c r="O42" s="121"/>
      <c r="P42" s="81"/>
      <c r="Q42" s="81"/>
      <c r="R42" s="81"/>
      <c r="S42" s="81"/>
      <c r="T42" s="81"/>
      <c r="U42" s="81"/>
      <c r="V42" s="81"/>
      <c r="W42" s="81"/>
      <c r="X42" s="81"/>
    </row>
    <row r="43" spans="2:24" s="80" customFormat="1" ht="11.25" x14ac:dyDescent="0.2">
      <c r="B43" s="637" t="s">
        <v>54</v>
      </c>
      <c r="C43" s="77"/>
      <c r="D43" s="334">
        <v>14590.7340511528</v>
      </c>
      <c r="E43" s="119"/>
      <c r="F43" s="620">
        <v>14466.5869599417</v>
      </c>
      <c r="G43" s="620">
        <v>0.98172860559999997</v>
      </c>
      <c r="H43" s="119"/>
      <c r="I43" s="620">
        <v>10685.7297806715</v>
      </c>
      <c r="J43" s="620">
        <v>3.145445789</v>
      </c>
      <c r="K43" s="119"/>
      <c r="L43" s="620">
        <v>1090.1376355837999</v>
      </c>
      <c r="M43" s="620">
        <v>0.42819987700000001</v>
      </c>
      <c r="N43" s="119"/>
      <c r="O43" s="620">
        <v>2311.1107042935</v>
      </c>
      <c r="P43" s="79"/>
      <c r="Q43" s="79"/>
      <c r="R43" s="79"/>
      <c r="S43" s="79"/>
      <c r="T43" s="79"/>
      <c r="U43" s="79"/>
      <c r="V43" s="79"/>
      <c r="W43" s="79"/>
      <c r="X43" s="79"/>
    </row>
    <row r="44" spans="2:24" s="82" customFormat="1" ht="6" customHeight="1" x14ac:dyDescent="0.2">
      <c r="B44" s="24"/>
      <c r="C44" s="37"/>
      <c r="D44" s="89"/>
      <c r="E44" s="121"/>
      <c r="F44" s="121"/>
      <c r="G44" s="120"/>
      <c r="H44" s="121"/>
      <c r="I44" s="121"/>
      <c r="J44" s="120"/>
      <c r="K44" s="121"/>
      <c r="L44" s="121"/>
      <c r="M44" s="120"/>
      <c r="N44" s="121"/>
      <c r="O44" s="121"/>
      <c r="P44" s="81"/>
      <c r="Q44" s="81"/>
      <c r="R44" s="81"/>
      <c r="S44" s="81"/>
      <c r="T44" s="81"/>
      <c r="U44" s="81"/>
      <c r="V44" s="81"/>
      <c r="W44" s="81"/>
      <c r="X44" s="81"/>
    </row>
    <row r="45" spans="2:24" s="82" customFormat="1" ht="12" customHeight="1" x14ac:dyDescent="0.2">
      <c r="B45" s="24" t="s">
        <v>49</v>
      </c>
      <c r="C45" s="37"/>
      <c r="D45" s="279">
        <v>5662.8599237604003</v>
      </c>
      <c r="E45" s="121"/>
      <c r="F45" s="619">
        <v>5620.3802050631002</v>
      </c>
      <c r="G45" s="619">
        <v>2.2409838414999999</v>
      </c>
      <c r="H45" s="121"/>
      <c r="I45" s="619">
        <v>4770.0798032645998</v>
      </c>
      <c r="J45" s="619">
        <v>7.5203154517000002</v>
      </c>
      <c r="K45" s="121"/>
      <c r="L45" s="619">
        <v>822.13684992219999</v>
      </c>
      <c r="M45" s="619">
        <v>2.3662104343000001</v>
      </c>
      <c r="N45" s="121"/>
      <c r="O45" s="619">
        <v>771.45900733609994</v>
      </c>
      <c r="P45" s="81"/>
      <c r="Q45" s="81"/>
      <c r="R45" s="81"/>
      <c r="S45" s="81"/>
      <c r="T45" s="81"/>
      <c r="U45" s="81"/>
      <c r="V45" s="81"/>
      <c r="W45" s="81"/>
      <c r="X45" s="81"/>
    </row>
    <row r="46" spans="2:24" s="82" customFormat="1" ht="11.25" x14ac:dyDescent="0.2">
      <c r="B46" s="24" t="s">
        <v>50</v>
      </c>
      <c r="C46" s="37"/>
      <c r="D46" s="279">
        <v>4290.1665721809004</v>
      </c>
      <c r="E46" s="121"/>
      <c r="F46" s="619">
        <v>4244.9047359225997</v>
      </c>
      <c r="G46" s="619">
        <v>4.3453361295999997</v>
      </c>
      <c r="H46" s="121"/>
      <c r="I46" s="619">
        <v>3433.4612367865998</v>
      </c>
      <c r="J46" s="619">
        <v>13.727119503799999</v>
      </c>
      <c r="K46" s="121"/>
      <c r="L46" s="619">
        <v>658.85587537499998</v>
      </c>
      <c r="M46" s="619">
        <v>4.5951861913999998</v>
      </c>
      <c r="N46" s="121"/>
      <c r="O46" s="619">
        <v>512</v>
      </c>
      <c r="P46" s="81"/>
      <c r="Q46" s="81"/>
      <c r="R46" s="81"/>
      <c r="S46" s="81"/>
      <c r="T46" s="81"/>
      <c r="U46" s="81"/>
      <c r="V46" s="81"/>
      <c r="W46" s="81"/>
      <c r="X46" s="81"/>
    </row>
    <row r="47" spans="2:24" s="82" customFormat="1" ht="11.25" x14ac:dyDescent="0.2">
      <c r="B47" s="24" t="s">
        <v>51</v>
      </c>
      <c r="C47" s="37"/>
      <c r="D47" s="279">
        <v>4207.1815900693</v>
      </c>
      <c r="E47" s="121"/>
      <c r="F47" s="619">
        <v>4151.5258558532996</v>
      </c>
      <c r="G47" s="619">
        <v>3.9426710856999998</v>
      </c>
      <c r="H47" s="121"/>
      <c r="I47" s="619">
        <v>3228.9380888797</v>
      </c>
      <c r="J47" s="619">
        <v>12.005026468800001</v>
      </c>
      <c r="K47" s="121"/>
      <c r="L47" s="619">
        <v>280</v>
      </c>
      <c r="M47" s="619">
        <v>1.6278647432</v>
      </c>
      <c r="N47" s="121"/>
      <c r="O47" s="619">
        <v>678.35757532440005</v>
      </c>
      <c r="P47" s="81"/>
      <c r="Q47" s="81"/>
      <c r="R47" s="81"/>
      <c r="S47" s="81"/>
      <c r="T47" s="81"/>
      <c r="U47" s="81"/>
      <c r="V47" s="81"/>
      <c r="W47" s="81"/>
      <c r="X47" s="81"/>
    </row>
    <row r="48" spans="2:24" s="82" customFormat="1" ht="11.25" x14ac:dyDescent="0.2">
      <c r="B48" s="24" t="s">
        <v>137</v>
      </c>
      <c r="C48" s="37"/>
      <c r="D48" s="279">
        <v>12375.926944328299</v>
      </c>
      <c r="E48" s="121"/>
      <c r="F48" s="619">
        <v>12244.877451791201</v>
      </c>
      <c r="G48" s="619">
        <v>1.0864566921000001</v>
      </c>
      <c r="H48" s="121"/>
      <c r="I48" s="619">
        <v>8628.7064944357007</v>
      </c>
      <c r="J48" s="619">
        <v>3.7616908722</v>
      </c>
      <c r="K48" s="121"/>
      <c r="L48" s="141" t="s">
        <v>201</v>
      </c>
      <c r="M48" s="142" t="s">
        <v>201</v>
      </c>
      <c r="N48" s="121"/>
      <c r="O48" s="619">
        <v>1657.0983676293999</v>
      </c>
      <c r="P48" s="81"/>
      <c r="Q48" s="81"/>
      <c r="R48" s="81"/>
      <c r="S48" s="81"/>
      <c r="T48" s="81"/>
      <c r="U48" s="81"/>
      <c r="V48" s="81"/>
      <c r="W48" s="81"/>
      <c r="X48" s="81"/>
    </row>
    <row r="49" spans="2:24" s="82" customFormat="1" ht="11.25" x14ac:dyDescent="0.2">
      <c r="B49" s="24" t="s">
        <v>138</v>
      </c>
      <c r="C49" s="37"/>
      <c r="D49" s="279">
        <v>6839.9788391600996</v>
      </c>
      <c r="E49" s="121"/>
      <c r="F49" s="619">
        <v>6476.0352490433997</v>
      </c>
      <c r="G49" s="619">
        <v>4.8034412601999996</v>
      </c>
      <c r="H49" s="121"/>
      <c r="I49" s="619">
        <v>3502.7116583307002</v>
      </c>
      <c r="J49" s="619">
        <v>6.6049611876999998</v>
      </c>
      <c r="K49" s="121"/>
      <c r="L49" s="141" t="s">
        <v>201</v>
      </c>
      <c r="M49" s="142" t="s">
        <v>201</v>
      </c>
      <c r="N49" s="121"/>
      <c r="O49" s="619">
        <v>1440.8979838974999</v>
      </c>
      <c r="P49" s="81"/>
      <c r="Q49" s="81"/>
      <c r="R49" s="81"/>
      <c r="S49" s="81"/>
      <c r="T49" s="81"/>
      <c r="U49" s="81"/>
      <c r="V49" s="81"/>
      <c r="W49" s="81"/>
      <c r="X49" s="81"/>
    </row>
    <row r="50" spans="2:24" s="82" customFormat="1" ht="6" customHeight="1" x14ac:dyDescent="0.2">
      <c r="B50" s="11"/>
      <c r="C50" s="38"/>
      <c r="D50" s="1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81"/>
      <c r="Q50" s="81"/>
      <c r="R50" s="81"/>
      <c r="S50" s="81"/>
      <c r="T50" s="81"/>
      <c r="U50" s="81"/>
      <c r="V50" s="81"/>
      <c r="W50" s="81"/>
      <c r="X50" s="81"/>
    </row>
    <row r="51" spans="2:24" ht="6" customHeight="1" x14ac:dyDescent="0.2">
      <c r="B51" s="23"/>
      <c r="C51" s="4"/>
      <c r="D51" s="4"/>
      <c r="E51" s="37"/>
      <c r="F51" s="33"/>
      <c r="G51" s="33"/>
      <c r="H51" s="33"/>
      <c r="I51" s="33"/>
      <c r="J51" s="33"/>
      <c r="K51" s="33"/>
      <c r="L51" s="33"/>
      <c r="M51" s="33"/>
      <c r="N51" s="2"/>
      <c r="O51" s="2"/>
      <c r="P51" s="1"/>
      <c r="Q51" s="1"/>
      <c r="R51" s="1"/>
      <c r="S51" s="1"/>
      <c r="T51" s="1"/>
      <c r="U51" s="1"/>
      <c r="V51" s="1"/>
      <c r="W51" s="1"/>
      <c r="X51" s="1"/>
    </row>
    <row r="52" spans="2:24" x14ac:dyDescent="0.2">
      <c r="B52" s="23" t="s">
        <v>139</v>
      </c>
      <c r="C52" s="4"/>
      <c r="D52" s="4"/>
      <c r="E52" s="37"/>
      <c r="F52" s="33"/>
      <c r="G52" s="33"/>
      <c r="H52" s="33"/>
      <c r="I52" s="33"/>
      <c r="J52" s="33"/>
      <c r="K52" s="33"/>
      <c r="L52" s="33"/>
      <c r="M52" s="33"/>
      <c r="N52" s="2"/>
      <c r="O52" s="2"/>
      <c r="P52" s="1"/>
      <c r="Q52" s="1"/>
      <c r="R52" s="1"/>
      <c r="S52" s="1"/>
      <c r="T52" s="1"/>
      <c r="U52" s="1"/>
      <c r="V52" s="1"/>
      <c r="W52" s="1"/>
      <c r="X52" s="1"/>
    </row>
    <row r="53" spans="2:24" x14ac:dyDescent="0.2">
      <c r="B53" s="23" t="s">
        <v>143</v>
      </c>
      <c r="C53" s="4"/>
      <c r="D53" s="4"/>
      <c r="E53" s="37"/>
      <c r="F53" s="33"/>
      <c r="G53" s="33"/>
      <c r="H53" s="33"/>
      <c r="I53" s="33"/>
      <c r="J53" s="33"/>
      <c r="K53" s="33"/>
      <c r="L53" s="33"/>
      <c r="M53" s="33"/>
      <c r="N53" s="2"/>
      <c r="O53" s="2"/>
      <c r="P53" s="1"/>
      <c r="Q53" s="1"/>
      <c r="R53" s="1"/>
      <c r="S53" s="1"/>
      <c r="T53" s="1"/>
      <c r="U53" s="1"/>
      <c r="V53" s="1"/>
      <c r="W53" s="1"/>
      <c r="X53" s="1"/>
    </row>
    <row r="54" spans="2:24" x14ac:dyDescent="0.2">
      <c r="B54" s="23" t="s">
        <v>141</v>
      </c>
      <c r="C54" s="4"/>
      <c r="D54" s="4"/>
      <c r="E54" s="37"/>
      <c r="F54" s="33"/>
      <c r="G54" s="33"/>
      <c r="H54" s="33"/>
      <c r="I54" s="33"/>
      <c r="J54" s="33"/>
      <c r="K54" s="33"/>
      <c r="L54" s="33"/>
      <c r="M54" s="33"/>
      <c r="N54" s="2"/>
      <c r="O54" s="2"/>
      <c r="P54" s="1"/>
      <c r="Q54" s="1"/>
      <c r="R54" s="1"/>
      <c r="S54" s="1"/>
      <c r="T54" s="1"/>
      <c r="U54" s="1"/>
      <c r="V54" s="1"/>
      <c r="W54" s="1"/>
      <c r="X54" s="1"/>
    </row>
    <row r="55" spans="2:24" x14ac:dyDescent="0.2">
      <c r="B55" s="23" t="s">
        <v>142</v>
      </c>
      <c r="C55" s="4"/>
      <c r="D55" s="4"/>
      <c r="E55" s="37"/>
      <c r="F55" s="33"/>
      <c r="G55" s="33"/>
      <c r="H55" s="33"/>
      <c r="I55" s="33"/>
      <c r="J55" s="33"/>
      <c r="K55" s="33"/>
      <c r="L55" s="33"/>
      <c r="M55" s="33"/>
      <c r="N55" s="2"/>
      <c r="O55" s="2"/>
      <c r="P55" s="1"/>
      <c r="Q55" s="1"/>
      <c r="R55" s="1"/>
      <c r="S55" s="1"/>
      <c r="T55" s="1"/>
      <c r="U55" s="1"/>
      <c r="V55" s="1"/>
      <c r="W55" s="1"/>
      <c r="X55" s="1"/>
    </row>
    <row r="56" spans="2:24" s="13" customFormat="1" ht="14.25" x14ac:dyDescent="0.2">
      <c r="B56" s="109" t="s">
        <v>57</v>
      </c>
    </row>
    <row r="57" spans="2:24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1"/>
      <c r="Q57" s="1"/>
      <c r="R57" s="1"/>
      <c r="S57" s="1"/>
      <c r="T57" s="1"/>
      <c r="U57" s="1"/>
      <c r="V57" s="1"/>
      <c r="W57" s="1"/>
      <c r="X57" s="1"/>
    </row>
    <row r="58" spans="2:24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1"/>
      <c r="Q58" s="1"/>
      <c r="R58" s="1"/>
      <c r="S58" s="1"/>
      <c r="T58" s="1"/>
      <c r="U58" s="1"/>
      <c r="V58" s="1"/>
      <c r="W58" s="1"/>
      <c r="X58" s="1"/>
    </row>
    <row r="59" spans="2:24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1"/>
      <c r="Q59" s="1"/>
      <c r="R59" s="1"/>
      <c r="S59" s="1"/>
      <c r="T59" s="1"/>
      <c r="U59" s="1"/>
      <c r="V59" s="1"/>
      <c r="W59" s="1"/>
      <c r="X59" s="1"/>
    </row>
    <row r="60" spans="2:24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1"/>
      <c r="Q60" s="1"/>
      <c r="R60" s="1"/>
      <c r="S60" s="1"/>
      <c r="T60" s="1"/>
      <c r="U60" s="1"/>
      <c r="V60" s="1"/>
      <c r="W60" s="1"/>
      <c r="X60" s="1"/>
    </row>
    <row r="61" spans="2:24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1"/>
      <c r="Q61" s="1"/>
      <c r="R61" s="1"/>
      <c r="S61" s="1"/>
      <c r="T61" s="1"/>
      <c r="U61" s="1"/>
      <c r="V61" s="1"/>
      <c r="W61" s="1"/>
      <c r="X61" s="1"/>
    </row>
    <row r="62" spans="2:24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1"/>
      <c r="Q62" s="1"/>
      <c r="R62" s="1"/>
      <c r="S62" s="1"/>
      <c r="T62" s="1"/>
      <c r="U62" s="1"/>
      <c r="V62" s="1"/>
      <c r="W62" s="1"/>
      <c r="X62" s="1"/>
    </row>
    <row r="63" spans="2:24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1"/>
      <c r="Q63" s="1"/>
      <c r="R63" s="1"/>
      <c r="S63" s="1"/>
      <c r="T63" s="1"/>
      <c r="U63" s="1"/>
      <c r="V63" s="1"/>
      <c r="W63" s="1"/>
      <c r="X63" s="1"/>
    </row>
    <row r="64" spans="2:24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1"/>
      <c r="Q64" s="1"/>
      <c r="R64" s="1"/>
      <c r="S64" s="1"/>
      <c r="T64" s="1"/>
      <c r="U64" s="1"/>
      <c r="V64" s="1"/>
      <c r="W64" s="1"/>
      <c r="X64" s="1"/>
    </row>
    <row r="65" spans="2:24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1"/>
      <c r="Q65" s="1"/>
      <c r="R65" s="1"/>
      <c r="S65" s="1"/>
      <c r="T65" s="1"/>
      <c r="U65" s="1"/>
      <c r="V65" s="1"/>
      <c r="W65" s="1"/>
      <c r="X65" s="1"/>
    </row>
    <row r="66" spans="2:24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1"/>
      <c r="Q66" s="1"/>
      <c r="R66" s="1"/>
      <c r="S66" s="1"/>
      <c r="T66" s="1"/>
      <c r="U66" s="1"/>
      <c r="V66" s="1"/>
      <c r="W66" s="1"/>
      <c r="X66" s="1"/>
    </row>
    <row r="67" spans="2:24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1"/>
      <c r="Q67" s="1"/>
      <c r="R67" s="1"/>
      <c r="S67" s="1"/>
      <c r="T67" s="1"/>
      <c r="U67" s="1"/>
      <c r="V67" s="1"/>
      <c r="W67" s="1"/>
      <c r="X67" s="1"/>
    </row>
    <row r="68" spans="2:24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1"/>
      <c r="Q68" s="1"/>
      <c r="R68" s="1"/>
      <c r="S68" s="1"/>
      <c r="T68" s="1"/>
      <c r="U68" s="1"/>
      <c r="V68" s="1"/>
      <c r="W68" s="1"/>
      <c r="X68" s="1"/>
    </row>
    <row r="69" spans="2:24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1"/>
      <c r="Q69" s="1"/>
      <c r="R69" s="1"/>
      <c r="S69" s="1"/>
      <c r="T69" s="1"/>
      <c r="U69" s="1"/>
      <c r="V69" s="1"/>
      <c r="W69" s="1"/>
      <c r="X69" s="1"/>
    </row>
    <row r="70" spans="2:24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1"/>
      <c r="Q70" s="1"/>
      <c r="R70" s="1"/>
      <c r="S70" s="1"/>
      <c r="T70" s="1"/>
      <c r="U70" s="1"/>
      <c r="V70" s="1"/>
      <c r="W70" s="1"/>
      <c r="X70" s="1"/>
    </row>
    <row r="71" spans="2:24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1"/>
      <c r="Q71" s="1"/>
      <c r="R71" s="1"/>
      <c r="S71" s="1"/>
      <c r="T71" s="1"/>
      <c r="U71" s="1"/>
      <c r="V71" s="1"/>
      <c r="W71" s="1"/>
      <c r="X71" s="1"/>
    </row>
    <row r="72" spans="2:24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1"/>
      <c r="Q72" s="1"/>
      <c r="R72" s="1"/>
      <c r="S72" s="1"/>
      <c r="T72" s="1"/>
      <c r="U72" s="1"/>
      <c r="V72" s="1"/>
      <c r="W72" s="1"/>
      <c r="X72" s="1"/>
    </row>
    <row r="73" spans="2:24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1"/>
      <c r="Q73" s="1"/>
      <c r="R73" s="1"/>
      <c r="S73" s="1"/>
      <c r="T73" s="1"/>
      <c r="U73" s="1"/>
      <c r="V73" s="1"/>
      <c r="W73" s="1"/>
      <c r="X73" s="1"/>
    </row>
    <row r="74" spans="2:24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1"/>
      <c r="Q74" s="1"/>
      <c r="R74" s="1"/>
      <c r="S74" s="1"/>
      <c r="T74" s="1"/>
      <c r="U74" s="1"/>
      <c r="V74" s="1"/>
      <c r="W74" s="1"/>
      <c r="X74" s="1"/>
    </row>
    <row r="75" spans="2:24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1"/>
      <c r="Q75" s="1"/>
      <c r="R75" s="1"/>
      <c r="S75" s="1"/>
      <c r="T75" s="1"/>
      <c r="U75" s="1"/>
      <c r="V75" s="1"/>
      <c r="W75" s="1"/>
      <c r="X75" s="1"/>
    </row>
    <row r="76" spans="2:24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1"/>
      <c r="Q76" s="1"/>
      <c r="R76" s="1"/>
      <c r="S76" s="1"/>
      <c r="T76" s="1"/>
      <c r="U76" s="1"/>
      <c r="V76" s="1"/>
      <c r="W76" s="1"/>
      <c r="X76" s="1"/>
    </row>
    <row r="77" spans="2:24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1"/>
      <c r="Q77" s="1"/>
      <c r="R77" s="1"/>
      <c r="S77" s="1"/>
      <c r="T77" s="1"/>
      <c r="U77" s="1"/>
      <c r="V77" s="1"/>
      <c r="W77" s="1"/>
      <c r="X77" s="1"/>
    </row>
    <row r="78" spans="2:24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1"/>
      <c r="Q78" s="1"/>
      <c r="R78" s="1"/>
      <c r="S78" s="1"/>
      <c r="T78" s="1"/>
      <c r="U78" s="1"/>
      <c r="V78" s="1"/>
      <c r="W78" s="1"/>
      <c r="X78" s="1"/>
    </row>
    <row r="79" spans="2:24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1"/>
      <c r="Q79" s="1"/>
      <c r="R79" s="1"/>
      <c r="S79" s="1"/>
      <c r="T79" s="1"/>
      <c r="U79" s="1"/>
      <c r="V79" s="1"/>
      <c r="W79" s="1"/>
      <c r="X79" s="1"/>
    </row>
    <row r="80" spans="2:24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1"/>
      <c r="Q80" s="1"/>
      <c r="R80" s="1"/>
      <c r="S80" s="1"/>
      <c r="T80" s="1"/>
      <c r="U80" s="1"/>
      <c r="V80" s="1"/>
      <c r="W80" s="1"/>
      <c r="X80" s="1"/>
    </row>
    <row r="81" spans="2:24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1"/>
      <c r="Q81" s="1"/>
      <c r="R81" s="1"/>
      <c r="S81" s="1"/>
      <c r="T81" s="1"/>
      <c r="U81" s="1"/>
      <c r="V81" s="1"/>
      <c r="W81" s="1"/>
      <c r="X81" s="1"/>
    </row>
    <row r="82" spans="2:24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1"/>
      <c r="Q82" s="1"/>
      <c r="R82" s="1"/>
      <c r="S82" s="1"/>
      <c r="T82" s="1"/>
      <c r="U82" s="1"/>
      <c r="V82" s="1"/>
      <c r="W82" s="1"/>
      <c r="X82" s="1"/>
    </row>
    <row r="83" spans="2:24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1"/>
      <c r="Q83" s="1"/>
      <c r="R83" s="1"/>
      <c r="S83" s="1"/>
      <c r="T83" s="1"/>
      <c r="U83" s="1"/>
      <c r="V83" s="1"/>
      <c r="W83" s="1"/>
      <c r="X83" s="1"/>
    </row>
    <row r="84" spans="2:24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1"/>
      <c r="Q84" s="1"/>
      <c r="R84" s="1"/>
      <c r="S84" s="1"/>
      <c r="T84" s="1"/>
      <c r="U84" s="1"/>
      <c r="V84" s="1"/>
      <c r="W84" s="1"/>
      <c r="X84" s="1"/>
    </row>
    <row r="85" spans="2:24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1"/>
      <c r="Q85" s="1"/>
      <c r="R85" s="1"/>
      <c r="S85" s="1"/>
      <c r="T85" s="1"/>
      <c r="U85" s="1"/>
      <c r="V85" s="1"/>
      <c r="W85" s="1"/>
      <c r="X85" s="1"/>
    </row>
    <row r="86" spans="2:24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1"/>
      <c r="Q86" s="1"/>
      <c r="R86" s="1"/>
      <c r="S86" s="1"/>
      <c r="T86" s="1"/>
      <c r="U86" s="1"/>
      <c r="V86" s="1"/>
      <c r="W86" s="1"/>
      <c r="X86" s="1"/>
    </row>
    <row r="87" spans="2:24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1"/>
      <c r="Q87" s="1"/>
      <c r="R87" s="1"/>
      <c r="S87" s="1"/>
      <c r="T87" s="1"/>
      <c r="U87" s="1"/>
      <c r="V87" s="1"/>
      <c r="W87" s="1"/>
      <c r="X87" s="1"/>
    </row>
    <row r="88" spans="2:24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1"/>
      <c r="Q88" s="1"/>
      <c r="R88" s="1"/>
      <c r="S88" s="1"/>
      <c r="T88" s="1"/>
      <c r="U88" s="1"/>
      <c r="V88" s="1"/>
      <c r="W88" s="1"/>
      <c r="X88" s="1"/>
    </row>
    <row r="89" spans="2:24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1"/>
      <c r="Q89" s="1"/>
      <c r="R89" s="1"/>
      <c r="S89" s="1"/>
      <c r="T89" s="1"/>
      <c r="U89" s="1"/>
      <c r="V89" s="1"/>
      <c r="W89" s="1"/>
      <c r="X89" s="1"/>
    </row>
    <row r="90" spans="2:24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1"/>
      <c r="Q90" s="1"/>
      <c r="R90" s="1"/>
      <c r="S90" s="1"/>
      <c r="T90" s="1"/>
      <c r="U90" s="1"/>
      <c r="V90" s="1"/>
      <c r="W90" s="1"/>
      <c r="X90" s="1"/>
    </row>
    <row r="91" spans="2:24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1"/>
      <c r="Q91" s="1"/>
      <c r="R91" s="1"/>
      <c r="S91" s="1"/>
      <c r="T91" s="1"/>
      <c r="U91" s="1"/>
      <c r="V91" s="1"/>
      <c r="W91" s="1"/>
      <c r="X91" s="1"/>
    </row>
    <row r="92" spans="2:24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1"/>
      <c r="Q92" s="1"/>
      <c r="R92" s="1"/>
      <c r="S92" s="1"/>
      <c r="T92" s="1"/>
      <c r="U92" s="1"/>
      <c r="V92" s="1"/>
      <c r="W92" s="1"/>
      <c r="X92" s="1"/>
    </row>
    <row r="93" spans="2:24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1"/>
      <c r="Q93" s="1"/>
      <c r="R93" s="1"/>
      <c r="S93" s="1"/>
      <c r="T93" s="1"/>
      <c r="U93" s="1"/>
      <c r="V93" s="1"/>
      <c r="W93" s="1"/>
      <c r="X93" s="1"/>
    </row>
    <row r="94" spans="2:24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1"/>
      <c r="Q94" s="1"/>
      <c r="R94" s="1"/>
      <c r="S94" s="1"/>
      <c r="T94" s="1"/>
      <c r="U94" s="1"/>
      <c r="V94" s="1"/>
      <c r="W94" s="1"/>
      <c r="X94" s="1"/>
    </row>
    <row r="95" spans="2:24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1"/>
      <c r="Q95" s="1"/>
      <c r="R95" s="1"/>
      <c r="S95" s="1"/>
      <c r="T95" s="1"/>
      <c r="U95" s="1"/>
      <c r="V95" s="1"/>
      <c r="W95" s="1"/>
      <c r="X95" s="1"/>
    </row>
    <row r="96" spans="2:24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1"/>
      <c r="Q96" s="1"/>
      <c r="R96" s="1"/>
      <c r="S96" s="1"/>
      <c r="T96" s="1"/>
      <c r="U96" s="1"/>
      <c r="V96" s="1"/>
      <c r="W96" s="1"/>
      <c r="X96" s="1"/>
    </row>
    <row r="97" spans="2:24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1"/>
      <c r="Q97" s="1"/>
      <c r="R97" s="1"/>
      <c r="S97" s="1"/>
      <c r="T97" s="1"/>
      <c r="U97" s="1"/>
      <c r="V97" s="1"/>
      <c r="W97" s="1"/>
      <c r="X97" s="1"/>
    </row>
    <row r="98" spans="2:24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2:24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2:24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2:24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2:24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2:24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2:24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2:24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2:24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2:24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2:24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2:24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2:24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2:24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2:24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2:24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2:24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2:24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2:24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2:24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2:24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2:24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2:24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2:24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2:24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2:24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2:24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2:24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2:24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2:24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2:24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2:24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2:24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2:24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2:24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2:24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2:24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2:24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2:24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2:24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2:24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2:24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2:24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2:24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2:24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2:24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2:24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2:24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2:24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2:24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2:24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2:24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2:24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2:24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2:24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2:24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2:24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2:24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2:24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2:24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2:24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2:24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2:24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2:24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2:24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2:24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2:24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2:24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2:24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2:24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2:24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2:24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2:24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2:24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2:24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2:24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2:24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2:24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2:24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2:24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2:24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2:24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2:24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2:24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2:24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2:24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2:24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2:24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2:24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2:24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2:24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2:24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2:24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2:24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2:24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2:24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2:24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2:24" x14ac:dyDescent="0.2"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2:24" x14ac:dyDescent="0.2"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2:24" x14ac:dyDescent="0.2"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2:24" x14ac:dyDescent="0.2"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2:24" x14ac:dyDescent="0.2"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2:24" x14ac:dyDescent="0.2"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2:24" x14ac:dyDescent="0.2"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2:24" x14ac:dyDescent="0.2"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2:24" x14ac:dyDescent="0.2"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2:24" x14ac:dyDescent="0.2"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2:24" x14ac:dyDescent="0.2"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2:24" x14ac:dyDescent="0.2"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2:24" x14ac:dyDescent="0.2"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2:24" x14ac:dyDescent="0.2"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4:24" x14ac:dyDescent="0.2"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4:24" x14ac:dyDescent="0.2"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4:24" x14ac:dyDescent="0.2"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4:24" x14ac:dyDescent="0.2"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4:24" x14ac:dyDescent="0.2"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4:24" x14ac:dyDescent="0.2"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4:24" x14ac:dyDescent="0.2"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4:24" x14ac:dyDescent="0.2"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4:24" x14ac:dyDescent="0.2"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4:24" x14ac:dyDescent="0.2"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4:24" x14ac:dyDescent="0.2"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4:24" x14ac:dyDescent="0.2"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4:24" x14ac:dyDescent="0.2"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4:24" x14ac:dyDescent="0.2"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4:24" x14ac:dyDescent="0.2"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4:24" x14ac:dyDescent="0.2"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4:24" x14ac:dyDescent="0.2"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4:24" x14ac:dyDescent="0.2"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4:24" x14ac:dyDescent="0.2"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4:24" x14ac:dyDescent="0.2"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4:24" x14ac:dyDescent="0.2"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4:24" x14ac:dyDescent="0.2"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4:24" x14ac:dyDescent="0.2"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4:24" x14ac:dyDescent="0.2"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4:24" x14ac:dyDescent="0.2"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4:24" x14ac:dyDescent="0.2"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4:24" x14ac:dyDescent="0.2"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4:24" x14ac:dyDescent="0.2"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4:24" x14ac:dyDescent="0.2"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4:24" x14ac:dyDescent="0.2"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</sheetData>
  <mergeCells count="8">
    <mergeCell ref="B5:L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35F04172-7D98-429B-9A9E-2E3DA74E2351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31A0-F91C-46F0-ADE2-A245B3F17C5C}">
  <dimension ref="A1:S23"/>
  <sheetViews>
    <sheetView showGridLines="0" zoomScaleNormal="100" workbookViewId="0"/>
  </sheetViews>
  <sheetFormatPr baseColWidth="10" defaultColWidth="11.42578125" defaultRowHeight="12.75" x14ac:dyDescent="0.2"/>
  <cols>
    <col min="1" max="1" width="1.7109375" style="21" customWidth="1"/>
    <col min="2" max="2" width="51.5703125" style="21" customWidth="1"/>
    <col min="3" max="3" width="1.7109375" style="21" customWidth="1"/>
    <col min="4" max="4" width="28.7109375" style="21" customWidth="1"/>
    <col min="5" max="5" width="1.7109375" style="21" customWidth="1"/>
    <col min="6" max="7" width="15.7109375" style="21" customWidth="1"/>
    <col min="8" max="8" width="1.7109375" style="21" customWidth="1"/>
    <col min="9" max="10" width="15.7109375" style="21" customWidth="1"/>
    <col min="11" max="11" width="1.7109375" style="21" customWidth="1"/>
    <col min="12" max="13" width="15.7109375" style="21" customWidth="1"/>
    <col min="14" max="14" width="1.7109375" style="21" customWidth="1"/>
    <col min="15" max="16" width="15.7109375" style="21" customWidth="1"/>
    <col min="17" max="16384" width="11.42578125" style="21"/>
  </cols>
  <sheetData>
    <row r="1" spans="1:19" s="48" customFormat="1" ht="12" customHeight="1" x14ac:dyDescent="0.2">
      <c r="B1" s="639" t="s">
        <v>202</v>
      </c>
      <c r="C1" s="49"/>
      <c r="D1" s="49"/>
      <c r="E1" s="49"/>
      <c r="F1" s="50"/>
      <c r="G1" s="50"/>
      <c r="P1" s="72" t="s">
        <v>151</v>
      </c>
    </row>
    <row r="2" spans="1:19" s="48" customFormat="1" ht="6.95" customHeight="1" x14ac:dyDescent="0.2">
      <c r="B2" s="639"/>
      <c r="C2" s="49"/>
      <c r="D2" s="49"/>
      <c r="E2" s="49"/>
      <c r="F2" s="50"/>
      <c r="G2" s="50"/>
    </row>
    <row r="3" spans="1:19" s="48" customFormat="1" x14ac:dyDescent="0.2">
      <c r="B3" s="639" t="s">
        <v>199</v>
      </c>
      <c r="C3" s="638"/>
      <c r="D3" s="638"/>
      <c r="E3" s="638"/>
      <c r="F3" s="638"/>
      <c r="G3" s="638"/>
      <c r="H3" s="638"/>
      <c r="I3" s="638"/>
      <c r="J3" s="638"/>
      <c r="K3" s="638"/>
      <c r="L3" s="638"/>
      <c r="M3" s="638"/>
      <c r="N3" s="638"/>
      <c r="O3" s="638"/>
      <c r="P3" s="638"/>
      <c r="Q3" s="638"/>
      <c r="R3" s="638"/>
      <c r="S3" s="638"/>
    </row>
    <row r="4" spans="1:19" s="48" customFormat="1" ht="6.95" customHeight="1" x14ac:dyDescent="0.2">
      <c r="B4" s="638"/>
      <c r="C4" s="49"/>
      <c r="D4" s="49"/>
      <c r="E4" s="49"/>
      <c r="F4" s="50"/>
      <c r="G4" s="50"/>
    </row>
    <row r="5" spans="1:19" s="48" customFormat="1" ht="25.5" customHeight="1" x14ac:dyDescent="0.2">
      <c r="B5" s="741" t="s">
        <v>160</v>
      </c>
      <c r="C5" s="741"/>
      <c r="D5" s="741"/>
      <c r="E5" s="741"/>
      <c r="F5" s="741"/>
      <c r="G5" s="741"/>
      <c r="H5" s="741"/>
      <c r="I5" s="741"/>
      <c r="J5" s="741"/>
      <c r="K5" s="741"/>
      <c r="L5" s="741"/>
      <c r="M5" s="741"/>
      <c r="N5" s="741"/>
      <c r="O5" s="56"/>
      <c r="P5" s="71" t="s">
        <v>123</v>
      </c>
    </row>
    <row r="6" spans="1:19" ht="6" customHeight="1" x14ac:dyDescent="0.2">
      <c r="B6" s="25"/>
      <c r="C6" s="622"/>
      <c r="D6" s="622"/>
      <c r="E6" s="622"/>
      <c r="F6" s="623"/>
      <c r="G6" s="623"/>
      <c r="H6" s="39"/>
      <c r="I6" s="39"/>
      <c r="J6" s="39"/>
      <c r="K6" s="39"/>
      <c r="L6" s="39"/>
      <c r="M6" s="39"/>
      <c r="N6" s="39"/>
      <c r="O6" s="39"/>
      <c r="P6" s="39"/>
    </row>
    <row r="7" spans="1:19" ht="33.75" customHeight="1" x14ac:dyDescent="0.2">
      <c r="B7" s="734" t="s">
        <v>97</v>
      </c>
      <c r="C7" s="6"/>
      <c r="D7" s="737" t="s">
        <v>194</v>
      </c>
      <c r="E7" s="6"/>
      <c r="F7" s="742" t="s">
        <v>98</v>
      </c>
      <c r="G7" s="742"/>
      <c r="H7" s="40"/>
      <c r="I7" s="40"/>
      <c r="J7" s="744" t="s">
        <v>95</v>
      </c>
      <c r="K7" s="745"/>
      <c r="L7" s="745"/>
      <c r="M7" s="745"/>
      <c r="N7" s="745"/>
      <c r="O7" s="745"/>
      <c r="P7" s="41"/>
    </row>
    <row r="8" spans="1:19" ht="24" customHeight="1" x14ac:dyDescent="0.2">
      <c r="B8" s="735"/>
      <c r="C8" s="4"/>
      <c r="D8" s="738"/>
      <c r="E8" s="4"/>
      <c r="F8" s="743"/>
      <c r="G8" s="743"/>
      <c r="H8" s="39"/>
      <c r="I8" s="745" t="s">
        <v>46</v>
      </c>
      <c r="J8" s="745"/>
      <c r="K8" s="42"/>
      <c r="L8" s="745" t="s">
        <v>47</v>
      </c>
      <c r="M8" s="745"/>
      <c r="N8" s="634"/>
      <c r="O8" s="745" t="s">
        <v>48</v>
      </c>
      <c r="P8" s="745"/>
    </row>
    <row r="9" spans="1:19" ht="29.25" customHeight="1" x14ac:dyDescent="0.2">
      <c r="B9" s="736"/>
      <c r="C9" s="7"/>
      <c r="D9" s="739"/>
      <c r="E9" s="7"/>
      <c r="F9" s="633" t="s">
        <v>187</v>
      </c>
      <c r="G9" s="633" t="s">
        <v>189</v>
      </c>
      <c r="H9" s="74"/>
      <c r="I9" s="633" t="s">
        <v>187</v>
      </c>
      <c r="J9" s="633" t="s">
        <v>188</v>
      </c>
      <c r="K9" s="75"/>
      <c r="L9" s="633" t="s">
        <v>187</v>
      </c>
      <c r="M9" s="633" t="s">
        <v>189</v>
      </c>
      <c r="N9" s="76"/>
      <c r="O9" s="633" t="s">
        <v>187</v>
      </c>
      <c r="P9" s="633" t="s">
        <v>189</v>
      </c>
    </row>
    <row r="10" spans="1:19" ht="6" customHeight="1" x14ac:dyDescent="0.2">
      <c r="B10" s="4"/>
      <c r="C10" s="4"/>
      <c r="D10" s="632"/>
      <c r="E10" s="123"/>
      <c r="F10" s="117"/>
      <c r="G10" s="117"/>
      <c r="H10" s="124"/>
      <c r="I10" s="124"/>
      <c r="J10" s="124"/>
      <c r="K10" s="124"/>
      <c r="L10" s="124"/>
      <c r="M10" s="124"/>
      <c r="N10" s="124"/>
      <c r="O10" s="124"/>
      <c r="P10" s="124"/>
    </row>
    <row r="11" spans="1:19" s="84" customFormat="1" ht="11.25" x14ac:dyDescent="0.2">
      <c r="A11" s="78"/>
      <c r="B11" s="36" t="s">
        <v>35</v>
      </c>
      <c r="C11" s="8"/>
      <c r="D11" s="631">
        <v>21919.499210079699</v>
      </c>
      <c r="E11" s="125"/>
      <c r="F11" s="624">
        <v>1593103225.30428</v>
      </c>
      <c r="G11" s="624">
        <v>3242.2185679270001</v>
      </c>
      <c r="H11" s="126"/>
      <c r="I11" s="630">
        <v>1013674326.08663</v>
      </c>
      <c r="J11" s="624">
        <v>2143.3111238464999</v>
      </c>
      <c r="K11" s="127"/>
      <c r="L11" s="629">
        <v>694224276.82326996</v>
      </c>
      <c r="M11" s="624">
        <v>2390.4870862798002</v>
      </c>
      <c r="N11" s="127"/>
      <c r="O11" s="629">
        <v>54345884.581293002</v>
      </c>
      <c r="P11" s="624">
        <v>12242.787816588199</v>
      </c>
    </row>
    <row r="12" spans="1:19" s="86" customFormat="1" ht="6" customHeight="1" x14ac:dyDescent="0.2">
      <c r="A12" s="22"/>
      <c r="B12" s="43"/>
      <c r="C12" s="8"/>
      <c r="D12" s="125"/>
      <c r="E12" s="125"/>
      <c r="F12" s="85"/>
      <c r="G12" s="108"/>
      <c r="H12" s="128"/>
      <c r="I12" s="128"/>
      <c r="J12" s="108"/>
      <c r="K12" s="129"/>
      <c r="L12" s="129"/>
      <c r="M12" s="108"/>
      <c r="N12" s="129"/>
      <c r="O12" s="129"/>
      <c r="P12" s="108"/>
    </row>
    <row r="13" spans="1:19" s="86" customFormat="1" ht="11.25" x14ac:dyDescent="0.2">
      <c r="A13" s="22"/>
      <c r="B13" s="24" t="s">
        <v>49</v>
      </c>
      <c r="C13" s="44"/>
      <c r="D13" s="625">
        <v>11123.7813737409</v>
      </c>
      <c r="E13" s="129"/>
      <c r="F13" s="626">
        <v>1314615444.4356401</v>
      </c>
      <c r="G13" s="626">
        <v>11721.057947962599</v>
      </c>
      <c r="H13" s="128"/>
      <c r="I13" s="628">
        <v>805180316.36433101</v>
      </c>
      <c r="J13" s="626">
        <v>7186.9987835602997</v>
      </c>
      <c r="K13" s="129"/>
      <c r="L13" s="625">
        <v>576911576.24211502</v>
      </c>
      <c r="M13" s="626">
        <v>6743.7577043126003</v>
      </c>
      <c r="N13" s="129"/>
      <c r="O13" s="625">
        <v>2824250.4368416099</v>
      </c>
      <c r="P13" s="626">
        <v>735.48296336709996</v>
      </c>
    </row>
    <row r="14" spans="1:19" s="86" customFormat="1" ht="11.25" x14ac:dyDescent="0.2">
      <c r="A14" s="22"/>
      <c r="B14" s="24" t="s">
        <v>50</v>
      </c>
      <c r="C14" s="44"/>
      <c r="D14" s="625">
        <v>5501.7028989657001</v>
      </c>
      <c r="E14" s="129"/>
      <c r="F14" s="626">
        <v>386999576.90374202</v>
      </c>
      <c r="G14" s="626">
        <v>8915.6832698528997</v>
      </c>
      <c r="H14" s="128"/>
      <c r="I14" s="628">
        <v>280699835.87542802</v>
      </c>
      <c r="J14" s="626">
        <v>6537.5397723737997</v>
      </c>
      <c r="K14" s="129"/>
      <c r="L14" s="625">
        <v>113528555.732759</v>
      </c>
      <c r="M14" s="626">
        <v>3735.1144208497999</v>
      </c>
      <c r="N14" s="129"/>
      <c r="O14" s="625">
        <v>52009048.543433502</v>
      </c>
      <c r="P14" s="626">
        <v>30333.884880906699</v>
      </c>
    </row>
    <row r="15" spans="1:19" s="86" customFormat="1" ht="11.25" x14ac:dyDescent="0.2">
      <c r="A15" s="22"/>
      <c r="B15" s="24" t="s">
        <v>51</v>
      </c>
      <c r="C15" s="44"/>
      <c r="D15" s="625">
        <v>5313.0803807037</v>
      </c>
      <c r="E15" s="129"/>
      <c r="F15" s="627">
        <v>170569956.10499001</v>
      </c>
      <c r="G15" s="627">
        <v>4776.2028262703998</v>
      </c>
      <c r="H15" s="128"/>
      <c r="I15" s="628">
        <v>121243633.842051</v>
      </c>
      <c r="J15" s="627">
        <v>3393.8556687025998</v>
      </c>
      <c r="K15" s="129"/>
      <c r="L15" s="625">
        <v>62488273.747749098</v>
      </c>
      <c r="M15" s="627">
        <v>2537.3691939762998</v>
      </c>
      <c r="N15" s="129"/>
      <c r="O15" s="625">
        <v>4274344.9790581902</v>
      </c>
      <c r="P15" s="627">
        <v>3888.7716494765</v>
      </c>
    </row>
    <row r="16" spans="1:19" s="86" customFormat="1" ht="11.25" x14ac:dyDescent="0.2">
      <c r="A16" s="22"/>
      <c r="B16" s="24" t="s">
        <v>190</v>
      </c>
      <c r="C16" s="44"/>
      <c r="D16" s="625">
        <v>16057.0464114399</v>
      </c>
      <c r="E16" s="129"/>
      <c r="F16" s="627">
        <v>404283912.58017302</v>
      </c>
      <c r="G16" s="627">
        <v>1330.3927388831</v>
      </c>
      <c r="H16" s="128"/>
      <c r="I16" s="628">
        <v>249684061.04178399</v>
      </c>
      <c r="J16" s="627">
        <v>855.41956753650004</v>
      </c>
      <c r="K16" s="129"/>
      <c r="L16" s="625">
        <v>201062192.06764999</v>
      </c>
      <c r="M16" s="627">
        <v>1326.8253673749</v>
      </c>
      <c r="N16" s="129"/>
      <c r="O16" s="143" t="s">
        <v>201</v>
      </c>
      <c r="P16" s="144" t="s">
        <v>201</v>
      </c>
    </row>
    <row r="17" spans="1:16" s="86" customFormat="1" ht="11.25" x14ac:dyDescent="0.2">
      <c r="A17" s="22"/>
      <c r="B17" s="24" t="s">
        <v>191</v>
      </c>
      <c r="C17" s="44"/>
      <c r="D17" s="625">
        <v>8510.1922124184002</v>
      </c>
      <c r="E17" s="129"/>
      <c r="F17" s="627">
        <v>429627933.31522697</v>
      </c>
      <c r="G17" s="627">
        <v>5882.5196179372997</v>
      </c>
      <c r="H17" s="128"/>
      <c r="I17" s="628">
        <v>347966424.25825697</v>
      </c>
      <c r="J17" s="627">
        <v>5318.8708666474004</v>
      </c>
      <c r="K17" s="129"/>
      <c r="L17" s="625">
        <v>145842768.70669201</v>
      </c>
      <c r="M17" s="627">
        <v>2988.2929473868999</v>
      </c>
      <c r="N17" s="129"/>
      <c r="O17" s="143" t="s">
        <v>201</v>
      </c>
      <c r="P17" s="144" t="s">
        <v>201</v>
      </c>
    </row>
    <row r="18" spans="1:16" ht="6" customHeight="1" x14ac:dyDescent="0.2">
      <c r="B18" s="11"/>
      <c r="C18" s="45"/>
      <c r="D18" s="130"/>
      <c r="E18" s="130"/>
      <c r="F18" s="12"/>
      <c r="G18" s="12"/>
      <c r="H18" s="74"/>
      <c r="I18" s="74"/>
      <c r="J18" s="74"/>
      <c r="K18" s="74"/>
      <c r="L18" s="74"/>
      <c r="M18" s="74"/>
      <c r="N18" s="74"/>
      <c r="O18" s="74"/>
      <c r="P18" s="74"/>
    </row>
    <row r="19" spans="1:16" ht="6" customHeight="1" x14ac:dyDescent="0.2">
      <c r="B19" s="23"/>
      <c r="C19" s="4"/>
      <c r="D19" s="4"/>
      <c r="E19" s="4"/>
      <c r="F19" s="4"/>
      <c r="G19" s="4"/>
      <c r="H19" s="44"/>
      <c r="I19" s="44"/>
      <c r="J19" s="39"/>
      <c r="K19" s="39"/>
      <c r="L19" s="39"/>
      <c r="M19" s="39"/>
      <c r="N19" s="39"/>
      <c r="O19" s="39"/>
      <c r="P19" s="39"/>
    </row>
    <row r="20" spans="1:16" ht="12.75" customHeight="1" x14ac:dyDescent="0.2">
      <c r="B20" s="23" t="s">
        <v>195</v>
      </c>
      <c r="C20" s="4"/>
      <c r="D20" s="4"/>
      <c r="E20" s="4"/>
      <c r="F20" s="4"/>
      <c r="G20" s="4"/>
      <c r="H20" s="44"/>
      <c r="I20" s="44"/>
      <c r="J20" s="39"/>
      <c r="K20" s="39"/>
      <c r="L20" s="39"/>
      <c r="M20" s="39"/>
      <c r="N20" s="39"/>
      <c r="O20" s="39"/>
      <c r="P20" s="39"/>
    </row>
    <row r="21" spans="1:16" x14ac:dyDescent="0.2">
      <c r="B21" s="23" t="s">
        <v>193</v>
      </c>
      <c r="C21" s="4"/>
      <c r="D21" s="4"/>
      <c r="E21" s="4"/>
      <c r="F21" s="4"/>
      <c r="G21" s="4"/>
      <c r="H21" s="44"/>
      <c r="I21" s="44"/>
      <c r="J21" s="39"/>
      <c r="K21" s="39"/>
      <c r="L21" s="39"/>
      <c r="M21" s="39"/>
      <c r="N21" s="39"/>
      <c r="O21" s="39"/>
      <c r="P21" s="39"/>
    </row>
    <row r="22" spans="1:16" x14ac:dyDescent="0.2">
      <c r="B22" s="23" t="s">
        <v>141</v>
      </c>
      <c r="C22" s="4"/>
      <c r="D22" s="4"/>
      <c r="E22" s="4"/>
      <c r="F22" s="4"/>
      <c r="G22" s="4"/>
      <c r="H22" s="44"/>
      <c r="I22" s="44"/>
      <c r="J22" s="39"/>
      <c r="K22" s="39"/>
      <c r="L22" s="39"/>
      <c r="M22" s="39"/>
      <c r="N22" s="39"/>
      <c r="O22" s="39"/>
      <c r="P22" s="39"/>
    </row>
    <row r="23" spans="1:16" s="13" customFormat="1" ht="14.25" x14ac:dyDescent="0.2">
      <c r="B23" s="146" t="s">
        <v>181</v>
      </c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</row>
  </sheetData>
  <mergeCells count="8">
    <mergeCell ref="B5:N5"/>
    <mergeCell ref="B7:B9"/>
    <mergeCell ref="D7:D9"/>
    <mergeCell ref="F7:G8"/>
    <mergeCell ref="J7:O7"/>
    <mergeCell ref="I8:J8"/>
    <mergeCell ref="L8:M8"/>
    <mergeCell ref="O8:P8"/>
  </mergeCells>
  <hyperlinks>
    <hyperlink ref="P1" location="Índice!A1" tooltip="Ir a ÍNDICE" display="INDICE" xr:uid="{98A6BD63-05B0-4042-A9C2-49C3A0732C16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6C7400-BE4E-4BDA-9D0A-214196E368C1}">
  <ds:schemaRefs>
    <ds:schemaRef ds:uri="http://purl.org/dc/elements/1.1/"/>
    <ds:schemaRef ds:uri="http://www.w3.org/XML/1998/namespace"/>
    <ds:schemaRef ds:uri="http://schemas.microsoft.com/office/infopath/2007/PartnerControls"/>
    <ds:schemaRef ds:uri="e829ce69-67eb-47dd-9407-4f8adfa19fc2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D6752EE-580E-4709-953B-8888C83818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04E1E3-D17F-4181-AB23-0580709AA5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Índice</vt:lpstr>
      <vt:lpstr>Cuadro 4.1</vt:lpstr>
      <vt:lpstr>Cuadro 4.2</vt:lpstr>
      <vt:lpstr>Cuadro 4.3</vt:lpstr>
      <vt:lpstr>Cuadro 4.4</vt:lpstr>
      <vt:lpstr>Cuadro 4.5</vt:lpstr>
      <vt:lpstr>Cuadro 4.6</vt:lpstr>
      <vt:lpstr>Cuadro 4.7</vt:lpstr>
      <vt:lpstr>Cuadro 4.8</vt:lpstr>
      <vt:lpstr>Cuadro 4.9</vt:lpstr>
      <vt:lpstr>Cuadro 4.10</vt:lpstr>
      <vt:lpstr>Cuadro 4.11</vt:lpstr>
      <vt:lpstr>Cuadro 4.12</vt:lpstr>
      <vt:lpstr>Cuadro 4.13</vt:lpstr>
      <vt:lpstr>Cuadro 4.14</vt:lpstr>
      <vt:lpstr>Cuadro 4.15</vt:lpstr>
      <vt:lpstr>Cuadro 4.16</vt:lpstr>
      <vt:lpstr>Cuadro 4.17</vt:lpstr>
      <vt:lpstr>Cuadro 4.18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2020-10-22T17:47:01Z</dcterms:created>
  <dcterms:modified xsi:type="dcterms:W3CDTF">2021-08-19T15:55:12Z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