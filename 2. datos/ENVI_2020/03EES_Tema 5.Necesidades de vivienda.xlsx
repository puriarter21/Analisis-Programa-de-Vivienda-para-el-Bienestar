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4F5002B7-88F7-48FE-9016-1D83E3A90DB7}" xr6:coauthVersionLast="47" xr6:coauthVersionMax="47" xr10:uidLastSave="{00000000-0000-0000-0000-000000000000}"/>
  <bookViews>
    <workbookView xWindow="20370" yWindow="-120" windowWidth="29040" windowHeight="15840" tabRatio="836" xr2:uid="{00000000-000D-0000-FFFF-FFFF00000000}"/>
  </bookViews>
  <sheets>
    <sheet name="Índice" sheetId="16" r:id="rId1"/>
    <sheet name="Cuadro 5.1" sheetId="2" r:id="rId2"/>
    <sheet name="Cuadro 5.2" sheetId="42" r:id="rId3"/>
    <sheet name="Cuadro 5.3" sheetId="44" r:id="rId4"/>
    <sheet name="Cuadro 5.4" sheetId="46" r:id="rId5"/>
    <sheet name="Cuadro 5.5" sheetId="48" r:id="rId6"/>
    <sheet name="Cuadro 5.6" sheetId="50" r:id="rId7"/>
    <sheet name="Cuadro 5.7" sheetId="52" r:id="rId8"/>
    <sheet name="Cuadro 5.8" sheetId="53" r:id="rId9"/>
    <sheet name="Cuadro 5.9" sheetId="54" r:id="rId10"/>
    <sheet name="Cuadro 5.10" sheetId="55" r:id="rId11"/>
  </sheets>
  <externalReferences>
    <externalReference r:id="rId12"/>
  </externalReferences>
  <definedNames>
    <definedName name="\p">#N/A</definedName>
    <definedName name="\s">#N/A</definedName>
    <definedName name="_xlnm._FilterDatabase" localSheetId="1" hidden="1">'Cuadro 5.1'!$D$11:$J$45</definedName>
    <definedName name="_xlnm._FilterDatabase" localSheetId="10" hidden="1">'Cuadro 5.10'!$D$11:$L$44</definedName>
    <definedName name="_xlnm._FilterDatabase" localSheetId="2" hidden="1">'Cuadro 5.2'!$D$11:$L$45</definedName>
    <definedName name="_xlnm._FilterDatabase" localSheetId="4" hidden="1">'Cuadro 5.4'!$D$11:$L$45</definedName>
    <definedName name="_xlnm._FilterDatabase" localSheetId="6" hidden="1">'Cuadro 5.6'!$D$11:$O$45</definedName>
    <definedName name="_xlnm._FilterDatabase" localSheetId="7" hidden="1">'Cuadro 5.7'!$D$11:$I$45</definedName>
    <definedName name="_xlnm._FilterDatabase" localSheetId="8" hidden="1">'Cuadro 5.8'!$D$11:$L$45</definedName>
    <definedName name="_xlnm._FilterDatabase" localSheetId="9" hidden="1">'Cuadro 5.9'!$D$11:$L$45</definedName>
    <definedName name="A_impresión_IM" localSheetId="10">#REF!</definedName>
    <definedName name="A_impresión_IM" localSheetId="2">#REF!</definedName>
    <definedName name="A_impresión_IM" localSheetId="4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0">#REF!</definedName>
    <definedName name="paso" localSheetId="2">#REF!</definedName>
    <definedName name="paso" localSheetId="4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0">#REF!</definedName>
    <definedName name="prueba" localSheetId="2">#REF!</definedName>
    <definedName name="prueba" localSheetId="4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6" l="1"/>
</calcChain>
</file>

<file path=xl/sharedStrings.xml><?xml version="1.0" encoding="utf-8"?>
<sst xmlns="http://schemas.openxmlformats.org/spreadsheetml/2006/main" count="546" uniqueCount="130">
  <si>
    <t>Hogares por entidad federativa, según condición de tener necesidad de rentar, comprar o construir una vivienda independiente de la que habitan</t>
  </si>
  <si>
    <t>Entidad federativa</t>
  </si>
  <si>
    <t>Total de hogares</t>
  </si>
  <si>
    <t>Sí</t>
  </si>
  <si>
    <t>No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</si>
  <si>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</si>
  <si>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</si>
  <si>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</si>
  <si>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</si>
  <si>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</si>
  <si>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</si>
  <si>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</si>
  <si>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</si>
  <si>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</si>
  <si>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</si>
  <si>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</si>
  <si>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</si>
  <si>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</si>
  <si>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</si>
  <si>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</si>
  <si>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</si>
  <si>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</si>
  <si>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</si>
  <si>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</si>
  <si>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</si>
  <si>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</si>
  <si>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</si>
  <si>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</si>
  <si>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</si>
  <si>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</si>
  <si>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</si>
  <si>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</si>
  <si>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</si>
  <si>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</si>
  <si>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</si>
  <si>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</si>
  <si>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</si>
  <si>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</si>
  <si>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</si>
  <si>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</si>
  <si>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1 o 2</t>
  </si>
  <si>
    <t>3 o 4</t>
  </si>
  <si>
    <t>5 o más</t>
  </si>
  <si>
    <t>No especificado</t>
  </si>
  <si>
    <t>1 a 2 499 habitantes</t>
  </si>
  <si>
    <t xml:space="preserve">De 2 500 a 14 999 habitantes </t>
  </si>
  <si>
    <t xml:space="preserve">De 15 000 a 99 999 habitantes </t>
  </si>
  <si>
    <t>Rentar</t>
  </si>
  <si>
    <t>Construir</t>
  </si>
  <si>
    <t>100 000  y más habitantes</t>
  </si>
  <si>
    <t>Tamaño de localidad</t>
  </si>
  <si>
    <t>Condición de necesidad de vivienda</t>
  </si>
  <si>
    <t>Total de viviendas requeridas</t>
  </si>
  <si>
    <t>Cuadro 5.1</t>
  </si>
  <si>
    <t>Cuadro 5.2</t>
  </si>
  <si>
    <t>Cuadro 5.3</t>
  </si>
  <si>
    <t>Cuadro 5.4</t>
  </si>
  <si>
    <t>Cuadro 5.5</t>
  </si>
  <si>
    <t>Cuadro 5.6</t>
  </si>
  <si>
    <t>Cuadro 5.7</t>
  </si>
  <si>
    <t>Cuadro 5.8</t>
  </si>
  <si>
    <t>Cuadro 5.9</t>
  </si>
  <si>
    <t>Cuadro 5.10</t>
  </si>
  <si>
    <t>Hogares que tienen necesidad de rentar, comprar o construir una vivienda independiente de la que habitan y número de viviendas requeridas, por entidad federativa, según número de cuartos para dormir que necesitan en la vivienda</t>
  </si>
  <si>
    <t>Total de hogares que tienen necesidad de rentar, comprar o construir una vivienda independiente de la que habitan</t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</si>
  <si>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</si>
  <si>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</si>
  <si>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</si>
  <si>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</si>
  <si>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</si>
  <si>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</si>
  <si>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Hogares que tienen necesidad de rentar, comprar o construir una vivienda independiente de la que habitan y número de viviendas requeridas, por tamaño de localidad, según tipo de adquisición proyectada para la vivienda</t>
  </si>
  <si>
    <t>Hogares que tienen necesidad de rentar, comprar o construir una vivienda independiente de la que habitan y número de viviendas requeridas, por entidad federativa, según tipo de adquisición proyectada para la vivienda</t>
  </si>
  <si>
    <t>Hogares que tienen necesidad de rentar, comprar o construir una vivienda independiente de la que habitan y número de viviendas requeridas, por tamaño de localidad, según número de cuartos para dormir que necesitan en la vivienda</t>
  </si>
  <si>
    <t>ÍNDICE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</si>
  <si>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</si>
  <si>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Tema 5. Necesidades de vivienda</t>
  </si>
  <si>
    <r>
      <t>Número de cuartos para dormir que necesitan en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</si>
  <si>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</si>
  <si>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t>Tipo de adquisición proyectada para la vivienda</t>
    </r>
    <r>
      <rPr>
        <b/>
        <vertAlign val="superscript"/>
        <sz val="8"/>
        <rFont val="Arial"/>
        <family val="2"/>
      </rPr>
      <t>1</t>
    </r>
  </si>
  <si>
    <r>
      <t>Comprar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</si>
  <si>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se quieren comprar nuevas o usadas.</t>
    </r>
  </si>
  <si>
    <t>Hogares que tienen necesidad de comprar o construir una vivienda independiente de la que habitan y disponen del terreno para construir, número de viviendas requeridas para comprar o construir y que disponen de terreno, por entidad federativa, según condición de estar buscando o construyendo la vivienda</t>
  </si>
  <si>
    <t>Hogares que tienen necesidad de comprar o construir una vivienda independiente de la que habitan y número de viviendas requeridas para comprar o construir, por entidad federativa, según motivo principal de adquisición</t>
  </si>
  <si>
    <t>Hogares que tienen necesidad de comprar o construir una vivienda independiente de la que habitan y disponen del terreno para 
construir, número de viviendas requeridas para comprar o construir y que disponen de terreno por entidad federativa, según fuente de financiamiento que planean utilizar</t>
  </si>
  <si>
    <t>Hogares que tienen necesidad de comprar o construir una vivienda independiente de la que habitan y disponen del terreno para construir, número de viviendas requeridas para comprar o construir y que disponen de terreno, por entidad federativa, según monto de inversión que planean utilizar</t>
  </si>
  <si>
    <r>
      <t>Hogares que tienen necesidad de comprar o construir una vivienda independiente de la que habitan y que todavía no están buscando o construyendo la vivienda, número de viviendas requeridas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>, por entidad federativa, según tiempo planeado para empezar la búsqueda de ésta</t>
    </r>
  </si>
  <si>
    <t>Agosto 2021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</si>
  <si>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motivos personales (independizarse, creció en ese lugar, cercanía a familia, etcétera)" y "Para uso vacacional".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</si>
  <si>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"Por inversión", "Para aprovechar un crédito" y "Para reducir los costos de la vivienda o servicios".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</si>
  <si>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"Por las vías de acceso y cercanía a servicios", "Por seguridad de la zona" y "Para cambiarse a un mejor entorno (vecinos, medio ambiente)".</t>
    </r>
  </si>
  <si>
    <t>Otro</t>
  </si>
  <si>
    <r>
      <t>Personales</t>
    </r>
    <r>
      <rPr>
        <b/>
        <vertAlign val="superscript"/>
        <sz val="8"/>
        <rFont val="Arial"/>
        <family val="2"/>
      </rPr>
      <t>4</t>
    </r>
  </si>
  <si>
    <r>
      <t>Económicos</t>
    </r>
    <r>
      <rPr>
        <b/>
        <vertAlign val="superscript"/>
        <sz val="8"/>
        <rFont val="Arial"/>
        <family val="2"/>
      </rPr>
      <t>3</t>
    </r>
  </si>
  <si>
    <r>
      <t>Infraestructura de la localidad</t>
    </r>
    <r>
      <rPr>
        <b/>
        <vertAlign val="superscript"/>
        <sz val="8"/>
        <rFont val="Arial"/>
        <family val="2"/>
      </rPr>
      <t>2</t>
    </r>
  </si>
  <si>
    <t>Características de la vivienda</t>
  </si>
  <si>
    <r>
      <t>Motivo principal de adquisición</t>
    </r>
    <r>
      <rPr>
        <b/>
        <vertAlign val="superscript"/>
        <sz val="8"/>
        <rFont val="Arial"/>
        <family val="2"/>
      </rPr>
      <t>1</t>
    </r>
  </si>
  <si>
    <t>Total de viviendas requeridas para comprar o construir</t>
  </si>
  <si>
    <t>Total de hogares que tienen necesidad de comprar o construir una vivienda</t>
  </si>
  <si>
    <t>Hogares que tienen necesidad de comprar o construir una vivienda independiente de la que habitan y número de viviendas requeridas para comprar o construir , por entidad federativa, según motivo principal de adquisición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</si>
  <si>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préstamo de familiares, amistades u otras personas, y recursos propios (ahorros, inversiones, ingresos, venta de otros activos).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</si>
  <si>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 de financiamiento.</t>
    </r>
  </si>
  <si>
    <r>
      <t>Préstamo informal o recursos propios</t>
    </r>
    <r>
      <rPr>
        <b/>
        <vertAlign val="superscript"/>
        <sz val="8"/>
        <rFont val="Arial"/>
        <family val="2"/>
      </rPr>
      <t>3</t>
    </r>
  </si>
  <si>
    <t>Crédito de una institución financiera privada</t>
  </si>
  <si>
    <t>Crédito de FOVISSSTE</t>
  </si>
  <si>
    <t>Crédito de INFONAVIT</t>
  </si>
  <si>
    <r>
      <t>Fuentes de financiamiento</t>
    </r>
    <r>
      <rPr>
        <b/>
        <vertAlign val="superscript"/>
        <sz val="8"/>
        <rFont val="Arial"/>
        <family val="2"/>
      </rPr>
      <t>1,2</t>
    </r>
  </si>
  <si>
    <t>Total de viviendas requeridas para comprar o construir y que disponen de terreno</t>
  </si>
  <si>
    <t>Total de hogares que tienen necesidad de comprar o construir una vivienda y disponen del terreno para construir</t>
  </si>
  <si>
    <t>Hogares que tienen necesidad de comprar o construir una vivienda independiente de la que habitan y disponen del terreno para construir, número de viviendas requeridas para comprar o construir y que disponen de terreno por entidad federativa, según fuente de financiamiento que planean utilizar</t>
  </si>
  <si>
    <r>
      <t>Otro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</si>
  <si>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créditos de otra institución pública y subsidios.</t>
    </r>
  </si>
  <si>
    <t>Error estándar.</t>
  </si>
  <si>
    <t>Más de $700 000</t>
  </si>
  <si>
    <t>De $351 000 a $700 000</t>
  </si>
  <si>
    <t>De $151 000 a $350 000</t>
  </si>
  <si>
    <t>Hasta $150 000</t>
  </si>
  <si>
    <r>
      <t>Monto de inversión</t>
    </r>
    <r>
      <rPr>
        <b/>
        <vertAlign val="superscript"/>
        <sz val="8"/>
        <rFont val="Arial"/>
        <family val="2"/>
      </rPr>
      <t>1</t>
    </r>
  </si>
  <si>
    <t>Hogares que tienen necesidad de comprar o construir una vivienda independiente de la que habitan y disponen del terreno para construir, número de viviendas requeridas para comprar o construir y disponen de terreno, por entidad federativa, según monto de inversión que planean utilizar</t>
  </si>
  <si>
    <r>
      <t>Condición de estar buscando o construyendo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</si>
  <si>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</si>
  <si>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Total de viviendas requeridas para comprar o construir y que todavía no las están buscando o construyendo.</t>
    </r>
  </si>
  <si>
    <t>4 años o más</t>
  </si>
  <si>
    <t>2 a 3 años</t>
  </si>
  <si>
    <t>1 año o menos</t>
  </si>
  <si>
    <r>
      <t>Tiempo planeado para buscar o construir la vivienda</t>
    </r>
    <r>
      <rPr>
        <b/>
        <vertAlign val="superscript"/>
        <sz val="8"/>
        <rFont val="Arial"/>
        <family val="2"/>
      </rPr>
      <t>2</t>
    </r>
  </si>
  <si>
    <t>Total de viviendas requeridas para comprar o construir y que todavía no las están buscando o construyendo</t>
  </si>
  <si>
    <t>Total de hogares que 
tienen necesidad de 
comprar o construir 
una vivienda y que 
todavía no están 
buscando o 
construyendo 
la vivienda</t>
  </si>
  <si>
    <r>
      <t>Hogares que tienen necesidad de comprar o construir una vivienda independiente de la que habitan y que todavía no están buscando o construyendo la vivienda, número de viviendas requeridas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por entidad federativa, según tiempo planeado para empezar la búsqueda de ésta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</si>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</sst>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###\ ###\ ##0\ "/>
    <numFmt numFmtId="167" formatCode="###\ ###\ ##0.0"/>
    <numFmt numFmtId="168" formatCode="###\ ###\ ###"/>
    <numFmt numFmtId="169" formatCode="###\ ###\ ##0"/>
    <numFmt numFmtId="170" formatCode="###\ ###\ ###\ ##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9"/>
      <color rgb="FF003399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vertAlign val="superscript"/>
      <sz val="11"/>
      <name val="Arial"/>
      <family val="2"/>
    </font>
    <font>
      <u/>
      <sz val="9"/>
      <name val="Arial"/>
      <family val="2"/>
    </font>
    <font>
      <b/>
      <vertAlign val="superscript"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28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</cellStyleXfs>
  <cellXfs count="270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right" vertical="center" wrapText="1"/>
    </xf>
    <xf numFmtId="165" fontId="6" fillId="2" borderId="0" xfId="5" applyNumberFormat="1" applyFont="1" applyFill="1" applyBorder="1" applyAlignment="1" applyProtection="1">
      <alignment horizontal="right"/>
    </xf>
    <xf numFmtId="165" fontId="8" fillId="2" borderId="0" xfId="5" applyNumberFormat="1" applyFont="1" applyFill="1" applyBorder="1" applyAlignment="1" applyProtection="1">
      <alignment horizontal="right"/>
    </xf>
    <xf numFmtId="0" fontId="8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1" fillId="2" borderId="0" xfId="1" applyFill="1" applyBorder="1" applyAlignment="1">
      <alignment vertical="top"/>
    </xf>
    <xf numFmtId="0" fontId="3" fillId="2" borderId="0" xfId="5" applyFont="1" applyFill="1" applyAlignment="1">
      <alignment horizontal="left" vertical="top" justifyLastLine="1"/>
    </xf>
    <xf numFmtId="0" fontId="3" fillId="2" borderId="0" xfId="5" applyFont="1" applyFill="1" applyBorder="1" applyAlignment="1">
      <alignment horizontal="distributed" vertical="center" wrapText="1"/>
    </xf>
    <xf numFmtId="0" fontId="9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/>
    </xf>
    <xf numFmtId="0" fontId="10" fillId="3" borderId="0" xfId="0" applyFont="1" applyFill="1" applyBorder="1" applyAlignment="1"/>
    <xf numFmtId="0" fontId="8" fillId="4" borderId="0" xfId="1" applyFont="1" applyFill="1" applyAlignment="1">
      <alignment horizontal="left" vertical="top"/>
    </xf>
    <xf numFmtId="0" fontId="1" fillId="4" borderId="0" xfId="1" applyFill="1" applyBorder="1" applyAlignment="1">
      <alignment vertical="center"/>
    </xf>
    <xf numFmtId="0" fontId="1" fillId="4" borderId="0" xfId="1" applyFill="1" applyAlignment="1">
      <alignment vertical="center"/>
    </xf>
    <xf numFmtId="0" fontId="8" fillId="3" borderId="0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indent="1"/>
    </xf>
    <xf numFmtId="0" fontId="8" fillId="3" borderId="0" xfId="0" applyFont="1" applyFill="1" applyBorder="1" applyAlignment="1">
      <alignment wrapText="1"/>
    </xf>
    <xf numFmtId="0" fontId="11" fillId="3" borderId="0" xfId="0" applyFont="1" applyFill="1" applyBorder="1" applyAlignment="1">
      <alignment horizontal="left" indent="1"/>
    </xf>
    <xf numFmtId="0" fontId="0" fillId="2" borderId="0" xfId="0" applyFill="1"/>
    <xf numFmtId="0" fontId="8" fillId="0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15" fillId="2" borderId="1" xfId="1" applyFont="1" applyFill="1" applyBorder="1" applyAlignment="1">
      <alignment vertical="center"/>
    </xf>
    <xf numFmtId="0" fontId="15" fillId="2" borderId="0" xfId="1" applyFont="1" applyFill="1" applyAlignment="1">
      <alignment vertical="center"/>
    </xf>
    <xf numFmtId="0" fontId="15" fillId="4" borderId="0" xfId="1" applyFont="1" applyFill="1" applyBorder="1" applyAlignment="1">
      <alignment vertical="center"/>
    </xf>
    <xf numFmtId="0" fontId="15" fillId="4" borderId="0" xfId="1" applyFont="1" applyFill="1" applyAlignment="1">
      <alignment vertical="center"/>
    </xf>
    <xf numFmtId="0" fontId="8" fillId="2" borderId="0" xfId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right" vertical="center" wrapText="1"/>
    </xf>
    <xf numFmtId="0" fontId="6" fillId="4" borderId="0" xfId="1" applyFont="1" applyFill="1" applyBorder="1" applyAlignment="1">
      <alignment horizontal="left" vertical="center" wrapText="1"/>
    </xf>
    <xf numFmtId="0" fontId="6" fillId="3" borderId="0" xfId="0" applyFont="1" applyFill="1" applyBorder="1" applyAlignment="1"/>
    <xf numFmtId="0" fontId="15" fillId="4" borderId="0" xfId="1" applyFont="1" applyFill="1" applyAlignment="1">
      <alignment vertical="top"/>
    </xf>
    <xf numFmtId="0" fontId="15" fillId="4" borderId="0" xfId="1" applyFont="1" applyFill="1" applyBorder="1" applyAlignment="1">
      <alignment vertical="top"/>
    </xf>
    <xf numFmtId="0" fontId="8" fillId="2" borderId="0" xfId="5" applyFont="1" applyFill="1" applyAlignment="1">
      <alignment horizontal="left" vertical="top" justifyLastLine="1"/>
    </xf>
    <xf numFmtId="0" fontId="15" fillId="2" borderId="0" xfId="1" applyFont="1" applyFill="1" applyAlignment="1">
      <alignment vertical="top"/>
    </xf>
    <xf numFmtId="0" fontId="15" fillId="2" borderId="0" xfId="1" applyFont="1" applyFill="1" applyBorder="1" applyAlignment="1">
      <alignment vertical="top"/>
    </xf>
    <xf numFmtId="0" fontId="8" fillId="2" borderId="0" xfId="5" applyFont="1" applyFill="1" applyBorder="1" applyAlignment="1">
      <alignment horizontal="distributed" vertical="center" wrapText="1"/>
    </xf>
    <xf numFmtId="0" fontId="15" fillId="2" borderId="2" xfId="1" applyFont="1" applyFill="1" applyBorder="1" applyAlignment="1">
      <alignment horizontal="center" vertical="center"/>
    </xf>
    <xf numFmtId="0" fontId="6" fillId="5" borderId="0" xfId="0" applyFont="1" applyFill="1" applyBorder="1" applyAlignment="1"/>
    <xf numFmtId="0" fontId="8" fillId="2" borderId="1" xfId="7" applyFont="1" applyFill="1" applyBorder="1" applyAlignment="1">
      <alignment horizontal="left" indent="1"/>
    </xf>
    <xf numFmtId="0" fontId="8" fillId="2" borderId="0" xfId="1" applyFont="1" applyFill="1" applyAlignment="1">
      <alignment vertical="center"/>
    </xf>
    <xf numFmtId="0" fontId="8" fillId="2" borderId="0" xfId="1" applyFont="1" applyFill="1" applyBorder="1" applyAlignment="1">
      <alignment vertical="center"/>
    </xf>
    <xf numFmtId="0" fontId="15" fillId="2" borderId="0" xfId="0" applyFont="1" applyFill="1"/>
    <xf numFmtId="0" fontId="18" fillId="0" borderId="0" xfId="13" applyFont="1"/>
    <xf numFmtId="0" fontId="19" fillId="0" borderId="0" xfId="13" applyFont="1"/>
    <xf numFmtId="0" fontId="21" fillId="0" borderId="0" xfId="13" applyFont="1" applyFill="1" applyAlignment="1">
      <alignment horizontal="center" vertical="center"/>
    </xf>
    <xf numFmtId="0" fontId="21" fillId="0" borderId="0" xfId="13" applyFont="1" applyFill="1" applyAlignment="1">
      <alignment vertical="center"/>
    </xf>
    <xf numFmtId="0" fontId="18" fillId="0" borderId="0" xfId="13" applyFont="1" applyFill="1"/>
    <xf numFmtId="17" fontId="2" fillId="0" borderId="0" xfId="13" quotePrefix="1" applyNumberFormat="1" applyFont="1"/>
    <xf numFmtId="0" fontId="22" fillId="0" borderId="0" xfId="13" applyFont="1"/>
    <xf numFmtId="0" fontId="21" fillId="7" borderId="5" xfId="13" applyFont="1" applyFill="1" applyBorder="1" applyAlignment="1">
      <alignment horizontal="center" vertical="center"/>
    </xf>
    <xf numFmtId="0" fontId="21" fillId="7" borderId="6" xfId="13" applyFont="1" applyFill="1" applyBorder="1" applyAlignment="1">
      <alignment horizontal="center" vertical="center"/>
    </xf>
    <xf numFmtId="0" fontId="18" fillId="2" borderId="0" xfId="1" applyFont="1" applyFill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Alignment="1">
      <alignment vertical="top"/>
    </xf>
    <xf numFmtId="0" fontId="18" fillId="0" borderId="0" xfId="0" applyFont="1"/>
    <xf numFmtId="0" fontId="18" fillId="4" borderId="0" xfId="1" applyFont="1" applyFill="1" applyAlignment="1">
      <alignment vertical="center"/>
    </xf>
    <xf numFmtId="0" fontId="18" fillId="4" borderId="0" xfId="1" applyFont="1" applyFill="1" applyBorder="1" applyAlignment="1">
      <alignment vertical="center"/>
    </xf>
    <xf numFmtId="0" fontId="28" fillId="2" borderId="0" xfId="1" applyFont="1" applyFill="1" applyAlignment="1">
      <alignment vertical="center"/>
    </xf>
    <xf numFmtId="0" fontId="9" fillId="0" borderId="0" xfId="1" applyFont="1"/>
    <xf numFmtId="0" fontId="28" fillId="2" borderId="0" xfId="1" applyFont="1" applyFill="1" applyBorder="1" applyAlignment="1">
      <alignment vertical="center"/>
    </xf>
    <xf numFmtId="0" fontId="28" fillId="2" borderId="0" xfId="1" applyFont="1" applyFill="1" applyAlignment="1">
      <alignment horizontal="left" vertical="center"/>
    </xf>
    <xf numFmtId="0" fontId="30" fillId="2" borderId="0" xfId="4" applyNumberFormat="1" applyFont="1" applyFill="1" applyBorder="1" applyAlignment="1" applyProtection="1">
      <alignment horizontal="right" vertical="center"/>
    </xf>
    <xf numFmtId="0" fontId="16" fillId="2" borderId="0" xfId="1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28" fillId="0" borderId="0" xfId="0" applyFont="1"/>
    <xf numFmtId="0" fontId="28" fillId="2" borderId="0" xfId="0" applyFont="1" applyFill="1"/>
    <xf numFmtId="0" fontId="9" fillId="2" borderId="0" xfId="1" applyFont="1" applyFill="1"/>
    <xf numFmtId="0" fontId="32" fillId="2" borderId="0" xfId="1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33" fillId="2" borderId="0" xfId="14" applyFont="1" applyFill="1" applyAlignment="1" applyProtection="1">
      <alignment horizontal="right"/>
    </xf>
    <xf numFmtId="0" fontId="15" fillId="2" borderId="1" xfId="1" applyFont="1" applyFill="1" applyBorder="1" applyAlignment="1">
      <alignment horizontal="right" vertical="center"/>
    </xf>
    <xf numFmtId="0" fontId="25" fillId="0" borderId="9" xfId="12" applyFont="1" applyBorder="1" applyAlignment="1" applyProtection="1">
      <alignment horizontal="center" vertical="center"/>
    </xf>
    <xf numFmtId="0" fontId="25" fillId="0" borderId="14" xfId="12" applyFont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6" fillId="4" borderId="0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8" fillId="2" borderId="1" xfId="1" applyFont="1" applyFill="1" applyBorder="1" applyAlignment="1">
      <alignment vertical="center"/>
    </xf>
    <xf numFmtId="0" fontId="3" fillId="0" borderId="0" xfId="0" applyFont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35" fillId="0" borderId="0" xfId="7" applyFont="1"/>
    <xf numFmtId="0" fontId="36" fillId="0" borderId="0" xfId="7" applyFont="1"/>
    <xf numFmtId="0" fontId="11" fillId="3" borderId="0" xfId="0" applyFont="1" applyFill="1" applyAlignment="1">
      <alignment horizontal="left" vertical="top"/>
    </xf>
    <xf numFmtId="0" fontId="8" fillId="2" borderId="0" xfId="7" applyFont="1" applyFill="1" applyBorder="1" applyAlignment="1">
      <alignment horizontal="left" indent="1" readingOrder="1"/>
    </xf>
    <xf numFmtId="166" fontId="5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Alignment="1">
      <alignment horizontal="right" vertical="center"/>
    </xf>
    <xf numFmtId="167" fontId="8" fillId="2" borderId="0" xfId="1" applyNumberFormat="1" applyFont="1" applyFill="1" applyAlignment="1">
      <alignment horizontal="right" vertical="center"/>
    </xf>
    <xf numFmtId="166" fontId="8" fillId="2" borderId="1" xfId="5" applyNumberFormat="1" applyFont="1" applyFill="1" applyBorder="1" applyAlignment="1" applyProtection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7" fontId="8" fillId="2" borderId="1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 wrapText="1"/>
    </xf>
    <xf numFmtId="166" fontId="15" fillId="4" borderId="0" xfId="1" applyNumberFormat="1" applyFont="1" applyFill="1" applyBorder="1" applyAlignment="1">
      <alignment horizontal="right" vertical="center"/>
    </xf>
    <xf numFmtId="166" fontId="15" fillId="4" borderId="0" xfId="1" applyNumberFormat="1" applyFont="1" applyFill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Alignment="1">
      <alignment horizontal="right" vertical="center"/>
    </xf>
    <xf numFmtId="166" fontId="15" fillId="2" borderId="1" xfId="1" applyNumberFormat="1" applyFont="1" applyFill="1" applyBorder="1" applyAlignment="1">
      <alignment horizontal="right" vertical="center"/>
    </xf>
    <xf numFmtId="0" fontId="36" fillId="2" borderId="0" xfId="7" applyFont="1" applyFill="1"/>
    <xf numFmtId="168" fontId="8" fillId="2" borderId="0" xfId="5" applyNumberFormat="1" applyFont="1" applyFill="1" applyAlignment="1">
      <alignment horizontal="left" vertical="top" justifyLastLine="1"/>
    </xf>
    <xf numFmtId="167" fontId="8" fillId="2" borderId="0" xfId="5" applyNumberFormat="1" applyFont="1" applyFill="1" applyAlignment="1">
      <alignment horizontal="left" vertical="top" justifyLastLine="1"/>
    </xf>
    <xf numFmtId="168" fontId="37" fillId="2" borderId="0" xfId="2" applyNumberFormat="1" applyFont="1" applyFill="1"/>
    <xf numFmtId="167" fontId="37" fillId="2" borderId="0" xfId="2" applyNumberFormat="1" applyFont="1" applyFill="1"/>
    <xf numFmtId="0" fontId="34" fillId="2" borderId="0" xfId="2" applyFont="1" applyFill="1"/>
    <xf numFmtId="166" fontId="6" fillId="2" borderId="0" xfId="5" applyNumberFormat="1" applyFont="1" applyFill="1" applyAlignment="1">
      <alignment horizontal="right" vertical="center"/>
    </xf>
    <xf numFmtId="166" fontId="8" fillId="2" borderId="0" xfId="5" applyNumberFormat="1" applyFont="1" applyFill="1" applyAlignment="1">
      <alignment horizontal="right" vertical="center"/>
    </xf>
    <xf numFmtId="167" fontId="8" fillId="2" borderId="0" xfId="5" applyNumberFormat="1" applyFont="1" applyFill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horizontal="right" vertical="center"/>
    </xf>
    <xf numFmtId="0" fontId="1" fillId="2" borderId="0" xfId="8" applyFill="1" applyAlignment="1">
      <alignment vertical="center"/>
    </xf>
    <xf numFmtId="0" fontId="18" fillId="2" borderId="0" xfId="8" applyFont="1" applyFill="1" applyAlignment="1">
      <alignment vertical="center"/>
    </xf>
    <xf numFmtId="0" fontId="15" fillId="2" borderId="0" xfId="8" applyFont="1" applyFill="1" applyAlignment="1">
      <alignment vertical="center"/>
    </xf>
    <xf numFmtId="0" fontId="7" fillId="2" borderId="0" xfId="5" applyFont="1" applyFill="1" applyAlignment="1">
      <alignment horizontal="left" vertical="center"/>
    </xf>
    <xf numFmtId="0" fontId="16" fillId="2" borderId="0" xfId="5" applyFont="1" applyFill="1" applyAlignment="1">
      <alignment horizontal="left" vertical="center"/>
    </xf>
    <xf numFmtId="169" fontId="8" fillId="2" borderId="0" xfId="8" applyNumberFormat="1" applyFont="1" applyFill="1" applyAlignment="1">
      <alignment vertical="center"/>
    </xf>
    <xf numFmtId="169" fontId="8" fillId="2" borderId="0" xfId="8" applyNumberFormat="1" applyFont="1" applyFill="1" applyAlignment="1">
      <alignment horizontal="right" vertical="center"/>
    </xf>
    <xf numFmtId="0" fontId="8" fillId="2" borderId="0" xfId="8" applyFont="1" applyFill="1" applyAlignment="1">
      <alignment vertical="center"/>
    </xf>
    <xf numFmtId="0" fontId="3" fillId="2" borderId="0" xfId="8" applyFont="1" applyFill="1" applyAlignment="1">
      <alignment vertical="center"/>
    </xf>
    <xf numFmtId="167" fontId="8" fillId="2" borderId="1" xfId="8" applyNumberFormat="1" applyFont="1" applyFill="1" applyBorder="1" applyAlignment="1">
      <alignment horizontal="right" vertical="center"/>
    </xf>
    <xf numFmtId="166" fontId="8" fillId="2" borderId="4" xfId="8" applyNumberFormat="1" applyFont="1" applyFill="1" applyBorder="1" applyAlignment="1">
      <alignment horizontal="right" vertical="center"/>
    </xf>
    <xf numFmtId="166" fontId="8" fillId="2" borderId="1" xfId="5" applyNumberFormat="1" applyFont="1" applyFill="1" applyBorder="1" applyAlignment="1">
      <alignment horizontal="right" vertical="center"/>
    </xf>
    <xf numFmtId="166" fontId="8" fillId="2" borderId="1" xfId="8" applyNumberFormat="1" applyFont="1" applyFill="1" applyBorder="1" applyAlignment="1">
      <alignment horizontal="right" vertical="center"/>
    </xf>
    <xf numFmtId="0" fontId="8" fillId="2" borderId="1" xfId="8" applyFont="1" applyFill="1" applyBorder="1" applyAlignment="1">
      <alignment vertical="center"/>
    </xf>
    <xf numFmtId="0" fontId="8" fillId="3" borderId="4" xfId="9" applyFont="1" applyFill="1" applyBorder="1" applyAlignment="1">
      <alignment horizontal="left" indent="1"/>
    </xf>
    <xf numFmtId="166" fontId="8" fillId="2" borderId="0" xfId="8" applyNumberFormat="1" applyFont="1" applyFill="1" applyAlignment="1">
      <alignment horizontal="right" vertical="center"/>
    </xf>
    <xf numFmtId="0" fontId="8" fillId="3" borderId="0" xfId="9" applyFont="1" applyFill="1" applyAlignment="1">
      <alignment horizontal="left" indent="1"/>
    </xf>
    <xf numFmtId="165" fontId="8" fillId="2" borderId="0" xfId="5" applyNumberFormat="1" applyFont="1" applyFill="1" applyAlignment="1">
      <alignment horizontal="right"/>
    </xf>
    <xf numFmtId="0" fontId="5" fillId="2" borderId="0" xfId="8" applyFont="1" applyFill="1" applyAlignment="1">
      <alignment vertical="center"/>
    </xf>
    <xf numFmtId="0" fontId="6" fillId="2" borderId="0" xfId="8" applyFont="1" applyFill="1" applyAlignment="1">
      <alignment vertical="center"/>
    </xf>
    <xf numFmtId="0" fontId="6" fillId="3" borderId="0" xfId="9" applyFont="1" applyFill="1"/>
    <xf numFmtId="167" fontId="6" fillId="2" borderId="0" xfId="8" applyNumberFormat="1" applyFont="1" applyFill="1" applyAlignment="1">
      <alignment horizontal="right" vertical="center" wrapText="1"/>
    </xf>
    <xf numFmtId="166" fontId="15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 wrapText="1"/>
    </xf>
    <xf numFmtId="0" fontId="6" fillId="2" borderId="1" xfId="8" applyFont="1" applyFill="1" applyBorder="1" applyAlignment="1">
      <alignment horizontal="right" vertical="center"/>
    </xf>
    <xf numFmtId="0" fontId="15" fillId="2" borderId="1" xfId="8" applyFont="1" applyFill="1" applyBorder="1" applyAlignment="1">
      <alignment horizontal="right" vertical="center"/>
    </xf>
    <xf numFmtId="0" fontId="8" fillId="2" borderId="1" xfId="8" applyFont="1" applyFill="1" applyBorder="1" applyAlignment="1">
      <alignment horizontal="right" vertical="center" wrapText="1"/>
    </xf>
    <xf numFmtId="0" fontId="15" fillId="2" borderId="2" xfId="8" applyFont="1" applyFill="1" applyBorder="1" applyAlignment="1">
      <alignment vertical="center"/>
    </xf>
    <xf numFmtId="0" fontId="6" fillId="2" borderId="2" xfId="8" applyFont="1" applyFill="1" applyBorder="1" applyAlignment="1">
      <alignment horizontal="center" vertical="center" wrapText="1"/>
    </xf>
    <xf numFmtId="0" fontId="8" fillId="2" borderId="2" xfId="8" applyFont="1" applyFill="1" applyBorder="1" applyAlignment="1">
      <alignment horizontal="right" vertical="center" wrapText="1"/>
    </xf>
    <xf numFmtId="0" fontId="8" fillId="2" borderId="0" xfId="8" applyFont="1" applyFill="1" applyAlignment="1">
      <alignment horizontal="right" vertical="center" wrapText="1"/>
    </xf>
    <xf numFmtId="0" fontId="28" fillId="2" borderId="0" xfId="8" applyFont="1" applyFill="1" applyAlignment="1">
      <alignment vertical="center"/>
    </xf>
    <xf numFmtId="0" fontId="16" fillId="2" borderId="0" xfId="8" applyFont="1" applyFill="1" applyAlignment="1">
      <alignment vertical="center"/>
    </xf>
    <xf numFmtId="0" fontId="39" fillId="2" borderId="0" xfId="4" applyNumberFormat="1" applyFont="1" applyFill="1" applyBorder="1" applyAlignment="1" applyProtection="1">
      <alignment horizontal="right" vertical="center"/>
    </xf>
    <xf numFmtId="164" fontId="16" fillId="2" borderId="0" xfId="11" applyFont="1" applyFill="1" applyBorder="1" applyAlignment="1">
      <alignment horizontal="right" vertical="top"/>
    </xf>
    <xf numFmtId="0" fontId="28" fillId="2" borderId="0" xfId="8" applyFont="1" applyFill="1" applyAlignment="1">
      <alignment horizontal="left" vertical="center"/>
    </xf>
    <xf numFmtId="0" fontId="9" fillId="0" borderId="0" xfId="8" applyFont="1"/>
    <xf numFmtId="169" fontId="8" fillId="2" borderId="0" xfId="1" applyNumberFormat="1" applyFont="1" applyFill="1" applyBorder="1" applyAlignment="1">
      <alignment vertical="center"/>
    </xf>
    <xf numFmtId="169" fontId="8" fillId="2" borderId="0" xfId="1" applyNumberFormat="1" applyFont="1" applyFill="1" applyBorder="1" applyAlignment="1">
      <alignment horizontal="right" vertical="center"/>
    </xf>
    <xf numFmtId="167" fontId="8" fillId="2" borderId="4" xfId="1" applyNumberFormat="1" applyFont="1" applyFill="1" applyBorder="1" applyAlignment="1">
      <alignment horizontal="right" vertical="center"/>
    </xf>
    <xf numFmtId="166" fontId="15" fillId="2" borderId="4" xfId="1" applyNumberFormat="1" applyFont="1" applyFill="1" applyBorder="1" applyAlignment="1">
      <alignment horizontal="right" vertical="center"/>
    </xf>
    <xf numFmtId="166" fontId="8" fillId="2" borderId="4" xfId="1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right" vertical="center"/>
    </xf>
    <xf numFmtId="0" fontId="31" fillId="2" borderId="0" xfId="2" applyFont="1" applyFill="1" applyAlignment="1">
      <alignment vertical="top" wrapText="1"/>
    </xf>
    <xf numFmtId="0" fontId="9" fillId="2" borderId="0" xfId="8" applyFont="1" applyFill="1"/>
    <xf numFmtId="0" fontId="16" fillId="2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8" fillId="0" borderId="0" xfId="7" applyFont="1"/>
    <xf numFmtId="0" fontId="37" fillId="2" borderId="0" xfId="2" applyFont="1" applyFill="1"/>
    <xf numFmtId="170" fontId="6" fillId="2" borderId="0" xfId="5" applyNumberFormat="1" applyFont="1" applyFill="1" applyAlignment="1">
      <alignment horizontal="right" vertical="center"/>
    </xf>
    <xf numFmtId="170" fontId="8" fillId="2" borderId="0" xfId="5" applyNumberFormat="1" applyFont="1" applyFill="1" applyAlignment="1">
      <alignment horizontal="right" vertical="center"/>
    </xf>
    <xf numFmtId="170" fontId="3" fillId="2" borderId="0" xfId="1" applyNumberFormat="1" applyFont="1" applyFill="1" applyAlignment="1">
      <alignment horizontal="right" vertical="center"/>
    </xf>
    <xf numFmtId="170" fontId="8" fillId="2" borderId="0" xfId="1" applyNumberFormat="1" applyFont="1" applyFill="1" applyAlignment="1">
      <alignment horizontal="right" vertical="center"/>
    </xf>
    <xf numFmtId="170" fontId="5" fillId="2" borderId="0" xfId="1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2" borderId="0" xfId="8" applyFont="1" applyFill="1" applyAlignment="1">
      <alignment horizontal="left" vertical="center" wrapText="1"/>
    </xf>
    <xf numFmtId="170" fontId="8" fillId="2" borderId="0" xfId="8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170" fontId="6" fillId="2" borderId="0" xfId="1" applyNumberFormat="1" applyFont="1" applyFill="1" applyAlignment="1">
      <alignment horizontal="right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26" fillId="0" borderId="0" xfId="7" applyFont="1"/>
    <xf numFmtId="170" fontId="8" fillId="0" borderId="0" xfId="1" applyNumberFormat="1" applyFont="1" applyFill="1" applyAlignment="1">
      <alignment horizontal="right" vertical="center"/>
    </xf>
    <xf numFmtId="166" fontId="8" fillId="0" borderId="0" xfId="1" applyNumberFormat="1" applyFont="1" applyFill="1" applyAlignment="1">
      <alignment horizontal="right" vertical="center"/>
    </xf>
    <xf numFmtId="170" fontId="8" fillId="0" borderId="0" xfId="5" applyNumberFormat="1" applyFont="1" applyFill="1" applyAlignment="1">
      <alignment horizontal="right" vertical="center"/>
    </xf>
    <xf numFmtId="167" fontId="8" fillId="0" borderId="0" xfId="1" applyNumberFormat="1" applyFont="1" applyFill="1" applyAlignment="1">
      <alignment horizontal="right" vertical="center"/>
    </xf>
    <xf numFmtId="170" fontId="6" fillId="0" borderId="0" xfId="1" applyNumberFormat="1" applyFont="1" applyFill="1" applyAlignment="1">
      <alignment horizontal="right" vertical="center"/>
    </xf>
    <xf numFmtId="166" fontId="6" fillId="0" borderId="0" xfId="1" applyNumberFormat="1" applyFont="1" applyFill="1" applyAlignment="1">
      <alignment horizontal="right" vertical="center"/>
    </xf>
    <xf numFmtId="0" fontId="8" fillId="3" borderId="1" xfId="0" applyFont="1" applyFill="1" applyBorder="1" applyAlignment="1">
      <alignment horizontal="left" indent="1"/>
    </xf>
    <xf numFmtId="166" fontId="8" fillId="0" borderId="0" xfId="5" applyNumberFormat="1" applyFont="1" applyFill="1" applyAlignment="1">
      <alignment horizontal="right" vertical="center"/>
    </xf>
    <xf numFmtId="167" fontId="8" fillId="0" borderId="0" xfId="5" applyNumberFormat="1" applyFont="1" applyFill="1" applyAlignment="1">
      <alignment horizontal="right" vertical="center"/>
    </xf>
    <xf numFmtId="170" fontId="6" fillId="0" borderId="0" xfId="5" applyNumberFormat="1" applyFont="1" applyFill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/>
    </xf>
    <xf numFmtId="0" fontId="15" fillId="2" borderId="3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1" fillId="7" borderId="6" xfId="13" applyFont="1" applyFill="1" applyBorder="1" applyAlignment="1">
      <alignment horizontal="center" vertical="center"/>
    </xf>
    <xf numFmtId="0" fontId="21" fillId="7" borderId="7" xfId="13" applyFont="1" applyFill="1" applyBorder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0" fillId="0" borderId="0" xfId="13" applyFont="1" applyAlignment="1">
      <alignment horizontal="center" vertical="center"/>
    </xf>
    <xf numFmtId="0" fontId="21" fillId="6" borderId="0" xfId="13" applyFont="1" applyFill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13" applyFont="1" applyAlignment="1">
      <alignment horizontal="right"/>
    </xf>
    <xf numFmtId="0" fontId="26" fillId="0" borderId="19" xfId="13" applyFont="1" applyBorder="1" applyAlignment="1">
      <alignment horizontal="left" vertical="center" wrapText="1" indent="1"/>
    </xf>
    <xf numFmtId="0" fontId="26" fillId="0" borderId="18" xfId="13" applyFont="1" applyBorder="1" applyAlignment="1">
      <alignment horizontal="left" vertical="center" wrapText="1" indent="1"/>
    </xf>
    <xf numFmtId="0" fontId="26" fillId="0" borderId="20" xfId="13" applyFont="1" applyBorder="1" applyAlignment="1">
      <alignment horizontal="left" vertical="center" wrapText="1" indent="1"/>
    </xf>
    <xf numFmtId="0" fontId="26" fillId="0" borderId="15" xfId="13" applyFont="1" applyBorder="1" applyAlignment="1">
      <alignment horizontal="left" vertical="center" wrapText="1" indent="1"/>
    </xf>
    <xf numFmtId="0" fontId="26" fillId="0" borderId="14" xfId="13" applyFont="1" applyBorder="1" applyAlignment="1">
      <alignment horizontal="left" vertical="center" wrapText="1" indent="1"/>
    </xf>
    <xf numFmtId="0" fontId="26" fillId="0" borderId="16" xfId="13" applyFont="1" applyBorder="1" applyAlignment="1">
      <alignment horizontal="left" vertical="center" wrapText="1" indent="1"/>
    </xf>
    <xf numFmtId="0" fontId="23" fillId="0" borderId="8" xfId="14" applyFont="1" applyFill="1" applyBorder="1" applyAlignment="1">
      <alignment horizontal="center" vertical="center" wrapText="1"/>
    </xf>
    <xf numFmtId="0" fontId="27" fillId="0" borderId="13" xfId="14" applyFont="1" applyFill="1" applyBorder="1" applyAlignment="1">
      <alignment horizontal="center" vertical="center" wrapText="1"/>
    </xf>
    <xf numFmtId="0" fontId="27" fillId="0" borderId="17" xfId="14" applyFont="1" applyFill="1" applyBorder="1" applyAlignment="1">
      <alignment horizontal="center" vertical="center" wrapText="1"/>
    </xf>
    <xf numFmtId="0" fontId="26" fillId="0" borderId="10" xfId="13" applyFont="1" applyBorder="1" applyAlignment="1">
      <alignment horizontal="left" vertical="center" wrapText="1" indent="1"/>
    </xf>
    <xf numFmtId="0" fontId="26" fillId="0" borderId="11" xfId="13" applyFont="1" applyBorder="1" applyAlignment="1">
      <alignment horizontal="left" vertical="center" wrapText="1" indent="1"/>
    </xf>
    <xf numFmtId="0" fontId="26" fillId="0" borderId="12" xfId="13" applyFont="1" applyBorder="1" applyAlignment="1">
      <alignment horizontal="left" vertical="center" wrapText="1" indent="1"/>
    </xf>
    <xf numFmtId="0" fontId="29" fillId="2" borderId="0" xfId="2" applyFont="1" applyFill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top" wrapText="1"/>
    </xf>
    <xf numFmtId="0" fontId="15" fillId="4" borderId="1" xfId="1" applyFont="1" applyFill="1" applyBorder="1" applyAlignment="1">
      <alignment horizontal="center" vertical="center"/>
    </xf>
    <xf numFmtId="0" fontId="15" fillId="4" borderId="0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6" fillId="2" borderId="3" xfId="8" applyFont="1" applyFill="1" applyBorder="1" applyAlignment="1">
      <alignment horizontal="center" vertical="center" wrapText="1"/>
    </xf>
    <xf numFmtId="0" fontId="31" fillId="2" borderId="0" xfId="10" applyFont="1" applyFill="1" applyAlignment="1">
      <alignment horizontal="left" vertical="top" wrapText="1"/>
    </xf>
    <xf numFmtId="0" fontId="15" fillId="2" borderId="1" xfId="8" applyFont="1" applyFill="1" applyBorder="1" applyAlignment="1">
      <alignment horizontal="center" vertical="center"/>
    </xf>
    <xf numFmtId="0" fontId="15" fillId="2" borderId="0" xfId="8" applyFont="1" applyFill="1" applyAlignment="1">
      <alignment horizontal="center" vertical="center"/>
    </xf>
    <xf numFmtId="0" fontId="6" fillId="2" borderId="2" xfId="8" applyFont="1" applyFill="1" applyBorder="1" applyAlignment="1">
      <alignment horizontal="left" vertical="center" wrapText="1"/>
    </xf>
    <xf numFmtId="0" fontId="6" fillId="2" borderId="0" xfId="8" applyFont="1" applyFill="1" applyAlignment="1">
      <alignment horizontal="left" vertical="center" wrapText="1"/>
    </xf>
    <xf numFmtId="0" fontId="6" fillId="2" borderId="1" xfId="8" applyFont="1" applyFill="1" applyBorder="1" applyAlignment="1">
      <alignment horizontal="left" vertical="center" wrapText="1"/>
    </xf>
    <xf numFmtId="0" fontId="6" fillId="2" borderId="2" xfId="10" applyFont="1" applyFill="1" applyBorder="1" applyAlignment="1">
      <alignment horizontal="right" vertical="center" wrapText="1"/>
    </xf>
    <xf numFmtId="0" fontId="6" fillId="2" borderId="0" xfId="10" applyFont="1" applyFill="1" applyAlignment="1">
      <alignment horizontal="right" vertical="center" wrapText="1"/>
    </xf>
    <xf numFmtId="0" fontId="6" fillId="2" borderId="1" xfId="10" applyFont="1" applyFill="1" applyBorder="1" applyAlignment="1">
      <alignment horizontal="right" vertical="center" wrapText="1"/>
    </xf>
    <xf numFmtId="0" fontId="6" fillId="0" borderId="3" xfId="8" applyFont="1" applyBorder="1" applyAlignment="1">
      <alignment horizontal="center" vertical="center" wrapText="1"/>
    </xf>
    <xf numFmtId="0" fontId="6" fillId="2" borderId="3" xfId="1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right" vertical="center" wrapText="1"/>
    </xf>
    <xf numFmtId="0" fontId="6" fillId="0" borderId="0" xfId="2" applyFont="1" applyFill="1" applyBorder="1" applyAlignment="1">
      <alignment horizontal="right" vertical="center" wrapText="1"/>
    </xf>
    <xf numFmtId="0" fontId="6" fillId="0" borderId="1" xfId="2" applyFont="1" applyFill="1" applyBorder="1" applyAlignment="1">
      <alignment horizontal="right" vertical="center" wrapText="1"/>
    </xf>
  </cellXfs>
  <cellStyles count="28">
    <cellStyle name="Hipervínculo" xfId="12" builtinId="8"/>
    <cellStyle name="Hipervínculo 2" xfId="14" xr:uid="{C605E756-BEC1-4DBB-BFC4-9C71A6158AA2}"/>
    <cellStyle name="Hipervínculo 2 2" xfId="4" xr:uid="{00000000-0005-0000-0000-000000000000}"/>
    <cellStyle name="Hipervínculo 3" xfId="15" xr:uid="{E55D0D72-C312-4622-9536-E35A3870B69C}"/>
    <cellStyle name="Millares 3" xfId="3" xr:uid="{00000000-0005-0000-0000-000001000000}"/>
    <cellStyle name="Millares 3 3" xfId="11" xr:uid="{985AA727-498D-4EC1-9059-C2E510313B0A}"/>
    <cellStyle name="Normal" xfId="0" builtinId="0"/>
    <cellStyle name="Normal 10" xfId="6" xr:uid="{00000000-0005-0000-0000-000003000000}"/>
    <cellStyle name="Normal 10 3" xfId="9" xr:uid="{58F21A02-0D99-42C9-B283-E0FD4E2FE7E8}"/>
    <cellStyle name="Normal 10 3 3 13" xfId="26" xr:uid="{D20948FB-FCF8-486B-A76A-799D0C424CA4}"/>
    <cellStyle name="Normal 2 2" xfId="2" xr:uid="{00000000-0005-0000-0000-000004000000}"/>
    <cellStyle name="Normal 2 2 2" xfId="5" xr:uid="{00000000-0005-0000-0000-000005000000}"/>
    <cellStyle name="Normal 2 2 4" xfId="10" xr:uid="{5C90FA94-CA31-4B47-A855-84792E1E9875}"/>
    <cellStyle name="Normal 2 3 2" xfId="17" xr:uid="{17CC3598-4B36-4E48-B662-2758E3B7C1A9}"/>
    <cellStyle name="Normal 2 3 3 2" xfId="23" xr:uid="{423AD079-2295-4990-A3F4-3A072FEB365C}"/>
    <cellStyle name="Normal 2 4 2" xfId="18" xr:uid="{7677566F-3CD6-4E15-9C6C-D6E3D11075F5}"/>
    <cellStyle name="Normal 2 4 2 2" xfId="24" xr:uid="{B41227E3-49EF-47E0-B1F9-20C82D11DCE2}"/>
    <cellStyle name="Normal 2 4 3 2" xfId="21" xr:uid="{4D4AD25F-0016-4A3D-877C-21FB066C13C4}"/>
    <cellStyle name="Normal 3" xfId="1" xr:uid="{00000000-0005-0000-0000-000006000000}"/>
    <cellStyle name="Normal 3 2" xfId="16" xr:uid="{8E6ED561-1547-4CBC-B8E9-31C86A422B76}"/>
    <cellStyle name="Normal 3 2 2 2" xfId="20" xr:uid="{9A4516C3-A1CA-4207-9E3B-E89C5A8C6133}"/>
    <cellStyle name="Normal 3 2 2 4" xfId="22" xr:uid="{9D0F7C30-D002-474E-B119-CCD9E4FE59F7}"/>
    <cellStyle name="Normal 3 2 3 2" xfId="25" xr:uid="{04631023-CD94-4E5A-8570-442FC723B7DC}"/>
    <cellStyle name="Normal 3 2 4" xfId="27" xr:uid="{6713E0BA-9FF6-46B9-9B63-E41E0FA81058}"/>
    <cellStyle name="Normal 3 3 2" xfId="19" xr:uid="{A2B7EBEB-6619-4F42-A571-7B798D89046E}"/>
    <cellStyle name="Normal 3 5" xfId="8" xr:uid="{DDFDA44F-70F7-4F93-A0C7-4FBD4D42BF20}"/>
    <cellStyle name="Normal 6" xfId="7" xr:uid="{00000000-0005-0000-0000-000007000000}"/>
    <cellStyle name="Normal 7 2" xfId="13" xr:uid="{DF7AA7B1-C553-4AE4-A0C1-93BEC0F33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16831F1B-EEA3-4DA6-97F8-D653DD6C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89AA76CE-51F8-41A9-96B1-78E10D11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6485609-16B0-4EAB-A411-7BE34509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BC977107-E8AB-4D15-89FD-B6CA1EB4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879-BB6A-43C8-A821-E463B8D9CF54}">
  <dimension ref="A1:O29"/>
  <sheetViews>
    <sheetView showGridLines="0" tabSelected="1" zoomScaleNormal="100" workbookViewId="0"/>
  </sheetViews>
  <sheetFormatPr baseColWidth="10" defaultRowHeight="14.25" x14ac:dyDescent="0.2"/>
  <cols>
    <col min="1" max="1" width="1.7109375" style="53" customWidth="1"/>
    <col min="2" max="2" width="20.28515625" style="53" customWidth="1"/>
    <col min="3" max="3" width="17.42578125" style="53" customWidth="1"/>
    <col min="4" max="14" width="11.42578125" style="53"/>
    <col min="15" max="15" width="1.7109375" style="53" customWidth="1"/>
    <col min="16" max="16384" width="11.42578125" style="53"/>
  </cols>
  <sheetData>
    <row r="1" spans="1:15" x14ac:dyDescent="0.2">
      <c r="B1" s="54"/>
      <c r="C1" s="54"/>
    </row>
    <row r="2" spans="1:15" ht="19.5" customHeight="1" x14ac:dyDescent="0.2">
      <c r="B2" s="213" t="s">
        <v>65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5" ht="19.5" customHeight="1" x14ac:dyDescent="0.2">
      <c r="B3" s="214" t="s">
        <v>66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</row>
    <row r="4" spans="1:15" ht="16.5" customHeight="1" x14ac:dyDescent="0.2">
      <c r="A4" s="215" t="s">
        <v>112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</row>
    <row r="5" spans="1:15" s="57" customFormat="1" ht="6.95" customHeight="1" x14ac:dyDescent="0.2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5"/>
    </row>
    <row r="6" spans="1:15" s="57" customFormat="1" ht="16.5" customHeight="1" x14ac:dyDescent="0.2">
      <c r="A6" s="55"/>
      <c r="B6" s="216" t="s">
        <v>67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55"/>
    </row>
    <row r="7" spans="1:15" ht="19.5" customHeight="1" x14ac:dyDescent="0.2">
      <c r="B7" s="58" t="s">
        <v>87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217" t="str">
        <f>CONCATENATE("Total de tabulados: ", COUNTIF(D10:D27,"&lt;&gt;"))</f>
        <v>Total de tabulados: 10</v>
      </c>
      <c r="N7" s="217"/>
    </row>
    <row r="8" spans="1:15" ht="6.95" customHeight="1" thickBot="1" x14ac:dyDescent="0.25"/>
    <row r="9" spans="1:15" ht="18.75" customHeight="1" thickBot="1" x14ac:dyDescent="0.25">
      <c r="B9" s="60" t="s">
        <v>68</v>
      </c>
      <c r="C9" s="61" t="s">
        <v>69</v>
      </c>
      <c r="D9" s="211" t="s">
        <v>70</v>
      </c>
      <c r="E9" s="211"/>
      <c r="F9" s="211"/>
      <c r="G9" s="211"/>
      <c r="H9" s="211"/>
      <c r="I9" s="211"/>
      <c r="J9" s="211"/>
      <c r="K9" s="211"/>
      <c r="L9" s="211"/>
      <c r="M9" s="211"/>
      <c r="N9" s="212"/>
    </row>
    <row r="10" spans="1:15" ht="50.1" customHeight="1" x14ac:dyDescent="0.2">
      <c r="B10" s="224" t="s">
        <v>76</v>
      </c>
      <c r="C10" s="82" t="s">
        <v>53</v>
      </c>
      <c r="D10" s="227" t="s">
        <v>0</v>
      </c>
      <c r="E10" s="228"/>
      <c r="F10" s="228"/>
      <c r="G10" s="228"/>
      <c r="H10" s="228"/>
      <c r="I10" s="228"/>
      <c r="J10" s="228"/>
      <c r="K10" s="228"/>
      <c r="L10" s="228"/>
      <c r="M10" s="228"/>
      <c r="N10" s="229"/>
    </row>
    <row r="11" spans="1:15" ht="50.1" customHeight="1" x14ac:dyDescent="0.2">
      <c r="B11" s="225"/>
      <c r="C11" s="83" t="s">
        <v>54</v>
      </c>
      <c r="D11" s="221" t="s">
        <v>63</v>
      </c>
      <c r="E11" s="222"/>
      <c r="F11" s="222"/>
      <c r="G11" s="222"/>
      <c r="H11" s="222"/>
      <c r="I11" s="222"/>
      <c r="J11" s="222"/>
      <c r="K11" s="222"/>
      <c r="L11" s="222"/>
      <c r="M11" s="222"/>
      <c r="N11" s="223"/>
    </row>
    <row r="12" spans="1:15" ht="50.1" customHeight="1" x14ac:dyDescent="0.2">
      <c r="B12" s="225"/>
      <c r="C12" s="83" t="s">
        <v>55</v>
      </c>
      <c r="D12" s="221" t="s">
        <v>73</v>
      </c>
      <c r="E12" s="222"/>
      <c r="F12" s="222"/>
      <c r="G12" s="222"/>
      <c r="H12" s="222"/>
      <c r="I12" s="222"/>
      <c r="J12" s="222"/>
      <c r="K12" s="222"/>
      <c r="L12" s="222"/>
      <c r="M12" s="222"/>
      <c r="N12" s="223"/>
    </row>
    <row r="13" spans="1:15" ht="50.1" customHeight="1" x14ac:dyDescent="0.2">
      <c r="B13" s="225"/>
      <c r="C13" s="83" t="s">
        <v>56</v>
      </c>
      <c r="D13" s="221" t="s">
        <v>72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3"/>
    </row>
    <row r="14" spans="1:15" ht="50.1" customHeight="1" x14ac:dyDescent="0.2">
      <c r="B14" s="225"/>
      <c r="C14" s="83" t="s">
        <v>57</v>
      </c>
      <c r="D14" s="221" t="s">
        <v>71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3"/>
    </row>
    <row r="15" spans="1:15" ht="50.1" customHeight="1" x14ac:dyDescent="0.2">
      <c r="B15" s="225"/>
      <c r="C15" s="83" t="s">
        <v>58</v>
      </c>
      <c r="D15" s="221" t="s">
        <v>83</v>
      </c>
      <c r="E15" s="222"/>
      <c r="F15" s="222"/>
      <c r="G15" s="222"/>
      <c r="H15" s="222"/>
      <c r="I15" s="222"/>
      <c r="J15" s="222"/>
      <c r="K15" s="222"/>
      <c r="L15" s="222"/>
      <c r="M15" s="222"/>
      <c r="N15" s="223"/>
    </row>
    <row r="16" spans="1:15" ht="50.1" customHeight="1" x14ac:dyDescent="0.2">
      <c r="B16" s="225"/>
      <c r="C16" s="83" t="s">
        <v>59</v>
      </c>
      <c r="D16" s="221" t="s">
        <v>84</v>
      </c>
      <c r="E16" s="222"/>
      <c r="F16" s="222"/>
      <c r="G16" s="222"/>
      <c r="H16" s="222"/>
      <c r="I16" s="222"/>
      <c r="J16" s="222"/>
      <c r="K16" s="222"/>
      <c r="L16" s="222"/>
      <c r="M16" s="222"/>
      <c r="N16" s="223"/>
    </row>
    <row r="17" spans="2:14" ht="50.1" customHeight="1" x14ac:dyDescent="0.2">
      <c r="B17" s="225"/>
      <c r="C17" s="83" t="s">
        <v>60</v>
      </c>
      <c r="D17" s="221" t="s">
        <v>85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3"/>
    </row>
    <row r="18" spans="2:14" ht="50.1" customHeight="1" x14ac:dyDescent="0.2">
      <c r="B18" s="225"/>
      <c r="C18" s="83" t="s">
        <v>61</v>
      </c>
      <c r="D18" s="221" t="s">
        <v>82</v>
      </c>
      <c r="E18" s="222"/>
      <c r="F18" s="222"/>
      <c r="G18" s="222"/>
      <c r="H18" s="222"/>
      <c r="I18" s="222"/>
      <c r="J18" s="222"/>
      <c r="K18" s="222"/>
      <c r="L18" s="222"/>
      <c r="M18" s="222"/>
      <c r="N18" s="223"/>
    </row>
    <row r="19" spans="2:14" ht="50.1" customHeight="1" thickBot="1" x14ac:dyDescent="0.25">
      <c r="B19" s="226"/>
      <c r="C19" s="83" t="s">
        <v>62</v>
      </c>
      <c r="D19" s="218" t="s">
        <v>86</v>
      </c>
      <c r="E19" s="219"/>
      <c r="F19" s="219"/>
      <c r="G19" s="219"/>
      <c r="H19" s="219"/>
      <c r="I19" s="219"/>
      <c r="J19" s="219"/>
      <c r="K19" s="219"/>
      <c r="L19" s="219"/>
      <c r="M19" s="219"/>
      <c r="N19" s="220"/>
    </row>
    <row r="20" spans="2:14" ht="39.950000000000003" customHeight="1" x14ac:dyDescent="0.2"/>
    <row r="29" spans="2:14" ht="14.25" customHeight="1" x14ac:dyDescent="0.2"/>
  </sheetData>
  <mergeCells count="17">
    <mergeCell ref="D19:N19"/>
    <mergeCell ref="D18:N18"/>
    <mergeCell ref="B10:B19"/>
    <mergeCell ref="D10:N10"/>
    <mergeCell ref="D11:N11"/>
    <mergeCell ref="D12:N12"/>
    <mergeCell ref="D13:N13"/>
    <mergeCell ref="D14:N14"/>
    <mergeCell ref="D15:N15"/>
    <mergeCell ref="D16:N16"/>
    <mergeCell ref="D17:N17"/>
    <mergeCell ref="D9:N9"/>
    <mergeCell ref="B2:N2"/>
    <mergeCell ref="B3:N3"/>
    <mergeCell ref="A4:O4"/>
    <mergeCell ref="B6:N6"/>
    <mergeCell ref="M7:N7"/>
  </mergeCells>
  <hyperlinks>
    <hyperlink ref="C10" location="'Cuadro 5.1'!A1" tooltip="Ir a Cuadro 5.1" display="Cuadro 5.1" xr:uid="{7F54D0C2-C1C4-46D3-A0C3-6C478FCA9C49}"/>
    <hyperlink ref="C11" location="'Cuadro 5.2'!A1" tooltip="Ir a Cuadro 5.2" display="Cuadro 5.2" xr:uid="{ED72ED27-72C8-4194-BBC0-09CA1C65CFDE}"/>
    <hyperlink ref="C19" location="'Cuadro 5.11'!A1" tooltip="Ir a Cuadro 5.11" display="Cuadro 5.11" xr:uid="{FAC7EC54-1C23-4E48-AF1C-A796F1865C08}"/>
    <hyperlink ref="C12" location="'Cuadro 5.3'!A1" tooltip="Ir a Cuadro 5.3" display="Cuadro 5.3" xr:uid="{88F14943-7CF7-4CDA-BABF-1482EFCBFDDA}"/>
    <hyperlink ref="C13" location="'Cuadro 5.4'!A1" tooltip="Ir a Cuadro 5.4" display="Cuadro 5.4" xr:uid="{1353539F-F4FD-441E-8B09-82C37CD903B1}"/>
    <hyperlink ref="C14" location="'Cuadro 5.5'!A1" tooltip="Ir a Cuadro 5.5" display="Cuadro 5.5" xr:uid="{3E86C207-44E7-4ABF-8A3A-5008343A4A62}"/>
    <hyperlink ref="C16" location="'Cuadro 5.8'!A1" tooltip="Ir a Cuadro 5.8" display="Cuadro 5.8" xr:uid="{896C66ED-DE5D-4FD0-AEAE-D28E35330691}"/>
    <hyperlink ref="C17" location="'Cuadro 5.9'!A1" tooltip="Ir a Cuadro 5.9" display="Cuadro 5.9" xr:uid="{8B70D8B9-D5A3-42E0-8B4E-A630CE68B5AE}"/>
    <hyperlink ref="C15" location="'Cuadro 5.7'!A1" tooltip="Ir a Cuadro 5.7" display="Cuadro 5.7" xr:uid="{942FA76F-CFD7-4AC1-B6F3-80B6ABB43079}"/>
    <hyperlink ref="C18" location="'Cuadro 5.10'!A1" tooltip="Ir a Cuadro 5.10" display="Cuadro 5.10" xr:uid="{0CEE9601-5E78-4E8D-862A-23E003B33CA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7.85546875" style="1" customWidth="1"/>
    <col min="3" max="3" width="1.7109375" style="1" customWidth="1" collapsed="1"/>
    <col min="4" max="4" width="12.7109375" style="1" customWidth="1" collapsed="1"/>
    <col min="5" max="5" width="1.7109375" style="1" customWidth="1" collapsed="1"/>
    <col min="6" max="7" width="11.5703125" style="1" customWidth="1" collapsed="1"/>
    <col min="8" max="8" width="1.7109375" style="1" customWidth="1" collapsed="1"/>
    <col min="9" max="9" width="11.5703125" style="1" customWidth="1" collapsed="1"/>
    <col min="10" max="10" width="12.7109375" style="1" customWidth="1" collapsed="1"/>
    <col min="11" max="11" width="1.7109375" style="2" customWidth="1"/>
    <col min="12" max="17" width="11.42578125" style="2"/>
    <col min="18" max="24" width="11.42578125" style="1"/>
    <col min="25" max="16384" width="11.42578125" style="1" collapsed="1"/>
  </cols>
  <sheetData>
    <row r="1" spans="2:17" s="68" customFormat="1" x14ac:dyDescent="0.2">
      <c r="B1" s="210" t="s">
        <v>129</v>
      </c>
      <c r="L1" s="70"/>
      <c r="M1" s="80" t="s">
        <v>74</v>
      </c>
      <c r="N1" s="70"/>
      <c r="O1" s="70"/>
      <c r="P1" s="70"/>
      <c r="Q1" s="70"/>
    </row>
    <row r="2" spans="2:17" s="68" customFormat="1" ht="6.95" customHeight="1" x14ac:dyDescent="0.25">
      <c r="B2" s="210"/>
      <c r="K2" s="70"/>
      <c r="L2" s="70"/>
      <c r="M2" s="70"/>
      <c r="N2" s="70"/>
      <c r="O2" s="70"/>
      <c r="P2" s="70"/>
      <c r="Q2" s="70"/>
    </row>
    <row r="3" spans="2:17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s="68" customFormat="1" ht="6.95" customHeight="1" x14ac:dyDescent="0.25">
      <c r="C4" s="71"/>
      <c r="K4" s="70"/>
      <c r="L4" s="70"/>
      <c r="M4" s="70"/>
      <c r="N4" s="70"/>
      <c r="O4" s="70"/>
      <c r="P4" s="70"/>
      <c r="Q4" s="70"/>
    </row>
    <row r="5" spans="2:17" s="68" customFormat="1" ht="25.5" customHeight="1" x14ac:dyDescent="0.2">
      <c r="B5" s="230" t="s">
        <v>0</v>
      </c>
      <c r="C5" s="230"/>
      <c r="D5" s="230"/>
      <c r="E5" s="230"/>
      <c r="F5" s="230"/>
      <c r="G5" s="230"/>
      <c r="H5" s="230"/>
      <c r="I5" s="230"/>
      <c r="J5" s="230"/>
      <c r="K5" s="230"/>
      <c r="L5" s="72"/>
      <c r="M5" s="79" t="s">
        <v>53</v>
      </c>
      <c r="N5" s="70"/>
      <c r="O5" s="70"/>
      <c r="P5" s="70"/>
      <c r="Q5" s="70"/>
    </row>
    <row r="6" spans="2:17" ht="6" customHeight="1" x14ac:dyDescent="0.25">
      <c r="B6" s="233"/>
      <c r="C6" s="233"/>
      <c r="D6" s="233"/>
      <c r="E6" s="233"/>
      <c r="F6" s="234"/>
      <c r="G6" s="234"/>
      <c r="H6" s="234"/>
      <c r="I6" s="234"/>
      <c r="J6" s="234"/>
    </row>
    <row r="7" spans="2:17" ht="15" customHeight="1" x14ac:dyDescent="0.25">
      <c r="B7" s="235" t="s">
        <v>1</v>
      </c>
      <c r="C7" s="235"/>
      <c r="D7" s="238" t="s">
        <v>2</v>
      </c>
      <c r="E7" s="5"/>
      <c r="F7" s="232" t="s">
        <v>51</v>
      </c>
      <c r="G7" s="232"/>
      <c r="H7" s="232"/>
      <c r="I7" s="232"/>
      <c r="J7" s="232"/>
      <c r="K7" s="232"/>
      <c r="L7" s="232"/>
      <c r="M7" s="232"/>
    </row>
    <row r="8" spans="2:17" ht="15" customHeight="1" x14ac:dyDescent="0.25">
      <c r="B8" s="236"/>
      <c r="C8" s="236"/>
      <c r="D8" s="239"/>
      <c r="E8" s="5"/>
      <c r="F8" s="241" t="s">
        <v>3</v>
      </c>
      <c r="G8" s="241"/>
      <c r="H8" s="27"/>
      <c r="I8" s="231" t="s">
        <v>4</v>
      </c>
      <c r="J8" s="231"/>
      <c r="K8" s="28"/>
      <c r="L8" s="231" t="s">
        <v>43</v>
      </c>
      <c r="M8" s="231"/>
    </row>
    <row r="9" spans="2:17" ht="13.5" customHeight="1" x14ac:dyDescent="0.25">
      <c r="B9" s="237"/>
      <c r="C9" s="237"/>
      <c r="D9" s="240"/>
      <c r="E9" s="6"/>
      <c r="F9" s="29" t="s">
        <v>5</v>
      </c>
      <c r="G9" s="29" t="s">
        <v>6</v>
      </c>
      <c r="H9" s="29"/>
      <c r="I9" s="29" t="s">
        <v>5</v>
      </c>
      <c r="J9" s="29" t="s">
        <v>6</v>
      </c>
      <c r="K9" s="81"/>
      <c r="L9" s="29" t="s">
        <v>5</v>
      </c>
      <c r="M9" s="29" t="s">
        <v>6</v>
      </c>
    </row>
    <row r="10" spans="2:17" ht="6" customHeight="1" x14ac:dyDescent="0.25">
      <c r="C10" s="26"/>
      <c r="D10" s="104"/>
      <c r="E10" s="104"/>
      <c r="F10" s="84"/>
      <c r="G10" s="86"/>
      <c r="H10" s="84"/>
      <c r="I10" s="84"/>
      <c r="J10" s="86"/>
      <c r="K10" s="105"/>
      <c r="L10" s="105"/>
      <c r="M10" s="86"/>
    </row>
    <row r="11" spans="2:17" s="88" customFormat="1" ht="12.95" customHeight="1" x14ac:dyDescent="0.2">
      <c r="B11" s="16" t="s">
        <v>7</v>
      </c>
      <c r="D11" s="181">
        <v>250260.72309012999</v>
      </c>
      <c r="E11" s="107"/>
      <c r="F11" s="181">
        <v>105958.232900252</v>
      </c>
      <c r="G11" s="181">
        <v>0.25763630599999998</v>
      </c>
      <c r="H11" s="125"/>
      <c r="I11" s="181">
        <v>220719.483131229</v>
      </c>
      <c r="J11" s="181">
        <v>0.25834577180000001</v>
      </c>
      <c r="K11" s="128"/>
      <c r="L11" s="185">
        <v>7310.7022171154003</v>
      </c>
      <c r="M11" s="181">
        <v>2.0210098400000001E-2</v>
      </c>
      <c r="N11" s="89"/>
      <c r="O11" s="90"/>
      <c r="P11" s="89"/>
      <c r="Q11" s="90"/>
    </row>
    <row r="12" spans="2:17" s="88" customFormat="1" ht="6" customHeight="1" x14ac:dyDescent="0.2">
      <c r="B12" s="16"/>
      <c r="D12" s="125"/>
      <c r="E12" s="107"/>
      <c r="F12" s="126"/>
      <c r="G12" s="127"/>
      <c r="H12" s="126"/>
      <c r="I12" s="126"/>
      <c r="J12" s="127"/>
      <c r="K12" s="128"/>
      <c r="L12" s="128"/>
      <c r="M12" s="127"/>
      <c r="N12" s="89"/>
      <c r="O12" s="90"/>
      <c r="P12" s="89"/>
      <c r="Q12" s="90"/>
    </row>
    <row r="13" spans="2:17" s="3" customFormat="1" ht="12.95" customHeight="1" x14ac:dyDescent="0.2">
      <c r="B13" s="20" t="s">
        <v>8</v>
      </c>
      <c r="D13" s="182">
        <v>9362.5604288325994</v>
      </c>
      <c r="E13" s="108"/>
      <c r="F13" s="182">
        <v>3974.8233886669</v>
      </c>
      <c r="G13" s="182">
        <v>0.91732435999999995</v>
      </c>
      <c r="H13" s="126"/>
      <c r="I13" s="182">
        <v>8564.7665175528</v>
      </c>
      <c r="J13" s="182">
        <v>0.91316929859999996</v>
      </c>
      <c r="K13" s="129"/>
      <c r="L13" s="183">
        <v>475.73834428409998</v>
      </c>
      <c r="M13" s="182">
        <v>0.11946444000000001</v>
      </c>
      <c r="N13" s="4"/>
      <c r="O13" s="4"/>
      <c r="P13" s="4"/>
      <c r="Q13" s="4"/>
    </row>
    <row r="14" spans="2:17" s="3" customFormat="1" ht="12.95" customHeight="1" x14ac:dyDescent="0.2">
      <c r="B14" s="20" t="s">
        <v>9</v>
      </c>
      <c r="D14" s="182">
        <v>30667.900587003602</v>
      </c>
      <c r="E14" s="108"/>
      <c r="F14" s="182">
        <v>19337.419328940599</v>
      </c>
      <c r="G14" s="182">
        <v>1.4942211921999999</v>
      </c>
      <c r="H14" s="126"/>
      <c r="I14" s="182">
        <v>27919.457493736802</v>
      </c>
      <c r="J14" s="182">
        <v>1.5010807182000001</v>
      </c>
      <c r="K14" s="129"/>
      <c r="L14" s="183">
        <v>1244.3162781221999</v>
      </c>
      <c r="M14" s="182">
        <v>0.10776649119999999</v>
      </c>
      <c r="N14" s="4"/>
      <c r="O14" s="4"/>
      <c r="P14" s="4"/>
      <c r="Q14" s="4"/>
    </row>
    <row r="15" spans="2:17" s="3" customFormat="1" ht="12.95" customHeight="1" x14ac:dyDescent="0.2">
      <c r="B15" s="20" t="s">
        <v>10</v>
      </c>
      <c r="D15" s="182">
        <v>9038.0646569114997</v>
      </c>
      <c r="E15" s="108"/>
      <c r="F15" s="182">
        <v>5173.8747422569004</v>
      </c>
      <c r="G15" s="184">
        <v>1.5627555969</v>
      </c>
      <c r="H15" s="108"/>
      <c r="I15" s="182">
        <v>6449.3830181967996</v>
      </c>
      <c r="J15" s="184">
        <v>1.5627555969</v>
      </c>
      <c r="K15" s="129"/>
      <c r="L15" s="183">
        <v>0</v>
      </c>
      <c r="M15" s="184">
        <v>0</v>
      </c>
      <c r="N15" s="4"/>
      <c r="O15" s="4"/>
      <c r="P15" s="4"/>
      <c r="Q15" s="4"/>
    </row>
    <row r="16" spans="2:17" s="3" customFormat="1" ht="12.95" customHeight="1" x14ac:dyDescent="0.2">
      <c r="B16" s="20" t="s">
        <v>11</v>
      </c>
      <c r="D16" s="182">
        <v>10080.177464787001</v>
      </c>
      <c r="E16" s="108"/>
      <c r="F16" s="182">
        <v>4445.6431763455003</v>
      </c>
      <c r="G16" s="184">
        <v>1.3411186351</v>
      </c>
      <c r="H16" s="108"/>
      <c r="I16" s="182">
        <v>8161.8584950459999</v>
      </c>
      <c r="J16" s="184">
        <v>1.3407851505999999</v>
      </c>
      <c r="K16" s="129"/>
      <c r="L16" s="183">
        <v>129.09686285890001</v>
      </c>
      <c r="M16" s="184">
        <v>4.9301953699999998E-2</v>
      </c>
      <c r="N16" s="4"/>
      <c r="O16" s="4"/>
      <c r="P16" s="4"/>
      <c r="Q16" s="4"/>
    </row>
    <row r="17" spans="2:24" s="3" customFormat="1" ht="12.95" customHeight="1" x14ac:dyDescent="0.2">
      <c r="B17" s="20" t="s">
        <v>12</v>
      </c>
      <c r="D17" s="182">
        <v>20581.753539188601</v>
      </c>
      <c r="E17" s="108"/>
      <c r="F17" s="182">
        <v>10105.5644493564</v>
      </c>
      <c r="G17" s="184">
        <v>1.0390495679</v>
      </c>
      <c r="H17" s="108"/>
      <c r="I17" s="182">
        <v>19628.361907393901</v>
      </c>
      <c r="J17" s="184">
        <v>1.0544507667</v>
      </c>
      <c r="K17" s="129"/>
      <c r="L17" s="183">
        <v>933.96573812960003</v>
      </c>
      <c r="M17" s="184">
        <v>0.1023115714</v>
      </c>
      <c r="N17" s="4"/>
      <c r="O17" s="4"/>
      <c r="P17" s="4"/>
      <c r="Q17" s="4"/>
    </row>
    <row r="18" spans="2:24" s="3" customFormat="1" ht="12.95" customHeight="1" x14ac:dyDescent="0.2">
      <c r="B18" s="20" t="s">
        <v>13</v>
      </c>
      <c r="D18" s="182">
        <v>8612.2121237758001</v>
      </c>
      <c r="E18" s="108"/>
      <c r="F18" s="182">
        <v>3021.5932988070999</v>
      </c>
      <c r="G18" s="184">
        <v>1.1218973803000001</v>
      </c>
      <c r="H18" s="108"/>
      <c r="I18" s="182">
        <v>7590.4862959952998</v>
      </c>
      <c r="J18" s="184">
        <v>1.1228392561</v>
      </c>
      <c r="K18" s="129"/>
      <c r="L18" s="183">
        <v>201.19890655770001</v>
      </c>
      <c r="M18" s="184">
        <v>8.6014513299999998E-2</v>
      </c>
      <c r="N18" s="4"/>
      <c r="O18" s="4"/>
      <c r="P18" s="4"/>
      <c r="Q18" s="4"/>
    </row>
    <row r="19" spans="2:24" s="3" customFormat="1" ht="12.95" customHeight="1" x14ac:dyDescent="0.2">
      <c r="B19" s="20" t="s">
        <v>14</v>
      </c>
      <c r="D19" s="182">
        <v>65259.754453488698</v>
      </c>
      <c r="E19" s="108"/>
      <c r="F19" s="182">
        <v>24523.240799788098</v>
      </c>
      <c r="G19" s="184">
        <v>1.2105917646</v>
      </c>
      <c r="H19" s="108"/>
      <c r="I19" s="182">
        <v>51431.143341265299</v>
      </c>
      <c r="J19" s="184">
        <v>1.2190243947999999</v>
      </c>
      <c r="K19" s="129"/>
      <c r="L19" s="183">
        <v>1401.001427551</v>
      </c>
      <c r="M19" s="184">
        <v>9.6214274500000002E-2</v>
      </c>
      <c r="N19" s="4"/>
      <c r="O19" s="4"/>
      <c r="P19" s="4"/>
      <c r="Q19" s="4"/>
    </row>
    <row r="20" spans="2:24" s="4" customFormat="1" ht="12.95" customHeight="1" x14ac:dyDescent="0.2">
      <c r="B20" s="20" t="s">
        <v>15</v>
      </c>
      <c r="C20" s="3"/>
      <c r="D20" s="182">
        <v>21729.674891123199</v>
      </c>
      <c r="E20" s="108"/>
      <c r="F20" s="182">
        <v>11366.583222867301</v>
      </c>
      <c r="G20" s="184">
        <v>0.97987203879999996</v>
      </c>
      <c r="H20" s="108"/>
      <c r="I20" s="182">
        <v>22561.522406153799</v>
      </c>
      <c r="J20" s="184">
        <v>0.98217140140000003</v>
      </c>
      <c r="K20" s="129"/>
      <c r="L20" s="183">
        <v>882.90996143430004</v>
      </c>
      <c r="M20" s="184">
        <v>7.6882288399999998E-2</v>
      </c>
      <c r="R20" s="3"/>
      <c r="S20" s="3"/>
      <c r="T20" s="3"/>
      <c r="U20" s="3"/>
      <c r="V20" s="3"/>
      <c r="W20" s="3"/>
      <c r="X20" s="3"/>
    </row>
    <row r="21" spans="2:24" s="4" customFormat="1" ht="12.95" customHeight="1" x14ac:dyDescent="0.2">
      <c r="B21" s="20" t="s">
        <v>16</v>
      </c>
      <c r="C21" s="3"/>
      <c r="D21" s="182">
        <v>53774.155230495897</v>
      </c>
      <c r="E21" s="108"/>
      <c r="F21" s="182">
        <v>39095.924431995998</v>
      </c>
      <c r="G21" s="184">
        <v>1.2233667823000001</v>
      </c>
      <c r="H21" s="108"/>
      <c r="I21" s="182">
        <v>48555.5063648086</v>
      </c>
      <c r="J21" s="184">
        <v>1.2256745013999999</v>
      </c>
      <c r="K21" s="129"/>
      <c r="L21" s="183">
        <v>2378.1255223389999</v>
      </c>
      <c r="M21" s="184">
        <v>8.4715590800000004E-2</v>
      </c>
      <c r="R21" s="3"/>
      <c r="S21" s="3"/>
      <c r="T21" s="3"/>
      <c r="U21" s="3"/>
      <c r="V21" s="3"/>
      <c r="W21" s="3"/>
      <c r="X21" s="3"/>
    </row>
    <row r="22" spans="2:24" s="4" customFormat="1" ht="12.95" customHeight="1" x14ac:dyDescent="0.2">
      <c r="B22" s="20" t="s">
        <v>17</v>
      </c>
      <c r="C22" s="3"/>
      <c r="D22" s="182">
        <v>12451.339215033</v>
      </c>
      <c r="E22" s="108"/>
      <c r="F22" s="182">
        <v>5787.9771251803004</v>
      </c>
      <c r="G22" s="184">
        <v>1.1069716028000001</v>
      </c>
      <c r="H22" s="108"/>
      <c r="I22" s="182">
        <v>12180.4080761365</v>
      </c>
      <c r="J22" s="184">
        <v>1.1087668608000001</v>
      </c>
      <c r="K22" s="129"/>
      <c r="L22" s="183">
        <v>359.92360300489997</v>
      </c>
      <c r="M22" s="184">
        <v>7.1015791999999994E-2</v>
      </c>
      <c r="R22" s="3"/>
      <c r="S22" s="3"/>
      <c r="T22" s="3"/>
      <c r="U22" s="3"/>
      <c r="V22" s="3"/>
      <c r="W22" s="3"/>
      <c r="X22" s="3"/>
    </row>
    <row r="23" spans="2:24" s="4" customFormat="1" ht="12.95" customHeight="1" x14ac:dyDescent="0.2">
      <c r="B23" s="20" t="s">
        <v>18</v>
      </c>
      <c r="C23" s="3"/>
      <c r="D23" s="182">
        <v>43662.953027581403</v>
      </c>
      <c r="E23" s="108"/>
      <c r="F23" s="182">
        <v>18324.9317222014</v>
      </c>
      <c r="G23" s="184">
        <v>1.0433200798</v>
      </c>
      <c r="H23" s="108"/>
      <c r="I23" s="182">
        <v>40831.519700175602</v>
      </c>
      <c r="J23" s="184">
        <v>1.0429584614</v>
      </c>
      <c r="K23" s="129"/>
      <c r="L23" s="183">
        <v>2044.6735680787999</v>
      </c>
      <c r="M23" s="184">
        <v>0.121970469</v>
      </c>
      <c r="R23" s="3"/>
      <c r="S23" s="3"/>
      <c r="T23" s="3"/>
      <c r="U23" s="3"/>
      <c r="V23" s="3"/>
      <c r="W23" s="3"/>
      <c r="X23" s="3"/>
    </row>
    <row r="24" spans="2:24" s="4" customFormat="1" ht="12.95" customHeight="1" x14ac:dyDescent="0.2">
      <c r="B24" s="20" t="s">
        <v>19</v>
      </c>
      <c r="C24" s="3"/>
      <c r="D24" s="182">
        <v>29227.595625408401</v>
      </c>
      <c r="E24" s="108"/>
      <c r="F24" s="182">
        <v>16281.6146624333</v>
      </c>
      <c r="G24" s="184">
        <v>1.437516523</v>
      </c>
      <c r="H24" s="108"/>
      <c r="I24" s="182">
        <v>24941.543273806801</v>
      </c>
      <c r="J24" s="184">
        <v>1.4402629577999999</v>
      </c>
      <c r="K24" s="129"/>
      <c r="L24" s="183">
        <v>595</v>
      </c>
      <c r="M24" s="184">
        <v>6.1072722199999999E-2</v>
      </c>
      <c r="R24" s="3"/>
      <c r="S24" s="3"/>
      <c r="T24" s="3"/>
      <c r="U24" s="3"/>
      <c r="V24" s="3"/>
      <c r="W24" s="3"/>
      <c r="X24" s="3"/>
    </row>
    <row r="25" spans="2:24" s="4" customFormat="1" ht="12.95" customHeight="1" x14ac:dyDescent="0.2">
      <c r="B25" s="20" t="s">
        <v>20</v>
      </c>
      <c r="C25" s="3"/>
      <c r="D25" s="182">
        <v>25147.753568331998</v>
      </c>
      <c r="E25" s="108"/>
      <c r="F25" s="182">
        <v>9331.4898358281007</v>
      </c>
      <c r="G25" s="184">
        <v>0.99305389749999995</v>
      </c>
      <c r="H25" s="108"/>
      <c r="I25" s="182">
        <v>23459.519341917501</v>
      </c>
      <c r="J25" s="184">
        <v>0.99214984630000003</v>
      </c>
      <c r="K25" s="129"/>
      <c r="L25" s="183">
        <v>566.437993076</v>
      </c>
      <c r="M25" s="184">
        <v>6.4421203999999996E-2</v>
      </c>
      <c r="R25" s="3"/>
      <c r="S25" s="3"/>
      <c r="T25" s="3"/>
      <c r="U25" s="3"/>
      <c r="V25" s="3"/>
      <c r="W25" s="3"/>
      <c r="X25" s="3"/>
    </row>
    <row r="26" spans="2:24" s="4" customFormat="1" ht="12.95" customHeight="1" x14ac:dyDescent="0.2">
      <c r="B26" s="20" t="s">
        <v>21</v>
      </c>
      <c r="C26" s="3"/>
      <c r="D26" s="182">
        <v>60219.557228772697</v>
      </c>
      <c r="E26" s="108"/>
      <c r="F26" s="182">
        <v>24713.322113776499</v>
      </c>
      <c r="G26" s="184">
        <v>0.96265183259999998</v>
      </c>
      <c r="H26" s="108"/>
      <c r="I26" s="182">
        <v>55730.575500436302</v>
      </c>
      <c r="J26" s="184">
        <v>0.96094475660000001</v>
      </c>
      <c r="K26" s="129"/>
      <c r="L26" s="183">
        <v>1931.9578152744</v>
      </c>
      <c r="M26" s="184">
        <v>8.0856584699999998E-2</v>
      </c>
      <c r="R26" s="3"/>
      <c r="S26" s="3"/>
      <c r="T26" s="3"/>
      <c r="U26" s="3"/>
      <c r="V26" s="3"/>
      <c r="W26" s="3"/>
      <c r="X26" s="3"/>
    </row>
    <row r="27" spans="2:24" s="4" customFormat="1" ht="12.95" customHeight="1" x14ac:dyDescent="0.2">
      <c r="B27" s="23" t="s">
        <v>22</v>
      </c>
      <c r="C27" s="3"/>
      <c r="D27" s="182">
        <v>154102.19178467401</v>
      </c>
      <c r="E27" s="108"/>
      <c r="F27" s="182">
        <v>56765.649370171799</v>
      </c>
      <c r="G27" s="184">
        <v>1.0401216644</v>
      </c>
      <c r="H27" s="108"/>
      <c r="I27" s="182">
        <v>136796.66449246299</v>
      </c>
      <c r="J27" s="184">
        <v>1.0441224162</v>
      </c>
      <c r="K27" s="129"/>
      <c r="L27" s="183">
        <v>3909.3186087214999</v>
      </c>
      <c r="M27" s="184">
        <v>8.1872066100000002E-2</v>
      </c>
      <c r="R27" s="3"/>
      <c r="S27" s="3"/>
      <c r="T27" s="3"/>
      <c r="U27" s="3"/>
      <c r="V27" s="3"/>
      <c r="W27" s="3"/>
      <c r="X27" s="3"/>
    </row>
    <row r="28" spans="2:24" s="4" customFormat="1" ht="12.95" customHeight="1" x14ac:dyDescent="0.2">
      <c r="B28" s="20" t="s">
        <v>23</v>
      </c>
      <c r="C28" s="3"/>
      <c r="D28" s="182">
        <v>48980.807753356698</v>
      </c>
      <c r="E28" s="108"/>
      <c r="F28" s="182">
        <v>17019.088201736799</v>
      </c>
      <c r="G28" s="184">
        <v>1.0366917379</v>
      </c>
      <c r="H28" s="108"/>
      <c r="I28" s="182">
        <v>41651.859836787102</v>
      </c>
      <c r="J28" s="184">
        <v>1.0617585316</v>
      </c>
      <c r="K28" s="129"/>
      <c r="L28" s="183">
        <v>1348.1427965908999</v>
      </c>
      <c r="M28" s="184">
        <v>0.100776478</v>
      </c>
      <c r="R28" s="3"/>
      <c r="S28" s="3"/>
      <c r="T28" s="3"/>
      <c r="U28" s="3"/>
      <c r="V28" s="3"/>
      <c r="W28" s="3"/>
      <c r="X28" s="3"/>
    </row>
    <row r="29" spans="2:24" s="4" customFormat="1" ht="12.95" customHeight="1" x14ac:dyDescent="0.2">
      <c r="B29" s="20" t="s">
        <v>24</v>
      </c>
      <c r="C29" s="3"/>
      <c r="D29" s="182">
        <v>20541.2434334073</v>
      </c>
      <c r="E29" s="108"/>
      <c r="F29" s="182">
        <v>6113.3536156424998</v>
      </c>
      <c r="G29" s="184">
        <v>1.1521323133000001</v>
      </c>
      <c r="H29" s="108"/>
      <c r="I29" s="182">
        <v>20808.299349067001</v>
      </c>
      <c r="J29" s="184">
        <v>1.1520266693000001</v>
      </c>
      <c r="K29" s="129"/>
      <c r="L29" s="183">
        <v>364</v>
      </c>
      <c r="M29" s="184">
        <v>6.1280048400000002E-2</v>
      </c>
      <c r="R29" s="3"/>
      <c r="S29" s="3"/>
      <c r="T29" s="3"/>
      <c r="U29" s="3"/>
      <c r="V29" s="3"/>
      <c r="W29" s="3"/>
      <c r="X29" s="3"/>
    </row>
    <row r="30" spans="2:24" s="4" customFormat="1" ht="12.95" customHeight="1" x14ac:dyDescent="0.2">
      <c r="B30" s="20" t="s">
        <v>25</v>
      </c>
      <c r="C30" s="3"/>
      <c r="D30" s="182">
        <v>10262.2485268529</v>
      </c>
      <c r="E30" s="108"/>
      <c r="F30" s="182">
        <v>5316.9751402616002</v>
      </c>
      <c r="G30" s="184">
        <v>1.2116094401999999</v>
      </c>
      <c r="H30" s="108"/>
      <c r="I30" s="182">
        <v>8445.2497601293999</v>
      </c>
      <c r="J30" s="184">
        <v>1.2183039255000001</v>
      </c>
      <c r="K30" s="129"/>
      <c r="L30" s="183">
        <v>185</v>
      </c>
      <c r="M30" s="184">
        <v>5.0814361299999999E-2</v>
      </c>
      <c r="R30" s="3"/>
      <c r="S30" s="3"/>
      <c r="T30" s="3"/>
      <c r="U30" s="3"/>
      <c r="V30" s="3"/>
      <c r="W30" s="3"/>
      <c r="X30" s="3"/>
    </row>
    <row r="31" spans="2:24" s="4" customFormat="1" ht="12.95" customHeight="1" x14ac:dyDescent="0.2">
      <c r="B31" s="20" t="s">
        <v>26</v>
      </c>
      <c r="C31" s="3"/>
      <c r="D31" s="182">
        <v>47509.691131512198</v>
      </c>
      <c r="E31" s="108"/>
      <c r="F31" s="182">
        <v>17956.984197016802</v>
      </c>
      <c r="G31" s="184">
        <v>1.0141366494999999</v>
      </c>
      <c r="H31" s="108"/>
      <c r="I31" s="182">
        <v>45934.192957455998</v>
      </c>
      <c r="J31" s="184">
        <v>1.0150154615</v>
      </c>
      <c r="K31" s="129"/>
      <c r="L31" s="183">
        <v>1237.196023272</v>
      </c>
      <c r="M31" s="184">
        <v>7.2774549800000005E-2</v>
      </c>
      <c r="R31" s="3"/>
      <c r="S31" s="3"/>
      <c r="T31" s="3"/>
      <c r="U31" s="3"/>
      <c r="V31" s="3"/>
      <c r="W31" s="3"/>
      <c r="X31" s="3"/>
    </row>
    <row r="32" spans="2:24" s="4" customFormat="1" ht="12.95" customHeight="1" x14ac:dyDescent="0.2">
      <c r="B32" s="20" t="s">
        <v>27</v>
      </c>
      <c r="C32" s="3"/>
      <c r="D32" s="182">
        <v>53248.154462816798</v>
      </c>
      <c r="E32" s="108"/>
      <c r="F32" s="182">
        <v>21077.694127693601</v>
      </c>
      <c r="G32" s="184">
        <v>1.3738244478999999</v>
      </c>
      <c r="H32" s="108"/>
      <c r="I32" s="182">
        <v>42503.529453370596</v>
      </c>
      <c r="J32" s="184">
        <v>1.3738244478999999</v>
      </c>
      <c r="K32" s="129"/>
      <c r="L32" s="183">
        <v>0</v>
      </c>
      <c r="M32" s="184">
        <v>0</v>
      </c>
      <c r="R32" s="3"/>
      <c r="S32" s="3"/>
      <c r="T32" s="3"/>
      <c r="U32" s="3"/>
      <c r="V32" s="3"/>
      <c r="W32" s="3"/>
      <c r="X32" s="3"/>
    </row>
    <row r="33" spans="1:24" s="4" customFormat="1" ht="12.95" customHeight="1" x14ac:dyDescent="0.2">
      <c r="B33" s="20" t="s">
        <v>28</v>
      </c>
      <c r="C33" s="3"/>
      <c r="D33" s="182">
        <v>61405.772431330399</v>
      </c>
      <c r="E33" s="108"/>
      <c r="F33" s="182">
        <v>28040.784324331398</v>
      </c>
      <c r="G33" s="184">
        <v>1.4095637861999999</v>
      </c>
      <c r="H33" s="108"/>
      <c r="I33" s="182">
        <v>54736.0504403011</v>
      </c>
      <c r="J33" s="184">
        <v>1.4076675669000001</v>
      </c>
      <c r="K33" s="129"/>
      <c r="L33" s="183">
        <v>809</v>
      </c>
      <c r="M33" s="184">
        <v>4.5650926100000003E-2</v>
      </c>
      <c r="R33" s="3"/>
      <c r="S33" s="3"/>
      <c r="T33" s="3"/>
      <c r="U33" s="3"/>
      <c r="V33" s="3"/>
      <c r="W33" s="3"/>
      <c r="X33" s="3"/>
    </row>
    <row r="34" spans="1:24" s="4" customFormat="1" ht="12.95" customHeight="1" x14ac:dyDescent="0.2">
      <c r="B34" s="20" t="s">
        <v>29</v>
      </c>
      <c r="C34" s="3"/>
      <c r="D34" s="182">
        <v>33271.499208339301</v>
      </c>
      <c r="E34" s="108"/>
      <c r="F34" s="182">
        <v>11145.868273914301</v>
      </c>
      <c r="G34" s="184">
        <v>1.3677842206999999</v>
      </c>
      <c r="H34" s="108"/>
      <c r="I34" s="182">
        <v>28477.477284353201</v>
      </c>
      <c r="J34" s="184">
        <v>1.3558211722</v>
      </c>
      <c r="K34" s="129"/>
      <c r="L34" s="183">
        <v>894.63903335370003</v>
      </c>
      <c r="M34" s="184">
        <v>0.13031415330000001</v>
      </c>
      <c r="R34" s="3"/>
      <c r="S34" s="3"/>
      <c r="T34" s="3"/>
      <c r="U34" s="3"/>
      <c r="V34" s="3"/>
      <c r="W34" s="3"/>
      <c r="X34" s="3"/>
    </row>
    <row r="35" spans="1:24" s="4" customFormat="1" ht="12.95" customHeight="1" x14ac:dyDescent="0.2">
      <c r="B35" s="20" t="s">
        <v>30</v>
      </c>
      <c r="C35" s="3"/>
      <c r="D35" s="182">
        <v>22050.121615099601</v>
      </c>
      <c r="E35" s="108"/>
      <c r="F35" s="182">
        <v>9283.6504094403008</v>
      </c>
      <c r="G35" s="184">
        <v>1.5660673312</v>
      </c>
      <c r="H35" s="108"/>
      <c r="I35" s="182">
        <v>20497.536257478401</v>
      </c>
      <c r="J35" s="184">
        <v>1.5736470467999999</v>
      </c>
      <c r="K35" s="129"/>
      <c r="L35" s="183">
        <v>663.20735822209997</v>
      </c>
      <c r="M35" s="184">
        <v>0.1179642123</v>
      </c>
      <c r="R35" s="3"/>
      <c r="S35" s="3"/>
      <c r="T35" s="3"/>
      <c r="U35" s="3"/>
      <c r="V35" s="3"/>
      <c r="W35" s="3"/>
      <c r="X35" s="3"/>
    </row>
    <row r="36" spans="1:24" s="4" customFormat="1" ht="12.95" customHeight="1" x14ac:dyDescent="0.2">
      <c r="B36" s="20" t="s">
        <v>31</v>
      </c>
      <c r="C36" s="3"/>
      <c r="D36" s="182">
        <v>16199.5442898978</v>
      </c>
      <c r="E36" s="108"/>
      <c r="F36" s="182">
        <v>8709.9984939175993</v>
      </c>
      <c r="G36" s="184">
        <v>1.0016746996000001</v>
      </c>
      <c r="H36" s="108"/>
      <c r="I36" s="182">
        <v>14608.1433971717</v>
      </c>
      <c r="J36" s="184">
        <v>0.99892203440000005</v>
      </c>
      <c r="K36" s="129"/>
      <c r="L36" s="183">
        <v>623.50060144320003</v>
      </c>
      <c r="M36" s="184">
        <v>7.8901837599999997E-2</v>
      </c>
      <c r="R36" s="3"/>
      <c r="S36" s="3"/>
      <c r="T36" s="3"/>
      <c r="U36" s="3"/>
      <c r="V36" s="3"/>
      <c r="W36" s="3"/>
      <c r="X36" s="3"/>
    </row>
    <row r="37" spans="1:24" s="4" customFormat="1" ht="12.95" customHeight="1" x14ac:dyDescent="0.2">
      <c r="B37" s="20" t="s">
        <v>32</v>
      </c>
      <c r="C37" s="3"/>
      <c r="D37" s="182">
        <v>19436.070996340299</v>
      </c>
      <c r="E37" s="108"/>
      <c r="F37" s="182">
        <v>9220.0539519966005</v>
      </c>
      <c r="G37" s="184">
        <v>1.050798393</v>
      </c>
      <c r="H37" s="108"/>
      <c r="I37" s="182">
        <v>19008.975117989601</v>
      </c>
      <c r="J37" s="184">
        <v>1.0690384216</v>
      </c>
      <c r="K37" s="129"/>
      <c r="L37" s="183">
        <v>1185.5167649595001</v>
      </c>
      <c r="M37" s="184">
        <v>0.1358151994</v>
      </c>
      <c r="R37" s="3"/>
      <c r="S37" s="3"/>
      <c r="T37" s="3"/>
      <c r="U37" s="3"/>
      <c r="V37" s="3"/>
      <c r="W37" s="3"/>
      <c r="X37" s="3"/>
    </row>
    <row r="38" spans="1:24" s="4" customFormat="1" ht="12.95" customHeight="1" x14ac:dyDescent="0.2">
      <c r="B38" s="20" t="s">
        <v>33</v>
      </c>
      <c r="C38" s="3"/>
      <c r="D38" s="182">
        <v>26162.194676580599</v>
      </c>
      <c r="E38" s="108"/>
      <c r="F38" s="182">
        <v>10768.713563072301</v>
      </c>
      <c r="G38" s="184">
        <v>1.0695561376</v>
      </c>
      <c r="H38" s="108"/>
      <c r="I38" s="182">
        <v>22849.422869153201</v>
      </c>
      <c r="J38" s="184">
        <v>1.0708116276999999</v>
      </c>
      <c r="K38" s="129"/>
      <c r="L38" s="183">
        <v>689.85940596620003</v>
      </c>
      <c r="M38" s="184">
        <v>7.8207336099999997E-2</v>
      </c>
      <c r="R38" s="3"/>
      <c r="S38" s="3"/>
      <c r="T38" s="3"/>
      <c r="U38" s="3"/>
      <c r="V38" s="3"/>
      <c r="W38" s="3"/>
      <c r="X38" s="3"/>
    </row>
    <row r="39" spans="1:24" s="4" customFormat="1" ht="12.95" customHeight="1" x14ac:dyDescent="0.2">
      <c r="B39" s="20" t="s">
        <v>34</v>
      </c>
      <c r="C39" s="3"/>
      <c r="D39" s="182">
        <v>25398.5941537945</v>
      </c>
      <c r="E39" s="108"/>
      <c r="F39" s="182">
        <v>12898.7373872804</v>
      </c>
      <c r="G39" s="184">
        <v>1.529347966</v>
      </c>
      <c r="H39" s="108"/>
      <c r="I39" s="182">
        <v>20890.7745020521</v>
      </c>
      <c r="J39" s="184">
        <v>1.5338242974</v>
      </c>
      <c r="K39" s="129"/>
      <c r="L39" s="183">
        <v>613.4011737843</v>
      </c>
      <c r="M39" s="184">
        <v>8.7544127400000005E-2</v>
      </c>
      <c r="R39" s="3"/>
      <c r="S39" s="3"/>
      <c r="T39" s="3"/>
      <c r="U39" s="3"/>
      <c r="V39" s="3"/>
      <c r="W39" s="3"/>
      <c r="X39" s="3"/>
    </row>
    <row r="40" spans="1:24" s="4" customFormat="1" ht="12.95" customHeight="1" x14ac:dyDescent="0.2">
      <c r="B40" s="20" t="s">
        <v>35</v>
      </c>
      <c r="C40" s="3"/>
      <c r="D40" s="182">
        <v>22381.889964789701</v>
      </c>
      <c r="E40" s="108"/>
      <c r="F40" s="182">
        <v>12338.6370543024</v>
      </c>
      <c r="G40" s="184">
        <v>1.0334478251000001</v>
      </c>
      <c r="H40" s="108"/>
      <c r="I40" s="182">
        <v>18993.140649185301</v>
      </c>
      <c r="J40" s="184">
        <v>1.0310601939999999</v>
      </c>
      <c r="K40" s="129"/>
      <c r="L40" s="183">
        <v>1053.2302692194</v>
      </c>
      <c r="M40" s="184">
        <v>9.9123319799999998E-2</v>
      </c>
      <c r="R40" s="3"/>
      <c r="S40" s="3"/>
      <c r="T40" s="3"/>
      <c r="U40" s="3"/>
      <c r="V40" s="3"/>
      <c r="W40" s="3"/>
      <c r="X40" s="3"/>
    </row>
    <row r="41" spans="1:24" s="4" customFormat="1" ht="12.95" customHeight="1" x14ac:dyDescent="0.2">
      <c r="B41" s="20" t="s">
        <v>36</v>
      </c>
      <c r="C41" s="3"/>
      <c r="D41" s="182">
        <v>9438.4892405188002</v>
      </c>
      <c r="E41" s="108"/>
      <c r="F41" s="182">
        <v>5211.7822396007004</v>
      </c>
      <c r="G41" s="184">
        <v>1.3022474001</v>
      </c>
      <c r="H41" s="108"/>
      <c r="I41" s="182">
        <v>8215.1546400275001</v>
      </c>
      <c r="J41" s="184">
        <v>1.2957662276999999</v>
      </c>
      <c r="K41" s="129"/>
      <c r="L41" s="183">
        <v>346.00281879959999</v>
      </c>
      <c r="M41" s="184">
        <v>9.9593567300000005E-2</v>
      </c>
      <c r="R41" s="3"/>
      <c r="S41" s="3"/>
      <c r="T41" s="3"/>
      <c r="U41" s="3"/>
      <c r="V41" s="3"/>
      <c r="W41" s="3"/>
      <c r="X41" s="3"/>
    </row>
    <row r="42" spans="1:24" s="4" customFormat="1" ht="12.95" customHeight="1" x14ac:dyDescent="0.2">
      <c r="B42" s="20" t="s">
        <v>37</v>
      </c>
      <c r="C42" s="3"/>
      <c r="D42" s="182">
        <v>75073.973302049504</v>
      </c>
      <c r="E42" s="108"/>
      <c r="F42" s="182">
        <v>31913.895347425401</v>
      </c>
      <c r="G42" s="184">
        <v>1.1029239966</v>
      </c>
      <c r="H42" s="108"/>
      <c r="I42" s="182">
        <v>62997.5839729363</v>
      </c>
      <c r="J42" s="184">
        <v>1.1054092820999999</v>
      </c>
      <c r="K42" s="129"/>
      <c r="L42" s="183">
        <v>2940.6361556643001</v>
      </c>
      <c r="M42" s="184">
        <v>0.122336901</v>
      </c>
      <c r="R42" s="3"/>
      <c r="S42" s="3"/>
      <c r="T42" s="3"/>
      <c r="U42" s="3"/>
      <c r="V42" s="3"/>
      <c r="W42" s="3"/>
      <c r="X42" s="3"/>
    </row>
    <row r="43" spans="1:24" s="4" customFormat="1" ht="12.95" customHeight="1" x14ac:dyDescent="0.2">
      <c r="B43" s="20" t="s">
        <v>38</v>
      </c>
      <c r="C43" s="3"/>
      <c r="D43" s="182">
        <v>23033.342983461502</v>
      </c>
      <c r="E43" s="108"/>
      <c r="F43" s="182">
        <v>9319.2933542898008</v>
      </c>
      <c r="G43" s="184">
        <v>1.2799885187</v>
      </c>
      <c r="H43" s="108"/>
      <c r="I43" s="182">
        <v>21188.6533821177</v>
      </c>
      <c r="J43" s="184">
        <v>1.2794173713999999</v>
      </c>
      <c r="K43" s="129"/>
      <c r="L43" s="183">
        <v>641.73670613419995</v>
      </c>
      <c r="M43" s="184">
        <v>9.4291666199999999E-2</v>
      </c>
      <c r="R43" s="3"/>
      <c r="S43" s="3"/>
      <c r="T43" s="3"/>
      <c r="U43" s="3"/>
      <c r="V43" s="3"/>
      <c r="W43" s="3"/>
      <c r="X43" s="3"/>
    </row>
    <row r="44" spans="1:24" s="4" customFormat="1" ht="12.95" customHeight="1" x14ac:dyDescent="0.2">
      <c r="B44" s="20" t="s">
        <v>39</v>
      </c>
      <c r="C44" s="3"/>
      <c r="D44" s="182">
        <v>16348.792928994601</v>
      </c>
      <c r="E44" s="108"/>
      <c r="F44" s="182">
        <v>4393.6771832551003</v>
      </c>
      <c r="G44" s="184">
        <v>0.88786096430000006</v>
      </c>
      <c r="H44" s="108"/>
      <c r="I44" s="182">
        <v>15235.175061467</v>
      </c>
      <c r="J44" s="184">
        <v>0.88786096430000006</v>
      </c>
      <c r="K44" s="129"/>
      <c r="L44" s="183">
        <v>0</v>
      </c>
      <c r="M44" s="184">
        <v>0</v>
      </c>
      <c r="R44" s="3"/>
      <c r="S44" s="3"/>
      <c r="T44" s="3"/>
      <c r="U44" s="3"/>
      <c r="V44" s="3"/>
      <c r="W44" s="3"/>
      <c r="X44" s="3"/>
    </row>
    <row r="45" spans="1:24" s="4" customFormat="1" ht="6" customHeight="1" x14ac:dyDescent="0.2">
      <c r="B45" s="21"/>
      <c r="C45" s="91"/>
      <c r="D45" s="110"/>
      <c r="E45" s="111"/>
      <c r="F45" s="110"/>
      <c r="G45" s="112"/>
      <c r="H45" s="111"/>
      <c r="I45" s="110"/>
      <c r="J45" s="112"/>
      <c r="K45" s="106"/>
      <c r="L45" s="106"/>
      <c r="M45" s="112"/>
    </row>
    <row r="46" spans="1:24" s="2" customFormat="1" ht="6" customHeight="1" x14ac:dyDescent="0.2">
      <c r="A46" s="63"/>
      <c r="C46" s="22"/>
      <c r="D46" s="22"/>
      <c r="E46" s="22"/>
      <c r="F46" s="22"/>
      <c r="G46" s="22"/>
      <c r="H46" s="22"/>
      <c r="I46" s="22"/>
      <c r="J46" s="22"/>
      <c r="R46" s="1"/>
      <c r="S46" s="1"/>
      <c r="T46" s="1"/>
      <c r="U46" s="1"/>
      <c r="V46" s="1"/>
      <c r="W46" s="1"/>
      <c r="X46" s="1"/>
    </row>
    <row r="47" spans="1:24" s="101" customFormat="1" ht="14.25" x14ac:dyDescent="0.2">
      <c r="B47" s="102" t="s">
        <v>75</v>
      </c>
    </row>
    <row r="48" spans="1:24" s="10" customFormat="1" ht="12.75" customHeight="1" x14ac:dyDescent="0.25">
      <c r="A48" s="64"/>
      <c r="D48" s="12"/>
      <c r="I48" s="11"/>
      <c r="K48" s="11"/>
      <c r="L48" s="11"/>
      <c r="M48" s="11"/>
      <c r="N48" s="11"/>
      <c r="O48" s="11"/>
      <c r="P48" s="11"/>
      <c r="Q48" s="11"/>
    </row>
    <row r="49" spans="2:4" ht="12.75" customHeight="1" x14ac:dyDescent="0.25">
      <c r="C49" s="13"/>
      <c r="D49" s="13"/>
    </row>
    <row r="50" spans="2:4" ht="12.75" customHeight="1" x14ac:dyDescent="0.25">
      <c r="B50" s="14"/>
      <c r="D50" s="15"/>
    </row>
  </sheetData>
  <mergeCells count="8">
    <mergeCell ref="B5:K5"/>
    <mergeCell ref="L8:M8"/>
    <mergeCell ref="F7:M7"/>
    <mergeCell ref="B6:J6"/>
    <mergeCell ref="B7:C9"/>
    <mergeCell ref="D7:D9"/>
    <mergeCell ref="F8:G8"/>
    <mergeCell ref="I8:J8"/>
  </mergeCells>
  <phoneticPr fontId="37" type="noConversion"/>
  <hyperlinks>
    <hyperlink ref="M1" location="Índice!A1" tooltip="Ir a ÍNDICE" display="INDICE" xr:uid="{59D30337-49AD-4587-83A8-30EE468D530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338B-AACB-437A-8A14-AC84746CDF0F}">
  <sheetPr>
    <pageSetUpPr fitToPage="1"/>
  </sheetPr>
  <dimension ref="A1:AA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4.710937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9" width="8.7109375" style="1" customWidth="1" collapsed="1"/>
    <col min="10" max="10" width="1.7109375" style="1" customWidth="1" collapsed="1"/>
    <col min="11" max="12" width="8.7109375" style="1" customWidth="1" collapsed="1"/>
    <col min="13" max="13" width="1.7109375" style="2" customWidth="1"/>
    <col min="14" max="14" width="10.5703125" style="2" customWidth="1"/>
    <col min="15" max="15" width="8.7109375" style="2" customWidth="1"/>
    <col min="16" max="16" width="1.7109375" style="1" customWidth="1"/>
    <col min="17" max="17" width="11.42578125" style="1"/>
    <col min="18" max="18" width="11.42578125" style="1" collapsed="1"/>
    <col min="19" max="27" width="11.42578125" style="1"/>
    <col min="28" max="16384" width="11.42578125" style="1" collapsed="1"/>
  </cols>
  <sheetData>
    <row r="1" spans="1:18" s="68" customFormat="1" x14ac:dyDescent="0.2">
      <c r="B1" s="210" t="s">
        <v>129</v>
      </c>
      <c r="M1" s="70"/>
      <c r="N1" s="70"/>
      <c r="O1" s="70"/>
      <c r="R1" s="80" t="s">
        <v>74</v>
      </c>
    </row>
    <row r="2" spans="1:18" s="68" customFormat="1" ht="6.95" customHeight="1" x14ac:dyDescent="0.25">
      <c r="B2" s="210"/>
      <c r="M2" s="70"/>
      <c r="N2" s="70"/>
      <c r="O2" s="70"/>
    </row>
    <row r="3" spans="1:18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8" s="68" customFormat="1" ht="6.95" customHeight="1" x14ac:dyDescent="0.25">
      <c r="C4" s="71"/>
      <c r="M4" s="70"/>
      <c r="N4" s="70"/>
      <c r="O4" s="70"/>
      <c r="Q4" s="78"/>
    </row>
    <row r="5" spans="1:18" s="68" customFormat="1" ht="25.5" customHeight="1" x14ac:dyDescent="0.2">
      <c r="B5" s="242" t="s">
        <v>63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54</v>
      </c>
    </row>
    <row r="6" spans="1:18" s="19" customFormat="1" ht="6" customHeight="1" x14ac:dyDescent="0.25">
      <c r="A6" s="66"/>
      <c r="B6" s="243"/>
      <c r="C6" s="243"/>
      <c r="D6" s="243"/>
      <c r="E6" s="243"/>
      <c r="F6" s="244"/>
      <c r="G6" s="244"/>
      <c r="H6" s="244"/>
      <c r="I6" s="244"/>
      <c r="J6" s="244"/>
      <c r="K6" s="244"/>
      <c r="L6" s="244"/>
      <c r="M6" s="32"/>
      <c r="N6" s="32"/>
      <c r="O6" s="32"/>
      <c r="P6" s="33"/>
      <c r="Q6" s="33"/>
      <c r="R6" s="33"/>
    </row>
    <row r="7" spans="1:18" ht="29.25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1:18" ht="15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37"/>
      <c r="N8" s="232" t="s">
        <v>42</v>
      </c>
      <c r="O8" s="232"/>
      <c r="P8" s="37"/>
      <c r="Q8" s="232" t="s">
        <v>43</v>
      </c>
      <c r="R8" s="232"/>
    </row>
    <row r="9" spans="1:18" ht="15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1:18" s="19" customFormat="1" ht="6" customHeight="1" x14ac:dyDescent="0.25">
      <c r="A10" s="66"/>
      <c r="B10" s="33"/>
      <c r="C10" s="39"/>
      <c r="D10" s="113"/>
      <c r="E10" s="113"/>
      <c r="F10" s="116"/>
      <c r="G10" s="113"/>
      <c r="H10" s="85"/>
      <c r="I10" s="87"/>
      <c r="J10" s="85"/>
      <c r="K10" s="85"/>
      <c r="L10" s="87"/>
      <c r="M10" s="114"/>
      <c r="N10" s="114"/>
      <c r="O10" s="87"/>
      <c r="P10" s="115"/>
      <c r="Q10" s="115"/>
      <c r="R10" s="87"/>
    </row>
    <row r="11" spans="1:18" s="88" customFormat="1" ht="12.95" customHeight="1" x14ac:dyDescent="0.2">
      <c r="B11" s="40" t="s">
        <v>7</v>
      </c>
      <c r="C11" s="92"/>
      <c r="D11" s="181">
        <v>105958.232900252</v>
      </c>
      <c r="E11" s="125"/>
      <c r="F11" s="181">
        <v>95552.735448542604</v>
      </c>
      <c r="G11" s="125"/>
      <c r="H11" s="181">
        <v>83919.747518098695</v>
      </c>
      <c r="I11" s="181">
        <v>0.70277346519999995</v>
      </c>
      <c r="J11" s="125"/>
      <c r="K11" s="181">
        <v>70704.732429269803</v>
      </c>
      <c r="L11" s="181">
        <v>0.69124760289999998</v>
      </c>
      <c r="M11" s="125"/>
      <c r="N11" s="181">
        <v>17117.118936405401</v>
      </c>
      <c r="O11" s="181">
        <v>0.22274156989999999</v>
      </c>
      <c r="P11" s="125"/>
      <c r="Q11" s="181">
        <v>9046.5691522328998</v>
      </c>
      <c r="R11" s="181">
        <v>0.11815914700000001</v>
      </c>
    </row>
    <row r="12" spans="1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1:18" s="93" customFormat="1" ht="12.95" customHeight="1" x14ac:dyDescent="0.2">
      <c r="B13" s="25" t="s">
        <v>8</v>
      </c>
      <c r="C13" s="94"/>
      <c r="D13" s="182">
        <v>3974.8233886669</v>
      </c>
      <c r="E13" s="126"/>
      <c r="F13" s="182">
        <v>3052.1285668788</v>
      </c>
      <c r="G13" s="126"/>
      <c r="H13" s="182">
        <v>3086.8237398915999</v>
      </c>
      <c r="I13" s="182">
        <v>3.823102059</v>
      </c>
      <c r="J13" s="126"/>
      <c r="K13" s="182">
        <v>3092.0674446882999</v>
      </c>
      <c r="L13" s="182">
        <v>3.7060572962</v>
      </c>
      <c r="M13" s="126"/>
      <c r="N13" s="182">
        <v>379.2461022352</v>
      </c>
      <c r="O13" s="182">
        <v>0.61742812889999998</v>
      </c>
      <c r="P13" s="126"/>
      <c r="Q13" s="182">
        <v>298</v>
      </c>
      <c r="R13" s="182">
        <v>0.48722317389999997</v>
      </c>
    </row>
    <row r="14" spans="1:18" s="3" customFormat="1" ht="12.95" customHeight="1" x14ac:dyDescent="0.2">
      <c r="B14" s="20" t="s">
        <v>9</v>
      </c>
      <c r="C14" s="50"/>
      <c r="D14" s="182">
        <v>19337.419328940599</v>
      </c>
      <c r="E14" s="108"/>
      <c r="F14" s="184">
        <v>17838.200975037202</v>
      </c>
      <c r="G14" s="108"/>
      <c r="H14" s="182">
        <v>14556.348912786299</v>
      </c>
      <c r="I14" s="184">
        <v>2.8344873262000001</v>
      </c>
      <c r="J14" s="108"/>
      <c r="K14" s="182">
        <v>10165.287654113599</v>
      </c>
      <c r="L14" s="184">
        <v>2.5819887863000002</v>
      </c>
      <c r="M14" s="108"/>
      <c r="N14" s="184">
        <v>2859.1560868013999</v>
      </c>
      <c r="O14" s="184">
        <v>0.98048660570000001</v>
      </c>
      <c r="P14" s="108"/>
      <c r="Q14" s="184">
        <v>580</v>
      </c>
      <c r="R14" s="184">
        <v>0.2048809452</v>
      </c>
    </row>
    <row r="15" spans="1:18" s="3" customFormat="1" ht="12.95" customHeight="1" x14ac:dyDescent="0.2">
      <c r="B15" s="20" t="s">
        <v>10</v>
      </c>
      <c r="C15" s="50"/>
      <c r="D15" s="182">
        <v>5173.8747422569004</v>
      </c>
      <c r="E15" s="108"/>
      <c r="F15" s="184">
        <v>6983.9615495065</v>
      </c>
      <c r="G15" s="108"/>
      <c r="H15" s="182">
        <v>3837.1035913819001</v>
      </c>
      <c r="I15" s="184">
        <v>3.3314370371000002</v>
      </c>
      <c r="J15" s="108"/>
      <c r="K15" s="182">
        <v>4965.9765328031999</v>
      </c>
      <c r="L15" s="184">
        <v>5.6380225692000003</v>
      </c>
      <c r="M15" s="108"/>
      <c r="N15" s="184">
        <v>249.5395760195</v>
      </c>
      <c r="O15" s="184">
        <v>0.39158743940000001</v>
      </c>
      <c r="P15" s="108"/>
      <c r="Q15" s="184">
        <v>0</v>
      </c>
      <c r="R15" s="184">
        <v>0</v>
      </c>
    </row>
    <row r="16" spans="1:18" s="3" customFormat="1" ht="12.95" customHeight="1" x14ac:dyDescent="0.2">
      <c r="B16" s="20" t="s">
        <v>11</v>
      </c>
      <c r="C16" s="50"/>
      <c r="D16" s="182">
        <v>4445.6431763455003</v>
      </c>
      <c r="E16" s="108"/>
      <c r="F16" s="184">
        <v>4153.9471935146003</v>
      </c>
      <c r="G16" s="108"/>
      <c r="H16" s="182">
        <v>4230.7667875348998</v>
      </c>
      <c r="I16" s="184">
        <v>2.7321879238000002</v>
      </c>
      <c r="J16" s="108"/>
      <c r="K16" s="182">
        <v>1831.3479072532</v>
      </c>
      <c r="L16" s="184">
        <v>2.5084495613</v>
      </c>
      <c r="M16" s="108"/>
      <c r="N16" s="184">
        <v>201.022386813</v>
      </c>
      <c r="O16" s="184">
        <v>0.29942793029999998</v>
      </c>
      <c r="P16" s="108"/>
      <c r="Q16" s="184">
        <v>201</v>
      </c>
      <c r="R16" s="184">
        <v>0.29985906210000002</v>
      </c>
    </row>
    <row r="17" spans="2:18" s="3" customFormat="1" ht="12.95" customHeight="1" x14ac:dyDescent="0.2">
      <c r="B17" s="20" t="s">
        <v>12</v>
      </c>
      <c r="C17" s="50"/>
      <c r="D17" s="182">
        <v>10105.5644493564</v>
      </c>
      <c r="E17" s="108"/>
      <c r="F17" s="184">
        <v>7174.5438152639999</v>
      </c>
      <c r="G17" s="108"/>
      <c r="H17" s="182">
        <v>6389.2921967968996</v>
      </c>
      <c r="I17" s="184">
        <v>3.0389578393000001</v>
      </c>
      <c r="J17" s="108"/>
      <c r="K17" s="182">
        <v>7837.1631064604999</v>
      </c>
      <c r="L17" s="184">
        <v>3.1171727842000001</v>
      </c>
      <c r="M17" s="108"/>
      <c r="N17" s="184">
        <v>1745.6570221623001</v>
      </c>
      <c r="O17" s="184">
        <v>1.039295192</v>
      </c>
      <c r="P17" s="108"/>
      <c r="Q17" s="184">
        <v>0</v>
      </c>
      <c r="R17" s="184">
        <v>0</v>
      </c>
    </row>
    <row r="18" spans="2:18" s="3" customFormat="1" ht="12.95" customHeight="1" x14ac:dyDescent="0.2">
      <c r="B18" s="20" t="s">
        <v>13</v>
      </c>
      <c r="C18" s="50"/>
      <c r="D18" s="182">
        <v>3021.5932988070999</v>
      </c>
      <c r="E18" s="108"/>
      <c r="F18" s="184">
        <v>2514.4763757595001</v>
      </c>
      <c r="G18" s="108"/>
      <c r="H18" s="182">
        <v>2373.1286057821999</v>
      </c>
      <c r="I18" s="184">
        <v>2.9790809208</v>
      </c>
      <c r="J18" s="108"/>
      <c r="K18" s="182">
        <v>1490.1228328236</v>
      </c>
      <c r="L18" s="184">
        <v>2.7575855665</v>
      </c>
      <c r="M18" s="108"/>
      <c r="N18" s="184">
        <v>384.97402509779999</v>
      </c>
      <c r="O18" s="184">
        <v>0.9382626168</v>
      </c>
      <c r="P18" s="108"/>
      <c r="Q18" s="184">
        <v>328.51399429010002</v>
      </c>
      <c r="R18" s="184">
        <v>0.81986680759999997</v>
      </c>
    </row>
    <row r="19" spans="2:18" s="4" customFormat="1" ht="12.95" customHeight="1" x14ac:dyDescent="0.2">
      <c r="B19" s="20" t="s">
        <v>14</v>
      </c>
      <c r="C19" s="50"/>
      <c r="D19" s="182">
        <v>24523.240799788098</v>
      </c>
      <c r="E19" s="108"/>
      <c r="F19" s="184">
        <v>25137.822997068299</v>
      </c>
      <c r="G19" s="108"/>
      <c r="H19" s="182">
        <v>21725.130331729099</v>
      </c>
      <c r="I19" s="184">
        <v>2.8227158705000002</v>
      </c>
      <c r="J19" s="108"/>
      <c r="K19" s="182">
        <v>11814.7457772253</v>
      </c>
      <c r="L19" s="184">
        <v>2.3759591744000002</v>
      </c>
      <c r="M19" s="108"/>
      <c r="N19" s="184">
        <v>1821.5847453839001</v>
      </c>
      <c r="O19" s="184">
        <v>0.45228845559999997</v>
      </c>
      <c r="P19" s="108"/>
      <c r="Q19" s="184">
        <v>915</v>
      </c>
      <c r="R19" s="184">
        <v>0.2278011707</v>
      </c>
    </row>
    <row r="20" spans="2:18" s="4" customFormat="1" ht="12.95" customHeight="1" x14ac:dyDescent="0.2">
      <c r="B20" s="20" t="s">
        <v>15</v>
      </c>
      <c r="C20" s="50"/>
      <c r="D20" s="182">
        <v>11366.583222867301</v>
      </c>
      <c r="E20" s="108"/>
      <c r="F20" s="184">
        <v>8294.0670316024007</v>
      </c>
      <c r="G20" s="108"/>
      <c r="H20" s="182">
        <v>9524.1502386181</v>
      </c>
      <c r="I20" s="184">
        <v>3.6373445919999998</v>
      </c>
      <c r="J20" s="108"/>
      <c r="K20" s="182">
        <v>7294.8415217033998</v>
      </c>
      <c r="L20" s="184">
        <v>3.4207164717</v>
      </c>
      <c r="M20" s="108"/>
      <c r="N20" s="184">
        <v>2210.6654584735002</v>
      </c>
      <c r="O20" s="184">
        <v>1.2035460719</v>
      </c>
      <c r="P20" s="108"/>
      <c r="Q20" s="184">
        <v>1589.6344931832</v>
      </c>
      <c r="R20" s="184">
        <v>0.86036036010000005</v>
      </c>
    </row>
    <row r="21" spans="2:18" s="4" customFormat="1" ht="12.95" customHeight="1" x14ac:dyDescent="0.2">
      <c r="B21" s="20" t="s">
        <v>16</v>
      </c>
      <c r="C21" s="50"/>
      <c r="D21" s="182">
        <v>39095.924431995998</v>
      </c>
      <c r="E21" s="108"/>
      <c r="F21" s="184">
        <v>30445.805502160001</v>
      </c>
      <c r="G21" s="108"/>
      <c r="H21" s="182">
        <v>30086.611581523201</v>
      </c>
      <c r="I21" s="184">
        <v>2.5712942468</v>
      </c>
      <c r="J21" s="108"/>
      <c r="K21" s="182">
        <v>26333.950511846899</v>
      </c>
      <c r="L21" s="184">
        <v>2.6092295371000001</v>
      </c>
      <c r="M21" s="108"/>
      <c r="N21" s="184">
        <v>2166.3684304547</v>
      </c>
      <c r="O21" s="184">
        <v>0.28461454749999998</v>
      </c>
      <c r="P21" s="108"/>
      <c r="Q21" s="184">
        <v>2808.7788324131002</v>
      </c>
      <c r="R21" s="184">
        <v>0.37024379080000003</v>
      </c>
    </row>
    <row r="22" spans="2:18" s="4" customFormat="1" ht="12.95" customHeight="1" x14ac:dyDescent="0.2">
      <c r="B22" s="20" t="s">
        <v>17</v>
      </c>
      <c r="C22" s="50"/>
      <c r="D22" s="182">
        <v>5787.9771251803004</v>
      </c>
      <c r="E22" s="108"/>
      <c r="F22" s="184">
        <v>4700.2825013885004</v>
      </c>
      <c r="G22" s="108"/>
      <c r="H22" s="182">
        <v>4411.4563699406999</v>
      </c>
      <c r="I22" s="184">
        <v>3.2216101419999998</v>
      </c>
      <c r="J22" s="108"/>
      <c r="K22" s="182">
        <v>3886.6751411328</v>
      </c>
      <c r="L22" s="184">
        <v>2.7753016122999998</v>
      </c>
      <c r="M22" s="108"/>
      <c r="N22" s="184">
        <v>661.40381008880001</v>
      </c>
      <c r="O22" s="184">
        <v>0.65049171319999999</v>
      </c>
      <c r="P22" s="108"/>
      <c r="Q22" s="184">
        <v>636.88557085119999</v>
      </c>
      <c r="R22" s="184">
        <v>0.64999301170000001</v>
      </c>
    </row>
    <row r="23" spans="2:18" s="4" customFormat="1" ht="12.95" customHeight="1" x14ac:dyDescent="0.2">
      <c r="B23" s="20" t="s">
        <v>18</v>
      </c>
      <c r="C23" s="50"/>
      <c r="D23" s="182">
        <v>18324.9317222014</v>
      </c>
      <c r="E23" s="108"/>
      <c r="F23" s="184">
        <v>20288.960186019602</v>
      </c>
      <c r="G23" s="108"/>
      <c r="H23" s="182">
        <v>14016.623866252099</v>
      </c>
      <c r="I23" s="184">
        <v>3.2451616154999998</v>
      </c>
      <c r="J23" s="108"/>
      <c r="K23" s="182">
        <v>14638.3686916439</v>
      </c>
      <c r="L23" s="184">
        <v>3.1381274928999998</v>
      </c>
      <c r="M23" s="108"/>
      <c r="N23" s="184">
        <v>1886.5444601175</v>
      </c>
      <c r="O23" s="184">
        <v>0.57290287289999997</v>
      </c>
      <c r="P23" s="108"/>
      <c r="Q23" s="184">
        <v>5411.0030493431004</v>
      </c>
      <c r="R23" s="184">
        <v>1.6007154260000001</v>
      </c>
    </row>
    <row r="24" spans="2:18" s="4" customFormat="1" ht="12.95" customHeight="1" x14ac:dyDescent="0.2">
      <c r="B24" s="20" t="s">
        <v>19</v>
      </c>
      <c r="C24" s="50"/>
      <c r="D24" s="182">
        <v>16281.6146624333</v>
      </c>
      <c r="E24" s="108"/>
      <c r="F24" s="184">
        <v>16302.5949273683</v>
      </c>
      <c r="G24" s="108"/>
      <c r="H24" s="182">
        <v>13788.117647015501</v>
      </c>
      <c r="I24" s="184">
        <v>2.6149141660000002</v>
      </c>
      <c r="J24" s="108"/>
      <c r="K24" s="182">
        <v>9185.5225664039008</v>
      </c>
      <c r="L24" s="184">
        <v>2.3024525710999999</v>
      </c>
      <c r="M24" s="108"/>
      <c r="N24" s="184">
        <v>1456.2626823482001</v>
      </c>
      <c r="O24" s="184">
        <v>0.47675902879999998</v>
      </c>
      <c r="P24" s="108"/>
      <c r="Q24" s="184">
        <v>434</v>
      </c>
      <c r="R24" s="184">
        <v>0.14298754529999999</v>
      </c>
    </row>
    <row r="25" spans="2:18" s="4" customFormat="1" ht="12.95" customHeight="1" x14ac:dyDescent="0.2">
      <c r="B25" s="20" t="s">
        <v>20</v>
      </c>
      <c r="C25" s="50"/>
      <c r="D25" s="182">
        <v>9331.4898358281007</v>
      </c>
      <c r="E25" s="108"/>
      <c r="F25" s="184">
        <v>8270.5512338379995</v>
      </c>
      <c r="G25" s="108"/>
      <c r="H25" s="182">
        <v>7040.5339829717996</v>
      </c>
      <c r="I25" s="184">
        <v>3.9585097040999999</v>
      </c>
      <c r="J25" s="108"/>
      <c r="K25" s="182">
        <v>7371.3819963203996</v>
      </c>
      <c r="L25" s="184">
        <v>3.7045414229000002</v>
      </c>
      <c r="M25" s="108"/>
      <c r="N25" s="184">
        <v>1797.6254149163001</v>
      </c>
      <c r="O25" s="184">
        <v>1.2594986668000001</v>
      </c>
      <c r="P25" s="108"/>
      <c r="Q25" s="184">
        <v>0</v>
      </c>
      <c r="R25" s="184">
        <v>0</v>
      </c>
    </row>
    <row r="26" spans="2:18" s="4" customFormat="1" ht="12.95" customHeight="1" x14ac:dyDescent="0.2">
      <c r="B26" s="20" t="s">
        <v>21</v>
      </c>
      <c r="C26" s="50"/>
      <c r="D26" s="182">
        <v>24713.322113776499</v>
      </c>
      <c r="E26" s="108"/>
      <c r="F26" s="184">
        <v>18838.3553741791</v>
      </c>
      <c r="G26" s="108"/>
      <c r="H26" s="182">
        <v>17588.508397946702</v>
      </c>
      <c r="I26" s="184">
        <v>3.077199603</v>
      </c>
      <c r="J26" s="108"/>
      <c r="K26" s="182">
        <v>18569.9608573923</v>
      </c>
      <c r="L26" s="184">
        <v>2.8922505825</v>
      </c>
      <c r="M26" s="108"/>
      <c r="N26" s="184">
        <v>3702.8245074986999</v>
      </c>
      <c r="O26" s="184">
        <v>0.86742204690000002</v>
      </c>
      <c r="P26" s="108"/>
      <c r="Q26" s="184">
        <v>0</v>
      </c>
      <c r="R26" s="184">
        <v>0</v>
      </c>
    </row>
    <row r="27" spans="2:18" s="4" customFormat="1" ht="12.95" customHeight="1" x14ac:dyDescent="0.2">
      <c r="B27" s="20" t="s">
        <v>22</v>
      </c>
      <c r="C27" s="50"/>
      <c r="D27" s="182">
        <v>56765.649370171799</v>
      </c>
      <c r="E27" s="108"/>
      <c r="F27" s="184">
        <v>51933.099046009003</v>
      </c>
      <c r="G27" s="108"/>
      <c r="H27" s="182">
        <v>43642.730851473803</v>
      </c>
      <c r="I27" s="184">
        <v>3.2907206012999999</v>
      </c>
      <c r="J27" s="108"/>
      <c r="K27" s="182">
        <v>42107.989892523401</v>
      </c>
      <c r="L27" s="184">
        <v>3.4502364140999999</v>
      </c>
      <c r="M27" s="108"/>
      <c r="N27" s="184">
        <v>12906.9442528329</v>
      </c>
      <c r="O27" s="184">
        <v>1.4535546283</v>
      </c>
      <c r="P27" s="108"/>
      <c r="Q27" s="184">
        <v>4533.4853038253004</v>
      </c>
      <c r="R27" s="184">
        <v>0.51040452219999999</v>
      </c>
    </row>
    <row r="28" spans="2:18" s="4" customFormat="1" ht="12.95" customHeight="1" x14ac:dyDescent="0.2">
      <c r="B28" s="20" t="s">
        <v>23</v>
      </c>
      <c r="C28" s="50"/>
      <c r="D28" s="182">
        <v>17019.088201736799</v>
      </c>
      <c r="E28" s="108"/>
      <c r="F28" s="184">
        <v>15281.148266197</v>
      </c>
      <c r="G28" s="108"/>
      <c r="H28" s="182">
        <v>11263.960172565399</v>
      </c>
      <c r="I28" s="184">
        <v>3.0618705242000002</v>
      </c>
      <c r="J28" s="108"/>
      <c r="K28" s="182">
        <v>11921.3463490494</v>
      </c>
      <c r="L28" s="184">
        <v>3.0698856847</v>
      </c>
      <c r="M28" s="108"/>
      <c r="N28" s="184">
        <v>1640.5761183193999</v>
      </c>
      <c r="O28" s="184">
        <v>0.61192593790000005</v>
      </c>
      <c r="P28" s="108"/>
      <c r="Q28" s="184">
        <v>1392.7598500818001</v>
      </c>
      <c r="R28" s="184">
        <v>0.53536150370000002</v>
      </c>
    </row>
    <row r="29" spans="2:18" s="4" customFormat="1" ht="12.95" customHeight="1" x14ac:dyDescent="0.2">
      <c r="B29" s="20" t="s">
        <v>24</v>
      </c>
      <c r="C29" s="50"/>
      <c r="D29" s="182">
        <v>6113.3536156424998</v>
      </c>
      <c r="E29" s="108"/>
      <c r="F29" s="184">
        <v>5954.3747721266</v>
      </c>
      <c r="G29" s="108"/>
      <c r="H29" s="182">
        <v>5002.7075870307999</v>
      </c>
      <c r="I29" s="184">
        <v>3.1821539287</v>
      </c>
      <c r="J29" s="108"/>
      <c r="K29" s="182">
        <v>4854.7743509871998</v>
      </c>
      <c r="L29" s="184">
        <v>3.4135231713</v>
      </c>
      <c r="M29" s="108"/>
      <c r="N29" s="184">
        <v>1219.6631116791</v>
      </c>
      <c r="O29" s="184">
        <v>1.1158795647999999</v>
      </c>
      <c r="P29" s="108"/>
      <c r="Q29" s="184">
        <v>608.71257585169997</v>
      </c>
      <c r="R29" s="184">
        <v>0.56009599269999999</v>
      </c>
    </row>
    <row r="30" spans="2:18" s="4" customFormat="1" ht="12.95" customHeight="1" x14ac:dyDescent="0.2">
      <c r="B30" s="20" t="s">
        <v>25</v>
      </c>
      <c r="C30" s="50"/>
      <c r="D30" s="182">
        <v>5316.9751402616002</v>
      </c>
      <c r="E30" s="108"/>
      <c r="F30" s="184">
        <v>5100.0915447721</v>
      </c>
      <c r="G30" s="108"/>
      <c r="H30" s="182">
        <v>3605.3539307566998</v>
      </c>
      <c r="I30" s="184">
        <v>2.9739923831000001</v>
      </c>
      <c r="J30" s="108"/>
      <c r="K30" s="182">
        <v>3937.2661890538002</v>
      </c>
      <c r="L30" s="184">
        <v>3.1073334507000001</v>
      </c>
      <c r="M30" s="108"/>
      <c r="N30" s="184">
        <v>158</v>
      </c>
      <c r="O30" s="184">
        <v>0.19522926269999999</v>
      </c>
      <c r="P30" s="108"/>
      <c r="Q30" s="184">
        <v>174</v>
      </c>
      <c r="R30" s="184">
        <v>0.2129196471</v>
      </c>
    </row>
    <row r="31" spans="2:18" s="4" customFormat="1" ht="12.95" customHeight="1" x14ac:dyDescent="0.2">
      <c r="B31" s="20" t="s">
        <v>26</v>
      </c>
      <c r="C31" s="50"/>
      <c r="D31" s="182">
        <v>17956.984197016802</v>
      </c>
      <c r="E31" s="108"/>
      <c r="F31" s="184">
        <v>12604.524356072199</v>
      </c>
      <c r="G31" s="108"/>
      <c r="H31" s="182">
        <v>9744.5476623625</v>
      </c>
      <c r="I31" s="184">
        <v>4.0724504103000001</v>
      </c>
      <c r="J31" s="108"/>
      <c r="K31" s="182">
        <v>14022.309174300801</v>
      </c>
      <c r="L31" s="184">
        <v>4.3797082513000003</v>
      </c>
      <c r="M31" s="108"/>
      <c r="N31" s="184">
        <v>4692.4892641564002</v>
      </c>
      <c r="O31" s="184">
        <v>2.3509828538000002</v>
      </c>
      <c r="P31" s="108"/>
      <c r="Q31" s="184">
        <v>1662</v>
      </c>
      <c r="R31" s="184">
        <v>0.83410704049999995</v>
      </c>
    </row>
    <row r="32" spans="2:18" s="4" customFormat="1" ht="12.95" customHeight="1" x14ac:dyDescent="0.2">
      <c r="B32" s="20" t="s">
        <v>27</v>
      </c>
      <c r="C32" s="50"/>
      <c r="D32" s="182">
        <v>21077.694127693601</v>
      </c>
      <c r="E32" s="108"/>
      <c r="F32" s="184">
        <v>20238.192543907</v>
      </c>
      <c r="G32" s="108"/>
      <c r="H32" s="182">
        <v>19984.1548860125</v>
      </c>
      <c r="I32" s="184">
        <v>2.9533016512999999</v>
      </c>
      <c r="J32" s="108"/>
      <c r="K32" s="182">
        <v>8087.5842187941998</v>
      </c>
      <c r="L32" s="184">
        <v>2.6789150979</v>
      </c>
      <c r="M32" s="108"/>
      <c r="N32" s="184">
        <v>1681.3382543621001</v>
      </c>
      <c r="O32" s="184">
        <v>0.58274660960000002</v>
      </c>
      <c r="P32" s="108"/>
      <c r="Q32" s="184">
        <v>330</v>
      </c>
      <c r="R32" s="184">
        <v>0.1132575063</v>
      </c>
    </row>
    <row r="33" spans="1:25" s="4" customFormat="1" ht="12.95" customHeight="1" x14ac:dyDescent="0.2">
      <c r="B33" s="20" t="s">
        <v>28</v>
      </c>
      <c r="C33" s="50"/>
      <c r="D33" s="182">
        <v>28040.784324331398</v>
      </c>
      <c r="E33" s="108"/>
      <c r="F33" s="184">
        <v>28721.243702812098</v>
      </c>
      <c r="G33" s="108"/>
      <c r="H33" s="182">
        <v>23634.923346755801</v>
      </c>
      <c r="I33" s="184">
        <v>3.5416710198999999</v>
      </c>
      <c r="J33" s="108"/>
      <c r="K33" s="182">
        <v>18312.024587474301</v>
      </c>
      <c r="L33" s="184">
        <v>3.1611388132</v>
      </c>
      <c r="M33" s="108"/>
      <c r="N33" s="184">
        <v>3992.2836823051998</v>
      </c>
      <c r="O33" s="184">
        <v>0.93069940230000003</v>
      </c>
      <c r="P33" s="108"/>
      <c r="Q33" s="184">
        <v>1480</v>
      </c>
      <c r="R33" s="184">
        <v>0.34743985910000003</v>
      </c>
    </row>
    <row r="34" spans="1:25" s="4" customFormat="1" ht="12.95" customHeight="1" x14ac:dyDescent="0.2">
      <c r="B34" s="20" t="s">
        <v>29</v>
      </c>
      <c r="C34" s="50"/>
      <c r="D34" s="182">
        <v>11145.868273914301</v>
      </c>
      <c r="E34" s="108"/>
      <c r="F34" s="184">
        <v>10479.7754412678</v>
      </c>
      <c r="G34" s="108"/>
      <c r="H34" s="182">
        <v>7883.3215905712996</v>
      </c>
      <c r="I34" s="184">
        <v>3.4373879175000002</v>
      </c>
      <c r="J34" s="108"/>
      <c r="K34" s="182">
        <v>7700.9474478157999</v>
      </c>
      <c r="L34" s="184">
        <v>3.8489211489000001</v>
      </c>
      <c r="M34" s="108"/>
      <c r="N34" s="184">
        <v>1967.3313142427</v>
      </c>
      <c r="O34" s="184">
        <v>1.4195950557999999</v>
      </c>
      <c r="P34" s="108"/>
      <c r="Q34" s="184">
        <v>1109.5990266758999</v>
      </c>
      <c r="R34" s="184">
        <v>0.78876193939999995</v>
      </c>
    </row>
    <row r="35" spans="1:25" s="4" customFormat="1" ht="12.95" customHeight="1" x14ac:dyDescent="0.2">
      <c r="B35" s="20" t="s">
        <v>30</v>
      </c>
      <c r="C35" s="50"/>
      <c r="D35" s="182">
        <v>9283.6504094403008</v>
      </c>
      <c r="E35" s="108"/>
      <c r="F35" s="184">
        <v>9287.2621833394005</v>
      </c>
      <c r="G35" s="108"/>
      <c r="H35" s="182">
        <v>9305.6984651156999</v>
      </c>
      <c r="I35" s="184">
        <v>3.5424298993000001</v>
      </c>
      <c r="J35" s="108"/>
      <c r="K35" s="182">
        <v>4049.5566992030999</v>
      </c>
      <c r="L35" s="184">
        <v>2.5381650067999999</v>
      </c>
      <c r="M35" s="108"/>
      <c r="N35" s="184">
        <v>730.33759317179999</v>
      </c>
      <c r="O35" s="184">
        <v>0.52485103229999996</v>
      </c>
      <c r="P35" s="108"/>
      <c r="Q35" s="184">
        <v>713.1921199789</v>
      </c>
      <c r="R35" s="184">
        <v>0.52423649500000002</v>
      </c>
    </row>
    <row r="36" spans="1:25" s="4" customFormat="1" ht="12.95" customHeight="1" x14ac:dyDescent="0.2">
      <c r="B36" s="20" t="s">
        <v>31</v>
      </c>
      <c r="C36" s="50"/>
      <c r="D36" s="182">
        <v>8709.9984939175993</v>
      </c>
      <c r="E36" s="108"/>
      <c r="F36" s="184">
        <v>7643.3334123845998</v>
      </c>
      <c r="G36" s="108"/>
      <c r="H36" s="182">
        <v>6086.3713514188003</v>
      </c>
      <c r="I36" s="184">
        <v>3.2383456400999999</v>
      </c>
      <c r="J36" s="108"/>
      <c r="K36" s="182">
        <v>5922.8607091689</v>
      </c>
      <c r="L36" s="184">
        <v>3.3038266364000002</v>
      </c>
      <c r="M36" s="108"/>
      <c r="N36" s="184">
        <v>1751.0692250435</v>
      </c>
      <c r="O36" s="184">
        <v>1.3597410158000001</v>
      </c>
      <c r="P36" s="108"/>
      <c r="Q36" s="184">
        <v>964</v>
      </c>
      <c r="R36" s="184">
        <v>0.78110578119999996</v>
      </c>
    </row>
    <row r="37" spans="1:25" s="4" customFormat="1" ht="12.95" customHeight="1" x14ac:dyDescent="0.2">
      <c r="B37" s="20" t="s">
        <v>32</v>
      </c>
      <c r="C37" s="50"/>
      <c r="D37" s="182">
        <v>9220.0539519966005</v>
      </c>
      <c r="E37" s="108"/>
      <c r="F37" s="184">
        <v>8102.5527312556997</v>
      </c>
      <c r="G37" s="108"/>
      <c r="H37" s="182">
        <v>9114.3947519173998</v>
      </c>
      <c r="I37" s="184">
        <v>2.8909306801999999</v>
      </c>
      <c r="J37" s="108"/>
      <c r="K37" s="182">
        <v>6881.0391255032</v>
      </c>
      <c r="L37" s="184">
        <v>2.7470498729999999</v>
      </c>
      <c r="M37" s="108"/>
      <c r="N37" s="184">
        <v>786.67274008950005</v>
      </c>
      <c r="O37" s="184">
        <v>0.35397332780000001</v>
      </c>
      <c r="P37" s="108"/>
      <c r="Q37" s="184">
        <v>0</v>
      </c>
      <c r="R37" s="184">
        <v>0</v>
      </c>
    </row>
    <row r="38" spans="1:25" s="4" customFormat="1" ht="12.95" customHeight="1" x14ac:dyDescent="0.2">
      <c r="B38" s="20" t="s">
        <v>33</v>
      </c>
      <c r="C38" s="50"/>
      <c r="D38" s="182">
        <v>10768.713563072301</v>
      </c>
      <c r="E38" s="108"/>
      <c r="F38" s="184">
        <v>10664.953835759199</v>
      </c>
      <c r="G38" s="108"/>
      <c r="H38" s="182">
        <v>10856.8757740579</v>
      </c>
      <c r="I38" s="184">
        <v>3.4172091829000002</v>
      </c>
      <c r="J38" s="108"/>
      <c r="K38" s="182">
        <v>7028.5288693453003</v>
      </c>
      <c r="L38" s="184">
        <v>2.6638646255</v>
      </c>
      <c r="M38" s="108"/>
      <c r="N38" s="184">
        <v>1202.7667257661001</v>
      </c>
      <c r="O38" s="184">
        <v>0.54287827379999998</v>
      </c>
      <c r="P38" s="108"/>
      <c r="Q38" s="184">
        <v>649.68376922929997</v>
      </c>
      <c r="R38" s="184">
        <v>0.29168696080000001</v>
      </c>
    </row>
    <row r="39" spans="1:25" s="4" customFormat="1" ht="12.95" customHeight="1" x14ac:dyDescent="0.2">
      <c r="B39" s="20" t="s">
        <v>34</v>
      </c>
      <c r="C39" s="50"/>
      <c r="D39" s="182">
        <v>12898.7373872804</v>
      </c>
      <c r="E39" s="108"/>
      <c r="F39" s="184">
        <v>12845.885175195201</v>
      </c>
      <c r="G39" s="108"/>
      <c r="H39" s="182">
        <v>10940.6165049637</v>
      </c>
      <c r="I39" s="184">
        <v>2.4418980980999998</v>
      </c>
      <c r="J39" s="108"/>
      <c r="K39" s="182">
        <v>5579.6493810066004</v>
      </c>
      <c r="L39" s="184">
        <v>2.1846877734999999</v>
      </c>
      <c r="M39" s="108"/>
      <c r="N39" s="184">
        <v>661.4382279637</v>
      </c>
      <c r="O39" s="184">
        <v>0.34235290800000001</v>
      </c>
      <c r="P39" s="108"/>
      <c r="Q39" s="184">
        <v>0</v>
      </c>
      <c r="R39" s="184">
        <v>0</v>
      </c>
    </row>
    <row r="40" spans="1:25" s="4" customFormat="1" ht="12.95" customHeight="1" x14ac:dyDescent="0.2">
      <c r="B40" s="20" t="s">
        <v>35</v>
      </c>
      <c r="C40" s="50"/>
      <c r="D40" s="182">
        <v>12338.6370543024</v>
      </c>
      <c r="E40" s="108"/>
      <c r="F40" s="184">
        <v>8409.6100655075006</v>
      </c>
      <c r="G40" s="108"/>
      <c r="H40" s="182">
        <v>10076.368213686699</v>
      </c>
      <c r="I40" s="184">
        <v>3.4598913078</v>
      </c>
      <c r="J40" s="108"/>
      <c r="K40" s="182">
        <v>7064.7806394013996</v>
      </c>
      <c r="L40" s="184">
        <v>3.3739363386000001</v>
      </c>
      <c r="M40" s="108"/>
      <c r="N40" s="184">
        <v>914.44464020520002</v>
      </c>
      <c r="O40" s="184">
        <v>0.542346051</v>
      </c>
      <c r="P40" s="108"/>
      <c r="Q40" s="184">
        <v>0</v>
      </c>
      <c r="R40" s="184">
        <v>0</v>
      </c>
    </row>
    <row r="41" spans="1:25" s="4" customFormat="1" ht="12.95" customHeight="1" x14ac:dyDescent="0.2">
      <c r="B41" s="20" t="s">
        <v>36</v>
      </c>
      <c r="C41" s="50"/>
      <c r="D41" s="182">
        <v>5211.7822396007004</v>
      </c>
      <c r="E41" s="108"/>
      <c r="F41" s="184">
        <v>5046.4142111807996</v>
      </c>
      <c r="G41" s="108"/>
      <c r="H41" s="182">
        <v>4873.3827867629998</v>
      </c>
      <c r="I41" s="184">
        <v>3.0562623955000001</v>
      </c>
      <c r="J41" s="108"/>
      <c r="K41" s="182">
        <v>2838.0131582322001</v>
      </c>
      <c r="L41" s="184">
        <v>2.7767274421999999</v>
      </c>
      <c r="M41" s="108"/>
      <c r="N41" s="184">
        <v>808.22608223190002</v>
      </c>
      <c r="O41" s="184">
        <v>0.83227999090000004</v>
      </c>
      <c r="P41" s="108"/>
      <c r="Q41" s="184">
        <v>249.04899116440001</v>
      </c>
      <c r="R41" s="184">
        <v>0.26358189450000002</v>
      </c>
    </row>
    <row r="42" spans="1:25" s="4" customFormat="1" ht="12.95" customHeight="1" x14ac:dyDescent="0.2">
      <c r="B42" s="20" t="s">
        <v>37</v>
      </c>
      <c r="C42" s="51"/>
      <c r="D42" s="182">
        <v>31913.895347425401</v>
      </c>
      <c r="E42" s="108"/>
      <c r="F42" s="184">
        <v>27581.963689275199</v>
      </c>
      <c r="G42" s="108"/>
      <c r="H42" s="182">
        <v>25783.5840950864</v>
      </c>
      <c r="I42" s="184">
        <v>2.5317535541999998</v>
      </c>
      <c r="J42" s="108"/>
      <c r="K42" s="182">
        <v>17660.121778674002</v>
      </c>
      <c r="L42" s="184">
        <v>2.5389440186000001</v>
      </c>
      <c r="M42" s="108"/>
      <c r="N42" s="184">
        <v>4608.2120145917997</v>
      </c>
      <c r="O42" s="184">
        <v>0.84779589239999997</v>
      </c>
      <c r="P42" s="108"/>
      <c r="Q42" s="184">
        <v>2976</v>
      </c>
      <c r="R42" s="184">
        <v>0.55444693359999997</v>
      </c>
    </row>
    <row r="43" spans="1:25" s="4" customFormat="1" ht="12.95" customHeight="1" x14ac:dyDescent="0.2">
      <c r="B43" s="20" t="s">
        <v>38</v>
      </c>
      <c r="C43" s="51"/>
      <c r="D43" s="184">
        <v>9319.2933542898008</v>
      </c>
      <c r="E43" s="108"/>
      <c r="F43" s="184">
        <v>8557.7881668509999</v>
      </c>
      <c r="G43" s="108"/>
      <c r="H43" s="184">
        <v>9001.3406893872998</v>
      </c>
      <c r="I43" s="184">
        <v>3.1764061520000002</v>
      </c>
      <c r="J43" s="108"/>
      <c r="K43" s="184">
        <v>4895.0155408028004</v>
      </c>
      <c r="L43" s="184">
        <v>2.6347546865</v>
      </c>
      <c r="M43" s="108"/>
      <c r="N43" s="184">
        <v>943.97638388539997</v>
      </c>
      <c r="O43" s="184">
        <v>0.58348906199999995</v>
      </c>
      <c r="P43" s="108"/>
      <c r="Q43" s="184">
        <v>419.63436465569998</v>
      </c>
      <c r="R43" s="184">
        <v>0.25964137729999998</v>
      </c>
    </row>
    <row r="44" spans="1:25" s="4" customFormat="1" ht="12.95" customHeight="1" x14ac:dyDescent="0.2">
      <c r="B44" s="20" t="s">
        <v>39</v>
      </c>
      <c r="C44" s="51"/>
      <c r="D44" s="184">
        <v>4393.6771832551003</v>
      </c>
      <c r="E44" s="108"/>
      <c r="F44" s="184">
        <v>3747.7817871431998</v>
      </c>
      <c r="G44" s="108"/>
      <c r="H44" s="184">
        <v>3020.1574115728999</v>
      </c>
      <c r="I44" s="184">
        <v>3.4740782421</v>
      </c>
      <c r="J44" s="108"/>
      <c r="K44" s="184">
        <v>3358.2797926675998</v>
      </c>
      <c r="L44" s="184">
        <v>3.3521042613000001</v>
      </c>
      <c r="M44" s="108"/>
      <c r="N44" s="184">
        <v>503.89959317310002</v>
      </c>
      <c r="O44" s="184">
        <v>0.78716791929999996</v>
      </c>
      <c r="P44" s="108"/>
      <c r="Q44" s="184">
        <v>0</v>
      </c>
      <c r="R44" s="184">
        <v>0</v>
      </c>
    </row>
    <row r="45" spans="1:2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  <c r="P45" s="111"/>
      <c r="Q45" s="111"/>
      <c r="R45" s="112"/>
    </row>
    <row r="46" spans="1:25" s="18" customFormat="1" ht="6" customHeight="1" x14ac:dyDescent="0.25">
      <c r="A46" s="67"/>
      <c r="B46" s="17"/>
      <c r="C46" s="32"/>
      <c r="D46" s="41"/>
      <c r="E46" s="41"/>
      <c r="F46" s="44"/>
      <c r="G46" s="41"/>
      <c r="H46" s="41"/>
      <c r="I46" s="41"/>
      <c r="J46" s="42"/>
      <c r="K46" s="41"/>
      <c r="L46" s="32"/>
      <c r="M46" s="32"/>
      <c r="N46" s="32"/>
      <c r="O46" s="32"/>
      <c r="P46" s="33"/>
      <c r="Q46" s="33"/>
      <c r="R46" s="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101" customFormat="1" ht="14.25" x14ac:dyDescent="0.2">
      <c r="B48" s="102" t="s">
        <v>75</v>
      </c>
      <c r="F48" s="119"/>
    </row>
    <row r="49" spans="1:18" s="10" customFormat="1" ht="12.75" customHeight="1" x14ac:dyDescent="0.25">
      <c r="A49" s="64"/>
      <c r="B49" s="44"/>
      <c r="C49" s="44"/>
      <c r="D49" s="43"/>
      <c r="E49" s="44"/>
      <c r="F49" s="44"/>
      <c r="G49" s="44"/>
      <c r="H49" s="44"/>
      <c r="I49" s="44"/>
      <c r="J49" s="44"/>
      <c r="K49" s="45"/>
      <c r="L49" s="44"/>
      <c r="M49" s="45"/>
      <c r="N49" s="45"/>
      <c r="O49" s="45"/>
      <c r="P49" s="44"/>
      <c r="Q49" s="44"/>
      <c r="R49" s="44"/>
    </row>
    <row r="50" spans="1:18" ht="12.75" customHeight="1" x14ac:dyDescent="0.25">
      <c r="B50" s="31"/>
      <c r="C50" s="46"/>
      <c r="D50" s="46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31"/>
      <c r="Q50" s="31"/>
      <c r="R50" s="31"/>
    </row>
    <row r="51" spans="1:18" ht="12.75" customHeight="1" x14ac:dyDescent="0.25">
      <c r="B51" s="14"/>
      <c r="D51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7BA0E084-2F36-4D49-ABF1-F450F3A4FE2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09FF-7997-4055-9E58-04F69868B09B}">
  <dimension ref="A1:AK6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65" customWidth="1"/>
    <col min="2" max="2" width="30.42578125" customWidth="1"/>
    <col min="3" max="3" width="1.7109375" customWidth="1"/>
    <col min="4" max="4" width="24.7109375" customWidth="1"/>
    <col min="5" max="5" width="1.7109375" customWidth="1"/>
    <col min="6" max="6" width="18.7109375" style="24" customWidth="1"/>
    <col min="7" max="7" width="1.7109375" customWidth="1"/>
    <col min="8" max="8" width="9.42578125" customWidth="1"/>
    <col min="9" max="9" width="8.7109375" customWidth="1"/>
    <col min="10" max="10" width="1.7109375" customWidth="1"/>
    <col min="11" max="11" width="8.85546875" customWidth="1"/>
    <col min="12" max="12" width="9" customWidth="1"/>
    <col min="13" max="13" width="1.7109375" customWidth="1"/>
    <col min="14" max="14" width="10" customWidth="1"/>
    <col min="15" max="15" width="8.85546875" customWidth="1"/>
    <col min="16" max="16" width="1.7109375" customWidth="1"/>
    <col min="17" max="17" width="9.42578125" customWidth="1"/>
    <col min="18" max="18" width="9.7109375" bestFit="1" customWidth="1"/>
  </cols>
  <sheetData>
    <row r="1" spans="2:37" s="75" customFormat="1" ht="12.75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68"/>
      <c r="Q1" s="68"/>
      <c r="R1" s="80" t="s">
        <v>74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2:37" s="75" customFormat="1" ht="6.95" customHeight="1" x14ac:dyDescent="0.2">
      <c r="B2" s="210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68"/>
      <c r="Q2" s="68"/>
      <c r="R2" s="68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2:37" s="75" customFormat="1" ht="12.75" x14ac:dyDescent="0.2">
      <c r="B3" s="210" t="s">
        <v>112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68"/>
      <c r="R3" s="68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spans="2:3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68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spans="2:37" s="75" customFormat="1" ht="25.5" customHeight="1" x14ac:dyDescent="0.2">
      <c r="B5" s="242" t="s">
        <v>73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55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 spans="2:37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31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2:37" ht="15.75" customHeight="1" x14ac:dyDescent="0.25">
      <c r="B7" s="245" t="s">
        <v>50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2:37" ht="24.75" customHeight="1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47"/>
      <c r="N8" s="232" t="s">
        <v>42</v>
      </c>
      <c r="O8" s="232"/>
      <c r="P8" s="4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2:37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2:37" ht="6" customHeight="1" x14ac:dyDescent="0.25">
      <c r="B10" s="31"/>
      <c r="C10" s="18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17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2:37" s="99" customFormat="1" ht="12.95" customHeight="1" x14ac:dyDescent="0.2">
      <c r="B11" s="48" t="s">
        <v>7</v>
      </c>
      <c r="C11" s="92"/>
      <c r="D11" s="181">
        <v>105958.232900252</v>
      </c>
      <c r="E11" s="125"/>
      <c r="F11" s="181">
        <v>95552.735448542604</v>
      </c>
      <c r="G11" s="125"/>
      <c r="H11" s="181">
        <v>83919.747518098695</v>
      </c>
      <c r="I11" s="181">
        <v>0.70277346519999995</v>
      </c>
      <c r="J11" s="125"/>
      <c r="K11" s="181">
        <v>70704.732429269803</v>
      </c>
      <c r="L11" s="181">
        <v>0.69124760289999998</v>
      </c>
      <c r="M11" s="125"/>
      <c r="N11" s="181">
        <v>17117.118936405401</v>
      </c>
      <c r="O11" s="181">
        <v>0.22274156989999999</v>
      </c>
      <c r="P11" s="125"/>
      <c r="Q11" s="181">
        <v>9046.5691522328998</v>
      </c>
      <c r="R11" s="181">
        <v>0.11815914700000001</v>
      </c>
      <c r="S11" s="7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</row>
    <row r="12" spans="2:37" s="96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8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2:37" s="96" customFormat="1" ht="12.95" customHeight="1" x14ac:dyDescent="0.2">
      <c r="B13" s="103" t="s">
        <v>44</v>
      </c>
      <c r="C13" s="50"/>
      <c r="D13" s="182">
        <v>45627.598741131602</v>
      </c>
      <c r="E13" s="126"/>
      <c r="F13" s="182">
        <v>46056.625335619297</v>
      </c>
      <c r="G13" s="126"/>
      <c r="H13" s="182">
        <v>39580.6388296031</v>
      </c>
      <c r="I13" s="182">
        <v>1.5228119847999999</v>
      </c>
      <c r="J13" s="126"/>
      <c r="K13" s="182">
        <v>23801.989045382099</v>
      </c>
      <c r="L13" s="182">
        <v>1.2773588491000001</v>
      </c>
      <c r="M13" s="126"/>
      <c r="N13" s="182">
        <v>4634.9882555798004</v>
      </c>
      <c r="O13" s="182">
        <v>0.31811387969999999</v>
      </c>
      <c r="P13" s="126"/>
      <c r="Q13" s="182">
        <v>1940.0680807369999</v>
      </c>
      <c r="R13" s="182">
        <v>0.13322911370000001</v>
      </c>
      <c r="S13" s="8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spans="2:37" s="96" customFormat="1" ht="12.95" customHeight="1" x14ac:dyDescent="0.2">
      <c r="B14" s="103" t="s">
        <v>45</v>
      </c>
      <c r="C14" s="50"/>
      <c r="D14" s="182">
        <v>42448.730558739102</v>
      </c>
      <c r="E14" s="126"/>
      <c r="F14" s="182">
        <v>38617.045439334899</v>
      </c>
      <c r="G14" s="126"/>
      <c r="H14" s="182">
        <v>31375.188610928399</v>
      </c>
      <c r="I14" s="182">
        <v>1.5934806154000001</v>
      </c>
      <c r="J14" s="126"/>
      <c r="K14" s="182">
        <v>23280.491000338399</v>
      </c>
      <c r="L14" s="182">
        <v>1.3977789152</v>
      </c>
      <c r="M14" s="126"/>
      <c r="N14" s="182">
        <v>5289.9548013191998</v>
      </c>
      <c r="O14" s="182">
        <v>0.48035382669999999</v>
      </c>
      <c r="P14" s="126"/>
      <c r="Q14" s="182">
        <v>2072.2044783274</v>
      </c>
      <c r="R14" s="182">
        <v>0.19196138800000001</v>
      </c>
      <c r="S14" s="8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 spans="2:37" s="96" customFormat="1" ht="12.95" customHeight="1" x14ac:dyDescent="0.2">
      <c r="B15" s="103" t="s">
        <v>46</v>
      </c>
      <c r="C15" s="50"/>
      <c r="D15" s="182">
        <v>50250.922145605597</v>
      </c>
      <c r="E15" s="126"/>
      <c r="F15" s="182">
        <v>48625.378221720799</v>
      </c>
      <c r="G15" s="126"/>
      <c r="H15" s="182">
        <v>37004.692132481097</v>
      </c>
      <c r="I15" s="182">
        <v>1.6503502134000001</v>
      </c>
      <c r="J15" s="126"/>
      <c r="K15" s="182">
        <v>32529.4983735159</v>
      </c>
      <c r="L15" s="182">
        <v>1.6596171034</v>
      </c>
      <c r="M15" s="126"/>
      <c r="N15" s="182">
        <v>7595.7135222172001</v>
      </c>
      <c r="O15" s="182">
        <v>0.55573196439999994</v>
      </c>
      <c r="P15" s="126"/>
      <c r="Q15" s="182">
        <v>5905.0969509399001</v>
      </c>
      <c r="R15" s="182">
        <v>0.43637557669999999</v>
      </c>
      <c r="S15" s="8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2:37" s="96" customFormat="1" ht="12.95" customHeight="1" x14ac:dyDescent="0.2">
      <c r="B16" s="103" t="s">
        <v>49</v>
      </c>
      <c r="C16" s="50"/>
      <c r="D16" s="182">
        <v>69859.914795755903</v>
      </c>
      <c r="E16" s="108"/>
      <c r="F16" s="184">
        <v>57155.682486346501</v>
      </c>
      <c r="G16" s="108"/>
      <c r="H16" s="182">
        <v>56098.861907262501</v>
      </c>
      <c r="I16" s="184">
        <v>1.0548151763</v>
      </c>
      <c r="J16" s="108"/>
      <c r="K16" s="182">
        <v>53292.892298996798</v>
      </c>
      <c r="L16" s="184">
        <v>1.0905697861999999</v>
      </c>
      <c r="M16" s="108"/>
      <c r="N16" s="184">
        <v>13632.100309273401</v>
      </c>
      <c r="O16" s="184">
        <v>0.36199330639999999</v>
      </c>
      <c r="P16" s="108"/>
      <c r="Q16" s="184">
        <v>6237.9762638405</v>
      </c>
      <c r="R16" s="184">
        <v>0.16556277589999999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ht="6" customHeight="1" x14ac:dyDescent="0.25">
      <c r="B17" s="49"/>
      <c r="C17" s="30"/>
      <c r="D17" s="110"/>
      <c r="E17" s="111"/>
      <c r="F17" s="111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6" customHeight="1" x14ac:dyDescent="0.25">
      <c r="B18" s="9"/>
      <c r="C18" s="28"/>
      <c r="D18" s="44"/>
      <c r="E18" s="44"/>
      <c r="F18" s="44"/>
      <c r="G18" s="44"/>
      <c r="H18" s="44"/>
      <c r="I18" s="44"/>
      <c r="J18" s="45"/>
      <c r="K18" s="44"/>
      <c r="L18" s="28"/>
      <c r="M18" s="28"/>
      <c r="N18" s="28"/>
      <c r="O18" s="28"/>
      <c r="P18" s="31"/>
      <c r="Q18" s="31"/>
      <c r="R18" s="28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37" s="101" customFormat="1" ht="14.25" x14ac:dyDescent="0.2">
      <c r="B20" s="102" t="s">
        <v>75</v>
      </c>
      <c r="F20" s="119"/>
    </row>
    <row r="21" spans="1:37" x14ac:dyDescent="0.25">
      <c r="B21" s="24"/>
      <c r="C21" s="24"/>
      <c r="D21" s="24"/>
      <c r="E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x14ac:dyDescent="0.25">
      <c r="B22" s="24"/>
      <c r="C22" s="24"/>
      <c r="D22" s="24"/>
      <c r="E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x14ac:dyDescent="0.25">
      <c r="B23" s="24"/>
      <c r="C23" s="24"/>
      <c r="D23" s="24"/>
      <c r="E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x14ac:dyDescent="0.25">
      <c r="B24" s="24"/>
      <c r="C24" s="24"/>
      <c r="D24" s="24"/>
      <c r="E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x14ac:dyDescent="0.25">
      <c r="B25" s="24"/>
      <c r="C25" s="24"/>
      <c r="D25" s="24"/>
      <c r="E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x14ac:dyDescent="0.25">
      <c r="B26" s="24"/>
      <c r="C26" s="24"/>
      <c r="D26" s="24"/>
      <c r="E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1:37" x14ac:dyDescent="0.25">
      <c r="B27" s="24"/>
      <c r="C27" s="24"/>
      <c r="D27" s="24"/>
      <c r="E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1:37" x14ac:dyDescent="0.25">
      <c r="B28" s="24"/>
      <c r="C28" s="24"/>
      <c r="D28" s="24"/>
      <c r="E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1:37" x14ac:dyDescent="0.25">
      <c r="B29" s="24"/>
      <c r="C29" s="24"/>
      <c r="D29" s="24"/>
      <c r="E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x14ac:dyDescent="0.25">
      <c r="B30" s="24"/>
      <c r="C30" s="24"/>
      <c r="D30" s="24"/>
      <c r="E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x14ac:dyDescent="0.25">
      <c r="B31" s="24"/>
      <c r="C31" s="24"/>
      <c r="D31" s="24"/>
      <c r="E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x14ac:dyDescent="0.25">
      <c r="B32" s="24"/>
      <c r="C32" s="24"/>
      <c r="D32" s="24"/>
      <c r="E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2:37" x14ac:dyDescent="0.25">
      <c r="B33" s="24"/>
      <c r="C33" s="24"/>
      <c r="D33" s="24"/>
      <c r="E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2:3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2:3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2:3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2:3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2:3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2:3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2:3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2:3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2:37" x14ac:dyDescent="0.25">
      <c r="B42" s="24"/>
      <c r="C42" s="24"/>
      <c r="D42" s="24"/>
      <c r="E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37" x14ac:dyDescent="0.25">
      <c r="B43" s="24"/>
      <c r="C43" s="24"/>
      <c r="D43" s="24"/>
      <c r="E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2:37" x14ac:dyDescent="0.25">
      <c r="B44" s="24"/>
      <c r="C44" s="24"/>
      <c r="D44" s="24"/>
      <c r="E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2:37" x14ac:dyDescent="0.25">
      <c r="B45" s="24"/>
      <c r="C45" s="24"/>
      <c r="D45" s="24"/>
      <c r="E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2:37" x14ac:dyDescent="0.25">
      <c r="B46" s="24"/>
      <c r="C46" s="24"/>
      <c r="D46" s="24"/>
      <c r="E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2:37" x14ac:dyDescent="0.25">
      <c r="B47" s="24"/>
      <c r="C47" s="24"/>
      <c r="D47" s="24"/>
      <c r="E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2:37" x14ac:dyDescent="0.25">
      <c r="B48" s="24"/>
      <c r="C48" s="24"/>
      <c r="D48" s="24"/>
      <c r="E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2:30" x14ac:dyDescent="0.25">
      <c r="B49" s="24"/>
      <c r="C49" s="24"/>
      <c r="D49" s="24"/>
      <c r="E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2:30" x14ac:dyDescent="0.25">
      <c r="B50" s="24"/>
      <c r="C50" s="24"/>
      <c r="D50" s="24"/>
      <c r="E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2:30" x14ac:dyDescent="0.25">
      <c r="B51" s="24"/>
      <c r="C51" s="24"/>
      <c r="D51" s="24"/>
      <c r="E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2:30" x14ac:dyDescent="0.25">
      <c r="B52" s="24"/>
      <c r="C52" s="24"/>
      <c r="D52" s="24"/>
      <c r="E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2:30" x14ac:dyDescent="0.25">
      <c r="B53" s="24"/>
      <c r="C53" s="24"/>
      <c r="D53" s="24"/>
      <c r="E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2:30" x14ac:dyDescent="0.25">
      <c r="B54" s="24"/>
      <c r="C54" s="24"/>
      <c r="D54" s="24"/>
      <c r="E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2:30" x14ac:dyDescent="0.25">
      <c r="B55" s="24"/>
      <c r="C55" s="24"/>
      <c r="D55" s="24"/>
      <c r="E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2:30" x14ac:dyDescent="0.25">
      <c r="B56" s="24"/>
      <c r="C56" s="24"/>
      <c r="D56" s="24"/>
      <c r="E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2:30" x14ac:dyDescent="0.25">
      <c r="B57" s="24"/>
      <c r="C57" s="24"/>
      <c r="D57" s="24"/>
      <c r="E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2:30" x14ac:dyDescent="0.25">
      <c r="B58" s="24"/>
      <c r="C58" s="24"/>
      <c r="D58" s="24"/>
      <c r="E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2:30" x14ac:dyDescent="0.25">
      <c r="B59" s="24"/>
      <c r="C59" s="24"/>
      <c r="D59" s="24"/>
      <c r="E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2:30" x14ac:dyDescent="0.25">
      <c r="B60" s="24"/>
      <c r="C60" s="24"/>
      <c r="D60" s="24"/>
      <c r="E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F2239E0E-FEE4-4489-8CEE-7FCFC2B7688E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2E79-D46E-4BBF-A0C3-2ABAF6609EF0}">
  <sheetPr>
    <pageSetUpPr fitToPage="1"/>
  </sheetPr>
  <dimension ref="A1:AC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28515625" style="1" customWidth="1" collapsed="1"/>
    <col min="9" max="9" width="11.140625" style="1" customWidth="1" collapsed="1"/>
    <col min="10" max="10" width="1.7109375" style="1" customWidth="1" collapsed="1"/>
    <col min="11" max="12" width="12.7109375" style="1" customWidth="1" collapsed="1"/>
    <col min="13" max="13" width="1.7109375" style="2" customWidth="1"/>
    <col min="14" max="15" width="11.42578125" style="2"/>
    <col min="16" max="16" width="1.7109375" style="2" customWidth="1"/>
    <col min="17" max="22" width="11.42578125" style="1"/>
    <col min="23" max="23" width="11.42578125" style="1" collapsed="1"/>
    <col min="24" max="26" width="11.42578125" style="1"/>
    <col min="27" max="27" width="11.42578125" style="1" collapsed="1"/>
    <col min="28" max="29" width="11.42578125" style="1"/>
    <col min="30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10"/>
      <c r="M2" s="70"/>
      <c r="N2" s="70"/>
      <c r="O2" s="70"/>
      <c r="P2" s="70"/>
    </row>
    <row r="3" spans="2:18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72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56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4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18" customHeight="1" x14ac:dyDescent="0.25">
      <c r="B8" s="246"/>
      <c r="C8" s="246"/>
      <c r="D8" s="249"/>
      <c r="E8" s="34"/>
      <c r="F8" s="249"/>
      <c r="G8" s="34"/>
      <c r="H8" s="252" t="s">
        <v>47</v>
      </c>
      <c r="I8" s="252"/>
      <c r="J8" s="36"/>
      <c r="K8" s="232" t="s">
        <v>80</v>
      </c>
      <c r="L8" s="232"/>
      <c r="M8" s="36"/>
      <c r="N8" s="232" t="s">
        <v>48</v>
      </c>
      <c r="O8" s="232"/>
      <c r="P8" s="36"/>
      <c r="Q8" s="232" t="s">
        <v>43</v>
      </c>
      <c r="R8" s="232"/>
    </row>
    <row r="9" spans="2:18" ht="1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2:18" ht="6" customHeight="1" x14ac:dyDescent="0.25">
      <c r="B10" s="31"/>
      <c r="C10" s="18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181">
        <v>105958.232900252</v>
      </c>
      <c r="E11" s="125"/>
      <c r="F11" s="181">
        <v>95552.735448542604</v>
      </c>
      <c r="G11" s="125"/>
      <c r="H11" s="181">
        <v>27232.784439398099</v>
      </c>
      <c r="I11" s="181">
        <v>0.34463358440000003</v>
      </c>
      <c r="J11" s="125"/>
      <c r="K11" s="181">
        <v>65682.234632099993</v>
      </c>
      <c r="L11" s="181">
        <v>0.71176202840000002</v>
      </c>
      <c r="M11" s="125"/>
      <c r="N11" s="181">
        <v>89957.940265621204</v>
      </c>
      <c r="O11" s="181">
        <v>0.77906189039999996</v>
      </c>
      <c r="P11" s="125"/>
      <c r="Q11" s="181">
        <v>16109.374307973099</v>
      </c>
      <c r="R11" s="181">
        <v>0.2084235468</v>
      </c>
    </row>
    <row r="12" spans="2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2:18" s="3" customFormat="1" ht="12.95" customHeight="1" x14ac:dyDescent="0.2">
      <c r="B13" s="20" t="s">
        <v>8</v>
      </c>
      <c r="C13" s="50"/>
      <c r="D13" s="182">
        <v>3974.8233886669</v>
      </c>
      <c r="E13" s="126"/>
      <c r="F13" s="182">
        <v>3052.1285668788</v>
      </c>
      <c r="G13" s="126"/>
      <c r="H13" s="182">
        <v>1224.9493867095</v>
      </c>
      <c r="I13" s="182">
        <v>1.9794720993999999</v>
      </c>
      <c r="J13" s="126"/>
      <c r="K13" s="182">
        <v>3384.4051758661999</v>
      </c>
      <c r="L13" s="182">
        <v>3.4859827386000002</v>
      </c>
      <c r="M13" s="126"/>
      <c r="N13" s="182">
        <v>2179.8958802174002</v>
      </c>
      <c r="O13" s="182">
        <v>3.0099323600000001</v>
      </c>
      <c r="P13" s="126"/>
      <c r="Q13" s="182">
        <v>745.71560621959998</v>
      </c>
      <c r="R13" s="182">
        <v>1.2169609055999999</v>
      </c>
    </row>
    <row r="14" spans="2:18" s="3" customFormat="1" ht="12.95" customHeight="1" x14ac:dyDescent="0.2">
      <c r="B14" s="20" t="s">
        <v>9</v>
      </c>
      <c r="C14" s="50"/>
      <c r="D14" s="182">
        <v>19337.419328940599</v>
      </c>
      <c r="E14" s="126"/>
      <c r="F14" s="182">
        <v>17838.200975037202</v>
      </c>
      <c r="G14" s="126"/>
      <c r="H14" s="182">
        <v>5391.6351039825004</v>
      </c>
      <c r="I14" s="182">
        <v>1.9308071127999999</v>
      </c>
      <c r="J14" s="126"/>
      <c r="K14" s="182">
        <v>14780.599336458299</v>
      </c>
      <c r="L14" s="182">
        <v>3.1362263695000001</v>
      </c>
      <c r="M14" s="126"/>
      <c r="N14" s="182">
        <v>11263.4427242238</v>
      </c>
      <c r="O14" s="182">
        <v>3.1089665697000002</v>
      </c>
      <c r="P14" s="126"/>
      <c r="Q14" s="182">
        <v>2745.7937339447999</v>
      </c>
      <c r="R14" s="182">
        <v>0.9459971291</v>
      </c>
    </row>
    <row r="15" spans="2:18" s="3" customFormat="1" ht="12.95" customHeight="1" x14ac:dyDescent="0.2">
      <c r="B15" s="20" t="s">
        <v>10</v>
      </c>
      <c r="C15" s="50"/>
      <c r="D15" s="182">
        <v>5173.8747422569004</v>
      </c>
      <c r="E15" s="126"/>
      <c r="F15" s="182">
        <v>6983.9615495065</v>
      </c>
      <c r="G15" s="126"/>
      <c r="H15" s="182">
        <v>923.01833021250002</v>
      </c>
      <c r="I15" s="182">
        <v>1.4633982240000001</v>
      </c>
      <c r="J15" s="126"/>
      <c r="K15" s="182">
        <v>2402.5582206020999</v>
      </c>
      <c r="L15" s="182">
        <v>2.6819495767000001</v>
      </c>
      <c r="M15" s="126"/>
      <c r="N15" s="182">
        <v>5996.6124345373</v>
      </c>
      <c r="O15" s="182">
        <v>5.7323223393999996</v>
      </c>
      <c r="P15" s="126"/>
      <c r="Q15" s="182">
        <v>404.54750494929999</v>
      </c>
      <c r="R15" s="182">
        <v>0.63644286890000001</v>
      </c>
    </row>
    <row r="16" spans="2:18" s="3" customFormat="1" ht="12.95" customHeight="1" x14ac:dyDescent="0.2">
      <c r="B16" s="20" t="s">
        <v>11</v>
      </c>
      <c r="C16" s="50"/>
      <c r="D16" s="182">
        <v>4445.6431763455003</v>
      </c>
      <c r="E16" s="126"/>
      <c r="F16" s="182">
        <v>4153.9471935146003</v>
      </c>
      <c r="G16" s="126"/>
      <c r="H16" s="182">
        <v>1048.4975983086999</v>
      </c>
      <c r="I16" s="182">
        <v>1.5670601498000001</v>
      </c>
      <c r="J16" s="126"/>
      <c r="K16" s="182">
        <v>1692.2778636035</v>
      </c>
      <c r="L16" s="182">
        <v>2.1813774654999998</v>
      </c>
      <c r="M16" s="126"/>
      <c r="N16" s="182">
        <v>3934.2086134214001</v>
      </c>
      <c r="O16" s="182">
        <v>2.8349069439000001</v>
      </c>
      <c r="P16" s="126"/>
      <c r="Q16" s="182">
        <v>639.57436481759999</v>
      </c>
      <c r="R16" s="182">
        <v>0.93071761600000003</v>
      </c>
    </row>
    <row r="17" spans="2:20" s="3" customFormat="1" ht="12.95" customHeight="1" x14ac:dyDescent="0.2">
      <c r="B17" s="20" t="s">
        <v>12</v>
      </c>
      <c r="C17" s="50"/>
      <c r="D17" s="182">
        <v>10105.5644493564</v>
      </c>
      <c r="E17" s="126"/>
      <c r="F17" s="182">
        <v>7174.5438152639999</v>
      </c>
      <c r="G17" s="126"/>
      <c r="H17" s="182">
        <v>2711.1413945391</v>
      </c>
      <c r="I17" s="182">
        <v>1.6281438198</v>
      </c>
      <c r="J17" s="126"/>
      <c r="K17" s="182">
        <v>8030.2065400297997</v>
      </c>
      <c r="L17" s="182">
        <v>3.0203149909000002</v>
      </c>
      <c r="M17" s="126"/>
      <c r="N17" s="182">
        <v>5855.3980705189997</v>
      </c>
      <c r="O17" s="182">
        <v>2.8686004220000001</v>
      </c>
      <c r="P17" s="126"/>
      <c r="Q17" s="182">
        <v>681.25252293109997</v>
      </c>
      <c r="R17" s="182">
        <v>0.41759196170000001</v>
      </c>
    </row>
    <row r="18" spans="2:20" s="3" customFormat="1" ht="12.95" customHeight="1" x14ac:dyDescent="0.2">
      <c r="B18" s="20" t="s">
        <v>13</v>
      </c>
      <c r="C18" s="50"/>
      <c r="D18" s="182">
        <v>3021.5932988070999</v>
      </c>
      <c r="E18" s="126"/>
      <c r="F18" s="182">
        <v>2514.4763757595001</v>
      </c>
      <c r="G18" s="126"/>
      <c r="H18" s="182">
        <v>1066.1656963792</v>
      </c>
      <c r="I18" s="182">
        <v>2.4931180802999999</v>
      </c>
      <c r="J18" s="126"/>
      <c r="K18" s="182">
        <v>1942.9367865903</v>
      </c>
      <c r="L18" s="182">
        <v>3.4417427973999999</v>
      </c>
      <c r="M18" s="126"/>
      <c r="N18" s="182">
        <v>1910.6495324708001</v>
      </c>
      <c r="O18" s="182">
        <v>3.3980517723000001</v>
      </c>
      <c r="P18" s="126"/>
      <c r="Q18" s="182">
        <v>324.1164012488</v>
      </c>
      <c r="R18" s="182">
        <v>0.80944245439999996</v>
      </c>
    </row>
    <row r="19" spans="2:20" s="4" customFormat="1" ht="12.95" customHeight="1" x14ac:dyDescent="0.2">
      <c r="B19" s="20" t="s">
        <v>14</v>
      </c>
      <c r="C19" s="50"/>
      <c r="D19" s="182">
        <v>24523.240799788098</v>
      </c>
      <c r="E19" s="126"/>
      <c r="F19" s="182">
        <v>25137.822997068299</v>
      </c>
      <c r="G19" s="126"/>
      <c r="H19" s="182">
        <v>4422.7609212648003</v>
      </c>
      <c r="I19" s="182">
        <v>1.0824316402</v>
      </c>
      <c r="J19" s="126"/>
      <c r="K19" s="182">
        <v>7670.8995597896001</v>
      </c>
      <c r="L19" s="182">
        <v>1.8452908771000001</v>
      </c>
      <c r="M19" s="126"/>
      <c r="N19" s="182">
        <v>24888.757144165102</v>
      </c>
      <c r="O19" s="182">
        <v>2.4406614708999999</v>
      </c>
      <c r="P19" s="126"/>
      <c r="Q19" s="182">
        <v>1847.6361248904</v>
      </c>
      <c r="R19" s="182">
        <v>0.46834566290000001</v>
      </c>
      <c r="S19" s="3"/>
      <c r="T19" s="3"/>
    </row>
    <row r="20" spans="2:20" s="4" customFormat="1" ht="12.95" customHeight="1" x14ac:dyDescent="0.2">
      <c r="B20" s="20" t="s">
        <v>15</v>
      </c>
      <c r="C20" s="50"/>
      <c r="D20" s="182">
        <v>11366.583222867301</v>
      </c>
      <c r="E20" s="126"/>
      <c r="F20" s="182">
        <v>8294.0670316024007</v>
      </c>
      <c r="G20" s="126"/>
      <c r="H20" s="182">
        <v>3892.3236022532001</v>
      </c>
      <c r="I20" s="182">
        <v>1.9595222149</v>
      </c>
      <c r="J20" s="126"/>
      <c r="K20" s="182">
        <v>8388.1952241177005</v>
      </c>
      <c r="L20" s="182">
        <v>3.5589489261999998</v>
      </c>
      <c r="M20" s="126"/>
      <c r="N20" s="182">
        <v>7315.3584740016004</v>
      </c>
      <c r="O20" s="182">
        <v>3.2469288498000002</v>
      </c>
      <c r="P20" s="126"/>
      <c r="Q20" s="182">
        <v>1515.0318525647001</v>
      </c>
      <c r="R20" s="182">
        <v>0.83569388659999999</v>
      </c>
      <c r="S20" s="3"/>
      <c r="T20" s="3"/>
    </row>
    <row r="21" spans="2:20" s="4" customFormat="1" ht="12.95" customHeight="1" x14ac:dyDescent="0.2">
      <c r="B21" s="20" t="s">
        <v>16</v>
      </c>
      <c r="C21" s="50"/>
      <c r="D21" s="182">
        <v>39095.924431995998</v>
      </c>
      <c r="E21" s="108"/>
      <c r="F21" s="184">
        <v>30445.805502160001</v>
      </c>
      <c r="G21" s="108"/>
      <c r="H21" s="182">
        <v>9748.8290439760003</v>
      </c>
      <c r="I21" s="184">
        <v>1.2655187479000001</v>
      </c>
      <c r="J21" s="108"/>
      <c r="K21" s="182">
        <v>33373.170740506102</v>
      </c>
      <c r="L21" s="184">
        <v>2.7632470106000002</v>
      </c>
      <c r="M21" s="108"/>
      <c r="N21" s="184">
        <v>21168.6265115975</v>
      </c>
      <c r="O21" s="184">
        <v>2.3530942398999999</v>
      </c>
      <c r="P21" s="108"/>
      <c r="Q21" s="184">
        <v>8070.4809723015996</v>
      </c>
      <c r="R21" s="184">
        <v>1.0489885298999999</v>
      </c>
      <c r="S21" s="3"/>
      <c r="T21" s="3"/>
    </row>
    <row r="22" spans="2:20" s="4" customFormat="1" ht="12.95" customHeight="1" x14ac:dyDescent="0.2">
      <c r="B22" s="20" t="s">
        <v>17</v>
      </c>
      <c r="C22" s="50"/>
      <c r="D22" s="182">
        <v>5787.9771251803004</v>
      </c>
      <c r="E22" s="108"/>
      <c r="F22" s="184">
        <v>4700.2825013885004</v>
      </c>
      <c r="G22" s="108"/>
      <c r="H22" s="182">
        <v>1743.8701875969</v>
      </c>
      <c r="I22" s="184">
        <v>1.6552421903000001</v>
      </c>
      <c r="J22" s="108"/>
      <c r="K22" s="182">
        <v>3537.6270266369002</v>
      </c>
      <c r="L22" s="184">
        <v>2.9779302609</v>
      </c>
      <c r="M22" s="108"/>
      <c r="N22" s="184">
        <v>4474.8017020725001</v>
      </c>
      <c r="O22" s="184">
        <v>3.0661944721999999</v>
      </c>
      <c r="P22" s="108"/>
      <c r="Q22" s="184">
        <v>1105.3085869854001</v>
      </c>
      <c r="R22" s="184">
        <v>1.113615426</v>
      </c>
      <c r="S22" s="3"/>
      <c r="T22" s="3"/>
    </row>
    <row r="23" spans="2:20" s="4" customFormat="1" ht="12.95" customHeight="1" x14ac:dyDescent="0.2">
      <c r="B23" s="20" t="s">
        <v>18</v>
      </c>
      <c r="C23" s="50"/>
      <c r="D23" s="182">
        <v>18324.9317222014</v>
      </c>
      <c r="E23" s="108"/>
      <c r="F23" s="184">
        <v>20288.960186019602</v>
      </c>
      <c r="G23" s="108"/>
      <c r="H23" s="182">
        <v>4330.5195129743997</v>
      </c>
      <c r="I23" s="184">
        <v>1.314684856</v>
      </c>
      <c r="J23" s="108"/>
      <c r="K23" s="182">
        <v>13310.095486906701</v>
      </c>
      <c r="L23" s="184">
        <v>3.4289939968000001</v>
      </c>
      <c r="M23" s="108"/>
      <c r="N23" s="184">
        <v>14865.391970185599</v>
      </c>
      <c r="O23" s="184">
        <v>3.0363511962</v>
      </c>
      <c r="P23" s="108"/>
      <c r="Q23" s="184">
        <v>7307.6907965203</v>
      </c>
      <c r="R23" s="184">
        <v>2.1365333733999998</v>
      </c>
      <c r="S23" s="3"/>
      <c r="T23" s="3"/>
    </row>
    <row r="24" spans="2:20" s="4" customFormat="1" ht="12.95" customHeight="1" x14ac:dyDescent="0.2">
      <c r="B24" s="20" t="s">
        <v>19</v>
      </c>
      <c r="C24" s="50"/>
      <c r="D24" s="182">
        <v>16281.6146624333</v>
      </c>
      <c r="E24" s="108"/>
      <c r="F24" s="184">
        <v>16302.5949273683</v>
      </c>
      <c r="G24" s="108"/>
      <c r="H24" s="182">
        <v>3862.689989041</v>
      </c>
      <c r="I24" s="184">
        <v>1.2790877886000001</v>
      </c>
      <c r="J24" s="108"/>
      <c r="K24" s="182">
        <v>4471.8017804934998</v>
      </c>
      <c r="L24" s="184">
        <v>1.3556408740999999</v>
      </c>
      <c r="M24" s="108"/>
      <c r="N24" s="184">
        <v>16429.375957100099</v>
      </c>
      <c r="O24" s="184">
        <v>2.1860943487000002</v>
      </c>
      <c r="P24" s="108"/>
      <c r="Q24" s="184">
        <v>1009.5919967987001</v>
      </c>
      <c r="R24" s="184">
        <v>0.32801332750000001</v>
      </c>
      <c r="S24" s="3"/>
      <c r="T24" s="3"/>
    </row>
    <row r="25" spans="2:20" s="4" customFormat="1" ht="12.95" customHeight="1" x14ac:dyDescent="0.2">
      <c r="B25" s="20" t="s">
        <v>20</v>
      </c>
      <c r="C25" s="50"/>
      <c r="D25" s="182">
        <v>9331.4898358281007</v>
      </c>
      <c r="E25" s="108"/>
      <c r="F25" s="184">
        <v>8270.5512338379995</v>
      </c>
      <c r="G25" s="108"/>
      <c r="H25" s="182">
        <v>2477.7071559481001</v>
      </c>
      <c r="I25" s="184">
        <v>1.7164451422</v>
      </c>
      <c r="J25" s="108"/>
      <c r="K25" s="182">
        <v>3837.8798882214001</v>
      </c>
      <c r="L25" s="184">
        <v>2.7436373391000002</v>
      </c>
      <c r="M25" s="108"/>
      <c r="N25" s="184">
        <v>9523.8471953007993</v>
      </c>
      <c r="O25" s="184">
        <v>3.1855392650000001</v>
      </c>
      <c r="P25" s="108"/>
      <c r="Q25" s="184">
        <v>1055.2341529949999</v>
      </c>
      <c r="R25" s="184">
        <v>0.74479882770000005</v>
      </c>
      <c r="S25" s="3"/>
      <c r="T25" s="3"/>
    </row>
    <row r="26" spans="2:20" s="4" customFormat="1" ht="12.95" customHeight="1" x14ac:dyDescent="0.2">
      <c r="B26" s="20" t="s">
        <v>21</v>
      </c>
      <c r="C26" s="50"/>
      <c r="D26" s="182">
        <v>24713.322113776499</v>
      </c>
      <c r="E26" s="108"/>
      <c r="F26" s="184">
        <v>18838.3553741791</v>
      </c>
      <c r="G26" s="108"/>
      <c r="H26" s="182">
        <v>7862.6647284077999</v>
      </c>
      <c r="I26" s="184">
        <v>1.7910103982000001</v>
      </c>
      <c r="J26" s="108"/>
      <c r="K26" s="182">
        <v>18877.039154874201</v>
      </c>
      <c r="L26" s="184">
        <v>3.6310054263999998</v>
      </c>
      <c r="M26" s="108"/>
      <c r="N26" s="184">
        <v>18789.159162417</v>
      </c>
      <c r="O26" s="184">
        <v>3.3899012096000001</v>
      </c>
      <c r="P26" s="108"/>
      <c r="Q26" s="184">
        <v>4754.5293156317002</v>
      </c>
      <c r="R26" s="184">
        <v>1.0893631891</v>
      </c>
      <c r="S26" s="3"/>
      <c r="T26" s="3"/>
    </row>
    <row r="27" spans="2:20" s="4" customFormat="1" ht="12.95" customHeight="1" x14ac:dyDescent="0.2">
      <c r="B27" s="20" t="s">
        <v>22</v>
      </c>
      <c r="C27" s="50"/>
      <c r="D27" s="182">
        <v>56765.649370171799</v>
      </c>
      <c r="E27" s="108"/>
      <c r="F27" s="184">
        <v>51933.099046009003</v>
      </c>
      <c r="G27" s="108"/>
      <c r="H27" s="182">
        <v>14820.492365959</v>
      </c>
      <c r="I27" s="184">
        <v>1.5987398552000001</v>
      </c>
      <c r="J27" s="108"/>
      <c r="K27" s="182">
        <v>32974.775340870001</v>
      </c>
      <c r="L27" s="184">
        <v>3.2801778908000001</v>
      </c>
      <c r="M27" s="108"/>
      <c r="N27" s="184">
        <v>54883.800433717901</v>
      </c>
      <c r="O27" s="184">
        <v>3.9170359444999998</v>
      </c>
      <c r="P27" s="108"/>
      <c r="Q27" s="184">
        <v>5888.8619036938999</v>
      </c>
      <c r="R27" s="184">
        <v>0.6636067028</v>
      </c>
      <c r="S27" s="3"/>
      <c r="T27" s="3"/>
    </row>
    <row r="28" spans="2:20" s="4" customFormat="1" ht="12.95" customHeight="1" x14ac:dyDescent="0.2">
      <c r="B28" s="20" t="s">
        <v>23</v>
      </c>
      <c r="C28" s="50"/>
      <c r="D28" s="182">
        <v>17019.088201736799</v>
      </c>
      <c r="E28" s="108"/>
      <c r="F28" s="184">
        <v>15281.148266197</v>
      </c>
      <c r="G28" s="108"/>
      <c r="H28" s="182">
        <v>5059.0882138539</v>
      </c>
      <c r="I28" s="184">
        <v>1.8408390616999999</v>
      </c>
      <c r="J28" s="108"/>
      <c r="K28" s="182">
        <v>10948.819809558299</v>
      </c>
      <c r="L28" s="184">
        <v>3.3085398335999998</v>
      </c>
      <c r="M28" s="108"/>
      <c r="N28" s="184">
        <v>12477.2730824344</v>
      </c>
      <c r="O28" s="184">
        <v>3.4467590241999999</v>
      </c>
      <c r="P28" s="108"/>
      <c r="Q28" s="184">
        <v>1640.7955048966001</v>
      </c>
      <c r="R28" s="184">
        <v>0.6363245247</v>
      </c>
      <c r="S28" s="3"/>
      <c r="T28" s="3"/>
    </row>
    <row r="29" spans="2:20" s="4" customFormat="1" ht="12.95" customHeight="1" x14ac:dyDescent="0.2">
      <c r="B29" s="20" t="s">
        <v>24</v>
      </c>
      <c r="C29" s="50"/>
      <c r="D29" s="182">
        <v>6113.3536156424998</v>
      </c>
      <c r="E29" s="108"/>
      <c r="F29" s="184">
        <v>5954.3747721266</v>
      </c>
      <c r="G29" s="108"/>
      <c r="H29" s="182">
        <v>1689.7574842014001</v>
      </c>
      <c r="I29" s="184">
        <v>1.5241481117</v>
      </c>
      <c r="J29" s="108"/>
      <c r="K29" s="182">
        <v>3575.9185045223999</v>
      </c>
      <c r="L29" s="184">
        <v>2.8879026422999998</v>
      </c>
      <c r="M29" s="108"/>
      <c r="N29" s="184">
        <v>5933.8847900145001</v>
      </c>
      <c r="O29" s="184">
        <v>3.3633515815999999</v>
      </c>
      <c r="P29" s="108"/>
      <c r="Q29" s="184">
        <v>968.72998187200005</v>
      </c>
      <c r="R29" s="184">
        <v>0.87288081009999996</v>
      </c>
      <c r="S29" s="3"/>
      <c r="T29" s="3"/>
    </row>
    <row r="30" spans="2:20" s="4" customFormat="1" ht="12.95" customHeight="1" x14ac:dyDescent="0.2">
      <c r="B30" s="20" t="s">
        <v>25</v>
      </c>
      <c r="C30" s="50"/>
      <c r="D30" s="182">
        <v>5316.9751402616002</v>
      </c>
      <c r="E30" s="108"/>
      <c r="F30" s="184">
        <v>5100.0915447721</v>
      </c>
      <c r="G30" s="108"/>
      <c r="H30" s="182">
        <v>1292.5402617003001</v>
      </c>
      <c r="I30" s="184">
        <v>1.6197366237999999</v>
      </c>
      <c r="J30" s="108"/>
      <c r="K30" s="182">
        <v>3160.5545108971</v>
      </c>
      <c r="L30" s="184">
        <v>2.8925986678000002</v>
      </c>
      <c r="M30" s="108"/>
      <c r="N30" s="184">
        <v>4184.4045516165997</v>
      </c>
      <c r="O30" s="184">
        <v>2.8960878382000002</v>
      </c>
      <c r="P30" s="108"/>
      <c r="Q30" s="184">
        <v>587.25995372299997</v>
      </c>
      <c r="R30" s="184">
        <v>0.71286144650000005</v>
      </c>
      <c r="S30" s="3"/>
      <c r="T30" s="3"/>
    </row>
    <row r="31" spans="2:20" s="4" customFormat="1" ht="12.95" customHeight="1" x14ac:dyDescent="0.2">
      <c r="B31" s="20" t="s">
        <v>26</v>
      </c>
      <c r="C31" s="50"/>
      <c r="D31" s="182">
        <v>17956.984197016802</v>
      </c>
      <c r="E31" s="108"/>
      <c r="F31" s="184">
        <v>12604.524356072199</v>
      </c>
      <c r="G31" s="108"/>
      <c r="H31" s="182">
        <v>4932.3559053462004</v>
      </c>
      <c r="I31" s="184">
        <v>2.3402011113999999</v>
      </c>
      <c r="J31" s="108"/>
      <c r="K31" s="182">
        <v>12853.910902260701</v>
      </c>
      <c r="L31" s="184">
        <v>3.5317854787999998</v>
      </c>
      <c r="M31" s="108"/>
      <c r="N31" s="184">
        <v>9052.7095960494007</v>
      </c>
      <c r="O31" s="184">
        <v>3.6695842183999998</v>
      </c>
      <c r="P31" s="108"/>
      <c r="Q31" s="184">
        <v>695</v>
      </c>
      <c r="R31" s="184">
        <v>0.35191909529999998</v>
      </c>
      <c r="S31" s="3"/>
      <c r="T31" s="3"/>
    </row>
    <row r="32" spans="2:20" s="4" customFormat="1" ht="12.95" customHeight="1" x14ac:dyDescent="0.2">
      <c r="B32" s="20" t="s">
        <v>27</v>
      </c>
      <c r="C32" s="50"/>
      <c r="D32" s="182">
        <v>21077.694127693601</v>
      </c>
      <c r="E32" s="108"/>
      <c r="F32" s="184">
        <v>20238.192543907</v>
      </c>
      <c r="G32" s="108"/>
      <c r="H32" s="182">
        <v>5246.5981046119996</v>
      </c>
      <c r="I32" s="184">
        <v>1.5872335072999999</v>
      </c>
      <c r="J32" s="108"/>
      <c r="K32" s="182">
        <v>5185.2647906566999</v>
      </c>
      <c r="L32" s="184">
        <v>1.7035859502999999</v>
      </c>
      <c r="M32" s="108"/>
      <c r="N32" s="184">
        <v>19058.417910417898</v>
      </c>
      <c r="O32" s="184">
        <v>2.2823102361999998</v>
      </c>
      <c r="P32" s="108"/>
      <c r="Q32" s="184">
        <v>1841.5976822465</v>
      </c>
      <c r="R32" s="184">
        <v>0.63562362780000004</v>
      </c>
      <c r="S32" s="3"/>
      <c r="T32" s="3"/>
    </row>
    <row r="33" spans="1:25" s="4" customFormat="1" ht="12.95" customHeight="1" x14ac:dyDescent="0.2">
      <c r="B33" s="20" t="s">
        <v>28</v>
      </c>
      <c r="C33" s="50"/>
      <c r="D33" s="182">
        <v>28040.784324331398</v>
      </c>
      <c r="E33" s="108"/>
      <c r="F33" s="184">
        <v>28721.243702812098</v>
      </c>
      <c r="G33" s="108"/>
      <c r="H33" s="182">
        <v>5204.8146269005001</v>
      </c>
      <c r="I33" s="184">
        <v>1.1944194121</v>
      </c>
      <c r="J33" s="108"/>
      <c r="K33" s="182">
        <v>13197.758616063</v>
      </c>
      <c r="L33" s="184">
        <v>2.8168821178000001</v>
      </c>
      <c r="M33" s="108"/>
      <c r="N33" s="184">
        <v>27627.816219723001</v>
      </c>
      <c r="O33" s="184">
        <v>3.4296768369000001</v>
      </c>
      <c r="P33" s="108"/>
      <c r="Q33" s="184">
        <v>4722.6051426446002</v>
      </c>
      <c r="R33" s="184">
        <v>1.0820446357</v>
      </c>
      <c r="S33" s="3"/>
      <c r="T33" s="3"/>
    </row>
    <row r="34" spans="1:25" s="4" customFormat="1" ht="12.95" customHeight="1" x14ac:dyDescent="0.2">
      <c r="B34" s="20" t="s">
        <v>29</v>
      </c>
      <c r="C34" s="50"/>
      <c r="D34" s="182">
        <v>11145.868273914301</v>
      </c>
      <c r="E34" s="108"/>
      <c r="F34" s="184">
        <v>10479.7754412678</v>
      </c>
      <c r="G34" s="108"/>
      <c r="H34" s="182">
        <v>1889.7317729946001</v>
      </c>
      <c r="I34" s="184">
        <v>1.2494752256999999</v>
      </c>
      <c r="J34" s="108"/>
      <c r="K34" s="182">
        <v>6686.9578518717999</v>
      </c>
      <c r="L34" s="184">
        <v>3.9240002542000001</v>
      </c>
      <c r="M34" s="108"/>
      <c r="N34" s="184">
        <v>9484.7275419220005</v>
      </c>
      <c r="O34" s="184">
        <v>4.9746389958000004</v>
      </c>
      <c r="P34" s="108"/>
      <c r="Q34" s="184">
        <v>2663.7245651476001</v>
      </c>
      <c r="R34" s="184">
        <v>1.7658480502</v>
      </c>
      <c r="S34" s="3"/>
      <c r="T34" s="3"/>
    </row>
    <row r="35" spans="1:25" s="4" customFormat="1" ht="12.95" customHeight="1" x14ac:dyDescent="0.2">
      <c r="B35" s="20" t="s">
        <v>30</v>
      </c>
      <c r="C35" s="50"/>
      <c r="D35" s="182">
        <v>9283.6504094403008</v>
      </c>
      <c r="E35" s="108"/>
      <c r="F35" s="184">
        <v>9287.2621833394005</v>
      </c>
      <c r="G35" s="108"/>
      <c r="H35" s="182">
        <v>1968.9639889112</v>
      </c>
      <c r="I35" s="184">
        <v>1.3943661298000001</v>
      </c>
      <c r="J35" s="108"/>
      <c r="K35" s="182">
        <v>7587.3413327815997</v>
      </c>
      <c r="L35" s="184">
        <v>3.2229650113999999</v>
      </c>
      <c r="M35" s="108"/>
      <c r="N35" s="184">
        <v>6470.6310763687998</v>
      </c>
      <c r="O35" s="184">
        <v>3.9432305097999998</v>
      </c>
      <c r="P35" s="108"/>
      <c r="Q35" s="184">
        <v>724.77678556149999</v>
      </c>
      <c r="R35" s="184">
        <v>0.52924514219999996</v>
      </c>
      <c r="S35" s="3"/>
      <c r="T35" s="3"/>
    </row>
    <row r="36" spans="1:25" s="4" customFormat="1" ht="12.95" customHeight="1" x14ac:dyDescent="0.2">
      <c r="B36" s="20" t="s">
        <v>31</v>
      </c>
      <c r="C36" s="50"/>
      <c r="D36" s="182">
        <v>8709.9984939175993</v>
      </c>
      <c r="E36" s="108"/>
      <c r="F36" s="184">
        <v>7643.3334123845998</v>
      </c>
      <c r="G36" s="108"/>
      <c r="H36" s="182">
        <v>2808.5994841917</v>
      </c>
      <c r="I36" s="184">
        <v>2.0362626679</v>
      </c>
      <c r="J36" s="108"/>
      <c r="K36" s="182">
        <v>6276.1709078717004</v>
      </c>
      <c r="L36" s="184">
        <v>3.7692798451999998</v>
      </c>
      <c r="M36" s="108"/>
      <c r="N36" s="184">
        <v>6033.3992753550001</v>
      </c>
      <c r="O36" s="184">
        <v>3.7570168544999998</v>
      </c>
      <c r="P36" s="108"/>
      <c r="Q36" s="184">
        <v>627.55501455750004</v>
      </c>
      <c r="R36" s="184">
        <v>0.51003116339999999</v>
      </c>
      <c r="S36" s="3"/>
      <c r="T36" s="3"/>
    </row>
    <row r="37" spans="1:25" s="4" customFormat="1" ht="12.95" customHeight="1" x14ac:dyDescent="0.2">
      <c r="B37" s="20" t="s">
        <v>32</v>
      </c>
      <c r="C37" s="50"/>
      <c r="D37" s="182">
        <v>9220.0539519966005</v>
      </c>
      <c r="E37" s="108"/>
      <c r="F37" s="184">
        <v>8102.5527312556997</v>
      </c>
      <c r="G37" s="108"/>
      <c r="H37" s="182">
        <v>3509.2171520894999</v>
      </c>
      <c r="I37" s="184">
        <v>1.5558932087999999</v>
      </c>
      <c r="J37" s="108"/>
      <c r="K37" s="182">
        <v>8950.0075547695997</v>
      </c>
      <c r="L37" s="184">
        <v>2.9029563520999999</v>
      </c>
      <c r="M37" s="108"/>
      <c r="N37" s="184">
        <v>6050.1141037203997</v>
      </c>
      <c r="O37" s="184">
        <v>2.4788798182999998</v>
      </c>
      <c r="P37" s="108"/>
      <c r="Q37" s="184">
        <v>1574.0349265502</v>
      </c>
      <c r="R37" s="184">
        <v>0.70902177099999997</v>
      </c>
      <c r="S37" s="3"/>
      <c r="T37" s="3"/>
    </row>
    <row r="38" spans="1:25" s="4" customFormat="1" ht="12.95" customHeight="1" x14ac:dyDescent="0.2">
      <c r="B38" s="20" t="s">
        <v>33</v>
      </c>
      <c r="C38" s="50"/>
      <c r="D38" s="182">
        <v>10768.713563072301</v>
      </c>
      <c r="E38" s="108"/>
      <c r="F38" s="184">
        <v>10664.953835759199</v>
      </c>
      <c r="G38" s="108"/>
      <c r="H38" s="182">
        <v>3272.1830848447999</v>
      </c>
      <c r="I38" s="184">
        <v>1.4097465442999999</v>
      </c>
      <c r="J38" s="108"/>
      <c r="K38" s="182">
        <v>7395.8303143351004</v>
      </c>
      <c r="L38" s="184">
        <v>2.6274318504999998</v>
      </c>
      <c r="M38" s="108"/>
      <c r="N38" s="184">
        <v>8445.6576481498996</v>
      </c>
      <c r="O38" s="184">
        <v>2.8753558241000001</v>
      </c>
      <c r="P38" s="108"/>
      <c r="Q38" s="184">
        <v>2349.7049966812001</v>
      </c>
      <c r="R38" s="184">
        <v>1.0364275324000001</v>
      </c>
      <c r="S38" s="3"/>
      <c r="T38" s="3"/>
    </row>
    <row r="39" spans="1:25" s="4" customFormat="1" ht="12.95" customHeight="1" x14ac:dyDescent="0.2">
      <c r="B39" s="20" t="s">
        <v>34</v>
      </c>
      <c r="C39" s="50"/>
      <c r="D39" s="182">
        <v>12898.7373872804</v>
      </c>
      <c r="E39" s="108"/>
      <c r="F39" s="184">
        <v>12845.885175195201</v>
      </c>
      <c r="G39" s="108"/>
      <c r="H39" s="182">
        <v>2630.2283272277</v>
      </c>
      <c r="I39" s="184">
        <v>1.3413850156</v>
      </c>
      <c r="J39" s="108"/>
      <c r="K39" s="182">
        <v>5603.2214659726997</v>
      </c>
      <c r="L39" s="184">
        <v>2.3206647180000002</v>
      </c>
      <c r="M39" s="108"/>
      <c r="N39" s="184">
        <v>10566.8504670738</v>
      </c>
      <c r="O39" s="184">
        <v>2.4809193281000002</v>
      </c>
      <c r="P39" s="108"/>
      <c r="Q39" s="184">
        <v>261</v>
      </c>
      <c r="R39" s="184">
        <v>0.1356631184</v>
      </c>
      <c r="S39" s="3"/>
      <c r="T39" s="3"/>
    </row>
    <row r="40" spans="1:25" s="4" customFormat="1" ht="12.95" customHeight="1" x14ac:dyDescent="0.2">
      <c r="B40" s="20" t="s">
        <v>35</v>
      </c>
      <c r="C40" s="50"/>
      <c r="D40" s="182">
        <v>12338.6370543024</v>
      </c>
      <c r="E40" s="108"/>
      <c r="F40" s="184">
        <v>8409.6100655075006</v>
      </c>
      <c r="G40" s="108"/>
      <c r="H40" s="182">
        <v>3887.9230118923001</v>
      </c>
      <c r="I40" s="184">
        <v>2.1756233683000001</v>
      </c>
      <c r="J40" s="108"/>
      <c r="K40" s="182">
        <v>7914.2196047585003</v>
      </c>
      <c r="L40" s="184">
        <v>3.1471791014999999</v>
      </c>
      <c r="M40" s="108"/>
      <c r="N40" s="184">
        <v>7532.7583506211004</v>
      </c>
      <c r="O40" s="184">
        <v>3.2836905340999998</v>
      </c>
      <c r="P40" s="108"/>
      <c r="Q40" s="184">
        <v>1133.8403767727</v>
      </c>
      <c r="R40" s="184">
        <v>0.68060737390000003</v>
      </c>
      <c r="S40" s="3"/>
      <c r="T40" s="3"/>
    </row>
    <row r="41" spans="1:25" s="4" customFormat="1" ht="12.95" customHeight="1" x14ac:dyDescent="0.2">
      <c r="B41" s="20" t="s">
        <v>36</v>
      </c>
      <c r="C41" s="50"/>
      <c r="D41" s="182">
        <v>5211.7822396007004</v>
      </c>
      <c r="E41" s="108"/>
      <c r="F41" s="184">
        <v>5046.4142111807996</v>
      </c>
      <c r="G41" s="108"/>
      <c r="H41" s="182">
        <v>1096.0281437094</v>
      </c>
      <c r="I41" s="184">
        <v>1.1230473214000001</v>
      </c>
      <c r="J41" s="108"/>
      <c r="K41" s="182">
        <v>1611.8009057131001</v>
      </c>
      <c r="L41" s="184">
        <v>1.69103308</v>
      </c>
      <c r="M41" s="108"/>
      <c r="N41" s="184">
        <v>5485.8099336805999</v>
      </c>
      <c r="O41" s="184">
        <v>2.7014185007</v>
      </c>
      <c r="P41" s="108"/>
      <c r="Q41" s="184">
        <v>0</v>
      </c>
      <c r="R41" s="184">
        <v>0</v>
      </c>
      <c r="S41" s="3"/>
      <c r="T41" s="3"/>
    </row>
    <row r="42" spans="1:25" s="4" customFormat="1" ht="12.95" customHeight="1" x14ac:dyDescent="0.2">
      <c r="B42" s="20" t="s">
        <v>37</v>
      </c>
      <c r="C42" s="50"/>
      <c r="D42" s="182">
        <v>31913.895347425401</v>
      </c>
      <c r="E42" s="108"/>
      <c r="F42" s="184">
        <v>27581.963689275199</v>
      </c>
      <c r="G42" s="108"/>
      <c r="H42" s="182">
        <v>8103.9147023705</v>
      </c>
      <c r="I42" s="184">
        <v>1.4738080981999999</v>
      </c>
      <c r="J42" s="108"/>
      <c r="K42" s="182">
        <v>13428.6738054911</v>
      </c>
      <c r="L42" s="184">
        <v>2.2254295173999998</v>
      </c>
      <c r="M42" s="108"/>
      <c r="N42" s="184">
        <v>28627.9984006626</v>
      </c>
      <c r="O42" s="184">
        <v>2.7136571507</v>
      </c>
      <c r="P42" s="108"/>
      <c r="Q42" s="184">
        <v>4056.8829167231002</v>
      </c>
      <c r="R42" s="184">
        <v>0.73070151139999995</v>
      </c>
      <c r="S42" s="3"/>
      <c r="T42" s="3"/>
    </row>
    <row r="43" spans="1:25" s="4" customFormat="1" ht="12.95" customHeight="1" x14ac:dyDescent="0.2">
      <c r="B43" s="20" t="s">
        <v>38</v>
      </c>
      <c r="C43" s="51"/>
      <c r="D43" s="184">
        <v>9319.2933542898008</v>
      </c>
      <c r="E43" s="108"/>
      <c r="F43" s="184">
        <v>8557.7881668509999</v>
      </c>
      <c r="G43" s="108"/>
      <c r="H43" s="184">
        <v>2921.1015273563999</v>
      </c>
      <c r="I43" s="184">
        <v>1.7360372144</v>
      </c>
      <c r="J43" s="108"/>
      <c r="K43" s="184">
        <v>5354.0192335436996</v>
      </c>
      <c r="L43" s="184">
        <v>2.5960806637</v>
      </c>
      <c r="M43" s="108"/>
      <c r="N43" s="184">
        <v>7600.6245190424997</v>
      </c>
      <c r="O43" s="184">
        <v>3.1376048440000002</v>
      </c>
      <c r="P43" s="108"/>
      <c r="Q43" s="184">
        <v>1009.0392330891</v>
      </c>
      <c r="R43" s="184">
        <v>0.61231876880000002</v>
      </c>
    </row>
    <row r="44" spans="1:25" s="4" customFormat="1" ht="12.95" customHeight="1" x14ac:dyDescent="0.2">
      <c r="B44" s="20" t="s">
        <v>39</v>
      </c>
      <c r="C44" s="51"/>
      <c r="D44" s="184">
        <v>4393.6771832551003</v>
      </c>
      <c r="E44" s="108"/>
      <c r="F44" s="184">
        <v>3747.7817871431998</v>
      </c>
      <c r="G44" s="108"/>
      <c r="H44" s="184">
        <v>1295.4208636149001</v>
      </c>
      <c r="I44" s="184">
        <v>2.0180650961</v>
      </c>
      <c r="J44" s="108"/>
      <c r="K44" s="184">
        <v>2290.6798763040001</v>
      </c>
      <c r="L44" s="184">
        <v>3.0536083836999999</v>
      </c>
      <c r="M44" s="108"/>
      <c r="N44" s="184">
        <v>3821.6027723345001</v>
      </c>
      <c r="O44" s="184">
        <v>3.1672844595999998</v>
      </c>
      <c r="P44" s="108"/>
      <c r="Q44" s="184">
        <v>628.73165977229996</v>
      </c>
      <c r="R44" s="184">
        <v>0.98514851250000002</v>
      </c>
    </row>
    <row r="45" spans="1:25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  <c r="S45" s="1"/>
      <c r="T45" s="1"/>
    </row>
    <row r="46" spans="1:25" s="2" customFormat="1" ht="6" customHeight="1" x14ac:dyDescent="0.25">
      <c r="A46" s="63"/>
      <c r="B46" s="9"/>
      <c r="C46" s="44"/>
      <c r="D46" s="9"/>
      <c r="E46" s="44"/>
      <c r="F46" s="44"/>
      <c r="G46" s="44"/>
      <c r="H46" s="44"/>
      <c r="I46" s="44"/>
      <c r="J46" s="44"/>
      <c r="K46" s="45"/>
      <c r="L46" s="44"/>
      <c r="M46" s="28"/>
      <c r="N46" s="28"/>
      <c r="O46" s="28"/>
      <c r="P46" s="28"/>
      <c r="Q46" s="31"/>
      <c r="R46" s="31"/>
      <c r="S46" s="1"/>
      <c r="T46" s="1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2" customFormat="1" ht="12" customHeight="1" x14ac:dyDescent="0.25">
      <c r="A48" s="63"/>
      <c r="B48" s="9" t="s">
        <v>81</v>
      </c>
      <c r="C48" s="44"/>
      <c r="D48" s="9"/>
      <c r="E48" s="44"/>
      <c r="F48" s="44"/>
      <c r="G48" s="44"/>
      <c r="H48" s="44"/>
      <c r="I48" s="44"/>
      <c r="J48" s="44"/>
      <c r="K48" s="45"/>
      <c r="L48" s="44"/>
      <c r="M48" s="28"/>
      <c r="N48" s="28"/>
      <c r="O48" s="28"/>
      <c r="P48" s="28"/>
      <c r="Q48" s="31"/>
      <c r="R48" s="31"/>
      <c r="S48" s="1"/>
      <c r="T48" s="1"/>
    </row>
    <row r="49" spans="2:6" s="101" customFormat="1" ht="14.25" x14ac:dyDescent="0.2">
      <c r="B49" s="102" t="s">
        <v>75</v>
      </c>
      <c r="F49" s="119"/>
    </row>
    <row r="50" spans="2:6" ht="12.75" customHeight="1" x14ac:dyDescent="0.25">
      <c r="B50" s="14"/>
      <c r="D50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C9675482-8EA8-4AF6-85D9-FC2DB6B4FB8F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ED61-2A50-4E07-9DAC-68AB0FD8C333}">
  <dimension ref="A1:AU41"/>
  <sheetViews>
    <sheetView showGridLines="0" workbookViewId="0"/>
  </sheetViews>
  <sheetFormatPr baseColWidth="10" defaultColWidth="11.42578125" defaultRowHeight="15" x14ac:dyDescent="0.25"/>
  <cols>
    <col min="1" max="1" width="1.7109375" style="65" customWidth="1"/>
    <col min="2" max="2" width="32.140625" customWidth="1"/>
    <col min="3" max="3" width="1.7109375" customWidth="1"/>
    <col min="4" max="4" width="24.7109375" customWidth="1"/>
    <col min="5" max="5" width="1.7109375" customWidth="1"/>
    <col min="6" max="6" width="19.28515625" style="24" customWidth="1"/>
    <col min="7" max="7" width="1.7109375" customWidth="1"/>
    <col min="10" max="10" width="1.7109375" customWidth="1"/>
    <col min="13" max="13" width="1.7109375" customWidth="1"/>
    <col min="14" max="14" width="10.42578125" customWidth="1"/>
    <col min="16" max="16" width="1.7109375" customWidth="1"/>
    <col min="17" max="17" width="10" customWidth="1"/>
  </cols>
  <sheetData>
    <row r="1" spans="2:47" s="75" customFormat="1" ht="12" customHeight="1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70"/>
      <c r="Q1" s="68"/>
      <c r="R1" s="80" t="s">
        <v>74</v>
      </c>
    </row>
    <row r="2" spans="2:47" s="75" customFormat="1" ht="6.95" customHeight="1" x14ac:dyDescent="0.2">
      <c r="B2" s="210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70"/>
      <c r="Q2" s="68"/>
      <c r="R2" s="68"/>
    </row>
    <row r="3" spans="2:47" s="75" customFormat="1" ht="14.25" customHeigh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  <c r="Q3" s="68"/>
      <c r="R3" s="68"/>
    </row>
    <row r="4" spans="2:4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70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</row>
    <row r="5" spans="2:47" s="75" customFormat="1" ht="25.5" customHeight="1" x14ac:dyDescent="0.2">
      <c r="B5" s="242" t="s">
        <v>71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57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</row>
    <row r="6" spans="2:47" ht="6" customHeight="1" x14ac:dyDescent="0.25">
      <c r="B6" s="253"/>
      <c r="C6" s="253"/>
      <c r="D6" s="253"/>
      <c r="E6" s="253"/>
      <c r="F6" s="253"/>
      <c r="G6" s="253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spans="2:47" ht="22.5" customHeight="1" x14ac:dyDescent="0.25">
      <c r="B7" s="245" t="s">
        <v>50</v>
      </c>
      <c r="C7" s="245"/>
      <c r="D7" s="248" t="s">
        <v>64</v>
      </c>
      <c r="E7" s="189"/>
      <c r="F7" s="248" t="s">
        <v>52</v>
      </c>
      <c r="G7" s="34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spans="2:47" ht="21.75" customHeight="1" x14ac:dyDescent="0.25">
      <c r="B8" s="246"/>
      <c r="C8" s="246"/>
      <c r="D8" s="249"/>
      <c r="E8" s="189"/>
      <c r="F8" s="249"/>
      <c r="G8" s="34"/>
      <c r="H8" s="252" t="s">
        <v>47</v>
      </c>
      <c r="I8" s="252"/>
      <c r="J8" s="36"/>
      <c r="K8" s="232" t="s">
        <v>80</v>
      </c>
      <c r="L8" s="232"/>
      <c r="M8" s="37"/>
      <c r="N8" s="232" t="s">
        <v>48</v>
      </c>
      <c r="O8" s="232"/>
      <c r="P8" s="3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spans="2:47" ht="13.5" customHeight="1" x14ac:dyDescent="0.25">
      <c r="B9" s="247"/>
      <c r="C9" s="247"/>
      <c r="D9" s="250"/>
      <c r="E9" s="190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spans="2:47" ht="6" customHeight="1" x14ac:dyDescent="0.25">
      <c r="B10" s="31"/>
      <c r="C10" s="188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spans="2:47" s="99" customFormat="1" ht="12.95" customHeight="1" x14ac:dyDescent="0.2">
      <c r="B11" s="48" t="s">
        <v>7</v>
      </c>
      <c r="C11" s="92"/>
      <c r="D11" s="181">
        <v>105958.232900252</v>
      </c>
      <c r="E11" s="125"/>
      <c r="F11" s="181">
        <v>95552.735448542604</v>
      </c>
      <c r="G11" s="125"/>
      <c r="H11" s="181">
        <v>27232.784439398099</v>
      </c>
      <c r="I11" s="181">
        <v>0.34463358440000003</v>
      </c>
      <c r="J11" s="125"/>
      <c r="K11" s="181">
        <v>65682.234632099993</v>
      </c>
      <c r="L11" s="181">
        <v>0.71176202840000002</v>
      </c>
      <c r="M11" s="125"/>
      <c r="N11" s="181">
        <v>89957.940265621204</v>
      </c>
      <c r="O11" s="181">
        <v>0.77906189039999996</v>
      </c>
      <c r="P11" s="125"/>
      <c r="Q11" s="181">
        <v>16109.374307973099</v>
      </c>
      <c r="R11" s="181">
        <v>0.2084235468</v>
      </c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</row>
    <row r="12" spans="2:47" s="99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</row>
    <row r="13" spans="2:47" s="96" customFormat="1" ht="12.95" customHeight="1" x14ac:dyDescent="0.2">
      <c r="B13" s="103" t="s">
        <v>44</v>
      </c>
      <c r="C13" s="50"/>
      <c r="D13" s="182">
        <v>45627.598741131602</v>
      </c>
      <c r="E13" s="126"/>
      <c r="F13" s="182">
        <v>46056.625335619297</v>
      </c>
      <c r="G13" s="126"/>
      <c r="H13" s="182">
        <v>8948.6108012621007</v>
      </c>
      <c r="I13" s="182">
        <v>0.58162448229999997</v>
      </c>
      <c r="J13" s="126"/>
      <c r="K13" s="182">
        <v>14054.763195027799</v>
      </c>
      <c r="L13" s="182">
        <v>0.9326760892</v>
      </c>
      <c r="M13" s="126"/>
      <c r="N13" s="182">
        <v>44706.855925149699</v>
      </c>
      <c r="O13" s="182">
        <v>1.2590422175</v>
      </c>
      <c r="P13" s="126"/>
      <c r="Q13" s="182">
        <v>4263.7723030883999</v>
      </c>
      <c r="R13" s="182">
        <v>0.28899928149999998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</row>
    <row r="14" spans="2:47" s="96" customFormat="1" ht="12.95" customHeight="1" x14ac:dyDescent="0.2">
      <c r="B14" s="103" t="s">
        <v>45</v>
      </c>
      <c r="C14" s="50"/>
      <c r="D14" s="182">
        <v>42448.730558739102</v>
      </c>
      <c r="E14" s="126"/>
      <c r="F14" s="182">
        <v>38617.045439334899</v>
      </c>
      <c r="G14" s="108"/>
      <c r="H14" s="182">
        <v>9636.7389635701002</v>
      </c>
      <c r="I14" s="184">
        <v>0.86266973479999998</v>
      </c>
      <c r="J14" s="108"/>
      <c r="K14" s="182">
        <v>14964.4715646928</v>
      </c>
      <c r="L14" s="184">
        <v>1.2451488541</v>
      </c>
      <c r="M14" s="108"/>
      <c r="N14" s="184">
        <v>39087.302783470499</v>
      </c>
      <c r="O14" s="184">
        <v>1.6439348624000001</v>
      </c>
      <c r="P14" s="108"/>
      <c r="Q14" s="184">
        <v>5604.9014016503997</v>
      </c>
      <c r="R14" s="184">
        <v>0.5065687593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</row>
    <row r="15" spans="2:47" s="96" customFormat="1" ht="12.95" customHeight="1" x14ac:dyDescent="0.2">
      <c r="B15" s="103" t="s">
        <v>46</v>
      </c>
      <c r="C15" s="50"/>
      <c r="D15" s="182">
        <v>50250.922145605597</v>
      </c>
      <c r="E15" s="126"/>
      <c r="F15" s="182">
        <v>48625.378221720799</v>
      </c>
      <c r="G15" s="108"/>
      <c r="H15" s="182">
        <v>10916.0590896141</v>
      </c>
      <c r="I15" s="184">
        <v>0.79579543139999998</v>
      </c>
      <c r="J15" s="108"/>
      <c r="K15" s="182">
        <v>25829.3499639613</v>
      </c>
      <c r="L15" s="184">
        <v>1.5762656292999999</v>
      </c>
      <c r="M15" s="108"/>
      <c r="N15" s="184">
        <v>43746.341899823499</v>
      </c>
      <c r="O15" s="184">
        <v>1.7801535524000001</v>
      </c>
      <c r="P15" s="108"/>
      <c r="Q15" s="184">
        <v>7782.7226995870997</v>
      </c>
      <c r="R15" s="184">
        <v>0.5715583488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</row>
    <row r="16" spans="2:47" s="96" customFormat="1" ht="12.95" customHeight="1" x14ac:dyDescent="0.2">
      <c r="B16" s="103" t="s">
        <v>49</v>
      </c>
      <c r="C16" s="50"/>
      <c r="D16" s="182">
        <v>69859.914795755903</v>
      </c>
      <c r="E16" s="126"/>
      <c r="F16" s="182">
        <v>57155.682486346501</v>
      </c>
      <c r="G16" s="126"/>
      <c r="H16" s="182">
        <v>21201.882679383001</v>
      </c>
      <c r="I16" s="182">
        <v>0.54538079029999997</v>
      </c>
      <c r="J16" s="126"/>
      <c r="K16" s="182">
        <v>56817.2844894929</v>
      </c>
      <c r="L16" s="182">
        <v>1.0931790888999999</v>
      </c>
      <c r="M16" s="126"/>
      <c r="N16" s="182">
        <v>51816.889845163802</v>
      </c>
      <c r="O16" s="182">
        <v>1.1464353294</v>
      </c>
      <c r="P16" s="126"/>
      <c r="Q16" s="182">
        <v>12220.740321310799</v>
      </c>
      <c r="R16" s="182">
        <v>0.32219494250000003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</row>
    <row r="17" spans="1:47" ht="6" customHeight="1" x14ac:dyDescent="0.25">
      <c r="B17" s="49"/>
      <c r="C17" s="30"/>
      <c r="D17" s="110"/>
      <c r="E17" s="110"/>
      <c r="F17" s="110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spans="1:47" ht="6" customHeight="1" x14ac:dyDescent="0.25">
      <c r="B18" s="9"/>
      <c r="C18" s="44"/>
      <c r="D18" s="9"/>
      <c r="E18" s="9"/>
      <c r="F18" s="9"/>
      <c r="G18" s="44"/>
      <c r="H18" s="44"/>
      <c r="I18" s="44"/>
      <c r="J18" s="44"/>
      <c r="K18" s="45"/>
      <c r="L18" s="44"/>
      <c r="M18" s="28"/>
      <c r="N18" s="28"/>
      <c r="O18" s="28"/>
      <c r="P18" s="28"/>
      <c r="Q18" s="31"/>
      <c r="R18" s="31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spans="1:4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47" x14ac:dyDescent="0.25">
      <c r="B20" s="9" t="s">
        <v>81</v>
      </c>
      <c r="C20" s="44"/>
      <c r="D20" s="9"/>
      <c r="E20" s="9"/>
      <c r="F20" s="9"/>
      <c r="G20" s="44"/>
      <c r="H20" s="44"/>
      <c r="I20" s="44"/>
      <c r="J20" s="44"/>
      <c r="K20" s="45"/>
      <c r="L20" s="44"/>
      <c r="M20" s="28"/>
      <c r="N20" s="28"/>
      <c r="O20" s="28"/>
      <c r="P20" s="28"/>
      <c r="Q20" s="31"/>
      <c r="R20" s="31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s="101" customFormat="1" ht="14.25" x14ac:dyDescent="0.2">
      <c r="B21" s="102" t="s">
        <v>75</v>
      </c>
      <c r="F21" s="119"/>
    </row>
    <row r="22" spans="1:47" x14ac:dyDescent="0.25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spans="1:47" x14ac:dyDescent="0.25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spans="1:47" x14ac:dyDescent="0.25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spans="1:47" x14ac:dyDescent="0.25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spans="1:47" x14ac:dyDescent="0.25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spans="1:47" x14ac:dyDescent="0.2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spans="1:47" x14ac:dyDescent="0.25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spans="1:47" x14ac:dyDescent="0.2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spans="1:47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x14ac:dyDescent="0.2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spans="1:47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spans="2:47" x14ac:dyDescent="0.25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spans="2:4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spans="2:4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spans="2:4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2:4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spans="2:4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spans="2:4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spans="2:4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spans="2:4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8EB04F1A-DDEB-498A-A7D8-CF970CCA59F8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3303-65AE-4C07-BD23-8DEF3F51EB2A}">
  <sheetPr>
    <pageSetUpPr fitToPage="1"/>
  </sheetPr>
  <dimension ref="A1:AM52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131" customWidth="1"/>
    <col min="2" max="2" width="33" style="130" customWidth="1"/>
    <col min="3" max="3" width="1.7109375" style="130" customWidth="1" collapsed="1"/>
    <col min="4" max="4" width="19" style="130" customWidth="1" collapsed="1"/>
    <col min="5" max="5" width="1.7109375" style="130" customWidth="1" collapsed="1"/>
    <col min="6" max="6" width="18.7109375" style="130" customWidth="1"/>
    <col min="7" max="7" width="1.7109375" style="130" customWidth="1"/>
    <col min="8" max="9" width="11.7109375" style="130" customWidth="1"/>
    <col min="10" max="10" width="1.7109375" style="130" customWidth="1"/>
    <col min="11" max="12" width="11.42578125" style="130" customWidth="1" collapsed="1"/>
    <col min="13" max="13" width="1.7109375" style="130" customWidth="1" collapsed="1"/>
    <col min="14" max="15" width="11.42578125" style="130" customWidth="1" collapsed="1"/>
    <col min="16" max="16" width="1.7109375" style="130" customWidth="1"/>
    <col min="17" max="18" width="11.42578125" style="130"/>
    <col min="19" max="19" width="1.7109375" style="130" customWidth="1"/>
    <col min="20" max="21" width="11.42578125" style="130" collapsed="1"/>
    <col min="22" max="39" width="11.42578125" style="130"/>
    <col min="40" max="16384" width="11.42578125" style="130" collapsed="1"/>
  </cols>
  <sheetData>
    <row r="1" spans="2:29" s="162" customFormat="1" x14ac:dyDescent="0.2">
      <c r="B1" s="210" t="s">
        <v>129</v>
      </c>
      <c r="U1" s="80" t="s">
        <v>74</v>
      </c>
    </row>
    <row r="2" spans="2:29" s="162" customFormat="1" ht="6.95" customHeight="1" x14ac:dyDescent="0.25">
      <c r="B2" s="210"/>
    </row>
    <row r="3" spans="2:29" s="162" customFormat="1" x14ac:dyDescent="0.2">
      <c r="B3" s="210" t="s">
        <v>112</v>
      </c>
      <c r="C3" s="167"/>
      <c r="D3" s="167"/>
      <c r="E3" s="167"/>
      <c r="F3" s="175"/>
      <c r="G3" s="167"/>
      <c r="H3" s="167"/>
      <c r="I3" s="167"/>
      <c r="J3" s="167"/>
      <c r="K3" s="167"/>
      <c r="L3" s="167"/>
      <c r="M3" s="167"/>
      <c r="N3" s="167"/>
      <c r="O3" s="167"/>
      <c r="P3" s="167"/>
    </row>
    <row r="4" spans="2:29" s="162" customFormat="1" ht="6.95" customHeight="1" x14ac:dyDescent="0.25">
      <c r="C4" s="166"/>
    </row>
    <row r="5" spans="2:29" s="162" customFormat="1" ht="25.5" customHeight="1" x14ac:dyDescent="0.2">
      <c r="B5" s="256" t="s">
        <v>99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165"/>
      <c r="P5" s="163"/>
      <c r="Q5" s="164"/>
      <c r="R5" s="163"/>
      <c r="S5" s="163"/>
      <c r="T5" s="163"/>
      <c r="U5" s="79" t="s">
        <v>58</v>
      </c>
    </row>
    <row r="6" spans="2:29" ht="6" customHeight="1" x14ac:dyDescent="0.25">
      <c r="B6" s="257"/>
      <c r="C6" s="257"/>
      <c r="D6" s="257"/>
      <c r="E6" s="257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132"/>
      <c r="Q6" s="132"/>
      <c r="R6" s="132"/>
      <c r="S6" s="132"/>
      <c r="T6" s="132"/>
      <c r="U6" s="132"/>
    </row>
    <row r="7" spans="2:29" ht="15" customHeight="1" x14ac:dyDescent="0.25">
      <c r="B7" s="259" t="s">
        <v>1</v>
      </c>
      <c r="C7" s="259"/>
      <c r="D7" s="262" t="s">
        <v>98</v>
      </c>
      <c r="E7" s="161"/>
      <c r="F7" s="262" t="s">
        <v>97</v>
      </c>
      <c r="G7" s="160"/>
      <c r="H7" s="160"/>
      <c r="I7" s="160"/>
      <c r="J7" s="160"/>
      <c r="K7" s="265" t="s">
        <v>96</v>
      </c>
      <c r="L7" s="265"/>
      <c r="M7" s="265"/>
      <c r="N7" s="265"/>
      <c r="O7" s="265"/>
      <c r="P7" s="265"/>
      <c r="Q7" s="265"/>
      <c r="R7" s="265"/>
      <c r="S7" s="265"/>
      <c r="T7" s="265"/>
      <c r="U7" s="265"/>
    </row>
    <row r="8" spans="2:29" ht="34.5" customHeight="1" x14ac:dyDescent="0.25">
      <c r="B8" s="260"/>
      <c r="C8" s="260"/>
      <c r="D8" s="263"/>
      <c r="E8" s="161"/>
      <c r="F8" s="263"/>
      <c r="G8" s="161"/>
      <c r="H8" s="266" t="s">
        <v>95</v>
      </c>
      <c r="I8" s="266"/>
      <c r="J8" s="160"/>
      <c r="K8" s="266" t="s">
        <v>94</v>
      </c>
      <c r="L8" s="266"/>
      <c r="M8" s="159"/>
      <c r="N8" s="255" t="s">
        <v>93</v>
      </c>
      <c r="O8" s="255"/>
      <c r="P8" s="158"/>
      <c r="Q8" s="255" t="s">
        <v>92</v>
      </c>
      <c r="R8" s="255"/>
      <c r="S8" s="158"/>
      <c r="T8" s="255" t="s">
        <v>91</v>
      </c>
      <c r="U8" s="255"/>
    </row>
    <row r="9" spans="2:29" ht="15" customHeight="1" x14ac:dyDescent="0.25">
      <c r="B9" s="261"/>
      <c r="C9" s="261"/>
      <c r="D9" s="264"/>
      <c r="E9" s="157"/>
      <c r="F9" s="264"/>
      <c r="G9" s="157"/>
      <c r="H9" s="155" t="s">
        <v>5</v>
      </c>
      <c r="I9" s="155" t="s">
        <v>6</v>
      </c>
      <c r="J9" s="157"/>
      <c r="K9" s="155" t="s">
        <v>5</v>
      </c>
      <c r="L9" s="155" t="s">
        <v>6</v>
      </c>
      <c r="M9" s="155"/>
      <c r="N9" s="155" t="s">
        <v>5</v>
      </c>
      <c r="O9" s="155" t="s">
        <v>6</v>
      </c>
      <c r="P9" s="156"/>
      <c r="Q9" s="155" t="s">
        <v>5</v>
      </c>
      <c r="R9" s="155" t="s">
        <v>6</v>
      </c>
      <c r="S9" s="156"/>
      <c r="T9" s="155" t="s">
        <v>5</v>
      </c>
      <c r="U9" s="155" t="s">
        <v>6</v>
      </c>
    </row>
    <row r="10" spans="2:29" ht="6" customHeight="1" x14ac:dyDescent="0.25">
      <c r="B10" s="132"/>
      <c r="C10" s="191"/>
      <c r="D10" s="154"/>
      <c r="E10" s="154"/>
      <c r="F10" s="154"/>
      <c r="G10" s="154"/>
      <c r="H10" s="154"/>
      <c r="I10" s="151"/>
      <c r="J10" s="154"/>
      <c r="K10" s="153"/>
      <c r="L10" s="151"/>
      <c r="M10" s="153"/>
      <c r="N10" s="153"/>
      <c r="O10" s="151"/>
      <c r="P10" s="152"/>
      <c r="Q10" s="152"/>
      <c r="R10" s="151"/>
      <c r="S10" s="152"/>
      <c r="T10" s="152"/>
      <c r="U10" s="151"/>
    </row>
    <row r="11" spans="2:29" s="148" customFormat="1" ht="12.95" customHeight="1" x14ac:dyDescent="0.2">
      <c r="B11" s="150" t="s">
        <v>7</v>
      </c>
      <c r="C11" s="149"/>
      <c r="D11" s="181">
        <v>101259.931765462</v>
      </c>
      <c r="E11" s="125"/>
      <c r="F11" s="181">
        <v>93059.414311262706</v>
      </c>
      <c r="G11" s="125"/>
      <c r="H11" s="181">
        <v>30899.417378895199</v>
      </c>
      <c r="I11" s="181">
        <v>0.41228232300000001</v>
      </c>
      <c r="J11" s="125"/>
      <c r="K11" s="181">
        <v>22034.711882011299</v>
      </c>
      <c r="L11" s="181">
        <v>0.30770126279999999</v>
      </c>
      <c r="M11" s="125"/>
      <c r="N11" s="181">
        <v>47534.328223674798</v>
      </c>
      <c r="O11" s="181">
        <v>0.61419534399999998</v>
      </c>
      <c r="P11" s="125"/>
      <c r="Q11" s="181">
        <v>88247.835639660305</v>
      </c>
      <c r="R11" s="181">
        <v>0.76105199450000005</v>
      </c>
      <c r="S11" s="125"/>
      <c r="T11" s="181">
        <v>3995.7790370644002</v>
      </c>
      <c r="U11" s="181">
        <v>5.7421453300000001E-2</v>
      </c>
      <c r="V11" s="147"/>
      <c r="W11" s="147"/>
      <c r="X11" s="147"/>
      <c r="Y11" s="147"/>
      <c r="Z11" s="147"/>
      <c r="AA11" s="147"/>
      <c r="AB11" s="147"/>
      <c r="AC11" s="147"/>
    </row>
    <row r="12" spans="2:29" s="148" customFormat="1" ht="6" customHeight="1" x14ac:dyDescent="0.2">
      <c r="B12" s="150"/>
      <c r="C12" s="149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126"/>
      <c r="T12" s="126"/>
      <c r="U12" s="127"/>
      <c r="V12" s="147"/>
      <c r="W12" s="147"/>
      <c r="X12" s="147"/>
      <c r="Y12" s="147"/>
      <c r="Z12" s="147"/>
      <c r="AA12" s="147"/>
      <c r="AB12" s="147"/>
      <c r="AC12" s="147"/>
    </row>
    <row r="13" spans="2:29" s="138" customFormat="1" ht="12.95" customHeight="1" x14ac:dyDescent="0.2">
      <c r="B13" s="146" t="s">
        <v>8</v>
      </c>
      <c r="C13" s="137"/>
      <c r="D13" s="182">
        <v>3842.5570360441998</v>
      </c>
      <c r="E13" s="126"/>
      <c r="F13" s="182">
        <v>3244.2898487056</v>
      </c>
      <c r="G13" s="126"/>
      <c r="H13" s="182">
        <v>1004.4446341259001</v>
      </c>
      <c r="I13" s="182">
        <v>1.8848315256999999</v>
      </c>
      <c r="J13" s="126"/>
      <c r="K13" s="182">
        <v>728.42417088349998</v>
      </c>
      <c r="L13" s="182">
        <v>1.4069345126999999</v>
      </c>
      <c r="M13" s="126"/>
      <c r="N13" s="182">
        <v>2285.8497910798001</v>
      </c>
      <c r="O13" s="182">
        <v>3.4062130936999999</v>
      </c>
      <c r="P13" s="126"/>
      <c r="Q13" s="182">
        <v>3012.0527627325</v>
      </c>
      <c r="R13" s="182">
        <v>3.8549045806</v>
      </c>
      <c r="S13" s="126"/>
      <c r="T13" s="182">
        <v>212</v>
      </c>
      <c r="U13" s="182">
        <v>0.40606434520000001</v>
      </c>
      <c r="V13" s="147"/>
      <c r="W13" s="147"/>
      <c r="X13" s="147"/>
      <c r="Y13" s="147"/>
      <c r="Z13" s="147"/>
      <c r="AA13" s="147"/>
      <c r="AB13" s="147"/>
      <c r="AC13" s="147"/>
    </row>
    <row r="14" spans="2:29" s="138" customFormat="1" ht="12.95" customHeight="1" x14ac:dyDescent="0.2">
      <c r="B14" s="146" t="s">
        <v>9</v>
      </c>
      <c r="C14" s="137"/>
      <c r="D14" s="182">
        <v>18889.0681080508</v>
      </c>
      <c r="E14" s="126"/>
      <c r="F14" s="182">
        <v>17656.950988481902</v>
      </c>
      <c r="G14" s="126"/>
      <c r="H14" s="182">
        <v>3160.5684275376998</v>
      </c>
      <c r="I14" s="182">
        <v>1.2820517220000001</v>
      </c>
      <c r="J14" s="126"/>
      <c r="K14" s="182">
        <v>3942.1808011604999</v>
      </c>
      <c r="L14" s="182">
        <v>1.5041701679999999</v>
      </c>
      <c r="M14" s="126"/>
      <c r="N14" s="182">
        <v>14612.740566916</v>
      </c>
      <c r="O14" s="182">
        <v>3.8619542427</v>
      </c>
      <c r="P14" s="126"/>
      <c r="Q14" s="182">
        <v>11166.1561769808</v>
      </c>
      <c r="R14" s="182">
        <v>3.5898765473999998</v>
      </c>
      <c r="S14" s="126"/>
      <c r="T14" s="182">
        <v>0</v>
      </c>
      <c r="U14" s="182">
        <v>0</v>
      </c>
      <c r="V14" s="147"/>
      <c r="W14" s="147"/>
      <c r="X14" s="147"/>
      <c r="Y14" s="147"/>
      <c r="Z14" s="147"/>
      <c r="AA14" s="147"/>
      <c r="AB14" s="147"/>
      <c r="AC14" s="147"/>
    </row>
    <row r="15" spans="2:29" s="138" customFormat="1" ht="12.95" customHeight="1" x14ac:dyDescent="0.2">
      <c r="B15" s="146" t="s">
        <v>10</v>
      </c>
      <c r="C15" s="137"/>
      <c r="D15" s="182">
        <v>5091.6767827570002</v>
      </c>
      <c r="E15" s="126"/>
      <c r="F15" s="182">
        <v>6972.2483261942998</v>
      </c>
      <c r="G15" s="126"/>
      <c r="H15" s="182">
        <v>5339.7797639006003</v>
      </c>
      <c r="I15" s="182">
        <v>8.5033432750000006</v>
      </c>
      <c r="J15" s="126"/>
      <c r="K15" s="182">
        <v>529.36409807919995</v>
      </c>
      <c r="L15" s="182">
        <v>0.88404727090000002</v>
      </c>
      <c r="M15" s="126"/>
      <c r="N15" s="182">
        <v>2025.7566611945001</v>
      </c>
      <c r="O15" s="182">
        <v>3.1424758600999998</v>
      </c>
      <c r="P15" s="126"/>
      <c r="Q15" s="182">
        <v>3777.3358825374999</v>
      </c>
      <c r="R15" s="182">
        <v>3.6590116501000001</v>
      </c>
      <c r="S15" s="126"/>
      <c r="T15" s="182">
        <v>0</v>
      </c>
      <c r="U15" s="182">
        <v>0</v>
      </c>
      <c r="V15" s="147"/>
      <c r="W15" s="147"/>
      <c r="X15" s="147"/>
      <c r="Y15" s="147"/>
      <c r="Z15" s="147"/>
      <c r="AA15" s="147"/>
      <c r="AB15" s="147"/>
      <c r="AC15" s="147"/>
    </row>
    <row r="16" spans="2:29" s="138" customFormat="1" ht="12.95" customHeight="1" x14ac:dyDescent="0.2">
      <c r="B16" s="146" t="s">
        <v>11</v>
      </c>
      <c r="C16" s="137"/>
      <c r="D16" s="182">
        <v>4303.5810858836003</v>
      </c>
      <c r="E16" s="126"/>
      <c r="F16" s="182">
        <v>4099.3760371122999</v>
      </c>
      <c r="G16" s="126"/>
      <c r="H16" s="182">
        <v>1153.0878902896</v>
      </c>
      <c r="I16" s="182">
        <v>1.6254731690999999</v>
      </c>
      <c r="J16" s="126"/>
      <c r="K16" s="182">
        <v>633.76495745919999</v>
      </c>
      <c r="L16" s="182">
        <v>0.99560424459999997</v>
      </c>
      <c r="M16" s="126"/>
      <c r="N16" s="182">
        <v>1091.9005251376</v>
      </c>
      <c r="O16" s="182">
        <v>1.5277080055000001</v>
      </c>
      <c r="P16" s="126"/>
      <c r="Q16" s="182">
        <v>3532.0660512607001</v>
      </c>
      <c r="R16" s="182">
        <v>2.8065878358999998</v>
      </c>
      <c r="S16" s="126"/>
      <c r="T16" s="182">
        <v>0</v>
      </c>
      <c r="U16" s="182">
        <v>0</v>
      </c>
      <c r="V16" s="147"/>
      <c r="W16" s="147"/>
      <c r="X16" s="147"/>
      <c r="Y16" s="147"/>
      <c r="Z16" s="147"/>
      <c r="AA16" s="147"/>
      <c r="AB16" s="147"/>
      <c r="AC16" s="147"/>
    </row>
    <row r="17" spans="2:29" s="138" customFormat="1" ht="12.95" customHeight="1" x14ac:dyDescent="0.2">
      <c r="B17" s="146" t="s">
        <v>12</v>
      </c>
      <c r="C17" s="137"/>
      <c r="D17" s="182">
        <v>9936.4803125949002</v>
      </c>
      <c r="E17" s="126"/>
      <c r="F17" s="182">
        <v>7593.4351997849999</v>
      </c>
      <c r="G17" s="126"/>
      <c r="H17" s="182">
        <v>2885.3920671046999</v>
      </c>
      <c r="I17" s="182">
        <v>1.8157218391000001</v>
      </c>
      <c r="J17" s="126"/>
      <c r="K17" s="182">
        <v>2308.1397387633001</v>
      </c>
      <c r="L17" s="182">
        <v>1.5074096871</v>
      </c>
      <c r="M17" s="126"/>
      <c r="N17" s="182">
        <v>4993.6970576670001</v>
      </c>
      <c r="O17" s="182">
        <v>2.9011074751999999</v>
      </c>
      <c r="P17" s="126"/>
      <c r="Q17" s="182">
        <v>8173.7323909352999</v>
      </c>
      <c r="R17" s="182">
        <v>3.4371652402000001</v>
      </c>
      <c r="S17" s="126"/>
      <c r="T17" s="182">
        <v>0</v>
      </c>
      <c r="U17" s="182">
        <v>0</v>
      </c>
      <c r="V17" s="147"/>
      <c r="W17" s="147"/>
      <c r="X17" s="147"/>
      <c r="Y17" s="147"/>
      <c r="Z17" s="147"/>
      <c r="AA17" s="147"/>
      <c r="AB17" s="147"/>
      <c r="AC17" s="147"/>
    </row>
    <row r="18" spans="2:29" s="138" customFormat="1" ht="12.95" customHeight="1" x14ac:dyDescent="0.2">
      <c r="B18" s="146" t="s">
        <v>13</v>
      </c>
      <c r="C18" s="137"/>
      <c r="D18" s="182">
        <v>2800.3531239869999</v>
      </c>
      <c r="E18" s="126"/>
      <c r="F18" s="182">
        <v>2444.8650053229999</v>
      </c>
      <c r="G18" s="126"/>
      <c r="H18" s="182">
        <v>451.64319742219999</v>
      </c>
      <c r="I18" s="182">
        <v>1.2149373525</v>
      </c>
      <c r="J18" s="126"/>
      <c r="K18" s="182">
        <v>513.5462978155</v>
      </c>
      <c r="L18" s="182">
        <v>1.4391647089999999</v>
      </c>
      <c r="M18" s="126"/>
      <c r="N18" s="182">
        <v>1784.3465152363001</v>
      </c>
      <c r="O18" s="182">
        <v>3.6747616553000002</v>
      </c>
      <c r="P18" s="126"/>
      <c r="Q18" s="182">
        <v>1931.8919607794001</v>
      </c>
      <c r="R18" s="182">
        <v>4.3021426050000002</v>
      </c>
      <c r="S18" s="126"/>
      <c r="T18" s="182">
        <v>188.5661687578</v>
      </c>
      <c r="U18" s="182">
        <v>0.5552919516</v>
      </c>
      <c r="V18" s="147"/>
      <c r="W18" s="147"/>
      <c r="X18" s="147"/>
      <c r="Y18" s="147"/>
      <c r="Z18" s="147"/>
      <c r="AA18" s="147"/>
      <c r="AB18" s="147"/>
      <c r="AC18" s="147"/>
    </row>
    <row r="19" spans="2:29" s="138" customFormat="1" ht="12.95" customHeight="1" x14ac:dyDescent="0.2">
      <c r="B19" s="146" t="s">
        <v>14</v>
      </c>
      <c r="C19" s="137"/>
      <c r="D19" s="182">
        <v>24193.0489109193</v>
      </c>
      <c r="E19" s="126"/>
      <c r="F19" s="182">
        <v>24748.678990337699</v>
      </c>
      <c r="G19" s="126"/>
      <c r="H19" s="182">
        <v>9520.0044409869006</v>
      </c>
      <c r="I19" s="182">
        <v>2.0892056431000001</v>
      </c>
      <c r="J19" s="126"/>
      <c r="K19" s="182">
        <v>5203.5643697900996</v>
      </c>
      <c r="L19" s="182">
        <v>1.4209506003000001</v>
      </c>
      <c r="M19" s="126"/>
      <c r="N19" s="182">
        <v>7992.2720309475999</v>
      </c>
      <c r="O19" s="182">
        <v>1.9159074233</v>
      </c>
      <c r="P19" s="126"/>
      <c r="Q19" s="182">
        <v>20145.325661342002</v>
      </c>
      <c r="R19" s="182">
        <v>3.1010973902000001</v>
      </c>
      <c r="S19" s="126"/>
      <c r="T19" s="182">
        <v>2313.4444017525002</v>
      </c>
      <c r="U19" s="182">
        <v>0.59960309469999995</v>
      </c>
      <c r="V19" s="147"/>
      <c r="W19" s="147"/>
      <c r="X19" s="147"/>
      <c r="Y19" s="147"/>
      <c r="Z19" s="147"/>
      <c r="AA19" s="147"/>
      <c r="AB19" s="147"/>
      <c r="AC19" s="147"/>
    </row>
    <row r="20" spans="2:29" s="138" customFormat="1" ht="12.95" customHeight="1" x14ac:dyDescent="0.2">
      <c r="B20" s="146" t="s">
        <v>15</v>
      </c>
      <c r="C20" s="137"/>
      <c r="D20" s="182">
        <v>10324.066384907001</v>
      </c>
      <c r="E20" s="126"/>
      <c r="F20" s="182">
        <v>7893.0356582244003</v>
      </c>
      <c r="G20" s="126"/>
      <c r="H20" s="182">
        <v>2295.3503328871002</v>
      </c>
      <c r="I20" s="182">
        <v>1.4515565273</v>
      </c>
      <c r="J20" s="126"/>
      <c r="K20" s="182">
        <v>2537.0080887106001</v>
      </c>
      <c r="L20" s="182">
        <v>1.6299233366999999</v>
      </c>
      <c r="M20" s="126"/>
      <c r="N20" s="182">
        <v>6401.2761935812996</v>
      </c>
      <c r="O20" s="182">
        <v>3.4654146427999999</v>
      </c>
      <c r="P20" s="126"/>
      <c r="Q20" s="182">
        <v>8674.7024026152994</v>
      </c>
      <c r="R20" s="182">
        <v>3.9193219439</v>
      </c>
      <c r="S20" s="126"/>
      <c r="T20" s="182">
        <v>1019.1839873153</v>
      </c>
      <c r="U20" s="182">
        <v>0.66118473030000002</v>
      </c>
      <c r="V20" s="147"/>
      <c r="W20" s="147"/>
      <c r="X20" s="147"/>
      <c r="Y20" s="147"/>
      <c r="Z20" s="147"/>
      <c r="AA20" s="147"/>
      <c r="AB20" s="147"/>
      <c r="AC20" s="147"/>
    </row>
    <row r="21" spans="2:29" s="138" customFormat="1" ht="12.95" customHeight="1" x14ac:dyDescent="0.2">
      <c r="B21" s="146" t="s">
        <v>16</v>
      </c>
      <c r="C21" s="137"/>
      <c r="D21" s="182">
        <v>37981.528681626201</v>
      </c>
      <c r="E21" s="126"/>
      <c r="F21" s="182">
        <v>31059.1070802711</v>
      </c>
      <c r="G21" s="126"/>
      <c r="H21" s="182">
        <v>11369.7209045934</v>
      </c>
      <c r="I21" s="182">
        <v>1.580434927</v>
      </c>
      <c r="J21" s="126"/>
      <c r="K21" s="182">
        <v>9328.3118732805997</v>
      </c>
      <c r="L21" s="182">
        <v>1.3017491544999999</v>
      </c>
      <c r="M21" s="126"/>
      <c r="N21" s="182">
        <v>17006.1474009593</v>
      </c>
      <c r="O21" s="182">
        <v>2.2344389479000002</v>
      </c>
      <c r="P21" s="126"/>
      <c r="Q21" s="182">
        <v>32473.186751685</v>
      </c>
      <c r="R21" s="182">
        <v>2.9556170369000001</v>
      </c>
      <c r="S21" s="126"/>
      <c r="T21" s="182">
        <v>0</v>
      </c>
      <c r="U21" s="182">
        <v>0</v>
      </c>
      <c r="V21" s="147"/>
      <c r="W21" s="147"/>
      <c r="X21" s="147"/>
      <c r="Y21" s="147"/>
      <c r="Z21" s="147"/>
      <c r="AA21" s="147"/>
      <c r="AB21" s="147"/>
      <c r="AC21" s="147"/>
    </row>
    <row r="22" spans="2:29" s="138" customFormat="1" ht="12.95" customHeight="1" x14ac:dyDescent="0.2">
      <c r="B22" s="146" t="s">
        <v>17</v>
      </c>
      <c r="C22" s="137"/>
      <c r="D22" s="182">
        <v>5414.3391272869003</v>
      </c>
      <c r="E22" s="126"/>
      <c r="F22" s="182">
        <v>4406.3017613639004</v>
      </c>
      <c r="G22" s="126"/>
      <c r="H22" s="182">
        <v>1499.3268237729999</v>
      </c>
      <c r="I22" s="182">
        <v>1.6637151052000001</v>
      </c>
      <c r="J22" s="126"/>
      <c r="K22" s="182">
        <v>966.27542420539999</v>
      </c>
      <c r="L22" s="182">
        <v>1.0812227062999999</v>
      </c>
      <c r="M22" s="126"/>
      <c r="N22" s="182">
        <v>2437.2966197153</v>
      </c>
      <c r="O22" s="182">
        <v>2.4580357259999999</v>
      </c>
      <c r="P22" s="126"/>
      <c r="Q22" s="182">
        <v>4725.4033439572004</v>
      </c>
      <c r="R22" s="182">
        <v>3.2196031598000001</v>
      </c>
      <c r="S22" s="126"/>
      <c r="T22" s="182">
        <v>262</v>
      </c>
      <c r="U22" s="182">
        <v>0.29968400589999999</v>
      </c>
      <c r="V22" s="147"/>
      <c r="W22" s="147"/>
      <c r="X22" s="147"/>
      <c r="Y22" s="147"/>
      <c r="Z22" s="147"/>
      <c r="AA22" s="147"/>
      <c r="AB22" s="147"/>
      <c r="AC22" s="147"/>
    </row>
    <row r="23" spans="2:29" s="138" customFormat="1" ht="12.95" customHeight="1" x14ac:dyDescent="0.2">
      <c r="B23" s="146" t="s">
        <v>18</v>
      </c>
      <c r="C23" s="137"/>
      <c r="D23" s="182">
        <v>17781.540293559301</v>
      </c>
      <c r="E23" s="126"/>
      <c r="F23" s="182">
        <v>17197.7402646437</v>
      </c>
      <c r="G23" s="126"/>
      <c r="H23" s="182">
        <v>4330.4562424848</v>
      </c>
      <c r="I23" s="182">
        <v>1.4394798605000001</v>
      </c>
      <c r="J23" s="126"/>
      <c r="K23" s="182">
        <v>5322.8040058519</v>
      </c>
      <c r="L23" s="182">
        <v>1.7403966422999999</v>
      </c>
      <c r="M23" s="126"/>
      <c r="N23" s="182">
        <v>9078.6599628648</v>
      </c>
      <c r="O23" s="182">
        <v>2.7443065633999999</v>
      </c>
      <c r="P23" s="126"/>
      <c r="Q23" s="182">
        <v>17445.105115863302</v>
      </c>
      <c r="R23" s="182">
        <v>3.4770355677999998</v>
      </c>
      <c r="S23" s="126"/>
      <c r="T23" s="182">
        <v>1317.8182727523999</v>
      </c>
      <c r="U23" s="182">
        <v>0.43808602250000001</v>
      </c>
      <c r="V23" s="147"/>
      <c r="W23" s="147"/>
      <c r="X23" s="147"/>
      <c r="Y23" s="147"/>
      <c r="Z23" s="147"/>
      <c r="AA23" s="147"/>
      <c r="AB23" s="147"/>
      <c r="AC23" s="147"/>
    </row>
    <row r="24" spans="2:29" s="138" customFormat="1" ht="12.95" customHeight="1" x14ac:dyDescent="0.2">
      <c r="B24" s="146" t="s">
        <v>19</v>
      </c>
      <c r="C24" s="137"/>
      <c r="D24" s="182">
        <v>16157.186662686099</v>
      </c>
      <c r="E24" s="126"/>
      <c r="F24" s="182">
        <v>16161.0162795454</v>
      </c>
      <c r="G24" s="126"/>
      <c r="H24" s="182">
        <v>5410.0050990830996</v>
      </c>
      <c r="I24" s="182">
        <v>1.747275656</v>
      </c>
      <c r="J24" s="126"/>
      <c r="K24" s="182">
        <v>2269.5453122250001</v>
      </c>
      <c r="L24" s="182">
        <v>0.76886028679999996</v>
      </c>
      <c r="M24" s="126"/>
      <c r="N24" s="182">
        <v>6421.4410083700004</v>
      </c>
      <c r="O24" s="182">
        <v>2.0399875284000002</v>
      </c>
      <c r="P24" s="126"/>
      <c r="Q24" s="182">
        <v>14452.537664847099</v>
      </c>
      <c r="R24" s="182">
        <v>3.1184202840999999</v>
      </c>
      <c r="S24" s="126"/>
      <c r="T24" s="182">
        <v>687</v>
      </c>
      <c r="U24" s="182">
        <v>0.24074655510000001</v>
      </c>
      <c r="V24" s="147"/>
      <c r="W24" s="147"/>
      <c r="X24" s="147"/>
      <c r="Y24" s="147"/>
      <c r="Z24" s="147"/>
      <c r="AA24" s="147"/>
      <c r="AB24" s="147"/>
      <c r="AC24" s="147"/>
    </row>
    <row r="25" spans="2:29" s="138" customFormat="1" ht="12.95" customHeight="1" x14ac:dyDescent="0.2">
      <c r="B25" s="146" t="s">
        <v>20</v>
      </c>
      <c r="C25" s="137"/>
      <c r="D25" s="182">
        <v>8995.1308172734007</v>
      </c>
      <c r="E25" s="145"/>
      <c r="F25" s="192">
        <v>8058.1654914602004</v>
      </c>
      <c r="G25" s="145"/>
      <c r="H25" s="192">
        <v>2567.6718311250002</v>
      </c>
      <c r="I25" s="192">
        <v>1.8458985109999999</v>
      </c>
      <c r="J25" s="145"/>
      <c r="K25" s="182">
        <v>2447.7133747041999</v>
      </c>
      <c r="L25" s="192">
        <v>1.8422046926</v>
      </c>
      <c r="M25" s="145"/>
      <c r="N25" s="182">
        <v>3558.9661013012001</v>
      </c>
      <c r="O25" s="192">
        <v>2.4041252760999998</v>
      </c>
      <c r="P25" s="145"/>
      <c r="Q25" s="192">
        <v>7841.7916697209002</v>
      </c>
      <c r="R25" s="192">
        <v>3.6106684347</v>
      </c>
      <c r="S25" s="145"/>
      <c r="T25" s="192">
        <v>0</v>
      </c>
      <c r="U25" s="192">
        <v>0</v>
      </c>
    </row>
    <row r="26" spans="2:29" s="138" customFormat="1" ht="12.95" customHeight="1" x14ac:dyDescent="0.2">
      <c r="B26" s="146" t="s">
        <v>21</v>
      </c>
      <c r="C26" s="137"/>
      <c r="D26" s="182">
        <v>23739.310279106099</v>
      </c>
      <c r="E26" s="145"/>
      <c r="F26" s="192">
        <v>19048.061220214098</v>
      </c>
      <c r="G26" s="145"/>
      <c r="H26" s="192">
        <v>5775.4387666625998</v>
      </c>
      <c r="I26" s="192">
        <v>1.4716133303000001</v>
      </c>
      <c r="J26" s="145"/>
      <c r="K26" s="182">
        <v>6921.0873858310997</v>
      </c>
      <c r="L26" s="192">
        <v>1.8062192682</v>
      </c>
      <c r="M26" s="145"/>
      <c r="N26" s="182">
        <v>13370.206941717601</v>
      </c>
      <c r="O26" s="192">
        <v>3.4079202679999998</v>
      </c>
      <c r="P26" s="145"/>
      <c r="Q26" s="192">
        <v>19597.308147081501</v>
      </c>
      <c r="R26" s="192">
        <v>3.3870705933999998</v>
      </c>
      <c r="S26" s="145"/>
      <c r="T26" s="192">
        <v>1154</v>
      </c>
      <c r="U26" s="192">
        <v>0.30984641559999998</v>
      </c>
    </row>
    <row r="27" spans="2:29" s="138" customFormat="1" ht="12.95" customHeight="1" x14ac:dyDescent="0.2">
      <c r="B27" s="146" t="s">
        <v>22</v>
      </c>
      <c r="C27" s="137"/>
      <c r="D27" s="182">
        <v>53845.355519768797</v>
      </c>
      <c r="E27" s="145"/>
      <c r="F27" s="192">
        <v>51481.573709821299</v>
      </c>
      <c r="G27" s="145"/>
      <c r="H27" s="192">
        <v>17887.655950853001</v>
      </c>
      <c r="I27" s="192">
        <v>2.0285637061999999</v>
      </c>
      <c r="J27" s="145"/>
      <c r="K27" s="182">
        <v>11198.8503457676</v>
      </c>
      <c r="L27" s="192">
        <v>1.3183757970000001</v>
      </c>
      <c r="M27" s="145"/>
      <c r="N27" s="182">
        <v>23726.6401081841</v>
      </c>
      <c r="O27" s="192">
        <v>2.7577128375000002</v>
      </c>
      <c r="P27" s="145"/>
      <c r="Q27" s="192">
        <v>51107.479540594897</v>
      </c>
      <c r="R27" s="192">
        <v>3.5382727559</v>
      </c>
      <c r="S27" s="145"/>
      <c r="T27" s="192">
        <v>0</v>
      </c>
      <c r="U27" s="192">
        <v>0</v>
      </c>
    </row>
    <row r="28" spans="2:29" s="138" customFormat="1" ht="12.95" customHeight="1" x14ac:dyDescent="0.2">
      <c r="B28" s="146" t="s">
        <v>23</v>
      </c>
      <c r="C28" s="137"/>
      <c r="D28" s="182">
        <v>16140.3890317021</v>
      </c>
      <c r="E28" s="145"/>
      <c r="F28" s="192">
        <v>14820.7019028541</v>
      </c>
      <c r="G28" s="145"/>
      <c r="H28" s="192">
        <v>3311.5382863592999</v>
      </c>
      <c r="I28" s="192">
        <v>1.3831010006</v>
      </c>
      <c r="J28" s="145"/>
      <c r="K28" s="182">
        <v>3600.7938229722999</v>
      </c>
      <c r="L28" s="192">
        <v>1.5444878305</v>
      </c>
      <c r="M28" s="145"/>
      <c r="N28" s="182">
        <v>8012.4638802080999</v>
      </c>
      <c r="O28" s="192">
        <v>2.8401395484999998</v>
      </c>
      <c r="P28" s="145"/>
      <c r="Q28" s="192">
        <v>13339.9987654953</v>
      </c>
      <c r="R28" s="192">
        <v>3.9094090048000001</v>
      </c>
      <c r="S28" s="145"/>
      <c r="T28" s="192">
        <v>0</v>
      </c>
      <c r="U28" s="192">
        <v>0</v>
      </c>
    </row>
    <row r="29" spans="2:29" s="138" customFormat="1" ht="12.95" customHeight="1" x14ac:dyDescent="0.2">
      <c r="B29" s="146" t="s">
        <v>24</v>
      </c>
      <c r="C29" s="137"/>
      <c r="D29" s="182">
        <v>5868.1072038445</v>
      </c>
      <c r="E29" s="145"/>
      <c r="F29" s="192">
        <v>5885.8432849369001</v>
      </c>
      <c r="G29" s="145"/>
      <c r="H29" s="192">
        <v>1958.7934196117001</v>
      </c>
      <c r="I29" s="192">
        <v>1.8529698991000001</v>
      </c>
      <c r="J29" s="145"/>
      <c r="K29" s="182">
        <v>849.3578036207</v>
      </c>
      <c r="L29" s="192">
        <v>0.85141482300000004</v>
      </c>
      <c r="M29" s="145"/>
      <c r="N29" s="182">
        <v>2606.4420949272999</v>
      </c>
      <c r="O29" s="192">
        <v>2.2546346663999999</v>
      </c>
      <c r="P29" s="145"/>
      <c r="Q29" s="192">
        <v>5495.7212546288001</v>
      </c>
      <c r="R29" s="192">
        <v>3.0636786037000001</v>
      </c>
      <c r="S29" s="145"/>
      <c r="T29" s="192">
        <v>0</v>
      </c>
      <c r="U29" s="192">
        <v>0</v>
      </c>
    </row>
    <row r="30" spans="2:29" s="138" customFormat="1" ht="12.95" customHeight="1" x14ac:dyDescent="0.2">
      <c r="B30" s="146" t="s">
        <v>25</v>
      </c>
      <c r="C30" s="137"/>
      <c r="D30" s="182">
        <v>5286.9527601949003</v>
      </c>
      <c r="E30" s="145"/>
      <c r="F30" s="192">
        <v>5239.5625416041003</v>
      </c>
      <c r="G30" s="145"/>
      <c r="H30" s="192">
        <v>1043.4104713935001</v>
      </c>
      <c r="I30" s="192">
        <v>1.3715511067999999</v>
      </c>
      <c r="J30" s="145"/>
      <c r="K30" s="182">
        <v>1211.0533403338</v>
      </c>
      <c r="L30" s="192">
        <v>1.5017303699</v>
      </c>
      <c r="M30" s="145"/>
      <c r="N30" s="182">
        <v>2271.6167174998</v>
      </c>
      <c r="O30" s="192">
        <v>2.2996157582999999</v>
      </c>
      <c r="P30" s="145"/>
      <c r="Q30" s="192">
        <v>3978.3927757226002</v>
      </c>
      <c r="R30" s="192">
        <v>2.7091672389000001</v>
      </c>
      <c r="S30" s="145"/>
      <c r="T30" s="192">
        <v>0</v>
      </c>
      <c r="U30" s="192">
        <v>0</v>
      </c>
    </row>
    <row r="31" spans="2:29" s="138" customFormat="1" ht="12.95" customHeight="1" x14ac:dyDescent="0.2">
      <c r="B31" s="146" t="s">
        <v>26</v>
      </c>
      <c r="C31" s="137"/>
      <c r="D31" s="182">
        <v>16823.971142332299</v>
      </c>
      <c r="E31" s="145"/>
      <c r="F31" s="192">
        <v>12121.816831337699</v>
      </c>
      <c r="G31" s="145"/>
      <c r="H31" s="192">
        <v>2875.481976991</v>
      </c>
      <c r="I31" s="192">
        <v>1.457344988</v>
      </c>
      <c r="J31" s="145"/>
      <c r="K31" s="182">
        <v>4597.4637202378999</v>
      </c>
      <c r="L31" s="192">
        <v>2.4871574141999999</v>
      </c>
      <c r="M31" s="145"/>
      <c r="N31" s="182">
        <v>8439.2462740424999</v>
      </c>
      <c r="O31" s="192">
        <v>3.9206783353999999</v>
      </c>
      <c r="P31" s="145"/>
      <c r="Q31" s="192">
        <v>12530.3984300791</v>
      </c>
      <c r="R31" s="192">
        <v>4.1775076755000002</v>
      </c>
      <c r="S31" s="145"/>
      <c r="T31" s="192">
        <v>0</v>
      </c>
      <c r="U31" s="192">
        <v>0</v>
      </c>
    </row>
    <row r="32" spans="2:29" s="138" customFormat="1" ht="12.95" customHeight="1" x14ac:dyDescent="0.2">
      <c r="B32" s="146" t="s">
        <v>27</v>
      </c>
      <c r="C32" s="137"/>
      <c r="D32" s="182">
        <v>19200.333065561001</v>
      </c>
      <c r="E32" s="145"/>
      <c r="F32" s="192">
        <v>18103.450384939199</v>
      </c>
      <c r="G32" s="145"/>
      <c r="H32" s="192">
        <v>4167.3907247139005</v>
      </c>
      <c r="I32" s="192">
        <v>1.4224279127999999</v>
      </c>
      <c r="J32" s="145"/>
      <c r="K32" s="182">
        <v>2544.7483678773001</v>
      </c>
      <c r="L32" s="192">
        <v>0.90407962990000001</v>
      </c>
      <c r="M32" s="145"/>
      <c r="N32" s="182">
        <v>4387.4809192060002</v>
      </c>
      <c r="O32" s="192">
        <v>1.6149999939999999</v>
      </c>
      <c r="P32" s="145"/>
      <c r="Q32" s="192">
        <v>17614.8397533764</v>
      </c>
      <c r="R32" s="192">
        <v>2.3749782954000001</v>
      </c>
      <c r="S32" s="145"/>
      <c r="T32" s="192">
        <v>929</v>
      </c>
      <c r="U32" s="192">
        <v>0.33492809480000002</v>
      </c>
    </row>
    <row r="33" spans="1:25" s="138" customFormat="1" ht="12.95" customHeight="1" x14ac:dyDescent="0.2">
      <c r="B33" s="146" t="s">
        <v>28</v>
      </c>
      <c r="C33" s="137"/>
      <c r="D33" s="182">
        <v>26866.920627585099</v>
      </c>
      <c r="E33" s="145"/>
      <c r="F33" s="192">
        <v>27246.847835579301</v>
      </c>
      <c r="G33" s="145"/>
      <c r="H33" s="192">
        <v>7588.2543559266996</v>
      </c>
      <c r="I33" s="192">
        <v>1.7316712506</v>
      </c>
      <c r="J33" s="145"/>
      <c r="K33" s="182">
        <v>3909.0499574721998</v>
      </c>
      <c r="L33" s="192">
        <v>0.98372177750000001</v>
      </c>
      <c r="M33" s="145"/>
      <c r="N33" s="182">
        <v>10111.523430921399</v>
      </c>
      <c r="O33" s="192">
        <v>2.2442111379999998</v>
      </c>
      <c r="P33" s="145"/>
      <c r="Q33" s="192">
        <v>23531.198171504599</v>
      </c>
      <c r="R33" s="192">
        <v>2.9794518125999998</v>
      </c>
      <c r="S33" s="145"/>
      <c r="T33" s="192">
        <v>0</v>
      </c>
      <c r="U33" s="192">
        <v>0</v>
      </c>
    </row>
    <row r="34" spans="1:25" s="138" customFormat="1" ht="12.95" customHeight="1" x14ac:dyDescent="0.2">
      <c r="B34" s="146" t="s">
        <v>29</v>
      </c>
      <c r="C34" s="137"/>
      <c r="D34" s="182">
        <v>10026.101049364701</v>
      </c>
      <c r="E34" s="145"/>
      <c r="F34" s="192">
        <v>9733.0942455815002</v>
      </c>
      <c r="G34" s="145"/>
      <c r="H34" s="192">
        <v>2310.3856335854998</v>
      </c>
      <c r="I34" s="192">
        <v>1.6568861252</v>
      </c>
      <c r="J34" s="145"/>
      <c r="K34" s="182">
        <v>1465.6978210273001</v>
      </c>
      <c r="L34" s="192">
        <v>1.1446548924</v>
      </c>
      <c r="M34" s="145"/>
      <c r="N34" s="182">
        <v>4100.7822203331998</v>
      </c>
      <c r="O34" s="192">
        <v>3.0268450776</v>
      </c>
      <c r="P34" s="145"/>
      <c r="Q34" s="192">
        <v>9862.0240276408003</v>
      </c>
      <c r="R34" s="192">
        <v>4.2865170807000004</v>
      </c>
      <c r="S34" s="145"/>
      <c r="T34" s="192">
        <v>0</v>
      </c>
      <c r="U34" s="192">
        <v>0</v>
      </c>
    </row>
    <row r="35" spans="1:25" s="138" customFormat="1" ht="12.95" customHeight="1" x14ac:dyDescent="0.2">
      <c r="B35" s="146" t="s">
        <v>30</v>
      </c>
      <c r="C35" s="137"/>
      <c r="D35" s="182">
        <v>9088.9733928544993</v>
      </c>
      <c r="E35" s="145"/>
      <c r="F35" s="192">
        <v>9085.6038629043996</v>
      </c>
      <c r="G35" s="145"/>
      <c r="H35" s="192">
        <v>4825.6365929606</v>
      </c>
      <c r="I35" s="192">
        <v>3.5057767554999999</v>
      </c>
      <c r="J35" s="145"/>
      <c r="K35" s="182">
        <v>1795.6104453846999</v>
      </c>
      <c r="L35" s="192">
        <v>1.4725074284999999</v>
      </c>
      <c r="M35" s="145"/>
      <c r="N35" s="182">
        <v>6310.1736268202003</v>
      </c>
      <c r="O35" s="192">
        <v>3.8128169671999999</v>
      </c>
      <c r="P35" s="145"/>
      <c r="Q35" s="192">
        <v>6657.3558273966</v>
      </c>
      <c r="R35" s="192">
        <v>3.7617072493000001</v>
      </c>
      <c r="S35" s="145"/>
      <c r="T35" s="192">
        <v>229</v>
      </c>
      <c r="U35" s="192">
        <v>0.17641111309999999</v>
      </c>
    </row>
    <row r="36" spans="1:25" s="138" customFormat="1" ht="12.95" customHeight="1" x14ac:dyDescent="0.2">
      <c r="B36" s="146" t="s">
        <v>31</v>
      </c>
      <c r="C36" s="137"/>
      <c r="D36" s="182">
        <v>7841.9759035759998</v>
      </c>
      <c r="E36" s="145"/>
      <c r="F36" s="192">
        <v>7026.9175989487003</v>
      </c>
      <c r="G36" s="145"/>
      <c r="H36" s="192">
        <v>1709.0187000361</v>
      </c>
      <c r="I36" s="192">
        <v>1.4844014968999999</v>
      </c>
      <c r="J36" s="145"/>
      <c r="K36" s="182">
        <v>1704.7220639349</v>
      </c>
      <c r="L36" s="192">
        <v>1.494174294</v>
      </c>
      <c r="M36" s="145"/>
      <c r="N36" s="182">
        <v>4708.5489789406001</v>
      </c>
      <c r="O36" s="192">
        <v>3.5327840547</v>
      </c>
      <c r="P36" s="145"/>
      <c r="Q36" s="192">
        <v>6770.0743213747</v>
      </c>
      <c r="R36" s="192">
        <v>4.0067266570999998</v>
      </c>
      <c r="S36" s="145"/>
      <c r="T36" s="192">
        <v>0</v>
      </c>
      <c r="U36" s="192">
        <v>0</v>
      </c>
    </row>
    <row r="37" spans="1:25" s="138" customFormat="1" ht="12.95" customHeight="1" x14ac:dyDescent="0.2">
      <c r="B37" s="146" t="s">
        <v>32</v>
      </c>
      <c r="C37" s="137"/>
      <c r="D37" s="182">
        <v>9262.5499115850998</v>
      </c>
      <c r="E37" s="145"/>
      <c r="F37" s="192">
        <v>8442.9221228629995</v>
      </c>
      <c r="G37" s="145"/>
      <c r="H37" s="192">
        <v>2759.8864478685</v>
      </c>
      <c r="I37" s="192">
        <v>1.3507496597999999</v>
      </c>
      <c r="J37" s="145"/>
      <c r="K37" s="182">
        <v>2517.9712515991</v>
      </c>
      <c r="L37" s="192">
        <v>1.2227072809999999</v>
      </c>
      <c r="M37" s="145"/>
      <c r="N37" s="182">
        <v>6710.9902677288001</v>
      </c>
      <c r="O37" s="192">
        <v>2.8931100406999999</v>
      </c>
      <c r="P37" s="145"/>
      <c r="Q37" s="192">
        <v>7844.4570396626996</v>
      </c>
      <c r="R37" s="192">
        <v>2.9153401264999999</v>
      </c>
      <c r="S37" s="145"/>
      <c r="T37" s="192">
        <v>423</v>
      </c>
      <c r="U37" s="192">
        <v>0.20895739329999999</v>
      </c>
    </row>
    <row r="38" spans="1:25" s="138" customFormat="1" ht="12.95" customHeight="1" x14ac:dyDescent="0.2">
      <c r="B38" s="146" t="s">
        <v>33</v>
      </c>
      <c r="C38" s="137"/>
      <c r="D38" s="182">
        <v>10064.4498750733</v>
      </c>
      <c r="E38" s="145"/>
      <c r="F38" s="192">
        <v>10249.513951986301</v>
      </c>
      <c r="G38" s="145"/>
      <c r="H38" s="192">
        <v>2977.0853094961999</v>
      </c>
      <c r="I38" s="192">
        <v>1.3780053249999999</v>
      </c>
      <c r="J38" s="145"/>
      <c r="K38" s="182">
        <v>2118.8538315372998</v>
      </c>
      <c r="L38" s="192">
        <v>1.0471401909</v>
      </c>
      <c r="M38" s="145"/>
      <c r="N38" s="182">
        <v>6349.5723526651</v>
      </c>
      <c r="O38" s="192">
        <v>2.8730571623999999</v>
      </c>
      <c r="P38" s="145"/>
      <c r="Q38" s="192">
        <v>9441.2512409248993</v>
      </c>
      <c r="R38" s="192">
        <v>3.3763722402999998</v>
      </c>
      <c r="S38" s="145"/>
      <c r="T38" s="192">
        <v>1113.6574877403</v>
      </c>
      <c r="U38" s="192">
        <v>0.54566228989999999</v>
      </c>
    </row>
    <row r="39" spans="1:25" s="138" customFormat="1" ht="12.95" customHeight="1" x14ac:dyDescent="0.2">
      <c r="B39" s="146" t="s">
        <v>34</v>
      </c>
      <c r="C39" s="137"/>
      <c r="D39" s="182">
        <v>12535.1989573439</v>
      </c>
      <c r="E39" s="145"/>
      <c r="F39" s="192">
        <v>12745.412948294799</v>
      </c>
      <c r="G39" s="145"/>
      <c r="H39" s="192">
        <v>2844.7345311921999</v>
      </c>
      <c r="I39" s="192">
        <v>1.3976842817999999</v>
      </c>
      <c r="J39" s="145"/>
      <c r="K39" s="182">
        <v>3163.3189343325998</v>
      </c>
      <c r="L39" s="192">
        <v>1.4769952054</v>
      </c>
      <c r="M39" s="145"/>
      <c r="N39" s="182">
        <v>4003.1193086039998</v>
      </c>
      <c r="O39" s="192">
        <v>2.0049983288000002</v>
      </c>
      <c r="P39" s="145"/>
      <c r="Q39" s="192">
        <v>10080.5387128124</v>
      </c>
      <c r="R39" s="192">
        <v>3.0744324274000001</v>
      </c>
      <c r="S39" s="145"/>
      <c r="T39" s="192">
        <v>715.91264344440003</v>
      </c>
      <c r="U39" s="192">
        <v>0.38815218029999998</v>
      </c>
    </row>
    <row r="40" spans="1:25" s="138" customFormat="1" ht="12.95" customHeight="1" x14ac:dyDescent="0.2">
      <c r="B40" s="146" t="s">
        <v>35</v>
      </c>
      <c r="C40" s="137"/>
      <c r="D40" s="182">
        <v>11534.323189242999</v>
      </c>
      <c r="E40" s="145"/>
      <c r="F40" s="192">
        <v>7921.8989138180996</v>
      </c>
      <c r="G40" s="145"/>
      <c r="H40" s="192">
        <v>3730.3369101202002</v>
      </c>
      <c r="I40" s="192">
        <v>2.3763589019000002</v>
      </c>
      <c r="J40" s="145"/>
      <c r="K40" s="182">
        <v>2901.0428039562998</v>
      </c>
      <c r="L40" s="192">
        <v>1.8686489078999999</v>
      </c>
      <c r="M40" s="145"/>
      <c r="N40" s="182">
        <v>7261.1318827751002</v>
      </c>
      <c r="O40" s="192">
        <v>3.8519676707000001</v>
      </c>
      <c r="P40" s="145"/>
      <c r="Q40" s="192">
        <v>8648.8687840927996</v>
      </c>
      <c r="R40" s="192">
        <v>4.2714072628000004</v>
      </c>
      <c r="S40" s="145"/>
      <c r="T40" s="192">
        <v>645</v>
      </c>
      <c r="U40" s="192">
        <v>0.42449717739999998</v>
      </c>
    </row>
    <row r="41" spans="1:25" s="138" customFormat="1" ht="12.95" customHeight="1" x14ac:dyDescent="0.2">
      <c r="B41" s="146" t="s">
        <v>36</v>
      </c>
      <c r="C41" s="137"/>
      <c r="D41" s="182">
        <v>5009.2519647634999</v>
      </c>
      <c r="E41" s="145"/>
      <c r="F41" s="192">
        <v>4926.4918866542002</v>
      </c>
      <c r="G41" s="145"/>
      <c r="H41" s="192">
        <v>2042.8463098271</v>
      </c>
      <c r="I41" s="192">
        <v>2.0716293601000002</v>
      </c>
      <c r="J41" s="145"/>
      <c r="K41" s="182">
        <v>635.01862943419997</v>
      </c>
      <c r="L41" s="192">
        <v>0.71402450029999998</v>
      </c>
      <c r="M41" s="145"/>
      <c r="N41" s="182">
        <v>1574.4856192085999</v>
      </c>
      <c r="O41" s="192">
        <v>1.6535061054</v>
      </c>
      <c r="P41" s="145"/>
      <c r="Q41" s="192">
        <v>4704.2895894793</v>
      </c>
      <c r="R41" s="192">
        <v>3.3608880815000002</v>
      </c>
      <c r="S41" s="145"/>
      <c r="T41" s="192">
        <v>0</v>
      </c>
      <c r="U41" s="192">
        <v>0</v>
      </c>
    </row>
    <row r="42" spans="1:25" s="138" customFormat="1" ht="12.95" customHeight="1" x14ac:dyDescent="0.2">
      <c r="B42" s="146" t="s">
        <v>37</v>
      </c>
      <c r="C42" s="137"/>
      <c r="D42" s="182">
        <v>30081.258359395699</v>
      </c>
      <c r="E42" s="145"/>
      <c r="F42" s="192">
        <v>26047.0658717113</v>
      </c>
      <c r="G42" s="145"/>
      <c r="H42" s="192">
        <v>9239.2426175014007</v>
      </c>
      <c r="I42" s="192">
        <v>1.6493268325999999</v>
      </c>
      <c r="J42" s="145"/>
      <c r="K42" s="182">
        <v>5598.3247272109002</v>
      </c>
      <c r="L42" s="192">
        <v>1.1501066494000001</v>
      </c>
      <c r="M42" s="145"/>
      <c r="N42" s="182">
        <v>14388.438313815301</v>
      </c>
      <c r="O42" s="192">
        <v>2.4772420838999998</v>
      </c>
      <c r="P42" s="145"/>
      <c r="Q42" s="192">
        <v>23892.652714882901</v>
      </c>
      <c r="R42" s="192">
        <v>3.0043224267999999</v>
      </c>
      <c r="S42" s="145"/>
      <c r="T42" s="192">
        <v>1587</v>
      </c>
      <c r="U42" s="192">
        <v>0.32620855869999998</v>
      </c>
    </row>
    <row r="43" spans="1:25" s="138" customFormat="1" ht="12.95" customHeight="1" x14ac:dyDescent="0.2">
      <c r="B43" s="146" t="s">
        <v>38</v>
      </c>
      <c r="C43" s="137"/>
      <c r="D43" s="182">
        <v>8854.5831831848991</v>
      </c>
      <c r="E43" s="145"/>
      <c r="F43" s="192">
        <v>8399.4564619982993</v>
      </c>
      <c r="G43" s="145"/>
      <c r="H43" s="192">
        <v>3159.5884724171001</v>
      </c>
      <c r="I43" s="192">
        <v>1.9384462606999999</v>
      </c>
      <c r="J43" s="145"/>
      <c r="K43" s="182">
        <v>1204.76707569</v>
      </c>
      <c r="L43" s="192">
        <v>0.79348940560000003</v>
      </c>
      <c r="M43" s="145"/>
      <c r="N43" s="182">
        <v>3919.6020636039998</v>
      </c>
      <c r="O43" s="192">
        <v>2.3054973164999999</v>
      </c>
      <c r="P43" s="145"/>
      <c r="Q43" s="192">
        <v>7629.4169032154005</v>
      </c>
      <c r="R43" s="192">
        <v>3.0337985503999998</v>
      </c>
      <c r="S43" s="145"/>
      <c r="T43" s="192">
        <v>0</v>
      </c>
      <c r="U43" s="192">
        <v>0</v>
      </c>
    </row>
    <row r="44" spans="1:25" s="138" customFormat="1" ht="12.95" customHeight="1" x14ac:dyDescent="0.2">
      <c r="B44" s="146" t="s">
        <v>39</v>
      </c>
      <c r="C44" s="137"/>
      <c r="D44" s="182">
        <v>4411.9471855760003</v>
      </c>
      <c r="E44" s="145"/>
      <c r="F44" s="192">
        <v>3806.4760827522</v>
      </c>
      <c r="G44" s="145"/>
      <c r="H44" s="192">
        <v>1177.2304185389</v>
      </c>
      <c r="I44" s="192">
        <v>1.9013992873000001</v>
      </c>
      <c r="J44" s="145"/>
      <c r="K44" s="182">
        <v>394.48053043070001</v>
      </c>
      <c r="L44" s="192">
        <v>0.68959638150000002</v>
      </c>
      <c r="M44" s="145"/>
      <c r="N44" s="182">
        <v>1628.4165129793</v>
      </c>
      <c r="O44" s="192">
        <v>2.7187640242</v>
      </c>
      <c r="P44" s="145"/>
      <c r="Q44" s="192">
        <v>4157.6707560848999</v>
      </c>
      <c r="R44" s="192">
        <v>3.6984287461999998</v>
      </c>
      <c r="S44" s="145"/>
      <c r="T44" s="192">
        <v>322.86994285629999</v>
      </c>
      <c r="U44" s="192">
        <v>0.54949755259999999</v>
      </c>
    </row>
    <row r="45" spans="1:25" s="138" customFormat="1" ht="6" customHeight="1" x14ac:dyDescent="0.2">
      <c r="B45" s="144"/>
      <c r="C45" s="143"/>
      <c r="D45" s="141"/>
      <c r="E45" s="142"/>
      <c r="F45" s="142"/>
      <c r="G45" s="142"/>
      <c r="H45" s="142"/>
      <c r="I45" s="139"/>
      <c r="J45" s="142"/>
      <c r="K45" s="141"/>
      <c r="L45" s="139"/>
      <c r="M45" s="142"/>
      <c r="N45" s="141"/>
      <c r="O45" s="139"/>
      <c r="P45" s="140"/>
      <c r="Q45" s="140"/>
      <c r="R45" s="139"/>
      <c r="S45" s="140"/>
      <c r="T45" s="140"/>
      <c r="U45" s="139"/>
    </row>
    <row r="46" spans="1:25" ht="6" customHeight="1" x14ac:dyDescent="0.25">
      <c r="B46" s="132"/>
      <c r="C46" s="137"/>
      <c r="D46" s="136"/>
      <c r="E46" s="136"/>
      <c r="F46" s="136"/>
      <c r="G46" s="136"/>
      <c r="H46" s="136"/>
      <c r="I46" s="136"/>
      <c r="J46" s="136"/>
      <c r="K46" s="136"/>
      <c r="L46" s="135"/>
      <c r="M46" s="135"/>
      <c r="N46" s="136"/>
      <c r="O46" s="135"/>
      <c r="P46" s="132"/>
      <c r="Q46" s="132"/>
      <c r="R46" s="132"/>
      <c r="S46" s="132"/>
      <c r="T46" s="132"/>
      <c r="U46" s="1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ht="12" customHeight="1" x14ac:dyDescent="0.25">
      <c r="B48" s="137" t="s">
        <v>90</v>
      </c>
      <c r="C48" s="137"/>
      <c r="D48" s="136"/>
      <c r="E48" s="136"/>
      <c r="F48" s="136"/>
      <c r="G48" s="136"/>
      <c r="H48" s="136"/>
      <c r="I48" s="136"/>
      <c r="J48" s="136"/>
      <c r="K48" s="136"/>
      <c r="L48" s="135"/>
      <c r="M48" s="135"/>
      <c r="N48" s="136"/>
      <c r="O48" s="135"/>
      <c r="P48" s="132"/>
      <c r="Q48" s="132"/>
      <c r="R48" s="132"/>
      <c r="S48" s="132"/>
      <c r="T48" s="132"/>
      <c r="U48" s="132"/>
    </row>
    <row r="49" spans="2:21" ht="12" customHeight="1" x14ac:dyDescent="0.25">
      <c r="B49" s="137" t="s">
        <v>89</v>
      </c>
      <c r="C49" s="137"/>
      <c r="D49" s="136"/>
      <c r="E49" s="136"/>
      <c r="F49" s="136"/>
      <c r="G49" s="136"/>
      <c r="H49" s="136"/>
      <c r="I49" s="136"/>
      <c r="J49" s="136"/>
      <c r="K49" s="136"/>
      <c r="L49" s="135"/>
      <c r="M49" s="135"/>
      <c r="N49" s="136"/>
      <c r="O49" s="135"/>
      <c r="P49" s="132"/>
      <c r="Q49" s="132"/>
      <c r="R49" s="132"/>
      <c r="S49" s="132"/>
      <c r="T49" s="132"/>
      <c r="U49" s="132"/>
    </row>
    <row r="50" spans="2:21" ht="12" customHeight="1" x14ac:dyDescent="0.25">
      <c r="B50" s="137" t="s">
        <v>88</v>
      </c>
      <c r="C50" s="137"/>
      <c r="D50" s="136"/>
      <c r="E50" s="136"/>
      <c r="F50" s="136"/>
      <c r="G50" s="136"/>
      <c r="H50" s="136"/>
      <c r="I50" s="136"/>
      <c r="J50" s="136"/>
      <c r="K50" s="136"/>
      <c r="L50" s="135"/>
      <c r="M50" s="135"/>
      <c r="N50" s="136"/>
      <c r="O50" s="135"/>
      <c r="P50" s="132"/>
      <c r="Q50" s="132"/>
      <c r="R50" s="132"/>
      <c r="S50" s="132"/>
      <c r="T50" s="132"/>
      <c r="U50" s="132"/>
    </row>
    <row r="51" spans="2:21" s="101" customFormat="1" ht="14.25" x14ac:dyDescent="0.2">
      <c r="B51" s="102" t="s">
        <v>75</v>
      </c>
      <c r="F51" s="119"/>
    </row>
    <row r="52" spans="2:21" ht="12.75" customHeight="1" x14ac:dyDescent="0.25">
      <c r="B52" s="134"/>
      <c r="C52" s="132"/>
      <c r="D52" s="133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</row>
  </sheetData>
  <mergeCells count="11">
    <mergeCell ref="T8:U8"/>
    <mergeCell ref="B5:N5"/>
    <mergeCell ref="B6:O6"/>
    <mergeCell ref="B7:C9"/>
    <mergeCell ref="D7:D9"/>
    <mergeCell ref="F7:F9"/>
    <mergeCell ref="K7:U7"/>
    <mergeCell ref="H8:I8"/>
    <mergeCell ref="K8:L8"/>
    <mergeCell ref="N8:O8"/>
    <mergeCell ref="Q8:R8"/>
  </mergeCells>
  <hyperlinks>
    <hyperlink ref="U1" location="Índice!A1" tooltip="Ir a ÍNDICE" display="INDICE" xr:uid="{951D79A8-4304-44B9-922A-EAD8D3BCA842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5308-2D06-4AED-8910-0311BCF6BD6F}">
  <sheetPr>
    <pageSetUpPr fitToPage="1"/>
  </sheetPr>
  <dimension ref="A1:AK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2" customWidth="1"/>
    <col min="11" max="11" width="12.7109375" style="2" customWidth="1"/>
    <col min="12" max="12" width="10.7109375" style="2" customWidth="1"/>
    <col min="13" max="13" width="1.7109375" style="2" customWidth="1"/>
    <col min="14" max="14" width="12.7109375" style="2" customWidth="1"/>
    <col min="15" max="15" width="10.7109375" style="2" customWidth="1"/>
    <col min="16" max="16" width="1.7109375" style="2" customWidth="1"/>
    <col min="17" max="17" width="12.7109375" style="1" customWidth="1"/>
    <col min="18" max="18" width="10.7109375" style="1" customWidth="1"/>
    <col min="19" max="19" width="1.7109375" style="1" customWidth="1"/>
    <col min="20" max="20" width="13.42578125" style="1" customWidth="1"/>
    <col min="21" max="21" width="10.7109375" style="1" customWidth="1"/>
    <col min="22" max="22" width="1.7109375" style="1" customWidth="1"/>
    <col min="23" max="23" width="13.5703125" style="1" customWidth="1" collapsed="1"/>
    <col min="24" max="24" width="10.7109375" style="1" customWidth="1" collapsed="1"/>
    <col min="25" max="32" width="11.42578125" style="1"/>
    <col min="33" max="33" width="11.42578125" style="1" collapsed="1"/>
    <col min="34" max="37" width="11.42578125" style="1"/>
    <col min="38" max="16384" width="11.42578125" style="1" collapsed="1"/>
  </cols>
  <sheetData>
    <row r="1" spans="1:24" s="68" customFormat="1" x14ac:dyDescent="0.2">
      <c r="B1" s="210" t="s">
        <v>129</v>
      </c>
      <c r="J1" s="70"/>
      <c r="L1" s="70"/>
      <c r="M1" s="70"/>
      <c r="N1" s="70"/>
      <c r="O1" s="70"/>
      <c r="P1" s="70"/>
      <c r="X1" s="80" t="s">
        <v>74</v>
      </c>
    </row>
    <row r="2" spans="1:24" s="68" customFormat="1" ht="6.95" customHeight="1" x14ac:dyDescent="0.25">
      <c r="B2" s="210"/>
      <c r="J2" s="70"/>
      <c r="K2" s="70"/>
      <c r="L2" s="70"/>
      <c r="M2" s="70"/>
      <c r="N2" s="70"/>
      <c r="O2" s="70"/>
      <c r="P2" s="70"/>
    </row>
    <row r="3" spans="1:24" s="68" customFormat="1" x14ac:dyDescent="0.2">
      <c r="B3" s="210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24" s="74" customFormat="1" ht="6.95" customHeight="1" x14ac:dyDescent="0.25">
      <c r="C4" s="176"/>
      <c r="J4" s="73"/>
      <c r="K4" s="73"/>
      <c r="L4" s="73"/>
      <c r="M4" s="73"/>
      <c r="N4" s="73"/>
      <c r="O4" s="73"/>
      <c r="P4" s="73"/>
    </row>
    <row r="5" spans="1:24" s="74" customFormat="1" ht="25.5" customHeight="1" x14ac:dyDescent="0.2">
      <c r="B5" s="242" t="s">
        <v>109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174"/>
      <c r="W5" s="174"/>
      <c r="X5" s="79" t="s">
        <v>59</v>
      </c>
    </row>
    <row r="6" spans="1:24" s="31" customFormat="1" ht="6" customHeight="1" x14ac:dyDescent="0.25">
      <c r="A6" s="177"/>
      <c r="B6" s="253"/>
      <c r="C6" s="253"/>
      <c r="D6" s="253"/>
      <c r="E6" s="253"/>
      <c r="F6" s="254"/>
      <c r="G6" s="254"/>
      <c r="H6" s="254"/>
      <c r="I6" s="254"/>
      <c r="J6" s="28"/>
      <c r="K6" s="28"/>
      <c r="L6" s="28"/>
      <c r="M6" s="28"/>
      <c r="N6" s="28"/>
      <c r="O6" s="28"/>
      <c r="P6" s="28"/>
    </row>
    <row r="7" spans="1:24" s="31" customFormat="1" ht="21.75" customHeight="1" x14ac:dyDescent="0.25">
      <c r="A7" s="177"/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106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</row>
    <row r="8" spans="1:24" s="31" customFormat="1" ht="34.5" customHeight="1" x14ac:dyDescent="0.25">
      <c r="A8" s="177"/>
      <c r="B8" s="246"/>
      <c r="C8" s="246"/>
      <c r="D8" s="268"/>
      <c r="E8" s="34"/>
      <c r="F8" s="249"/>
      <c r="G8" s="34"/>
      <c r="H8" s="232" t="s">
        <v>105</v>
      </c>
      <c r="I8" s="232"/>
      <c r="J8" s="37"/>
      <c r="K8" s="232" t="s">
        <v>104</v>
      </c>
      <c r="L8" s="232"/>
      <c r="M8" s="37"/>
      <c r="N8" s="232" t="s">
        <v>103</v>
      </c>
      <c r="O8" s="232"/>
      <c r="P8" s="37"/>
      <c r="Q8" s="232" t="s">
        <v>102</v>
      </c>
      <c r="R8" s="232"/>
      <c r="S8" s="37"/>
      <c r="T8" s="232" t="s">
        <v>110</v>
      </c>
      <c r="U8" s="232"/>
      <c r="V8" s="37"/>
      <c r="W8" s="232" t="s">
        <v>43</v>
      </c>
      <c r="X8" s="232"/>
    </row>
    <row r="9" spans="1:24" s="31" customFormat="1" ht="24" customHeight="1" x14ac:dyDescent="0.25">
      <c r="A9" s="177"/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81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  <c r="V9" s="81"/>
      <c r="W9" s="173" t="s">
        <v>5</v>
      </c>
      <c r="X9" s="173" t="s">
        <v>6</v>
      </c>
    </row>
    <row r="10" spans="1:24" s="31" customFormat="1" ht="6" customHeight="1" x14ac:dyDescent="0.25">
      <c r="A10" s="177"/>
      <c r="C10" s="193"/>
      <c r="D10" s="116"/>
      <c r="E10" s="116"/>
      <c r="F10" s="116"/>
      <c r="G10" s="116"/>
      <c r="H10" s="84"/>
      <c r="I10" s="86"/>
      <c r="J10" s="105"/>
      <c r="K10" s="105"/>
      <c r="L10" s="86"/>
      <c r="M10" s="105"/>
      <c r="N10" s="105"/>
      <c r="O10" s="86"/>
      <c r="P10" s="105"/>
      <c r="Q10" s="117"/>
      <c r="R10" s="86"/>
      <c r="S10" s="117"/>
      <c r="T10" s="117"/>
      <c r="U10" s="86"/>
      <c r="V10" s="117"/>
      <c r="W10" s="117"/>
      <c r="X10" s="86"/>
    </row>
    <row r="11" spans="1:24" s="92" customFormat="1" ht="12.95" customHeight="1" x14ac:dyDescent="0.2">
      <c r="B11" s="40" t="s">
        <v>7</v>
      </c>
      <c r="D11" s="194">
        <v>84443.525248358404</v>
      </c>
      <c r="E11" s="107"/>
      <c r="F11" s="194">
        <v>81126.067866869795</v>
      </c>
      <c r="G11" s="107"/>
      <c r="H11" s="194">
        <v>49753.796307365701</v>
      </c>
      <c r="I11" s="194">
        <v>0.81049157900000002</v>
      </c>
      <c r="J11" s="107"/>
      <c r="K11" s="194">
        <v>18681.369650898501</v>
      </c>
      <c r="L11" s="194">
        <v>0.35321221899999999</v>
      </c>
      <c r="M11" s="107"/>
      <c r="N11" s="194">
        <v>27420.6797556983</v>
      </c>
      <c r="O11" s="194">
        <v>0.50747499770000004</v>
      </c>
      <c r="P11" s="107"/>
      <c r="Q11" s="194">
        <v>71722.331320943398</v>
      </c>
      <c r="R11" s="194">
        <v>0.95629118869999996</v>
      </c>
      <c r="S11" s="107"/>
      <c r="T11" s="194">
        <v>23149.433308884902</v>
      </c>
      <c r="U11" s="194">
        <v>0.43699316449999998</v>
      </c>
      <c r="V11" s="107"/>
      <c r="W11" s="194">
        <v>9994.2314303587991</v>
      </c>
      <c r="X11" s="194">
        <v>0.1951513248</v>
      </c>
    </row>
    <row r="12" spans="1:24" s="92" customFormat="1" ht="6" customHeight="1" x14ac:dyDescent="0.2">
      <c r="B12" s="40"/>
      <c r="D12" s="108"/>
      <c r="E12" s="108"/>
      <c r="F12" s="108"/>
      <c r="G12" s="108"/>
      <c r="H12" s="108"/>
      <c r="I12" s="109"/>
      <c r="J12" s="108"/>
      <c r="K12" s="108"/>
      <c r="L12" s="109"/>
      <c r="M12" s="108"/>
      <c r="N12" s="108"/>
      <c r="O12" s="109"/>
      <c r="P12" s="108"/>
      <c r="Q12" s="108"/>
      <c r="R12" s="109"/>
      <c r="S12" s="108"/>
      <c r="T12" s="108"/>
      <c r="U12" s="109"/>
      <c r="V12" s="108"/>
      <c r="W12" s="108"/>
      <c r="X12" s="109"/>
    </row>
    <row r="13" spans="1:24" s="50" customFormat="1" ht="12.95" customHeight="1" x14ac:dyDescent="0.2">
      <c r="B13" s="20" t="s">
        <v>8</v>
      </c>
      <c r="D13" s="184">
        <v>3617.1755595834002</v>
      </c>
      <c r="E13" s="108"/>
      <c r="F13" s="184">
        <v>3131.9194433173002</v>
      </c>
      <c r="G13" s="108"/>
      <c r="H13" s="184">
        <v>2999.6828399714</v>
      </c>
      <c r="I13" s="184">
        <v>3.9451923638999999</v>
      </c>
      <c r="J13" s="108"/>
      <c r="K13" s="184">
        <v>705.9683424241</v>
      </c>
      <c r="L13" s="184">
        <v>1.5562340663000001</v>
      </c>
      <c r="M13" s="108"/>
      <c r="N13" s="184">
        <v>922.58471150939999</v>
      </c>
      <c r="O13" s="184">
        <v>1.976653446</v>
      </c>
      <c r="P13" s="108"/>
      <c r="Q13" s="184">
        <v>1799.0004061228001</v>
      </c>
      <c r="R13" s="184">
        <v>3.5603247100000002</v>
      </c>
      <c r="S13" s="108"/>
      <c r="T13" s="184">
        <v>520.38198382619998</v>
      </c>
      <c r="U13" s="184">
        <v>1.1623178266</v>
      </c>
      <c r="V13" s="108"/>
      <c r="W13" s="184">
        <v>469.9514159286</v>
      </c>
      <c r="X13" s="184">
        <v>1.0487083382</v>
      </c>
    </row>
    <row r="14" spans="1:24" s="50" customFormat="1" ht="12.95" customHeight="1" x14ac:dyDescent="0.2">
      <c r="B14" s="20" t="s">
        <v>9</v>
      </c>
      <c r="D14" s="182">
        <v>15695.5069240864</v>
      </c>
      <c r="E14" s="108"/>
      <c r="F14" s="184">
        <v>15000.7062353526</v>
      </c>
      <c r="G14" s="108"/>
      <c r="H14" s="182">
        <v>13947.575349685099</v>
      </c>
      <c r="I14" s="184">
        <v>3.4889883849999999</v>
      </c>
      <c r="J14" s="108"/>
      <c r="K14" s="184">
        <v>1739.2251445538</v>
      </c>
      <c r="L14" s="184">
        <v>0.84063015340000002</v>
      </c>
      <c r="M14" s="108"/>
      <c r="N14" s="184">
        <v>2786.4630670038</v>
      </c>
      <c r="O14" s="184">
        <v>1.3844650328999999</v>
      </c>
      <c r="P14" s="108"/>
      <c r="Q14" s="184">
        <v>8038.9027023442004</v>
      </c>
      <c r="R14" s="184">
        <v>3.2751093655000001</v>
      </c>
      <c r="S14" s="108"/>
      <c r="T14" s="184">
        <v>2289.4277305330002</v>
      </c>
      <c r="U14" s="184">
        <v>1.1198973213000001</v>
      </c>
      <c r="V14" s="108"/>
      <c r="W14" s="184">
        <v>997.91783228880001</v>
      </c>
      <c r="X14" s="184">
        <v>0.4865297724</v>
      </c>
    </row>
    <row r="15" spans="1:24" s="50" customFormat="1" ht="12.95" customHeight="1" x14ac:dyDescent="0.2">
      <c r="B15" s="20" t="s">
        <v>10</v>
      </c>
      <c r="D15" s="182">
        <v>4062.8935860587999</v>
      </c>
      <c r="E15" s="108"/>
      <c r="F15" s="184">
        <v>5606.3814389700001</v>
      </c>
      <c r="G15" s="108"/>
      <c r="H15" s="182">
        <v>1708.4385616773</v>
      </c>
      <c r="I15" s="184">
        <v>4.5475725889999996</v>
      </c>
      <c r="J15" s="108"/>
      <c r="K15" s="184">
        <v>695.42398337099996</v>
      </c>
      <c r="L15" s="184">
        <v>1.8570295389</v>
      </c>
      <c r="M15" s="108"/>
      <c r="N15" s="184">
        <v>562.39102648129995</v>
      </c>
      <c r="O15" s="184">
        <v>1.4611436354</v>
      </c>
      <c r="P15" s="108"/>
      <c r="Q15" s="184">
        <v>5464.7012328763003</v>
      </c>
      <c r="R15" s="184">
        <v>9.6276255685999992</v>
      </c>
      <c r="S15" s="108"/>
      <c r="T15" s="184">
        <v>655.72716209650002</v>
      </c>
      <c r="U15" s="184">
        <v>1.6473099663999999</v>
      </c>
      <c r="V15" s="108"/>
      <c r="W15" s="184">
        <v>123</v>
      </c>
      <c r="X15" s="184">
        <v>0.32098506939999999</v>
      </c>
    </row>
    <row r="16" spans="1:24" s="50" customFormat="1" ht="12.95" customHeight="1" x14ac:dyDescent="0.2">
      <c r="B16" s="20" t="s">
        <v>11</v>
      </c>
      <c r="D16" s="182">
        <v>3484.4736853872</v>
      </c>
      <c r="E16" s="108"/>
      <c r="F16" s="184">
        <v>3453.6488470500999</v>
      </c>
      <c r="G16" s="108"/>
      <c r="H16" s="182">
        <v>1511.9727330691001</v>
      </c>
      <c r="I16" s="184">
        <v>2.8762988937</v>
      </c>
      <c r="J16" s="108"/>
      <c r="K16" s="184">
        <v>393.28666092409998</v>
      </c>
      <c r="L16" s="184">
        <v>0.87018229189999996</v>
      </c>
      <c r="M16" s="108"/>
      <c r="N16" s="184">
        <v>909.31449569209997</v>
      </c>
      <c r="O16" s="184">
        <v>1.9532512416000001</v>
      </c>
      <c r="P16" s="108"/>
      <c r="Q16" s="184">
        <v>2982.2842537431002</v>
      </c>
      <c r="R16" s="184">
        <v>3.3113323938999999</v>
      </c>
      <c r="S16" s="108"/>
      <c r="T16" s="184">
        <v>1767.0510328808</v>
      </c>
      <c r="U16" s="184">
        <v>3.4069435278000002</v>
      </c>
      <c r="V16" s="108"/>
      <c r="W16" s="184">
        <v>405.2170539425</v>
      </c>
      <c r="X16" s="184">
        <v>0.90266725380000001</v>
      </c>
    </row>
    <row r="17" spans="2:24" s="50" customFormat="1" ht="12.95" customHeight="1" x14ac:dyDescent="0.2">
      <c r="B17" s="20" t="s">
        <v>12</v>
      </c>
      <c r="D17" s="182">
        <v>8694.1885038845994</v>
      </c>
      <c r="E17" s="108"/>
      <c r="F17" s="184">
        <v>7052.6045587361004</v>
      </c>
      <c r="G17" s="108"/>
      <c r="H17" s="182">
        <v>7145.5504258138999</v>
      </c>
      <c r="I17" s="184">
        <v>3.7101248985000002</v>
      </c>
      <c r="J17" s="108"/>
      <c r="K17" s="184">
        <v>1895.9204533354</v>
      </c>
      <c r="L17" s="184">
        <v>1.5849145569</v>
      </c>
      <c r="M17" s="108"/>
      <c r="N17" s="184">
        <v>2457.2340289786998</v>
      </c>
      <c r="O17" s="184">
        <v>2.0122047878</v>
      </c>
      <c r="P17" s="108"/>
      <c r="Q17" s="184">
        <v>4334.2279004323</v>
      </c>
      <c r="R17" s="184">
        <v>3.0781754891999999</v>
      </c>
      <c r="S17" s="108"/>
      <c r="T17" s="184">
        <v>1239.8849376199</v>
      </c>
      <c r="U17" s="184">
        <v>1.021776397</v>
      </c>
      <c r="V17" s="108"/>
      <c r="W17" s="184">
        <v>876.37948401359995</v>
      </c>
      <c r="X17" s="184">
        <v>0.74274944539999999</v>
      </c>
    </row>
    <row r="18" spans="2:24" s="50" customFormat="1" ht="12.95" customHeight="1" x14ac:dyDescent="0.2">
      <c r="B18" s="20" t="s">
        <v>13</v>
      </c>
      <c r="D18" s="182">
        <v>2081.9268011078002</v>
      </c>
      <c r="E18" s="108"/>
      <c r="F18" s="184">
        <v>1775.7040174171</v>
      </c>
      <c r="G18" s="108"/>
      <c r="H18" s="182">
        <v>1537.8062617733999</v>
      </c>
      <c r="I18" s="184">
        <v>3.8098718330999999</v>
      </c>
      <c r="J18" s="108"/>
      <c r="K18" s="184">
        <v>461.9194407004</v>
      </c>
      <c r="L18" s="184">
        <v>1.7672843984</v>
      </c>
      <c r="M18" s="108"/>
      <c r="N18" s="184">
        <v>711.67128915640001</v>
      </c>
      <c r="O18" s="184">
        <v>2.6692723789000001</v>
      </c>
      <c r="P18" s="108"/>
      <c r="Q18" s="184">
        <v>1034.3522693801001</v>
      </c>
      <c r="R18" s="184">
        <v>3.4976629229</v>
      </c>
      <c r="S18" s="108"/>
      <c r="T18" s="184">
        <v>774.82618913960005</v>
      </c>
      <c r="U18" s="184">
        <v>2.9138614551000002</v>
      </c>
      <c r="V18" s="108"/>
      <c r="W18" s="184">
        <v>274.59788782869998</v>
      </c>
      <c r="X18" s="184">
        <v>1.0750527518999999</v>
      </c>
    </row>
    <row r="19" spans="2:24" s="50" customFormat="1" ht="12.95" customHeight="1" x14ac:dyDescent="0.2">
      <c r="B19" s="20" t="s">
        <v>14</v>
      </c>
      <c r="D19" s="182">
        <v>18436.0163107894</v>
      </c>
      <c r="E19" s="108"/>
      <c r="F19" s="184">
        <v>19184.571645569999</v>
      </c>
      <c r="G19" s="108"/>
      <c r="H19" s="182">
        <v>4788.8683599814003</v>
      </c>
      <c r="I19" s="184">
        <v>1.8458677699999999</v>
      </c>
      <c r="J19" s="108"/>
      <c r="K19" s="184">
        <v>2591.2548359819998</v>
      </c>
      <c r="L19" s="184">
        <v>1.0183025297999999</v>
      </c>
      <c r="M19" s="108"/>
      <c r="N19" s="184">
        <v>5591.4775089714003</v>
      </c>
      <c r="O19" s="184">
        <v>1.9831641028</v>
      </c>
      <c r="P19" s="108"/>
      <c r="Q19" s="184">
        <v>17320.7268163804</v>
      </c>
      <c r="R19" s="184">
        <v>2.9775453636</v>
      </c>
      <c r="S19" s="108"/>
      <c r="T19" s="184">
        <v>6306.2342352221003</v>
      </c>
      <c r="U19" s="184">
        <v>2.4076301415999999</v>
      </c>
      <c r="V19" s="108"/>
      <c r="W19" s="184">
        <v>2437.5551275817002</v>
      </c>
      <c r="X19" s="184">
        <v>0.9616185773</v>
      </c>
    </row>
    <row r="20" spans="2:24" s="51" customFormat="1" ht="12.95" customHeight="1" x14ac:dyDescent="0.2">
      <c r="B20" s="20" t="s">
        <v>15</v>
      </c>
      <c r="C20" s="50"/>
      <c r="D20" s="182">
        <v>8828.3603923203991</v>
      </c>
      <c r="E20" s="108"/>
      <c r="F20" s="184">
        <v>7007.9799433014005</v>
      </c>
      <c r="G20" s="108"/>
      <c r="H20" s="182">
        <v>7442.7737040770999</v>
      </c>
      <c r="I20" s="184">
        <v>4.0010755563</v>
      </c>
      <c r="J20" s="108"/>
      <c r="K20" s="184">
        <v>2403.4108781719001</v>
      </c>
      <c r="L20" s="184">
        <v>1.8348797082999999</v>
      </c>
      <c r="M20" s="108"/>
      <c r="N20" s="184">
        <v>2866.1314843123</v>
      </c>
      <c r="O20" s="184">
        <v>2.1977816735000002</v>
      </c>
      <c r="P20" s="108"/>
      <c r="Q20" s="184">
        <v>4909.4451233786003</v>
      </c>
      <c r="R20" s="184">
        <v>3.4087979462</v>
      </c>
      <c r="S20" s="108"/>
      <c r="T20" s="184">
        <v>1345.7150515618</v>
      </c>
      <c r="U20" s="184">
        <v>1.0672629155</v>
      </c>
      <c r="V20" s="108"/>
      <c r="W20" s="184">
        <v>513</v>
      </c>
      <c r="X20" s="184">
        <v>0.40835475850000003</v>
      </c>
    </row>
    <row r="21" spans="2:24" s="51" customFormat="1" ht="12.95" customHeight="1" x14ac:dyDescent="0.2">
      <c r="B21" s="20" t="s">
        <v>16</v>
      </c>
      <c r="C21" s="50"/>
      <c r="D21" s="182">
        <v>34488.662615048197</v>
      </c>
      <c r="E21" s="108"/>
      <c r="F21" s="184">
        <v>29044.413072564701</v>
      </c>
      <c r="G21" s="108"/>
      <c r="H21" s="182">
        <v>22765.854464011099</v>
      </c>
      <c r="I21" s="184">
        <v>2.9190618545999998</v>
      </c>
      <c r="J21" s="108"/>
      <c r="K21" s="184">
        <v>12491.494087859001</v>
      </c>
      <c r="L21" s="184">
        <v>2.0250889930999998</v>
      </c>
      <c r="M21" s="108"/>
      <c r="N21" s="184">
        <v>13390.6809463105</v>
      </c>
      <c r="O21" s="184">
        <v>2.1039731439999998</v>
      </c>
      <c r="P21" s="108"/>
      <c r="Q21" s="184">
        <v>21131.157849718002</v>
      </c>
      <c r="R21" s="184">
        <v>3.0580778979000001</v>
      </c>
      <c r="S21" s="108"/>
      <c r="T21" s="184">
        <v>9497.3623578821007</v>
      </c>
      <c r="U21" s="184">
        <v>1.5592157010000001</v>
      </c>
      <c r="V21" s="108"/>
      <c r="W21" s="184">
        <v>6323.6771210018996</v>
      </c>
      <c r="X21" s="184">
        <v>1.0805860408000001</v>
      </c>
    </row>
    <row r="22" spans="2:24" s="51" customFormat="1" ht="12.95" customHeight="1" x14ac:dyDescent="0.2">
      <c r="B22" s="20" t="s">
        <v>17</v>
      </c>
      <c r="C22" s="50"/>
      <c r="D22" s="182">
        <v>4679.9806813340001</v>
      </c>
      <c r="E22" s="108"/>
      <c r="F22" s="184">
        <v>3965.4409854689002</v>
      </c>
      <c r="G22" s="108"/>
      <c r="H22" s="182">
        <v>2718.0542666724</v>
      </c>
      <c r="I22" s="184">
        <v>3.3773062119000001</v>
      </c>
      <c r="J22" s="108"/>
      <c r="K22" s="184">
        <v>1443.6343472653</v>
      </c>
      <c r="L22" s="184">
        <v>2.0950196202</v>
      </c>
      <c r="M22" s="108"/>
      <c r="N22" s="184">
        <v>1490.8922161931</v>
      </c>
      <c r="O22" s="184">
        <v>2.1485659251999998</v>
      </c>
      <c r="P22" s="108"/>
      <c r="Q22" s="184">
        <v>3310.2659195432998</v>
      </c>
      <c r="R22" s="184">
        <v>3.5118938148000001</v>
      </c>
      <c r="S22" s="108"/>
      <c r="T22" s="184">
        <v>987.56523035719999</v>
      </c>
      <c r="U22" s="184">
        <v>1.4107790941</v>
      </c>
      <c r="V22" s="108"/>
      <c r="W22" s="184">
        <v>605.88266190740001</v>
      </c>
      <c r="X22" s="184">
        <v>0.88679321119999999</v>
      </c>
    </row>
    <row r="23" spans="2:24" s="51" customFormat="1" ht="12.95" customHeight="1" x14ac:dyDescent="0.2">
      <c r="B23" s="20" t="s">
        <v>18</v>
      </c>
      <c r="C23" s="50"/>
      <c r="D23" s="182">
        <v>14601.8585597127</v>
      </c>
      <c r="E23" s="108"/>
      <c r="F23" s="184">
        <v>14122.8288703454</v>
      </c>
      <c r="G23" s="108"/>
      <c r="H23" s="182">
        <v>10142.356290685801</v>
      </c>
      <c r="I23" s="184">
        <v>3.6921645758000001</v>
      </c>
      <c r="J23" s="108"/>
      <c r="K23" s="184">
        <v>2691.5635743752</v>
      </c>
      <c r="L23" s="184">
        <v>1.2034879276999999</v>
      </c>
      <c r="M23" s="108"/>
      <c r="N23" s="184">
        <v>3952.9766823573</v>
      </c>
      <c r="O23" s="184">
        <v>1.7642578147000001</v>
      </c>
      <c r="P23" s="108"/>
      <c r="Q23" s="184">
        <v>10867.091407796301</v>
      </c>
      <c r="R23" s="184">
        <v>3.8902414743999998</v>
      </c>
      <c r="S23" s="108"/>
      <c r="T23" s="184">
        <v>3063.6272986813001</v>
      </c>
      <c r="U23" s="184">
        <v>1.3325653613999999</v>
      </c>
      <c r="V23" s="108"/>
      <c r="W23" s="184">
        <v>4690.4548370977</v>
      </c>
      <c r="X23" s="184">
        <v>1.9599708146999999</v>
      </c>
    </row>
    <row r="24" spans="2:24" s="51" customFormat="1" ht="12.95" customHeight="1" x14ac:dyDescent="0.2">
      <c r="B24" s="20" t="s">
        <v>19</v>
      </c>
      <c r="C24" s="50"/>
      <c r="D24" s="182">
        <v>12368.2263410294</v>
      </c>
      <c r="E24" s="108"/>
      <c r="F24" s="184">
        <v>12186.087902819099</v>
      </c>
      <c r="G24" s="108"/>
      <c r="H24" s="182">
        <v>3413.7397394275999</v>
      </c>
      <c r="I24" s="184">
        <v>1.7468673078000001</v>
      </c>
      <c r="J24" s="108"/>
      <c r="K24" s="184">
        <v>2745.7092516153002</v>
      </c>
      <c r="L24" s="184">
        <v>1.3893774691</v>
      </c>
      <c r="M24" s="108"/>
      <c r="N24" s="184">
        <v>4551.0181474393003</v>
      </c>
      <c r="O24" s="184">
        <v>2.1684250862000001</v>
      </c>
      <c r="P24" s="108"/>
      <c r="Q24" s="184">
        <v>11501.911462288501</v>
      </c>
      <c r="R24" s="184">
        <v>3.0299038331000001</v>
      </c>
      <c r="S24" s="108"/>
      <c r="T24" s="184">
        <v>3902.4772448362</v>
      </c>
      <c r="U24" s="184">
        <v>1.9860977762000001</v>
      </c>
      <c r="V24" s="108"/>
      <c r="W24" s="184">
        <v>1268.7559961544</v>
      </c>
      <c r="X24" s="184">
        <v>0.65498106850000004</v>
      </c>
    </row>
    <row r="25" spans="2:24" s="51" customFormat="1" ht="12.95" customHeight="1" x14ac:dyDescent="0.2">
      <c r="B25" s="20" t="s">
        <v>20</v>
      </c>
      <c r="C25" s="50"/>
      <c r="D25" s="182">
        <v>7542.8284692887</v>
      </c>
      <c r="E25" s="108"/>
      <c r="F25" s="184">
        <v>7156.6536089828996</v>
      </c>
      <c r="G25" s="108"/>
      <c r="H25" s="182">
        <v>3024.3762208655999</v>
      </c>
      <c r="I25" s="184">
        <v>3.1891892140000002</v>
      </c>
      <c r="J25" s="108"/>
      <c r="K25" s="184">
        <v>1242.5035211218001</v>
      </c>
      <c r="L25" s="184">
        <v>1.3800627696000001</v>
      </c>
      <c r="M25" s="108"/>
      <c r="N25" s="184">
        <v>1779.5924272227001</v>
      </c>
      <c r="O25" s="184">
        <v>2.0019036075000001</v>
      </c>
      <c r="P25" s="108"/>
      <c r="Q25" s="184">
        <v>7695.7358459427996</v>
      </c>
      <c r="R25" s="184">
        <v>3.7183784592000002</v>
      </c>
      <c r="S25" s="108"/>
      <c r="T25" s="184">
        <v>1367.4717547357</v>
      </c>
      <c r="U25" s="184">
        <v>1.5095869013000001</v>
      </c>
      <c r="V25" s="108"/>
      <c r="W25" s="184">
        <v>706.83307789039998</v>
      </c>
      <c r="X25" s="184">
        <v>0.7887324013</v>
      </c>
    </row>
    <row r="26" spans="2:24" s="51" customFormat="1" ht="12.95" customHeight="1" x14ac:dyDescent="0.2">
      <c r="B26" s="20" t="s">
        <v>21</v>
      </c>
      <c r="C26" s="50"/>
      <c r="D26" s="182">
        <v>21259.2299022878</v>
      </c>
      <c r="E26" s="108"/>
      <c r="F26" s="184">
        <v>18576.652302216102</v>
      </c>
      <c r="G26" s="108"/>
      <c r="H26" s="182">
        <v>14182.575154451</v>
      </c>
      <c r="I26" s="184">
        <v>4.3064047294999996</v>
      </c>
      <c r="J26" s="108"/>
      <c r="K26" s="184">
        <v>5104.3680314021003</v>
      </c>
      <c r="L26" s="184">
        <v>1.7009948941999999</v>
      </c>
      <c r="M26" s="108"/>
      <c r="N26" s="184">
        <v>8976.0809399822992</v>
      </c>
      <c r="O26" s="184">
        <v>2.9337029164000001</v>
      </c>
      <c r="P26" s="108"/>
      <c r="Q26" s="184">
        <v>17864.733039405299</v>
      </c>
      <c r="R26" s="184">
        <v>4.3062278339000004</v>
      </c>
      <c r="S26" s="108"/>
      <c r="T26" s="184">
        <v>3584.8146395594999</v>
      </c>
      <c r="U26" s="184">
        <v>1.2079536268</v>
      </c>
      <c r="V26" s="108"/>
      <c r="W26" s="184">
        <v>1723.1543749763</v>
      </c>
      <c r="X26" s="184">
        <v>0.5944753733</v>
      </c>
    </row>
    <row r="27" spans="2:24" s="51" customFormat="1" ht="12.95" customHeight="1" x14ac:dyDescent="0.2">
      <c r="B27" s="20" t="s">
        <v>22</v>
      </c>
      <c r="C27" s="50"/>
      <c r="D27" s="182">
        <v>44850.375029582399</v>
      </c>
      <c r="E27" s="108"/>
      <c r="F27" s="184">
        <v>47338.930571191799</v>
      </c>
      <c r="G27" s="108"/>
      <c r="H27" s="182">
        <v>23702.3695951923</v>
      </c>
      <c r="I27" s="184">
        <v>3.9003716982999999</v>
      </c>
      <c r="J27" s="108"/>
      <c r="K27" s="184">
        <v>8682.9386154688</v>
      </c>
      <c r="L27" s="184">
        <v>1.5075259674999999</v>
      </c>
      <c r="M27" s="108"/>
      <c r="N27" s="184">
        <v>11814.143704149201</v>
      </c>
      <c r="O27" s="184">
        <v>2.0922566709999999</v>
      </c>
      <c r="P27" s="108"/>
      <c r="Q27" s="184">
        <v>45971.926635704898</v>
      </c>
      <c r="R27" s="184">
        <v>4.9854211943999998</v>
      </c>
      <c r="S27" s="108"/>
      <c r="T27" s="184">
        <v>8864.0469860784997</v>
      </c>
      <c r="U27" s="184">
        <v>1.6149408217000001</v>
      </c>
      <c r="V27" s="108"/>
      <c r="W27" s="184">
        <v>2289</v>
      </c>
      <c r="X27" s="184">
        <v>0.4198176636</v>
      </c>
    </row>
    <row r="28" spans="2:24" s="51" customFormat="1" ht="12.95" customHeight="1" x14ac:dyDescent="0.2">
      <c r="B28" s="20" t="s">
        <v>23</v>
      </c>
      <c r="C28" s="50"/>
      <c r="D28" s="182">
        <v>14512.344610546301</v>
      </c>
      <c r="E28" s="108"/>
      <c r="F28" s="184">
        <v>13835.168832843199</v>
      </c>
      <c r="G28" s="108"/>
      <c r="H28" s="182">
        <v>9604.7679599247003</v>
      </c>
      <c r="I28" s="184">
        <v>4.0155662335000004</v>
      </c>
      <c r="J28" s="108"/>
      <c r="K28" s="184">
        <v>1217.5164013269</v>
      </c>
      <c r="L28" s="184">
        <v>0.76985914050000004</v>
      </c>
      <c r="M28" s="108"/>
      <c r="N28" s="184">
        <v>4669.6010077551</v>
      </c>
      <c r="O28" s="184">
        <v>2.8306730437000001</v>
      </c>
      <c r="P28" s="108"/>
      <c r="Q28" s="184">
        <v>10280.2926918222</v>
      </c>
      <c r="R28" s="184">
        <v>3.9414698348999999</v>
      </c>
      <c r="S28" s="108"/>
      <c r="T28" s="184">
        <v>2950.3729502873998</v>
      </c>
      <c r="U28" s="184">
        <v>1.8436907832</v>
      </c>
      <c r="V28" s="108"/>
      <c r="W28" s="184">
        <v>919.16157447969999</v>
      </c>
      <c r="X28" s="184">
        <v>0.57465167849999998</v>
      </c>
    </row>
    <row r="29" spans="2:24" s="51" customFormat="1" ht="12.95" customHeight="1" x14ac:dyDescent="0.2">
      <c r="B29" s="20" t="s">
        <v>24</v>
      </c>
      <c r="C29" s="50"/>
      <c r="D29" s="182">
        <v>4896.2477388204998</v>
      </c>
      <c r="E29" s="108"/>
      <c r="F29" s="184">
        <v>4901.2701803191003</v>
      </c>
      <c r="G29" s="108"/>
      <c r="H29" s="182">
        <v>2666.5265788755</v>
      </c>
      <c r="I29" s="184">
        <v>3.2544175225999998</v>
      </c>
      <c r="J29" s="108"/>
      <c r="K29" s="184">
        <v>1350.4482023232999</v>
      </c>
      <c r="L29" s="184">
        <v>1.8214607711999999</v>
      </c>
      <c r="M29" s="108"/>
      <c r="N29" s="184">
        <v>2037.2326419193</v>
      </c>
      <c r="O29" s="184">
        <v>2.5962991765000001</v>
      </c>
      <c r="P29" s="108"/>
      <c r="Q29" s="184">
        <v>4328.4102458242996</v>
      </c>
      <c r="R29" s="184">
        <v>3.9338495171000001</v>
      </c>
      <c r="S29" s="108"/>
      <c r="T29" s="184">
        <v>1379.0487865031</v>
      </c>
      <c r="U29" s="184">
        <v>1.8923613562999999</v>
      </c>
      <c r="V29" s="108"/>
      <c r="W29" s="184">
        <v>386.94831696239999</v>
      </c>
      <c r="X29" s="184">
        <v>0.54497737069999996</v>
      </c>
    </row>
    <row r="30" spans="2:24" s="51" customFormat="1" ht="12.95" customHeight="1" x14ac:dyDescent="0.2">
      <c r="B30" s="20" t="s">
        <v>25</v>
      </c>
      <c r="C30" s="50"/>
      <c r="D30" s="182">
        <v>4300.4007755802004</v>
      </c>
      <c r="E30" s="108"/>
      <c r="F30" s="184">
        <v>4227.2915796984998</v>
      </c>
      <c r="G30" s="108"/>
      <c r="H30" s="182">
        <v>2257.3332057798998</v>
      </c>
      <c r="I30" s="184">
        <v>3.1844269779999999</v>
      </c>
      <c r="J30" s="108"/>
      <c r="K30" s="184">
        <v>727.44506653580004</v>
      </c>
      <c r="L30" s="184">
        <v>1.342438939</v>
      </c>
      <c r="M30" s="108"/>
      <c r="N30" s="184">
        <v>1066.8126120463</v>
      </c>
      <c r="O30" s="184">
        <v>2.1141047005</v>
      </c>
      <c r="P30" s="108"/>
      <c r="Q30" s="184">
        <v>3184.8962733868998</v>
      </c>
      <c r="R30" s="184">
        <v>3.2767276088999999</v>
      </c>
      <c r="S30" s="108"/>
      <c r="T30" s="184">
        <v>1146.5702373177</v>
      </c>
      <c r="U30" s="184">
        <v>2.0361215559999999</v>
      </c>
      <c r="V30" s="108"/>
      <c r="W30" s="184">
        <v>310.05537139889998</v>
      </c>
      <c r="X30" s="184">
        <v>0.57489777620000004</v>
      </c>
    </row>
    <row r="31" spans="2:24" s="51" customFormat="1" ht="12.95" customHeight="1" x14ac:dyDescent="0.2">
      <c r="B31" s="20" t="s">
        <v>26</v>
      </c>
      <c r="C31" s="50"/>
      <c r="D31" s="182">
        <v>15259.7689827138</v>
      </c>
      <c r="E31" s="108"/>
      <c r="F31" s="184">
        <v>11567.4285923226</v>
      </c>
      <c r="G31" s="108"/>
      <c r="H31" s="182">
        <v>11578.847227086</v>
      </c>
      <c r="I31" s="184">
        <v>5.1641892388999997</v>
      </c>
      <c r="J31" s="108"/>
      <c r="K31" s="184">
        <v>2109.6837806455001</v>
      </c>
      <c r="L31" s="184">
        <v>1.4031705001000001</v>
      </c>
      <c r="M31" s="108"/>
      <c r="N31" s="184">
        <v>5060.6585546895003</v>
      </c>
      <c r="O31" s="184">
        <v>3.0187624502000001</v>
      </c>
      <c r="P31" s="108"/>
      <c r="Q31" s="184">
        <v>7365.7204038732998</v>
      </c>
      <c r="R31" s="184">
        <v>4.1996969725</v>
      </c>
      <c r="S31" s="108"/>
      <c r="T31" s="184">
        <v>1822.2941584717</v>
      </c>
      <c r="U31" s="184">
        <v>1.1574776490000001</v>
      </c>
      <c r="V31" s="108"/>
      <c r="W31" s="184">
        <v>1694.1760234686999</v>
      </c>
      <c r="X31" s="184">
        <v>1.1337656570000001</v>
      </c>
    </row>
    <row r="32" spans="2:24" s="51" customFormat="1" ht="12.95" customHeight="1" x14ac:dyDescent="0.2">
      <c r="B32" s="20" t="s">
        <v>27</v>
      </c>
      <c r="C32" s="50"/>
      <c r="D32" s="182">
        <v>14930.1904317593</v>
      </c>
      <c r="E32" s="108"/>
      <c r="F32" s="184">
        <v>15030.734435647801</v>
      </c>
      <c r="G32" s="108"/>
      <c r="H32" s="182">
        <v>3596.928263579</v>
      </c>
      <c r="I32" s="184">
        <v>1.946273436</v>
      </c>
      <c r="J32" s="108"/>
      <c r="K32" s="184">
        <v>3199.0900688686002</v>
      </c>
      <c r="L32" s="184">
        <v>1.7770552227</v>
      </c>
      <c r="M32" s="108"/>
      <c r="N32" s="184">
        <v>6801.0135490438997</v>
      </c>
      <c r="O32" s="184">
        <v>3.1216844123</v>
      </c>
      <c r="P32" s="108"/>
      <c r="Q32" s="184">
        <v>13293.219711248599</v>
      </c>
      <c r="R32" s="184">
        <v>3.2003595026</v>
      </c>
      <c r="S32" s="108"/>
      <c r="T32" s="184">
        <v>3121.1222415201</v>
      </c>
      <c r="U32" s="184">
        <v>1.7316004712999999</v>
      </c>
      <c r="V32" s="108"/>
      <c r="W32" s="184">
        <v>1181.1778020264001</v>
      </c>
      <c r="X32" s="184">
        <v>0.65608863969999998</v>
      </c>
    </row>
    <row r="33" spans="1:24" s="51" customFormat="1" ht="12.95" customHeight="1" x14ac:dyDescent="0.2">
      <c r="B33" s="20" t="s">
        <v>28</v>
      </c>
      <c r="C33" s="50"/>
      <c r="D33" s="182">
        <v>21167.447154873498</v>
      </c>
      <c r="E33" s="108"/>
      <c r="F33" s="184">
        <v>22676.237603943799</v>
      </c>
      <c r="G33" s="108"/>
      <c r="H33" s="182">
        <v>9070.6243160225004</v>
      </c>
      <c r="I33" s="184">
        <v>3.3395082765000002</v>
      </c>
      <c r="J33" s="108"/>
      <c r="K33" s="184">
        <v>2034.1809162412001</v>
      </c>
      <c r="L33" s="184">
        <v>0.79826049980000002</v>
      </c>
      <c r="M33" s="108"/>
      <c r="N33" s="184">
        <v>5305.4223844662001</v>
      </c>
      <c r="O33" s="184">
        <v>2.0080893207999999</v>
      </c>
      <c r="P33" s="108"/>
      <c r="Q33" s="184">
        <v>21531.542421919901</v>
      </c>
      <c r="R33" s="184">
        <v>4.9303802377999997</v>
      </c>
      <c r="S33" s="108"/>
      <c r="T33" s="184">
        <v>12300.116149437699</v>
      </c>
      <c r="U33" s="184">
        <v>4.1730287874999998</v>
      </c>
      <c r="V33" s="108"/>
      <c r="W33" s="184">
        <v>1547.9741599910999</v>
      </c>
      <c r="X33" s="184">
        <v>0.61414045319999999</v>
      </c>
    </row>
    <row r="34" spans="1:24" s="51" customFormat="1" ht="12.95" customHeight="1" x14ac:dyDescent="0.2">
      <c r="B34" s="20" t="s">
        <v>29</v>
      </c>
      <c r="C34" s="50"/>
      <c r="D34" s="182">
        <v>8680.4624373235001</v>
      </c>
      <c r="E34" s="108"/>
      <c r="F34" s="184">
        <v>8362.5912960999995</v>
      </c>
      <c r="G34" s="108"/>
      <c r="H34" s="182">
        <v>5762.8603620263002</v>
      </c>
      <c r="I34" s="184">
        <v>4.1659498063999996</v>
      </c>
      <c r="J34" s="108"/>
      <c r="K34" s="184">
        <v>976.06514468379999</v>
      </c>
      <c r="L34" s="184">
        <v>1.0255765113999999</v>
      </c>
      <c r="M34" s="108"/>
      <c r="N34" s="184">
        <v>3742.2274613324998</v>
      </c>
      <c r="O34" s="184">
        <v>3.6935539018000001</v>
      </c>
      <c r="P34" s="108"/>
      <c r="Q34" s="184">
        <v>6881.1219334344996</v>
      </c>
      <c r="R34" s="184">
        <v>4.4748545288999999</v>
      </c>
      <c r="S34" s="108"/>
      <c r="T34" s="184">
        <v>1252.1184024628999</v>
      </c>
      <c r="U34" s="184">
        <v>1.3072909678</v>
      </c>
      <c r="V34" s="108"/>
      <c r="W34" s="184">
        <v>333.75440072010002</v>
      </c>
      <c r="X34" s="184">
        <v>0.35545307050000002</v>
      </c>
    </row>
    <row r="35" spans="1:24" s="51" customFormat="1" ht="12.95" customHeight="1" x14ac:dyDescent="0.2">
      <c r="B35" s="20" t="s">
        <v>30</v>
      </c>
      <c r="C35" s="50"/>
      <c r="D35" s="182">
        <v>7409.6844870778004</v>
      </c>
      <c r="E35" s="108"/>
      <c r="F35" s="184">
        <v>7264.3502472796999</v>
      </c>
      <c r="G35" s="108"/>
      <c r="H35" s="182">
        <v>5749.6541068897996</v>
      </c>
      <c r="I35" s="184">
        <v>3.9636810561</v>
      </c>
      <c r="J35" s="108"/>
      <c r="K35" s="184">
        <v>1045.0471294414001</v>
      </c>
      <c r="L35" s="184">
        <v>1.0703420198</v>
      </c>
      <c r="M35" s="108"/>
      <c r="N35" s="184">
        <v>1856.6615969103</v>
      </c>
      <c r="O35" s="184">
        <v>1.9633925585000001</v>
      </c>
      <c r="P35" s="108"/>
      <c r="Q35" s="184">
        <v>5411.9145963265</v>
      </c>
      <c r="R35" s="184">
        <v>4.0224947239000004</v>
      </c>
      <c r="S35" s="108"/>
      <c r="T35" s="184">
        <v>1247.4295284990999</v>
      </c>
      <c r="U35" s="184">
        <v>1.2168169178999999</v>
      </c>
      <c r="V35" s="108"/>
      <c r="W35" s="184">
        <v>691.60248698220005</v>
      </c>
      <c r="X35" s="184">
        <v>0.719464663</v>
      </c>
    </row>
    <row r="36" spans="1:24" s="51" customFormat="1" ht="12.95" customHeight="1" x14ac:dyDescent="0.2">
      <c r="B36" s="20" t="s">
        <v>31</v>
      </c>
      <c r="C36" s="50"/>
      <c r="D36" s="182">
        <v>7107.8169950766996</v>
      </c>
      <c r="E36" s="108"/>
      <c r="F36" s="184">
        <v>6661.2240834696004</v>
      </c>
      <c r="G36" s="108"/>
      <c r="H36" s="182">
        <v>5289.0453803337996</v>
      </c>
      <c r="I36" s="184">
        <v>4.9953020063000002</v>
      </c>
      <c r="J36" s="108"/>
      <c r="K36" s="184">
        <v>1425.9827401016</v>
      </c>
      <c r="L36" s="184">
        <v>1.5946317152</v>
      </c>
      <c r="M36" s="108"/>
      <c r="N36" s="184">
        <v>2246.7894701587002</v>
      </c>
      <c r="O36" s="184">
        <v>2.3796181348999998</v>
      </c>
      <c r="P36" s="108"/>
      <c r="Q36" s="184">
        <v>5527.0073446572997</v>
      </c>
      <c r="R36" s="184">
        <v>4.9295685405</v>
      </c>
      <c r="S36" s="108"/>
      <c r="T36" s="184">
        <v>1313.3999842083999</v>
      </c>
      <c r="U36" s="184">
        <v>1.4887795324999999</v>
      </c>
      <c r="V36" s="108"/>
      <c r="W36" s="184">
        <v>1105.7335125258001</v>
      </c>
      <c r="X36" s="184">
        <v>1.2495272857999999</v>
      </c>
    </row>
    <row r="37" spans="1:24" s="51" customFormat="1" ht="12.95" customHeight="1" x14ac:dyDescent="0.2">
      <c r="B37" s="20" t="s">
        <v>32</v>
      </c>
      <c r="C37" s="50"/>
      <c r="D37" s="182">
        <v>8895.7662908357997</v>
      </c>
      <c r="E37" s="108"/>
      <c r="F37" s="184">
        <v>8298.2956214117003</v>
      </c>
      <c r="G37" s="108"/>
      <c r="H37" s="182">
        <v>7230.82272474</v>
      </c>
      <c r="I37" s="184">
        <v>2.8773431515999999</v>
      </c>
      <c r="J37" s="108"/>
      <c r="K37" s="184">
        <v>2422.4659667371998</v>
      </c>
      <c r="L37" s="184">
        <v>1.4536523432999999</v>
      </c>
      <c r="M37" s="108"/>
      <c r="N37" s="184">
        <v>3355.2031106462</v>
      </c>
      <c r="O37" s="184">
        <v>1.9262707684</v>
      </c>
      <c r="P37" s="108"/>
      <c r="Q37" s="184">
        <v>5078.2772069506</v>
      </c>
      <c r="R37" s="184">
        <v>2.6603749109999999</v>
      </c>
      <c r="S37" s="108"/>
      <c r="T37" s="184">
        <v>1717.5333341295</v>
      </c>
      <c r="U37" s="184">
        <v>1.0257716855000001</v>
      </c>
      <c r="V37" s="108"/>
      <c r="W37" s="184">
        <v>886.96617748369999</v>
      </c>
      <c r="X37" s="184">
        <v>0.53863459960000004</v>
      </c>
    </row>
    <row r="38" spans="1:24" s="51" customFormat="1" ht="12.95" customHeight="1" x14ac:dyDescent="0.2">
      <c r="B38" s="20" t="s">
        <v>33</v>
      </c>
      <c r="C38" s="50"/>
      <c r="D38" s="182">
        <v>9556.0898406777997</v>
      </c>
      <c r="E38" s="108"/>
      <c r="F38" s="184">
        <v>9646.3270817452994</v>
      </c>
      <c r="G38" s="108"/>
      <c r="H38" s="182">
        <v>6241.7567274585999</v>
      </c>
      <c r="I38" s="184">
        <v>3.0540329731</v>
      </c>
      <c r="J38" s="108"/>
      <c r="K38" s="184">
        <v>1979.9454690806001</v>
      </c>
      <c r="L38" s="184">
        <v>1.2367245264</v>
      </c>
      <c r="M38" s="108"/>
      <c r="N38" s="184">
        <v>2834.4295081449</v>
      </c>
      <c r="O38" s="184">
        <v>1.7928278303</v>
      </c>
      <c r="P38" s="108"/>
      <c r="Q38" s="184">
        <v>6697.7800248659996</v>
      </c>
      <c r="R38" s="184">
        <v>3.1837107061999999</v>
      </c>
      <c r="S38" s="108"/>
      <c r="T38" s="184">
        <v>2798.8996498063002</v>
      </c>
      <c r="U38" s="184">
        <v>1.6515698781000001</v>
      </c>
      <c r="V38" s="108"/>
      <c r="W38" s="184">
        <v>1128.6926065143</v>
      </c>
      <c r="X38" s="184">
        <v>0.72614716170000004</v>
      </c>
    </row>
    <row r="39" spans="1:24" s="51" customFormat="1" ht="12.95" customHeight="1" x14ac:dyDescent="0.2">
      <c r="B39" s="20" t="s">
        <v>34</v>
      </c>
      <c r="C39" s="50"/>
      <c r="D39" s="182">
        <v>8470.1584359512999</v>
      </c>
      <c r="E39" s="108"/>
      <c r="F39" s="184">
        <v>8966.9851391147004</v>
      </c>
      <c r="G39" s="108"/>
      <c r="H39" s="182">
        <v>3611.4865020317998</v>
      </c>
      <c r="I39" s="184">
        <v>2.4499779961999999</v>
      </c>
      <c r="J39" s="108"/>
      <c r="K39" s="184">
        <v>953.76412178270004</v>
      </c>
      <c r="L39" s="184">
        <v>0.77593676609999995</v>
      </c>
      <c r="M39" s="108"/>
      <c r="N39" s="184">
        <v>3123.0542969802</v>
      </c>
      <c r="O39" s="184">
        <v>2.3287956509000001</v>
      </c>
      <c r="P39" s="108"/>
      <c r="Q39" s="184">
        <v>6719.3977617800001</v>
      </c>
      <c r="R39" s="184">
        <v>4.0275005173</v>
      </c>
      <c r="S39" s="108"/>
      <c r="T39" s="184">
        <v>3186.6346724631999</v>
      </c>
      <c r="U39" s="184">
        <v>2.3534067454000001</v>
      </c>
      <c r="V39" s="108"/>
      <c r="W39" s="184">
        <v>1114.7487921345</v>
      </c>
      <c r="X39" s="184">
        <v>0.88207498910000004</v>
      </c>
    </row>
    <row r="40" spans="1:24" s="51" customFormat="1" ht="12.95" customHeight="1" x14ac:dyDescent="0.2">
      <c r="B40" s="20" t="s">
        <v>35</v>
      </c>
      <c r="C40" s="50"/>
      <c r="D40" s="182">
        <v>9105.4887878983009</v>
      </c>
      <c r="E40" s="108"/>
      <c r="F40" s="184">
        <v>6433.3913837161999</v>
      </c>
      <c r="G40" s="108"/>
      <c r="H40" s="182">
        <v>7078.2286918426998</v>
      </c>
      <c r="I40" s="184">
        <v>3.9443941267999998</v>
      </c>
      <c r="J40" s="108"/>
      <c r="K40" s="184">
        <v>1350.4058649162</v>
      </c>
      <c r="L40" s="184">
        <v>1.1553824590999999</v>
      </c>
      <c r="M40" s="108"/>
      <c r="N40" s="184">
        <v>2506.2632989578001</v>
      </c>
      <c r="O40" s="184">
        <v>2.1197329638000002</v>
      </c>
      <c r="P40" s="108"/>
      <c r="Q40" s="184">
        <v>5287.3428373072002</v>
      </c>
      <c r="R40" s="184">
        <v>3.6798024366000002</v>
      </c>
      <c r="S40" s="108"/>
      <c r="T40" s="184">
        <v>1739.7746980572001</v>
      </c>
      <c r="U40" s="184">
        <v>1.5031420671</v>
      </c>
      <c r="V40" s="108"/>
      <c r="W40" s="184">
        <v>1143.3079200284999</v>
      </c>
      <c r="X40" s="184">
        <v>0.99276220429999995</v>
      </c>
    </row>
    <row r="41" spans="1:24" s="51" customFormat="1" ht="12.95" customHeight="1" x14ac:dyDescent="0.2">
      <c r="B41" s="20" t="s">
        <v>36</v>
      </c>
      <c r="C41" s="50"/>
      <c r="D41" s="182">
        <v>3852.4387560151999</v>
      </c>
      <c r="E41" s="108"/>
      <c r="F41" s="184">
        <v>4044.9146282585998</v>
      </c>
      <c r="G41" s="108"/>
      <c r="H41" s="182">
        <v>1479.8035727828999</v>
      </c>
      <c r="I41" s="184">
        <v>2.2826890078000002</v>
      </c>
      <c r="J41" s="108"/>
      <c r="K41" s="184">
        <v>824.41156761490004</v>
      </c>
      <c r="L41" s="184">
        <v>1.2549199905999999</v>
      </c>
      <c r="M41" s="108"/>
      <c r="N41" s="184">
        <v>873.49376164570003</v>
      </c>
      <c r="O41" s="184">
        <v>1.3610182176000001</v>
      </c>
      <c r="P41" s="108"/>
      <c r="Q41" s="184">
        <v>3904.2415802176001</v>
      </c>
      <c r="R41" s="184">
        <v>2.8290535863000001</v>
      </c>
      <c r="S41" s="108"/>
      <c r="T41" s="184">
        <v>1830.1344092273</v>
      </c>
      <c r="U41" s="184">
        <v>2.5842746957</v>
      </c>
      <c r="V41" s="108"/>
      <c r="W41" s="184">
        <v>0</v>
      </c>
      <c r="X41" s="184">
        <v>0</v>
      </c>
    </row>
    <row r="42" spans="1:24" s="51" customFormat="1" ht="12.95" customHeight="1" x14ac:dyDescent="0.2">
      <c r="B42" s="20" t="s">
        <v>37</v>
      </c>
      <c r="C42" s="50"/>
      <c r="D42" s="182">
        <v>22284.349223007699</v>
      </c>
      <c r="E42" s="108"/>
      <c r="F42" s="184">
        <v>18767.583451570401</v>
      </c>
      <c r="G42" s="108"/>
      <c r="H42" s="182">
        <v>10375.2765333923</v>
      </c>
      <c r="I42" s="184">
        <v>2.6444455216999998</v>
      </c>
      <c r="J42" s="108"/>
      <c r="K42" s="184">
        <v>3129.026206346</v>
      </c>
      <c r="L42" s="184">
        <v>0.92815677230000004</v>
      </c>
      <c r="M42" s="108"/>
      <c r="N42" s="184">
        <v>7524.0365022980004</v>
      </c>
      <c r="O42" s="184">
        <v>2.1857011334999998</v>
      </c>
      <c r="P42" s="108"/>
      <c r="Q42" s="184">
        <v>18637.771683591101</v>
      </c>
      <c r="R42" s="184">
        <v>3.3314258626000002</v>
      </c>
      <c r="S42" s="108"/>
      <c r="T42" s="184">
        <v>7874.2760299347001</v>
      </c>
      <c r="U42" s="184">
        <v>2.2093725885</v>
      </c>
      <c r="V42" s="108"/>
      <c r="W42" s="184">
        <v>1933.9154583382999</v>
      </c>
      <c r="X42" s="184">
        <v>0.58153410750000001</v>
      </c>
    </row>
    <row r="43" spans="1:24" s="51" customFormat="1" ht="12.95" customHeight="1" x14ac:dyDescent="0.2">
      <c r="B43" s="20" t="s">
        <v>38</v>
      </c>
      <c r="C43" s="50"/>
      <c r="D43" s="182">
        <v>7629.4287922794001</v>
      </c>
      <c r="E43" s="108"/>
      <c r="F43" s="184">
        <v>7044.5530292649</v>
      </c>
      <c r="G43" s="108"/>
      <c r="H43" s="182">
        <v>5122.3797600075004</v>
      </c>
      <c r="I43" s="184">
        <v>3.4346522935000001</v>
      </c>
      <c r="J43" s="108"/>
      <c r="K43" s="184">
        <v>1454.7596021336001</v>
      </c>
      <c r="L43" s="184">
        <v>1.2095667136999999</v>
      </c>
      <c r="M43" s="108"/>
      <c r="N43" s="184">
        <v>3347.0698610179002</v>
      </c>
      <c r="O43" s="184">
        <v>2.4261127565999998</v>
      </c>
      <c r="P43" s="108"/>
      <c r="Q43" s="184">
        <v>6395.9855825389996</v>
      </c>
      <c r="R43" s="184">
        <v>3.2507608278000002</v>
      </c>
      <c r="S43" s="108"/>
      <c r="T43" s="184">
        <v>1726.7275723173</v>
      </c>
      <c r="U43" s="184">
        <v>1.4461622502</v>
      </c>
      <c r="V43" s="108"/>
      <c r="W43" s="184">
        <v>874.15387661440002</v>
      </c>
      <c r="X43" s="184">
        <v>0.73244859640000004</v>
      </c>
    </row>
    <row r="44" spans="1:24" s="51" customFormat="1" ht="12.95" customHeight="1" x14ac:dyDescent="0.2">
      <c r="B44" s="20" t="s">
        <v>39</v>
      </c>
      <c r="C44" s="50"/>
      <c r="D44" s="182">
        <v>3805.8356889227998</v>
      </c>
      <c r="E44" s="108"/>
      <c r="F44" s="184">
        <v>3523.9014992817001</v>
      </c>
      <c r="G44" s="108"/>
      <c r="H44" s="182">
        <v>2053.0927499497002</v>
      </c>
      <c r="I44" s="184">
        <v>4.1532755492</v>
      </c>
      <c r="J44" s="108"/>
      <c r="K44" s="184">
        <v>889.64896479200002</v>
      </c>
      <c r="L44" s="184">
        <v>2.0426284916999999</v>
      </c>
      <c r="M44" s="108"/>
      <c r="N44" s="184">
        <v>1192.2613312822</v>
      </c>
      <c r="O44" s="184">
        <v>2.607771745</v>
      </c>
      <c r="P44" s="108"/>
      <c r="Q44" s="184">
        <v>3202.0710733128999</v>
      </c>
      <c r="R44" s="184">
        <v>4.2807053240000004</v>
      </c>
      <c r="S44" s="108"/>
      <c r="T44" s="184">
        <v>778.69784469540002</v>
      </c>
      <c r="U44" s="184">
        <v>1.8288853393</v>
      </c>
      <c r="V44" s="108"/>
      <c r="W44" s="184">
        <v>294.10882339710002</v>
      </c>
      <c r="X44" s="184">
        <v>0.71355729850000005</v>
      </c>
    </row>
    <row r="45" spans="1:24" s="28" customFormat="1" ht="6" customHeight="1" x14ac:dyDescent="0.2">
      <c r="A45" s="178"/>
      <c r="B45" s="21"/>
      <c r="C45" s="30"/>
      <c r="D45" s="110"/>
      <c r="E45" s="111"/>
      <c r="F45" s="111"/>
      <c r="G45" s="111"/>
      <c r="H45" s="110"/>
      <c r="I45" s="170"/>
      <c r="J45" s="171"/>
      <c r="K45" s="172"/>
      <c r="L45" s="170"/>
      <c r="M45" s="172"/>
      <c r="N45" s="171"/>
      <c r="O45" s="170"/>
      <c r="P45" s="171"/>
      <c r="Q45" s="171"/>
      <c r="R45" s="170"/>
      <c r="S45" s="171"/>
      <c r="T45" s="171"/>
      <c r="U45" s="170"/>
      <c r="V45" s="171"/>
      <c r="W45" s="171"/>
      <c r="X45" s="170"/>
    </row>
    <row r="46" spans="1:24" s="28" customFormat="1" ht="6" customHeight="1" x14ac:dyDescent="0.25">
      <c r="A46" s="178"/>
      <c r="C46" s="51"/>
      <c r="D46" s="169"/>
      <c r="E46" s="169"/>
      <c r="F46" s="169"/>
      <c r="G46" s="169"/>
      <c r="H46" s="169"/>
      <c r="I46" s="168"/>
      <c r="Q46" s="31"/>
      <c r="R46" s="31"/>
      <c r="S46" s="31"/>
      <c r="T46" s="31"/>
      <c r="U46" s="31"/>
    </row>
    <row r="47" spans="1:24" s="180" customFormat="1" ht="11.25" x14ac:dyDescent="0.2">
      <c r="A47" s="179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</row>
    <row r="48" spans="1:24" s="28" customFormat="1" ht="14.25" customHeight="1" x14ac:dyDescent="0.25">
      <c r="A48" s="178"/>
      <c r="B48" s="51" t="s">
        <v>101</v>
      </c>
      <c r="C48" s="51"/>
      <c r="D48" s="169"/>
      <c r="E48" s="169"/>
      <c r="F48" s="169"/>
      <c r="G48" s="169"/>
      <c r="H48" s="169"/>
      <c r="I48" s="168"/>
      <c r="Q48" s="31"/>
      <c r="R48" s="31"/>
      <c r="S48" s="31"/>
      <c r="T48" s="31"/>
      <c r="U48" s="31"/>
    </row>
    <row r="49" spans="1:21" s="28" customFormat="1" ht="15" x14ac:dyDescent="0.25">
      <c r="A49" s="178"/>
      <c r="B49" s="51" t="s">
        <v>100</v>
      </c>
      <c r="C49" s="51"/>
      <c r="D49" s="169"/>
      <c r="E49" s="169"/>
      <c r="F49" s="169"/>
      <c r="G49" s="169"/>
      <c r="H49" s="169"/>
      <c r="I49" s="168"/>
      <c r="Q49" s="31"/>
      <c r="R49" s="31"/>
      <c r="S49" s="31"/>
      <c r="T49" s="31"/>
      <c r="U49" s="31"/>
    </row>
    <row r="50" spans="1:21" s="28" customFormat="1" ht="15" x14ac:dyDescent="0.25">
      <c r="A50" s="178"/>
      <c r="B50" s="51" t="s">
        <v>111</v>
      </c>
      <c r="C50" s="51"/>
      <c r="D50" s="169"/>
      <c r="E50" s="169"/>
      <c r="F50" s="169"/>
      <c r="G50" s="169"/>
      <c r="H50" s="169"/>
      <c r="I50" s="168"/>
      <c r="Q50" s="31"/>
      <c r="R50" s="31"/>
      <c r="S50" s="31"/>
      <c r="T50" s="31"/>
      <c r="U50" s="31"/>
    </row>
    <row r="51" spans="1:21" s="101" customFormat="1" ht="14.25" x14ac:dyDescent="0.2">
      <c r="B51" s="102" t="s">
        <v>75</v>
      </c>
      <c r="F51" s="119"/>
    </row>
  </sheetData>
  <mergeCells count="12">
    <mergeCell ref="T8:U8"/>
    <mergeCell ref="W8:X8"/>
    <mergeCell ref="B5:U5"/>
    <mergeCell ref="B6:I6"/>
    <mergeCell ref="B7:C9"/>
    <mergeCell ref="D7:D9"/>
    <mergeCell ref="F7:F9"/>
    <mergeCell ref="H7:X7"/>
    <mergeCell ref="H8:I8"/>
    <mergeCell ref="K8:L8"/>
    <mergeCell ref="N8:O8"/>
    <mergeCell ref="Q8:R8"/>
  </mergeCells>
  <hyperlinks>
    <hyperlink ref="X1" location="Índice!A1" tooltip="Ir a ÍNDICE" display="INDICE" xr:uid="{982BEEA3-BA2B-4E42-8803-F234CEE91E66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C947-7530-48AF-8F82-CFE57A730E0E}">
  <sheetPr>
    <pageSetUpPr fitToPage="1"/>
  </sheetPr>
  <dimension ref="A1:AJ56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4.8554687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1.28515625" style="1" customWidth="1" collapsed="1"/>
    <col min="10" max="10" width="1.7109375" style="1" customWidth="1" collapsed="1"/>
    <col min="11" max="11" width="11.28515625" style="1" customWidth="1" collapsed="1"/>
    <col min="12" max="12" width="11.42578125" style="1" customWidth="1" collapsed="1"/>
    <col min="13" max="13" width="1.7109375" style="2" customWidth="1"/>
    <col min="14" max="15" width="11.42578125" style="2"/>
    <col min="16" max="16" width="1.7109375" style="2" customWidth="1"/>
    <col min="17" max="18" width="11.42578125" style="2"/>
    <col min="19" max="19" width="1.7109375" style="2" customWidth="1"/>
    <col min="20" max="36" width="11.42578125" style="1"/>
    <col min="37" max="16384" width="11.42578125" style="1" collapsed="1"/>
  </cols>
  <sheetData>
    <row r="1" spans="2:21" s="68" customFormat="1" x14ac:dyDescent="0.2">
      <c r="B1" s="210" t="s">
        <v>129</v>
      </c>
      <c r="M1" s="70"/>
      <c r="N1" s="70"/>
      <c r="O1" s="70"/>
      <c r="P1" s="70"/>
      <c r="Q1" s="70"/>
      <c r="R1" s="70"/>
      <c r="S1" s="70"/>
      <c r="U1" s="80" t="s">
        <v>74</v>
      </c>
    </row>
    <row r="2" spans="2:21" s="68" customFormat="1" ht="6.95" customHeight="1" x14ac:dyDescent="0.25">
      <c r="B2" s="210"/>
      <c r="M2" s="70"/>
      <c r="N2" s="70"/>
      <c r="O2" s="70"/>
      <c r="P2" s="70"/>
      <c r="Q2" s="70"/>
      <c r="R2" s="70"/>
      <c r="S2" s="70"/>
    </row>
    <row r="3" spans="2:21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  <c r="R3" s="70"/>
      <c r="S3" s="70"/>
    </row>
    <row r="4" spans="2:21" s="68" customFormat="1" ht="6.95" customHeight="1" x14ac:dyDescent="0.25">
      <c r="C4" s="71"/>
      <c r="M4" s="70"/>
      <c r="N4" s="70"/>
      <c r="O4" s="70"/>
      <c r="P4" s="70"/>
      <c r="Q4" s="70"/>
      <c r="R4" s="70"/>
      <c r="S4" s="70"/>
    </row>
    <row r="5" spans="2:21" s="68" customFormat="1" ht="25.5" customHeight="1" x14ac:dyDescent="0.2">
      <c r="B5" s="242" t="s">
        <v>118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174"/>
      <c r="T5" s="174"/>
      <c r="U5" s="79" t="s">
        <v>60</v>
      </c>
    </row>
    <row r="6" spans="2:21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28"/>
      <c r="R6" s="28"/>
      <c r="S6" s="28"/>
      <c r="T6" s="31"/>
      <c r="U6" s="31"/>
    </row>
    <row r="7" spans="2:21" ht="27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</row>
    <row r="8" spans="2:21" ht="34.5" customHeight="1" x14ac:dyDescent="0.25">
      <c r="B8" s="246"/>
      <c r="C8" s="246"/>
      <c r="D8" s="268"/>
      <c r="E8" s="34"/>
      <c r="F8" s="249"/>
      <c r="G8" s="34"/>
      <c r="H8" s="252" t="s">
        <v>116</v>
      </c>
      <c r="I8" s="252"/>
      <c r="J8" s="36"/>
      <c r="K8" s="232" t="s">
        <v>115</v>
      </c>
      <c r="L8" s="232"/>
      <c r="M8" s="37"/>
      <c r="N8" s="232" t="s">
        <v>114</v>
      </c>
      <c r="O8" s="232"/>
      <c r="P8" s="37"/>
      <c r="Q8" s="232" t="s">
        <v>113</v>
      </c>
      <c r="R8" s="232"/>
      <c r="S8" s="37"/>
      <c r="T8" s="232" t="s">
        <v>43</v>
      </c>
      <c r="U8" s="232"/>
    </row>
    <row r="9" spans="2:21" ht="21.75" customHeight="1" x14ac:dyDescent="0.25"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29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</row>
    <row r="10" spans="2:21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05"/>
      <c r="R10" s="86"/>
      <c r="S10" s="105"/>
      <c r="T10" s="117"/>
      <c r="U10" s="86"/>
    </row>
    <row r="11" spans="2:21" s="88" customFormat="1" ht="12.95" customHeight="1" x14ac:dyDescent="0.2">
      <c r="B11" s="40" t="s">
        <v>7</v>
      </c>
      <c r="C11" s="92"/>
      <c r="D11" s="202">
        <v>84443.525248358404</v>
      </c>
      <c r="E11" s="203"/>
      <c r="F11" s="202">
        <v>81126.067866869795</v>
      </c>
      <c r="G11" s="203"/>
      <c r="H11" s="202">
        <v>50607.305596413797</v>
      </c>
      <c r="I11" s="202">
        <v>0.82255375399999997</v>
      </c>
      <c r="J11" s="203"/>
      <c r="K11" s="202">
        <v>42278.999590985499</v>
      </c>
      <c r="L11" s="202">
        <v>0.70376905960000002</v>
      </c>
      <c r="M11" s="203"/>
      <c r="N11" s="202">
        <v>41463.766789483503</v>
      </c>
      <c r="O11" s="202">
        <v>0.72406175969999997</v>
      </c>
      <c r="P11" s="203"/>
      <c r="Q11" s="202">
        <v>32365.010533202902</v>
      </c>
      <c r="R11" s="202">
        <v>0.593807325</v>
      </c>
      <c r="S11" s="203"/>
      <c r="T11" s="202">
        <v>31847.546266690399</v>
      </c>
      <c r="U11" s="202">
        <v>0.59907143709999999</v>
      </c>
    </row>
    <row r="12" spans="2:21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  <c r="P12" s="199"/>
      <c r="Q12" s="199"/>
      <c r="R12" s="201"/>
      <c r="S12" s="199"/>
      <c r="T12" s="199"/>
      <c r="U12" s="201"/>
    </row>
    <row r="13" spans="2:21" s="3" customFormat="1" ht="12.95" customHeight="1" x14ac:dyDescent="0.2">
      <c r="B13" s="20" t="s">
        <v>8</v>
      </c>
      <c r="C13" s="50"/>
      <c r="D13" s="198">
        <v>3617.1755595834002</v>
      </c>
      <c r="E13" s="199"/>
      <c r="F13" s="198">
        <v>3131.9194433173002</v>
      </c>
      <c r="G13" s="199"/>
      <c r="H13" s="198">
        <v>827.96153322789996</v>
      </c>
      <c r="I13" s="198">
        <v>1.8623128595</v>
      </c>
      <c r="J13" s="199"/>
      <c r="K13" s="198">
        <v>1689.2322079547</v>
      </c>
      <c r="L13" s="198">
        <v>3.5199864846</v>
      </c>
      <c r="M13" s="199"/>
      <c r="N13" s="198">
        <v>2619.3312315909002</v>
      </c>
      <c r="O13" s="198">
        <v>4.2929273684</v>
      </c>
      <c r="P13" s="199"/>
      <c r="Q13" s="198">
        <v>1579.5144204835999</v>
      </c>
      <c r="R13" s="198">
        <v>3.1749664745000001</v>
      </c>
      <c r="S13" s="199"/>
      <c r="T13" s="198">
        <v>1260.0442037288001</v>
      </c>
      <c r="U13" s="198">
        <v>2.6947630188999998</v>
      </c>
    </row>
    <row r="14" spans="2:21" s="3" customFormat="1" ht="12.95" customHeight="1" x14ac:dyDescent="0.2">
      <c r="B14" s="20" t="s">
        <v>9</v>
      </c>
      <c r="C14" s="50"/>
      <c r="D14" s="198">
        <v>15695.5069240864</v>
      </c>
      <c r="E14" s="199"/>
      <c r="F14" s="198">
        <v>15000.7062353526</v>
      </c>
      <c r="G14" s="199"/>
      <c r="H14" s="198">
        <v>5235.0232190811003</v>
      </c>
      <c r="I14" s="198">
        <v>2.4817449496999999</v>
      </c>
      <c r="J14" s="199"/>
      <c r="K14" s="198">
        <v>12100.1688882251</v>
      </c>
      <c r="L14" s="198">
        <v>4.3322602888999997</v>
      </c>
      <c r="M14" s="199"/>
      <c r="N14" s="198">
        <v>7913.0548754704996</v>
      </c>
      <c r="O14" s="198">
        <v>3.1479156326000002</v>
      </c>
      <c r="P14" s="199"/>
      <c r="Q14" s="198">
        <v>5404.9071249399003</v>
      </c>
      <c r="R14" s="198">
        <v>2.6772952453999999</v>
      </c>
      <c r="S14" s="199"/>
      <c r="T14" s="198">
        <v>3158.6849626416001</v>
      </c>
      <c r="U14" s="198">
        <v>1.5476058342000001</v>
      </c>
    </row>
    <row r="15" spans="2:21" s="3" customFormat="1" ht="12.95" customHeight="1" x14ac:dyDescent="0.2">
      <c r="B15" s="20" t="s">
        <v>10</v>
      </c>
      <c r="C15" s="50"/>
      <c r="D15" s="200">
        <v>4062.8935860587999</v>
      </c>
      <c r="E15" s="199"/>
      <c r="F15" s="198">
        <v>5606.3814389700001</v>
      </c>
      <c r="G15" s="199"/>
      <c r="H15" s="200">
        <v>1345.1338356237</v>
      </c>
      <c r="I15" s="198">
        <v>3.5400536308000001</v>
      </c>
      <c r="J15" s="199"/>
      <c r="K15" s="200">
        <v>5412.1847679158</v>
      </c>
      <c r="L15" s="198">
        <v>11.5461711978</v>
      </c>
      <c r="M15" s="199"/>
      <c r="N15" s="198">
        <v>1966.8265765466001</v>
      </c>
      <c r="O15" s="198">
        <v>4.8589784775</v>
      </c>
      <c r="P15" s="199"/>
      <c r="Q15" s="198">
        <v>1061.9028632172999</v>
      </c>
      <c r="R15" s="198">
        <v>2.998325935</v>
      </c>
      <c r="S15" s="199"/>
      <c r="T15" s="198">
        <v>683.66480978569996</v>
      </c>
      <c r="U15" s="198">
        <v>1.8462210572</v>
      </c>
    </row>
    <row r="16" spans="2:21" s="3" customFormat="1" ht="12.95" customHeight="1" x14ac:dyDescent="0.2">
      <c r="B16" s="20" t="s">
        <v>11</v>
      </c>
      <c r="C16" s="50"/>
      <c r="D16" s="200">
        <v>3484.4736853872</v>
      </c>
      <c r="E16" s="199"/>
      <c r="F16" s="198">
        <v>3453.6488470500999</v>
      </c>
      <c r="G16" s="199"/>
      <c r="H16" s="200">
        <v>2435.5143957569999</v>
      </c>
      <c r="I16" s="198">
        <v>3.4386206824999999</v>
      </c>
      <c r="J16" s="199"/>
      <c r="K16" s="200">
        <v>1131.4766075871</v>
      </c>
      <c r="L16" s="198">
        <v>2.3169716263</v>
      </c>
      <c r="M16" s="199"/>
      <c r="N16" s="198">
        <v>1141.6906786244999</v>
      </c>
      <c r="O16" s="198">
        <v>2.2053373223000001</v>
      </c>
      <c r="P16" s="199"/>
      <c r="Q16" s="198">
        <v>648.46190589449998</v>
      </c>
      <c r="R16" s="198">
        <v>1.4408044214</v>
      </c>
      <c r="S16" s="199"/>
      <c r="T16" s="198">
        <v>1575.7981232341001</v>
      </c>
      <c r="U16" s="198">
        <v>3.1636325556</v>
      </c>
    </row>
    <row r="17" spans="2:21" s="3" customFormat="1" ht="12.95" customHeight="1" x14ac:dyDescent="0.2">
      <c r="B17" s="20" t="s">
        <v>12</v>
      </c>
      <c r="C17" s="50"/>
      <c r="D17" s="200">
        <v>8694.1885038845994</v>
      </c>
      <c r="E17" s="199"/>
      <c r="F17" s="198">
        <v>7052.6045587361004</v>
      </c>
      <c r="G17" s="199"/>
      <c r="H17" s="200">
        <v>2294.6502638382999</v>
      </c>
      <c r="I17" s="198">
        <v>1.7867331582999999</v>
      </c>
      <c r="J17" s="199"/>
      <c r="K17" s="200">
        <v>4822.2538775705998</v>
      </c>
      <c r="L17" s="198">
        <v>3.3780781117999998</v>
      </c>
      <c r="M17" s="199"/>
      <c r="N17" s="198">
        <v>5620.7945318490001</v>
      </c>
      <c r="O17" s="198">
        <v>3.8934251093999999</v>
      </c>
      <c r="P17" s="199"/>
      <c r="Q17" s="198">
        <v>3828.4352109406</v>
      </c>
      <c r="R17" s="198">
        <v>3.0146086670000001</v>
      </c>
      <c r="S17" s="199"/>
      <c r="T17" s="198">
        <v>2735.9975024354999</v>
      </c>
      <c r="U17" s="198">
        <v>2.2443209776000002</v>
      </c>
    </row>
    <row r="18" spans="2:21" s="3" customFormat="1" ht="12.95" customHeight="1" x14ac:dyDescent="0.2">
      <c r="B18" s="20" t="s">
        <v>13</v>
      </c>
      <c r="C18" s="50"/>
      <c r="D18" s="200">
        <v>2081.9268011078002</v>
      </c>
      <c r="E18" s="199"/>
      <c r="F18" s="198">
        <v>1775.7040174171</v>
      </c>
      <c r="G18" s="199"/>
      <c r="H18" s="200">
        <v>721.86221918870001</v>
      </c>
      <c r="I18" s="198">
        <v>2.7185047655000001</v>
      </c>
      <c r="J18" s="199"/>
      <c r="K18" s="200">
        <v>999.25805607270001</v>
      </c>
      <c r="L18" s="198">
        <v>3.5592859012</v>
      </c>
      <c r="M18" s="199"/>
      <c r="N18" s="198">
        <v>1577.4669192224001</v>
      </c>
      <c r="O18" s="198">
        <v>4.3500631552</v>
      </c>
      <c r="P18" s="199"/>
      <c r="Q18" s="198">
        <v>670.23977666589997</v>
      </c>
      <c r="R18" s="198">
        <v>2.5031275490999998</v>
      </c>
      <c r="S18" s="199"/>
      <c r="T18" s="198">
        <v>515.69883839229999</v>
      </c>
      <c r="U18" s="198">
        <v>1.9977020115999999</v>
      </c>
    </row>
    <row r="19" spans="2:21" s="3" customFormat="1" ht="12.95" customHeight="1" x14ac:dyDescent="0.2">
      <c r="B19" s="20" t="s">
        <v>14</v>
      </c>
      <c r="C19" s="50"/>
      <c r="D19" s="200">
        <v>18436.0163107894</v>
      </c>
      <c r="E19" s="199"/>
      <c r="F19" s="198">
        <v>19184.571645569999</v>
      </c>
      <c r="G19" s="199"/>
      <c r="H19" s="200">
        <v>15570.1819419561</v>
      </c>
      <c r="I19" s="198">
        <v>3.3480345484999998</v>
      </c>
      <c r="J19" s="199"/>
      <c r="K19" s="200">
        <v>6960.5090187164997</v>
      </c>
      <c r="L19" s="198">
        <v>2.4111408480000001</v>
      </c>
      <c r="M19" s="199"/>
      <c r="N19" s="198">
        <v>3901.3824052243999</v>
      </c>
      <c r="O19" s="198">
        <v>1.5060488369</v>
      </c>
      <c r="P19" s="199"/>
      <c r="Q19" s="198">
        <v>3754.1125141943999</v>
      </c>
      <c r="R19" s="198">
        <v>1.4622195164</v>
      </c>
      <c r="S19" s="199"/>
      <c r="T19" s="198">
        <v>4351.632939307</v>
      </c>
      <c r="U19" s="198">
        <v>1.5925987725999999</v>
      </c>
    </row>
    <row r="20" spans="2:21" s="4" customFormat="1" ht="12.95" customHeight="1" x14ac:dyDescent="0.2">
      <c r="B20" s="20" t="s">
        <v>15</v>
      </c>
      <c r="C20" s="50"/>
      <c r="D20" s="200">
        <v>8828.3603923203991</v>
      </c>
      <c r="E20" s="199"/>
      <c r="F20" s="198">
        <v>7007.9799433014005</v>
      </c>
      <c r="G20" s="199"/>
      <c r="H20" s="200">
        <v>3398.1441134392999</v>
      </c>
      <c r="I20" s="198">
        <v>2.6241515367999999</v>
      </c>
      <c r="J20" s="199"/>
      <c r="K20" s="200">
        <v>5815.7870033660001</v>
      </c>
      <c r="L20" s="198">
        <v>3.9447831016000001</v>
      </c>
      <c r="M20" s="199"/>
      <c r="N20" s="198">
        <v>5441.1588419625996</v>
      </c>
      <c r="O20" s="198">
        <v>3.7648421620999999</v>
      </c>
      <c r="P20" s="199"/>
      <c r="Q20" s="198">
        <v>3907.9230311239999</v>
      </c>
      <c r="R20" s="198">
        <v>2.8924140147999999</v>
      </c>
      <c r="S20" s="199"/>
      <c r="T20" s="198">
        <v>3152.0163263859999</v>
      </c>
      <c r="U20" s="198">
        <v>2.4312227722999999</v>
      </c>
    </row>
    <row r="21" spans="2:21" s="4" customFormat="1" ht="12.95" customHeight="1" x14ac:dyDescent="0.2">
      <c r="B21" s="20" t="s">
        <v>16</v>
      </c>
      <c r="C21" s="50"/>
      <c r="D21" s="200">
        <v>34488.662615048197</v>
      </c>
      <c r="E21" s="199"/>
      <c r="F21" s="198">
        <v>29044.413072564701</v>
      </c>
      <c r="G21" s="199"/>
      <c r="H21" s="200">
        <v>11650.1390915638</v>
      </c>
      <c r="I21" s="198">
        <v>1.9918029388</v>
      </c>
      <c r="J21" s="199"/>
      <c r="K21" s="200">
        <v>14618.531933913</v>
      </c>
      <c r="L21" s="198">
        <v>2.2350256448999999</v>
      </c>
      <c r="M21" s="199"/>
      <c r="N21" s="198">
        <v>16515.801856350201</v>
      </c>
      <c r="O21" s="198">
        <v>2.5947088925999999</v>
      </c>
      <c r="P21" s="199"/>
      <c r="Q21" s="198">
        <v>20659.485902300799</v>
      </c>
      <c r="R21" s="198">
        <v>2.8956871892999998</v>
      </c>
      <c r="S21" s="199"/>
      <c r="T21" s="198">
        <v>16119.3042549813</v>
      </c>
      <c r="U21" s="198">
        <v>2.5402417427000001</v>
      </c>
    </row>
    <row r="22" spans="2:21" s="4" customFormat="1" ht="12.95" customHeight="1" x14ac:dyDescent="0.2">
      <c r="B22" s="20" t="s">
        <v>17</v>
      </c>
      <c r="C22" s="50"/>
      <c r="D22" s="200">
        <v>4679.9806813340001</v>
      </c>
      <c r="E22" s="199"/>
      <c r="F22" s="198">
        <v>3965.4409854689002</v>
      </c>
      <c r="G22" s="199"/>
      <c r="H22" s="200">
        <v>2898.1805810536998</v>
      </c>
      <c r="I22" s="198">
        <v>3.8198319909</v>
      </c>
      <c r="J22" s="199"/>
      <c r="K22" s="200">
        <v>1878.0914846452999</v>
      </c>
      <c r="L22" s="198">
        <v>2.6700270471000001</v>
      </c>
      <c r="M22" s="199"/>
      <c r="N22" s="198">
        <v>2644.7520246751001</v>
      </c>
      <c r="O22" s="198">
        <v>3.3329184939999998</v>
      </c>
      <c r="P22" s="199"/>
      <c r="Q22" s="198">
        <v>1782.6990099940999</v>
      </c>
      <c r="R22" s="198">
        <v>2.5060767151999999</v>
      </c>
      <c r="S22" s="199"/>
      <c r="T22" s="198">
        <v>1808.0196193659999</v>
      </c>
      <c r="U22" s="198">
        <v>2.5034228261</v>
      </c>
    </row>
    <row r="23" spans="2:21" s="4" customFormat="1" ht="12.95" customHeight="1" x14ac:dyDescent="0.2">
      <c r="B23" s="20" t="s">
        <v>18</v>
      </c>
      <c r="C23" s="50"/>
      <c r="D23" s="200">
        <v>14601.8585597127</v>
      </c>
      <c r="E23" s="199"/>
      <c r="F23" s="198">
        <v>14122.8288703454</v>
      </c>
      <c r="G23" s="199"/>
      <c r="H23" s="200">
        <v>8355.6368932559999</v>
      </c>
      <c r="I23" s="198">
        <v>3.3411295301999999</v>
      </c>
      <c r="J23" s="199"/>
      <c r="K23" s="200">
        <v>7818.8971401858998</v>
      </c>
      <c r="L23" s="198">
        <v>3.1411462094</v>
      </c>
      <c r="M23" s="199"/>
      <c r="N23" s="198">
        <v>9306.2710245533999</v>
      </c>
      <c r="O23" s="198">
        <v>3.5714426095</v>
      </c>
      <c r="P23" s="199"/>
      <c r="Q23" s="198">
        <v>4594.8049159552002</v>
      </c>
      <c r="R23" s="198">
        <v>2.0366763686999998</v>
      </c>
      <c r="S23" s="199"/>
      <c r="T23" s="198">
        <v>6962.1245018038999</v>
      </c>
      <c r="U23" s="198">
        <v>3.0386561261999998</v>
      </c>
    </row>
    <row r="24" spans="2:21" s="4" customFormat="1" ht="12.95" customHeight="1" x14ac:dyDescent="0.2">
      <c r="B24" s="20" t="s">
        <v>19</v>
      </c>
      <c r="C24" s="50"/>
      <c r="D24" s="200">
        <v>12368.2263410294</v>
      </c>
      <c r="E24" s="199"/>
      <c r="F24" s="198">
        <v>12186.087902819099</v>
      </c>
      <c r="G24" s="199"/>
      <c r="H24" s="200">
        <v>11016.501985667301</v>
      </c>
      <c r="I24" s="198">
        <v>3.1636699745999999</v>
      </c>
      <c r="J24" s="199"/>
      <c r="K24" s="200">
        <v>5054.2763657012001</v>
      </c>
      <c r="L24" s="198">
        <v>2.5735705286999999</v>
      </c>
      <c r="M24" s="199"/>
      <c r="N24" s="198">
        <v>3289.0773862525998</v>
      </c>
      <c r="O24" s="198">
        <v>1.6510923264999999</v>
      </c>
      <c r="P24" s="199"/>
      <c r="Q24" s="198">
        <v>1216.7136661740001</v>
      </c>
      <c r="R24" s="198">
        <v>0.63338834919999998</v>
      </c>
      <c r="S24" s="199"/>
      <c r="T24" s="198">
        <v>3512.677159203</v>
      </c>
      <c r="U24" s="198">
        <v>1.7911455074</v>
      </c>
    </row>
    <row r="25" spans="2:21" s="4" customFormat="1" ht="12.95" customHeight="1" x14ac:dyDescent="0.2">
      <c r="B25" s="20" t="s">
        <v>20</v>
      </c>
      <c r="C25" s="50"/>
      <c r="D25" s="200">
        <v>7542.8284692887</v>
      </c>
      <c r="E25" s="199"/>
      <c r="F25" s="198">
        <v>7156.6536089828996</v>
      </c>
      <c r="G25" s="199"/>
      <c r="H25" s="200">
        <v>6554.7012747548997</v>
      </c>
      <c r="I25" s="198">
        <v>4.3309069946000003</v>
      </c>
      <c r="J25" s="199"/>
      <c r="K25" s="200">
        <v>2793.3145350070999</v>
      </c>
      <c r="L25" s="198">
        <v>2.8041678123999998</v>
      </c>
      <c r="M25" s="199"/>
      <c r="N25" s="198">
        <v>3314.3397875210999</v>
      </c>
      <c r="O25" s="198">
        <v>3.6369814179</v>
      </c>
      <c r="P25" s="199"/>
      <c r="Q25" s="198">
        <v>1940.0432075236999</v>
      </c>
      <c r="R25" s="198">
        <v>2.1926947847</v>
      </c>
      <c r="S25" s="199"/>
      <c r="T25" s="198">
        <v>1474.7373295528</v>
      </c>
      <c r="U25" s="198">
        <v>1.6523553794000001</v>
      </c>
    </row>
    <row r="26" spans="2:21" s="4" customFormat="1" ht="12.95" customHeight="1" x14ac:dyDescent="0.2">
      <c r="B26" s="20" t="s">
        <v>21</v>
      </c>
      <c r="C26" s="50"/>
      <c r="D26" s="200">
        <v>21259.2299022878</v>
      </c>
      <c r="E26" s="199"/>
      <c r="F26" s="198">
        <v>18576.652302216102</v>
      </c>
      <c r="G26" s="199"/>
      <c r="H26" s="200">
        <v>8766.1230606173995</v>
      </c>
      <c r="I26" s="198">
        <v>2.8298565593</v>
      </c>
      <c r="J26" s="199"/>
      <c r="K26" s="200">
        <v>11905.892223603199</v>
      </c>
      <c r="L26" s="198">
        <v>3.369939445</v>
      </c>
      <c r="M26" s="199"/>
      <c r="N26" s="198">
        <v>12438.328053945001</v>
      </c>
      <c r="O26" s="198">
        <v>3.6888519675999998</v>
      </c>
      <c r="P26" s="199"/>
      <c r="Q26" s="198">
        <v>12157.9896373233</v>
      </c>
      <c r="R26" s="198">
        <v>3.9762708604000001</v>
      </c>
      <c r="S26" s="199"/>
      <c r="T26" s="198">
        <v>5401.2620667816</v>
      </c>
      <c r="U26" s="198">
        <v>1.8460043899</v>
      </c>
    </row>
    <row r="27" spans="2:21" s="4" customFormat="1" ht="12.95" customHeight="1" x14ac:dyDescent="0.2">
      <c r="B27" s="20" t="s">
        <v>22</v>
      </c>
      <c r="C27" s="50"/>
      <c r="D27" s="200">
        <v>44850.375029582399</v>
      </c>
      <c r="E27" s="199"/>
      <c r="F27" s="198">
        <v>47338.930571191799</v>
      </c>
      <c r="G27" s="199"/>
      <c r="H27" s="200">
        <v>28850.621326483801</v>
      </c>
      <c r="I27" s="198">
        <v>4.0235160286999996</v>
      </c>
      <c r="J27" s="199"/>
      <c r="K27" s="200">
        <v>22928.8122659254</v>
      </c>
      <c r="L27" s="198">
        <v>3.5129500055</v>
      </c>
      <c r="M27" s="199"/>
      <c r="N27" s="198">
        <v>21263.5380238871</v>
      </c>
      <c r="O27" s="198">
        <v>3.5306016072999999</v>
      </c>
      <c r="P27" s="199"/>
      <c r="Q27" s="198">
        <v>13887.9027348829</v>
      </c>
      <c r="R27" s="198">
        <v>2.4075484828999998</v>
      </c>
      <c r="S27" s="199"/>
      <c r="T27" s="198">
        <v>21732.931599584899</v>
      </c>
      <c r="U27" s="198">
        <v>3.7739743915999999</v>
      </c>
    </row>
    <row r="28" spans="2:21" s="4" customFormat="1" ht="12.95" customHeight="1" x14ac:dyDescent="0.2">
      <c r="B28" s="20" t="s">
        <v>23</v>
      </c>
      <c r="C28" s="50"/>
      <c r="D28" s="200">
        <v>14512.344610546301</v>
      </c>
      <c r="E28" s="199"/>
      <c r="F28" s="198">
        <v>13835.168832843199</v>
      </c>
      <c r="G28" s="199"/>
      <c r="H28" s="200">
        <v>5726.9186984213002</v>
      </c>
      <c r="I28" s="198">
        <v>3.183776645</v>
      </c>
      <c r="J28" s="199"/>
      <c r="K28" s="200">
        <v>6961.8948678123998</v>
      </c>
      <c r="L28" s="198">
        <v>2.9845832249000002</v>
      </c>
      <c r="M28" s="199"/>
      <c r="N28" s="198">
        <v>6261.2171085271002</v>
      </c>
      <c r="O28" s="198">
        <v>3.1186653838999998</v>
      </c>
      <c r="P28" s="199"/>
      <c r="Q28" s="198">
        <v>4338.1478742853997</v>
      </c>
      <c r="R28" s="198">
        <v>2.2702586028999998</v>
      </c>
      <c r="S28" s="199"/>
      <c r="T28" s="198">
        <v>3946.1625895965999</v>
      </c>
      <c r="U28" s="198">
        <v>2.5454755178999999</v>
      </c>
    </row>
    <row r="29" spans="2:21" s="4" customFormat="1" ht="12.95" customHeight="1" x14ac:dyDescent="0.2">
      <c r="B29" s="20" t="s">
        <v>24</v>
      </c>
      <c r="C29" s="50"/>
      <c r="D29" s="200">
        <v>4896.2477388204998</v>
      </c>
      <c r="E29" s="199"/>
      <c r="F29" s="198">
        <v>4901.2701803191003</v>
      </c>
      <c r="G29" s="199"/>
      <c r="H29" s="200">
        <v>3546.5002690228998</v>
      </c>
      <c r="I29" s="198">
        <v>3.8716174740999998</v>
      </c>
      <c r="J29" s="199"/>
      <c r="K29" s="200">
        <v>2293.3261667726001</v>
      </c>
      <c r="L29" s="198">
        <v>2.8356343828999999</v>
      </c>
      <c r="M29" s="199"/>
      <c r="N29" s="198">
        <v>2048.5083929553998</v>
      </c>
      <c r="O29" s="198">
        <v>2.6092693815999999</v>
      </c>
      <c r="P29" s="199"/>
      <c r="Q29" s="198">
        <v>1652.7193716504</v>
      </c>
      <c r="R29" s="198">
        <v>2.1896445795999999</v>
      </c>
      <c r="S29" s="199"/>
      <c r="T29" s="198">
        <v>2155.9722649819</v>
      </c>
      <c r="U29" s="198">
        <v>2.9744005429999998</v>
      </c>
    </row>
    <row r="30" spans="2:21" s="4" customFormat="1" ht="12.95" customHeight="1" x14ac:dyDescent="0.2">
      <c r="B30" s="20" t="s">
        <v>25</v>
      </c>
      <c r="C30" s="50"/>
      <c r="D30" s="200">
        <v>4300.4007755802004</v>
      </c>
      <c r="E30" s="199"/>
      <c r="F30" s="198">
        <v>4227.2915796984998</v>
      </c>
      <c r="G30" s="199"/>
      <c r="H30" s="200">
        <v>1644.8842338725001</v>
      </c>
      <c r="I30" s="198">
        <v>2.6930323153</v>
      </c>
      <c r="J30" s="199"/>
      <c r="K30" s="200">
        <v>2435.7282198767002</v>
      </c>
      <c r="L30" s="198">
        <v>3.2868885986</v>
      </c>
      <c r="M30" s="199"/>
      <c r="N30" s="198">
        <v>2441.8990540351001</v>
      </c>
      <c r="O30" s="198">
        <v>3.8354719718000001</v>
      </c>
      <c r="P30" s="199"/>
      <c r="Q30" s="198">
        <v>1120.2679558611001</v>
      </c>
      <c r="R30" s="198">
        <v>2.0286454124</v>
      </c>
      <c r="S30" s="199"/>
      <c r="T30" s="198">
        <v>700.11574888739995</v>
      </c>
      <c r="U30" s="198">
        <v>1.3045075932000001</v>
      </c>
    </row>
    <row r="31" spans="2:21" s="4" customFormat="1" ht="12.95" customHeight="1" x14ac:dyDescent="0.2">
      <c r="B31" s="20" t="s">
        <v>26</v>
      </c>
      <c r="C31" s="50"/>
      <c r="D31" s="200">
        <v>15259.7689827138</v>
      </c>
      <c r="E31" s="199"/>
      <c r="F31" s="198">
        <v>11567.4285923226</v>
      </c>
      <c r="G31" s="199"/>
      <c r="H31" s="200">
        <v>3159.5066889489999</v>
      </c>
      <c r="I31" s="198">
        <v>1.8932061062000001</v>
      </c>
      <c r="J31" s="199"/>
      <c r="K31" s="200">
        <v>8392.4394387268003</v>
      </c>
      <c r="L31" s="198">
        <v>4.2002727571999996</v>
      </c>
      <c r="M31" s="199"/>
      <c r="N31" s="198">
        <v>8836.1251892332002</v>
      </c>
      <c r="O31" s="198">
        <v>5.3825970402000003</v>
      </c>
      <c r="P31" s="199"/>
      <c r="Q31" s="198">
        <v>6161.4404901026001</v>
      </c>
      <c r="R31" s="198">
        <v>3.4294490406000002</v>
      </c>
      <c r="S31" s="199"/>
      <c r="T31" s="198">
        <v>2352.5727064385001</v>
      </c>
      <c r="U31" s="198">
        <v>1.5667999700999999</v>
      </c>
    </row>
    <row r="32" spans="2:21" s="4" customFormat="1" ht="12.95" customHeight="1" x14ac:dyDescent="0.2">
      <c r="B32" s="20" t="s">
        <v>27</v>
      </c>
      <c r="C32" s="50"/>
      <c r="D32" s="200">
        <v>14930.1904317593</v>
      </c>
      <c r="E32" s="199"/>
      <c r="F32" s="198">
        <v>15030.734435647801</v>
      </c>
      <c r="G32" s="199"/>
      <c r="H32" s="200">
        <v>11220.4014814764</v>
      </c>
      <c r="I32" s="198">
        <v>3.7628167434000002</v>
      </c>
      <c r="J32" s="199"/>
      <c r="K32" s="200">
        <v>6117.5056721576002</v>
      </c>
      <c r="L32" s="198">
        <v>2.6805446275000002</v>
      </c>
      <c r="M32" s="199"/>
      <c r="N32" s="198">
        <v>4517.9074005455996</v>
      </c>
      <c r="O32" s="198">
        <v>2.4489947362</v>
      </c>
      <c r="P32" s="199"/>
      <c r="Q32" s="198">
        <v>1369.4686055323</v>
      </c>
      <c r="R32" s="198">
        <v>0.78532104049999996</v>
      </c>
      <c r="S32" s="199"/>
      <c r="T32" s="198">
        <v>3711.7147460536999</v>
      </c>
      <c r="U32" s="198">
        <v>1.9541985017000001</v>
      </c>
    </row>
    <row r="33" spans="1:21" s="4" customFormat="1" ht="12.95" customHeight="1" x14ac:dyDescent="0.2">
      <c r="B33" s="20" t="s">
        <v>28</v>
      </c>
      <c r="C33" s="50"/>
      <c r="D33" s="200">
        <v>21167.447154873498</v>
      </c>
      <c r="E33" s="199"/>
      <c r="F33" s="198">
        <v>22676.237603943799</v>
      </c>
      <c r="G33" s="199"/>
      <c r="H33" s="200">
        <v>19908.5411682874</v>
      </c>
      <c r="I33" s="198">
        <v>5.5096728530999997</v>
      </c>
      <c r="J33" s="199"/>
      <c r="K33" s="200">
        <v>6793.8081464535999</v>
      </c>
      <c r="L33" s="198">
        <v>2.6630940760000001</v>
      </c>
      <c r="M33" s="199"/>
      <c r="N33" s="198">
        <v>9922.4097225324003</v>
      </c>
      <c r="O33" s="198">
        <v>3.4017303047</v>
      </c>
      <c r="P33" s="199"/>
      <c r="Q33" s="198">
        <v>4422.3750087184999</v>
      </c>
      <c r="R33" s="198">
        <v>1.7000088347</v>
      </c>
      <c r="S33" s="199"/>
      <c r="T33" s="198">
        <v>5401.7084660681003</v>
      </c>
      <c r="U33" s="198">
        <v>2.1494534914000001</v>
      </c>
    </row>
    <row r="34" spans="1:21" s="4" customFormat="1" ht="12.95" customHeight="1" x14ac:dyDescent="0.2">
      <c r="B34" s="20" t="s">
        <v>29</v>
      </c>
      <c r="C34" s="50"/>
      <c r="D34" s="200">
        <v>8680.4624373235001</v>
      </c>
      <c r="E34" s="199"/>
      <c r="F34" s="198">
        <v>8362.5912960999995</v>
      </c>
      <c r="G34" s="199"/>
      <c r="H34" s="200">
        <v>5347.0526342808998</v>
      </c>
      <c r="I34" s="198">
        <v>4.7006752127000002</v>
      </c>
      <c r="J34" s="199"/>
      <c r="K34" s="200">
        <v>3726.8694640374001</v>
      </c>
      <c r="L34" s="198">
        <v>3.4505647631</v>
      </c>
      <c r="M34" s="199"/>
      <c r="N34" s="198">
        <v>4577.5223383903003</v>
      </c>
      <c r="O34" s="198">
        <v>4.4379668384000004</v>
      </c>
      <c r="P34" s="199"/>
      <c r="Q34" s="198">
        <v>3222.6247879407001</v>
      </c>
      <c r="R34" s="198">
        <v>3.0126858947000001</v>
      </c>
      <c r="S34" s="199"/>
      <c r="T34" s="198">
        <v>2176.0495646528998</v>
      </c>
      <c r="U34" s="198">
        <v>2.0401205049</v>
      </c>
    </row>
    <row r="35" spans="1:21" s="4" customFormat="1" ht="12.95" customHeight="1" x14ac:dyDescent="0.2">
      <c r="B35" s="20" t="s">
        <v>30</v>
      </c>
      <c r="C35" s="50"/>
      <c r="D35" s="200">
        <v>7409.6844870778004</v>
      </c>
      <c r="E35" s="199"/>
      <c r="F35" s="198">
        <v>7264.3502472796999</v>
      </c>
      <c r="G35" s="199"/>
      <c r="H35" s="200">
        <v>2401.3033635492998</v>
      </c>
      <c r="I35" s="198">
        <v>2.4193847475000001</v>
      </c>
      <c r="J35" s="199"/>
      <c r="K35" s="200">
        <v>3839.1358279601</v>
      </c>
      <c r="L35" s="198">
        <v>3.3996100064000001</v>
      </c>
      <c r="M35" s="199"/>
      <c r="N35" s="198">
        <v>5488.6119087041998</v>
      </c>
      <c r="O35" s="198">
        <v>3.900691455</v>
      </c>
      <c r="P35" s="199"/>
      <c r="Q35" s="198">
        <v>2327.6574442224</v>
      </c>
      <c r="R35" s="198">
        <v>2.4025962095</v>
      </c>
      <c r="S35" s="199"/>
      <c r="T35" s="198">
        <v>2029.2800386444001</v>
      </c>
      <c r="U35" s="198">
        <v>2.1707394322</v>
      </c>
    </row>
    <row r="36" spans="1:21" s="4" customFormat="1" ht="12.95" customHeight="1" x14ac:dyDescent="0.2">
      <c r="B36" s="20" t="s">
        <v>31</v>
      </c>
      <c r="C36" s="50"/>
      <c r="D36" s="200">
        <v>7107.8169950766996</v>
      </c>
      <c r="E36" s="199"/>
      <c r="F36" s="198">
        <v>6661.2240834696004</v>
      </c>
      <c r="G36" s="199"/>
      <c r="H36" s="200">
        <v>3665.2440154228002</v>
      </c>
      <c r="I36" s="198">
        <v>3.5919839587000002</v>
      </c>
      <c r="J36" s="199"/>
      <c r="K36" s="200">
        <v>3300.0388705041</v>
      </c>
      <c r="L36" s="198">
        <v>3.2598385921999999</v>
      </c>
      <c r="M36" s="199"/>
      <c r="N36" s="198">
        <v>5005.0570349433001</v>
      </c>
      <c r="O36" s="198">
        <v>5.1299756848999998</v>
      </c>
      <c r="P36" s="199"/>
      <c r="Q36" s="198">
        <v>3244.3711743476001</v>
      </c>
      <c r="R36" s="198">
        <v>3.4222130063999998</v>
      </c>
      <c r="S36" s="199"/>
      <c r="T36" s="198">
        <v>2454.8426952364998</v>
      </c>
      <c r="U36" s="198">
        <v>2.6635649721000001</v>
      </c>
    </row>
    <row r="37" spans="1:21" s="4" customFormat="1" ht="12.95" customHeight="1" x14ac:dyDescent="0.2">
      <c r="B37" s="20" t="s">
        <v>32</v>
      </c>
      <c r="C37" s="50"/>
      <c r="D37" s="200">
        <v>8895.7662908357997</v>
      </c>
      <c r="E37" s="199"/>
      <c r="F37" s="198">
        <v>8298.2956214117003</v>
      </c>
      <c r="G37" s="199"/>
      <c r="H37" s="200">
        <v>4699.8053449363997</v>
      </c>
      <c r="I37" s="198">
        <v>2.7720340366</v>
      </c>
      <c r="J37" s="199"/>
      <c r="K37" s="200">
        <v>4512.5584760338998</v>
      </c>
      <c r="L37" s="198">
        <v>2.514197024</v>
      </c>
      <c r="M37" s="199"/>
      <c r="N37" s="198">
        <v>7390.0293346474</v>
      </c>
      <c r="O37" s="198">
        <v>3.5011329246999998</v>
      </c>
      <c r="P37" s="199"/>
      <c r="Q37" s="198">
        <v>3591.3431949903002</v>
      </c>
      <c r="R37" s="198">
        <v>2.0713246386000002</v>
      </c>
      <c r="S37" s="199"/>
      <c r="T37" s="198">
        <v>2257.2216771141002</v>
      </c>
      <c r="U37" s="198">
        <v>1.3668798492000001</v>
      </c>
    </row>
    <row r="38" spans="1:21" s="4" customFormat="1" ht="12.95" customHeight="1" x14ac:dyDescent="0.2">
      <c r="B38" s="20" t="s">
        <v>33</v>
      </c>
      <c r="C38" s="50"/>
      <c r="D38" s="200">
        <v>9556.0898406777997</v>
      </c>
      <c r="E38" s="199"/>
      <c r="F38" s="198">
        <v>9646.3270817452994</v>
      </c>
      <c r="G38" s="199"/>
      <c r="H38" s="200">
        <v>5893.0303807958999</v>
      </c>
      <c r="I38" s="198">
        <v>3.2565092649</v>
      </c>
      <c r="J38" s="199"/>
      <c r="K38" s="200">
        <v>5865.4814850516004</v>
      </c>
      <c r="L38" s="198">
        <v>3.2119707937999999</v>
      </c>
      <c r="M38" s="199"/>
      <c r="N38" s="198">
        <v>5954.8706609407</v>
      </c>
      <c r="O38" s="198">
        <v>3.2103576275000001</v>
      </c>
      <c r="P38" s="199"/>
      <c r="Q38" s="198">
        <v>3439.5988926935001</v>
      </c>
      <c r="R38" s="198">
        <v>2.1911156672000001</v>
      </c>
      <c r="S38" s="199"/>
      <c r="T38" s="198">
        <v>1530.1532474682001</v>
      </c>
      <c r="U38" s="198">
        <v>0.99034266849999997</v>
      </c>
    </row>
    <row r="39" spans="1:21" s="4" customFormat="1" ht="12.95" customHeight="1" x14ac:dyDescent="0.2">
      <c r="B39" s="20" t="s">
        <v>34</v>
      </c>
      <c r="C39" s="50"/>
      <c r="D39" s="200">
        <v>8470.1584359512999</v>
      </c>
      <c r="E39" s="199"/>
      <c r="F39" s="198">
        <v>8966.9851391147004</v>
      </c>
      <c r="G39" s="199"/>
      <c r="H39" s="200">
        <v>5983.5338391284004</v>
      </c>
      <c r="I39" s="198">
        <v>3.3022492058999999</v>
      </c>
      <c r="J39" s="199"/>
      <c r="K39" s="200">
        <v>4628.8950868867996</v>
      </c>
      <c r="L39" s="198">
        <v>3.1467770870999998</v>
      </c>
      <c r="M39" s="199"/>
      <c r="N39" s="198">
        <v>2784.6122325172</v>
      </c>
      <c r="O39" s="198">
        <v>1.9767997628</v>
      </c>
      <c r="P39" s="199"/>
      <c r="Q39" s="198">
        <v>2880.2740759138001</v>
      </c>
      <c r="R39" s="198">
        <v>2.3166365415999999</v>
      </c>
      <c r="S39" s="199"/>
      <c r="T39" s="198">
        <v>1412.1523841666999</v>
      </c>
      <c r="U39" s="198">
        <v>1.1235113233</v>
      </c>
    </row>
    <row r="40" spans="1:21" s="4" customFormat="1" ht="12.95" customHeight="1" x14ac:dyDescent="0.2">
      <c r="B40" s="20" t="s">
        <v>35</v>
      </c>
      <c r="C40" s="50"/>
      <c r="D40" s="200">
        <v>9105.4887878983009</v>
      </c>
      <c r="E40" s="199"/>
      <c r="F40" s="198">
        <v>6433.3913837161999</v>
      </c>
      <c r="G40" s="199"/>
      <c r="H40" s="200">
        <v>3718.0404015797999</v>
      </c>
      <c r="I40" s="198">
        <v>2.9272311798000001</v>
      </c>
      <c r="J40" s="199"/>
      <c r="K40" s="200">
        <v>5122.9015031303998</v>
      </c>
      <c r="L40" s="198">
        <v>3.7310639461999999</v>
      </c>
      <c r="M40" s="199"/>
      <c r="N40" s="198">
        <v>6083.5656940119998</v>
      </c>
      <c r="O40" s="198">
        <v>4.1560420766000004</v>
      </c>
      <c r="P40" s="199"/>
      <c r="Q40" s="198">
        <v>1650.1546066373</v>
      </c>
      <c r="R40" s="198">
        <v>1.4214558114</v>
      </c>
      <c r="S40" s="199"/>
      <c r="T40" s="198">
        <v>2931.2064734557998</v>
      </c>
      <c r="U40" s="198">
        <v>2.4414694787000002</v>
      </c>
    </row>
    <row r="41" spans="1:21" s="4" customFormat="1" ht="12.95" customHeight="1" x14ac:dyDescent="0.2">
      <c r="B41" s="20" t="s">
        <v>36</v>
      </c>
      <c r="C41" s="50"/>
      <c r="D41" s="200">
        <v>3852.4387560151999</v>
      </c>
      <c r="E41" s="199"/>
      <c r="F41" s="198">
        <v>4044.9146282585998</v>
      </c>
      <c r="G41" s="199"/>
      <c r="H41" s="200">
        <v>3332.5258884466998</v>
      </c>
      <c r="I41" s="198">
        <v>2.9099072038</v>
      </c>
      <c r="J41" s="199"/>
      <c r="K41" s="200">
        <v>2028.0338764420001</v>
      </c>
      <c r="L41" s="198">
        <v>2.7197393863000001</v>
      </c>
      <c r="M41" s="199"/>
      <c r="N41" s="198">
        <v>988.49501928960001</v>
      </c>
      <c r="O41" s="198">
        <v>1.4959095390999999</v>
      </c>
      <c r="P41" s="199"/>
      <c r="Q41" s="198">
        <v>492.55862595230002</v>
      </c>
      <c r="R41" s="198">
        <v>0.77365358200000001</v>
      </c>
      <c r="S41" s="199"/>
      <c r="T41" s="198">
        <v>826.84254849399997</v>
      </c>
      <c r="U41" s="198">
        <v>1.2934519628000001</v>
      </c>
    </row>
    <row r="42" spans="1:21" s="4" customFormat="1" ht="12.95" customHeight="1" x14ac:dyDescent="0.2">
      <c r="B42" s="20" t="s">
        <v>37</v>
      </c>
      <c r="C42" s="50"/>
      <c r="D42" s="200">
        <v>22284.349223007699</v>
      </c>
      <c r="E42" s="199"/>
      <c r="F42" s="198">
        <v>18767.583451570401</v>
      </c>
      <c r="G42" s="199"/>
      <c r="H42" s="200">
        <v>14445.2263954354</v>
      </c>
      <c r="I42" s="198">
        <v>3.4414545540999999</v>
      </c>
      <c r="J42" s="199"/>
      <c r="K42" s="200">
        <v>11829.7647791614</v>
      </c>
      <c r="L42" s="198">
        <v>2.9482074496999999</v>
      </c>
      <c r="M42" s="199"/>
      <c r="N42" s="198">
        <v>9765.6969637470993</v>
      </c>
      <c r="O42" s="198">
        <v>2.5065299400000001</v>
      </c>
      <c r="P42" s="199"/>
      <c r="Q42" s="198">
        <v>3072.4295923585</v>
      </c>
      <c r="R42" s="198">
        <v>0.91779317199999999</v>
      </c>
      <c r="S42" s="199"/>
      <c r="T42" s="198">
        <v>5287.6669277159999</v>
      </c>
      <c r="U42" s="198">
        <v>1.5634933087</v>
      </c>
    </row>
    <row r="43" spans="1:21" s="4" customFormat="1" ht="12.95" customHeight="1" x14ac:dyDescent="0.2">
      <c r="B43" s="20" t="s">
        <v>38</v>
      </c>
      <c r="C43" s="50"/>
      <c r="D43" s="200">
        <v>7629.4287922794001</v>
      </c>
      <c r="E43" s="199"/>
      <c r="F43" s="198">
        <v>7044.5530292649</v>
      </c>
      <c r="G43" s="199"/>
      <c r="H43" s="200">
        <v>4016.7087464918</v>
      </c>
      <c r="I43" s="198">
        <v>3.1114175595</v>
      </c>
      <c r="J43" s="199"/>
      <c r="K43" s="200">
        <v>4330.0300280648999</v>
      </c>
      <c r="L43" s="198">
        <v>3.2341144246</v>
      </c>
      <c r="M43" s="199"/>
      <c r="N43" s="198">
        <v>3809.9634710353998</v>
      </c>
      <c r="O43" s="198">
        <v>2.8486565418000001</v>
      </c>
      <c r="P43" s="199"/>
      <c r="Q43" s="198">
        <v>4196.3949151665001</v>
      </c>
      <c r="R43" s="198">
        <v>3.2393482414000001</v>
      </c>
      <c r="S43" s="199"/>
      <c r="T43" s="198">
        <v>2042.4429624067</v>
      </c>
      <c r="U43" s="198">
        <v>1.6940167258000001</v>
      </c>
    </row>
    <row r="44" spans="1:21" s="4" customFormat="1" ht="12.95" customHeight="1" x14ac:dyDescent="0.2">
      <c r="B44" s="20" t="s">
        <v>39</v>
      </c>
      <c r="C44" s="50"/>
      <c r="D44" s="200">
        <v>3805.8356889227998</v>
      </c>
      <c r="E44" s="199"/>
      <c r="F44" s="198">
        <v>3523.9014992817001</v>
      </c>
      <c r="G44" s="199"/>
      <c r="H44" s="200">
        <v>2753.4519832084002</v>
      </c>
      <c r="I44" s="198">
        <v>5.1056346996000004</v>
      </c>
      <c r="J44" s="199"/>
      <c r="K44" s="200">
        <v>1876.6361305901</v>
      </c>
      <c r="L44" s="198">
        <v>3.9795032929</v>
      </c>
      <c r="M44" s="199"/>
      <c r="N44" s="198">
        <v>1589.7430431243999</v>
      </c>
      <c r="O44" s="198">
        <v>3.3985084411000002</v>
      </c>
      <c r="P44" s="199"/>
      <c r="Q44" s="198">
        <v>1075.1785773956999</v>
      </c>
      <c r="R44" s="198">
        <v>2.4115573121999998</v>
      </c>
      <c r="S44" s="199"/>
      <c r="T44" s="198">
        <v>793.8719460131</v>
      </c>
      <c r="U44" s="198">
        <v>1.8829516522</v>
      </c>
    </row>
    <row r="45" spans="1:21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71"/>
      <c r="N45" s="171"/>
      <c r="O45" s="112"/>
      <c r="P45" s="171"/>
      <c r="Q45" s="171"/>
      <c r="R45" s="112"/>
      <c r="S45" s="171"/>
      <c r="T45" s="171"/>
      <c r="U45" s="112"/>
    </row>
    <row r="46" spans="1:21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  <c r="S46" s="28"/>
      <c r="T46" s="31"/>
      <c r="U46" s="31"/>
    </row>
    <row r="47" spans="1:21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</row>
    <row r="48" spans="1:21" s="101" customFormat="1" ht="14.25" x14ac:dyDescent="0.2">
      <c r="B48" s="102" t="s">
        <v>75</v>
      </c>
      <c r="T48" s="197"/>
      <c r="U48" s="197"/>
    </row>
    <row r="49" spans="2:21" ht="12.75" customHeight="1" x14ac:dyDescent="0.25">
      <c r="B49" s="134"/>
      <c r="C49" s="31"/>
      <c r="D49" s="133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  <c r="P49" s="28"/>
      <c r="Q49" s="28"/>
      <c r="R49" s="28"/>
      <c r="S49" s="28"/>
      <c r="T49" s="31"/>
      <c r="U49" s="31"/>
    </row>
    <row r="50" spans="2:21" ht="12.75" customHeight="1" x14ac:dyDescent="0.25">
      <c r="T50" s="31"/>
      <c r="U50" s="31"/>
    </row>
    <row r="51" spans="2:21" ht="12.75" customHeight="1" x14ac:dyDescent="0.25">
      <c r="T51" s="31"/>
      <c r="U51" s="31"/>
    </row>
    <row r="52" spans="2:21" ht="12.75" customHeight="1" x14ac:dyDescent="0.25">
      <c r="T52" s="31"/>
      <c r="U52" s="31"/>
    </row>
    <row r="53" spans="2:21" ht="12.75" customHeight="1" x14ac:dyDescent="0.25">
      <c r="T53" s="31"/>
      <c r="U53" s="31"/>
    </row>
    <row r="54" spans="2:21" ht="12.75" customHeight="1" x14ac:dyDescent="0.25">
      <c r="T54" s="31"/>
      <c r="U54" s="31"/>
    </row>
    <row r="55" spans="2:21" ht="12.75" customHeight="1" x14ac:dyDescent="0.25">
      <c r="T55" s="31"/>
      <c r="U55" s="31"/>
    </row>
    <row r="56" spans="2:21" ht="12.75" customHeight="1" x14ac:dyDescent="0.25">
      <c r="T56" s="31"/>
      <c r="U56" s="31"/>
    </row>
  </sheetData>
  <mergeCells count="11">
    <mergeCell ref="F7:F9"/>
    <mergeCell ref="B5:R5"/>
    <mergeCell ref="B6:L6"/>
    <mergeCell ref="B7:C9"/>
    <mergeCell ref="D7:D9"/>
    <mergeCell ref="H7:U7"/>
    <mergeCell ref="H8:I8"/>
    <mergeCell ref="K8:L8"/>
    <mergeCell ref="N8:O8"/>
    <mergeCell ref="Q8:R8"/>
    <mergeCell ref="T8:U8"/>
  </mergeCells>
  <hyperlinks>
    <hyperlink ref="U1" location="Índice!A1" tooltip="Ir a ÍNDICE" display="INDICE" xr:uid="{6C704825-B7D6-41BC-A818-9C48E04AB4B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2549-6B82-4795-BC2A-75B93B1CD519}">
  <sheetPr>
    <pageSetUpPr fitToPage="1"/>
  </sheetPr>
  <dimension ref="A1:Z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3.7109375" style="1" customWidth="1"/>
    <col min="3" max="3" width="1.7109375" style="1" customWidth="1" collapsed="1"/>
    <col min="4" max="4" width="19.570312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1" customWidth="1" collapsed="1"/>
    <col min="11" max="11" width="12.7109375" style="1" customWidth="1" collapsed="1"/>
    <col min="12" max="12" width="12.28515625" style="1" customWidth="1" collapsed="1"/>
    <col min="13" max="13" width="1.7109375" style="2" customWidth="1"/>
    <col min="14" max="15" width="11.42578125" style="2"/>
    <col min="16" max="26" width="11.42578125" style="1"/>
    <col min="27" max="16384" width="11.42578125" style="1" collapsed="1"/>
  </cols>
  <sheetData>
    <row r="1" spans="2:15" s="68" customFormat="1" x14ac:dyDescent="0.2">
      <c r="B1" s="210" t="s">
        <v>129</v>
      </c>
      <c r="M1" s="70"/>
      <c r="N1" s="70"/>
      <c r="O1" s="80" t="s">
        <v>74</v>
      </c>
    </row>
    <row r="2" spans="2:15" s="68" customFormat="1" ht="6.95" customHeight="1" x14ac:dyDescent="0.25">
      <c r="B2" s="210"/>
      <c r="M2" s="70"/>
      <c r="N2" s="70"/>
      <c r="O2" s="70"/>
    </row>
    <row r="3" spans="2:15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2:15" s="68" customFormat="1" ht="6.95" customHeight="1" x14ac:dyDescent="0.25">
      <c r="C4" s="71"/>
      <c r="M4" s="70"/>
      <c r="N4" s="70"/>
      <c r="O4" s="70"/>
    </row>
    <row r="5" spans="2:15" s="68" customFormat="1" ht="25.5" customHeight="1" x14ac:dyDescent="0.2">
      <c r="B5" s="242" t="s">
        <v>82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164"/>
      <c r="O5" s="79" t="s">
        <v>61</v>
      </c>
    </row>
    <row r="6" spans="2:15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</row>
    <row r="7" spans="2:15" ht="26.25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119</v>
      </c>
      <c r="I7" s="251"/>
      <c r="J7" s="251"/>
      <c r="K7" s="251"/>
      <c r="L7" s="251"/>
      <c r="M7" s="251"/>
      <c r="N7" s="251"/>
      <c r="O7" s="251"/>
    </row>
    <row r="8" spans="2:15" ht="28.5" customHeight="1" x14ac:dyDescent="0.25">
      <c r="B8" s="246"/>
      <c r="C8" s="246"/>
      <c r="D8" s="268"/>
      <c r="E8" s="34"/>
      <c r="F8" s="249"/>
      <c r="G8" s="34"/>
      <c r="H8" s="241" t="s">
        <v>3</v>
      </c>
      <c r="I8" s="241"/>
      <c r="J8" s="27"/>
      <c r="K8" s="231" t="s">
        <v>4</v>
      </c>
      <c r="L8" s="231"/>
      <c r="M8" s="28"/>
      <c r="N8" s="231" t="s">
        <v>43</v>
      </c>
      <c r="O8" s="231"/>
    </row>
    <row r="9" spans="2:15" ht="23.25" customHeight="1" x14ac:dyDescent="0.25">
      <c r="B9" s="247"/>
      <c r="C9" s="247"/>
      <c r="D9" s="269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</row>
    <row r="10" spans="2:15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</row>
    <row r="11" spans="2:15" s="88" customFormat="1" ht="12.95" customHeight="1" x14ac:dyDescent="0.2">
      <c r="B11" s="40" t="s">
        <v>7</v>
      </c>
      <c r="C11" s="92"/>
      <c r="D11" s="202">
        <v>84443.525248358404</v>
      </c>
      <c r="E11" s="203"/>
      <c r="F11" s="202">
        <v>81126.067866869795</v>
      </c>
      <c r="G11" s="203"/>
      <c r="H11" s="202">
        <v>44551.199993540104</v>
      </c>
      <c r="I11" s="202">
        <v>0.7324050446</v>
      </c>
      <c r="J11" s="203"/>
      <c r="K11" s="202">
        <v>79055.280178469795</v>
      </c>
      <c r="L11" s="202">
        <v>0.87875042209999998</v>
      </c>
      <c r="M11" s="203"/>
      <c r="N11" s="202">
        <v>7903.2845577329999</v>
      </c>
      <c r="O11" s="202">
        <v>0.15452921510000001</v>
      </c>
    </row>
    <row r="12" spans="2:15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</row>
    <row r="13" spans="2:15" s="3" customFormat="1" ht="12.95" customHeight="1" x14ac:dyDescent="0.2">
      <c r="B13" s="20" t="s">
        <v>8</v>
      </c>
      <c r="C13" s="50"/>
      <c r="D13" s="198">
        <v>3617.1755595834002</v>
      </c>
      <c r="E13" s="199"/>
      <c r="F13" s="198">
        <v>3131.9194433173002</v>
      </c>
      <c r="G13" s="199"/>
      <c r="H13" s="198">
        <v>2252.7787260574</v>
      </c>
      <c r="I13" s="198">
        <v>4.1388277609999999</v>
      </c>
      <c r="J13" s="199"/>
      <c r="K13" s="198">
        <v>3045.8548137119001</v>
      </c>
      <c r="L13" s="198">
        <v>4.4001601365000003</v>
      </c>
      <c r="M13" s="199"/>
      <c r="N13" s="198">
        <v>325.1230536274</v>
      </c>
      <c r="O13" s="198">
        <v>0.73179679230000005</v>
      </c>
    </row>
    <row r="14" spans="2:15" s="3" customFormat="1" ht="12.95" customHeight="1" x14ac:dyDescent="0.2">
      <c r="B14" s="20" t="s">
        <v>9</v>
      </c>
      <c r="C14" s="50"/>
      <c r="D14" s="198">
        <v>15695.5069240864</v>
      </c>
      <c r="E14" s="199"/>
      <c r="F14" s="198">
        <v>15000.7062353526</v>
      </c>
      <c r="G14" s="199"/>
      <c r="H14" s="198">
        <v>6794.1231471874999</v>
      </c>
      <c r="I14" s="198">
        <v>3.0010447275000001</v>
      </c>
      <c r="J14" s="199"/>
      <c r="K14" s="198">
        <v>14744.366266667001</v>
      </c>
      <c r="L14" s="198">
        <v>3.2963074488999999</v>
      </c>
      <c r="M14" s="199"/>
      <c r="N14" s="198">
        <v>0</v>
      </c>
      <c r="O14" s="198">
        <v>0</v>
      </c>
    </row>
    <row r="15" spans="2:15" s="3" customFormat="1" ht="12.95" customHeight="1" x14ac:dyDescent="0.2">
      <c r="B15" s="20" t="s">
        <v>10</v>
      </c>
      <c r="C15" s="50"/>
      <c r="D15" s="198">
        <v>4062.8935860587999</v>
      </c>
      <c r="E15" s="199"/>
      <c r="F15" s="198">
        <v>5606.3814389700001</v>
      </c>
      <c r="G15" s="199"/>
      <c r="H15" s="198">
        <v>2452.6222422573001</v>
      </c>
      <c r="I15" s="198">
        <v>4.4786412109000002</v>
      </c>
      <c r="J15" s="199"/>
      <c r="K15" s="198">
        <v>4008.2771521108998</v>
      </c>
      <c r="L15" s="198">
        <v>4.0332094548999997</v>
      </c>
      <c r="M15" s="199"/>
      <c r="N15" s="198">
        <v>0</v>
      </c>
      <c r="O15" s="198">
        <v>0</v>
      </c>
    </row>
    <row r="16" spans="2:15" s="3" customFormat="1" ht="12.95" customHeight="1" x14ac:dyDescent="0.2">
      <c r="B16" s="20" t="s">
        <v>11</v>
      </c>
      <c r="C16" s="50"/>
      <c r="D16" s="198">
        <v>3484.4736853872</v>
      </c>
      <c r="E16" s="199"/>
      <c r="F16" s="198">
        <v>3453.6488470500999</v>
      </c>
      <c r="G16" s="199"/>
      <c r="H16" s="198">
        <v>1478.8738339004999</v>
      </c>
      <c r="I16" s="198">
        <v>2.6087029052999999</v>
      </c>
      <c r="J16" s="199"/>
      <c r="K16" s="198">
        <v>3027.4434610400999</v>
      </c>
      <c r="L16" s="198">
        <v>2.8546159914999998</v>
      </c>
      <c r="M16" s="199"/>
      <c r="N16" s="198">
        <v>136</v>
      </c>
      <c r="O16" s="198">
        <v>0.30088991850000002</v>
      </c>
    </row>
    <row r="17" spans="2:15" s="3" customFormat="1" ht="12.95" customHeight="1" x14ac:dyDescent="0.2">
      <c r="B17" s="20" t="s">
        <v>12</v>
      </c>
      <c r="C17" s="50"/>
      <c r="D17" s="198">
        <v>8694.1885038845994</v>
      </c>
      <c r="E17" s="199"/>
      <c r="F17" s="198">
        <v>7052.6045587361004</v>
      </c>
      <c r="G17" s="199"/>
      <c r="H17" s="198">
        <v>5784.3895013430001</v>
      </c>
      <c r="I17" s="198">
        <v>3.8582088899999998</v>
      </c>
      <c r="J17" s="199"/>
      <c r="K17" s="198">
        <v>7327.0568828383002</v>
      </c>
      <c r="L17" s="198">
        <v>4.2039471798000001</v>
      </c>
      <c r="M17" s="199"/>
      <c r="N17" s="198">
        <v>0</v>
      </c>
      <c r="O17" s="198">
        <v>0</v>
      </c>
    </row>
    <row r="18" spans="2:15" s="3" customFormat="1" ht="12.95" customHeight="1" x14ac:dyDescent="0.2">
      <c r="B18" s="20" t="s">
        <v>13</v>
      </c>
      <c r="C18" s="50"/>
      <c r="D18" s="200">
        <v>2081.9268011078002</v>
      </c>
      <c r="E18" s="199"/>
      <c r="F18" s="198">
        <v>1775.7040174171</v>
      </c>
      <c r="G18" s="199"/>
      <c r="H18" s="200">
        <v>1344.5201790709</v>
      </c>
      <c r="I18" s="198">
        <v>4.1873795984999997</v>
      </c>
      <c r="J18" s="199"/>
      <c r="K18" s="200">
        <v>1691.3222608205001</v>
      </c>
      <c r="L18" s="198">
        <v>4.2487836205000002</v>
      </c>
      <c r="M18" s="199"/>
      <c r="N18" s="198">
        <v>148</v>
      </c>
      <c r="O18" s="198">
        <v>0.58709135859999995</v>
      </c>
    </row>
    <row r="19" spans="2:15" s="3" customFormat="1" ht="12.95" customHeight="1" x14ac:dyDescent="0.2">
      <c r="B19" s="20" t="s">
        <v>14</v>
      </c>
      <c r="C19" s="50"/>
      <c r="D19" s="200">
        <v>18436.0163107894</v>
      </c>
      <c r="E19" s="199"/>
      <c r="F19" s="198">
        <v>19184.571645569999</v>
      </c>
      <c r="G19" s="199"/>
      <c r="H19" s="200">
        <v>6915.6853855442996</v>
      </c>
      <c r="I19" s="198">
        <v>2.2438581896000001</v>
      </c>
      <c r="J19" s="199"/>
      <c r="K19" s="200">
        <v>17052.0084401196</v>
      </c>
      <c r="L19" s="198">
        <v>2.7152025719999999</v>
      </c>
      <c r="M19" s="199"/>
      <c r="N19" s="198">
        <v>0</v>
      </c>
      <c r="O19" s="198">
        <v>0</v>
      </c>
    </row>
    <row r="20" spans="2:15" s="4" customFormat="1" ht="12.95" customHeight="1" x14ac:dyDescent="0.2">
      <c r="B20" s="20" t="s">
        <v>15</v>
      </c>
      <c r="C20" s="50"/>
      <c r="D20" s="200">
        <v>8828.3603923203991</v>
      </c>
      <c r="E20" s="199"/>
      <c r="F20" s="198">
        <v>7007.9799433014005</v>
      </c>
      <c r="G20" s="199"/>
      <c r="H20" s="200">
        <v>5726.4775403439999</v>
      </c>
      <c r="I20" s="198">
        <v>3.8792197188999999</v>
      </c>
      <c r="J20" s="199"/>
      <c r="K20" s="200">
        <v>7851.5163058021999</v>
      </c>
      <c r="L20" s="198">
        <v>4.0125998575999997</v>
      </c>
      <c r="M20" s="199"/>
      <c r="N20" s="198">
        <v>0</v>
      </c>
      <c r="O20" s="198">
        <v>0</v>
      </c>
    </row>
    <row r="21" spans="2:15" s="4" customFormat="1" ht="12.95" customHeight="1" x14ac:dyDescent="0.2">
      <c r="B21" s="20" t="s">
        <v>16</v>
      </c>
      <c r="C21" s="50"/>
      <c r="D21" s="200">
        <v>34488.662615048197</v>
      </c>
      <c r="E21" s="199"/>
      <c r="F21" s="198">
        <v>29044.413072564701</v>
      </c>
      <c r="G21" s="199"/>
      <c r="H21" s="200">
        <v>19196.3811684047</v>
      </c>
      <c r="I21" s="198">
        <v>2.8070745496999998</v>
      </c>
      <c r="J21" s="199"/>
      <c r="K21" s="200">
        <v>29264.800960739602</v>
      </c>
      <c r="L21" s="198">
        <v>2.7955368859999998</v>
      </c>
      <c r="M21" s="199"/>
      <c r="N21" s="198">
        <v>3752.0025425858998</v>
      </c>
      <c r="O21" s="198">
        <v>0.64225440749999996</v>
      </c>
    </row>
    <row r="22" spans="2:15" s="4" customFormat="1" ht="12.95" customHeight="1" x14ac:dyDescent="0.2">
      <c r="B22" s="20" t="s">
        <v>17</v>
      </c>
      <c r="C22" s="50"/>
      <c r="D22" s="200">
        <v>4679.9806813340001</v>
      </c>
      <c r="E22" s="199"/>
      <c r="F22" s="198">
        <v>3965.4409854689002</v>
      </c>
      <c r="G22" s="199"/>
      <c r="H22" s="200">
        <v>3044.7583636958998</v>
      </c>
      <c r="I22" s="198">
        <v>3.6642794174</v>
      </c>
      <c r="J22" s="199"/>
      <c r="K22" s="200">
        <v>3796.8558138779999</v>
      </c>
      <c r="L22" s="198">
        <v>3.5972365533000001</v>
      </c>
      <c r="M22" s="199"/>
      <c r="N22" s="198">
        <v>0</v>
      </c>
      <c r="O22" s="198">
        <v>0</v>
      </c>
    </row>
    <row r="23" spans="2:15" s="4" customFormat="1" ht="12.95" customHeight="1" x14ac:dyDescent="0.2">
      <c r="B23" s="20" t="s">
        <v>18</v>
      </c>
      <c r="C23" s="50"/>
      <c r="D23" s="200">
        <v>14601.8585597127</v>
      </c>
      <c r="E23" s="199"/>
      <c r="F23" s="198">
        <v>14122.8288703454</v>
      </c>
      <c r="G23" s="199"/>
      <c r="H23" s="200">
        <v>7756.2763307712003</v>
      </c>
      <c r="I23" s="198">
        <v>3.1026593880000002</v>
      </c>
      <c r="J23" s="199"/>
      <c r="K23" s="200">
        <v>13827.6203125844</v>
      </c>
      <c r="L23" s="198">
        <v>3.3732058010000001</v>
      </c>
      <c r="M23" s="199"/>
      <c r="N23" s="198">
        <v>2507.9308204174999</v>
      </c>
      <c r="O23" s="198">
        <v>1.1380712389000001</v>
      </c>
    </row>
    <row r="24" spans="2:15" s="4" customFormat="1" ht="12.95" customHeight="1" x14ac:dyDescent="0.2">
      <c r="B24" s="20" t="s">
        <v>19</v>
      </c>
      <c r="C24" s="50"/>
      <c r="D24" s="200">
        <v>12368.2263410294</v>
      </c>
      <c r="E24" s="199"/>
      <c r="F24" s="198">
        <v>12186.087902819099</v>
      </c>
      <c r="G24" s="199"/>
      <c r="H24" s="200">
        <v>5398.4402793013996</v>
      </c>
      <c r="I24" s="198">
        <v>2.5291207950999999</v>
      </c>
      <c r="J24" s="199"/>
      <c r="K24" s="200">
        <v>11415.919042703301</v>
      </c>
      <c r="L24" s="198">
        <v>2.5838217160000001</v>
      </c>
      <c r="M24" s="199"/>
      <c r="N24" s="198">
        <v>378</v>
      </c>
      <c r="O24" s="198">
        <v>0.19897422349999999</v>
      </c>
    </row>
    <row r="25" spans="2:15" s="4" customFormat="1" ht="12.95" customHeight="1" x14ac:dyDescent="0.2">
      <c r="B25" s="20" t="s">
        <v>20</v>
      </c>
      <c r="C25" s="50"/>
      <c r="D25" s="200">
        <v>7542.8284692887</v>
      </c>
      <c r="E25" s="199"/>
      <c r="F25" s="198">
        <v>7156.6536089828996</v>
      </c>
      <c r="G25" s="199"/>
      <c r="H25" s="200">
        <v>4639.1588177739004</v>
      </c>
      <c r="I25" s="198">
        <v>3.9431381649000001</v>
      </c>
      <c r="J25" s="199"/>
      <c r="K25" s="200">
        <v>6310.3609782309004</v>
      </c>
      <c r="L25" s="198">
        <v>4.6042999963</v>
      </c>
      <c r="M25" s="199"/>
      <c r="N25" s="198">
        <v>0</v>
      </c>
      <c r="O25" s="198">
        <v>0</v>
      </c>
    </row>
    <row r="26" spans="2:15" s="4" customFormat="1" ht="12.95" customHeight="1" x14ac:dyDescent="0.2">
      <c r="B26" s="20" t="s">
        <v>21</v>
      </c>
      <c r="C26" s="50"/>
      <c r="D26" s="200">
        <v>21259.2299022878</v>
      </c>
      <c r="E26" s="199"/>
      <c r="F26" s="198">
        <v>18576.652302216102</v>
      </c>
      <c r="G26" s="199"/>
      <c r="H26" s="200">
        <v>12795.2495061994</v>
      </c>
      <c r="I26" s="198">
        <v>3.3141782834</v>
      </c>
      <c r="J26" s="199"/>
      <c r="K26" s="200">
        <v>16742.615998288598</v>
      </c>
      <c r="L26" s="198">
        <v>3.4730155380999999</v>
      </c>
      <c r="M26" s="199"/>
      <c r="N26" s="198">
        <v>1285</v>
      </c>
      <c r="O26" s="198">
        <v>0.44589441460000001</v>
      </c>
    </row>
    <row r="27" spans="2:15" s="4" customFormat="1" ht="12.95" customHeight="1" x14ac:dyDescent="0.2">
      <c r="B27" s="20" t="s">
        <v>22</v>
      </c>
      <c r="C27" s="50"/>
      <c r="D27" s="200">
        <v>44850.375029582399</v>
      </c>
      <c r="E27" s="199"/>
      <c r="F27" s="198">
        <v>47338.930571191799</v>
      </c>
      <c r="G27" s="199"/>
      <c r="H27" s="200">
        <v>21074.8064411179</v>
      </c>
      <c r="I27" s="198">
        <v>3.3342521317</v>
      </c>
      <c r="J27" s="199"/>
      <c r="K27" s="200">
        <v>48572.242253869299</v>
      </c>
      <c r="L27" s="198">
        <v>5.0716538114</v>
      </c>
      <c r="M27" s="199"/>
      <c r="N27" s="198">
        <v>5973.5811470951003</v>
      </c>
      <c r="O27" s="198">
        <v>1.0843987744000001</v>
      </c>
    </row>
    <row r="28" spans="2:15" s="4" customFormat="1" ht="12.95" customHeight="1" x14ac:dyDescent="0.2">
      <c r="B28" s="20" t="s">
        <v>23</v>
      </c>
      <c r="C28" s="50"/>
      <c r="D28" s="200">
        <v>14512.344610546301</v>
      </c>
      <c r="E28" s="199"/>
      <c r="F28" s="198">
        <v>13835.168832843199</v>
      </c>
      <c r="G28" s="199"/>
      <c r="H28" s="200">
        <v>6861.6099489532999</v>
      </c>
      <c r="I28" s="198">
        <v>3.7928236023999999</v>
      </c>
      <c r="J28" s="199"/>
      <c r="K28" s="200">
        <v>12998.1168557932</v>
      </c>
      <c r="L28" s="198">
        <v>3.7725984436000002</v>
      </c>
      <c r="M28" s="199"/>
      <c r="N28" s="198">
        <v>620</v>
      </c>
      <c r="O28" s="198">
        <v>0.38826549980000002</v>
      </c>
    </row>
    <row r="29" spans="2:15" s="4" customFormat="1" ht="12.95" customHeight="1" x14ac:dyDescent="0.2">
      <c r="B29" s="20" t="s">
        <v>24</v>
      </c>
      <c r="C29" s="50"/>
      <c r="D29" s="200">
        <v>4896.2477388204998</v>
      </c>
      <c r="E29" s="199"/>
      <c r="F29" s="198">
        <v>4901.2701803191003</v>
      </c>
      <c r="G29" s="199"/>
      <c r="H29" s="200">
        <v>2855.2386721560001</v>
      </c>
      <c r="I29" s="198">
        <v>3.6476953929000002</v>
      </c>
      <c r="J29" s="199"/>
      <c r="K29" s="200">
        <v>5085.6050420674001</v>
      </c>
      <c r="L29" s="198">
        <v>4.3268371303000004</v>
      </c>
      <c r="M29" s="199"/>
      <c r="N29" s="198">
        <v>448</v>
      </c>
      <c r="O29" s="198">
        <v>0.63148742170000005</v>
      </c>
    </row>
    <row r="30" spans="2:15" s="4" customFormat="1" ht="12.95" customHeight="1" x14ac:dyDescent="0.2">
      <c r="B30" s="20" t="s">
        <v>25</v>
      </c>
      <c r="C30" s="50"/>
      <c r="D30" s="200">
        <v>4300.4007755802004</v>
      </c>
      <c r="E30" s="199"/>
      <c r="F30" s="198">
        <v>4227.2915796984998</v>
      </c>
      <c r="G30" s="199"/>
      <c r="H30" s="200">
        <v>2279.8615833030999</v>
      </c>
      <c r="I30" s="198">
        <v>3.3401283844999998</v>
      </c>
      <c r="J30" s="199"/>
      <c r="K30" s="200">
        <v>3525.2777963077001</v>
      </c>
      <c r="L30" s="198">
        <v>3.2752513100999998</v>
      </c>
      <c r="M30" s="199"/>
      <c r="N30" s="198">
        <v>0</v>
      </c>
      <c r="O30" s="198">
        <v>0</v>
      </c>
    </row>
    <row r="31" spans="2:15" s="4" customFormat="1" ht="12.95" customHeight="1" x14ac:dyDescent="0.2">
      <c r="B31" s="20" t="s">
        <v>26</v>
      </c>
      <c r="C31" s="50"/>
      <c r="D31" s="200">
        <v>15259.7689827138</v>
      </c>
      <c r="E31" s="199"/>
      <c r="F31" s="198">
        <v>11567.4285923226</v>
      </c>
      <c r="G31" s="199"/>
      <c r="H31" s="200">
        <v>10199.9833629401</v>
      </c>
      <c r="I31" s="198">
        <v>4.8528684522000001</v>
      </c>
      <c r="J31" s="199"/>
      <c r="K31" s="200">
        <v>11080.018435367199</v>
      </c>
      <c r="L31" s="198">
        <v>4.9042097883000002</v>
      </c>
      <c r="M31" s="199"/>
      <c r="N31" s="198">
        <v>984</v>
      </c>
      <c r="O31" s="198">
        <v>0.65283398280000005</v>
      </c>
    </row>
    <row r="32" spans="2:15" s="4" customFormat="1" ht="12.95" customHeight="1" x14ac:dyDescent="0.2">
      <c r="B32" s="20" t="s">
        <v>27</v>
      </c>
      <c r="C32" s="50"/>
      <c r="D32" s="200">
        <v>14930.1904317593</v>
      </c>
      <c r="E32" s="199"/>
      <c r="F32" s="198">
        <v>15030.734435647801</v>
      </c>
      <c r="G32" s="199"/>
      <c r="H32" s="200">
        <v>6238.8380360885003</v>
      </c>
      <c r="I32" s="198">
        <v>2.6515260337000002</v>
      </c>
      <c r="J32" s="199"/>
      <c r="K32" s="200">
        <v>12858.391962886801</v>
      </c>
      <c r="L32" s="198">
        <v>3.1353541962000002</v>
      </c>
      <c r="M32" s="199"/>
      <c r="N32" s="198">
        <v>0</v>
      </c>
      <c r="O32" s="198">
        <v>0</v>
      </c>
    </row>
    <row r="33" spans="1:15" s="4" customFormat="1" ht="12.95" customHeight="1" x14ac:dyDescent="0.2">
      <c r="B33" s="20" t="s">
        <v>28</v>
      </c>
      <c r="C33" s="50"/>
      <c r="D33" s="200">
        <v>21167.447154873498</v>
      </c>
      <c r="E33" s="199"/>
      <c r="F33" s="198">
        <v>22676.237603943799</v>
      </c>
      <c r="G33" s="199"/>
      <c r="H33" s="200">
        <v>11841.864716538699</v>
      </c>
      <c r="I33" s="198">
        <v>3.6257391722999999</v>
      </c>
      <c r="J33" s="199"/>
      <c r="K33" s="200">
        <v>19476.450585390699</v>
      </c>
      <c r="L33" s="198">
        <v>4.4516396671000003</v>
      </c>
      <c r="M33" s="199"/>
      <c r="N33" s="198">
        <v>0</v>
      </c>
      <c r="O33" s="198">
        <v>0</v>
      </c>
    </row>
    <row r="34" spans="1:15" s="4" customFormat="1" ht="12.95" customHeight="1" x14ac:dyDescent="0.2">
      <c r="B34" s="20" t="s">
        <v>29</v>
      </c>
      <c r="C34" s="50"/>
      <c r="D34" s="200">
        <v>8680.4624373235001</v>
      </c>
      <c r="E34" s="199"/>
      <c r="F34" s="198">
        <v>8362.5912960999995</v>
      </c>
      <c r="G34" s="199"/>
      <c r="H34" s="200">
        <v>5739.1450195927</v>
      </c>
      <c r="I34" s="198">
        <v>4.3675772730000002</v>
      </c>
      <c r="J34" s="199"/>
      <c r="K34" s="200">
        <v>6898.2336418772002</v>
      </c>
      <c r="L34" s="198">
        <v>4.8575046814</v>
      </c>
      <c r="M34" s="199"/>
      <c r="N34" s="198">
        <v>236</v>
      </c>
      <c r="O34" s="198">
        <v>0.24806627719999999</v>
      </c>
    </row>
    <row r="35" spans="1:15" s="4" customFormat="1" ht="12.95" customHeight="1" x14ac:dyDescent="0.2">
      <c r="B35" s="20" t="s">
        <v>30</v>
      </c>
      <c r="C35" s="50"/>
      <c r="D35" s="200">
        <v>7409.6844870778004</v>
      </c>
      <c r="E35" s="199"/>
      <c r="F35" s="198">
        <v>7264.3502472796999</v>
      </c>
      <c r="G35" s="199"/>
      <c r="H35" s="200">
        <v>3332.3261972422001</v>
      </c>
      <c r="I35" s="198">
        <v>3.5807645211999999</v>
      </c>
      <c r="J35" s="199"/>
      <c r="K35" s="200">
        <v>7428.6892287067003</v>
      </c>
      <c r="L35" s="198">
        <v>3.5505997212999998</v>
      </c>
      <c r="M35" s="199"/>
      <c r="N35" s="198">
        <v>242</v>
      </c>
      <c r="O35" s="198">
        <v>0.2471459905</v>
      </c>
    </row>
    <row r="36" spans="1:15" s="4" customFormat="1" ht="12.95" customHeight="1" x14ac:dyDescent="0.2">
      <c r="B36" s="20" t="s">
        <v>31</v>
      </c>
      <c r="C36" s="50"/>
      <c r="D36" s="200">
        <v>7107.8169950766996</v>
      </c>
      <c r="E36" s="199"/>
      <c r="F36" s="198">
        <v>6661.2240834696004</v>
      </c>
      <c r="G36" s="199"/>
      <c r="H36" s="200">
        <v>4541.2761849093004</v>
      </c>
      <c r="I36" s="198">
        <v>4.0345484672999996</v>
      </c>
      <c r="J36" s="199"/>
      <c r="K36" s="200">
        <v>6658.2869406044001</v>
      </c>
      <c r="L36" s="198">
        <v>5.1492633075000001</v>
      </c>
      <c r="M36" s="199"/>
      <c r="N36" s="198">
        <v>0</v>
      </c>
      <c r="O36" s="198">
        <v>0</v>
      </c>
    </row>
    <row r="37" spans="1:15" s="4" customFormat="1" ht="12.95" customHeight="1" x14ac:dyDescent="0.2">
      <c r="B37" s="20" t="s">
        <v>32</v>
      </c>
      <c r="C37" s="50"/>
      <c r="D37" s="200">
        <v>8895.7662908357997</v>
      </c>
      <c r="E37" s="199"/>
      <c r="F37" s="198">
        <v>8298.2956214117003</v>
      </c>
      <c r="G37" s="199"/>
      <c r="H37" s="200">
        <v>5166.9439846708001</v>
      </c>
      <c r="I37" s="198">
        <v>2.8079478711000001</v>
      </c>
      <c r="J37" s="199"/>
      <c r="K37" s="200">
        <v>8544.5991422474999</v>
      </c>
      <c r="L37" s="198">
        <v>3.1405855593999998</v>
      </c>
      <c r="M37" s="199"/>
      <c r="N37" s="198">
        <v>492</v>
      </c>
      <c r="O37" s="198">
        <v>0.29868740960000001</v>
      </c>
    </row>
    <row r="38" spans="1:15" s="4" customFormat="1" ht="12.95" customHeight="1" x14ac:dyDescent="0.2">
      <c r="B38" s="20" t="s">
        <v>33</v>
      </c>
      <c r="C38" s="50"/>
      <c r="D38" s="200">
        <v>9556.0898406777997</v>
      </c>
      <c r="E38" s="199"/>
      <c r="F38" s="198">
        <v>9646.3270817452994</v>
      </c>
      <c r="G38" s="199"/>
      <c r="H38" s="200">
        <v>6142.4284956279998</v>
      </c>
      <c r="I38" s="198">
        <v>2.8187979013</v>
      </c>
      <c r="J38" s="199"/>
      <c r="K38" s="200">
        <v>7766.5366061259001</v>
      </c>
      <c r="L38" s="198">
        <v>3.2433579433999999</v>
      </c>
      <c r="M38" s="199"/>
      <c r="N38" s="198">
        <v>299</v>
      </c>
      <c r="O38" s="198">
        <v>0.1907349468</v>
      </c>
    </row>
    <row r="39" spans="1:15" s="4" customFormat="1" ht="12.95" customHeight="1" x14ac:dyDescent="0.2">
      <c r="B39" s="20" t="s">
        <v>34</v>
      </c>
      <c r="C39" s="50"/>
      <c r="D39" s="200">
        <v>8470.1584359512999</v>
      </c>
      <c r="E39" s="199"/>
      <c r="F39" s="198">
        <v>8966.9851391147004</v>
      </c>
      <c r="G39" s="199"/>
      <c r="H39" s="200">
        <v>4454.3471461697</v>
      </c>
      <c r="I39" s="198">
        <v>3.2113767793000001</v>
      </c>
      <c r="J39" s="199"/>
      <c r="K39" s="200">
        <v>8153.39793904</v>
      </c>
      <c r="L39" s="198">
        <v>3.5886504974000002</v>
      </c>
      <c r="M39" s="199"/>
      <c r="N39" s="198">
        <v>0</v>
      </c>
      <c r="O39" s="198">
        <v>0</v>
      </c>
    </row>
    <row r="40" spans="1:15" s="4" customFormat="1" ht="12.95" customHeight="1" x14ac:dyDescent="0.2">
      <c r="B40" s="20" t="s">
        <v>35</v>
      </c>
      <c r="C40" s="50"/>
      <c r="D40" s="200">
        <v>9105.4887878983009</v>
      </c>
      <c r="E40" s="199"/>
      <c r="F40" s="198">
        <v>6433.3913837161999</v>
      </c>
      <c r="G40" s="199"/>
      <c r="H40" s="200">
        <v>6246.0712568886001</v>
      </c>
      <c r="I40" s="198">
        <v>4.2705988966000001</v>
      </c>
      <c r="J40" s="199"/>
      <c r="K40" s="200">
        <v>7314.8980920435997</v>
      </c>
      <c r="L40" s="198">
        <v>4.4202801071</v>
      </c>
      <c r="M40" s="199"/>
      <c r="N40" s="198">
        <v>524</v>
      </c>
      <c r="O40" s="198">
        <v>0.45174583979999999</v>
      </c>
    </row>
    <row r="41" spans="1:15" s="4" customFormat="1" ht="12.95" customHeight="1" x14ac:dyDescent="0.2">
      <c r="B41" s="20" t="s">
        <v>36</v>
      </c>
      <c r="C41" s="50"/>
      <c r="D41" s="200">
        <v>3852.4387560151999</v>
      </c>
      <c r="E41" s="199"/>
      <c r="F41" s="198">
        <v>4044.9146282585998</v>
      </c>
      <c r="G41" s="199"/>
      <c r="H41" s="200">
        <v>2954.7300637154999</v>
      </c>
      <c r="I41" s="198">
        <v>3.5375020703</v>
      </c>
      <c r="J41" s="199"/>
      <c r="K41" s="200">
        <v>3349.4620658651002</v>
      </c>
      <c r="L41" s="198">
        <v>3.9893745646999998</v>
      </c>
      <c r="M41" s="199"/>
      <c r="N41" s="198">
        <v>232</v>
      </c>
      <c r="O41" s="198">
        <v>0.36386526889999998</v>
      </c>
    </row>
    <row r="42" spans="1:15" s="4" customFormat="1" ht="12.95" customHeight="1" x14ac:dyDescent="0.2">
      <c r="B42" s="20" t="s">
        <v>37</v>
      </c>
      <c r="C42" s="50"/>
      <c r="D42" s="200">
        <v>22284.349223007699</v>
      </c>
      <c r="E42" s="199"/>
      <c r="F42" s="198">
        <v>18767.583451570401</v>
      </c>
      <c r="G42" s="199"/>
      <c r="H42" s="200">
        <v>12070.810628544799</v>
      </c>
      <c r="I42" s="198">
        <v>3.1382157032000002</v>
      </c>
      <c r="J42" s="199"/>
      <c r="K42" s="200">
        <v>19469.7818316915</v>
      </c>
      <c r="L42" s="198">
        <v>3.2513857192</v>
      </c>
      <c r="M42" s="199"/>
      <c r="N42" s="198">
        <v>1464</v>
      </c>
      <c r="O42" s="198">
        <v>0.43678284490000002</v>
      </c>
    </row>
    <row r="43" spans="1:15" s="4" customFormat="1" ht="12.95" customHeight="1" x14ac:dyDescent="0.2">
      <c r="B43" s="20" t="s">
        <v>38</v>
      </c>
      <c r="C43" s="50"/>
      <c r="D43" s="200">
        <v>7629.4287922794001</v>
      </c>
      <c r="E43" s="199"/>
      <c r="F43" s="198">
        <v>7044.5530292649</v>
      </c>
      <c r="G43" s="199"/>
      <c r="H43" s="200">
        <v>4501.025881865</v>
      </c>
      <c r="I43" s="198">
        <v>3.0410070047</v>
      </c>
      <c r="J43" s="199"/>
      <c r="K43" s="200">
        <v>6569.0376404721001</v>
      </c>
      <c r="L43" s="198">
        <v>3.3414027131999999</v>
      </c>
      <c r="M43" s="199"/>
      <c r="N43" s="198">
        <v>0</v>
      </c>
      <c r="O43" s="198">
        <v>0</v>
      </c>
    </row>
    <row r="44" spans="1:15" s="4" customFormat="1" ht="12.95" customHeight="1" x14ac:dyDescent="0.2">
      <c r="B44" s="20" t="s">
        <v>39</v>
      </c>
      <c r="C44" s="50"/>
      <c r="D44" s="200">
        <v>3805.8356889227998</v>
      </c>
      <c r="E44" s="199"/>
      <c r="F44" s="198">
        <v>3523.9014992817001</v>
      </c>
      <c r="G44" s="199"/>
      <c r="H44" s="200">
        <v>2599.6632148458002</v>
      </c>
      <c r="I44" s="198">
        <v>4.5720590861000003</v>
      </c>
      <c r="J44" s="199"/>
      <c r="K44" s="200">
        <v>2925.3042614681999</v>
      </c>
      <c r="L44" s="198">
        <v>4.7323538776999996</v>
      </c>
      <c r="M44" s="199"/>
      <c r="N44" s="198">
        <v>0</v>
      </c>
      <c r="O44" s="198">
        <v>0</v>
      </c>
    </row>
    <row r="45" spans="1:1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</row>
    <row r="46" spans="1:15" s="2" customFormat="1" ht="6" customHeight="1" x14ac:dyDescent="0.2">
      <c r="A46" s="63"/>
      <c r="B46" s="2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8"/>
      <c r="N46" s="28"/>
      <c r="O46" s="28"/>
    </row>
    <row r="47" spans="1:1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</row>
    <row r="48" spans="1:15" s="101" customFormat="1" ht="14.25" x14ac:dyDescent="0.2">
      <c r="B48" s="102" t="s">
        <v>75</v>
      </c>
    </row>
    <row r="49" spans="2:15" ht="12.75" customHeight="1" x14ac:dyDescent="0.25">
      <c r="B49" s="31"/>
      <c r="C49" s="46"/>
      <c r="D49" s="46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</row>
    <row r="50" spans="2:15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</row>
  </sheetData>
  <mergeCells count="9">
    <mergeCell ref="B5:M5"/>
    <mergeCell ref="B6:L6"/>
    <mergeCell ref="B7:C9"/>
    <mergeCell ref="D7:D9"/>
    <mergeCell ref="F7:F9"/>
    <mergeCell ref="H7:O7"/>
    <mergeCell ref="H8:I8"/>
    <mergeCell ref="K8:L8"/>
    <mergeCell ref="N8:O8"/>
  </mergeCells>
  <hyperlinks>
    <hyperlink ref="O1" location="Índice!A1" tooltip="Ir a ÍNDICE" display="INDICE" xr:uid="{1826EF75-7A93-4BB6-A22D-0A9B4EB2517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79D-29DE-493F-9618-CF59E5BD3C55}">
  <sheetPr>
    <pageSetUpPr fitToPage="1"/>
  </sheetPr>
  <dimension ref="A1:AP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2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0.42578125" style="1" customWidth="1" collapsed="1"/>
    <col min="10" max="10" width="1.7109375" style="1" customWidth="1" collapsed="1"/>
    <col min="11" max="12" width="11.42578125" style="1" customWidth="1" collapsed="1"/>
    <col min="13" max="13" width="1.7109375" style="2" customWidth="1"/>
    <col min="14" max="14" width="11.5703125" style="2" customWidth="1"/>
    <col min="15" max="15" width="10.7109375" style="2" customWidth="1"/>
    <col min="16" max="16" width="1.28515625" style="2" customWidth="1"/>
    <col min="17" max="17" width="9.85546875" style="1" customWidth="1"/>
    <col min="18" max="18" width="10.140625" style="1" customWidth="1" collapsed="1"/>
    <col min="19" max="42" width="11.42578125" style="1"/>
    <col min="43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5">
      <c r="B2" s="210"/>
      <c r="M2" s="70"/>
      <c r="N2" s="70"/>
      <c r="O2" s="70"/>
      <c r="P2" s="70"/>
    </row>
    <row r="3" spans="2:18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128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62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7" customHeight="1" x14ac:dyDescent="0.25">
      <c r="B7" s="245" t="s">
        <v>1</v>
      </c>
      <c r="C7" s="245"/>
      <c r="D7" s="248" t="s">
        <v>127</v>
      </c>
      <c r="E7" s="34"/>
      <c r="F7" s="248" t="s">
        <v>126</v>
      </c>
      <c r="G7" s="35"/>
      <c r="H7" s="251" t="s">
        <v>125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56.25" customHeight="1" x14ac:dyDescent="0.25">
      <c r="B8" s="246"/>
      <c r="C8" s="246"/>
      <c r="D8" s="249"/>
      <c r="E8" s="34"/>
      <c r="F8" s="249"/>
      <c r="G8" s="34"/>
      <c r="H8" s="252" t="s">
        <v>124</v>
      </c>
      <c r="I8" s="252"/>
      <c r="J8" s="195"/>
      <c r="K8" s="232" t="s">
        <v>123</v>
      </c>
      <c r="L8" s="232"/>
      <c r="M8" s="209"/>
      <c r="N8" s="232" t="s">
        <v>122</v>
      </c>
      <c r="O8" s="232"/>
      <c r="P8" s="209"/>
      <c r="Q8" s="232" t="s">
        <v>43</v>
      </c>
      <c r="R8" s="232"/>
    </row>
    <row r="9" spans="2:18" ht="23.2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173" t="s">
        <v>6</v>
      </c>
    </row>
    <row r="10" spans="2:18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207">
        <v>70670.395701062007</v>
      </c>
      <c r="E11" s="208"/>
      <c r="F11" s="207">
        <v>72577.544058940402</v>
      </c>
      <c r="G11" s="208"/>
      <c r="H11" s="207">
        <v>49983.172832349199</v>
      </c>
      <c r="I11" s="207">
        <v>1.0476056916000001</v>
      </c>
      <c r="J11" s="208"/>
      <c r="K11" s="207">
        <v>37809.001048523598</v>
      </c>
      <c r="L11" s="207">
        <v>0.91351861329999995</v>
      </c>
      <c r="M11" s="208"/>
      <c r="N11" s="207">
        <v>29833.2012089774</v>
      </c>
      <c r="O11" s="207">
        <v>0.76850379530000001</v>
      </c>
      <c r="P11" s="208"/>
      <c r="Q11" s="207">
        <v>23732.068513719099</v>
      </c>
      <c r="R11" s="207">
        <v>0.64358675799999998</v>
      </c>
    </row>
    <row r="12" spans="2:18" s="88" customFormat="1" ht="6" customHeight="1" x14ac:dyDescent="0.2">
      <c r="B12" s="40"/>
      <c r="C12" s="92"/>
      <c r="D12" s="205"/>
      <c r="E12" s="205"/>
      <c r="F12" s="205"/>
      <c r="G12" s="205"/>
      <c r="H12" s="205"/>
      <c r="I12" s="206"/>
      <c r="J12" s="205"/>
      <c r="K12" s="205"/>
      <c r="L12" s="206"/>
      <c r="M12" s="205"/>
      <c r="N12" s="205"/>
      <c r="O12" s="206"/>
      <c r="P12" s="205"/>
      <c r="Q12" s="205"/>
      <c r="R12" s="206"/>
    </row>
    <row r="13" spans="2:18" s="3" customFormat="1" ht="12.95" customHeight="1" x14ac:dyDescent="0.2">
      <c r="B13" s="20" t="s">
        <v>8</v>
      </c>
      <c r="C13" s="50"/>
      <c r="D13" s="200">
        <v>2924.3005511021001</v>
      </c>
      <c r="E13" s="205"/>
      <c r="F13" s="200">
        <v>2818.3011783262</v>
      </c>
      <c r="G13" s="205"/>
      <c r="H13" s="200">
        <v>2212.4533809570999</v>
      </c>
      <c r="I13" s="200">
        <v>5.1911827717000003</v>
      </c>
      <c r="J13" s="205"/>
      <c r="K13" s="200">
        <v>865.46473053039995</v>
      </c>
      <c r="L13" s="200">
        <v>3.4306253427</v>
      </c>
      <c r="M13" s="205"/>
      <c r="N13" s="200">
        <v>614.75489079600004</v>
      </c>
      <c r="O13" s="200">
        <v>2.5132494960999998</v>
      </c>
      <c r="P13" s="205"/>
      <c r="Q13" s="200">
        <v>1317.1813431174</v>
      </c>
      <c r="R13" s="200">
        <v>4.5722516221999996</v>
      </c>
    </row>
    <row r="14" spans="2:18" s="3" customFormat="1" ht="12.95" customHeight="1" x14ac:dyDescent="0.2">
      <c r="B14" s="20" t="s">
        <v>9</v>
      </c>
      <c r="C14" s="50"/>
      <c r="D14" s="200">
        <v>13819.6920516713</v>
      </c>
      <c r="E14" s="205"/>
      <c r="F14" s="200">
        <v>13827.7463366432</v>
      </c>
      <c r="G14" s="205"/>
      <c r="H14" s="200">
        <v>9171.2981851040004</v>
      </c>
      <c r="I14" s="200">
        <v>4.1954782990000004</v>
      </c>
      <c r="J14" s="205"/>
      <c r="K14" s="200">
        <v>7990.9525357900002</v>
      </c>
      <c r="L14" s="200">
        <v>3.7907946728000002</v>
      </c>
      <c r="M14" s="205"/>
      <c r="N14" s="200">
        <v>4930.2103458620004</v>
      </c>
      <c r="O14" s="200">
        <v>3.2887108817000001</v>
      </c>
      <c r="P14" s="205"/>
      <c r="Q14" s="200">
        <v>1891.8736552087</v>
      </c>
      <c r="R14" s="200">
        <v>1.2813526310000001</v>
      </c>
    </row>
    <row r="15" spans="2:18" s="3" customFormat="1" ht="12.95" customHeight="1" x14ac:dyDescent="0.2">
      <c r="B15" s="20" t="s">
        <v>10</v>
      </c>
      <c r="C15" s="50"/>
      <c r="D15" s="200">
        <v>2807.3341722545001</v>
      </c>
      <c r="E15" s="205"/>
      <c r="F15" s="200">
        <v>3891.2012862360998</v>
      </c>
      <c r="G15" s="205"/>
      <c r="H15" s="200">
        <v>3538.9657343306999</v>
      </c>
      <c r="I15" s="200">
        <v>10.7328758117</v>
      </c>
      <c r="J15" s="205"/>
      <c r="K15" s="200">
        <v>789.77053936779998</v>
      </c>
      <c r="L15" s="200">
        <v>3.1236131345999998</v>
      </c>
      <c r="M15" s="205"/>
      <c r="N15" s="200">
        <v>666.75707720280002</v>
      </c>
      <c r="O15" s="200">
        <v>2.4513538729</v>
      </c>
      <c r="P15" s="205"/>
      <c r="Q15" s="200">
        <v>1527.0261542758001</v>
      </c>
      <c r="R15" s="200">
        <v>4.6248242879000001</v>
      </c>
    </row>
    <row r="16" spans="2:18" s="3" customFormat="1" ht="12.95" customHeight="1" x14ac:dyDescent="0.2">
      <c r="B16" s="20" t="s">
        <v>11</v>
      </c>
      <c r="C16" s="50"/>
      <c r="D16" s="200">
        <v>2874.8637154904</v>
      </c>
      <c r="E16" s="205"/>
      <c r="F16" s="200">
        <v>2896.1423854270001</v>
      </c>
      <c r="G16" s="205"/>
      <c r="H16" s="200">
        <v>2168.7546019698998</v>
      </c>
      <c r="I16" s="200">
        <v>4.0449123332000001</v>
      </c>
      <c r="J16" s="205"/>
      <c r="K16" s="200">
        <v>1025.7426393471001</v>
      </c>
      <c r="L16" s="200">
        <v>2.4474705273000001</v>
      </c>
      <c r="M16" s="205"/>
      <c r="N16" s="200">
        <v>851.90317162969995</v>
      </c>
      <c r="O16" s="200">
        <v>2.3924246877000002</v>
      </c>
      <c r="P16" s="205"/>
      <c r="Q16" s="200">
        <v>958.88469642120003</v>
      </c>
      <c r="R16" s="200">
        <v>2.7276572100999998</v>
      </c>
    </row>
    <row r="17" spans="2:18" s="3" customFormat="1" ht="12.95" customHeight="1" x14ac:dyDescent="0.2">
      <c r="B17" s="20" t="s">
        <v>12</v>
      </c>
      <c r="C17" s="50"/>
      <c r="D17" s="200">
        <v>6866.9174794370001</v>
      </c>
      <c r="E17" s="205"/>
      <c r="F17" s="200">
        <v>6365.6254500121004</v>
      </c>
      <c r="G17" s="205"/>
      <c r="H17" s="200">
        <v>5380.2522988717001</v>
      </c>
      <c r="I17" s="200">
        <v>4.9810062234999997</v>
      </c>
      <c r="J17" s="205"/>
      <c r="K17" s="200">
        <v>3696.4712905995998</v>
      </c>
      <c r="L17" s="200">
        <v>4.2562833297999996</v>
      </c>
      <c r="M17" s="205"/>
      <c r="N17" s="200">
        <v>2754.3607863646998</v>
      </c>
      <c r="O17" s="200">
        <v>3.6176173280000001</v>
      </c>
      <c r="P17" s="205"/>
      <c r="Q17" s="200">
        <v>2120.2942413843002</v>
      </c>
      <c r="R17" s="200">
        <v>2.8258714443000001</v>
      </c>
    </row>
    <row r="18" spans="2:18" s="3" customFormat="1" ht="12.95" customHeight="1" x14ac:dyDescent="0.2">
      <c r="B18" s="20" t="s">
        <v>13</v>
      </c>
      <c r="C18" s="50"/>
      <c r="D18" s="200">
        <v>1617.1615657161999</v>
      </c>
      <c r="E18" s="205"/>
      <c r="F18" s="200">
        <v>1504.1047291351999</v>
      </c>
      <c r="G18" s="205"/>
      <c r="H18" s="200">
        <v>1377.5978900365001</v>
      </c>
      <c r="I18" s="200">
        <v>5.4444341431999996</v>
      </c>
      <c r="J18" s="205"/>
      <c r="K18" s="200">
        <v>771.83532910359997</v>
      </c>
      <c r="L18" s="200">
        <v>4.3389588449999996</v>
      </c>
      <c r="M18" s="205"/>
      <c r="N18" s="200">
        <v>610.01624514119999</v>
      </c>
      <c r="O18" s="200">
        <v>3.4782620245999998</v>
      </c>
      <c r="P18" s="205"/>
      <c r="Q18" s="200">
        <v>393.31349492610002</v>
      </c>
      <c r="R18" s="200">
        <v>2.3928510714</v>
      </c>
    </row>
    <row r="19" spans="2:18" s="3" customFormat="1" ht="12.95" customHeight="1" x14ac:dyDescent="0.2">
      <c r="B19" s="20" t="s">
        <v>14</v>
      </c>
      <c r="C19" s="50"/>
      <c r="D19" s="200">
        <v>15568.7479883658</v>
      </c>
      <c r="E19" s="199"/>
      <c r="F19" s="198">
        <v>16620.132077955801</v>
      </c>
      <c r="G19" s="199"/>
      <c r="H19" s="200">
        <v>8956.3771389154008</v>
      </c>
      <c r="I19" s="198">
        <v>3.3163612879</v>
      </c>
      <c r="J19" s="199"/>
      <c r="K19" s="200">
        <v>8390.1319844094996</v>
      </c>
      <c r="L19" s="198">
        <v>3.3617762493000001</v>
      </c>
      <c r="M19" s="199"/>
      <c r="N19" s="198">
        <v>7728.5231807053997</v>
      </c>
      <c r="O19" s="198">
        <v>2.8688564259999998</v>
      </c>
      <c r="P19" s="199"/>
      <c r="Q19" s="198">
        <v>4674.0644090555998</v>
      </c>
      <c r="R19" s="198">
        <v>2.1809850744000001</v>
      </c>
    </row>
    <row r="20" spans="2:18" s="4" customFormat="1" ht="12.95" customHeight="1" x14ac:dyDescent="0.2">
      <c r="B20" s="20" t="s">
        <v>15</v>
      </c>
      <c r="C20" s="50"/>
      <c r="D20" s="200">
        <v>7412.5778610476</v>
      </c>
      <c r="E20" s="199"/>
      <c r="F20" s="198">
        <v>6878.7678573073999</v>
      </c>
      <c r="G20" s="199"/>
      <c r="H20" s="200">
        <v>6409.5097608009</v>
      </c>
      <c r="I20" s="198">
        <v>4.8087531858999997</v>
      </c>
      <c r="J20" s="199"/>
      <c r="K20" s="200">
        <v>3489.9032875742</v>
      </c>
      <c r="L20" s="198">
        <v>3.9800029091</v>
      </c>
      <c r="M20" s="199"/>
      <c r="N20" s="198">
        <v>1538.0325094093</v>
      </c>
      <c r="O20" s="198">
        <v>1.9378549214</v>
      </c>
      <c r="P20" s="199"/>
      <c r="Q20" s="198">
        <v>2549.0403203547999</v>
      </c>
      <c r="R20" s="198">
        <v>3.1782094397999998</v>
      </c>
    </row>
    <row r="21" spans="2:18" s="4" customFormat="1" ht="12.95" customHeight="1" x14ac:dyDescent="0.2">
      <c r="B21" s="20" t="s">
        <v>16</v>
      </c>
      <c r="C21" s="50"/>
      <c r="D21" s="200">
        <v>28171.68969264</v>
      </c>
      <c r="E21" s="199"/>
      <c r="F21" s="198">
        <v>25294.026822551299</v>
      </c>
      <c r="G21" s="199"/>
      <c r="H21" s="200">
        <v>18425.440931780398</v>
      </c>
      <c r="I21" s="198">
        <v>3.6489700149000002</v>
      </c>
      <c r="J21" s="199"/>
      <c r="K21" s="200">
        <v>14980.020299795</v>
      </c>
      <c r="L21" s="198">
        <v>3.2754631423</v>
      </c>
      <c r="M21" s="199"/>
      <c r="N21" s="198">
        <v>10185.0596061496</v>
      </c>
      <c r="O21" s="198">
        <v>2.3685372858</v>
      </c>
      <c r="P21" s="199"/>
      <c r="Q21" s="198">
        <v>13159.976551</v>
      </c>
      <c r="R21" s="198">
        <v>2.8654170949000002</v>
      </c>
    </row>
    <row r="22" spans="2:18" s="4" customFormat="1" ht="12.95" customHeight="1" x14ac:dyDescent="0.2">
      <c r="B22" s="20" t="s">
        <v>17</v>
      </c>
      <c r="C22" s="50"/>
      <c r="D22" s="200">
        <v>3684.3599407262</v>
      </c>
      <c r="E22" s="199"/>
      <c r="F22" s="198">
        <v>3469.7364589781</v>
      </c>
      <c r="G22" s="199"/>
      <c r="H22" s="200">
        <v>3113.1903852987002</v>
      </c>
      <c r="I22" s="198">
        <v>4.3995456649999998</v>
      </c>
      <c r="J22" s="199"/>
      <c r="K22" s="200">
        <v>1236.5483424450999</v>
      </c>
      <c r="L22" s="198">
        <v>2.8335239107999999</v>
      </c>
      <c r="M22" s="199"/>
      <c r="N22" s="198">
        <v>756.07446723190003</v>
      </c>
      <c r="O22" s="198">
        <v>1.8861269225999999</v>
      </c>
      <c r="P22" s="199"/>
      <c r="Q22" s="198">
        <v>1429.5910391074999</v>
      </c>
      <c r="R22" s="198">
        <v>3.2572972123000001</v>
      </c>
    </row>
    <row r="23" spans="2:18" s="4" customFormat="1" ht="12.95" customHeight="1" x14ac:dyDescent="0.2">
      <c r="B23" s="20" t="s">
        <v>18</v>
      </c>
      <c r="C23" s="50"/>
      <c r="D23" s="200">
        <v>12837.7889714542</v>
      </c>
      <c r="E23" s="199"/>
      <c r="F23" s="198">
        <v>12693.5731274191</v>
      </c>
      <c r="G23" s="199"/>
      <c r="H23" s="200">
        <v>9107.4582616293992</v>
      </c>
      <c r="I23" s="198">
        <v>4.3069805111999999</v>
      </c>
      <c r="J23" s="199"/>
      <c r="K23" s="200">
        <v>7425.5428290027003</v>
      </c>
      <c r="L23" s="198">
        <v>4.0960713260999997</v>
      </c>
      <c r="M23" s="199"/>
      <c r="N23" s="198">
        <v>3838.2457997404999</v>
      </c>
      <c r="O23" s="198">
        <v>2.4089941153000001</v>
      </c>
      <c r="P23" s="199"/>
      <c r="Q23" s="198">
        <v>5959.5379689414003</v>
      </c>
      <c r="R23" s="198">
        <v>3.5376075385000001</v>
      </c>
    </row>
    <row r="24" spans="2:18" s="4" customFormat="1" ht="12.95" customHeight="1" x14ac:dyDescent="0.2">
      <c r="B24" s="20" t="s">
        <v>19</v>
      </c>
      <c r="C24" s="50"/>
      <c r="D24" s="200">
        <v>10988.599929616899</v>
      </c>
      <c r="E24" s="199"/>
      <c r="F24" s="198">
        <v>10817.1536884834</v>
      </c>
      <c r="G24" s="199"/>
      <c r="H24" s="200">
        <v>8263.0227732050007</v>
      </c>
      <c r="I24" s="198">
        <v>3.6477459204999998</v>
      </c>
      <c r="J24" s="199"/>
      <c r="K24" s="200">
        <v>6172.9946755599003</v>
      </c>
      <c r="L24" s="198">
        <v>3.3320128449999999</v>
      </c>
      <c r="M24" s="199"/>
      <c r="N24" s="198">
        <v>2972.4651439262998</v>
      </c>
      <c r="O24" s="198">
        <v>1.7881720848</v>
      </c>
      <c r="P24" s="199"/>
      <c r="Q24" s="198">
        <v>2814.3215575641998</v>
      </c>
      <c r="R24" s="198">
        <v>1.8347102042000001</v>
      </c>
    </row>
    <row r="25" spans="2:18" s="4" customFormat="1" ht="12.95" customHeight="1" x14ac:dyDescent="0.2">
      <c r="B25" s="20" t="s">
        <v>20</v>
      </c>
      <c r="C25" s="50"/>
      <c r="D25" s="200">
        <v>5782.3786452833001</v>
      </c>
      <c r="E25" s="199"/>
      <c r="F25" s="198">
        <v>5861.0027385804997</v>
      </c>
      <c r="G25" s="199"/>
      <c r="H25" s="200">
        <v>3912.378377129</v>
      </c>
      <c r="I25" s="198">
        <v>5.3323073132000003</v>
      </c>
      <c r="J25" s="199"/>
      <c r="K25" s="200">
        <v>3152.8798143032</v>
      </c>
      <c r="L25" s="198">
        <v>4.6875948525000002</v>
      </c>
      <c r="M25" s="199"/>
      <c r="N25" s="198">
        <v>3012.1399959235</v>
      </c>
      <c r="O25" s="198">
        <v>4.6272483392000003</v>
      </c>
      <c r="P25" s="199"/>
      <c r="Q25" s="198">
        <v>1555.1233558663</v>
      </c>
      <c r="R25" s="198">
        <v>2.6623708617999999</v>
      </c>
    </row>
    <row r="26" spans="2:18" s="4" customFormat="1" ht="12.95" customHeight="1" x14ac:dyDescent="0.2">
      <c r="B26" s="20" t="s">
        <v>21</v>
      </c>
      <c r="C26" s="50"/>
      <c r="D26" s="200">
        <v>15848.4741114155</v>
      </c>
      <c r="E26" s="199"/>
      <c r="F26" s="198">
        <v>14618.306277780201</v>
      </c>
      <c r="G26" s="199"/>
      <c r="H26" s="200">
        <v>12248.301293971601</v>
      </c>
      <c r="I26" s="198">
        <v>4.5321813080000002</v>
      </c>
      <c r="J26" s="199"/>
      <c r="K26" s="200">
        <v>7684.4991226718003</v>
      </c>
      <c r="L26" s="198">
        <v>3.5628148425999999</v>
      </c>
      <c r="M26" s="199"/>
      <c r="N26" s="198">
        <v>6543.5721532097004</v>
      </c>
      <c r="O26" s="198">
        <v>3.6670795345</v>
      </c>
      <c r="P26" s="199"/>
      <c r="Q26" s="198">
        <v>2578.3007970366998</v>
      </c>
      <c r="R26" s="198">
        <v>1.4070859135</v>
      </c>
    </row>
    <row r="27" spans="2:18" s="4" customFormat="1" ht="12.95" customHeight="1" x14ac:dyDescent="0.2">
      <c r="B27" s="20" t="s">
        <v>22</v>
      </c>
      <c r="C27" s="50"/>
      <c r="D27" s="200">
        <v>39733.183092832202</v>
      </c>
      <c r="E27" s="199"/>
      <c r="F27" s="198">
        <v>45221.014185847198</v>
      </c>
      <c r="G27" s="199"/>
      <c r="H27" s="200">
        <v>24026.484560902099</v>
      </c>
      <c r="I27" s="198">
        <v>5.0502383994000004</v>
      </c>
      <c r="J27" s="199"/>
      <c r="K27" s="200">
        <v>23383.695638497498</v>
      </c>
      <c r="L27" s="198">
        <v>4.8165478826000001</v>
      </c>
      <c r="M27" s="199"/>
      <c r="N27" s="198">
        <v>21791.304325369601</v>
      </c>
      <c r="O27" s="198">
        <v>4.3697252962000004</v>
      </c>
      <c r="P27" s="199"/>
      <c r="Q27" s="198">
        <v>13512.244332145599</v>
      </c>
      <c r="R27" s="198">
        <v>3.2769108128000002</v>
      </c>
    </row>
    <row r="28" spans="2:18" s="4" customFormat="1" ht="12.95" customHeight="1" x14ac:dyDescent="0.2">
      <c r="B28" s="20" t="s">
        <v>23</v>
      </c>
      <c r="C28" s="50"/>
      <c r="D28" s="200">
        <v>12656.2517035245</v>
      </c>
      <c r="E28" s="199"/>
      <c r="F28" s="198">
        <v>12158.4221263979</v>
      </c>
      <c r="G28" s="199"/>
      <c r="H28" s="200">
        <v>7258.9086613610998</v>
      </c>
      <c r="I28" s="198">
        <v>4.8275086354000001</v>
      </c>
      <c r="J28" s="199"/>
      <c r="K28" s="200">
        <v>6828.9813097684</v>
      </c>
      <c r="L28" s="198">
        <v>4.3719691920999999</v>
      </c>
      <c r="M28" s="199"/>
      <c r="N28" s="198">
        <v>3363.3698504023</v>
      </c>
      <c r="O28" s="198">
        <v>2.7148578751999999</v>
      </c>
      <c r="P28" s="199"/>
      <c r="Q28" s="198">
        <v>3585.6585676080999</v>
      </c>
      <c r="R28" s="198">
        <v>2.9065762770000001</v>
      </c>
    </row>
    <row r="29" spans="2:18" s="4" customFormat="1" ht="12.95" customHeight="1" x14ac:dyDescent="0.2">
      <c r="B29" s="20" t="s">
        <v>24</v>
      </c>
      <c r="C29" s="50"/>
      <c r="D29" s="200">
        <v>4442.3953586406997</v>
      </c>
      <c r="E29" s="199"/>
      <c r="F29" s="198">
        <v>4771.6417496665999</v>
      </c>
      <c r="G29" s="199"/>
      <c r="H29" s="200">
        <v>3703.9284193368999</v>
      </c>
      <c r="I29" s="198">
        <v>4.8551097613999996</v>
      </c>
      <c r="J29" s="199"/>
      <c r="K29" s="200">
        <v>1967.0995942789</v>
      </c>
      <c r="L29" s="198">
        <v>3.7996248573</v>
      </c>
      <c r="M29" s="199"/>
      <c r="N29" s="198">
        <v>1673.7093936548999</v>
      </c>
      <c r="O29" s="198">
        <v>3.0818973033999999</v>
      </c>
      <c r="P29" s="199"/>
      <c r="Q29" s="198">
        <v>1631.5023685225001</v>
      </c>
      <c r="R29" s="198">
        <v>3.1993451092999998</v>
      </c>
    </row>
    <row r="30" spans="2:18" s="4" customFormat="1" ht="12.95" customHeight="1" x14ac:dyDescent="0.2">
      <c r="B30" s="20" t="s">
        <v>25</v>
      </c>
      <c r="C30" s="50"/>
      <c r="D30" s="200">
        <v>3344.0329417950002</v>
      </c>
      <c r="E30" s="199"/>
      <c r="F30" s="198">
        <v>3300.2068231491999</v>
      </c>
      <c r="G30" s="199"/>
      <c r="H30" s="200">
        <v>2394.9891990092001</v>
      </c>
      <c r="I30" s="198">
        <v>4.7745753783999998</v>
      </c>
      <c r="J30" s="199"/>
      <c r="K30" s="200">
        <v>1858.6526184579</v>
      </c>
      <c r="L30" s="198">
        <v>4.3528991079999999</v>
      </c>
      <c r="M30" s="199"/>
      <c r="N30" s="198">
        <v>906.76534850040002</v>
      </c>
      <c r="O30" s="198">
        <v>2.5756326378000001</v>
      </c>
      <c r="P30" s="199"/>
      <c r="Q30" s="198">
        <v>601.78679478599997</v>
      </c>
      <c r="R30" s="198">
        <v>1.8067998590000001</v>
      </c>
    </row>
    <row r="31" spans="2:18" s="4" customFormat="1" ht="12.95" customHeight="1" x14ac:dyDescent="0.2">
      <c r="B31" s="20" t="s">
        <v>26</v>
      </c>
      <c r="C31" s="50"/>
      <c r="D31" s="200">
        <v>10825.2720865384</v>
      </c>
      <c r="E31" s="199"/>
      <c r="F31" s="198">
        <v>9804.4641525071002</v>
      </c>
      <c r="G31" s="199"/>
      <c r="H31" s="200">
        <v>8828.2540883407</v>
      </c>
      <c r="I31" s="198">
        <v>4.6855501968000004</v>
      </c>
      <c r="J31" s="199"/>
      <c r="K31" s="200">
        <v>3560.5866095913998</v>
      </c>
      <c r="L31" s="198">
        <v>3.7711177623999999</v>
      </c>
      <c r="M31" s="199"/>
      <c r="N31" s="198">
        <v>3076.3776364721002</v>
      </c>
      <c r="O31" s="198">
        <v>3.5923040271</v>
      </c>
      <c r="P31" s="199"/>
      <c r="Q31" s="198">
        <v>2283.3919089276001</v>
      </c>
      <c r="R31" s="198">
        <v>2.7774159385999999</v>
      </c>
    </row>
    <row r="32" spans="2:18" s="4" customFormat="1" ht="12.95" customHeight="1" x14ac:dyDescent="0.2">
      <c r="B32" s="20" t="s">
        <v>27</v>
      </c>
      <c r="C32" s="50"/>
      <c r="D32" s="200">
        <v>11774.378275654701</v>
      </c>
      <c r="E32" s="199"/>
      <c r="F32" s="198">
        <v>12281.484766307</v>
      </c>
      <c r="G32" s="199"/>
      <c r="H32" s="200">
        <v>10070.224609623199</v>
      </c>
      <c r="I32" s="198">
        <v>4.1111308198999996</v>
      </c>
      <c r="J32" s="199"/>
      <c r="K32" s="200">
        <v>4108.3772044497</v>
      </c>
      <c r="L32" s="198">
        <v>2.9020688798999998</v>
      </c>
      <c r="M32" s="199"/>
      <c r="N32" s="198">
        <v>4678.4681159144002</v>
      </c>
      <c r="O32" s="198">
        <v>3.3489908018999999</v>
      </c>
      <c r="P32" s="199"/>
      <c r="Q32" s="198">
        <v>2806.3436876162</v>
      </c>
      <c r="R32" s="198">
        <v>2.0786626402000001</v>
      </c>
    </row>
    <row r="33" spans="1:18" s="4" customFormat="1" ht="12.95" customHeight="1" x14ac:dyDescent="0.2">
      <c r="B33" s="20" t="s">
        <v>28</v>
      </c>
      <c r="C33" s="50"/>
      <c r="D33" s="200">
        <v>16870.785521105801</v>
      </c>
      <c r="E33" s="199"/>
      <c r="F33" s="198">
        <v>18549.593796690599</v>
      </c>
      <c r="G33" s="199"/>
      <c r="H33" s="200">
        <v>15824.495692928</v>
      </c>
      <c r="I33" s="198">
        <v>4.6639283811999999</v>
      </c>
      <c r="J33" s="199"/>
      <c r="K33" s="200">
        <v>6806.9666210992</v>
      </c>
      <c r="L33" s="198">
        <v>3.6154519738999999</v>
      </c>
      <c r="M33" s="199"/>
      <c r="N33" s="198">
        <v>4758.9621520995997</v>
      </c>
      <c r="O33" s="198">
        <v>2.6517613624999998</v>
      </c>
      <c r="P33" s="199"/>
      <c r="Q33" s="198">
        <v>5510.9118675027003</v>
      </c>
      <c r="R33" s="198">
        <v>3.0051153043999999</v>
      </c>
    </row>
    <row r="34" spans="1:18" s="4" customFormat="1" ht="12.95" customHeight="1" x14ac:dyDescent="0.2">
      <c r="B34" s="20" t="s">
        <v>29</v>
      </c>
      <c r="C34" s="50"/>
      <c r="D34" s="200">
        <v>6120.9979683893998</v>
      </c>
      <c r="E34" s="199"/>
      <c r="F34" s="198">
        <v>6507.0424060597998</v>
      </c>
      <c r="G34" s="199"/>
      <c r="H34" s="200">
        <v>4719.8239029413999</v>
      </c>
      <c r="I34" s="198">
        <v>7.6780605102999999</v>
      </c>
      <c r="J34" s="199"/>
      <c r="K34" s="200">
        <v>3730.7343432189</v>
      </c>
      <c r="L34" s="198">
        <v>5.9399026332</v>
      </c>
      <c r="M34" s="199"/>
      <c r="N34" s="198">
        <v>1579.8735107151001</v>
      </c>
      <c r="O34" s="198">
        <v>3.0935314888000001</v>
      </c>
      <c r="P34" s="199"/>
      <c r="Q34" s="198">
        <v>2616.2937109681002</v>
      </c>
      <c r="R34" s="198">
        <v>4.7844252847000002</v>
      </c>
    </row>
    <row r="35" spans="1:18" s="4" customFormat="1" ht="12.95" customHeight="1" x14ac:dyDescent="0.2">
      <c r="B35" s="20" t="s">
        <v>30</v>
      </c>
      <c r="C35" s="50"/>
      <c r="D35" s="200">
        <v>7050.9872404261996</v>
      </c>
      <c r="E35" s="199"/>
      <c r="F35" s="198">
        <v>7039.4424401155002</v>
      </c>
      <c r="G35" s="199"/>
      <c r="H35" s="200">
        <v>4541.9558951876998</v>
      </c>
      <c r="I35" s="198">
        <v>4.7357764050000002</v>
      </c>
      <c r="J35" s="199"/>
      <c r="K35" s="200">
        <v>2714.4759002982</v>
      </c>
      <c r="L35" s="198">
        <v>3.3807769571000001</v>
      </c>
      <c r="M35" s="199"/>
      <c r="N35" s="198">
        <v>2253.3478262872</v>
      </c>
      <c r="O35" s="198">
        <v>2.8874094302</v>
      </c>
      <c r="P35" s="199"/>
      <c r="Q35" s="198">
        <v>3121.2698318899002</v>
      </c>
      <c r="R35" s="198">
        <v>4.0903559984999998</v>
      </c>
    </row>
    <row r="36" spans="1:18" s="4" customFormat="1" ht="12.95" customHeight="1" x14ac:dyDescent="0.2">
      <c r="B36" s="20" t="s">
        <v>31</v>
      </c>
      <c r="C36" s="50"/>
      <c r="D36" s="200">
        <v>5549.1687914104996</v>
      </c>
      <c r="E36" s="199"/>
      <c r="F36" s="198">
        <v>5971.8766611155997</v>
      </c>
      <c r="G36" s="199"/>
      <c r="H36" s="200">
        <v>4307.8310508633003</v>
      </c>
      <c r="I36" s="198">
        <v>5.6761199218999998</v>
      </c>
      <c r="J36" s="199"/>
      <c r="K36" s="200">
        <v>3698.3142237947</v>
      </c>
      <c r="L36" s="198">
        <v>6.2725839650999999</v>
      </c>
      <c r="M36" s="199"/>
      <c r="N36" s="198">
        <v>1988.9273564583</v>
      </c>
      <c r="O36" s="198">
        <v>3.2405218696000002</v>
      </c>
      <c r="P36" s="199"/>
      <c r="Q36" s="198">
        <v>1451.5505032879</v>
      </c>
      <c r="R36" s="198">
        <v>2.4870320558999999</v>
      </c>
    </row>
    <row r="37" spans="1:18" s="4" customFormat="1" ht="12.95" customHeight="1" x14ac:dyDescent="0.2">
      <c r="B37" s="20" t="s">
        <v>32</v>
      </c>
      <c r="C37" s="50"/>
      <c r="D37" s="200">
        <v>8014.0583236923003</v>
      </c>
      <c r="E37" s="199"/>
      <c r="F37" s="198">
        <v>7933.4154624621997</v>
      </c>
      <c r="G37" s="199"/>
      <c r="H37" s="200">
        <v>6079.5263233196001</v>
      </c>
      <c r="I37" s="198">
        <v>3.2977125710999999</v>
      </c>
      <c r="J37" s="199"/>
      <c r="K37" s="200">
        <v>5359.6039814648002</v>
      </c>
      <c r="L37" s="198">
        <v>3.6716408747</v>
      </c>
      <c r="M37" s="199"/>
      <c r="N37" s="198">
        <v>2620.0940648116998</v>
      </c>
      <c r="O37" s="198">
        <v>2.0483564178</v>
      </c>
      <c r="P37" s="199"/>
      <c r="Q37" s="198">
        <v>1879.423862074</v>
      </c>
      <c r="R37" s="198">
        <v>1.5162348837999999</v>
      </c>
    </row>
    <row r="38" spans="1:18" s="4" customFormat="1" ht="12.95" customHeight="1" x14ac:dyDescent="0.2">
      <c r="B38" s="20" t="s">
        <v>33</v>
      </c>
      <c r="C38" s="50"/>
      <c r="D38" s="200">
        <v>6835.3100867962003</v>
      </c>
      <c r="E38" s="199"/>
      <c r="F38" s="198">
        <v>7329.8873157703001</v>
      </c>
      <c r="G38" s="199"/>
      <c r="H38" s="200">
        <v>6574.6647719821003</v>
      </c>
      <c r="I38" s="198">
        <v>4.9352387018000003</v>
      </c>
      <c r="J38" s="199"/>
      <c r="K38" s="200">
        <v>2344.4378706758998</v>
      </c>
      <c r="L38" s="198">
        <v>2.5168313205000001</v>
      </c>
      <c r="M38" s="199"/>
      <c r="N38" s="198">
        <v>1958.1145702291001</v>
      </c>
      <c r="O38" s="198">
        <v>2.1930311827</v>
      </c>
      <c r="P38" s="199"/>
      <c r="Q38" s="198">
        <v>2377.7704457273999</v>
      </c>
      <c r="R38" s="198">
        <v>2.5811604557000001</v>
      </c>
    </row>
    <row r="39" spans="1:18" s="4" customFormat="1" ht="12.95" customHeight="1" x14ac:dyDescent="0.2">
      <c r="B39" s="20" t="s">
        <v>34</v>
      </c>
      <c r="C39" s="50"/>
      <c r="D39" s="200">
        <v>7386.2129897649002</v>
      </c>
      <c r="E39" s="199"/>
      <c r="F39" s="198">
        <v>7858.2725593404002</v>
      </c>
      <c r="G39" s="199"/>
      <c r="H39" s="200">
        <v>4902.0020223193997</v>
      </c>
      <c r="I39" s="198">
        <v>3.6560749166000002</v>
      </c>
      <c r="J39" s="199"/>
      <c r="K39" s="200">
        <v>3878.7876332394999</v>
      </c>
      <c r="L39" s="198">
        <v>3.9555680094999999</v>
      </c>
      <c r="M39" s="199"/>
      <c r="N39" s="198">
        <v>2614.7662433511</v>
      </c>
      <c r="O39" s="198">
        <v>2.8717113874</v>
      </c>
      <c r="P39" s="199"/>
      <c r="Q39" s="198">
        <v>1439.0973987125999</v>
      </c>
      <c r="R39" s="198">
        <v>1.650409311</v>
      </c>
    </row>
    <row r="40" spans="1:18" s="4" customFormat="1" ht="12.95" customHeight="1" x14ac:dyDescent="0.2">
      <c r="B40" s="20" t="s">
        <v>35</v>
      </c>
      <c r="C40" s="50"/>
      <c r="D40" s="200">
        <v>7083.3152061095998</v>
      </c>
      <c r="E40" s="199"/>
      <c r="F40" s="198">
        <v>6078.8975127148997</v>
      </c>
      <c r="G40" s="199"/>
      <c r="H40" s="200">
        <v>5790.9233145033004</v>
      </c>
      <c r="I40" s="198">
        <v>4.2864557573999997</v>
      </c>
      <c r="J40" s="199"/>
      <c r="K40" s="200">
        <v>2675.3783770015998</v>
      </c>
      <c r="L40" s="198">
        <v>3.3808950742000001</v>
      </c>
      <c r="M40" s="199"/>
      <c r="N40" s="198">
        <v>2456.528718474</v>
      </c>
      <c r="O40" s="198">
        <v>3.1091254121</v>
      </c>
      <c r="P40" s="199"/>
      <c r="Q40" s="198">
        <v>1526.502271693</v>
      </c>
      <c r="R40" s="198">
        <v>2.0247714347999999</v>
      </c>
    </row>
    <row r="41" spans="1:18" s="4" customFormat="1" ht="12.95" customHeight="1" x14ac:dyDescent="0.2">
      <c r="B41" s="20" t="s">
        <v>36</v>
      </c>
      <c r="C41" s="50"/>
      <c r="D41" s="200">
        <v>2811.1791832447998</v>
      </c>
      <c r="E41" s="199"/>
      <c r="F41" s="198">
        <v>3103.7947419819998</v>
      </c>
      <c r="G41" s="199"/>
      <c r="H41" s="200">
        <v>2389.5013713767999</v>
      </c>
      <c r="I41" s="198">
        <v>3.7103463330999999</v>
      </c>
      <c r="J41" s="199"/>
      <c r="K41" s="200">
        <v>1421.6923996547</v>
      </c>
      <c r="L41" s="198">
        <v>2.8940884088000001</v>
      </c>
      <c r="M41" s="199"/>
      <c r="N41" s="198">
        <v>957.56621383859999</v>
      </c>
      <c r="O41" s="198">
        <v>2.0962934508000002</v>
      </c>
      <c r="P41" s="199"/>
      <c r="Q41" s="198">
        <v>810.11383084500005</v>
      </c>
      <c r="R41" s="198">
        <v>1.8714735863</v>
      </c>
    </row>
    <row r="42" spans="1:18" s="4" customFormat="1" ht="12.95" customHeight="1" x14ac:dyDescent="0.2">
      <c r="B42" s="20" t="s">
        <v>37</v>
      </c>
      <c r="C42" s="50"/>
      <c r="D42" s="200">
        <v>18920.755519556002</v>
      </c>
      <c r="E42" s="199"/>
      <c r="F42" s="198">
        <v>16939.287808414199</v>
      </c>
      <c r="G42" s="199"/>
      <c r="H42" s="200">
        <v>15888.560838375101</v>
      </c>
      <c r="I42" s="198">
        <v>3.9747144126</v>
      </c>
      <c r="J42" s="199"/>
      <c r="K42" s="200">
        <v>10009.55806489</v>
      </c>
      <c r="L42" s="198">
        <v>3.7610207364999999</v>
      </c>
      <c r="M42" s="199"/>
      <c r="N42" s="198">
        <v>5505.0117605247997</v>
      </c>
      <c r="O42" s="198">
        <v>2.1693903376999999</v>
      </c>
      <c r="P42" s="199"/>
      <c r="Q42" s="198">
        <v>3958.6214652949998</v>
      </c>
      <c r="R42" s="198">
        <v>1.6095302178999999</v>
      </c>
    </row>
    <row r="43" spans="1:18" s="4" customFormat="1" ht="12.95" customHeight="1" x14ac:dyDescent="0.2">
      <c r="B43" s="20" t="s">
        <v>38</v>
      </c>
      <c r="C43" s="50"/>
      <c r="D43" s="200">
        <v>6077.0719938482998</v>
      </c>
      <c r="E43" s="199"/>
      <c r="F43" s="198">
        <v>6015.2845956101</v>
      </c>
      <c r="G43" s="199"/>
      <c r="H43" s="200">
        <v>5701.8221566634002</v>
      </c>
      <c r="I43" s="198">
        <v>4.0957444334000002</v>
      </c>
      <c r="J43" s="199"/>
      <c r="K43" s="200">
        <v>2597.4280639549002</v>
      </c>
      <c r="L43" s="198">
        <v>3.275118413</v>
      </c>
      <c r="M43" s="199"/>
      <c r="N43" s="198">
        <v>1651.2669880373001</v>
      </c>
      <c r="O43" s="198">
        <v>2.2337155686000001</v>
      </c>
      <c r="P43" s="199"/>
      <c r="Q43" s="198">
        <v>1553.9726809158001</v>
      </c>
      <c r="R43" s="198">
        <v>2.1580196226999999</v>
      </c>
    </row>
    <row r="44" spans="1:18" s="4" customFormat="1" ht="12.95" customHeight="1" x14ac:dyDescent="0.2">
      <c r="B44" s="20" t="s">
        <v>39</v>
      </c>
      <c r="C44" s="51"/>
      <c r="D44" s="200">
        <v>2717.3229973936</v>
      </c>
      <c r="E44" s="199"/>
      <c r="F44" s="198">
        <v>2704.9520925382999</v>
      </c>
      <c r="G44" s="199"/>
      <c r="H44" s="200">
        <v>2266.3630388646002</v>
      </c>
      <c r="I44" s="198">
        <v>5.9752239963999996</v>
      </c>
      <c r="J44" s="199"/>
      <c r="K44" s="200">
        <v>1115.6998613226999</v>
      </c>
      <c r="L44" s="198">
        <v>4.2693698339999999</v>
      </c>
      <c r="M44" s="199"/>
      <c r="N44" s="198">
        <v>1224.308614416</v>
      </c>
      <c r="O44" s="198">
        <v>4.6604498526000002</v>
      </c>
      <c r="P44" s="199"/>
      <c r="Q44" s="198">
        <v>987.41234210100004</v>
      </c>
      <c r="R44" s="198">
        <v>4.0268396068000003</v>
      </c>
    </row>
    <row r="45" spans="1:18" s="2" customFormat="1" ht="6" customHeight="1" x14ac:dyDescent="0.2">
      <c r="A45" s="63"/>
      <c r="B45" s="204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</row>
    <row r="46" spans="1:18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</row>
    <row r="47" spans="1:18" s="124" customFormat="1" ht="11.25" x14ac:dyDescent="0.2">
      <c r="A47" s="100"/>
      <c r="B47" s="50" t="s">
        <v>121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</row>
    <row r="48" spans="1:18" s="124" customFormat="1" ht="11.25" x14ac:dyDescent="0.2">
      <c r="A48" s="100"/>
      <c r="B48" s="50" t="s">
        <v>120</v>
      </c>
      <c r="C48" s="43"/>
      <c r="D48" s="120"/>
      <c r="E48" s="120"/>
      <c r="F48" s="120"/>
      <c r="G48" s="121"/>
      <c r="H48" s="43"/>
      <c r="I48" s="120"/>
      <c r="J48" s="121"/>
      <c r="K48" s="43"/>
      <c r="L48" s="120"/>
      <c r="M48" s="121"/>
      <c r="N48" s="43"/>
      <c r="O48" s="120"/>
      <c r="P48" s="121"/>
      <c r="Q48" s="43"/>
      <c r="R48" s="120"/>
    </row>
    <row r="49" spans="2:18" s="101" customFormat="1" ht="14.25" x14ac:dyDescent="0.2">
      <c r="B49" s="102" t="s">
        <v>75</v>
      </c>
    </row>
    <row r="50" spans="2:18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28"/>
      <c r="Q50" s="31"/>
      <c r="R50" s="31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5F71D821-B98E-4DC3-8C07-AF74638AC5D8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41ADFD-1EAF-4537-9476-86DD1C74F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C19A8-9362-493A-882F-5C8843122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08472-C8A6-41F2-82F6-20D8447A3473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e829ce69-67eb-47dd-9407-4f8adfa19fc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2020-11-05T19:56:53Z</dcterms:created>
  <dcterms:modified xsi:type="dcterms:W3CDTF">2021-08-19T15:52:01Z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