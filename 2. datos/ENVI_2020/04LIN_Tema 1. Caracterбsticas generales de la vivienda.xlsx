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75A43591-E3AF-46ED-9E64-2925EC43BCDC}" xr6:coauthVersionLast="47" xr6:coauthVersionMax="47" xr10:uidLastSave="{00000000-0000-0000-0000-000000000000}"/>
  <bookViews>
    <workbookView xWindow="20370" yWindow="-120" windowWidth="29040" windowHeight="15840" tabRatio="968" xr2:uid="{00000000-000D-0000-FFFF-FFFF00000000}"/>
  </bookViews>
  <sheets>
    <sheet name="Índice" sheetId="92" r:id="rId1"/>
    <sheet name="Cuadro 1.1" sheetId="105" r:id="rId2"/>
    <sheet name="Cuadro 1.2" sheetId="93" r:id="rId3"/>
    <sheet name="Cuadro 1.3" sheetId="94" r:id="rId4"/>
    <sheet name="Cuadro 1.4" sheetId="95" r:id="rId5"/>
    <sheet name="Cuadro 1.5" sheetId="96" r:id="rId6"/>
    <sheet name="Cuadro 1.6" sheetId="97" r:id="rId7"/>
    <sheet name="Cuadro 1.7" sheetId="98" r:id="rId8"/>
    <sheet name="Cuadro 1.8" sheetId="100" r:id="rId9"/>
    <sheet name="Cuadro 1.9" sheetId="106" r:id="rId10"/>
    <sheet name="Cuadro 1.10" sheetId="101" r:id="rId11"/>
    <sheet name="Cuadro 1.11" sheetId="102" r:id="rId12"/>
    <sheet name="Cuadro 1.12" sheetId="103" r:id="rId13"/>
  </sheets>
  <externalReferences>
    <externalReference r:id="rId14"/>
  </externalReferences>
  <definedNames>
    <definedName name="\p">#N/A</definedName>
    <definedName name="\s">#N/A</definedName>
    <definedName name="_xlnm._FilterDatabase" localSheetId="11" hidden="1">'Cuadro 1.11'!$D$11:$P$44</definedName>
    <definedName name="_xlnm._FilterDatabase" localSheetId="3" hidden="1">'Cuadro 1.3'!$D$11:$M$44</definedName>
    <definedName name="_xlnm._FilterDatabase" localSheetId="4" hidden="1">'Cuadro 1.4'!$D$11:$P$45</definedName>
    <definedName name="_xlnm._FilterDatabase" localSheetId="7" hidden="1">'Cuadro 1.7'!$D$11:$P$17</definedName>
    <definedName name="_xlnm._FilterDatabase" localSheetId="8" hidden="1">'Cuadro 1.8'!$D$11:$P$45</definedName>
    <definedName name="A_impresión_IM" localSheetId="1">#REF!</definedName>
    <definedName name="A_impresión_IM" localSheetId="11">#REF!</definedName>
    <definedName name="A_impresión_IM" localSheetId="12">#REF!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_xlnm.Print_Area" localSheetId="1">'Cuadro 1.1'!$B$1:$F$17</definedName>
    <definedName name="_xlnm.Print_Area" localSheetId="10">'Cuadro 1.10'!$B$1:$J$46</definedName>
    <definedName name="_xlnm.Print_Area" localSheetId="11">'Cuadro 1.11'!$B$1:$W$49</definedName>
    <definedName name="_xlnm.Print_Area" localSheetId="12">'Cuadro 1.12'!$B$1:$V$21</definedName>
    <definedName name="_xlnm.Print_Area" localSheetId="2">'Cuadro 1.2'!$B$1:$E$31</definedName>
    <definedName name="_xlnm.Print_Area" localSheetId="4">'Cuadro 1.4'!$B$1:$V$46</definedName>
    <definedName name="_xlnm.Print_Area" localSheetId="5">'Cuadro 1.5'!$B$1:$V$18</definedName>
    <definedName name="_xlnm.Print_Area" localSheetId="6">'Cuadro 1.6'!$B$1:$AB$46</definedName>
    <definedName name="_xlnm.Print_Area" localSheetId="7">'Cuadro 1.7'!$B$1:$AB$18</definedName>
    <definedName name="_xlnm.Print_Area" localSheetId="8">'Cuadro 1.8'!$B$1:$V$46</definedName>
    <definedName name="_xlnm.Print_Area" localSheetId="9">'Cuadro 1.9'!$B$1:$V$18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1">#REF!</definedName>
    <definedName name="paso" localSheetId="12">#REF!</definedName>
    <definedName name="paso" localSheetId="7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1">#REF!</definedName>
    <definedName name="prueba" localSheetId="12">#REF!</definedName>
    <definedName name="prueba" localSheetId="7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2" l="1"/>
</calcChain>
</file>

<file path=xl/sharedStrings.xml><?xml version="1.0" encoding="utf-8"?>
<sst xmlns="http://schemas.openxmlformats.org/spreadsheetml/2006/main" count="580" uniqueCount="145">
  <si>
    <t>Viviendas particulares habitadas por tamaño de localidad según número de hogares</t>
  </si>
  <si>
    <t>Tamaño de localidad</t>
  </si>
  <si>
    <t>Total de viviendas  particulares habitadas</t>
  </si>
  <si>
    <t xml:space="preserve">Solo con un hogar </t>
  </si>
  <si>
    <t>Dos o más hogares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</si>
  <si>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</si>
  <si>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</si>
  <si>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</si>
  <si>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</si>
  <si>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</si>
  <si>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por condición de tenencia de aislamiento térmico y acústico y su ubicación</t>
  </si>
  <si>
    <t>Condición de tenencia de aislamiento térmico y acústico y ubicación</t>
  </si>
  <si>
    <t>Viviendas particulares habitadas</t>
  </si>
  <si>
    <t>Absolutos</t>
  </si>
  <si>
    <t>Relativos</t>
  </si>
  <si>
    <t>Estados Unidos Mexicanos</t>
  </si>
  <si>
    <t>Techos</t>
  </si>
  <si>
    <t>Paredes</t>
  </si>
  <si>
    <t>Ventanas</t>
  </si>
  <si>
    <t>No especificado</t>
  </si>
  <si>
    <t>Puertas</t>
  </si>
  <si>
    <t xml:space="preserve">Viviendas particulares habitadas por entidad federativa, según condición de tenencia de servicios básicos </t>
  </si>
  <si>
    <t>Entidad federativa</t>
  </si>
  <si>
    <t xml:space="preserve">Total de viviendas  particulares habitadas
</t>
  </si>
  <si>
    <t>Sanitario</t>
  </si>
  <si>
    <t>Electricidad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</si>
  <si>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</si>
  <si>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</si>
  <si>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</si>
  <si>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</si>
  <si>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</si>
  <si>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</si>
  <si>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</si>
  <si>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</si>
  <si>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</si>
  <si>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</si>
  <si>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</si>
  <si>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</si>
  <si>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</si>
  <si>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</si>
  <si>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</si>
  <si>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</si>
  <si>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</si>
  <si>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</si>
  <si>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</si>
  <si>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</si>
  <si>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</si>
  <si>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</si>
  <si>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</si>
  <si>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</si>
  <si>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</si>
  <si>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</si>
  <si>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</si>
  <si>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</si>
  <si>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</si>
  <si>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</si>
  <si>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</si>
  <si>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</si>
  <si>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entidad federativa, según antigüedad de la vivienda</t>
  </si>
  <si>
    <t>Antigüedad de la vivienda</t>
  </si>
  <si>
    <t>5 años o menos</t>
  </si>
  <si>
    <t>De 6 a 10 años</t>
  </si>
  <si>
    <t>31 o más años</t>
  </si>
  <si>
    <t>Viviendas particulares habitadas por tamaño de localidad, según antigüedad de la vivienda</t>
  </si>
  <si>
    <t>Viviendas particulares habitadas por entidad federativa, según superficie de terreno</t>
  </si>
  <si>
    <r>
      <t>Superficie de terreno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</si>
  <si>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Hasta 60 m</t>
    </r>
    <r>
      <rPr>
        <b/>
        <vertAlign val="superscript"/>
        <sz val="8"/>
        <color theme="1"/>
        <rFont val="Arial"/>
        <family val="2"/>
      </rPr>
      <t>2</t>
    </r>
  </si>
  <si>
    <r>
      <t>De 61 a 90 m</t>
    </r>
    <r>
      <rPr>
        <b/>
        <vertAlign val="superscript"/>
        <sz val="8"/>
        <color theme="1"/>
        <rFont val="Arial"/>
        <family val="2"/>
      </rPr>
      <t>2</t>
    </r>
  </si>
  <si>
    <r>
      <t>De 91 a 120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</si>
  <si>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superficie de terreno</t>
  </si>
  <si>
    <t>Viviendas particulares habitadas por entidad federativa, según metros de construcción</t>
  </si>
  <si>
    <r>
      <t>Metros de construcción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</si>
  <si>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</si>
  <si>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</si>
  <si>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metros de construcción</t>
  </si>
  <si>
    <t>Viviendas particulares habitadas por entidad federativa, según disponibilidad de local comercial o espacio adaptado para negocio</t>
  </si>
  <si>
    <t>100 000  o más habitantes</t>
  </si>
  <si>
    <t>De 11 a 20 años</t>
  </si>
  <si>
    <t>De 21 a 30 años</t>
  </si>
  <si>
    <t>100 000 y más habitantes</t>
  </si>
  <si>
    <r>
      <t>De 121 a 160 m</t>
    </r>
    <r>
      <rPr>
        <b/>
        <vertAlign val="superscript"/>
        <sz val="8"/>
        <color theme="1"/>
        <rFont val="Arial"/>
        <family val="2"/>
      </rPr>
      <t>2</t>
    </r>
  </si>
  <si>
    <r>
      <t>De 161 a 200 m</t>
    </r>
    <r>
      <rPr>
        <b/>
        <vertAlign val="superscript"/>
        <sz val="8"/>
        <color theme="1"/>
        <rFont val="Arial"/>
        <family val="2"/>
      </rPr>
      <t>2</t>
    </r>
  </si>
  <si>
    <r>
      <t>De 201 a 300 m</t>
    </r>
    <r>
      <rPr>
        <b/>
        <vertAlign val="superscript"/>
        <sz val="8"/>
        <color theme="1"/>
        <rFont val="Arial"/>
        <family val="2"/>
      </rPr>
      <t>2</t>
    </r>
  </si>
  <si>
    <r>
      <t>Más de 300 m</t>
    </r>
    <r>
      <rPr>
        <b/>
        <vertAlign val="superscript"/>
        <sz val="8"/>
        <color theme="1"/>
        <rFont val="Arial"/>
        <family val="2"/>
      </rPr>
      <t>2</t>
    </r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</si>
  <si>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</si>
  <si>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</si>
  <si>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</si>
  <si>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t>Cuadro 1.1</t>
  </si>
  <si>
    <t>Cuadro 1.2</t>
  </si>
  <si>
    <t>Cuadro 1.3</t>
  </si>
  <si>
    <t>Cuadro 1.4</t>
  </si>
  <si>
    <t>Cuadro 1.5</t>
  </si>
  <si>
    <t>Cuadro 1.6</t>
  </si>
  <si>
    <t>Cuadro 1.7</t>
  </si>
  <si>
    <t>Cuadro 1.8</t>
  </si>
  <si>
    <t>Cuadro 1.9</t>
  </si>
  <si>
    <t>Cuadro 1.10</t>
  </si>
  <si>
    <t>Sin servicios básicos</t>
  </si>
  <si>
    <r>
      <t>No tienen aislamiento térmico</t>
    </r>
    <r>
      <rPr>
        <b/>
        <vertAlign val="superscript"/>
        <sz val="8"/>
        <rFont val="Arial"/>
        <family val="2"/>
      </rPr>
      <t>2</t>
    </r>
  </si>
  <si>
    <r>
      <t>No tienen aislamiento acústico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</si>
  <si>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particulares habitadas que declararon no saber si tienen aislamiento térmico.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</si>
  <si>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 las viviendas particulares habitadas que declararon no saber si tienen aislamiento acústico.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</si>
  <si>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Una vivienda puede tener aislamiento térmico en más de una ubicación (techos, paredes o ventanas).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</si>
  <si>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Una vivienda puede tener aislamiento acústico en más de una ubicación (techos, paredes, ventanas o puertas).</t>
    </r>
  </si>
  <si>
    <r>
      <t>Sí tienen aislamiento térmico</t>
    </r>
    <r>
      <rPr>
        <b/>
        <vertAlign val="superscript"/>
        <sz val="8"/>
        <rFont val="Arial"/>
        <family val="2"/>
      </rPr>
      <t>1</t>
    </r>
  </si>
  <si>
    <r>
      <t>Sí tienen aislamiento acústico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</si>
  <si>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problema estructural.</t>
    </r>
  </si>
  <si>
    <t>En las tuberías de agua o drenaje dentro de la vivienda</t>
  </si>
  <si>
    <t>Fracturas, pandeos o deformación de columnas, vigas o trabes</t>
  </si>
  <si>
    <t>Pandeos o deformaciones en los marcos de las puertas o ventanas</t>
  </si>
  <si>
    <t>Grietas o cuarteaduras en techos o muros</t>
  </si>
  <si>
    <t xml:space="preserve">Viviendas particulares habitadas por entidad federativa, según problemas estructurales </t>
  </si>
  <si>
    <t xml:space="preserve">Viviendas particulares habitadas por tamaño de localidad, según problemas estructurales </t>
  </si>
  <si>
    <t>Cuadro 1.11</t>
  </si>
  <si>
    <t>Cuadro 1.12</t>
  </si>
  <si>
    <t>Levantamientos o hundimientos del piso</t>
  </si>
  <si>
    <t>Humedad o filtraciones de agua en cimientos, muros o techos</t>
  </si>
  <si>
    <t>Viviendas que no tienen local comercial o espacio adaptado para negocio</t>
  </si>
  <si>
    <t>ÍNDICE</t>
  </si>
  <si>
    <t>TABULADOS BÁSICOS</t>
  </si>
  <si>
    <t>Nivel de confianza del 90%</t>
  </si>
  <si>
    <t>Tema</t>
  </si>
  <si>
    <t>ID Cuadro</t>
  </si>
  <si>
    <t>Título</t>
  </si>
  <si>
    <t>Encuesta Nacional de Vivienda (ENVI) 2020</t>
  </si>
  <si>
    <r>
      <t xml:space="preserve">Tema 1. </t>
    </r>
    <r>
      <rPr>
        <sz val="11"/>
        <color theme="10"/>
        <rFont val="Arial"/>
        <family val="2"/>
      </rPr>
      <t>Características generales de la vivienda</t>
    </r>
  </si>
  <si>
    <t>Viviendas particulares habitadas por entidad federativa, según disponibilidad de local comercial o espacio adaptado 
para negocio</t>
  </si>
  <si>
    <t>Viviendas que tienen local comercial y espacio para negocio</t>
  </si>
  <si>
    <r>
      <t>Condición de tenencia de servicios básicos</t>
    </r>
    <r>
      <rPr>
        <b/>
        <vertAlign val="superscript"/>
        <sz val="8"/>
        <rFont val="Arial"/>
        <family val="2"/>
      </rPr>
      <t>1</t>
    </r>
  </si>
  <si>
    <r>
      <t>Agua entubada</t>
    </r>
    <r>
      <rPr>
        <b/>
        <vertAlign val="superscript"/>
        <sz val="8"/>
        <rFont val="Arial"/>
        <family val="2"/>
      </rPr>
      <t>2</t>
    </r>
  </si>
  <si>
    <r>
      <t>Drenaje</t>
    </r>
    <r>
      <rPr>
        <b/>
        <vertAlign val="superscript"/>
        <sz val="8"/>
        <rFont val="Arial"/>
        <family val="2"/>
      </rPr>
      <t>3,4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</si>
  <si>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pudo reportar la tenencia de más de un servicio básico.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</si>
  <si>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agua dentro de la vivienda y solo en el patio o terreno.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</si>
  <si>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drenaje o desagüe conectado a la red pública, una fosa séptica o biodigestor, una tubería que va a dar a una barranca o grieta, y una tubería que va a dar a un río, lago o mar.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</si>
  <si>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</si>
  <si>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t>Solo local comercial</t>
  </si>
  <si>
    <t>Solo espacio adaptado para negocio (tiendita, taller) oficina o consultorio</t>
  </si>
  <si>
    <r>
      <t>Problemas estructurales en la vivienda</t>
    </r>
    <r>
      <rPr>
        <b/>
        <vertAlign val="superscript"/>
        <sz val="8"/>
        <rFont val="Arial"/>
        <family val="2"/>
      </rPr>
      <t>1,2</t>
    </r>
  </si>
  <si>
    <r>
      <t>Viviendas sin problemas estructurales</t>
    </r>
    <r>
      <rPr>
        <b/>
        <vertAlign val="superscript"/>
        <sz val="8"/>
        <rFont val="Arial"/>
        <family val="2"/>
      </rPr>
      <t>2,3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</si>
  <si>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excluyen las viviendas que tuvieron problemas con el sistema eléctrico (muros, techos, etcétera).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</si>
  <si>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viviendas particulares habitadas que declararon no saber si tienen problemas estructurales.</t>
    </r>
  </si>
  <si>
    <t>Agosto 2021</t>
  </si>
  <si>
    <t>Límite inferior.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</si>
  <si>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Se excluyen 101643 casos donde no hay congruencia entre la descarga de agua y el drenaje.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</si>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</sst>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\ ###\ ##0"/>
    <numFmt numFmtId="166" formatCode="###\ ###\ ##0"/>
    <numFmt numFmtId="167" formatCode="0.0"/>
    <numFmt numFmtId="168" formatCode="###\ ###\ ###\ ##0"/>
    <numFmt numFmtId="169" formatCode="###\ ###\ ###"/>
    <numFmt numFmtId="170" formatCode="###\ ###\ ##0.0"/>
    <numFmt numFmtId="171" formatCode="###\ ###\ ###\ ##0.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8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vertAlign val="superscript"/>
      <sz val="8"/>
      <name val="Arial"/>
      <family val="2"/>
    </font>
    <font>
      <sz val="8"/>
      <color rgb="FF000000"/>
      <name val="Calibri"/>
      <family val="2"/>
    </font>
    <font>
      <vertAlign val="superscript"/>
      <sz val="8"/>
      <name val="Arial"/>
      <family val="2"/>
    </font>
    <font>
      <sz val="9"/>
      <color indexed="8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sz val="10"/>
      <color theme="1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</font>
    <font>
      <u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79">
    <xf numFmtId="0" fontId="0" fillId="0" borderId="0"/>
    <xf numFmtId="0" fontId="29" fillId="0" borderId="0"/>
    <xf numFmtId="164" fontId="29" fillId="0" borderId="0" applyFont="0" applyFill="0" applyBorder="0" applyAlignment="0" applyProtection="0"/>
    <xf numFmtId="0" fontId="29" fillId="0" borderId="0"/>
    <xf numFmtId="0" fontId="26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5" fillId="3" borderId="4" applyNumberFormat="0" applyFont="0" applyAlignment="0" applyProtection="0"/>
    <xf numFmtId="0" fontId="25" fillId="0" borderId="0"/>
    <xf numFmtId="164" fontId="25" fillId="0" borderId="0" applyFont="0" applyFill="0" applyBorder="0" applyAlignment="0" applyProtection="0"/>
    <xf numFmtId="0" fontId="24" fillId="0" borderId="0"/>
    <xf numFmtId="0" fontId="40" fillId="0" borderId="0" applyNumberFormat="0" applyFill="0" applyBorder="0" applyAlignment="0" applyProtection="0"/>
    <xf numFmtId="0" fontId="29" fillId="0" borderId="0"/>
    <xf numFmtId="0" fontId="23" fillId="0" borderId="0"/>
    <xf numFmtId="0" fontId="22" fillId="0" borderId="0"/>
    <xf numFmtId="0" fontId="41" fillId="0" borderId="0"/>
    <xf numFmtId="164" fontId="4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19">
    <xf numFmtId="0" fontId="0" fillId="0" borderId="0" xfId="0"/>
    <xf numFmtId="0" fontId="29" fillId="0" borderId="0" xfId="15"/>
    <xf numFmtId="0" fontId="0" fillId="2" borderId="0" xfId="0" applyFill="1" applyBorder="1"/>
    <xf numFmtId="0" fontId="0" fillId="2" borderId="0" xfId="0" applyFill="1"/>
    <xf numFmtId="165" fontId="28" fillId="2" borderId="1" xfId="9" applyNumberFormat="1" applyFont="1" applyFill="1" applyBorder="1" applyAlignment="1" applyProtection="1">
      <alignment horizontal="right"/>
    </xf>
    <xf numFmtId="0" fontId="42" fillId="0" borderId="0" xfId="18" applyFont="1"/>
    <xf numFmtId="0" fontId="28" fillId="0" borderId="0" xfId="18" applyFont="1" applyBorder="1" applyAlignment="1">
      <alignment horizontal="right" vertical="top"/>
    </xf>
    <xf numFmtId="0" fontId="43" fillId="0" borderId="0" xfId="18" applyFont="1" applyBorder="1" applyAlignment="1">
      <alignment vertical="top"/>
    </xf>
    <xf numFmtId="0" fontId="43" fillId="0" borderId="0" xfId="18" applyFont="1" applyBorder="1" applyAlignment="1">
      <alignment vertical="top" wrapText="1"/>
    </xf>
    <xf numFmtId="0" fontId="42" fillId="0" borderId="0" xfId="18" applyFont="1" applyBorder="1"/>
    <xf numFmtId="0" fontId="44" fillId="0" borderId="5" xfId="18" applyFont="1" applyBorder="1" applyAlignment="1" applyProtection="1">
      <alignment vertical="center" wrapText="1" readingOrder="1"/>
      <protection locked="0"/>
    </xf>
    <xf numFmtId="0" fontId="45" fillId="0" borderId="0" xfId="18" applyFont="1" applyAlignment="1">
      <alignment vertical="center" readingOrder="1"/>
    </xf>
    <xf numFmtId="0" fontId="45" fillId="0" borderId="0" xfId="18" applyFont="1"/>
    <xf numFmtId="0" fontId="28" fillId="6" borderId="0" xfId="0" applyFont="1" applyFill="1" applyAlignment="1">
      <alignment horizontal="left" indent="1"/>
    </xf>
    <xf numFmtId="0" fontId="28" fillId="6" borderId="6" xfId="0" applyFont="1" applyFill="1" applyBorder="1" applyAlignment="1">
      <alignment horizontal="left" indent="1"/>
    </xf>
    <xf numFmtId="0" fontId="45" fillId="4" borderId="0" xfId="18" applyFont="1" applyFill="1" applyBorder="1" applyAlignment="1"/>
    <xf numFmtId="0" fontId="45" fillId="4" borderId="0" xfId="18" applyFont="1" applyFill="1" applyBorder="1" applyAlignment="1">
      <alignment horizontal="right"/>
    </xf>
    <xf numFmtId="0" fontId="45" fillId="4" borderId="0" xfId="18" applyFont="1" applyFill="1" applyBorder="1"/>
    <xf numFmtId="0" fontId="42" fillId="4" borderId="0" xfId="18" applyFont="1" applyFill="1" applyBorder="1"/>
    <xf numFmtId="0" fontId="45" fillId="4" borderId="1" xfId="18" applyFont="1" applyFill="1" applyBorder="1" applyAlignment="1">
      <alignment horizontal="right"/>
    </xf>
    <xf numFmtId="0" fontId="45" fillId="4" borderId="0" xfId="18" applyFont="1" applyFill="1"/>
    <xf numFmtId="0" fontId="42" fillId="4" borderId="0" xfId="18" applyFont="1" applyFill="1"/>
    <xf numFmtId="0" fontId="28" fillId="2" borderId="0" xfId="18" applyFont="1" applyFill="1" applyBorder="1" applyAlignment="1">
      <alignment horizontal="left" indent="1" readingOrder="1"/>
    </xf>
    <xf numFmtId="0" fontId="28" fillId="0" borderId="0" xfId="18" applyFont="1" applyFill="1" applyBorder="1" applyAlignment="1">
      <alignment horizontal="left" indent="1" readingOrder="1"/>
    </xf>
    <xf numFmtId="0" fontId="46" fillId="6" borderId="0" xfId="0" applyFont="1" applyFill="1" applyAlignment="1">
      <alignment horizontal="left" vertical="top"/>
    </xf>
    <xf numFmtId="0" fontId="50" fillId="6" borderId="0" xfId="0" applyFont="1" applyFill="1" applyAlignment="1">
      <alignment vertical="top"/>
    </xf>
    <xf numFmtId="0" fontId="42" fillId="4" borderId="6" xfId="18" applyFont="1" applyFill="1" applyBorder="1"/>
    <xf numFmtId="0" fontId="32" fillId="2" borderId="0" xfId="0" applyFont="1" applyFill="1"/>
    <xf numFmtId="0" fontId="28" fillId="2" borderId="0" xfId="0" applyFont="1" applyFill="1" applyAlignment="1">
      <alignment horizontal="left" vertical="center" wrapText="1" indent="1"/>
    </xf>
    <xf numFmtId="0" fontId="32" fillId="2" borderId="0" xfId="0" applyFont="1" applyFill="1" applyBorder="1" applyAlignment="1">
      <alignment horizontal="left" vertical="center" wrapText="1"/>
    </xf>
    <xf numFmtId="168" fontId="28" fillId="2" borderId="0" xfId="0" applyNumberFormat="1" applyFont="1" applyFill="1" applyBorder="1"/>
    <xf numFmtId="167" fontId="28" fillId="2" borderId="0" xfId="0" applyNumberFormat="1" applyFont="1" applyFill="1" applyBorder="1"/>
    <xf numFmtId="0" fontId="0" fillId="0" borderId="1" xfId="0" applyBorder="1"/>
    <xf numFmtId="168" fontId="28" fillId="2" borderId="1" xfId="0" applyNumberFormat="1" applyFont="1" applyFill="1" applyBorder="1"/>
    <xf numFmtId="167" fontId="28" fillId="2" borderId="1" xfId="0" applyNumberFormat="1" applyFont="1" applyFill="1" applyBorder="1"/>
    <xf numFmtId="0" fontId="46" fillId="7" borderId="0" xfId="0" applyFont="1" applyFill="1" applyAlignment="1">
      <alignment horizontal="left" vertical="top"/>
    </xf>
    <xf numFmtId="0" fontId="50" fillId="7" borderId="0" xfId="0" applyFont="1" applyFill="1" applyAlignment="1">
      <alignment vertical="top"/>
    </xf>
    <xf numFmtId="0" fontId="44" fillId="2" borderId="5" xfId="18" applyFont="1" applyFill="1" applyBorder="1" applyAlignment="1" applyProtection="1">
      <alignment vertical="center" wrapText="1" readingOrder="1"/>
      <protection locked="0"/>
    </xf>
    <xf numFmtId="0" fontId="44" fillId="2" borderId="0" xfId="18" applyFont="1" applyFill="1" applyBorder="1" applyAlignment="1" applyProtection="1">
      <alignment vertical="center" wrapText="1" readingOrder="1"/>
      <protection locked="0"/>
    </xf>
    <xf numFmtId="0" fontId="28" fillId="2" borderId="0" xfId="0" applyFont="1" applyFill="1" applyAlignment="1">
      <alignment horizontal="left" indent="1"/>
    </xf>
    <xf numFmtId="0" fontId="28" fillId="2" borderId="6" xfId="0" applyFont="1" applyFill="1" applyBorder="1" applyAlignment="1">
      <alignment horizontal="left" indent="1"/>
    </xf>
    <xf numFmtId="0" fontId="44" fillId="0" borderId="0" xfId="18" applyFont="1" applyBorder="1" applyAlignment="1" applyProtection="1">
      <alignment vertical="center" wrapText="1" readingOrder="1"/>
      <protection locked="0"/>
    </xf>
    <xf numFmtId="0" fontId="42" fillId="4" borderId="1" xfId="18" applyFont="1" applyFill="1" applyBorder="1"/>
    <xf numFmtId="0" fontId="29" fillId="2" borderId="0" xfId="15" applyFill="1"/>
    <xf numFmtId="0" fontId="28" fillId="7" borderId="0" xfId="0" applyFont="1" applyFill="1" applyAlignment="1">
      <alignment horizontal="left" indent="1"/>
    </xf>
    <xf numFmtId="0" fontId="28" fillId="7" borderId="6" xfId="0" applyFont="1" applyFill="1" applyBorder="1" applyAlignment="1">
      <alignment horizontal="left" indent="1"/>
    </xf>
    <xf numFmtId="0" fontId="28" fillId="6" borderId="0" xfId="0" applyFont="1" applyFill="1" applyBorder="1" applyAlignment="1">
      <alignment horizontal="left" indent="1"/>
    </xf>
    <xf numFmtId="0" fontId="0" fillId="2" borderId="1" xfId="0" applyFill="1" applyBorder="1"/>
    <xf numFmtId="0" fontId="28" fillId="2" borderId="0" xfId="0" applyFont="1" applyFill="1" applyBorder="1" applyAlignment="1">
      <alignment horizontal="left" indent="1"/>
    </xf>
    <xf numFmtId="0" fontId="29" fillId="2" borderId="1" xfId="15" applyFill="1" applyBorder="1"/>
    <xf numFmtId="0" fontId="28" fillId="2" borderId="0" xfId="0" applyFont="1" applyFill="1"/>
    <xf numFmtId="169" fontId="32" fillId="2" borderId="0" xfId="0" applyNumberFormat="1" applyFont="1" applyFill="1" applyAlignment="1">
      <alignment horizontal="right" wrapText="1"/>
    </xf>
    <xf numFmtId="169" fontId="28" fillId="2" borderId="0" xfId="0" applyNumberFormat="1" applyFont="1" applyFill="1" applyAlignment="1">
      <alignment horizontal="right" wrapText="1"/>
    </xf>
    <xf numFmtId="49" fontId="28" fillId="2" borderId="0" xfId="0" applyNumberFormat="1" applyFont="1" applyFill="1" applyAlignment="1">
      <alignment horizontal="right"/>
    </xf>
    <xf numFmtId="0" fontId="28" fillId="2" borderId="0" xfId="0" applyFont="1" applyFill="1" applyAlignment="1">
      <alignment horizontal="right" wrapText="1"/>
    </xf>
    <xf numFmtId="0" fontId="32" fillId="2" borderId="0" xfId="0" applyFont="1" applyFill="1" applyBorder="1" applyAlignment="1">
      <alignment horizontal="center" vertical="center"/>
    </xf>
    <xf numFmtId="0" fontId="29" fillId="2" borderId="1" xfId="0" applyFont="1" applyFill="1" applyBorder="1"/>
    <xf numFmtId="165" fontId="28" fillId="2" borderId="1" xfId="9" applyNumberFormat="1" applyFont="1" applyFill="1" applyBorder="1" applyAlignment="1">
      <alignment horizontal="right"/>
    </xf>
    <xf numFmtId="0" fontId="28" fillId="2" borderId="0" xfId="0" applyFont="1" applyFill="1" applyAlignment="1">
      <alignment vertical="center"/>
    </xf>
    <xf numFmtId="169" fontId="28" fillId="2" borderId="0" xfId="0" applyNumberFormat="1" applyFont="1" applyFill="1" applyBorder="1" applyAlignment="1">
      <alignment horizontal="right" wrapText="1"/>
    </xf>
    <xf numFmtId="0" fontId="29" fillId="2" borderId="0" xfId="0" applyFont="1" applyFill="1" applyBorder="1"/>
    <xf numFmtId="49" fontId="28" fillId="2" borderId="1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right" vertical="center"/>
    </xf>
    <xf numFmtId="0" fontId="47" fillId="6" borderId="1" xfId="0" applyFont="1" applyFill="1" applyBorder="1" applyAlignment="1">
      <alignment horizontal="right" vertical="center"/>
    </xf>
    <xf numFmtId="0" fontId="47" fillId="7" borderId="1" xfId="0" applyFont="1" applyFill="1" applyBorder="1" applyAlignment="1">
      <alignment horizontal="right" vertical="center"/>
    </xf>
    <xf numFmtId="0" fontId="47" fillId="6" borderId="2" xfId="0" applyFont="1" applyFill="1" applyBorder="1" applyAlignment="1">
      <alignment horizontal="right" vertical="center"/>
    </xf>
    <xf numFmtId="0" fontId="52" fillId="0" borderId="0" xfId="18" applyFont="1"/>
    <xf numFmtId="0" fontId="45" fillId="0" borderId="0" xfId="18" applyFont="1" applyBorder="1"/>
    <xf numFmtId="0" fontId="55" fillId="2" borderId="0" xfId="0" applyFont="1" applyFill="1"/>
    <xf numFmtId="0" fontId="55" fillId="0" borderId="0" xfId="0" applyFont="1"/>
    <xf numFmtId="0" fontId="57" fillId="2" borderId="0" xfId="8" applyNumberFormat="1" applyFont="1" applyFill="1" applyBorder="1" applyAlignment="1" applyProtection="1">
      <alignment horizontal="right" vertical="center"/>
    </xf>
    <xf numFmtId="0" fontId="55" fillId="2" borderId="0" xfId="0" applyFont="1" applyFill="1" applyAlignment="1">
      <alignment horizontal="right" vertical="top"/>
    </xf>
    <xf numFmtId="0" fontId="53" fillId="0" borderId="11" xfId="30" applyFont="1" applyBorder="1" applyAlignment="1" applyProtection="1">
      <alignment horizontal="center" vertical="center"/>
    </xf>
    <xf numFmtId="0" fontId="53" fillId="0" borderId="16" xfId="30" applyFont="1" applyBorder="1" applyAlignment="1" applyProtection="1">
      <alignment horizontal="center" vertical="center"/>
    </xf>
    <xf numFmtId="0" fontId="53" fillId="0" borderId="20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33" fillId="0" borderId="0" xfId="32" applyFont="1"/>
    <xf numFmtId="0" fontId="64" fillId="0" borderId="0" xfId="32" applyFont="1"/>
    <xf numFmtId="0" fontId="61" fillId="9" borderId="8" xfId="32" applyFont="1" applyFill="1" applyBorder="1" applyAlignment="1">
      <alignment horizontal="center" vertical="center"/>
    </xf>
    <xf numFmtId="0" fontId="61" fillId="9" borderId="7" xfId="32" applyFont="1" applyFill="1" applyBorder="1" applyAlignment="1">
      <alignment horizontal="center" vertical="center"/>
    </xf>
    <xf numFmtId="17" fontId="27" fillId="0" borderId="0" xfId="32" quotePrefix="1" applyNumberFormat="1" applyFont="1"/>
    <xf numFmtId="0" fontId="33" fillId="0" borderId="0" xfId="32" applyFont="1" applyFill="1"/>
    <xf numFmtId="0" fontId="60" fillId="0" borderId="0" xfId="32" applyFont="1"/>
    <xf numFmtId="0" fontId="61" fillId="0" borderId="0" xfId="32" applyFont="1" applyFill="1" applyAlignment="1">
      <alignment horizontal="center" vertical="center"/>
    </xf>
    <xf numFmtId="0" fontId="61" fillId="0" borderId="0" xfId="32" applyFont="1" applyFill="1" applyAlignment="1">
      <alignment vertical="center"/>
    </xf>
    <xf numFmtId="0" fontId="66" fillId="2" borderId="0" xfId="14" applyFont="1" applyFill="1" applyAlignment="1" applyProtection="1">
      <alignment horizontal="right"/>
    </xf>
    <xf numFmtId="0" fontId="28" fillId="2" borderId="0" xfId="15" applyFont="1" applyFill="1"/>
    <xf numFmtId="0" fontId="28" fillId="0" borderId="0" xfId="0" applyFont="1"/>
    <xf numFmtId="0" fontId="28" fillId="0" borderId="0" xfId="15" applyFont="1"/>
    <xf numFmtId="0" fontId="45" fillId="0" borderId="0" xfId="18" applyFont="1" applyFill="1" applyAlignment="1"/>
    <xf numFmtId="166" fontId="45" fillId="2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horizontal="right"/>
    </xf>
    <xf numFmtId="166" fontId="28" fillId="2" borderId="0" xfId="0" applyNumberFormat="1" applyFont="1" applyFill="1" applyBorder="1"/>
    <xf numFmtId="170" fontId="28" fillId="2" borderId="0" xfId="0" applyNumberFormat="1" applyFont="1" applyFill="1" applyAlignment="1">
      <alignment horizontal="right"/>
    </xf>
    <xf numFmtId="170" fontId="28" fillId="2" borderId="0" xfId="0" applyNumberFormat="1" applyFont="1" applyFill="1" applyBorder="1"/>
    <xf numFmtId="166" fontId="28" fillId="2" borderId="0" xfId="0" applyNumberFormat="1" applyFont="1" applyFill="1"/>
    <xf numFmtId="170" fontId="28" fillId="2" borderId="0" xfId="0" applyNumberFormat="1" applyFont="1" applyFill="1"/>
    <xf numFmtId="0" fontId="28" fillId="2" borderId="0" xfId="18" applyFont="1" applyFill="1" applyAlignment="1">
      <alignment horizontal="left" indent="1" readingOrder="1"/>
    </xf>
    <xf numFmtId="0" fontId="55" fillId="0" borderId="0" xfId="18" applyFont="1"/>
    <xf numFmtId="0" fontId="28" fillId="0" borderId="0" xfId="18" applyFont="1"/>
    <xf numFmtId="0" fontId="28" fillId="0" borderId="0" xfId="18" applyFont="1" applyBorder="1"/>
    <xf numFmtId="0" fontId="28" fillId="4" borderId="0" xfId="18" applyFont="1" applyFill="1" applyBorder="1"/>
    <xf numFmtId="0" fontId="28" fillId="0" borderId="0" xfId="18" applyFont="1" applyAlignment="1">
      <alignment vertical="center" readingOrder="1"/>
    </xf>
    <xf numFmtId="0" fontId="37" fillId="4" borderId="0" xfId="18" applyFont="1" applyFill="1"/>
    <xf numFmtId="0" fontId="37" fillId="0" borderId="0" xfId="18" applyFont="1"/>
    <xf numFmtId="0" fontId="32" fillId="6" borderId="1" xfId="0" applyFont="1" applyFill="1" applyBorder="1" applyAlignment="1">
      <alignment horizontal="right" vertical="center"/>
    </xf>
    <xf numFmtId="0" fontId="32" fillId="0" borderId="5" xfId="18" applyFont="1" applyBorder="1" applyAlignment="1" applyProtection="1">
      <alignment vertical="center" wrapText="1" readingOrder="1"/>
      <protection locked="0"/>
    </xf>
    <xf numFmtId="0" fontId="32" fillId="0" borderId="0" xfId="18" applyFont="1" applyBorder="1" applyAlignment="1" applyProtection="1">
      <alignment vertical="center" wrapText="1" readingOrder="1"/>
      <protection locked="0"/>
    </xf>
    <xf numFmtId="0" fontId="28" fillId="6" borderId="0" xfId="0" applyFont="1" applyFill="1" applyAlignment="1">
      <alignment horizontal="left" vertical="top"/>
    </xf>
    <xf numFmtId="0" fontId="28" fillId="0" borderId="0" xfId="18" applyFont="1" applyFill="1" applyAlignment="1"/>
    <xf numFmtId="0" fontId="32" fillId="2" borderId="1" xfId="0" applyFont="1" applyFill="1" applyBorder="1" applyAlignment="1">
      <alignment horizontal="right" vertical="center"/>
    </xf>
    <xf numFmtId="0" fontId="32" fillId="2" borderId="5" xfId="18" applyFont="1" applyFill="1" applyBorder="1" applyAlignment="1" applyProtection="1">
      <alignment vertical="center" wrapText="1" readingOrder="1"/>
      <protection locked="0"/>
    </xf>
    <xf numFmtId="0" fontId="29" fillId="2" borderId="0" xfId="0" applyFont="1" applyFill="1"/>
    <xf numFmtId="0" fontId="32" fillId="2" borderId="0" xfId="18" applyFont="1" applyFill="1" applyBorder="1" applyAlignment="1" applyProtection="1">
      <alignment vertical="center" wrapText="1" readingOrder="1"/>
      <protection locked="0"/>
    </xf>
    <xf numFmtId="0" fontId="73" fillId="2" borderId="0" xfId="8" applyNumberFormat="1" applyFont="1" applyFill="1" applyBorder="1" applyAlignment="1" applyProtection="1">
      <alignment horizontal="right" vertical="center"/>
    </xf>
    <xf numFmtId="0" fontId="72" fillId="2" borderId="0" xfId="0" applyFont="1" applyFill="1"/>
    <xf numFmtId="0" fontId="72" fillId="0" borderId="0" xfId="0" applyFont="1"/>
    <xf numFmtId="0" fontId="32" fillId="2" borderId="0" xfId="18" applyFont="1" applyFill="1" applyAlignment="1" applyProtection="1">
      <alignment vertical="center" wrapText="1" readingOrder="1"/>
      <protection locked="0"/>
    </xf>
    <xf numFmtId="0" fontId="29" fillId="2" borderId="1" xfId="15" applyFont="1" applyFill="1" applyBorder="1"/>
    <xf numFmtId="0" fontId="29" fillId="2" borderId="0" xfId="15" applyFont="1" applyFill="1"/>
    <xf numFmtId="0" fontId="28" fillId="4" borderId="0" xfId="18" applyFont="1" applyFill="1"/>
    <xf numFmtId="0" fontId="29" fillId="0" borderId="1" xfId="15" applyFont="1" applyBorder="1"/>
    <xf numFmtId="0" fontId="29" fillId="0" borderId="0" xfId="15" applyFont="1"/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171" fontId="45" fillId="2" borderId="0" xfId="0" applyNumberFormat="1" applyFont="1" applyFill="1" applyAlignment="1">
      <alignment horizontal="right" vertical="center"/>
    </xf>
    <xf numFmtId="0" fontId="36" fillId="2" borderId="0" xfId="36" applyFont="1" applyFill="1"/>
    <xf numFmtId="171" fontId="28" fillId="2" borderId="0" xfId="0" applyNumberFormat="1" applyFont="1" applyFill="1" applyAlignment="1">
      <alignment horizontal="right"/>
    </xf>
    <xf numFmtId="171" fontId="32" fillId="2" borderId="0" xfId="0" applyNumberFormat="1" applyFont="1" applyFill="1" applyAlignment="1">
      <alignment horizontal="right"/>
    </xf>
    <xf numFmtId="0" fontId="54" fillId="2" borderId="0" xfId="37" applyFont="1" applyFill="1" applyAlignment="1">
      <alignment horizontal="left" vertical="center"/>
    </xf>
    <xf numFmtId="0" fontId="54" fillId="2" borderId="0" xfId="37" applyFont="1" applyFill="1" applyAlignment="1">
      <alignment vertical="center"/>
    </xf>
    <xf numFmtId="0" fontId="36" fillId="0" borderId="0" xfId="37" applyFont="1"/>
    <xf numFmtId="0" fontId="39" fillId="2" borderId="0" xfId="37" applyFont="1" applyFill="1" applyAlignment="1">
      <alignment vertical="center"/>
    </xf>
    <xf numFmtId="0" fontId="56" fillId="2" borderId="0" xfId="37" applyFont="1" applyFill="1" applyAlignment="1">
      <alignment vertical="center"/>
    </xf>
    <xf numFmtId="0" fontId="28" fillId="2" borderId="1" xfId="37" applyFont="1" applyFill="1" applyBorder="1" applyAlignment="1">
      <alignment vertical="center"/>
    </xf>
    <xf numFmtId="0" fontId="28" fillId="2" borderId="0" xfId="37" applyFont="1" applyFill="1" applyBorder="1" applyAlignment="1">
      <alignment horizontal="left" vertical="center"/>
    </xf>
    <xf numFmtId="165" fontId="28" fillId="2" borderId="0" xfId="37" applyNumberFormat="1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vertical="center"/>
    </xf>
    <xf numFmtId="0" fontId="28" fillId="2" borderId="0" xfId="37" applyFont="1" applyFill="1" applyAlignment="1">
      <alignment vertical="center"/>
    </xf>
    <xf numFmtId="0" fontId="30" fillId="2" borderId="0" xfId="37" applyFont="1" applyFill="1" applyAlignment="1">
      <alignment vertical="center"/>
    </xf>
    <xf numFmtId="0" fontId="32" fillId="2" borderId="3" xfId="37" applyFont="1" applyFill="1" applyBorder="1" applyAlignment="1">
      <alignment horizontal="right" vertical="center" wrapText="1"/>
    </xf>
    <xf numFmtId="0" fontId="33" fillId="2" borderId="0" xfId="37" applyFont="1" applyFill="1" applyAlignment="1">
      <alignment vertical="center"/>
    </xf>
    <xf numFmtId="0" fontId="32" fillId="2" borderId="0" xfId="37" applyFont="1" applyFill="1" applyBorder="1" applyAlignment="1">
      <alignment horizontal="right" vertical="center" wrapText="1"/>
    </xf>
    <xf numFmtId="0" fontId="32" fillId="2" borderId="3" xfId="37" applyFont="1" applyFill="1" applyBorder="1" applyAlignment="1">
      <alignment horizontal="center" vertical="center" wrapText="1"/>
    </xf>
    <xf numFmtId="0" fontId="32" fillId="2" borderId="3" xfId="37" applyFont="1" applyFill="1" applyBorder="1" applyAlignment="1">
      <alignment vertical="center" wrapText="1"/>
    </xf>
    <xf numFmtId="0" fontId="37" fillId="2" borderId="3" xfId="37" applyFont="1" applyFill="1" applyBorder="1" applyAlignment="1">
      <alignment vertical="center"/>
    </xf>
    <xf numFmtId="0" fontId="32" fillId="2" borderId="1" xfId="37" applyFont="1" applyFill="1" applyBorder="1" applyAlignment="1">
      <alignment horizontal="right" vertical="center" wrapText="1"/>
    </xf>
    <xf numFmtId="0" fontId="32" fillId="2" borderId="1" xfId="39" applyFont="1" applyFill="1" applyBorder="1" applyAlignment="1">
      <alignment horizontal="right" vertical="center" wrapText="1"/>
    </xf>
    <xf numFmtId="0" fontId="32" fillId="2" borderId="1" xfId="37" applyFont="1" applyFill="1" applyBorder="1" applyAlignment="1">
      <alignment horizontal="right" vertical="center"/>
    </xf>
    <xf numFmtId="0" fontId="37" fillId="2" borderId="1" xfId="37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horizontal="left" vertical="center" wrapText="1"/>
    </xf>
    <xf numFmtId="0" fontId="32" fillId="2" borderId="0" xfId="37" applyFont="1" applyFill="1" applyAlignment="1">
      <alignment vertical="center"/>
    </xf>
    <xf numFmtId="0" fontId="69" fillId="2" borderId="0" xfId="37" applyFont="1" applyFill="1" applyAlignment="1">
      <alignment vertical="center"/>
    </xf>
    <xf numFmtId="0" fontId="38" fillId="2" borderId="0" xfId="37" applyFont="1" applyFill="1" applyAlignment="1">
      <alignment vertical="center"/>
    </xf>
    <xf numFmtId="0" fontId="67" fillId="2" borderId="0" xfId="37" applyFont="1" applyFill="1" applyAlignment="1">
      <alignment vertical="center"/>
    </xf>
    <xf numFmtId="0" fontId="37" fillId="2" borderId="0" xfId="37" applyFont="1" applyFill="1" applyAlignment="1">
      <alignment vertical="center"/>
    </xf>
    <xf numFmtId="0" fontId="37" fillId="2" borderId="1" xfId="37" applyFont="1" applyFill="1" applyBorder="1" applyAlignment="1">
      <alignment vertical="center"/>
    </xf>
    <xf numFmtId="0" fontId="33" fillId="2" borderId="0" xfId="37" applyFont="1" applyFill="1" applyAlignment="1">
      <alignment horizontal="left" vertical="center"/>
    </xf>
    <xf numFmtId="171" fontId="32" fillId="2" borderId="0" xfId="0" applyNumberFormat="1" applyFont="1" applyFill="1" applyAlignment="1">
      <alignment horizontal="right" wrapText="1"/>
    </xf>
    <xf numFmtId="171" fontId="28" fillId="2" borderId="0" xfId="0" applyNumberFormat="1" applyFont="1" applyFill="1" applyAlignment="1">
      <alignment horizontal="right" wrapText="1"/>
    </xf>
    <xf numFmtId="0" fontId="54" fillId="2" borderId="0" xfId="41" applyFont="1" applyFill="1" applyAlignment="1">
      <alignment horizontal="left" vertical="center"/>
    </xf>
    <xf numFmtId="0" fontId="36" fillId="0" borderId="0" xfId="41" applyFont="1" applyFill="1" applyAlignment="1">
      <alignment horizontal="left" vertical="center"/>
    </xf>
    <xf numFmtId="0" fontId="54" fillId="2" borderId="0" xfId="41" applyFont="1" applyFill="1" applyAlignment="1">
      <alignment vertical="center"/>
    </xf>
    <xf numFmtId="0" fontId="36" fillId="0" borderId="0" xfId="40" applyFont="1"/>
    <xf numFmtId="0" fontId="12" fillId="2" borderId="1" xfId="41" applyFill="1" applyBorder="1" applyAlignment="1">
      <alignment vertical="center"/>
    </xf>
    <xf numFmtId="0" fontId="28" fillId="2" borderId="0" xfId="41" applyFont="1" applyFill="1" applyBorder="1" applyAlignment="1">
      <alignment horizontal="right" vertical="top" wrapText="1"/>
    </xf>
    <xf numFmtId="0" fontId="12" fillId="2" borderId="0" xfId="41" applyFill="1" applyAlignment="1">
      <alignment vertical="center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center" vertical="center" wrapText="1"/>
    </xf>
    <xf numFmtId="0" fontId="12" fillId="0" borderId="3" xfId="41" applyFill="1" applyBorder="1" applyAlignment="1">
      <alignment vertical="center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/>
    </xf>
    <xf numFmtId="0" fontId="12" fillId="2" borderId="1" xfId="41" applyFill="1" applyBorder="1" applyAlignment="1">
      <alignment horizontal="right" vertical="center"/>
    </xf>
    <xf numFmtId="0" fontId="30" fillId="2" borderId="0" xfId="40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center" vertical="center"/>
    </xf>
    <xf numFmtId="0" fontId="31" fillId="2" borderId="0" xfId="41" applyFont="1" applyFill="1" applyBorder="1" applyAlignment="1">
      <alignment horizontal="right" vertical="center"/>
    </xf>
    <xf numFmtId="0" fontId="31" fillId="2" borderId="0" xfId="40" applyFont="1" applyFill="1" applyAlignment="1">
      <alignment vertical="center"/>
    </xf>
    <xf numFmtId="0" fontId="38" fillId="2" borderId="0" xfId="40" applyFont="1" applyFill="1" applyAlignment="1">
      <alignment vertical="center"/>
    </xf>
    <xf numFmtId="0" fontId="34" fillId="2" borderId="0" xfId="41" applyFont="1" applyFill="1" applyAlignment="1">
      <alignment vertical="center"/>
    </xf>
    <xf numFmtId="0" fontId="12" fillId="2" borderId="0" xfId="40" applyFill="1" applyAlignment="1">
      <alignment vertical="center"/>
    </xf>
    <xf numFmtId="0" fontId="33" fillId="2" borderId="0" xfId="40" applyFont="1" applyFill="1" applyAlignment="1">
      <alignment vertical="center"/>
    </xf>
    <xf numFmtId="165" fontId="28" fillId="2" borderId="1" xfId="42" applyNumberFormat="1" applyFont="1" applyFill="1" applyBorder="1"/>
    <xf numFmtId="167" fontId="28" fillId="2" borderId="1" xfId="42" applyNumberFormat="1" applyFont="1" applyFill="1" applyBorder="1"/>
    <xf numFmtId="167" fontId="28" fillId="5" borderId="1" xfId="40" applyNumberFormat="1" applyFont="1" applyFill="1" applyBorder="1"/>
    <xf numFmtId="167" fontId="28" fillId="2" borderId="1" xfId="41" applyNumberFormat="1" applyFont="1" applyFill="1" applyBorder="1"/>
    <xf numFmtId="0" fontId="12" fillId="2" borderId="0" xfId="41" applyFill="1" applyBorder="1" applyAlignment="1">
      <alignment vertical="center"/>
    </xf>
    <xf numFmtId="0" fontId="30" fillId="2" borderId="0" xfId="41" applyFont="1" applyFill="1" applyBorder="1" applyAlignment="1">
      <alignment horizontal="left" vertical="center"/>
    </xf>
    <xf numFmtId="166" fontId="30" fillId="2" borderId="0" xfId="41" applyNumberFormat="1" applyFont="1" applyFill="1" applyBorder="1" applyAlignment="1">
      <alignment horizontal="right" vertical="center"/>
    </xf>
    <xf numFmtId="166" fontId="30" fillId="2" borderId="0" xfId="41" applyNumberFormat="1" applyFont="1" applyFill="1" applyBorder="1" applyAlignment="1">
      <alignment vertical="center"/>
    </xf>
    <xf numFmtId="167" fontId="30" fillId="2" borderId="0" xfId="41" applyNumberFormat="1" applyFont="1" applyFill="1" applyBorder="1" applyAlignment="1">
      <alignment vertical="center"/>
    </xf>
    <xf numFmtId="0" fontId="12" fillId="2" borderId="0" xfId="41" applyFill="1" applyAlignment="1">
      <alignment horizontal="left" vertical="center"/>
    </xf>
    <xf numFmtId="0" fontId="54" fillId="2" borderId="0" xfId="44" applyFont="1" applyFill="1" applyAlignment="1">
      <alignment horizontal="left" vertical="center"/>
    </xf>
    <xf numFmtId="0" fontId="36" fillId="2" borderId="0" xfId="44" applyFont="1" applyFill="1" applyAlignment="1">
      <alignment horizontal="left" vertical="center"/>
    </xf>
    <xf numFmtId="0" fontId="54" fillId="2" borderId="0" xfId="44" applyFont="1" applyFill="1" applyAlignment="1">
      <alignment vertical="center"/>
    </xf>
    <xf numFmtId="0" fontId="36" fillId="2" borderId="0" xfId="43" applyFont="1" applyFill="1"/>
    <xf numFmtId="0" fontId="11" fillId="2" borderId="1" xfId="44" applyFill="1" applyBorder="1" applyAlignment="1">
      <alignment vertical="center"/>
    </xf>
    <xf numFmtId="0" fontId="28" fillId="2" borderId="0" xfId="44" applyFont="1" applyFill="1" applyBorder="1" applyAlignment="1">
      <alignment horizontal="right" vertical="top" wrapText="1"/>
    </xf>
    <xf numFmtId="0" fontId="11" fillId="2" borderId="0" xfId="44" applyFill="1" applyAlignment="1">
      <alignment vertical="center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center" vertical="center" wrapText="1"/>
    </xf>
    <xf numFmtId="0" fontId="11" fillId="2" borderId="3" xfId="44" applyFill="1" applyBorder="1" applyAlignment="1">
      <alignment vertical="center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/>
    </xf>
    <xf numFmtId="0" fontId="11" fillId="2" borderId="1" xfId="44" applyFill="1" applyBorder="1" applyAlignment="1">
      <alignment horizontal="right" vertical="center"/>
    </xf>
    <xf numFmtId="0" fontId="30" fillId="2" borderId="0" xfId="43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center" vertical="center"/>
    </xf>
    <xf numFmtId="0" fontId="31" fillId="2" borderId="0" xfId="44" applyFont="1" applyFill="1" applyBorder="1" applyAlignment="1">
      <alignment horizontal="right" vertical="center"/>
    </xf>
    <xf numFmtId="0" fontId="31" fillId="2" borderId="0" xfId="43" applyFont="1" applyFill="1" applyAlignment="1">
      <alignment vertical="center"/>
    </xf>
    <xf numFmtId="0" fontId="38" fillId="2" borderId="0" xfId="43" applyFont="1" applyFill="1" applyAlignment="1">
      <alignment vertical="center"/>
    </xf>
    <xf numFmtId="0" fontId="11" fillId="2" borderId="0" xfId="43" applyFill="1" applyAlignment="1">
      <alignment vertical="center"/>
    </xf>
    <xf numFmtId="0" fontId="33" fillId="2" borderId="0" xfId="43" applyFont="1" applyFill="1" applyAlignment="1">
      <alignment vertical="center"/>
    </xf>
    <xf numFmtId="165" fontId="28" fillId="2" borderId="1" xfId="45" applyNumberFormat="1" applyFont="1" applyFill="1" applyBorder="1"/>
    <xf numFmtId="167" fontId="28" fillId="2" borderId="1" xfId="45" applyNumberFormat="1" applyFont="1" applyFill="1" applyBorder="1"/>
    <xf numFmtId="167" fontId="28" fillId="5" borderId="1" xfId="43" applyNumberFormat="1" applyFont="1" applyFill="1" applyBorder="1"/>
    <xf numFmtId="167" fontId="28" fillId="2" borderId="1" xfId="44" applyNumberFormat="1" applyFont="1" applyFill="1" applyBorder="1"/>
    <xf numFmtId="0" fontId="11" fillId="2" borderId="0" xfId="44" applyFill="1" applyBorder="1" applyAlignment="1">
      <alignment vertical="center"/>
    </xf>
    <xf numFmtId="0" fontId="30" fillId="2" borderId="0" xfId="44" applyFont="1" applyFill="1" applyBorder="1" applyAlignment="1">
      <alignment horizontal="left" vertical="center"/>
    </xf>
    <xf numFmtId="166" fontId="30" fillId="2" borderId="0" xfId="44" applyNumberFormat="1" applyFont="1" applyFill="1" applyBorder="1" applyAlignment="1">
      <alignment horizontal="right" vertical="center"/>
    </xf>
    <xf numFmtId="166" fontId="30" fillId="2" borderId="0" xfId="44" applyNumberFormat="1" applyFont="1" applyFill="1" applyBorder="1" applyAlignment="1">
      <alignment vertical="center"/>
    </xf>
    <xf numFmtId="167" fontId="30" fillId="2" borderId="0" xfId="44" applyNumberFormat="1" applyFont="1" applyFill="1" applyBorder="1" applyAlignment="1">
      <alignment vertical="center"/>
    </xf>
    <xf numFmtId="0" fontId="54" fillId="2" borderId="0" xfId="47" applyFont="1" applyFill="1" applyAlignment="1">
      <alignment horizontal="left" vertical="center"/>
    </xf>
    <xf numFmtId="0" fontId="36" fillId="0" borderId="0" xfId="47" applyFont="1" applyFill="1" applyAlignment="1">
      <alignment horizontal="left" vertical="center"/>
    </xf>
    <xf numFmtId="0" fontId="54" fillId="2" borderId="0" xfId="47" applyFont="1" applyFill="1" applyAlignment="1">
      <alignment vertical="center"/>
    </xf>
    <xf numFmtId="0" fontId="36" fillId="0" borderId="0" xfId="46" applyFont="1"/>
    <xf numFmtId="0" fontId="10" fillId="2" borderId="1" xfId="47" applyFill="1" applyBorder="1" applyAlignment="1">
      <alignment vertical="center"/>
    </xf>
    <xf numFmtId="0" fontId="28" fillId="2" borderId="0" xfId="47" applyFont="1" applyFill="1" applyBorder="1" applyAlignment="1">
      <alignment horizontal="right" vertical="top" wrapText="1"/>
    </xf>
    <xf numFmtId="0" fontId="10" fillId="2" borderId="0" xfId="47" applyFill="1" applyAlignment="1">
      <alignment vertical="center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3" xfId="47" applyFont="1" applyFill="1" applyBorder="1" applyAlignment="1">
      <alignment horizontal="center" vertical="center" wrapText="1"/>
    </xf>
    <xf numFmtId="0" fontId="10" fillId="0" borderId="3" xfId="47" applyFill="1" applyBorder="1" applyAlignment="1">
      <alignment vertical="center"/>
    </xf>
    <xf numFmtId="0" fontId="10" fillId="2" borderId="3" xfId="47" applyFill="1" applyBorder="1" applyAlignment="1">
      <alignment vertical="center"/>
    </xf>
    <xf numFmtId="0" fontId="31" fillId="2" borderId="1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/>
    </xf>
    <xf numFmtId="0" fontId="10" fillId="2" borderId="1" xfId="47" applyFill="1" applyBorder="1" applyAlignment="1">
      <alignment horizontal="right" vertical="center"/>
    </xf>
    <xf numFmtId="0" fontId="30" fillId="2" borderId="0" xfId="46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center" vertical="center" wrapText="1"/>
    </xf>
    <xf numFmtId="0" fontId="31" fillId="2" borderId="0" xfId="47" applyFont="1" applyFill="1" applyBorder="1" applyAlignment="1">
      <alignment horizontal="center" vertical="center"/>
    </xf>
    <xf numFmtId="0" fontId="31" fillId="2" borderId="0" xfId="47" applyFont="1" applyFill="1" applyBorder="1" applyAlignment="1">
      <alignment horizontal="right" vertical="center"/>
    </xf>
    <xf numFmtId="0" fontId="31" fillId="2" borderId="0" xfId="46" applyFont="1" applyFill="1" applyAlignment="1">
      <alignment vertical="center"/>
    </xf>
    <xf numFmtId="0" fontId="38" fillId="2" borderId="0" xfId="46" applyFont="1" applyFill="1" applyAlignment="1">
      <alignment vertical="center"/>
    </xf>
    <xf numFmtId="0" fontId="10" fillId="2" borderId="0" xfId="46" applyFill="1" applyAlignment="1">
      <alignment vertical="center"/>
    </xf>
    <xf numFmtId="0" fontId="33" fillId="2" borderId="0" xfId="46" applyFont="1" applyFill="1" applyAlignment="1">
      <alignment vertical="center"/>
    </xf>
    <xf numFmtId="165" fontId="28" fillId="2" borderId="1" xfId="48" applyNumberFormat="1" applyFont="1" applyFill="1" applyBorder="1"/>
    <xf numFmtId="167" fontId="28" fillId="2" borderId="1" xfId="48" applyNumberFormat="1" applyFont="1" applyFill="1" applyBorder="1"/>
    <xf numFmtId="167" fontId="28" fillId="5" borderId="1" xfId="46" applyNumberFormat="1" applyFont="1" applyFill="1" applyBorder="1"/>
    <xf numFmtId="167" fontId="28" fillId="2" borderId="1" xfId="47" applyNumberFormat="1" applyFont="1" applyFill="1" applyBorder="1"/>
    <xf numFmtId="0" fontId="10" fillId="2" borderId="0" xfId="47" applyFill="1" applyBorder="1" applyAlignment="1">
      <alignment vertical="center"/>
    </xf>
    <xf numFmtId="0" fontId="30" fillId="2" borderId="0" xfId="47" applyFont="1" applyFill="1" applyBorder="1" applyAlignment="1">
      <alignment horizontal="left" vertical="center"/>
    </xf>
    <xf numFmtId="166" fontId="30" fillId="2" borderId="0" xfId="47" applyNumberFormat="1" applyFont="1" applyFill="1" applyBorder="1" applyAlignment="1">
      <alignment horizontal="right" vertical="center"/>
    </xf>
    <xf numFmtId="166" fontId="30" fillId="2" borderId="0" xfId="47" applyNumberFormat="1" applyFont="1" applyFill="1" applyBorder="1" applyAlignment="1">
      <alignment vertical="center"/>
    </xf>
    <xf numFmtId="167" fontId="30" fillId="2" borderId="0" xfId="47" applyNumberFormat="1" applyFont="1" applyFill="1" applyBorder="1" applyAlignment="1">
      <alignment vertical="center"/>
    </xf>
    <xf numFmtId="0" fontId="54" fillId="2" borderId="0" xfId="50" applyFont="1" applyFill="1" applyAlignment="1">
      <alignment horizontal="left" vertical="center"/>
    </xf>
    <xf numFmtId="0" fontId="36" fillId="0" borderId="0" xfId="50" applyFont="1" applyFill="1" applyAlignment="1">
      <alignment horizontal="left" vertical="center"/>
    </xf>
    <xf numFmtId="0" fontId="54" fillId="2" borderId="0" xfId="50" applyFont="1" applyFill="1" applyAlignment="1">
      <alignment vertical="center"/>
    </xf>
    <xf numFmtId="0" fontId="36" fillId="0" borderId="0" xfId="49" applyFont="1"/>
    <xf numFmtId="0" fontId="9" fillId="2" borderId="1" xfId="50" applyFill="1" applyBorder="1" applyAlignment="1">
      <alignment vertical="center"/>
    </xf>
    <xf numFmtId="0" fontId="28" fillId="2" borderId="0" xfId="50" applyFont="1" applyFill="1" applyBorder="1" applyAlignment="1">
      <alignment horizontal="right" vertical="top" wrapText="1"/>
    </xf>
    <xf numFmtId="0" fontId="9" fillId="2" borderId="0" xfId="50" applyFill="1" applyAlignment="1">
      <alignment vertical="center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3" xfId="50" applyFont="1" applyFill="1" applyBorder="1" applyAlignment="1">
      <alignment horizontal="center" vertical="center" wrapText="1"/>
    </xf>
    <xf numFmtId="0" fontId="9" fillId="0" borderId="3" xfId="50" applyFill="1" applyBorder="1" applyAlignment="1">
      <alignment vertical="center"/>
    </xf>
    <xf numFmtId="0" fontId="9" fillId="2" borderId="3" xfId="50" applyFill="1" applyBorder="1" applyAlignment="1">
      <alignment vertical="center"/>
    </xf>
    <xf numFmtId="0" fontId="31" fillId="2" borderId="1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/>
    </xf>
    <xf numFmtId="0" fontId="9" fillId="2" borderId="1" xfId="50" applyFill="1" applyBorder="1" applyAlignment="1">
      <alignment horizontal="right" vertical="center"/>
    </xf>
    <xf numFmtId="0" fontId="30" fillId="2" borderId="0" xfId="49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center" vertical="center" wrapText="1"/>
    </xf>
    <xf numFmtId="0" fontId="31" fillId="2" borderId="0" xfId="50" applyFont="1" applyFill="1" applyBorder="1" applyAlignment="1">
      <alignment horizontal="center" vertical="center"/>
    </xf>
    <xf numFmtId="0" fontId="31" fillId="2" borderId="0" xfId="50" applyFont="1" applyFill="1" applyBorder="1" applyAlignment="1">
      <alignment horizontal="right" vertical="center"/>
    </xf>
    <xf numFmtId="0" fontId="31" fillId="2" borderId="0" xfId="49" applyFont="1" applyFill="1" applyAlignment="1">
      <alignment vertical="center"/>
    </xf>
    <xf numFmtId="0" fontId="38" fillId="2" borderId="0" xfId="49" applyFont="1" applyFill="1" applyAlignment="1">
      <alignment vertical="center"/>
    </xf>
    <xf numFmtId="0" fontId="34" fillId="2" borderId="0" xfId="50" applyFont="1" applyFill="1" applyAlignment="1">
      <alignment vertical="center"/>
    </xf>
    <xf numFmtId="0" fontId="9" fillId="2" borderId="0" xfId="49" applyFill="1" applyAlignment="1">
      <alignment vertical="center"/>
    </xf>
    <xf numFmtId="0" fontId="33" fillId="2" borderId="0" xfId="49" applyFont="1" applyFill="1" applyAlignment="1">
      <alignment vertical="center"/>
    </xf>
    <xf numFmtId="165" fontId="28" fillId="2" borderId="1" xfId="51" applyNumberFormat="1" applyFont="1" applyFill="1" applyBorder="1"/>
    <xf numFmtId="167" fontId="28" fillId="2" borderId="1" xfId="51" applyNumberFormat="1" applyFont="1" applyFill="1" applyBorder="1"/>
    <xf numFmtId="167" fontId="28" fillId="5" borderId="1" xfId="49" applyNumberFormat="1" applyFont="1" applyFill="1" applyBorder="1"/>
    <xf numFmtId="167" fontId="28" fillId="2" borderId="1" xfId="50" applyNumberFormat="1" applyFont="1" applyFill="1" applyBorder="1"/>
    <xf numFmtId="0" fontId="9" fillId="2" borderId="0" xfId="50" applyFill="1" applyBorder="1" applyAlignment="1">
      <alignment vertical="center"/>
    </xf>
    <xf numFmtId="0" fontId="30" fillId="2" borderId="0" xfId="50" applyFont="1" applyFill="1" applyBorder="1" applyAlignment="1">
      <alignment horizontal="left" vertical="center"/>
    </xf>
    <xf numFmtId="166" fontId="30" fillId="2" borderId="0" xfId="50" applyNumberFormat="1" applyFont="1" applyFill="1" applyBorder="1" applyAlignment="1">
      <alignment horizontal="right" vertical="center"/>
    </xf>
    <xf numFmtId="166" fontId="30" fillId="2" borderId="0" xfId="50" applyNumberFormat="1" applyFont="1" applyFill="1" applyBorder="1" applyAlignment="1">
      <alignment vertical="center"/>
    </xf>
    <xf numFmtId="167" fontId="30" fillId="2" borderId="0" xfId="50" applyNumberFormat="1" applyFont="1" applyFill="1" applyBorder="1" applyAlignment="1">
      <alignment vertical="center"/>
    </xf>
    <xf numFmtId="0" fontId="9" fillId="2" borderId="0" xfId="50" applyFill="1" applyAlignment="1">
      <alignment horizontal="left" vertical="center"/>
    </xf>
    <xf numFmtId="0" fontId="54" fillId="2" borderId="0" xfId="56" applyFont="1" applyFill="1" applyAlignment="1">
      <alignment horizontal="left" vertical="center"/>
    </xf>
    <xf numFmtId="0" fontId="36" fillId="0" borderId="0" xfId="56" applyFont="1" applyFill="1" applyAlignment="1">
      <alignment horizontal="left" vertical="center"/>
    </xf>
    <xf numFmtId="0" fontId="54" fillId="2" borderId="0" xfId="56" applyFont="1" applyFill="1" applyAlignment="1">
      <alignment vertical="center"/>
    </xf>
    <xf numFmtId="0" fontId="36" fillId="0" borderId="0" xfId="55" applyFont="1"/>
    <xf numFmtId="0" fontId="7" fillId="2" borderId="1" xfId="56" applyFill="1" applyBorder="1" applyAlignment="1">
      <alignment vertical="center"/>
    </xf>
    <xf numFmtId="0" fontId="28" fillId="2" borderId="0" xfId="56" applyFont="1" applyFill="1" applyBorder="1" applyAlignment="1">
      <alignment horizontal="right" vertical="top" wrapText="1"/>
    </xf>
    <xf numFmtId="0" fontId="7" fillId="2" borderId="0" xfId="56" applyFill="1" applyAlignment="1">
      <alignment vertical="center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3" xfId="56" applyFont="1" applyFill="1" applyBorder="1" applyAlignment="1">
      <alignment horizontal="center" vertical="center" wrapText="1"/>
    </xf>
    <xf numFmtId="0" fontId="7" fillId="0" borderId="3" xfId="56" applyFill="1" applyBorder="1" applyAlignment="1">
      <alignment vertical="center"/>
    </xf>
    <xf numFmtId="0" fontId="7" fillId="2" borderId="3" xfId="56" applyFill="1" applyBorder="1" applyAlignment="1">
      <alignment vertical="center"/>
    </xf>
    <xf numFmtId="0" fontId="31" fillId="2" borderId="1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/>
    </xf>
    <xf numFmtId="0" fontId="7" fillId="2" borderId="1" xfId="56" applyFill="1" applyBorder="1" applyAlignment="1">
      <alignment horizontal="right" vertical="center"/>
    </xf>
    <xf numFmtId="0" fontId="30" fillId="2" borderId="0" xfId="55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center" vertical="center" wrapText="1"/>
    </xf>
    <xf numFmtId="0" fontId="31" fillId="2" borderId="0" xfId="56" applyFont="1" applyFill="1" applyBorder="1" applyAlignment="1">
      <alignment horizontal="center" vertical="center"/>
    </xf>
    <xf numFmtId="0" fontId="31" fillId="2" borderId="0" xfId="56" applyFont="1" applyFill="1" applyBorder="1" applyAlignment="1">
      <alignment horizontal="right" vertical="center"/>
    </xf>
    <xf numFmtId="0" fontId="31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0" fontId="34" fillId="2" borderId="0" xfId="56" applyFont="1" applyFill="1" applyAlignment="1">
      <alignment vertical="center"/>
    </xf>
    <xf numFmtId="0" fontId="7" fillId="2" borderId="0" xfId="55" applyFill="1" applyAlignment="1">
      <alignment vertical="center"/>
    </xf>
    <xf numFmtId="0" fontId="33" fillId="2" borderId="0" xfId="55" applyFont="1" applyFill="1" applyAlignment="1">
      <alignment vertical="center"/>
    </xf>
    <xf numFmtId="165" fontId="28" fillId="2" borderId="1" xfId="57" applyNumberFormat="1" applyFont="1" applyFill="1" applyBorder="1"/>
    <xf numFmtId="167" fontId="28" fillId="2" borderId="1" xfId="57" applyNumberFormat="1" applyFont="1" applyFill="1" applyBorder="1"/>
    <xf numFmtId="167" fontId="28" fillId="5" borderId="1" xfId="55" applyNumberFormat="1" applyFont="1" applyFill="1" applyBorder="1"/>
    <xf numFmtId="167" fontId="28" fillId="2" borderId="1" xfId="56" applyNumberFormat="1" applyFont="1" applyFill="1" applyBorder="1"/>
    <xf numFmtId="0" fontId="7" fillId="2" borderId="0" xfId="56" applyFill="1" applyBorder="1" applyAlignment="1">
      <alignment vertical="center"/>
    </xf>
    <xf numFmtId="0" fontId="30" fillId="2" borderId="0" xfId="56" applyFont="1" applyFill="1" applyBorder="1" applyAlignment="1">
      <alignment horizontal="left" vertical="center"/>
    </xf>
    <xf numFmtId="166" fontId="30" fillId="2" borderId="0" xfId="56" applyNumberFormat="1" applyFont="1" applyFill="1" applyBorder="1" applyAlignment="1">
      <alignment horizontal="right" vertical="center"/>
    </xf>
    <xf numFmtId="166" fontId="30" fillId="2" borderId="0" xfId="56" applyNumberFormat="1" applyFont="1" applyFill="1" applyBorder="1" applyAlignment="1">
      <alignment vertical="center"/>
    </xf>
    <xf numFmtId="167" fontId="30" fillId="2" borderId="0" xfId="56" applyNumberFormat="1" applyFont="1" applyFill="1" applyBorder="1" applyAlignment="1">
      <alignment vertical="center"/>
    </xf>
    <xf numFmtId="0" fontId="7" fillId="2" borderId="0" xfId="56" applyFill="1" applyAlignment="1">
      <alignment horizontal="left" vertical="center"/>
    </xf>
    <xf numFmtId="0" fontId="54" fillId="2" borderId="0" xfId="59" applyFont="1" applyFill="1" applyAlignment="1">
      <alignment vertical="center"/>
    </xf>
    <xf numFmtId="0" fontId="36" fillId="0" borderId="0" xfId="58" applyFont="1"/>
    <xf numFmtId="0" fontId="54" fillId="2" borderId="0" xfId="59" applyFont="1" applyFill="1" applyAlignment="1">
      <alignment horizontal="left" vertical="center"/>
    </xf>
    <xf numFmtId="0" fontId="67" fillId="2" borderId="1" xfId="59" applyFont="1" applyFill="1" applyBorder="1" applyAlignment="1">
      <alignment vertical="center"/>
    </xf>
    <xf numFmtId="0" fontId="70" fillId="2" borderId="1" xfId="59" applyFont="1" applyFill="1" applyBorder="1" applyAlignment="1">
      <alignment vertical="center" wrapText="1"/>
    </xf>
    <xf numFmtId="0" fontId="32" fillId="2" borderId="1" xfId="59" applyFont="1" applyFill="1" applyBorder="1" applyAlignment="1">
      <alignment vertical="center" wrapText="1"/>
    </xf>
    <xf numFmtId="0" fontId="28" fillId="2" borderId="3" xfId="59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vertical="center"/>
    </xf>
    <xf numFmtId="0" fontId="28" fillId="2" borderId="0" xfId="59" applyFont="1" applyFill="1" applyBorder="1" applyAlignment="1">
      <alignment horizontal="right" vertical="center" wrapText="1"/>
    </xf>
    <xf numFmtId="0" fontId="32" fillId="2" borderId="1" xfId="59" applyFont="1" applyFill="1" applyBorder="1" applyAlignment="1">
      <alignment vertical="center"/>
    </xf>
    <xf numFmtId="0" fontId="28" fillId="2" borderId="1" xfId="59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28" fillId="2" borderId="0" xfId="58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center" vertical="center" wrapText="1"/>
    </xf>
    <xf numFmtId="0" fontId="32" fillId="2" borderId="0" xfId="59" applyFont="1" applyFill="1" applyBorder="1" applyAlignment="1">
      <alignment horizontal="center" vertical="center"/>
    </xf>
    <xf numFmtId="0" fontId="32" fillId="2" borderId="0" xfId="59" applyFont="1" applyFill="1" applyBorder="1" applyAlignment="1">
      <alignment horizontal="right" vertical="center"/>
    </xf>
    <xf numFmtId="0" fontId="32" fillId="2" borderId="3" xfId="59" applyFont="1" applyFill="1" applyBorder="1" applyAlignment="1">
      <alignment horizontal="right" vertical="center"/>
    </xf>
    <xf numFmtId="0" fontId="32" fillId="2" borderId="0" xfId="59" applyFont="1" applyFill="1" applyAlignment="1">
      <alignment horizontal="right" vertical="center"/>
    </xf>
    <xf numFmtId="0" fontId="71" fillId="2" borderId="0" xfId="59" applyFont="1" applyFill="1" applyAlignment="1">
      <alignment vertical="center"/>
    </xf>
    <xf numFmtId="0" fontId="69" fillId="2" borderId="0" xfId="58" applyFont="1" applyFill="1" applyAlignment="1">
      <alignment vertical="center"/>
    </xf>
    <xf numFmtId="0" fontId="67" fillId="2" borderId="0" xfId="59" applyFont="1" applyFill="1" applyAlignment="1">
      <alignment vertical="center"/>
    </xf>
    <xf numFmtId="0" fontId="37" fillId="2" borderId="0" xfId="58" applyFont="1" applyFill="1" applyAlignment="1">
      <alignment vertical="center"/>
    </xf>
    <xf numFmtId="165" fontId="28" fillId="2" borderId="1" xfId="59" applyNumberFormat="1" applyFont="1" applyFill="1" applyBorder="1"/>
    <xf numFmtId="167" fontId="28" fillId="2" borderId="1" xfId="59" applyNumberFormat="1" applyFont="1" applyFill="1" applyBorder="1"/>
    <xf numFmtId="0" fontId="67" fillId="2" borderId="0" xfId="59" applyFont="1" applyFill="1" applyBorder="1" applyAlignment="1">
      <alignment vertical="center"/>
    </xf>
    <xf numFmtId="0" fontId="28" fillId="2" borderId="0" xfId="59" applyFont="1" applyFill="1" applyBorder="1" applyAlignment="1">
      <alignment vertical="center"/>
    </xf>
    <xf numFmtId="166" fontId="28" fillId="2" borderId="0" xfId="59" applyNumberFormat="1" applyFont="1" applyFill="1" applyBorder="1" applyAlignment="1">
      <alignment horizontal="right" vertical="center"/>
    </xf>
    <xf numFmtId="166" fontId="28" fillId="2" borderId="0" xfId="59" applyNumberFormat="1" applyFont="1" applyFill="1" applyBorder="1" applyAlignment="1">
      <alignment vertical="center"/>
    </xf>
    <xf numFmtId="0" fontId="54" fillId="2" borderId="0" xfId="62" applyFont="1" applyFill="1" applyAlignment="1">
      <alignment horizontal="left" vertical="center"/>
    </xf>
    <xf numFmtId="0" fontId="36" fillId="0" borderId="0" xfId="62" applyFont="1" applyAlignment="1">
      <alignment horizontal="left" vertical="center"/>
    </xf>
    <xf numFmtId="0" fontId="54" fillId="2" borderId="0" xfId="62" applyFont="1" applyFill="1" applyAlignment="1">
      <alignment vertical="center"/>
    </xf>
    <xf numFmtId="0" fontId="55" fillId="0" borderId="0" xfId="63" applyFont="1"/>
    <xf numFmtId="0" fontId="55" fillId="2" borderId="0" xfId="62" applyFont="1" applyFill="1" applyAlignment="1">
      <alignment vertical="center"/>
    </xf>
    <xf numFmtId="0" fontId="55" fillId="2" borderId="0" xfId="62" applyFont="1" applyFill="1" applyAlignment="1">
      <alignment horizontal="left" vertical="center"/>
    </xf>
    <xf numFmtId="164" fontId="55" fillId="2" borderId="0" xfId="65" applyFont="1" applyFill="1" applyBorder="1" applyAlignment="1">
      <alignment horizontal="right" vertical="top"/>
    </xf>
    <xf numFmtId="0" fontId="55" fillId="2" borderId="0" xfId="64" applyFont="1" applyFill="1" applyAlignment="1">
      <alignment vertical="center"/>
    </xf>
    <xf numFmtId="0" fontId="67" fillId="2" borderId="1" xfId="62" applyFont="1" applyFill="1" applyBorder="1" applyAlignment="1">
      <alignment vertical="center"/>
    </xf>
    <xf numFmtId="0" fontId="28" fillId="2" borderId="0" xfId="62" applyFont="1" applyFill="1" applyAlignment="1">
      <alignment horizontal="right" vertical="top" wrapText="1"/>
    </xf>
    <xf numFmtId="0" fontId="67" fillId="2" borderId="0" xfId="62" applyFont="1" applyFill="1" applyAlignment="1">
      <alignment vertical="center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Border="1" applyAlignment="1">
      <alignment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3" xfId="62" applyFont="1" applyFill="1" applyBorder="1" applyAlignment="1">
      <alignment horizontal="center" vertical="center" wrapText="1"/>
    </xf>
    <xf numFmtId="0" fontId="67" fillId="0" borderId="3" xfId="62" applyFont="1" applyBorder="1" applyAlignment="1">
      <alignment vertical="center"/>
    </xf>
    <xf numFmtId="0" fontId="67" fillId="2" borderId="3" xfId="62" applyFont="1" applyFill="1" applyBorder="1" applyAlignment="1">
      <alignment vertical="center"/>
    </xf>
    <xf numFmtId="0" fontId="67" fillId="2" borderId="0" xfId="62" applyFont="1" applyFill="1" applyBorder="1" applyAlignment="1">
      <alignment vertical="center"/>
    </xf>
    <xf numFmtId="0" fontId="32" fillId="2" borderId="1" xfId="62" applyFont="1" applyFill="1" applyBorder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/>
    </xf>
    <xf numFmtId="0" fontId="67" fillId="2" borderId="1" xfId="62" applyFont="1" applyFill="1" applyBorder="1" applyAlignment="1">
      <alignment horizontal="right" vertical="center"/>
    </xf>
    <xf numFmtId="0" fontId="28" fillId="2" borderId="0" xfId="63" applyFont="1" applyFill="1" applyAlignment="1">
      <alignment horizontal="left" vertical="center" wrapText="1"/>
    </xf>
    <xf numFmtId="0" fontId="32" fillId="2" borderId="0" xfId="62" applyFont="1" applyFill="1" applyAlignment="1">
      <alignment horizontal="left" vertical="center" wrapText="1"/>
    </xf>
    <xf numFmtId="0" fontId="32" fillId="2" borderId="0" xfId="62" applyFont="1" applyFill="1" applyAlignment="1">
      <alignment horizontal="center" vertical="center" wrapText="1"/>
    </xf>
    <xf numFmtId="0" fontId="32" fillId="2" borderId="0" xfId="62" applyFont="1" applyFill="1" applyAlignment="1">
      <alignment horizontal="center" vertical="center"/>
    </xf>
    <xf numFmtId="0" fontId="32" fillId="2" borderId="0" xfId="62" applyFont="1" applyFill="1" applyAlignment="1">
      <alignment horizontal="right" vertical="center"/>
    </xf>
    <xf numFmtId="0" fontId="32" fillId="2" borderId="0" xfId="63" applyFont="1" applyFill="1" applyAlignment="1">
      <alignment vertical="center"/>
    </xf>
    <xf numFmtId="0" fontId="69" fillId="2" borderId="0" xfId="61" applyFont="1" applyFill="1" applyAlignment="1">
      <alignment vertical="center"/>
    </xf>
    <xf numFmtId="0" fontId="71" fillId="2" borderId="0" xfId="62" applyFont="1" applyFill="1" applyAlignment="1">
      <alignment vertical="center"/>
    </xf>
    <xf numFmtId="0" fontId="67" fillId="2" borderId="0" xfId="63" applyFont="1" applyFill="1" applyAlignment="1">
      <alignment vertical="center"/>
    </xf>
    <xf numFmtId="0" fontId="37" fillId="2" borderId="0" xfId="61" applyFont="1" applyFill="1" applyAlignment="1">
      <alignment vertical="center"/>
    </xf>
    <xf numFmtId="0" fontId="28" fillId="2" borderId="1" xfId="62" applyFont="1" applyFill="1" applyBorder="1" applyAlignment="1">
      <alignment horizontal="left" vertical="center"/>
    </xf>
    <xf numFmtId="166" fontId="28" fillId="2" borderId="1" xfId="62" applyNumberFormat="1" applyFont="1" applyFill="1" applyBorder="1" applyAlignment="1">
      <alignment horizontal="right" vertical="center"/>
    </xf>
    <xf numFmtId="166" fontId="28" fillId="2" borderId="1" xfId="62" applyNumberFormat="1" applyFont="1" applyFill="1" applyBorder="1" applyAlignment="1">
      <alignment vertical="center"/>
    </xf>
    <xf numFmtId="167" fontId="28" fillId="2" borderId="1" xfId="62" applyNumberFormat="1" applyFont="1" applyFill="1" applyBorder="1" applyAlignment="1">
      <alignment vertical="center"/>
    </xf>
    <xf numFmtId="0" fontId="28" fillId="2" borderId="0" xfId="62" applyFont="1" applyFill="1" applyAlignment="1">
      <alignment horizontal="left" vertical="center"/>
    </xf>
    <xf numFmtId="166" fontId="28" fillId="2" borderId="0" xfId="62" applyNumberFormat="1" applyFont="1" applyFill="1" applyAlignment="1">
      <alignment horizontal="right" vertical="center"/>
    </xf>
    <xf numFmtId="166" fontId="28" fillId="2" borderId="0" xfId="62" applyNumberFormat="1" applyFont="1" applyFill="1" applyAlignment="1">
      <alignment vertical="center"/>
    </xf>
    <xf numFmtId="167" fontId="28" fillId="2" borderId="0" xfId="62" applyNumberFormat="1" applyFont="1" applyFill="1" applyAlignment="1">
      <alignment vertical="center"/>
    </xf>
    <xf numFmtId="0" fontId="68" fillId="2" borderId="0" xfId="62" applyFont="1" applyFill="1" applyAlignment="1">
      <alignment vertical="center"/>
    </xf>
    <xf numFmtId="0" fontId="28" fillId="2" borderId="0" xfId="66" applyFont="1" applyFill="1" applyAlignment="1">
      <alignment horizontal="left" vertical="center"/>
    </xf>
    <xf numFmtId="166" fontId="28" fillId="2" borderId="0" xfId="66" applyNumberFormat="1" applyFont="1" applyFill="1" applyAlignment="1">
      <alignment horizontal="right" vertical="center"/>
    </xf>
    <xf numFmtId="166" fontId="28" fillId="2" borderId="0" xfId="66" applyNumberFormat="1" applyFont="1" applyFill="1" applyAlignment="1">
      <alignment vertical="center"/>
    </xf>
    <xf numFmtId="0" fontId="68" fillId="2" borderId="0" xfId="66" applyFont="1" applyFill="1" applyAlignment="1">
      <alignment vertical="center"/>
    </xf>
    <xf numFmtId="167" fontId="28" fillId="2" borderId="0" xfId="66" applyNumberFormat="1" applyFont="1" applyFill="1" applyAlignment="1">
      <alignment vertical="center"/>
    </xf>
    <xf numFmtId="0" fontId="5" fillId="2" borderId="0" xfId="62" applyFill="1" applyAlignment="1">
      <alignment vertical="center"/>
    </xf>
    <xf numFmtId="0" fontId="5" fillId="2" borderId="0" xfId="62" applyFill="1" applyAlignment="1">
      <alignment horizontal="left" vertical="center"/>
    </xf>
    <xf numFmtId="0" fontId="54" fillId="2" borderId="0" xfId="68" applyFont="1" applyFill="1" applyAlignment="1">
      <alignment horizontal="left" vertical="center"/>
    </xf>
    <xf numFmtId="0" fontId="36" fillId="2" borderId="0" xfId="68" applyFont="1" applyFill="1" applyAlignment="1">
      <alignment horizontal="left" vertical="center"/>
    </xf>
    <xf numFmtId="0" fontId="54" fillId="2" borderId="0" xfId="68" applyFont="1" applyFill="1" applyAlignment="1">
      <alignment vertical="center"/>
    </xf>
    <xf numFmtId="0" fontId="36" fillId="2" borderId="0" xfId="69" applyFont="1" applyFill="1"/>
    <xf numFmtId="164" fontId="55" fillId="2" borderId="0" xfId="71" applyFont="1" applyFill="1" applyBorder="1" applyAlignment="1">
      <alignment horizontal="right" vertical="top"/>
    </xf>
    <xf numFmtId="0" fontId="55" fillId="2" borderId="0" xfId="70" applyFont="1" applyFill="1" applyAlignment="1">
      <alignment vertical="center"/>
    </xf>
    <xf numFmtId="0" fontId="55" fillId="2" borderId="0" xfId="68" applyFont="1" applyFill="1" applyAlignment="1">
      <alignment vertical="center"/>
    </xf>
    <xf numFmtId="0" fontId="67" fillId="2" borderId="1" xfId="68" applyFont="1" applyFill="1" applyBorder="1" applyAlignment="1">
      <alignment vertical="center"/>
    </xf>
    <xf numFmtId="0" fontId="28" fillId="2" borderId="0" xfId="68" applyFont="1" applyFill="1" applyAlignment="1">
      <alignment horizontal="right" vertical="top" wrapText="1"/>
    </xf>
    <xf numFmtId="0" fontId="67" fillId="2" borderId="0" xfId="68" applyFont="1" applyFill="1" applyAlignment="1">
      <alignment vertical="center"/>
    </xf>
    <xf numFmtId="0" fontId="32" fillId="2" borderId="3" xfId="68" applyFont="1" applyFill="1" applyBorder="1" applyAlignment="1">
      <alignment horizontal="right" vertical="center" wrapText="1"/>
    </xf>
    <xf numFmtId="0" fontId="32" fillId="2" borderId="0" xfId="68" applyFont="1" applyFill="1" applyBorder="1" applyAlignment="1">
      <alignment vertical="center" wrapText="1"/>
    </xf>
    <xf numFmtId="0" fontId="32" fillId="2" borderId="0" xfId="68" applyFont="1" applyFill="1" applyAlignment="1">
      <alignment horizontal="right" vertical="center" wrapText="1"/>
    </xf>
    <xf numFmtId="0" fontId="32" fillId="2" borderId="3" xfId="68" applyFont="1" applyFill="1" applyBorder="1" applyAlignment="1">
      <alignment horizontal="center" vertical="center" wrapText="1"/>
    </xf>
    <xf numFmtId="0" fontId="67" fillId="0" borderId="3" xfId="68" applyFont="1" applyBorder="1" applyAlignment="1">
      <alignment vertical="center"/>
    </xf>
    <xf numFmtId="0" fontId="67" fillId="2" borderId="3" xfId="68" applyFont="1" applyFill="1" applyBorder="1" applyAlignment="1">
      <alignment vertical="center"/>
    </xf>
    <xf numFmtId="0" fontId="67" fillId="2" borderId="0" xfId="68" applyFont="1" applyFill="1" applyBorder="1" applyAlignment="1">
      <alignment vertical="center"/>
    </xf>
    <xf numFmtId="0" fontId="32" fillId="2" borderId="1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/>
    </xf>
    <xf numFmtId="0" fontId="67" fillId="2" borderId="1" xfId="68" applyFont="1" applyFill="1" applyBorder="1" applyAlignment="1">
      <alignment horizontal="right" vertical="center"/>
    </xf>
    <xf numFmtId="0" fontId="67" fillId="2" borderId="0" xfId="68" applyFont="1" applyFill="1" applyAlignment="1">
      <alignment horizontal="right" vertical="center"/>
    </xf>
    <xf numFmtId="0" fontId="28" fillId="2" borderId="0" xfId="69" applyFont="1" applyFill="1" applyAlignment="1">
      <alignment horizontal="left" vertical="center" wrapText="1"/>
    </xf>
    <xf numFmtId="0" fontId="32" fillId="2" borderId="0" xfId="68" applyFont="1" applyFill="1" applyAlignment="1">
      <alignment horizontal="left" vertical="center" wrapText="1"/>
    </xf>
    <xf numFmtId="0" fontId="32" fillId="2" borderId="0" xfId="68" applyFont="1" applyFill="1" applyAlignment="1">
      <alignment horizontal="center" vertical="center" wrapText="1"/>
    </xf>
    <xf numFmtId="0" fontId="32" fillId="2" borderId="0" xfId="68" applyFont="1" applyFill="1" applyAlignment="1">
      <alignment horizontal="center" vertical="center"/>
    </xf>
    <xf numFmtId="0" fontId="32" fillId="2" borderId="0" xfId="68" applyFont="1" applyFill="1" applyAlignment="1">
      <alignment horizontal="right" vertical="center"/>
    </xf>
    <xf numFmtId="0" fontId="32" fillId="2" borderId="0" xfId="69" applyFont="1" applyFill="1" applyAlignment="1">
      <alignment vertical="center"/>
    </xf>
    <xf numFmtId="0" fontId="69" fillId="2" borderId="0" xfId="67" applyFont="1" applyFill="1" applyAlignment="1">
      <alignment vertical="center"/>
    </xf>
    <xf numFmtId="0" fontId="71" fillId="2" borderId="0" xfId="68" applyFont="1" applyFill="1" applyAlignment="1">
      <alignment vertical="center"/>
    </xf>
    <xf numFmtId="0" fontId="67" fillId="2" borderId="0" xfId="69" applyFont="1" applyFill="1" applyAlignment="1">
      <alignment vertical="center"/>
    </xf>
    <xf numFmtId="0" fontId="37" fillId="2" borderId="0" xfId="67" applyFont="1" applyFill="1" applyAlignment="1">
      <alignment vertical="center"/>
    </xf>
    <xf numFmtId="165" fontId="28" fillId="2" borderId="1" xfId="70" applyNumberFormat="1" applyFont="1" applyFill="1" applyBorder="1"/>
    <xf numFmtId="167" fontId="28" fillId="2" borderId="1" xfId="70" applyNumberFormat="1" applyFont="1" applyFill="1" applyBorder="1"/>
    <xf numFmtId="167" fontId="28" fillId="5" borderId="1" xfId="69" applyNumberFormat="1" applyFont="1" applyFill="1" applyBorder="1"/>
    <xf numFmtId="167" fontId="28" fillId="2" borderId="1" xfId="68" applyNumberFormat="1" applyFont="1" applyFill="1" applyBorder="1"/>
    <xf numFmtId="0" fontId="28" fillId="2" borderId="0" xfId="68" applyFont="1" applyFill="1" applyAlignment="1">
      <alignment horizontal="left" vertical="center"/>
    </xf>
    <xf numFmtId="166" fontId="28" fillId="2" borderId="0" xfId="68" applyNumberFormat="1" applyFont="1" applyFill="1" applyAlignment="1">
      <alignment horizontal="right" vertical="center"/>
    </xf>
    <xf numFmtId="166" fontId="28" fillId="2" borderId="0" xfId="68" applyNumberFormat="1" applyFont="1" applyFill="1" applyAlignment="1">
      <alignment vertical="center"/>
    </xf>
    <xf numFmtId="167" fontId="28" fillId="2" borderId="0" xfId="68" applyNumberFormat="1" applyFont="1" applyFill="1" applyAlignment="1">
      <alignment vertical="center"/>
    </xf>
    <xf numFmtId="0" fontId="68" fillId="2" borderId="0" xfId="68" applyFont="1" applyFill="1" applyAlignment="1">
      <alignment vertical="center"/>
    </xf>
    <xf numFmtId="0" fontId="28" fillId="2" borderId="0" xfId="72" applyFont="1" applyFill="1" applyAlignment="1">
      <alignment horizontal="left" vertical="center"/>
    </xf>
    <xf numFmtId="166" fontId="28" fillId="2" borderId="0" xfId="72" applyNumberFormat="1" applyFont="1" applyFill="1" applyAlignment="1">
      <alignment horizontal="right" vertical="center"/>
    </xf>
    <xf numFmtId="166" fontId="28" fillId="2" borderId="0" xfId="72" applyNumberFormat="1" applyFont="1" applyFill="1" applyAlignment="1">
      <alignment vertical="center"/>
    </xf>
    <xf numFmtId="0" fontId="68" fillId="2" borderId="0" xfId="72" applyFont="1" applyFill="1" applyAlignment="1">
      <alignment vertical="center"/>
    </xf>
    <xf numFmtId="167" fontId="28" fillId="2" borderId="0" xfId="72" applyNumberFormat="1" applyFont="1" applyFill="1" applyAlignment="1">
      <alignment vertical="center"/>
    </xf>
    <xf numFmtId="0" fontId="4" fillId="2" borderId="0" xfId="68" applyFill="1" applyAlignment="1">
      <alignment vertical="center"/>
    </xf>
    <xf numFmtId="0" fontId="4" fillId="2" borderId="0" xfId="68" applyFill="1" applyBorder="1" applyAlignment="1">
      <alignment vertical="center"/>
    </xf>
    <xf numFmtId="0" fontId="4" fillId="2" borderId="0" xfId="69" applyFill="1" applyBorder="1" applyAlignment="1">
      <alignment vertical="center"/>
    </xf>
    <xf numFmtId="0" fontId="4" fillId="2" borderId="0" xfId="69" applyFill="1" applyAlignment="1">
      <alignment vertical="center"/>
    </xf>
    <xf numFmtId="0" fontId="37" fillId="2" borderId="0" xfId="68" applyFont="1" applyFill="1" applyAlignment="1">
      <alignment vertical="top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36" fillId="0" borderId="0" xfId="74" applyFont="1"/>
    <xf numFmtId="171" fontId="44" fillId="2" borderId="0" xfId="0" applyNumberFormat="1" applyFont="1" applyFill="1" applyAlignment="1">
      <alignment horizontal="right" vertical="center"/>
    </xf>
    <xf numFmtId="171" fontId="45" fillId="0" borderId="0" xfId="0" applyNumberFormat="1" applyFont="1" applyFill="1" applyAlignment="1">
      <alignment horizontal="right" vertical="center"/>
    </xf>
    <xf numFmtId="0" fontId="54" fillId="2" borderId="0" xfId="76" applyFont="1" applyFill="1" applyAlignment="1">
      <alignment horizontal="left" vertical="center"/>
    </xf>
    <xf numFmtId="0" fontId="36" fillId="0" borderId="0" xfId="76" applyFont="1" applyFill="1" applyAlignment="1">
      <alignment horizontal="left" vertical="center"/>
    </xf>
    <xf numFmtId="0" fontId="54" fillId="2" borderId="0" xfId="76" applyFont="1" applyFill="1" applyAlignment="1">
      <alignment vertical="center"/>
    </xf>
    <xf numFmtId="0" fontId="36" fillId="0" borderId="0" xfId="75" applyFont="1"/>
    <xf numFmtId="164" fontId="54" fillId="2" borderId="0" xfId="78" applyFont="1" applyFill="1" applyBorder="1" applyAlignment="1">
      <alignment horizontal="right" vertical="top"/>
    </xf>
    <xf numFmtId="0" fontId="54" fillId="2" borderId="0" xfId="77" applyFont="1" applyFill="1" applyAlignment="1">
      <alignment vertical="center"/>
    </xf>
    <xf numFmtId="0" fontId="1" fillId="2" borderId="1" xfId="76" applyFill="1" applyBorder="1" applyAlignment="1">
      <alignment vertical="center"/>
    </xf>
    <xf numFmtId="0" fontId="28" fillId="2" borderId="0" xfId="76" applyFont="1" applyFill="1" applyBorder="1" applyAlignment="1">
      <alignment horizontal="right" vertical="top" wrapText="1"/>
    </xf>
    <xf numFmtId="0" fontId="1" fillId="2" borderId="0" xfId="76" applyFill="1" applyAlignment="1">
      <alignment vertical="center"/>
    </xf>
    <xf numFmtId="0" fontId="31" fillId="2" borderId="3" xfId="76" applyFont="1" applyFill="1" applyBorder="1" applyAlignment="1">
      <alignment horizontal="right" vertical="center" wrapText="1"/>
    </xf>
    <xf numFmtId="0" fontId="31" fillId="2" borderId="0" xfId="76" applyFont="1" applyFill="1" applyBorder="1" applyAlignment="1">
      <alignment horizontal="right" vertical="center" wrapText="1"/>
    </xf>
    <xf numFmtId="0" fontId="31" fillId="2" borderId="3" xfId="76" applyFont="1" applyFill="1" applyBorder="1" applyAlignment="1">
      <alignment horizontal="center" vertical="center" wrapText="1"/>
    </xf>
    <xf numFmtId="0" fontId="1" fillId="0" borderId="3" xfId="76" applyFill="1" applyBorder="1" applyAlignment="1">
      <alignment vertical="center"/>
    </xf>
    <xf numFmtId="0" fontId="1" fillId="2" borderId="3" xfId="76" applyFill="1" applyBorder="1" applyAlignment="1">
      <alignment vertical="center"/>
    </xf>
    <xf numFmtId="0" fontId="31" fillId="2" borderId="1" xfId="76" applyFont="1" applyFill="1" applyBorder="1" applyAlignment="1">
      <alignment horizontal="right" vertical="center" wrapText="1"/>
    </xf>
    <xf numFmtId="0" fontId="31" fillId="2" borderId="1" xfId="76" applyFont="1" applyFill="1" applyBorder="1" applyAlignment="1">
      <alignment horizontal="right" vertical="center"/>
    </xf>
    <xf numFmtId="0" fontId="1" fillId="2" borderId="1" xfId="76" applyFill="1" applyBorder="1" applyAlignment="1">
      <alignment horizontal="right" vertical="center"/>
    </xf>
    <xf numFmtId="0" fontId="30" fillId="2" borderId="0" xfId="75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center" vertical="center" wrapText="1"/>
    </xf>
    <xf numFmtId="0" fontId="31" fillId="2" borderId="0" xfId="76" applyFont="1" applyFill="1" applyBorder="1" applyAlignment="1">
      <alignment horizontal="center" vertical="center"/>
    </xf>
    <xf numFmtId="0" fontId="31" fillId="2" borderId="0" xfId="76" applyFont="1" applyFill="1" applyBorder="1" applyAlignment="1">
      <alignment horizontal="right" vertical="center"/>
    </xf>
    <xf numFmtId="0" fontId="31" fillId="2" borderId="0" xfId="75" applyFont="1" applyFill="1" applyAlignment="1">
      <alignment vertical="center"/>
    </xf>
    <xf numFmtId="0" fontId="38" fillId="2" borderId="0" xfId="75" applyFont="1" applyFill="1" applyAlignment="1">
      <alignment vertical="center"/>
    </xf>
    <xf numFmtId="0" fontId="33" fillId="2" borderId="0" xfId="75" applyFont="1" applyFill="1" applyAlignment="1">
      <alignment vertical="center"/>
    </xf>
    <xf numFmtId="0" fontId="27" fillId="0" borderId="0" xfId="0" applyFont="1" applyAlignment="1">
      <alignment vertical="center"/>
    </xf>
    <xf numFmtId="0" fontId="37" fillId="0" borderId="21" xfId="32" applyFont="1" applyBorder="1" applyAlignment="1">
      <alignment horizontal="left" vertical="center" wrapText="1" indent="1"/>
    </xf>
    <xf numFmtId="0" fontId="37" fillId="0" borderId="20" xfId="32" applyFont="1" applyBorder="1" applyAlignment="1">
      <alignment horizontal="left" vertical="center" wrapText="1" indent="1"/>
    </xf>
    <xf numFmtId="0" fontId="37" fillId="0" borderId="22" xfId="32" applyFont="1" applyBorder="1" applyAlignment="1">
      <alignment horizontal="left" vertical="center" wrapText="1" indent="1"/>
    </xf>
    <xf numFmtId="0" fontId="37" fillId="0" borderId="17" xfId="32" applyFont="1" applyBorder="1" applyAlignment="1">
      <alignment horizontal="left" vertical="center" wrapText="1" indent="1"/>
    </xf>
    <xf numFmtId="0" fontId="37" fillId="0" borderId="16" xfId="32" applyFont="1" applyBorder="1" applyAlignment="1">
      <alignment horizontal="left" vertical="center" wrapText="1" indent="1"/>
    </xf>
    <xf numFmtId="0" fontId="37" fillId="0" borderId="18" xfId="32" applyFont="1" applyBorder="1" applyAlignment="1">
      <alignment horizontal="left" vertical="center" wrapText="1" indent="1"/>
    </xf>
    <xf numFmtId="0" fontId="62" fillId="0" borderId="10" xfId="14" applyFont="1" applyFill="1" applyBorder="1" applyAlignment="1">
      <alignment horizontal="center" vertical="center" wrapText="1"/>
    </xf>
    <xf numFmtId="0" fontId="63" fillId="0" borderId="15" xfId="14" applyFont="1" applyFill="1" applyBorder="1" applyAlignment="1">
      <alignment horizontal="center" vertical="center" wrapText="1"/>
    </xf>
    <xf numFmtId="0" fontId="63" fillId="0" borderId="19" xfId="14" applyFont="1" applyFill="1" applyBorder="1" applyAlignment="1">
      <alignment horizontal="center" vertical="center" wrapText="1"/>
    </xf>
    <xf numFmtId="0" fontId="37" fillId="0" borderId="12" xfId="32" applyFont="1" applyBorder="1" applyAlignment="1">
      <alignment horizontal="left" vertical="center" wrapText="1" indent="1"/>
    </xf>
    <xf numFmtId="0" fontId="37" fillId="0" borderId="13" xfId="32" applyFont="1" applyBorder="1" applyAlignment="1">
      <alignment horizontal="left" vertical="center" wrapText="1" indent="1"/>
    </xf>
    <xf numFmtId="0" fontId="37" fillId="0" borderId="14" xfId="32" applyFont="1" applyBorder="1" applyAlignment="1">
      <alignment horizontal="left" vertical="center" wrapText="1" indent="1"/>
    </xf>
    <xf numFmtId="0" fontId="61" fillId="9" borderId="8" xfId="32" applyFont="1" applyFill="1" applyBorder="1" applyAlignment="1">
      <alignment horizontal="center" vertical="center"/>
    </xf>
    <xf numFmtId="0" fontId="61" fillId="9" borderId="9" xfId="32" applyFont="1" applyFill="1" applyBorder="1" applyAlignment="1">
      <alignment horizontal="center" vertical="center"/>
    </xf>
    <xf numFmtId="0" fontId="60" fillId="0" borderId="0" xfId="32" applyFont="1" applyAlignment="1">
      <alignment horizontal="center" vertical="center"/>
    </xf>
    <xf numFmtId="0" fontId="65" fillId="0" borderId="0" xfId="32" applyFont="1" applyAlignment="1">
      <alignment horizontal="center" vertical="center"/>
    </xf>
    <xf numFmtId="0" fontId="61" fillId="8" borderId="0" xfId="32" applyFont="1" applyFill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32" applyFont="1" applyAlignment="1">
      <alignment horizontal="right"/>
    </xf>
    <xf numFmtId="0" fontId="58" fillId="0" borderId="0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right" vertical="center" wrapText="1"/>
    </xf>
    <xf numFmtId="0" fontId="44" fillId="0" borderId="1" xfId="18" applyFont="1" applyBorder="1" applyAlignment="1">
      <alignment horizontal="right" vertical="center" wrapText="1"/>
    </xf>
    <xf numFmtId="0" fontId="31" fillId="0" borderId="3" xfId="18" applyFont="1" applyBorder="1" applyAlignment="1">
      <alignment horizontal="right" vertical="center" wrapText="1"/>
    </xf>
    <xf numFmtId="0" fontId="31" fillId="0" borderId="1" xfId="18" applyFont="1" applyBorder="1" applyAlignment="1">
      <alignment horizontal="right" vertical="center" wrapText="1"/>
    </xf>
    <xf numFmtId="0" fontId="32" fillId="0" borderId="3" xfId="18" applyFont="1" applyFill="1" applyBorder="1" applyAlignment="1">
      <alignment horizontal="right" vertical="center" wrapText="1"/>
    </xf>
    <xf numFmtId="0" fontId="32" fillId="0" borderId="1" xfId="18" applyFont="1" applyFill="1" applyBorder="1" applyAlignment="1">
      <alignment horizontal="right" vertical="center" wrapText="1"/>
    </xf>
    <xf numFmtId="0" fontId="39" fillId="2" borderId="0" xfId="0" applyFont="1" applyFill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9" fillId="2" borderId="0" xfId="38" applyFont="1" applyFill="1" applyAlignment="1">
      <alignment horizontal="left" vertical="center" wrapText="1"/>
    </xf>
    <xf numFmtId="0" fontId="32" fillId="2" borderId="3" xfId="38" applyFont="1" applyFill="1" applyBorder="1" applyAlignment="1">
      <alignment horizontal="left" vertical="center" wrapText="1"/>
    </xf>
    <xf numFmtId="0" fontId="32" fillId="2" borderId="0" xfId="38" applyFont="1" applyFill="1" applyBorder="1" applyAlignment="1">
      <alignment horizontal="left" vertical="center" wrapText="1"/>
    </xf>
    <xf numFmtId="0" fontId="32" fillId="2" borderId="1" xfId="38" applyFont="1" applyFill="1" applyBorder="1" applyAlignment="1">
      <alignment horizontal="left" vertical="center" wrapText="1"/>
    </xf>
    <xf numFmtId="0" fontId="32" fillId="0" borderId="3" xfId="37" applyFont="1" applyFill="1" applyBorder="1" applyAlignment="1">
      <alignment horizontal="right" vertical="center" wrapText="1"/>
    </xf>
    <xf numFmtId="0" fontId="32" fillId="0" borderId="0" xfId="37" applyFont="1" applyFill="1" applyBorder="1" applyAlignment="1">
      <alignment horizontal="right" vertical="center" wrapText="1"/>
    </xf>
    <xf numFmtId="0" fontId="32" fillId="0" borderId="1" xfId="37" applyFont="1" applyFill="1" applyBorder="1" applyAlignment="1">
      <alignment horizontal="right" vertical="center" wrapText="1"/>
    </xf>
    <xf numFmtId="0" fontId="32" fillId="2" borderId="2" xfId="37" applyFont="1" applyFill="1" applyBorder="1" applyAlignment="1">
      <alignment horizontal="center" vertical="center"/>
    </xf>
    <xf numFmtId="0" fontId="32" fillId="2" borderId="2" xfId="38" applyFont="1" applyFill="1" applyBorder="1" applyAlignment="1">
      <alignment horizontal="center" vertical="center" wrapText="1"/>
    </xf>
    <xf numFmtId="0" fontId="32" fillId="2" borderId="2" xfId="37" applyFont="1" applyFill="1" applyBorder="1" applyAlignment="1">
      <alignment horizontal="center" vertical="center" wrapText="1"/>
    </xf>
    <xf numFmtId="0" fontId="32" fillId="0" borderId="2" xfId="37" applyFont="1" applyFill="1" applyBorder="1" applyAlignment="1">
      <alignment horizontal="center" vertical="center" wrapText="1"/>
    </xf>
    <xf numFmtId="0" fontId="31" fillId="2" borderId="2" xfId="41" applyFont="1" applyFill="1" applyBorder="1" applyAlignment="1">
      <alignment horizontal="center" vertical="center" wrapText="1"/>
    </xf>
    <xf numFmtId="0" fontId="56" fillId="2" borderId="0" xfId="42" applyFont="1" applyFill="1" applyAlignment="1">
      <alignment horizontal="left" vertical="center" wrapText="1"/>
    </xf>
    <xf numFmtId="0" fontId="39" fillId="2" borderId="1" xfId="41" applyFont="1" applyFill="1" applyBorder="1" applyAlignment="1">
      <alignment horizontal="justify" vertical="top" wrapText="1"/>
    </xf>
    <xf numFmtId="0" fontId="39" fillId="2" borderId="0" xfId="41" applyFont="1" applyFill="1" applyBorder="1" applyAlignment="1">
      <alignment horizontal="justify" vertical="top" wrapText="1"/>
    </xf>
    <xf numFmtId="0" fontId="12" fillId="2" borderId="0" xfId="41" applyFill="1" applyBorder="1" applyAlignment="1">
      <alignment vertical="top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0" xfId="0" applyFont="1" applyFill="1" applyBorder="1" applyAlignment="1">
      <alignment horizontal="left" vertical="center" wrapText="1"/>
    </xf>
    <xf numFmtId="0" fontId="47" fillId="6" borderId="1" xfId="0" applyFont="1" applyFill="1" applyBorder="1" applyAlignment="1">
      <alignment horizontal="left" vertical="center" wrapText="1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center" vertical="center" wrapText="1"/>
    </xf>
    <xf numFmtId="0" fontId="31" fillId="2" borderId="2" xfId="44" applyFont="1" applyFill="1" applyBorder="1" applyAlignment="1">
      <alignment horizontal="center" vertical="center" wrapText="1"/>
    </xf>
    <xf numFmtId="0" fontId="56" fillId="2" borderId="0" xfId="45" applyFont="1" applyFill="1" applyAlignment="1">
      <alignment horizontal="left" vertical="center" wrapText="1"/>
    </xf>
    <xf numFmtId="0" fontId="39" fillId="2" borderId="1" xfId="44" applyFont="1" applyFill="1" applyBorder="1" applyAlignment="1">
      <alignment horizontal="justify" vertical="top" wrapText="1"/>
    </xf>
    <xf numFmtId="0" fontId="39" fillId="2" borderId="0" xfId="44" applyFont="1" applyFill="1" applyBorder="1" applyAlignment="1">
      <alignment horizontal="justify" vertical="top" wrapText="1"/>
    </xf>
    <xf numFmtId="0" fontId="11" fillId="2" borderId="0" xfId="44" applyFill="1" applyBorder="1" applyAlignment="1">
      <alignment vertical="top" wrapText="1"/>
    </xf>
    <xf numFmtId="0" fontId="47" fillId="7" borderId="3" xfId="0" applyFont="1" applyFill="1" applyBorder="1" applyAlignment="1">
      <alignment horizontal="left" vertical="center" wrapText="1"/>
    </xf>
    <xf numFmtId="0" fontId="47" fillId="7" borderId="0" xfId="0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horizontal="left" vertical="center" wrapText="1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center" vertical="center" wrapText="1"/>
    </xf>
    <xf numFmtId="0" fontId="31" fillId="2" borderId="2" xfId="47" applyFont="1" applyFill="1" applyBorder="1" applyAlignment="1">
      <alignment horizontal="center" vertical="center" wrapText="1"/>
    </xf>
    <xf numFmtId="0" fontId="56" fillId="2" borderId="0" xfId="48" applyFont="1" applyFill="1" applyAlignment="1">
      <alignment horizontal="left" vertical="center" wrapText="1"/>
    </xf>
    <xf numFmtId="0" fontId="39" fillId="2" borderId="1" xfId="47" applyFont="1" applyFill="1" applyBorder="1" applyAlignment="1">
      <alignment horizontal="justify" vertical="top" wrapText="1"/>
    </xf>
    <xf numFmtId="0" fontId="39" fillId="2" borderId="0" xfId="47" applyFont="1" applyFill="1" applyBorder="1" applyAlignment="1">
      <alignment horizontal="justify" vertical="top" wrapText="1"/>
    </xf>
    <xf numFmtId="0" fontId="10" fillId="2" borderId="0" xfId="47" applyFill="1" applyBorder="1" applyAlignment="1">
      <alignment vertical="top" wrapText="1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 wrapText="1"/>
    </xf>
    <xf numFmtId="0" fontId="31" fillId="2" borderId="2" xfId="50" applyFont="1" applyFill="1" applyBorder="1" applyAlignment="1">
      <alignment horizontal="center" vertical="center" wrapText="1"/>
    </xf>
    <xf numFmtId="0" fontId="56" fillId="2" borderId="0" xfId="51" applyFont="1" applyFill="1" applyAlignment="1">
      <alignment horizontal="left" vertical="center" wrapText="1"/>
    </xf>
    <xf numFmtId="0" fontId="39" fillId="2" borderId="1" xfId="50" applyFont="1" applyFill="1" applyBorder="1" applyAlignment="1">
      <alignment horizontal="justify" vertical="top" wrapText="1"/>
    </xf>
    <xf numFmtId="0" fontId="39" fillId="2" borderId="0" xfId="50" applyFont="1" applyFill="1" applyBorder="1" applyAlignment="1">
      <alignment horizontal="justify" vertical="top" wrapText="1"/>
    </xf>
    <xf numFmtId="0" fontId="9" fillId="2" borderId="0" xfId="50" applyFill="1" applyBorder="1" applyAlignment="1">
      <alignment vertical="top" wrapText="1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 wrapText="1"/>
    </xf>
    <xf numFmtId="0" fontId="31" fillId="2" borderId="2" xfId="56" applyFont="1" applyFill="1" applyBorder="1" applyAlignment="1">
      <alignment horizontal="center" vertical="center" wrapText="1"/>
    </xf>
    <xf numFmtId="0" fontId="56" fillId="2" borderId="0" xfId="57" applyFont="1" applyFill="1" applyAlignment="1">
      <alignment horizontal="left" vertical="center" wrapText="1"/>
    </xf>
    <xf numFmtId="0" fontId="39" fillId="2" borderId="1" xfId="56" applyFont="1" applyFill="1" applyBorder="1" applyAlignment="1">
      <alignment horizontal="justify" vertical="top" wrapText="1"/>
    </xf>
    <xf numFmtId="0" fontId="39" fillId="2" borderId="0" xfId="56" applyFont="1" applyFill="1" applyBorder="1" applyAlignment="1">
      <alignment horizontal="justify" vertical="top" wrapText="1"/>
    </xf>
    <xf numFmtId="0" fontId="7" fillId="2" borderId="0" xfId="56" applyFill="1" applyBorder="1" applyAlignment="1">
      <alignment vertical="top" wrapText="1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 wrapText="1"/>
    </xf>
    <xf numFmtId="0" fontId="31" fillId="2" borderId="2" xfId="76" applyFont="1" applyFill="1" applyBorder="1" applyAlignment="1">
      <alignment horizontal="center" vertical="center" wrapText="1"/>
    </xf>
    <xf numFmtId="0" fontId="56" fillId="2" borderId="0" xfId="77" applyFont="1" applyFill="1" applyAlignment="1">
      <alignment horizontal="left" vertical="top" wrapText="1"/>
    </xf>
    <xf numFmtId="0" fontId="39" fillId="2" borderId="1" xfId="76" applyFont="1" applyFill="1" applyBorder="1" applyAlignment="1">
      <alignment horizontal="justify" vertical="top" wrapText="1"/>
    </xf>
    <xf numFmtId="0" fontId="39" fillId="2" borderId="0" xfId="76" applyFont="1" applyFill="1" applyBorder="1" applyAlignment="1">
      <alignment horizontal="justify" vertical="top" wrapText="1"/>
    </xf>
    <xf numFmtId="0" fontId="1" fillId="2" borderId="0" xfId="76" applyFill="1" applyBorder="1" applyAlignment="1">
      <alignment vertical="top" wrapText="1"/>
    </xf>
    <xf numFmtId="0" fontId="31" fillId="2" borderId="3" xfId="76" applyFont="1" applyFill="1" applyBorder="1" applyAlignment="1">
      <alignment horizontal="right" wrapText="1"/>
    </xf>
    <xf numFmtId="0" fontId="31" fillId="2" borderId="0" xfId="76" applyFont="1" applyFill="1" applyBorder="1" applyAlignment="1">
      <alignment horizontal="right" wrapText="1"/>
    </xf>
    <xf numFmtId="0" fontId="31" fillId="2" borderId="1" xfId="76" applyFont="1" applyFill="1" applyBorder="1" applyAlignment="1">
      <alignment horizontal="right" wrapText="1"/>
    </xf>
    <xf numFmtId="0" fontId="32" fillId="2" borderId="3" xfId="59" applyFont="1" applyFill="1" applyBorder="1" applyAlignment="1">
      <alignment horizontal="center" vertical="center" wrapText="1"/>
    </xf>
    <xf numFmtId="0" fontId="32" fillId="2" borderId="1" xfId="59" applyFont="1" applyFill="1" applyBorder="1" applyAlignment="1">
      <alignment horizontal="center" vertical="center" wrapText="1"/>
    </xf>
    <xf numFmtId="0" fontId="39" fillId="2" borderId="0" xfId="59" applyFont="1" applyFill="1" applyAlignment="1">
      <alignment horizontal="left" vertical="top" wrapText="1"/>
    </xf>
    <xf numFmtId="0" fontId="32" fillId="2" borderId="3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1" xfId="59" applyFont="1" applyFill="1" applyBorder="1" applyAlignment="1">
      <alignment horizontal="left" vertical="center" wrapText="1"/>
    </xf>
    <xf numFmtId="0" fontId="32" fillId="2" borderId="3" xfId="60" applyFont="1" applyFill="1" applyBorder="1" applyAlignment="1">
      <alignment horizontal="right" vertical="center" wrapText="1"/>
    </xf>
    <xf numFmtId="0" fontId="32" fillId="2" borderId="0" xfId="60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horizontal="center" vertical="center"/>
    </xf>
    <xf numFmtId="0" fontId="32" fillId="2" borderId="1" xfId="59" applyFont="1" applyFill="1" applyBorder="1" applyAlignment="1">
      <alignment horizontal="center" vertical="center"/>
    </xf>
    <xf numFmtId="0" fontId="39" fillId="2" borderId="0" xfId="64" applyFont="1" applyFill="1" applyAlignment="1">
      <alignment horizontal="left" vertical="center" wrapText="1"/>
    </xf>
    <xf numFmtId="0" fontId="39" fillId="2" borderId="1" xfId="62" applyFont="1" applyFill="1" applyBorder="1" applyAlignment="1">
      <alignment horizontal="justify" vertical="top" wrapText="1"/>
    </xf>
    <xf numFmtId="0" fontId="39" fillId="2" borderId="0" xfId="62" applyFont="1" applyFill="1" applyAlignment="1">
      <alignment horizontal="justify" vertical="top" wrapText="1"/>
    </xf>
    <xf numFmtId="0" fontId="67" fillId="2" borderId="0" xfId="62" applyFont="1" applyFill="1" applyAlignment="1">
      <alignment vertical="top" wrapText="1"/>
    </xf>
    <xf numFmtId="0" fontId="32" fillId="6" borderId="3" xfId="0" applyFont="1" applyFill="1" applyBorder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 wrapText="1"/>
    </xf>
    <xf numFmtId="0" fontId="32" fillId="2" borderId="2" xfId="62" applyFont="1" applyFill="1" applyBorder="1" applyAlignment="1">
      <alignment horizontal="center" vertical="center" wrapText="1"/>
    </xf>
    <xf numFmtId="0" fontId="32" fillId="2" borderId="3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 wrapText="1"/>
    </xf>
    <xf numFmtId="0" fontId="32" fillId="2" borderId="2" xfId="68" applyFont="1" applyFill="1" applyBorder="1" applyAlignment="1">
      <alignment horizontal="center" vertical="center" wrapText="1"/>
    </xf>
    <xf numFmtId="0" fontId="39" fillId="2" borderId="0" xfId="70" applyFont="1" applyFill="1" applyAlignment="1">
      <alignment horizontal="left" vertical="center" wrapText="1"/>
    </xf>
    <xf numFmtId="0" fontId="39" fillId="2" borderId="1" xfId="68" applyFont="1" applyFill="1" applyBorder="1" applyAlignment="1">
      <alignment horizontal="justify" vertical="top" wrapText="1"/>
    </xf>
    <xf numFmtId="0" fontId="39" fillId="2" borderId="0" xfId="68" applyFont="1" applyFill="1" applyAlignment="1">
      <alignment horizontal="justify" vertical="top" wrapText="1"/>
    </xf>
    <xf numFmtId="0" fontId="67" fillId="2" borderId="0" xfId="68" applyFont="1" applyFill="1" applyAlignment="1">
      <alignment vertical="top" wrapText="1"/>
    </xf>
    <xf numFmtId="0" fontId="32" fillId="7" borderId="3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2" borderId="0" xfId="68" applyFont="1" applyFill="1" applyAlignment="1">
      <alignment horizontal="right" vertical="center" wrapText="1"/>
    </xf>
  </cellXfs>
  <cellStyles count="79">
    <cellStyle name="Hipervínculo" xfId="30" builtinId="8"/>
    <cellStyle name="Hipervínculo 2" xfId="14" xr:uid="{00000000-0005-0000-0000-000000000000}"/>
    <cellStyle name="Hipervínculo 2 2" xfId="8" xr:uid="{00000000-0005-0000-0000-000001000000}"/>
    <cellStyle name="Millares 2" xfId="2" xr:uid="{00000000-0005-0000-0000-000002000000}"/>
    <cellStyle name="Millares 2 2" xfId="12" xr:uid="{00000000-0005-0000-0000-000003000000}"/>
    <cellStyle name="Millares 3" xfId="7" xr:uid="{00000000-0005-0000-0000-000004000000}"/>
    <cellStyle name="Millares 3 2" xfId="29" xr:uid="{4D05132F-AA51-441C-92E7-AE2D0525667B}"/>
    <cellStyle name="Millares 3 2 2" xfId="65" xr:uid="{F9ACDFF1-0112-4710-842A-9D5BE2E1C5D3}"/>
    <cellStyle name="Millares 3 2 3" xfId="71" xr:uid="{2D4FB835-45E7-4AFB-A3FF-50B3B4F78AB8}"/>
    <cellStyle name="Millares 3 3" xfId="78" xr:uid="{429293D7-3E6F-4576-86C5-69C9FE80EFE3}"/>
    <cellStyle name="Millares 4" xfId="19" xr:uid="{00000000-0005-0000-0000-000005000000}"/>
    <cellStyle name="Normal" xfId="0" builtinId="0"/>
    <cellStyle name="Normal 10" xfId="16" xr:uid="{00000000-0005-0000-0000-000007000000}"/>
    <cellStyle name="Normal 10 2" xfId="26" xr:uid="{6F15F46B-B912-4429-B51E-CCB4F1741EDA}"/>
    <cellStyle name="Normal 2" xfId="1" xr:uid="{00000000-0005-0000-0000-000008000000}"/>
    <cellStyle name="Normal 2 2" xfId="6" xr:uid="{00000000-0005-0000-0000-000009000000}"/>
    <cellStyle name="Normal 2 2 10" xfId="57" xr:uid="{3894D268-97D3-4EF7-9E4C-9E8017CD22E0}"/>
    <cellStyle name="Normal 2 2 11" xfId="59" xr:uid="{D6531913-4EE6-4665-B7C8-E9EECAD537E9}"/>
    <cellStyle name="Normal 2 2 12" xfId="77" xr:uid="{099CF09C-84E3-4929-97F5-F6921F19D505}"/>
    <cellStyle name="Normal 2 2 2" xfId="9" xr:uid="{00000000-0005-0000-0000-00000A000000}"/>
    <cellStyle name="Normal 2 2 3" xfId="27" xr:uid="{80B387E1-6104-4759-B172-E889F1033F4F}"/>
    <cellStyle name="Normal 2 2 3 2" xfId="64" xr:uid="{31426203-C7C0-4FBF-86FA-5F876844D872}"/>
    <cellStyle name="Normal 2 2 3 3" xfId="70" xr:uid="{310E317C-3FF5-41F9-8820-4612D1B39FF5}"/>
    <cellStyle name="Normal 2 2 4" xfId="38" xr:uid="{AFF365F4-013C-4EC5-8D6C-501B00824529}"/>
    <cellStyle name="Normal 2 2 5" xfId="42" xr:uid="{2719CFF0-5267-45FC-99F1-14DE24F8091A}"/>
    <cellStyle name="Normal 2 2 6" xfId="45" xr:uid="{41F30DC9-A428-4332-BC60-ED4DCD3ABDEB}"/>
    <cellStyle name="Normal 2 2 7" xfId="48" xr:uid="{835503F2-5790-4AF3-A456-EA1505745DB7}"/>
    <cellStyle name="Normal 2 2 8" xfId="51" xr:uid="{E14FCB13-949B-4687-8A1F-B09DDED94726}"/>
    <cellStyle name="Normal 2 2 9" xfId="54" xr:uid="{11450468-AE2F-425F-AF62-2645CCC8877B}"/>
    <cellStyle name="Normal 2 3" xfId="20" xr:uid="{8911C9B8-9030-4820-8303-BA258F57877B}"/>
    <cellStyle name="Normal 2 4" xfId="21" xr:uid="{38DDF550-B697-4764-AAAF-2FF1A14F6127}"/>
    <cellStyle name="Normal 3" xfId="5" xr:uid="{00000000-0005-0000-0000-00000B000000}"/>
    <cellStyle name="Normal 3 2" xfId="17" xr:uid="{00000000-0005-0000-0000-00000C000000}"/>
    <cellStyle name="Normal 3 2 10" xfId="52" xr:uid="{6DAE3A25-774E-4C50-A317-ACC386CD103A}"/>
    <cellStyle name="Normal 3 2 11" xfId="55" xr:uid="{3EB7A932-D6D5-44C6-9848-FB8DBB267030}"/>
    <cellStyle name="Normal 3 2 12" xfId="58" xr:uid="{6A163EB3-3142-4ABC-8A66-3BC633D44C16}"/>
    <cellStyle name="Normal 3 2 13" xfId="61" xr:uid="{1CDDCF5F-D7AE-48AD-AD9D-8CDA4CB544CD}"/>
    <cellStyle name="Normal 3 2 14" xfId="67" xr:uid="{BC58CA01-54E8-4593-ADA3-94F42ED679F0}"/>
    <cellStyle name="Normal 3 2 15" xfId="73" xr:uid="{F2A08B8D-E419-4C2C-82E1-91A4591ABE23}"/>
    <cellStyle name="Normal 3 2 16" xfId="74" xr:uid="{0ACBFF44-8F94-4B7D-90B1-F4FBE8563570}"/>
    <cellStyle name="Normal 3 2 17" xfId="75" xr:uid="{30EF14E5-C566-4B13-A758-A8A531B5971D}"/>
    <cellStyle name="Normal 3 2 2" xfId="23" xr:uid="{4665E5CF-3A08-410E-8DBC-F177E1289EB8}"/>
    <cellStyle name="Normal 3 2 3" xfId="25" xr:uid="{194844DE-447D-4746-AA1D-15CA18684C23}"/>
    <cellStyle name="Normal 3 2 3 2" xfId="69" xr:uid="{2FBB93B5-AC59-4779-834A-C7F56DE58EB3}"/>
    <cellStyle name="Normal 3 2 4" xfId="36" xr:uid="{47E1C74E-2B0D-4BD8-A6A5-7D9FFE31A07F}"/>
    <cellStyle name="Normal 3 2 5" xfId="37" xr:uid="{688B0FF4-746B-47EF-9AF0-117291F698E1}"/>
    <cellStyle name="Normal 3 2 6" xfId="40" xr:uid="{D5D29625-46BC-4E03-BF9F-E31BDEF9D6D2}"/>
    <cellStyle name="Normal 3 2 7" xfId="43" xr:uid="{D366BADD-BD40-46B7-9806-5A205A08DC4B}"/>
    <cellStyle name="Normal 3 2 8" xfId="46" xr:uid="{356C53F9-4FD7-4FF1-8AA7-CC93CB4A1AE4}"/>
    <cellStyle name="Normal 3 2 9" xfId="49" xr:uid="{08DAC774-1CAD-4B0A-AF40-D72836C079AA}"/>
    <cellStyle name="Normal 3 3" xfId="22" xr:uid="{921933FC-7972-4BF0-9107-66AA8ED931A7}"/>
    <cellStyle name="Normal 3 4" xfId="28" xr:uid="{2CEE30AB-3928-4137-9D98-9DDB11C74292}"/>
    <cellStyle name="Normal 3 4 2" xfId="63" xr:uid="{3B8D7495-A90F-44FA-BB05-2C3D4A12ABE1}"/>
    <cellStyle name="Normal 4" xfId="11" xr:uid="{00000000-0005-0000-0000-00000D000000}"/>
    <cellStyle name="Normal 4 10" xfId="60" xr:uid="{834EC273-ECDC-4FA3-BCB2-6FAC92B28492}"/>
    <cellStyle name="Normal 4 11" xfId="76" xr:uid="{ED23E22B-9CB7-4914-A253-DB70474F1AFF}"/>
    <cellStyle name="Normal 4 2" xfId="24" xr:uid="{960762D1-FDBD-4B69-82BB-778AAF0EF7ED}"/>
    <cellStyle name="Normal 4 2 2" xfId="62" xr:uid="{5EA12796-FBFD-4305-B7C2-E08D4F0F7427}"/>
    <cellStyle name="Normal 4 2 3" xfId="35" xr:uid="{5C0DADC7-8369-44E8-812A-1C8E251FBB1D}"/>
    <cellStyle name="Normal 4 2 3 2" xfId="66" xr:uid="{92D6D1FA-B415-4B8C-AEA9-AAD614E57783}"/>
    <cellStyle name="Normal 4 2 3 3" xfId="72" xr:uid="{37BFF162-8782-4475-BCCC-5255D5FB444C}"/>
    <cellStyle name="Normal 4 2 4" xfId="68" xr:uid="{CE930866-4827-439D-8AC6-78AC79AD33CA}"/>
    <cellStyle name="Normal 4 3" xfId="39" xr:uid="{44905A36-1B0D-47C6-87B4-F74B705599C2}"/>
    <cellStyle name="Normal 4 4" xfId="41" xr:uid="{E186FDF1-96B5-4AC7-8137-475C0F394AB6}"/>
    <cellStyle name="Normal 4 5" xfId="44" xr:uid="{E7EE1385-0228-4811-A7EC-C7948E9BCA27}"/>
    <cellStyle name="Normal 4 6" xfId="47" xr:uid="{409E765A-1155-4888-A3CE-BE3713FAE07B}"/>
    <cellStyle name="Normal 4 7" xfId="50" xr:uid="{CDCF9D22-EF2F-4D7D-B359-B8854A1253A3}"/>
    <cellStyle name="Normal 4 8" xfId="53" xr:uid="{8402E49C-11A4-4511-ABCC-7B92C6273862}"/>
    <cellStyle name="Normal 4 9" xfId="56" xr:uid="{06D7ACA1-388B-45FE-B2D5-E8D2DA4616D7}"/>
    <cellStyle name="Normal 5" xfId="13" xr:uid="{00000000-0005-0000-0000-00000E000000}"/>
    <cellStyle name="Normal 6" xfId="18" xr:uid="{00000000-0005-0000-0000-00000F000000}"/>
    <cellStyle name="Normal 7" xfId="31" xr:uid="{C7E7F07F-230F-440B-A4B9-5B3E08F3C9EC}"/>
    <cellStyle name="Normal 7 2" xfId="32" xr:uid="{0AA4F219-A708-4A4E-9BBF-9AFE1D2298C5}"/>
    <cellStyle name="Normal 8" xfId="4" xr:uid="{00000000-0005-0000-0000-000010000000}"/>
    <cellStyle name="Normal 9" xfId="3" xr:uid="{00000000-0005-0000-0000-000011000000}"/>
    <cellStyle name="Normal 9 2" xfId="34" xr:uid="{8AED9811-F237-4573-9CD2-DEE2BC86037E}"/>
    <cellStyle name="Normal 9 3" xfId="33" xr:uid="{583E1943-83E2-433B-A618-A722CE3FD3A7}"/>
    <cellStyle name="Normal_1.8" xfId="15" xr:uid="{00000000-0005-0000-0000-000012000000}"/>
    <cellStyle name="Notas 2" xfId="10" xr:uid="{00000000-0005-0000-0000-000013000000}"/>
  </cellStyles>
  <dxfs count="0"/>
  <tableStyles count="0" defaultTableStyle="TableStyleMedium2" defaultPivotStyle="PivotStyleLight16"/>
  <colors>
    <mruColors>
      <color rgb="FF00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79604AD-5EC0-4731-BDF6-AB709C29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C8E5E93-E493-4AFB-80D8-C355684F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956505DB-E00B-4CCB-A75C-9AC8CEC3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85A70879-6B56-4E3A-9E54-73C58295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65CD-1D75-4FBF-B264-AA213D78BCA1}">
  <dimension ref="A1:O31"/>
  <sheetViews>
    <sheetView showGridLines="0" tabSelected="1" zoomScaleNormal="100" workbookViewId="0"/>
  </sheetViews>
  <sheetFormatPr baseColWidth="10" defaultRowHeight="14.25" x14ac:dyDescent="0.2"/>
  <cols>
    <col min="1" max="1" width="1.7109375" style="76" customWidth="1"/>
    <col min="2" max="2" width="20.28515625" style="76" customWidth="1"/>
    <col min="3" max="3" width="17.42578125" style="76" customWidth="1"/>
    <col min="4" max="14" width="11.42578125" style="76"/>
    <col min="15" max="15" width="1.7109375" style="76" customWidth="1"/>
    <col min="16" max="16384" width="11.42578125" style="76"/>
  </cols>
  <sheetData>
    <row r="1" spans="1:15" x14ac:dyDescent="0.2">
      <c r="B1" s="82"/>
      <c r="C1" s="82"/>
    </row>
    <row r="2" spans="1:15" ht="19.5" customHeight="1" x14ac:dyDescent="0.2">
      <c r="B2" s="499" t="s">
        <v>124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</row>
    <row r="3" spans="1:15" ht="19.5" customHeight="1" x14ac:dyDescent="0.2">
      <c r="B3" s="500" t="s">
        <v>119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5" ht="16.5" customHeight="1" x14ac:dyDescent="0.2">
      <c r="A4" s="501" t="s">
        <v>142</v>
      </c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s="81" customFormat="1" ht="6.95" customHeight="1" x14ac:dyDescent="0.2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3"/>
    </row>
    <row r="6" spans="1:15" s="81" customFormat="1" ht="16.5" customHeight="1" x14ac:dyDescent="0.2">
      <c r="A6" s="83"/>
      <c r="B6" s="502" t="s">
        <v>120</v>
      </c>
      <c r="C6" s="502"/>
      <c r="D6" s="502"/>
      <c r="E6" s="502"/>
      <c r="F6" s="502"/>
      <c r="G6" s="502"/>
      <c r="H6" s="502"/>
      <c r="I6" s="502"/>
      <c r="J6" s="502"/>
      <c r="K6" s="502"/>
      <c r="L6" s="502"/>
      <c r="M6" s="502"/>
      <c r="N6" s="502"/>
      <c r="O6" s="83"/>
    </row>
    <row r="7" spans="1:15" ht="19.5" customHeight="1" x14ac:dyDescent="0.2">
      <c r="B7" s="80" t="s">
        <v>141</v>
      </c>
      <c r="C7" s="80"/>
      <c r="D7" s="77"/>
      <c r="E7" s="77"/>
      <c r="F7" s="77"/>
      <c r="G7" s="77"/>
      <c r="H7" s="77"/>
      <c r="I7" s="77"/>
      <c r="J7" s="77"/>
      <c r="K7" s="77"/>
      <c r="L7" s="77"/>
      <c r="M7" s="503" t="str">
        <f>CONCATENATE("Total de tabulados: ", COUNTIF(D10:D29,"&lt;&gt;"))</f>
        <v>Total de tabulados: 12</v>
      </c>
      <c r="N7" s="503"/>
    </row>
    <row r="8" spans="1:15" ht="6.95" customHeight="1" thickBot="1" x14ac:dyDescent="0.25"/>
    <row r="9" spans="1:15" ht="18.75" customHeight="1" thickBot="1" x14ac:dyDescent="0.25">
      <c r="B9" s="79" t="s">
        <v>121</v>
      </c>
      <c r="C9" s="78" t="s">
        <v>122</v>
      </c>
      <c r="D9" s="497" t="s">
        <v>123</v>
      </c>
      <c r="E9" s="497"/>
      <c r="F9" s="497"/>
      <c r="G9" s="497"/>
      <c r="H9" s="497"/>
      <c r="I9" s="497"/>
      <c r="J9" s="497"/>
      <c r="K9" s="497"/>
      <c r="L9" s="497"/>
      <c r="M9" s="497"/>
      <c r="N9" s="498"/>
    </row>
    <row r="10" spans="1:15" ht="39.950000000000003" customHeight="1" x14ac:dyDescent="0.2">
      <c r="B10" s="491" t="s">
        <v>125</v>
      </c>
      <c r="C10" s="72" t="s">
        <v>87</v>
      </c>
      <c r="D10" s="494" t="s">
        <v>0</v>
      </c>
      <c r="E10" s="495"/>
      <c r="F10" s="495"/>
      <c r="G10" s="495"/>
      <c r="H10" s="495"/>
      <c r="I10" s="495"/>
      <c r="J10" s="495"/>
      <c r="K10" s="495"/>
      <c r="L10" s="495"/>
      <c r="M10" s="495"/>
      <c r="N10" s="496"/>
    </row>
    <row r="11" spans="1:15" ht="39.950000000000003" customHeight="1" x14ac:dyDescent="0.2">
      <c r="B11" s="492"/>
      <c r="C11" s="73" t="s">
        <v>88</v>
      </c>
      <c r="D11" s="488" t="s">
        <v>10</v>
      </c>
      <c r="E11" s="489"/>
      <c r="F11" s="489"/>
      <c r="G11" s="489"/>
      <c r="H11" s="489"/>
      <c r="I11" s="489"/>
      <c r="J11" s="489"/>
      <c r="K11" s="489"/>
      <c r="L11" s="489"/>
      <c r="M11" s="489"/>
      <c r="N11" s="490"/>
    </row>
    <row r="12" spans="1:15" ht="51.75" customHeight="1" x14ac:dyDescent="0.2">
      <c r="B12" s="492"/>
      <c r="C12" s="73" t="s">
        <v>89</v>
      </c>
      <c r="D12" s="488" t="s">
        <v>21</v>
      </c>
      <c r="E12" s="489"/>
      <c r="F12" s="489"/>
      <c r="G12" s="489"/>
      <c r="H12" s="489"/>
      <c r="I12" s="489"/>
      <c r="J12" s="489"/>
      <c r="K12" s="489"/>
      <c r="L12" s="489"/>
      <c r="M12" s="489"/>
      <c r="N12" s="490"/>
    </row>
    <row r="13" spans="1:15" ht="39.950000000000003" customHeight="1" x14ac:dyDescent="0.2">
      <c r="B13" s="492"/>
      <c r="C13" s="73" t="s">
        <v>90</v>
      </c>
      <c r="D13" s="488" t="s">
        <v>58</v>
      </c>
      <c r="E13" s="489"/>
      <c r="F13" s="489"/>
      <c r="G13" s="489"/>
      <c r="H13" s="489"/>
      <c r="I13" s="489"/>
      <c r="J13" s="489"/>
      <c r="K13" s="489"/>
      <c r="L13" s="489"/>
      <c r="M13" s="489"/>
      <c r="N13" s="490"/>
    </row>
    <row r="14" spans="1:15" ht="39.950000000000003" customHeight="1" x14ac:dyDescent="0.2">
      <c r="B14" s="492"/>
      <c r="C14" s="73" t="s">
        <v>91</v>
      </c>
      <c r="D14" s="488" t="s">
        <v>63</v>
      </c>
      <c r="E14" s="489"/>
      <c r="F14" s="489"/>
      <c r="G14" s="489"/>
      <c r="H14" s="489"/>
      <c r="I14" s="489"/>
      <c r="J14" s="489"/>
      <c r="K14" s="489"/>
      <c r="L14" s="489"/>
      <c r="M14" s="489"/>
      <c r="N14" s="490"/>
    </row>
    <row r="15" spans="1:15" ht="39.950000000000003" customHeight="1" x14ac:dyDescent="0.2">
      <c r="B15" s="492"/>
      <c r="C15" s="73" t="s">
        <v>92</v>
      </c>
      <c r="D15" s="488" t="s">
        <v>64</v>
      </c>
      <c r="E15" s="489"/>
      <c r="F15" s="489"/>
      <c r="G15" s="489"/>
      <c r="H15" s="489"/>
      <c r="I15" s="489"/>
      <c r="J15" s="489"/>
      <c r="K15" s="489"/>
      <c r="L15" s="489"/>
      <c r="M15" s="489"/>
      <c r="N15" s="490"/>
    </row>
    <row r="16" spans="1:15" ht="39.950000000000003" customHeight="1" x14ac:dyDescent="0.2">
      <c r="B16" s="492"/>
      <c r="C16" s="73" t="s">
        <v>93</v>
      </c>
      <c r="D16" s="488" t="s">
        <v>69</v>
      </c>
      <c r="E16" s="489"/>
      <c r="F16" s="489"/>
      <c r="G16" s="489"/>
      <c r="H16" s="489"/>
      <c r="I16" s="489"/>
      <c r="J16" s="489"/>
      <c r="K16" s="489"/>
      <c r="L16" s="489"/>
      <c r="M16" s="489"/>
      <c r="N16" s="490"/>
    </row>
    <row r="17" spans="2:14" ht="39.950000000000003" customHeight="1" x14ac:dyDescent="0.2">
      <c r="B17" s="492"/>
      <c r="C17" s="73" t="s">
        <v>94</v>
      </c>
      <c r="D17" s="488" t="s">
        <v>70</v>
      </c>
      <c r="E17" s="489"/>
      <c r="F17" s="489"/>
      <c r="G17" s="489"/>
      <c r="H17" s="489"/>
      <c r="I17" s="489"/>
      <c r="J17" s="489"/>
      <c r="K17" s="489"/>
      <c r="L17" s="489"/>
      <c r="M17" s="489"/>
      <c r="N17" s="490"/>
    </row>
    <row r="18" spans="2:14" ht="39.950000000000003" customHeight="1" x14ac:dyDescent="0.2">
      <c r="B18" s="492"/>
      <c r="C18" s="73" t="s">
        <v>95</v>
      </c>
      <c r="D18" s="488" t="s">
        <v>74</v>
      </c>
      <c r="E18" s="489"/>
      <c r="F18" s="489"/>
      <c r="G18" s="489"/>
      <c r="H18" s="489"/>
      <c r="I18" s="489"/>
      <c r="J18" s="489"/>
      <c r="K18" s="489"/>
      <c r="L18" s="489"/>
      <c r="M18" s="489"/>
      <c r="N18" s="490"/>
    </row>
    <row r="19" spans="2:14" ht="39.950000000000003" customHeight="1" x14ac:dyDescent="0.2">
      <c r="B19" s="492"/>
      <c r="C19" s="73" t="s">
        <v>96</v>
      </c>
      <c r="D19" s="488" t="s">
        <v>75</v>
      </c>
      <c r="E19" s="489"/>
      <c r="F19" s="489"/>
      <c r="G19" s="489"/>
      <c r="H19" s="489"/>
      <c r="I19" s="489"/>
      <c r="J19" s="489"/>
      <c r="K19" s="489"/>
      <c r="L19" s="489"/>
      <c r="M19" s="489"/>
      <c r="N19" s="490"/>
    </row>
    <row r="20" spans="2:14" ht="39.950000000000003" customHeight="1" x14ac:dyDescent="0.2">
      <c r="B20" s="492"/>
      <c r="C20" s="73" t="s">
        <v>113</v>
      </c>
      <c r="D20" s="488" t="s">
        <v>111</v>
      </c>
      <c r="E20" s="489"/>
      <c r="F20" s="489"/>
      <c r="G20" s="489"/>
      <c r="H20" s="489"/>
      <c r="I20" s="489"/>
      <c r="J20" s="489"/>
      <c r="K20" s="489"/>
      <c r="L20" s="489"/>
      <c r="M20" s="489"/>
      <c r="N20" s="490"/>
    </row>
    <row r="21" spans="2:14" ht="39.950000000000003" customHeight="1" thickBot="1" x14ac:dyDescent="0.25">
      <c r="B21" s="493"/>
      <c r="C21" s="74" t="s">
        <v>114</v>
      </c>
      <c r="D21" s="485" t="s">
        <v>112</v>
      </c>
      <c r="E21" s="486"/>
      <c r="F21" s="486"/>
      <c r="G21" s="486"/>
      <c r="H21" s="486"/>
      <c r="I21" s="486"/>
      <c r="J21" s="486"/>
      <c r="K21" s="486"/>
      <c r="L21" s="486"/>
      <c r="M21" s="486"/>
      <c r="N21" s="487"/>
    </row>
    <row r="22" spans="2:14" ht="6.95" customHeight="1" x14ac:dyDescent="0.2"/>
    <row r="31" spans="2:14" ht="14.25" customHeight="1" x14ac:dyDescent="0.2"/>
  </sheetData>
  <mergeCells count="19">
    <mergeCell ref="D9:N9"/>
    <mergeCell ref="B2:N2"/>
    <mergeCell ref="B3:N3"/>
    <mergeCell ref="A4:O4"/>
    <mergeCell ref="B6:N6"/>
    <mergeCell ref="M7:N7"/>
    <mergeCell ref="D21:N21"/>
    <mergeCell ref="D18:N18"/>
    <mergeCell ref="D19:N19"/>
    <mergeCell ref="B10:B21"/>
    <mergeCell ref="D10:N10"/>
    <mergeCell ref="D11:N11"/>
    <mergeCell ref="D12:N12"/>
    <mergeCell ref="D13:N13"/>
    <mergeCell ref="D14:N14"/>
    <mergeCell ref="D15:N15"/>
    <mergeCell ref="D16:N16"/>
    <mergeCell ref="D17:N17"/>
    <mergeCell ref="D20:N20"/>
  </mergeCells>
  <hyperlinks>
    <hyperlink ref="C10" location="'Cuadro 1.1'!A1" tooltip="Cuadro 1.1" display="Cuadro 1.1" xr:uid="{DEB6EF70-5257-45C3-9CDC-058B1346749A}"/>
    <hyperlink ref="C11" location="'Cuadro 1.2'!A1" tooltip="Cuadro 1.2" display="Cuadro 1.2" xr:uid="{7601872B-529D-4337-B575-E486D6B9B464}"/>
    <hyperlink ref="C21" location="'Cuadro 1.12'!A1" tooltip="Ir a Cuadro 1.12" display="Cuadro 1.12" xr:uid="{9F2A273B-3388-4FAD-8CCD-D3E99401CFD8}"/>
    <hyperlink ref="C12" location="'Cuadro 1.3'!A1" tooltip="Cuadro 1.3" display="Cuadro 1.3" xr:uid="{7CEDBD5C-7E4C-445C-8E94-DD9A97C2074E}"/>
    <hyperlink ref="C13" location="'Cuadro 1.4'!A1" tooltip="Cuadro 1.4" display="Cuadro 1.4" xr:uid="{3A21A1C7-6A6B-49D3-824F-4D0E8E7AA77C}"/>
    <hyperlink ref="C14" location="'Cuadro 1.5'!A1" tooltip="Cuadro 1.5" display="Cuadro 1.5" xr:uid="{1E0D5813-7D3B-48B9-8931-5075AF6B761C}"/>
    <hyperlink ref="C15" location="'Cuadro 1.6'!A1" tooltip="Cuadro 1.6" display="Cuadro 1.6" xr:uid="{5125EE74-2880-44EC-8456-119D095BA2BE}"/>
    <hyperlink ref="C16" location="'Cuadro 1.7'!A1" tooltip="Cuadro 1.7" display="Cuadro 1.7" xr:uid="{464C8323-EDC1-4893-9BFD-046523330ABD}"/>
    <hyperlink ref="C17" location="'Cuadro 1.8'!A1" tooltip="Cuadro 1.8" display="Cuadro 1.8" xr:uid="{2A382C57-4434-439C-977D-5FE3090E2EBD}"/>
    <hyperlink ref="C20" location="'Cuadro 1.11'!A1" tooltip="Ir a Cuadro 1.11" display="Cuadro 1.11" xr:uid="{7AF1C668-4441-4362-A00E-9E7E0D41F999}"/>
    <hyperlink ref="C18" location="'Cuadro 1.9'!A1" tooltip="Ir a Cuadro 1.9" display="Cuadro 1.9" xr:uid="{0DB84DC2-2ECA-4080-8A8C-835AFC88F858}"/>
    <hyperlink ref="C19" location="'Cuadro 1.10'!A1" tooltip="Ir a Cuadro 1.10" display="Cuadro 1.10" xr:uid="{0562AE30-B614-45D7-9118-A776E81DA00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17A4-AA83-4107-A441-BB7D9E084720}">
  <dimension ref="A1:G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3.85546875" style="5" customWidth="1"/>
    <col min="3" max="3" width="1.7109375" style="5" customWidth="1"/>
    <col min="4" max="6" width="20" style="5" customWidth="1"/>
    <col min="7" max="16384" width="9.140625" style="5"/>
  </cols>
  <sheetData>
    <row r="1" spans="1:7" s="66" customFormat="1" ht="14.1" customHeight="1" x14ac:dyDescent="0.2">
      <c r="B1" s="484" t="s">
        <v>144</v>
      </c>
      <c r="C1" s="456"/>
      <c r="F1" s="85" t="s">
        <v>118</v>
      </c>
    </row>
    <row r="2" spans="1:7" s="66" customFormat="1" ht="6.95" customHeight="1" x14ac:dyDescent="0.2">
      <c r="B2" s="484"/>
      <c r="C2" s="456"/>
    </row>
    <row r="3" spans="1:7" s="66" customFormat="1" ht="14.1" customHeight="1" x14ac:dyDescent="0.2">
      <c r="B3" s="484" t="s">
        <v>142</v>
      </c>
      <c r="C3" s="456"/>
      <c r="D3" s="456"/>
      <c r="E3" s="456"/>
      <c r="F3" s="456"/>
      <c r="G3" s="456"/>
    </row>
    <row r="4" spans="1:7" s="66" customFormat="1" ht="6.95" customHeight="1" x14ac:dyDescent="0.2">
      <c r="B4" s="484"/>
    </row>
    <row r="5" spans="1:7" s="66" customFormat="1" ht="20.100000000000001" customHeight="1" x14ac:dyDescent="0.2">
      <c r="B5" s="504" t="s">
        <v>0</v>
      </c>
      <c r="C5" s="504"/>
      <c r="D5" s="504"/>
      <c r="E5" s="504"/>
      <c r="F5" s="75" t="s">
        <v>87</v>
      </c>
    </row>
    <row r="6" spans="1:7" ht="6" customHeight="1" x14ac:dyDescent="0.2">
      <c r="A6" s="66"/>
      <c r="B6" s="7"/>
      <c r="C6" s="7"/>
      <c r="D6" s="8"/>
      <c r="E6" s="8"/>
      <c r="F6" s="6"/>
    </row>
    <row r="7" spans="1:7" ht="16.5" customHeight="1" x14ac:dyDescent="0.2">
      <c r="A7" s="66"/>
      <c r="B7" s="505" t="s">
        <v>1</v>
      </c>
      <c r="C7" s="454"/>
      <c r="D7" s="507" t="s">
        <v>2</v>
      </c>
      <c r="E7" s="509" t="s">
        <v>3</v>
      </c>
      <c r="F7" s="511" t="s">
        <v>4</v>
      </c>
    </row>
    <row r="8" spans="1:7" s="9" customFormat="1" ht="23.25" customHeight="1" x14ac:dyDescent="0.2">
      <c r="A8" s="66"/>
      <c r="B8" s="506"/>
      <c r="C8" s="455"/>
      <c r="D8" s="508"/>
      <c r="E8" s="510"/>
      <c r="F8" s="512"/>
    </row>
    <row r="9" spans="1:7" s="18" customFormat="1" ht="6" customHeight="1" x14ac:dyDescent="0.2">
      <c r="A9" s="12"/>
      <c r="B9" s="15"/>
      <c r="C9" s="15"/>
      <c r="D9" s="16"/>
      <c r="E9" s="16"/>
      <c r="F9" s="16"/>
      <c r="G9" s="17"/>
    </row>
    <row r="10" spans="1:7" s="11" customFormat="1" ht="11.25" x14ac:dyDescent="0.2">
      <c r="A10" s="67"/>
      <c r="B10" s="10" t="s">
        <v>5</v>
      </c>
      <c r="C10" s="41"/>
      <c r="D10" s="457">
        <v>34855919.813209198</v>
      </c>
      <c r="E10" s="457">
        <v>34076135.455753602</v>
      </c>
      <c r="F10" s="457">
        <v>723320.28820670804</v>
      </c>
    </row>
    <row r="11" spans="1:7" s="11" customFormat="1" ht="9" customHeight="1" x14ac:dyDescent="0.2">
      <c r="A11" s="17"/>
      <c r="B11" s="41"/>
      <c r="C11" s="41"/>
      <c r="D11" s="90"/>
      <c r="E11" s="90"/>
      <c r="F11" s="90"/>
    </row>
    <row r="12" spans="1:7" s="11" customFormat="1" ht="15" customHeight="1" x14ac:dyDescent="0.2">
      <c r="B12" s="22" t="s">
        <v>6</v>
      </c>
      <c r="C12" s="22"/>
      <c r="D12" s="126">
        <v>7159413.7729825201</v>
      </c>
      <c r="E12" s="458">
        <v>7022088.9176601795</v>
      </c>
      <c r="F12" s="126">
        <v>116078.170582962</v>
      </c>
    </row>
    <row r="13" spans="1:7" s="12" customFormat="1" ht="15" customHeight="1" x14ac:dyDescent="0.2">
      <c r="A13" s="11"/>
      <c r="B13" s="22" t="s">
        <v>7</v>
      </c>
      <c r="C13" s="22"/>
      <c r="D13" s="126">
        <v>4482368.5111330803</v>
      </c>
      <c r="E13" s="126">
        <v>4365461.4977587303</v>
      </c>
      <c r="F13" s="126">
        <v>101132.509886755</v>
      </c>
    </row>
    <row r="14" spans="1:7" s="12" customFormat="1" ht="15" customHeight="1" x14ac:dyDescent="0.2">
      <c r="A14" s="11"/>
      <c r="B14" s="23" t="s">
        <v>8</v>
      </c>
      <c r="C14" s="23"/>
      <c r="D14" s="126">
        <v>5444929.1112685297</v>
      </c>
      <c r="E14" s="126">
        <v>5302635.5592671903</v>
      </c>
      <c r="F14" s="126">
        <v>112625.650978725</v>
      </c>
    </row>
    <row r="15" spans="1:7" s="12" customFormat="1" ht="15" customHeight="1" x14ac:dyDescent="0.2">
      <c r="B15" s="23" t="s">
        <v>76</v>
      </c>
      <c r="C15" s="23"/>
      <c r="D15" s="126">
        <v>17359885.5900256</v>
      </c>
      <c r="E15" s="126">
        <v>16975008.348369699</v>
      </c>
      <c r="F15" s="126">
        <v>342110.56255646498</v>
      </c>
    </row>
    <row r="16" spans="1:7" s="21" customFormat="1" ht="6" customHeight="1" x14ac:dyDescent="0.2">
      <c r="A16" s="12"/>
      <c r="B16" s="26"/>
      <c r="C16" s="42"/>
      <c r="D16" s="19"/>
      <c r="E16" s="19"/>
      <c r="F16" s="19"/>
      <c r="G16" s="20"/>
    </row>
    <row r="17" spans="1:7" s="21" customFormat="1" ht="6" customHeight="1" x14ac:dyDescent="0.2">
      <c r="A17" s="12"/>
      <c r="B17" s="15"/>
      <c r="C17" s="15"/>
      <c r="D17" s="16"/>
      <c r="E17" s="16"/>
      <c r="F17" s="16"/>
      <c r="G17" s="20"/>
    </row>
    <row r="18" spans="1:7" x14ac:dyDescent="0.2">
      <c r="B18" s="24" t="s">
        <v>9</v>
      </c>
    </row>
  </sheetData>
  <mergeCells count="5">
    <mergeCell ref="B5:E5"/>
    <mergeCell ref="B7:B8"/>
    <mergeCell ref="D7:D8"/>
    <mergeCell ref="E7:E8"/>
    <mergeCell ref="F7:F8"/>
  </mergeCells>
  <hyperlinks>
    <hyperlink ref="F1" location="Índice!A1" tooltip="Ir a ÍNDICE" display="INDICE" xr:uid="{15DB48F7-FE4A-4F3A-A97E-B3CDDA1B1FDD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CBA5-143B-4B0E-A3E2-7CD7D55BC883}">
  <dimension ref="A1:Y75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7.5703125" customWidth="1"/>
    <col min="3" max="3" width="1.7109375" customWidth="1"/>
    <col min="4" max="5" width="28.42578125" customWidth="1"/>
  </cols>
  <sheetData>
    <row r="1" spans="1:25" s="69" customFormat="1" ht="14.1" customHeight="1" x14ac:dyDescent="0.2">
      <c r="A1" s="66"/>
      <c r="B1" s="484" t="s">
        <v>144</v>
      </c>
      <c r="C1" s="127"/>
      <c r="D1" s="68"/>
      <c r="E1" s="85" t="s">
        <v>118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s="69" customFormat="1" ht="6.95" customHeight="1" x14ac:dyDescent="0.2">
      <c r="A2" s="66"/>
      <c r="B2" s="484"/>
      <c r="C2" s="12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s="69" customFormat="1" ht="14.1" customHeight="1" x14ac:dyDescent="0.2">
      <c r="A3" s="66"/>
      <c r="B3" s="484" t="s">
        <v>142</v>
      </c>
      <c r="C3" s="127"/>
      <c r="D3" s="127"/>
      <c r="E3" s="127"/>
      <c r="F3" s="127"/>
      <c r="G3" s="127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s="69" customFormat="1" ht="6.95" customHeight="1" x14ac:dyDescent="0.2">
      <c r="A4" s="66"/>
      <c r="B4" s="484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s="69" customFormat="1" ht="30" customHeight="1" x14ac:dyDescent="0.2">
      <c r="A5" s="66"/>
      <c r="B5" s="513" t="s">
        <v>10</v>
      </c>
      <c r="C5" s="513"/>
      <c r="D5" s="513"/>
      <c r="E5" s="75" t="s">
        <v>88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6" customHeight="1" x14ac:dyDescent="0.2">
      <c r="A6" s="6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x14ac:dyDescent="0.2">
      <c r="A7" s="66"/>
      <c r="B7" s="514" t="s">
        <v>11</v>
      </c>
      <c r="C7" s="123"/>
      <c r="D7" s="517" t="s">
        <v>12</v>
      </c>
      <c r="E7" s="51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x14ac:dyDescent="0.2">
      <c r="A8" s="12"/>
      <c r="B8" s="515"/>
      <c r="C8" s="124"/>
      <c r="D8" s="518"/>
      <c r="E8" s="5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x14ac:dyDescent="0.2">
      <c r="A9" s="67"/>
      <c r="B9" s="516"/>
      <c r="C9" s="125"/>
      <c r="D9" s="62" t="s">
        <v>13</v>
      </c>
      <c r="E9" s="62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6" customHeight="1" x14ac:dyDescent="0.2">
      <c r="A10" s="17"/>
      <c r="B10" s="29"/>
      <c r="C10" s="29"/>
      <c r="D10" s="55"/>
      <c r="E10" s="5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x14ac:dyDescent="0.2">
      <c r="A11" s="11"/>
      <c r="B11" s="27" t="s">
        <v>15</v>
      </c>
      <c r="C11" s="27"/>
      <c r="D11" s="129">
        <v>34855919.813209198</v>
      </c>
      <c r="E11" s="129">
        <v>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6" customHeight="1" x14ac:dyDescent="0.2">
      <c r="A12" s="11"/>
      <c r="B12" s="27"/>
      <c r="C12" s="27"/>
      <c r="D12" s="91"/>
      <c r="E12" s="9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7.25" customHeight="1" x14ac:dyDescent="0.2">
      <c r="A13" s="11"/>
      <c r="B13" s="124" t="s">
        <v>104</v>
      </c>
      <c r="C13" s="124"/>
      <c r="D13" s="129">
        <v>2029340.9323354401</v>
      </c>
      <c r="E13" s="129">
        <v>5.7560729643000004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x14ac:dyDescent="0.2">
      <c r="A14" s="12"/>
      <c r="B14" s="28" t="s">
        <v>16</v>
      </c>
      <c r="C14" s="28"/>
      <c r="D14" s="128">
        <v>1754805.9812636401</v>
      </c>
      <c r="E14" s="128">
        <v>85.344628061099996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x14ac:dyDescent="0.2">
      <c r="A15" s="12"/>
      <c r="B15" s="28" t="s">
        <v>17</v>
      </c>
      <c r="C15" s="28"/>
      <c r="D15" s="128">
        <v>596709.321615358</v>
      </c>
      <c r="E15" s="128">
        <v>28.749507492100001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x14ac:dyDescent="0.2">
      <c r="A16" s="12"/>
      <c r="B16" s="28" t="s">
        <v>18</v>
      </c>
      <c r="C16" s="28"/>
      <c r="D16" s="128">
        <v>315594.07457926997</v>
      </c>
      <c r="E16" s="128">
        <v>15.066806483400001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21"/>
      <c r="B17" s="29" t="s">
        <v>98</v>
      </c>
      <c r="C17" s="28"/>
      <c r="D17" s="129">
        <v>32738207.143962901</v>
      </c>
      <c r="E17" s="129">
        <v>93.728670254799994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6" customHeight="1" x14ac:dyDescent="0.2">
      <c r="A18" s="21"/>
      <c r="B18" s="29"/>
      <c r="C18" s="29"/>
      <c r="D18" s="92"/>
      <c r="E18" s="9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5" customHeight="1" x14ac:dyDescent="0.2">
      <c r="B19" s="124" t="s">
        <v>105</v>
      </c>
      <c r="C19" s="29"/>
      <c r="D19" s="129">
        <v>395938.48708948097</v>
      </c>
      <c r="E19" s="129">
        <v>1.1229992429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5" customHeight="1" x14ac:dyDescent="0.2">
      <c r="B20" s="28" t="s">
        <v>16</v>
      </c>
      <c r="C20" s="29"/>
      <c r="D20" s="128">
        <v>201103.932971854</v>
      </c>
      <c r="E20" s="128">
        <v>48.154511847800002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 x14ac:dyDescent="0.2">
      <c r="B21" s="28" t="s">
        <v>17</v>
      </c>
      <c r="C21" s="29"/>
      <c r="D21" s="128">
        <v>173861.943319835</v>
      </c>
      <c r="E21" s="128">
        <v>42.2168675888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5" customHeight="1" x14ac:dyDescent="0.2">
      <c r="B22" s="28" t="s">
        <v>18</v>
      </c>
      <c r="C22" s="29"/>
      <c r="D22" s="128">
        <v>182701.31581329799</v>
      </c>
      <c r="E22" s="128">
        <v>43.593673041899997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5" customHeight="1" x14ac:dyDescent="0.2">
      <c r="B23" s="28" t="s">
        <v>20</v>
      </c>
      <c r="C23" s="29"/>
      <c r="D23" s="128">
        <v>95076.942532980902</v>
      </c>
      <c r="E23" s="128">
        <v>22.486590660899999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5" customHeight="1" x14ac:dyDescent="0.2">
      <c r="B24" s="29" t="s">
        <v>99</v>
      </c>
      <c r="C24" s="29"/>
      <c r="D24" s="129">
        <v>34421759.348619498</v>
      </c>
      <c r="E24" s="129">
        <v>98.655818332699994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6" customHeight="1" x14ac:dyDescent="0.2">
      <c r="B25" s="56"/>
      <c r="C25" s="125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6" customHeight="1" x14ac:dyDescent="0.2">
      <c r="B26" s="29"/>
      <c r="C26" s="29"/>
      <c r="D26" s="30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s="87" customFormat="1" ht="11.25" x14ac:dyDescent="0.2">
      <c r="A27" s="12"/>
      <c r="B27" s="50" t="s">
        <v>102</v>
      </c>
      <c r="C27" s="29"/>
      <c r="D27" s="30"/>
      <c r="E27" s="3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s="87" customFormat="1" ht="11.25" x14ac:dyDescent="0.2">
      <c r="A28" s="12"/>
      <c r="B28" s="50" t="s">
        <v>100</v>
      </c>
      <c r="C28" s="29"/>
      <c r="D28" s="30"/>
      <c r="E28" s="3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s="87" customFormat="1" ht="11.25" x14ac:dyDescent="0.2">
      <c r="A29" s="12"/>
      <c r="B29" s="50" t="s">
        <v>103</v>
      </c>
      <c r="C29" s="29"/>
      <c r="D29" s="30"/>
      <c r="E29" s="3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s="87" customFormat="1" ht="11.25" x14ac:dyDescent="0.2">
      <c r="A30" s="12"/>
      <c r="B30" s="50" t="s">
        <v>101</v>
      </c>
      <c r="C30" s="29"/>
      <c r="D30" s="30"/>
      <c r="E30" s="3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s="87" customFormat="1" ht="11.25" x14ac:dyDescent="0.2">
      <c r="A31" s="12"/>
      <c r="B31" s="24" t="s">
        <v>9</v>
      </c>
      <c r="C31" s="25"/>
      <c r="D31" s="25"/>
      <c r="E31" s="25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3.5" customHeight="1" x14ac:dyDescent="0.2">
      <c r="B32" s="24"/>
      <c r="C32" s="25"/>
      <c r="D32" s="25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ht="13.5" customHeight="1" x14ac:dyDescent="0.2">
      <c r="B33" s="35"/>
      <c r="C33" s="36"/>
      <c r="D33" s="36"/>
      <c r="E33" s="3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2:2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2:2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2:2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2:2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2:2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2:2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2:2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2:2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2:2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2:2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2:2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2:2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2:2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2:2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2:2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2:2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2:2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2:2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2:2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2:2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2:2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2:2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2:2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2:2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2:2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2:2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2:2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2:2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2:2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2:2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2:2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2:2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2:2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2:2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2:2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2:2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2:2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2:2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2:2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2:2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2:2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2:2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2:2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2:2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2:2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2:2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2:2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2:2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2:2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2:2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2:2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2:2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2:2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2:2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2:2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2:2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2:2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2:2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2:2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2:2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2:2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2:2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2:2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2:2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2:2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2:2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2:2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2:2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2:2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2:2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2:2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2:2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2:2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2:2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2:2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2:2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2:2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2:2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2:2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2:2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2:2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2:2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2:2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2:2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2:2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2:2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2:2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2:2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2:2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2:2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2:2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2:2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2:2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2:2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2:2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2:2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2:2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2:2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2:2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2:2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2:2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2:2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2:2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2:2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2:2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2:2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2:2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2:2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2:2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2:2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2:2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2:2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2:2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2:2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2:2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2:2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2:2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2:2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2:2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2:2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2:2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2:2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2:2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2:2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2:2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2:2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2:2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2:2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2:2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2:2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2:2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2:2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2:2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2:2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2:2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2:2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2:2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2:2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2:2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2:2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2:2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2:2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2:2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2:2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2:2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2:2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2:2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2:2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2:2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2:2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2:2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2:2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2:2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2:2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2:2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2:2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2:2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2:2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2:2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2:2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2:2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2:2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2:2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2:2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2:2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2:2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2:2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2:2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2:2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2:2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2:2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2:2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2:2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2:2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2:2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2:2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2:2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2:2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2:2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2:2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2:2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2:2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2:2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2:2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2:2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2:2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2:2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2:2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2:2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2:2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2:2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2:2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2:2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2:2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2:2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2:2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2:2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2:2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2:2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2:2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2:2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2:2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2:2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2:2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2:2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2:2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2:2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2:2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2:2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2:2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2:2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2:2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2:2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2:2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2:2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2:2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2:2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2:2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2:2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2:2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2:2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2:2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2:2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2:2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2:2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2:2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2:2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2:2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2:2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2:2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2:2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2:2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2:2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2:2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2:2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2:2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2:2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2:2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2:2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2:2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2:2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2:2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2:2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2:2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2:2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2:2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2:2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2:2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2:2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2:2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2:2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2:2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2:2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2:2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2:2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2:2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2:2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2:2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2:2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2:2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2:2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2:2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2:2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2:2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2:2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2:2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2:2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2:2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2:2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2:2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2:2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2:2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2:2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2:2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2:2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2:2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2:2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2:2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2:2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2:2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2:2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2:2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2:2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2:2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2:2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2:2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2:2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2:2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2:2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2:2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2:2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2:2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2:2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2:2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2:2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2:2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2:2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2:2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2:2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2:2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2:2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2:2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2:2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2:2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2:2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2:2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2:2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2:2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2:2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2:2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2:2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2:2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2:2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2:2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2:2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2:2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2:2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2:2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2:2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2:2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2:2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2:2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2:2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2:2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2:2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2:2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2:2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2:2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2:2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2:2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2:2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2:2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2:2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2:2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2:2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2:2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2:2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</sheetData>
  <mergeCells count="3">
    <mergeCell ref="B5:D5"/>
    <mergeCell ref="B7:B9"/>
    <mergeCell ref="D7:E8"/>
  </mergeCells>
  <hyperlinks>
    <hyperlink ref="E1" location="Índice!A1" tooltip="Ir a ÍNDICE" display="INDICE" xr:uid="{FB474EF4-634D-4F16-820F-E482EA3C363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3C8A-B8D0-49B1-BAB3-0E349ACDED5D}">
  <sheetPr>
    <pageSetUpPr fitToPage="1"/>
  </sheetPr>
  <dimension ref="A1:AA53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.140625" style="142" customWidth="1"/>
    <col min="3" max="3" width="1.7109375" style="158" customWidth="1" collapsed="1"/>
    <col min="4" max="4" width="18.7109375" style="142" customWidth="1" collapsed="1"/>
    <col min="5" max="5" width="1.7109375" style="142" customWidth="1" collapsed="1"/>
    <col min="6" max="7" width="11.42578125" style="142" customWidth="1" collapsed="1"/>
    <col min="8" max="8" width="1.7109375" style="142" customWidth="1" collapsed="1"/>
    <col min="9" max="10" width="11.42578125" style="142" customWidth="1" collapsed="1"/>
    <col min="11" max="11" width="1.7109375" style="142" customWidth="1" collapsed="1"/>
    <col min="12" max="13" width="11.42578125" style="142" customWidth="1" collapsed="1"/>
    <col min="14" max="14" width="1.7109375" style="142" customWidth="1" collapsed="1"/>
    <col min="15" max="15" width="11.42578125" style="142" customWidth="1" collapsed="1"/>
    <col min="16" max="16" width="11.42578125" style="142"/>
    <col min="17" max="17" width="1.7109375" style="142" customWidth="1"/>
    <col min="18" max="18" width="16.42578125" style="142" customWidth="1"/>
    <col min="19" max="27" width="11.42578125" style="142"/>
    <col min="28" max="16384" width="11.42578125" style="142" collapsed="1"/>
  </cols>
  <sheetData>
    <row r="1" spans="1:19" s="131" customFormat="1" ht="14.1" customHeight="1" x14ac:dyDescent="0.2">
      <c r="A1" s="66"/>
      <c r="B1" s="484" t="s">
        <v>144</v>
      </c>
      <c r="C1" s="130"/>
      <c r="S1" s="85" t="s">
        <v>118</v>
      </c>
    </row>
    <row r="2" spans="1:19" s="131" customFormat="1" ht="6.95" customHeight="1" x14ac:dyDescent="0.2">
      <c r="A2" s="66"/>
      <c r="B2" s="484"/>
      <c r="C2" s="130"/>
    </row>
    <row r="3" spans="1:19" s="131" customFormat="1" ht="14.1" customHeight="1" x14ac:dyDescent="0.2">
      <c r="A3" s="66"/>
      <c r="B3" s="484" t="s">
        <v>142</v>
      </c>
      <c r="C3" s="132"/>
      <c r="D3" s="132"/>
      <c r="E3" s="132"/>
      <c r="F3" s="132"/>
      <c r="G3" s="132"/>
    </row>
    <row r="4" spans="1:19" s="131" customFormat="1" ht="6.95" customHeight="1" x14ac:dyDescent="0.2">
      <c r="A4" s="66"/>
      <c r="B4" s="484"/>
      <c r="C4" s="130"/>
    </row>
    <row r="5" spans="1:19" s="134" customFormat="1" ht="20.100000000000001" customHeight="1" x14ac:dyDescent="0.2">
      <c r="A5" s="66"/>
      <c r="B5" s="519" t="s">
        <v>21</v>
      </c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133"/>
      <c r="S5" s="75" t="s">
        <v>89</v>
      </c>
    </row>
    <row r="6" spans="1:19" s="140" customFormat="1" ht="6" customHeight="1" x14ac:dyDescent="0.2">
      <c r="A6" s="66"/>
      <c r="B6" s="135"/>
      <c r="C6" s="136"/>
      <c r="D6" s="137"/>
      <c r="E6" s="137"/>
      <c r="F6" s="137"/>
      <c r="G6" s="138"/>
      <c r="H6" s="138"/>
      <c r="I6" s="138"/>
      <c r="J6" s="139"/>
      <c r="K6" s="139"/>
      <c r="L6" s="139"/>
      <c r="M6" s="139"/>
      <c r="N6" s="139"/>
      <c r="O6" s="139"/>
      <c r="P6" s="139"/>
      <c r="Q6" s="139"/>
      <c r="R6" s="139"/>
      <c r="S6" s="139"/>
    </row>
    <row r="7" spans="1:19" ht="15" customHeight="1" x14ac:dyDescent="0.2">
      <c r="A7" s="66"/>
      <c r="B7" s="520" t="s">
        <v>22</v>
      </c>
      <c r="C7" s="520"/>
      <c r="D7" s="523" t="s">
        <v>23</v>
      </c>
      <c r="E7" s="141"/>
      <c r="F7" s="526" t="s">
        <v>128</v>
      </c>
      <c r="G7" s="526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</row>
    <row r="8" spans="1:19" ht="21.75" customHeight="1" x14ac:dyDescent="0.2">
      <c r="A8" s="66"/>
      <c r="B8" s="521"/>
      <c r="C8" s="521"/>
      <c r="D8" s="524"/>
      <c r="E8" s="143"/>
      <c r="F8" s="527" t="s">
        <v>24</v>
      </c>
      <c r="G8" s="527"/>
      <c r="H8" s="144"/>
      <c r="I8" s="528" t="s">
        <v>129</v>
      </c>
      <c r="J8" s="528"/>
      <c r="K8" s="144"/>
      <c r="L8" s="528" t="s">
        <v>130</v>
      </c>
      <c r="M8" s="528"/>
      <c r="N8" s="145"/>
      <c r="O8" s="528" t="s">
        <v>25</v>
      </c>
      <c r="P8" s="528"/>
      <c r="Q8" s="146"/>
      <c r="R8" s="529" t="s">
        <v>97</v>
      </c>
      <c r="S8" s="529"/>
    </row>
    <row r="9" spans="1:19" ht="15" customHeight="1" x14ac:dyDescent="0.2">
      <c r="A9" s="12"/>
      <c r="B9" s="522"/>
      <c r="C9" s="522"/>
      <c r="D9" s="525"/>
      <c r="E9" s="147"/>
      <c r="F9" s="105" t="s">
        <v>13</v>
      </c>
      <c r="G9" s="105" t="s">
        <v>14</v>
      </c>
      <c r="H9" s="148"/>
      <c r="I9" s="105" t="s">
        <v>13</v>
      </c>
      <c r="J9" s="105" t="s">
        <v>14</v>
      </c>
      <c r="K9" s="149"/>
      <c r="L9" s="105" t="s">
        <v>13</v>
      </c>
      <c r="M9" s="105" t="s">
        <v>14</v>
      </c>
      <c r="N9" s="149"/>
      <c r="O9" s="105" t="s">
        <v>13</v>
      </c>
      <c r="P9" s="105" t="s">
        <v>14</v>
      </c>
      <c r="Q9" s="150"/>
      <c r="R9" s="105" t="s">
        <v>13</v>
      </c>
      <c r="S9" s="105" t="s">
        <v>14</v>
      </c>
    </row>
    <row r="10" spans="1:19" s="140" customFormat="1" ht="6" customHeight="1" x14ac:dyDescent="0.2">
      <c r="A10" s="67"/>
      <c r="B10" s="151"/>
      <c r="C10" s="151"/>
      <c r="D10" s="137"/>
      <c r="E10" s="137"/>
      <c r="F10" s="137"/>
      <c r="G10" s="138"/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39"/>
      <c r="S10" s="139"/>
    </row>
    <row r="11" spans="1:19" s="154" customFormat="1" ht="15" x14ac:dyDescent="0.2">
      <c r="A11" s="17"/>
      <c r="B11" s="106" t="s">
        <v>5</v>
      </c>
      <c r="C11" s="152"/>
      <c r="D11" s="159">
        <v>34855919.813209198</v>
      </c>
      <c r="E11" s="153"/>
      <c r="F11" s="159">
        <v>34013799.466253102</v>
      </c>
      <c r="G11" s="159">
        <v>97.391767738499993</v>
      </c>
      <c r="H11" s="153"/>
      <c r="I11" s="159">
        <v>33831072.308096401</v>
      </c>
      <c r="J11" s="159">
        <v>96.832372518900002</v>
      </c>
      <c r="K11" s="50"/>
      <c r="L11" s="159">
        <v>33777477.464917697</v>
      </c>
      <c r="M11" s="159">
        <v>96.684515302299999</v>
      </c>
      <c r="N11" s="153"/>
      <c r="O11" s="159">
        <v>34642479.653680898</v>
      </c>
      <c r="P11" s="159">
        <v>99.317241616199993</v>
      </c>
      <c r="Q11" s="153"/>
      <c r="R11" s="159">
        <v>17470.486275713301</v>
      </c>
      <c r="S11" s="159">
        <v>4.9542014099999997E-2</v>
      </c>
    </row>
    <row r="12" spans="1:19" s="154" customFormat="1" ht="6" customHeight="1" x14ac:dyDescent="0.2">
      <c r="A12" s="11"/>
      <c r="B12" s="107"/>
      <c r="C12" s="152"/>
      <c r="D12" s="95"/>
      <c r="E12" s="153"/>
      <c r="F12" s="95"/>
      <c r="G12" s="96"/>
      <c r="H12" s="153"/>
      <c r="I12" s="95"/>
      <c r="J12" s="96"/>
      <c r="K12" s="50"/>
      <c r="L12" s="95"/>
      <c r="M12" s="96"/>
      <c r="N12" s="153"/>
      <c r="O12" s="95"/>
      <c r="P12" s="96"/>
      <c r="Q12" s="153"/>
      <c r="R12" s="95"/>
      <c r="S12" s="96"/>
    </row>
    <row r="13" spans="1:19" ht="12.75" customHeight="1" x14ac:dyDescent="0.2">
      <c r="A13" s="11"/>
      <c r="B13" s="13" t="s">
        <v>26</v>
      </c>
      <c r="C13" s="155"/>
      <c r="D13" s="160">
        <v>372194.10329856101</v>
      </c>
      <c r="E13" s="156"/>
      <c r="F13" s="160">
        <v>370378.397763616</v>
      </c>
      <c r="G13" s="160">
        <v>99.312448310899995</v>
      </c>
      <c r="H13" s="156"/>
      <c r="I13" s="160">
        <v>370965.64082326001</v>
      </c>
      <c r="J13" s="160">
        <v>99.461465761400007</v>
      </c>
      <c r="K13" s="50"/>
      <c r="L13" s="160">
        <v>370946.11378651502</v>
      </c>
      <c r="M13" s="160">
        <v>99.470945725099995</v>
      </c>
      <c r="N13" s="156"/>
      <c r="O13" s="160">
        <v>369733.939316387</v>
      </c>
      <c r="P13" s="160">
        <v>98.929484740600003</v>
      </c>
      <c r="Q13" s="156"/>
      <c r="R13" s="160">
        <v>0</v>
      </c>
      <c r="S13" s="160">
        <v>0</v>
      </c>
    </row>
    <row r="14" spans="1:19" ht="12.75" customHeight="1" x14ac:dyDescent="0.2">
      <c r="A14" s="11"/>
      <c r="B14" s="13" t="s">
        <v>27</v>
      </c>
      <c r="C14" s="155"/>
      <c r="D14" s="160">
        <v>1094323.1287738399</v>
      </c>
      <c r="E14" s="156"/>
      <c r="F14" s="160">
        <v>1083469.3045134</v>
      </c>
      <c r="G14" s="160">
        <v>98.569570883099999</v>
      </c>
      <c r="H14" s="156"/>
      <c r="I14" s="160">
        <v>1075311.16773011</v>
      </c>
      <c r="J14" s="160">
        <v>97.757811343499995</v>
      </c>
      <c r="K14" s="50"/>
      <c r="L14" s="160">
        <v>1067497.68239598</v>
      </c>
      <c r="M14" s="160">
        <v>96.341009200399995</v>
      </c>
      <c r="N14" s="156"/>
      <c r="O14" s="160">
        <v>1083483.08769677</v>
      </c>
      <c r="P14" s="160">
        <v>98.694182816600005</v>
      </c>
      <c r="Q14" s="156"/>
      <c r="R14" s="160">
        <v>0</v>
      </c>
      <c r="S14" s="160">
        <v>0</v>
      </c>
    </row>
    <row r="15" spans="1:19" ht="12.75" customHeight="1" x14ac:dyDescent="0.2">
      <c r="A15" s="12"/>
      <c r="B15" s="13" t="s">
        <v>28</v>
      </c>
      <c r="C15" s="155"/>
      <c r="D15" s="160">
        <v>227749.62097325901</v>
      </c>
      <c r="E15" s="156"/>
      <c r="F15" s="160">
        <v>225435.026876555</v>
      </c>
      <c r="G15" s="160">
        <v>97.4371945205</v>
      </c>
      <c r="H15" s="156"/>
      <c r="I15" s="160">
        <v>210322.90710697399</v>
      </c>
      <c r="J15" s="160">
        <v>88.275935713699994</v>
      </c>
      <c r="K15" s="50"/>
      <c r="L15" s="160">
        <v>223884.75015919199</v>
      </c>
      <c r="M15" s="160">
        <v>95.804435051499993</v>
      </c>
      <c r="N15" s="156"/>
      <c r="O15" s="160">
        <v>223528.90429868401</v>
      </c>
      <c r="P15" s="160">
        <v>97.062615463300006</v>
      </c>
      <c r="Q15" s="156"/>
      <c r="R15" s="160">
        <v>0</v>
      </c>
      <c r="S15" s="160">
        <v>0</v>
      </c>
    </row>
    <row r="16" spans="1:19" ht="12.75" customHeight="1" x14ac:dyDescent="0.2">
      <c r="A16" s="12"/>
      <c r="B16" s="13" t="s">
        <v>29</v>
      </c>
      <c r="C16" s="155"/>
      <c r="D16" s="160">
        <v>241346.958106228</v>
      </c>
      <c r="E16" s="156"/>
      <c r="F16" s="160">
        <v>229098.91833491201</v>
      </c>
      <c r="G16" s="160">
        <v>93.390767626699997</v>
      </c>
      <c r="H16" s="156"/>
      <c r="I16" s="160">
        <v>236476.86785156</v>
      </c>
      <c r="J16" s="160">
        <v>97.082459049199997</v>
      </c>
      <c r="K16" s="50"/>
      <c r="L16" s="160">
        <v>225742.34329047301</v>
      </c>
      <c r="M16" s="160">
        <v>91.744890817500007</v>
      </c>
      <c r="N16" s="156"/>
      <c r="O16" s="160">
        <v>239686.064162925</v>
      </c>
      <c r="P16" s="160">
        <v>99.003342875200005</v>
      </c>
      <c r="Q16" s="156"/>
      <c r="R16" s="160">
        <v>0</v>
      </c>
      <c r="S16" s="160">
        <v>0</v>
      </c>
    </row>
    <row r="17" spans="1:19" ht="12.75" customHeight="1" x14ac:dyDescent="0.2">
      <c r="A17" s="12"/>
      <c r="B17" s="13" t="s">
        <v>30</v>
      </c>
      <c r="C17" s="155"/>
      <c r="D17" s="128">
        <v>873188.10795798199</v>
      </c>
      <c r="E17" s="156"/>
      <c r="F17" s="128">
        <v>869355.17261007498</v>
      </c>
      <c r="G17" s="128">
        <v>99.266315654099998</v>
      </c>
      <c r="H17" s="156"/>
      <c r="I17" s="128">
        <v>868130.24342696497</v>
      </c>
      <c r="J17" s="128">
        <v>98.939070903399994</v>
      </c>
      <c r="K17" s="50"/>
      <c r="L17" s="128">
        <v>864269.54286050901</v>
      </c>
      <c r="M17" s="128">
        <v>98.072244320899998</v>
      </c>
      <c r="N17" s="156"/>
      <c r="O17" s="128">
        <v>870862.90286294196</v>
      </c>
      <c r="P17" s="128">
        <v>99.573079925499997</v>
      </c>
      <c r="Q17" s="156"/>
      <c r="R17" s="128">
        <v>0</v>
      </c>
      <c r="S17" s="128">
        <v>0</v>
      </c>
    </row>
    <row r="18" spans="1:19" ht="12.75" customHeight="1" x14ac:dyDescent="0.2">
      <c r="A18" s="21"/>
      <c r="B18" s="13" t="s">
        <v>31</v>
      </c>
      <c r="C18" s="155"/>
      <c r="D18" s="128">
        <v>215342.98131561599</v>
      </c>
      <c r="E18" s="156"/>
      <c r="F18" s="128">
        <v>213626.60948169199</v>
      </c>
      <c r="G18" s="128">
        <v>98.949891997999998</v>
      </c>
      <c r="H18" s="156"/>
      <c r="I18" s="128">
        <v>213752.25258931401</v>
      </c>
      <c r="J18" s="128">
        <v>99.006232112099994</v>
      </c>
      <c r="K18" s="50"/>
      <c r="L18" s="128">
        <v>214802.12085766601</v>
      </c>
      <c r="M18" s="128">
        <v>99.571453767400001</v>
      </c>
      <c r="N18" s="156"/>
      <c r="O18" s="128">
        <v>212485.419319849</v>
      </c>
      <c r="P18" s="128">
        <v>98.296671876100007</v>
      </c>
      <c r="Q18" s="156"/>
      <c r="R18" s="128">
        <v>0</v>
      </c>
      <c r="S18" s="128">
        <v>0</v>
      </c>
    </row>
    <row r="19" spans="1:19" ht="12.75" customHeight="1" x14ac:dyDescent="0.2">
      <c r="A19" s="21"/>
      <c r="B19" s="13" t="s">
        <v>32</v>
      </c>
      <c r="C19" s="155"/>
      <c r="D19" s="160">
        <v>1307775.79723661</v>
      </c>
      <c r="E19" s="156"/>
      <c r="F19" s="160">
        <v>1253403.19716873</v>
      </c>
      <c r="G19" s="160">
        <v>95.097692417100006</v>
      </c>
      <c r="H19" s="156"/>
      <c r="I19" s="160">
        <v>1238588.98945339</v>
      </c>
      <c r="J19" s="160">
        <v>93.370793141999997</v>
      </c>
      <c r="K19" s="50"/>
      <c r="L19" s="160">
        <v>1240403.1456460301</v>
      </c>
      <c r="M19" s="160">
        <v>94.0902443815</v>
      </c>
      <c r="N19" s="156"/>
      <c r="O19" s="160">
        <v>1292078.19476569</v>
      </c>
      <c r="P19" s="160">
        <v>98.481147450099996</v>
      </c>
      <c r="Q19" s="156"/>
      <c r="R19" s="160">
        <v>170.33497188940001</v>
      </c>
      <c r="S19" s="160">
        <v>1.2271235700000001E-2</v>
      </c>
    </row>
    <row r="20" spans="1:19" ht="12.75" customHeight="1" x14ac:dyDescent="0.2">
      <c r="B20" s="13" t="s">
        <v>33</v>
      </c>
      <c r="C20" s="155"/>
      <c r="D20" s="160">
        <v>1106672.0927464101</v>
      </c>
      <c r="E20" s="156"/>
      <c r="F20" s="160">
        <v>1087662.8159103601</v>
      </c>
      <c r="G20" s="160">
        <v>97.625782333900005</v>
      </c>
      <c r="H20" s="156"/>
      <c r="I20" s="160">
        <v>1094514.0440119</v>
      </c>
      <c r="J20" s="160">
        <v>98.166963280800005</v>
      </c>
      <c r="K20" s="50"/>
      <c r="L20" s="160">
        <v>1093622.93173528</v>
      </c>
      <c r="M20" s="160">
        <v>97.871837010700006</v>
      </c>
      <c r="N20" s="156"/>
      <c r="O20" s="160">
        <v>1093636.4286286801</v>
      </c>
      <c r="P20" s="160">
        <v>97.830187434799996</v>
      </c>
      <c r="Q20" s="156"/>
      <c r="R20" s="160">
        <v>0</v>
      </c>
      <c r="S20" s="160">
        <v>0</v>
      </c>
    </row>
    <row r="21" spans="1:19" ht="12.75" customHeight="1" x14ac:dyDescent="0.2">
      <c r="B21" s="13" t="s">
        <v>34</v>
      </c>
      <c r="C21" s="155"/>
      <c r="D21" s="160">
        <v>2637127.6507512201</v>
      </c>
      <c r="E21" s="156"/>
      <c r="F21" s="160">
        <v>2593505.6285421499</v>
      </c>
      <c r="G21" s="160">
        <v>97.7837413516</v>
      </c>
      <c r="H21" s="156"/>
      <c r="I21" s="160">
        <v>2632269.90435158</v>
      </c>
      <c r="J21" s="160">
        <v>99.595824802799996</v>
      </c>
      <c r="K21" s="50"/>
      <c r="L21" s="160">
        <v>2633591.9918380901</v>
      </c>
      <c r="M21" s="160">
        <v>99.701516882000007</v>
      </c>
      <c r="N21" s="156"/>
      <c r="O21" s="160">
        <v>2629378.3779704901</v>
      </c>
      <c r="P21" s="160">
        <v>99.503480862900005</v>
      </c>
      <c r="Q21" s="156"/>
      <c r="R21" s="160">
        <v>0</v>
      </c>
      <c r="S21" s="160">
        <v>0</v>
      </c>
    </row>
    <row r="22" spans="1:19" ht="12.75" customHeight="1" x14ac:dyDescent="0.2">
      <c r="B22" s="13" t="s">
        <v>35</v>
      </c>
      <c r="C22" s="155"/>
      <c r="D22" s="160">
        <v>479890.75585837202</v>
      </c>
      <c r="E22" s="156"/>
      <c r="F22" s="160">
        <v>468056.592011259</v>
      </c>
      <c r="G22" s="160">
        <v>96.974595054700004</v>
      </c>
      <c r="H22" s="156"/>
      <c r="I22" s="160">
        <v>469058.049667179</v>
      </c>
      <c r="J22" s="160">
        <v>96.651656458900007</v>
      </c>
      <c r="K22" s="50"/>
      <c r="L22" s="160">
        <v>467110.19551384798</v>
      </c>
      <c r="M22" s="160">
        <v>96.481764792099995</v>
      </c>
      <c r="N22" s="156"/>
      <c r="O22" s="160">
        <v>477810.29071172501</v>
      </c>
      <c r="P22" s="160">
        <v>99.3447109775</v>
      </c>
      <c r="Q22" s="156"/>
      <c r="R22" s="160">
        <v>0</v>
      </c>
      <c r="S22" s="160">
        <v>0</v>
      </c>
    </row>
    <row r="23" spans="1:19" ht="12.75" customHeight="1" x14ac:dyDescent="0.2">
      <c r="B23" s="13" t="s">
        <v>36</v>
      </c>
      <c r="C23" s="155"/>
      <c r="D23" s="160">
        <v>1521466.9196536599</v>
      </c>
      <c r="E23" s="156"/>
      <c r="F23" s="160">
        <v>1469566.0484378301</v>
      </c>
      <c r="G23" s="160">
        <v>95.934912592900005</v>
      </c>
      <c r="H23" s="156"/>
      <c r="I23" s="160">
        <v>1476753.4238257899</v>
      </c>
      <c r="J23" s="160">
        <v>95.6624468925</v>
      </c>
      <c r="K23" s="50"/>
      <c r="L23" s="160">
        <v>1478461.4714529901</v>
      </c>
      <c r="M23" s="160">
        <v>96.559018108900005</v>
      </c>
      <c r="N23" s="156"/>
      <c r="O23" s="160">
        <v>1504437.9887256899</v>
      </c>
      <c r="P23" s="160">
        <v>98.491442467599995</v>
      </c>
      <c r="Q23" s="156"/>
      <c r="R23" s="160">
        <v>0</v>
      </c>
      <c r="S23" s="160">
        <v>0</v>
      </c>
    </row>
    <row r="24" spans="1:19" ht="12.75" customHeight="1" x14ac:dyDescent="0.2">
      <c r="B24" s="13" t="s">
        <v>37</v>
      </c>
      <c r="C24" s="155"/>
      <c r="D24" s="160">
        <v>891088.45772531198</v>
      </c>
      <c r="E24" s="156"/>
      <c r="F24" s="160">
        <v>797705.11668119696</v>
      </c>
      <c r="G24" s="160">
        <v>87.7622607829</v>
      </c>
      <c r="H24" s="156"/>
      <c r="I24" s="160">
        <v>779043.79524848296</v>
      </c>
      <c r="J24" s="160">
        <v>85.646246194300005</v>
      </c>
      <c r="K24" s="50"/>
      <c r="L24" s="160">
        <v>781750.58434355201</v>
      </c>
      <c r="M24" s="160">
        <v>85.789288436800007</v>
      </c>
      <c r="N24" s="156"/>
      <c r="O24" s="160">
        <v>881545.69338250195</v>
      </c>
      <c r="P24" s="160">
        <v>98.5392346836</v>
      </c>
      <c r="Q24" s="156"/>
      <c r="R24" s="160">
        <v>583.22718534950002</v>
      </c>
      <c r="S24" s="160">
        <v>6.3183804999999996E-2</v>
      </c>
    </row>
    <row r="25" spans="1:19" ht="12.75" customHeight="1" x14ac:dyDescent="0.2">
      <c r="B25" s="13" t="s">
        <v>38</v>
      </c>
      <c r="C25" s="155"/>
      <c r="D25" s="160">
        <v>816896.76724279101</v>
      </c>
      <c r="E25" s="156"/>
      <c r="F25" s="160">
        <v>796018.84461730602</v>
      </c>
      <c r="G25" s="160">
        <v>96.652860085200004</v>
      </c>
      <c r="H25" s="156"/>
      <c r="I25" s="160">
        <v>795580.99230505305</v>
      </c>
      <c r="J25" s="160">
        <v>96.738751005599994</v>
      </c>
      <c r="K25" s="50"/>
      <c r="L25" s="160">
        <v>791926.63781069103</v>
      </c>
      <c r="M25" s="160">
        <v>96.022345500900002</v>
      </c>
      <c r="N25" s="156"/>
      <c r="O25" s="160">
        <v>811374.37978892098</v>
      </c>
      <c r="P25" s="160">
        <v>98.952896898000006</v>
      </c>
      <c r="Q25" s="156"/>
      <c r="R25" s="160">
        <v>0</v>
      </c>
      <c r="S25" s="160">
        <v>0</v>
      </c>
    </row>
    <row r="26" spans="1:19" ht="12.75" customHeight="1" x14ac:dyDescent="0.2">
      <c r="B26" s="13" t="s">
        <v>39</v>
      </c>
      <c r="C26" s="155"/>
      <c r="D26" s="160">
        <v>2214619.12347756</v>
      </c>
      <c r="E26" s="156"/>
      <c r="F26" s="160">
        <v>2191964.9663541098</v>
      </c>
      <c r="G26" s="160">
        <v>98.395010909600003</v>
      </c>
      <c r="H26" s="156"/>
      <c r="I26" s="160">
        <v>2197540.7832635399</v>
      </c>
      <c r="J26" s="160">
        <v>98.899145762700002</v>
      </c>
      <c r="K26" s="50"/>
      <c r="L26" s="160">
        <v>2198417.69980689</v>
      </c>
      <c r="M26" s="160">
        <v>98.812366819800005</v>
      </c>
      <c r="N26" s="156"/>
      <c r="O26" s="160">
        <v>2209713.2068315302</v>
      </c>
      <c r="P26" s="160">
        <v>99.641350639300001</v>
      </c>
      <c r="Q26" s="156"/>
      <c r="R26" s="160">
        <v>0</v>
      </c>
      <c r="S26" s="160">
        <v>0</v>
      </c>
    </row>
    <row r="27" spans="1:19" ht="12.75" customHeight="1" x14ac:dyDescent="0.2">
      <c r="B27" s="13" t="s">
        <v>40</v>
      </c>
      <c r="C27" s="155"/>
      <c r="D27" s="160">
        <v>4367842.1895668004</v>
      </c>
      <c r="E27" s="156"/>
      <c r="F27" s="160">
        <v>4250896.2139298702</v>
      </c>
      <c r="G27" s="160">
        <v>96.265940338999997</v>
      </c>
      <c r="H27" s="156"/>
      <c r="I27" s="160">
        <v>4269919.87030413</v>
      </c>
      <c r="J27" s="160">
        <v>97.085748828899995</v>
      </c>
      <c r="K27" s="50"/>
      <c r="L27" s="160">
        <v>4274678.8928702204</v>
      </c>
      <c r="M27" s="160">
        <v>96.720517096999998</v>
      </c>
      <c r="N27" s="156"/>
      <c r="O27" s="160">
        <v>4357902.6097146403</v>
      </c>
      <c r="P27" s="160">
        <v>99.566139326400005</v>
      </c>
      <c r="Q27" s="156"/>
      <c r="R27" s="160">
        <v>0</v>
      </c>
      <c r="S27" s="160">
        <v>0</v>
      </c>
    </row>
    <row r="28" spans="1:19" ht="12.75" customHeight="1" x14ac:dyDescent="0.2">
      <c r="B28" s="13" t="s">
        <v>41</v>
      </c>
      <c r="C28" s="155"/>
      <c r="D28" s="160">
        <v>1209066.2014425499</v>
      </c>
      <c r="E28" s="156"/>
      <c r="F28" s="160">
        <v>1176785.04179917</v>
      </c>
      <c r="G28" s="160">
        <v>96.323262123299997</v>
      </c>
      <c r="H28" s="156"/>
      <c r="I28" s="160">
        <v>1157235.1053705399</v>
      </c>
      <c r="J28" s="160">
        <v>94.357530185800002</v>
      </c>
      <c r="K28" s="50"/>
      <c r="L28" s="160">
        <v>1160633.9933752201</v>
      </c>
      <c r="M28" s="160">
        <v>94.963264096000003</v>
      </c>
      <c r="N28" s="156"/>
      <c r="O28" s="160">
        <v>1204031.2758800399</v>
      </c>
      <c r="P28" s="160">
        <v>99.269050341899998</v>
      </c>
      <c r="Q28" s="156"/>
      <c r="R28" s="160">
        <v>0</v>
      </c>
      <c r="S28" s="160">
        <v>0</v>
      </c>
    </row>
    <row r="29" spans="1:19" ht="12.75" customHeight="1" x14ac:dyDescent="0.2">
      <c r="B29" s="13" t="s">
        <v>42</v>
      </c>
      <c r="C29" s="155"/>
      <c r="D29" s="160">
        <v>543030.77389932098</v>
      </c>
      <c r="E29" s="156"/>
      <c r="F29" s="160">
        <v>532521.82005246799</v>
      </c>
      <c r="G29" s="160">
        <v>97.193993227000007</v>
      </c>
      <c r="H29" s="156"/>
      <c r="I29" s="160">
        <v>527818.62821435195</v>
      </c>
      <c r="J29" s="160">
        <v>96.806858291799998</v>
      </c>
      <c r="K29" s="50"/>
      <c r="L29" s="160">
        <v>537308.96556094196</v>
      </c>
      <c r="M29" s="160">
        <v>98.480371158300002</v>
      </c>
      <c r="N29" s="156"/>
      <c r="O29" s="160">
        <v>541171.71301518404</v>
      </c>
      <c r="P29" s="160">
        <v>99.4474978824</v>
      </c>
      <c r="Q29" s="156"/>
      <c r="R29" s="160">
        <v>0</v>
      </c>
      <c r="S29" s="160">
        <v>0</v>
      </c>
    </row>
    <row r="30" spans="1:19" ht="12.75" customHeight="1" x14ac:dyDescent="0.2">
      <c r="B30" s="13" t="s">
        <v>43</v>
      </c>
      <c r="C30" s="155"/>
      <c r="D30" s="160">
        <v>343386.664223017</v>
      </c>
      <c r="E30" s="156"/>
      <c r="F30" s="160">
        <v>333900.193390125</v>
      </c>
      <c r="G30" s="160">
        <v>96.384539588199999</v>
      </c>
      <c r="H30" s="156"/>
      <c r="I30" s="160">
        <v>338953.000757651</v>
      </c>
      <c r="J30" s="160">
        <v>97.996846388799995</v>
      </c>
      <c r="K30" s="50"/>
      <c r="L30" s="160">
        <v>336444.26518344303</v>
      </c>
      <c r="M30" s="160">
        <v>97.128153924200006</v>
      </c>
      <c r="N30" s="156"/>
      <c r="O30" s="160">
        <v>340564.01753241499</v>
      </c>
      <c r="P30" s="160">
        <v>98.851615313400004</v>
      </c>
      <c r="Q30" s="156"/>
      <c r="R30" s="160">
        <v>0</v>
      </c>
      <c r="S30" s="160">
        <v>0</v>
      </c>
    </row>
    <row r="31" spans="1:19" ht="12.75" customHeight="1" x14ac:dyDescent="0.2">
      <c r="B31" s="13" t="s">
        <v>44</v>
      </c>
      <c r="C31" s="155"/>
      <c r="D31" s="160">
        <v>1584392.1221822</v>
      </c>
      <c r="E31" s="156"/>
      <c r="F31" s="160">
        <v>1574562.6941531401</v>
      </c>
      <c r="G31" s="160">
        <v>99.031819106300006</v>
      </c>
      <c r="H31" s="156"/>
      <c r="I31" s="160">
        <v>1576385.40396831</v>
      </c>
      <c r="J31" s="160">
        <v>99.202598280299995</v>
      </c>
      <c r="K31" s="50"/>
      <c r="L31" s="160">
        <v>1577300.42237913</v>
      </c>
      <c r="M31" s="160">
        <v>99.246966167099998</v>
      </c>
      <c r="N31" s="156"/>
      <c r="O31" s="160">
        <v>1583459.54699779</v>
      </c>
      <c r="P31" s="160">
        <v>99.848628419799994</v>
      </c>
      <c r="Q31" s="156"/>
      <c r="R31" s="160">
        <v>0</v>
      </c>
      <c r="S31" s="160">
        <v>0</v>
      </c>
    </row>
    <row r="32" spans="1:19" ht="12.75" customHeight="1" x14ac:dyDescent="0.2">
      <c r="B32" s="13" t="s">
        <v>45</v>
      </c>
      <c r="C32" s="155"/>
      <c r="D32" s="160">
        <v>1033276.02380439</v>
      </c>
      <c r="E32" s="156"/>
      <c r="F32" s="160">
        <v>1008883.47666973</v>
      </c>
      <c r="G32" s="160">
        <v>96.704207065700004</v>
      </c>
      <c r="H32" s="156"/>
      <c r="I32" s="160">
        <v>949015.11999634095</v>
      </c>
      <c r="J32" s="160">
        <v>90.319578326400006</v>
      </c>
      <c r="K32" s="50"/>
      <c r="L32" s="160">
        <v>919162.34815045702</v>
      </c>
      <c r="M32" s="160">
        <v>87.521837312299994</v>
      </c>
      <c r="N32" s="156"/>
      <c r="O32" s="160">
        <v>1018954.61282659</v>
      </c>
      <c r="P32" s="160">
        <v>98.216465044700001</v>
      </c>
      <c r="Q32" s="156"/>
      <c r="R32" s="160">
        <v>24.408916784999999</v>
      </c>
      <c r="S32" s="160">
        <v>2.5595231000000002E-3</v>
      </c>
    </row>
    <row r="33" spans="1:19" ht="12.75" customHeight="1" x14ac:dyDescent="0.2">
      <c r="B33" s="13" t="s">
        <v>46</v>
      </c>
      <c r="C33" s="155"/>
      <c r="D33" s="160">
        <v>1616705.1047259199</v>
      </c>
      <c r="E33" s="156"/>
      <c r="F33" s="160">
        <v>1568795.3892456</v>
      </c>
      <c r="G33" s="160">
        <v>96.375553454799999</v>
      </c>
      <c r="H33" s="156"/>
      <c r="I33" s="160">
        <v>1558214.7329196499</v>
      </c>
      <c r="J33" s="160">
        <v>94.857011531599994</v>
      </c>
      <c r="K33" s="50"/>
      <c r="L33" s="160">
        <v>1562597.8844484</v>
      </c>
      <c r="M33" s="160">
        <v>95.827720734799996</v>
      </c>
      <c r="N33" s="156"/>
      <c r="O33" s="160">
        <v>1608599.7242387</v>
      </c>
      <c r="P33" s="160">
        <v>99.239267634900003</v>
      </c>
      <c r="Q33" s="156"/>
      <c r="R33" s="160">
        <v>0</v>
      </c>
      <c r="S33" s="160">
        <v>0</v>
      </c>
    </row>
    <row r="34" spans="1:19" ht="12.75" customHeight="1" x14ac:dyDescent="0.2">
      <c r="B34" s="13" t="s">
        <v>47</v>
      </c>
      <c r="C34" s="155"/>
      <c r="D34" s="160">
        <v>608432.00766038802</v>
      </c>
      <c r="E34" s="156"/>
      <c r="F34" s="160">
        <v>592831.29614207498</v>
      </c>
      <c r="G34" s="160">
        <v>96.369436662699997</v>
      </c>
      <c r="H34" s="156"/>
      <c r="I34" s="160">
        <v>594376.79878799396</v>
      </c>
      <c r="J34" s="160">
        <v>96.560811118999993</v>
      </c>
      <c r="K34" s="50"/>
      <c r="L34" s="160">
        <v>595364.67449933104</v>
      </c>
      <c r="M34" s="160">
        <v>97.033475379400002</v>
      </c>
      <c r="N34" s="156"/>
      <c r="O34" s="160">
        <v>606741.81621772598</v>
      </c>
      <c r="P34" s="160">
        <v>99.410863188999997</v>
      </c>
      <c r="Q34" s="156"/>
      <c r="R34" s="160">
        <v>0</v>
      </c>
      <c r="S34" s="160">
        <v>0</v>
      </c>
    </row>
    <row r="35" spans="1:19" ht="12.75" customHeight="1" x14ac:dyDescent="0.2">
      <c r="B35" s="13" t="s">
        <v>48</v>
      </c>
      <c r="C35" s="155"/>
      <c r="D35" s="160">
        <v>522330.00393641897</v>
      </c>
      <c r="E35" s="156"/>
      <c r="F35" s="160">
        <v>511909.17298462498</v>
      </c>
      <c r="G35" s="160">
        <v>97.405870997799994</v>
      </c>
      <c r="H35" s="156"/>
      <c r="I35" s="160">
        <v>508850.98099459102</v>
      </c>
      <c r="J35" s="160">
        <v>96.579978592499998</v>
      </c>
      <c r="K35" s="50"/>
      <c r="L35" s="160">
        <v>509101.13077443099</v>
      </c>
      <c r="M35" s="160">
        <v>96.840910580300005</v>
      </c>
      <c r="N35" s="156"/>
      <c r="O35" s="160">
        <v>517924.94124221097</v>
      </c>
      <c r="P35" s="160">
        <v>98.773472167799994</v>
      </c>
      <c r="Q35" s="156"/>
      <c r="R35" s="160">
        <v>0</v>
      </c>
      <c r="S35" s="160">
        <v>0</v>
      </c>
    </row>
    <row r="36" spans="1:19" ht="12.75" customHeight="1" x14ac:dyDescent="0.2">
      <c r="B36" s="13" t="s">
        <v>49</v>
      </c>
      <c r="C36" s="155"/>
      <c r="D36" s="160">
        <v>747363.50613859505</v>
      </c>
      <c r="E36" s="156"/>
      <c r="F36" s="160">
        <v>730650.37876433996</v>
      </c>
      <c r="G36" s="160">
        <v>96.926430597500001</v>
      </c>
      <c r="H36" s="156"/>
      <c r="I36" s="160">
        <v>682192.16378743504</v>
      </c>
      <c r="J36" s="160">
        <v>89.537423491499993</v>
      </c>
      <c r="K36" s="50"/>
      <c r="L36" s="160">
        <v>674554.52421798604</v>
      </c>
      <c r="M36" s="160">
        <v>88.907721944000002</v>
      </c>
      <c r="N36" s="156"/>
      <c r="O36" s="160">
        <v>736338.82032115397</v>
      </c>
      <c r="P36" s="160">
        <v>97.926455797599999</v>
      </c>
      <c r="Q36" s="156"/>
      <c r="R36" s="160">
        <v>285.81733358320002</v>
      </c>
      <c r="S36" s="160">
        <v>3.74789908E-2</v>
      </c>
    </row>
    <row r="37" spans="1:19" ht="12.75" customHeight="1" x14ac:dyDescent="0.2">
      <c r="B37" s="13" t="s">
        <v>50</v>
      </c>
      <c r="C37" s="155"/>
      <c r="D37" s="160">
        <v>830795.97160518297</v>
      </c>
      <c r="E37" s="156"/>
      <c r="F37" s="160">
        <v>811570.10699157405</v>
      </c>
      <c r="G37" s="160">
        <v>97.064556039099998</v>
      </c>
      <c r="H37" s="156"/>
      <c r="I37" s="160">
        <v>811429.08345173497</v>
      </c>
      <c r="J37" s="160">
        <v>96.978807429100002</v>
      </c>
      <c r="K37" s="50"/>
      <c r="L37" s="160">
        <v>805350.75874260103</v>
      </c>
      <c r="M37" s="160">
        <v>95.9197678763</v>
      </c>
      <c r="N37" s="156"/>
      <c r="O37" s="160">
        <v>825982.65628792997</v>
      </c>
      <c r="P37" s="160">
        <v>99.186205242400007</v>
      </c>
      <c r="Q37" s="156"/>
      <c r="R37" s="160">
        <v>0</v>
      </c>
      <c r="S37" s="160">
        <v>0</v>
      </c>
    </row>
    <row r="38" spans="1:19" ht="12.75" customHeight="1" x14ac:dyDescent="0.2">
      <c r="B38" s="13" t="s">
        <v>51</v>
      </c>
      <c r="C38" s="155"/>
      <c r="D38" s="160">
        <v>834239.32982548501</v>
      </c>
      <c r="E38" s="156"/>
      <c r="F38" s="160">
        <v>818483.90935901704</v>
      </c>
      <c r="G38" s="160">
        <v>97.648228395900006</v>
      </c>
      <c r="H38" s="156"/>
      <c r="I38" s="160">
        <v>823581.58800162503</v>
      </c>
      <c r="J38" s="160">
        <v>98.312195562100001</v>
      </c>
      <c r="K38" s="50"/>
      <c r="L38" s="160">
        <v>800960.50952026399</v>
      </c>
      <c r="M38" s="160">
        <v>95.338907710399994</v>
      </c>
      <c r="N38" s="156"/>
      <c r="O38" s="160">
        <v>829877.44997802505</v>
      </c>
      <c r="P38" s="160">
        <v>99.255704591699995</v>
      </c>
      <c r="Q38" s="52"/>
      <c r="R38" s="160">
        <v>0</v>
      </c>
      <c r="S38" s="160">
        <v>0</v>
      </c>
    </row>
    <row r="39" spans="1:19" ht="12.75" customHeight="1" x14ac:dyDescent="0.2">
      <c r="B39" s="13" t="s">
        <v>52</v>
      </c>
      <c r="C39" s="155"/>
      <c r="D39" s="160">
        <v>641258.75840786798</v>
      </c>
      <c r="E39" s="156"/>
      <c r="F39" s="160">
        <v>613110.107153647</v>
      </c>
      <c r="G39" s="160">
        <v>94.856669507399999</v>
      </c>
      <c r="H39" s="156"/>
      <c r="I39" s="160">
        <v>581634.47440249997</v>
      </c>
      <c r="J39" s="160">
        <v>89.560264910699999</v>
      </c>
      <c r="K39" s="50"/>
      <c r="L39" s="160">
        <v>625721.33424911497</v>
      </c>
      <c r="M39" s="160">
        <v>96.916538257699997</v>
      </c>
      <c r="N39" s="156"/>
      <c r="O39" s="160">
        <v>633474.47138841299</v>
      </c>
      <c r="P39" s="160">
        <v>98.140848576600007</v>
      </c>
      <c r="Q39" s="156"/>
      <c r="R39" s="160">
        <v>80.8695428037</v>
      </c>
      <c r="S39" s="160">
        <v>1.27506381E-2</v>
      </c>
    </row>
    <row r="40" spans="1:19" ht="12.75" customHeight="1" x14ac:dyDescent="0.2">
      <c r="B40" s="13" t="s">
        <v>53</v>
      </c>
      <c r="C40" s="155"/>
      <c r="D40" s="160">
        <v>1015984.05385471</v>
      </c>
      <c r="E40" s="156"/>
      <c r="F40" s="160">
        <v>1006809.9527804099</v>
      </c>
      <c r="G40" s="160">
        <v>98.711087780900002</v>
      </c>
      <c r="H40" s="156"/>
      <c r="I40" s="160">
        <v>993803.295297276</v>
      </c>
      <c r="J40" s="160">
        <v>97.129522952800002</v>
      </c>
      <c r="K40" s="50"/>
      <c r="L40" s="160">
        <v>970027.34858446405</v>
      </c>
      <c r="M40" s="160">
        <v>94.585674849699998</v>
      </c>
      <c r="N40" s="156"/>
      <c r="O40" s="160">
        <v>1006635.19649163</v>
      </c>
      <c r="P40" s="160">
        <v>98.582696189299995</v>
      </c>
      <c r="Q40" s="156"/>
      <c r="R40" s="160">
        <v>0</v>
      </c>
      <c r="S40" s="160">
        <v>0</v>
      </c>
    </row>
    <row r="41" spans="1:19" ht="12.75" customHeight="1" x14ac:dyDescent="0.2">
      <c r="B41" s="13" t="s">
        <v>54</v>
      </c>
      <c r="C41" s="155"/>
      <c r="D41" s="160">
        <v>320821.61901722202</v>
      </c>
      <c r="E41" s="156"/>
      <c r="F41" s="160">
        <v>313038.46887721401</v>
      </c>
      <c r="G41" s="160">
        <v>96.961449518099997</v>
      </c>
      <c r="H41" s="156"/>
      <c r="I41" s="160">
        <v>319041.76029997499</v>
      </c>
      <c r="J41" s="160">
        <v>99.156588223200004</v>
      </c>
      <c r="K41" s="50"/>
      <c r="L41" s="160">
        <v>315614.783982942</v>
      </c>
      <c r="M41" s="160">
        <v>97.779042992100003</v>
      </c>
      <c r="N41" s="156"/>
      <c r="O41" s="160">
        <v>319497.930126441</v>
      </c>
      <c r="P41" s="160">
        <v>99.343744472500006</v>
      </c>
      <c r="Q41" s="156"/>
      <c r="R41" s="160">
        <v>0</v>
      </c>
      <c r="S41" s="160">
        <v>0</v>
      </c>
    </row>
    <row r="42" spans="1:19" ht="12.75" customHeight="1" x14ac:dyDescent="0.2">
      <c r="B42" s="13" t="s">
        <v>55</v>
      </c>
      <c r="C42" s="155"/>
      <c r="D42" s="160">
        <v>2250780.00268341</v>
      </c>
      <c r="E42" s="156"/>
      <c r="F42" s="160">
        <v>2187230.9276683801</v>
      </c>
      <c r="G42" s="160">
        <v>96.557391367199997</v>
      </c>
      <c r="H42" s="156"/>
      <c r="I42" s="160">
        <v>2089250.7692778099</v>
      </c>
      <c r="J42" s="160">
        <v>91.3210738832</v>
      </c>
      <c r="K42" s="50"/>
      <c r="L42" s="160">
        <v>2109615.16443364</v>
      </c>
      <c r="M42" s="160">
        <v>92.695750821499999</v>
      </c>
      <c r="N42" s="156"/>
      <c r="O42" s="160">
        <v>2230177.2198424102</v>
      </c>
      <c r="P42" s="160">
        <v>98.705569686299995</v>
      </c>
      <c r="Q42" s="156"/>
      <c r="R42" s="160">
        <v>0</v>
      </c>
      <c r="S42" s="160">
        <v>0</v>
      </c>
    </row>
    <row r="43" spans="1:19" ht="12.75" customHeight="1" x14ac:dyDescent="0.2">
      <c r="B43" s="13" t="s">
        <v>56</v>
      </c>
      <c r="C43" s="155"/>
      <c r="D43" s="160">
        <v>623364.16859410505</v>
      </c>
      <c r="E43" s="156"/>
      <c r="F43" s="160">
        <v>598199.32784732</v>
      </c>
      <c r="G43" s="160">
        <v>95.310826150899999</v>
      </c>
      <c r="H43" s="156"/>
      <c r="I43" s="160">
        <v>616633.18307477096</v>
      </c>
      <c r="J43" s="160">
        <v>98.559675856699997</v>
      </c>
      <c r="K43" s="50"/>
      <c r="L43" s="160">
        <v>590961.16206372401</v>
      </c>
      <c r="M43" s="160">
        <v>93.931029645999999</v>
      </c>
      <c r="N43" s="156"/>
      <c r="O43" s="160">
        <v>619030.97716404696</v>
      </c>
      <c r="P43" s="160">
        <v>99.009071992200006</v>
      </c>
      <c r="Q43" s="156"/>
      <c r="R43" s="160">
        <v>0</v>
      </c>
      <c r="S43" s="160">
        <v>0</v>
      </c>
    </row>
    <row r="44" spans="1:19" ht="12.75" customHeight="1" x14ac:dyDescent="0.2">
      <c r="B44" s="13" t="s">
        <v>57</v>
      </c>
      <c r="C44" s="155"/>
      <c r="D44" s="160">
        <v>426144.52179644001</v>
      </c>
      <c r="E44" s="156"/>
      <c r="F44" s="160">
        <v>416452.60929269198</v>
      </c>
      <c r="G44" s="160">
        <v>97.107701273800004</v>
      </c>
      <c r="H44" s="156"/>
      <c r="I44" s="160">
        <v>415402.21866709698</v>
      </c>
      <c r="J44" s="160">
        <v>96.685857288899996</v>
      </c>
      <c r="K44" s="50"/>
      <c r="L44" s="160">
        <v>419186.06172592001</v>
      </c>
      <c r="M44" s="160">
        <v>97.378536099399994</v>
      </c>
      <c r="N44" s="156"/>
      <c r="O44" s="160">
        <v>424128.487996365</v>
      </c>
      <c r="P44" s="160">
        <v>99.236582700699998</v>
      </c>
      <c r="Q44" s="156"/>
      <c r="R44" s="160">
        <v>0</v>
      </c>
      <c r="S44" s="160">
        <v>0</v>
      </c>
    </row>
    <row r="45" spans="1:19" ht="6" customHeight="1" x14ac:dyDescent="0.2">
      <c r="B45" s="14"/>
      <c r="C45" s="14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</row>
    <row r="46" spans="1:19" s="140" customFormat="1" ht="6" customHeight="1" x14ac:dyDescent="0.2">
      <c r="A46" s="5"/>
      <c r="B46" s="138"/>
      <c r="C46" s="136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</row>
    <row r="47" spans="1:19" s="140" customFormat="1" ht="11.25" x14ac:dyDescent="0.2">
      <c r="A47" s="12"/>
      <c r="B47" s="138" t="s">
        <v>131</v>
      </c>
      <c r="C47" s="136"/>
      <c r="D47" s="137"/>
      <c r="E47" s="137"/>
      <c r="F47" s="137"/>
      <c r="G47" s="138"/>
      <c r="H47" s="138"/>
      <c r="I47" s="138"/>
      <c r="J47" s="138"/>
      <c r="K47" s="138"/>
      <c r="L47" s="138"/>
      <c r="M47" s="138"/>
      <c r="N47" s="138"/>
      <c r="O47" s="139"/>
      <c r="P47" s="139"/>
      <c r="Q47" s="139"/>
      <c r="R47" s="139"/>
      <c r="S47" s="139"/>
    </row>
    <row r="48" spans="1:19" s="140" customFormat="1" ht="11.25" x14ac:dyDescent="0.2">
      <c r="A48" s="12"/>
      <c r="B48" s="138" t="s">
        <v>132</v>
      </c>
      <c r="C48" s="136"/>
      <c r="D48" s="137"/>
      <c r="E48" s="137"/>
      <c r="F48" s="137"/>
      <c r="G48" s="138"/>
      <c r="H48" s="138"/>
      <c r="I48" s="138"/>
      <c r="J48" s="138"/>
      <c r="K48" s="138"/>
      <c r="L48" s="138"/>
      <c r="M48" s="138"/>
      <c r="N48" s="138"/>
      <c r="O48" s="139"/>
      <c r="P48" s="139"/>
      <c r="Q48" s="139"/>
      <c r="R48" s="139"/>
      <c r="S48" s="139"/>
    </row>
    <row r="49" spans="1:19" s="140" customFormat="1" ht="11.25" x14ac:dyDescent="0.2">
      <c r="A49" s="12"/>
      <c r="B49" s="138" t="s">
        <v>133</v>
      </c>
      <c r="C49" s="136"/>
      <c r="D49" s="137"/>
      <c r="E49" s="137"/>
      <c r="F49" s="137"/>
      <c r="G49" s="138"/>
      <c r="H49" s="138"/>
      <c r="I49" s="138"/>
      <c r="J49" s="138"/>
      <c r="K49" s="138"/>
      <c r="L49" s="138"/>
      <c r="M49" s="138"/>
      <c r="N49" s="138"/>
      <c r="O49" s="139"/>
      <c r="P49" s="139"/>
      <c r="Q49" s="139"/>
      <c r="R49" s="139"/>
      <c r="S49" s="139"/>
    </row>
    <row r="50" spans="1:19" s="140" customFormat="1" ht="11.25" x14ac:dyDescent="0.2">
      <c r="A50" s="12"/>
      <c r="B50" s="138" t="s">
        <v>143</v>
      </c>
      <c r="C50" s="136"/>
      <c r="D50" s="137"/>
      <c r="E50" s="137"/>
      <c r="F50" s="137"/>
      <c r="G50" s="138"/>
      <c r="H50" s="138"/>
      <c r="I50" s="138"/>
      <c r="J50" s="138"/>
      <c r="K50" s="138"/>
      <c r="L50" s="138"/>
      <c r="M50" s="138"/>
      <c r="N50" s="138"/>
      <c r="O50" s="139"/>
      <c r="P50" s="139"/>
      <c r="Q50" s="139"/>
      <c r="R50" s="139"/>
      <c r="S50" s="139"/>
    </row>
    <row r="51" spans="1:19" s="89" customFormat="1" ht="11.25" customHeight="1" x14ac:dyDescent="0.2">
      <c r="B51" s="108" t="s">
        <v>134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</row>
    <row r="52" spans="1:19" s="89" customFormat="1" ht="11.25" customHeight="1" x14ac:dyDescent="0.2"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</row>
    <row r="53" spans="1:19" s="89" customFormat="1" ht="11.25" customHeight="1" x14ac:dyDescent="0.2"/>
  </sheetData>
  <mergeCells count="9">
    <mergeCell ref="B5:Q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05B6CEB4-AE10-427D-8A86-DA8513449541}"/>
  </hyperlinks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465F-F6D7-4A09-927F-1E310CFF0C12}">
  <sheetPr>
    <pageSetUpPr fitToPage="1"/>
  </sheetPr>
  <dimension ref="A1:AJ97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.28515625" style="167" customWidth="1"/>
    <col min="3" max="3" width="1.7109375" style="193" customWidth="1" collapsed="1"/>
    <col min="4" max="4" width="18.7109375" style="193" customWidth="1" collapsed="1"/>
    <col min="5" max="5" width="1.7109375" style="193" customWidth="1"/>
    <col min="6" max="6" width="13.42578125" style="193" customWidth="1" collapsed="1"/>
    <col min="7" max="7" width="12.42578125" style="167" customWidth="1" collapsed="1"/>
    <col min="8" max="8" width="1.7109375" style="167" customWidth="1" collapsed="1"/>
    <col min="9" max="9" width="15.5703125" style="167" customWidth="1" collapsed="1"/>
    <col min="10" max="10" width="11.42578125" style="167" customWidth="1" collapsed="1"/>
    <col min="11" max="11" width="1.7109375" style="167" customWidth="1" collapsed="1"/>
    <col min="12" max="12" width="15.42578125" style="167" customWidth="1" collapsed="1"/>
    <col min="13" max="13" width="11.42578125" style="167" customWidth="1" collapsed="1"/>
    <col min="14" max="14" width="1.7109375" style="167" customWidth="1" collapsed="1"/>
    <col min="15" max="15" width="16.5703125" style="167" customWidth="1" collapsed="1"/>
    <col min="16" max="16" width="11.42578125" style="167" customWidth="1" collapsed="1"/>
    <col min="17" max="17" width="1.7109375" style="167" customWidth="1" collapsed="1"/>
    <col min="18" max="18" width="16.85546875" style="167" customWidth="1"/>
    <col min="19" max="19" width="11.42578125" style="167" customWidth="1"/>
    <col min="20" max="20" width="1.7109375" style="167" customWidth="1"/>
    <col min="21" max="21" width="16.28515625" style="167" customWidth="1" collapsed="1"/>
    <col min="22" max="33" width="11.42578125" style="167"/>
    <col min="34" max="34" width="11.42578125" style="167" collapsed="1"/>
    <col min="35" max="36" width="11.42578125" style="167"/>
    <col min="37" max="16384" width="11.42578125" style="167" collapsed="1"/>
  </cols>
  <sheetData>
    <row r="1" spans="1:22" s="163" customFormat="1" ht="14.1" customHeight="1" x14ac:dyDescent="0.2">
      <c r="A1" s="66"/>
      <c r="B1" s="484" t="s">
        <v>144</v>
      </c>
      <c r="C1" s="161"/>
      <c r="D1" s="162"/>
      <c r="E1" s="162"/>
      <c r="F1" s="162"/>
      <c r="V1" s="85" t="s">
        <v>118</v>
      </c>
    </row>
    <row r="2" spans="1:22" s="163" customFormat="1" ht="6.95" customHeight="1" x14ac:dyDescent="0.2">
      <c r="A2" s="66"/>
      <c r="B2" s="484"/>
      <c r="C2" s="161"/>
      <c r="D2" s="162"/>
      <c r="E2" s="162"/>
      <c r="F2" s="162"/>
    </row>
    <row r="3" spans="1:22" s="163" customFormat="1" ht="14.1" customHeight="1" x14ac:dyDescent="0.2">
      <c r="A3" s="66"/>
      <c r="B3" s="484" t="s">
        <v>142</v>
      </c>
      <c r="C3" s="164"/>
      <c r="D3" s="164"/>
      <c r="E3" s="164"/>
      <c r="F3" s="164"/>
      <c r="G3" s="164"/>
    </row>
    <row r="4" spans="1:22" s="163" customFormat="1" ht="6.95" customHeight="1" x14ac:dyDescent="0.2">
      <c r="A4" s="66"/>
      <c r="B4" s="484"/>
      <c r="C4" s="161"/>
      <c r="D4" s="161"/>
      <c r="E4" s="161"/>
      <c r="F4" s="161"/>
    </row>
    <row r="5" spans="1:22" s="163" customFormat="1" ht="20.100000000000001" customHeight="1" x14ac:dyDescent="0.2">
      <c r="A5" s="66"/>
      <c r="B5" s="531" t="s">
        <v>58</v>
      </c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70"/>
      <c r="V5" s="75" t="s">
        <v>90</v>
      </c>
    </row>
    <row r="6" spans="1:22" ht="6" customHeight="1" x14ac:dyDescent="0.2">
      <c r="A6" s="66"/>
      <c r="B6" s="165"/>
      <c r="C6" s="532"/>
      <c r="D6" s="532"/>
      <c r="E6" s="532"/>
      <c r="F6" s="533"/>
      <c r="G6" s="533"/>
      <c r="H6" s="533"/>
      <c r="I6" s="533"/>
      <c r="J6" s="533"/>
      <c r="K6" s="533"/>
      <c r="L6" s="533"/>
      <c r="M6" s="534"/>
      <c r="N6" s="534"/>
      <c r="O6" s="534"/>
      <c r="P6" s="166"/>
    </row>
    <row r="7" spans="1:22" ht="15" customHeight="1" x14ac:dyDescent="0.2">
      <c r="A7" s="66"/>
      <c r="B7" s="535" t="s">
        <v>22</v>
      </c>
      <c r="C7" s="535"/>
      <c r="D7" s="538" t="s">
        <v>23</v>
      </c>
      <c r="E7" s="168"/>
      <c r="F7" s="530" t="s">
        <v>59</v>
      </c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</row>
    <row r="8" spans="1:22" ht="27" customHeight="1" x14ac:dyDescent="0.2">
      <c r="A8" s="66"/>
      <c r="B8" s="536"/>
      <c r="C8" s="536"/>
      <c r="D8" s="539"/>
      <c r="E8" s="169"/>
      <c r="F8" s="541" t="s">
        <v>60</v>
      </c>
      <c r="G8" s="541"/>
      <c r="H8" s="169"/>
      <c r="I8" s="541" t="s">
        <v>61</v>
      </c>
      <c r="J8" s="541"/>
      <c r="K8" s="170"/>
      <c r="L8" s="541" t="s">
        <v>77</v>
      </c>
      <c r="M8" s="541"/>
      <c r="N8" s="170"/>
      <c r="O8" s="530" t="s">
        <v>78</v>
      </c>
      <c r="P8" s="530"/>
      <c r="Q8" s="171"/>
      <c r="R8" s="530" t="s">
        <v>62</v>
      </c>
      <c r="S8" s="530"/>
      <c r="T8" s="171"/>
      <c r="U8" s="530" t="s">
        <v>19</v>
      </c>
      <c r="V8" s="530"/>
    </row>
    <row r="9" spans="1:22" ht="15" customHeight="1" x14ac:dyDescent="0.2">
      <c r="A9" s="12"/>
      <c r="B9" s="537"/>
      <c r="C9" s="537"/>
      <c r="D9" s="540"/>
      <c r="E9" s="172"/>
      <c r="F9" s="63" t="s">
        <v>13</v>
      </c>
      <c r="G9" s="63" t="s">
        <v>14</v>
      </c>
      <c r="H9" s="172"/>
      <c r="I9" s="63" t="s">
        <v>13</v>
      </c>
      <c r="J9" s="63" t="s">
        <v>14</v>
      </c>
      <c r="K9" s="173"/>
      <c r="L9" s="63" t="s">
        <v>13</v>
      </c>
      <c r="M9" s="63" t="s">
        <v>14</v>
      </c>
      <c r="N9" s="173"/>
      <c r="O9" s="63" t="s">
        <v>13</v>
      </c>
      <c r="P9" s="63" t="s">
        <v>14</v>
      </c>
      <c r="Q9" s="174"/>
      <c r="R9" s="63" t="s">
        <v>13</v>
      </c>
      <c r="S9" s="63" t="s">
        <v>14</v>
      </c>
      <c r="T9" s="174"/>
      <c r="U9" s="63" t="s">
        <v>13</v>
      </c>
      <c r="V9" s="63" t="s">
        <v>14</v>
      </c>
    </row>
    <row r="10" spans="1:22" ht="6" customHeight="1" x14ac:dyDescent="0.2">
      <c r="A10" s="67"/>
      <c r="B10" s="175"/>
      <c r="C10" s="175"/>
      <c r="D10" s="176"/>
      <c r="E10" s="176"/>
      <c r="F10" s="176"/>
      <c r="G10" s="170"/>
      <c r="H10" s="170"/>
      <c r="I10" s="177"/>
      <c r="J10" s="178"/>
      <c r="K10" s="178"/>
      <c r="L10" s="178"/>
      <c r="M10" s="178"/>
      <c r="N10" s="178"/>
      <c r="O10" s="178"/>
      <c r="P10" s="178"/>
    </row>
    <row r="11" spans="1:22" s="181" customFormat="1" ht="15" x14ac:dyDescent="0.2">
      <c r="A11" s="17"/>
      <c r="B11" s="10" t="s">
        <v>5</v>
      </c>
      <c r="C11" s="179"/>
      <c r="D11" s="159">
        <v>34855919.813209198</v>
      </c>
      <c r="E11" s="180"/>
      <c r="F11" s="159">
        <v>3033359.8583389702</v>
      </c>
      <c r="G11" s="159">
        <v>8.6208163343000006</v>
      </c>
      <c r="H11" s="180"/>
      <c r="I11" s="159">
        <v>4611161.9000468403</v>
      </c>
      <c r="J11" s="159">
        <v>13.109098536899999</v>
      </c>
      <c r="K11" s="50"/>
      <c r="L11" s="159">
        <v>9876651.0076369308</v>
      </c>
      <c r="M11" s="159">
        <v>28.098168363300001</v>
      </c>
      <c r="N11" s="180"/>
      <c r="O11" s="159">
        <v>7052443.6265788004</v>
      </c>
      <c r="P11" s="159">
        <v>20.055716118100001</v>
      </c>
      <c r="Q11" s="180"/>
      <c r="R11" s="159">
        <v>8442651.9904024601</v>
      </c>
      <c r="S11" s="159">
        <v>23.9856247532</v>
      </c>
      <c r="T11" s="51"/>
      <c r="U11" s="159">
        <v>1191430.34352226</v>
      </c>
      <c r="V11" s="159">
        <v>3.3846188312000001</v>
      </c>
    </row>
    <row r="12" spans="1:22" s="181" customFormat="1" ht="6" customHeight="1" x14ac:dyDescent="0.2">
      <c r="A12" s="11"/>
      <c r="B12" s="41"/>
      <c r="C12" s="179"/>
      <c r="D12" s="95"/>
      <c r="E12" s="180"/>
      <c r="F12" s="95"/>
      <c r="G12" s="96"/>
      <c r="H12" s="180"/>
      <c r="I12" s="95"/>
      <c r="J12" s="96"/>
      <c r="K12" s="50"/>
      <c r="L12" s="95"/>
      <c r="M12" s="96"/>
      <c r="N12" s="180"/>
      <c r="O12" s="95"/>
      <c r="P12" s="96"/>
      <c r="Q12" s="180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182"/>
      <c r="D13" s="160">
        <v>372194.10329856101</v>
      </c>
      <c r="E13" s="183"/>
      <c r="F13" s="160">
        <v>24242.880314907699</v>
      </c>
      <c r="G13" s="160">
        <v>6.4574361532999998</v>
      </c>
      <c r="H13" s="183"/>
      <c r="I13" s="160">
        <v>32097.265987249299</v>
      </c>
      <c r="J13" s="160">
        <v>8.3792160654999996</v>
      </c>
      <c r="K13" s="50"/>
      <c r="L13" s="160">
        <v>107193.914557399</v>
      </c>
      <c r="M13" s="160">
        <v>27.7120910806</v>
      </c>
      <c r="N13" s="183"/>
      <c r="O13" s="160">
        <v>67953.753225243694</v>
      </c>
      <c r="P13" s="160">
        <v>17.529711882499999</v>
      </c>
      <c r="Q13" s="183"/>
      <c r="R13" s="160">
        <v>79267.116716425793</v>
      </c>
      <c r="S13" s="160">
        <v>20.467066280899999</v>
      </c>
      <c r="T13" s="52"/>
      <c r="U13" s="160">
        <v>22057.3886208939</v>
      </c>
      <c r="V13" s="160">
        <v>5.7000954579999998</v>
      </c>
    </row>
    <row r="14" spans="1:22" ht="12.75" customHeight="1" x14ac:dyDescent="0.2">
      <c r="A14" s="11"/>
      <c r="B14" s="13" t="s">
        <v>27</v>
      </c>
      <c r="C14" s="182"/>
      <c r="D14" s="160">
        <v>1094323.1287738399</v>
      </c>
      <c r="E14" s="183"/>
      <c r="F14" s="160">
        <v>53698.618522707002</v>
      </c>
      <c r="G14" s="160">
        <v>4.6903786156000002</v>
      </c>
      <c r="H14" s="183"/>
      <c r="I14" s="160">
        <v>134220.387693864</v>
      </c>
      <c r="J14" s="160">
        <v>11.8609539255</v>
      </c>
      <c r="K14" s="50"/>
      <c r="L14" s="160">
        <v>382580.74785683601</v>
      </c>
      <c r="M14" s="160">
        <v>33.891283398699997</v>
      </c>
      <c r="N14" s="183"/>
      <c r="O14" s="160">
        <v>207478.71235504601</v>
      </c>
      <c r="P14" s="160">
        <v>18.276131801999998</v>
      </c>
      <c r="Q14" s="183"/>
      <c r="R14" s="160">
        <v>205502.56612403301</v>
      </c>
      <c r="S14" s="160">
        <v>18.066362565199999</v>
      </c>
      <c r="T14" s="52"/>
      <c r="U14" s="160">
        <v>7543.8511099458001</v>
      </c>
      <c r="V14" s="160">
        <v>0.65532880579999997</v>
      </c>
    </row>
    <row r="15" spans="1:22" ht="12.75" customHeight="1" x14ac:dyDescent="0.2">
      <c r="A15" s="12"/>
      <c r="B15" s="13" t="s">
        <v>28</v>
      </c>
      <c r="C15" s="182"/>
      <c r="D15" s="160">
        <v>227749.62097325901</v>
      </c>
      <c r="E15" s="183"/>
      <c r="F15" s="160">
        <v>38599.240015379401</v>
      </c>
      <c r="G15" s="160">
        <v>16.5886995195</v>
      </c>
      <c r="H15" s="183"/>
      <c r="I15" s="160">
        <v>40133.707887210498</v>
      </c>
      <c r="J15" s="160">
        <v>17.004016742699999</v>
      </c>
      <c r="K15" s="50"/>
      <c r="L15" s="160">
        <v>63408.494793292703</v>
      </c>
      <c r="M15" s="160">
        <v>26.265161706699999</v>
      </c>
      <c r="N15" s="183"/>
      <c r="O15" s="160">
        <v>25106.538931028099</v>
      </c>
      <c r="P15" s="160">
        <v>10.2266591692</v>
      </c>
      <c r="Q15" s="183"/>
      <c r="R15" s="160">
        <v>26330.153863382999</v>
      </c>
      <c r="S15" s="160">
        <v>10.654633346600001</v>
      </c>
      <c r="T15" s="52"/>
      <c r="U15" s="160">
        <v>8277.2288066465007</v>
      </c>
      <c r="V15" s="160">
        <v>3.4506964937000002</v>
      </c>
    </row>
    <row r="16" spans="1:22" ht="12.75" customHeight="1" x14ac:dyDescent="0.2">
      <c r="A16" s="12"/>
      <c r="B16" s="13" t="s">
        <v>29</v>
      </c>
      <c r="C16" s="182"/>
      <c r="D16" s="160">
        <v>241346.958106228</v>
      </c>
      <c r="E16" s="183"/>
      <c r="F16" s="160">
        <v>21802.9409830599</v>
      </c>
      <c r="G16" s="160">
        <v>8.7238663355000003</v>
      </c>
      <c r="H16" s="183"/>
      <c r="I16" s="160">
        <v>40047.229451224099</v>
      </c>
      <c r="J16" s="160">
        <v>15.9721452436</v>
      </c>
      <c r="K16" s="50"/>
      <c r="L16" s="160">
        <v>67133.723403955606</v>
      </c>
      <c r="M16" s="160">
        <v>26.6927124913</v>
      </c>
      <c r="N16" s="183"/>
      <c r="O16" s="160">
        <v>43904.935184171401</v>
      </c>
      <c r="P16" s="160">
        <v>17.208128012700001</v>
      </c>
      <c r="Q16" s="183"/>
      <c r="R16" s="160">
        <v>46933.246202761999</v>
      </c>
      <c r="S16" s="160">
        <v>18.550820287200001</v>
      </c>
      <c r="T16" s="52"/>
      <c r="U16" s="160">
        <v>7127.4010513309004</v>
      </c>
      <c r="V16" s="160">
        <v>2.7968822653999998</v>
      </c>
    </row>
    <row r="17" spans="1:22" ht="12.75" customHeight="1" x14ac:dyDescent="0.2">
      <c r="A17" s="12"/>
      <c r="B17" s="13" t="s">
        <v>30</v>
      </c>
      <c r="C17" s="182"/>
      <c r="D17" s="128">
        <v>873188.10795798199</v>
      </c>
      <c r="E17" s="183"/>
      <c r="F17" s="128">
        <v>52419.886949162399</v>
      </c>
      <c r="G17" s="128">
        <v>5.8078334824000004</v>
      </c>
      <c r="H17" s="183"/>
      <c r="I17" s="128">
        <v>74626.812715922104</v>
      </c>
      <c r="J17" s="128">
        <v>8.2957287248</v>
      </c>
      <c r="K17" s="50"/>
      <c r="L17" s="128">
        <v>231672.73574841701</v>
      </c>
      <c r="M17" s="128">
        <v>25.647749033</v>
      </c>
      <c r="N17" s="183"/>
      <c r="O17" s="128">
        <v>161426.25463579301</v>
      </c>
      <c r="P17" s="128">
        <v>17.8368360869</v>
      </c>
      <c r="Q17" s="183"/>
      <c r="R17" s="128">
        <v>222778.57259889899</v>
      </c>
      <c r="S17" s="128">
        <v>24.817091554099999</v>
      </c>
      <c r="T17" s="53"/>
      <c r="U17" s="128">
        <v>44108.626891311898</v>
      </c>
      <c r="V17" s="128">
        <v>4.9243209834000004</v>
      </c>
    </row>
    <row r="18" spans="1:22" ht="12.75" customHeight="1" x14ac:dyDescent="0.2">
      <c r="A18" s="21"/>
      <c r="B18" s="13" t="s">
        <v>31</v>
      </c>
      <c r="C18" s="182"/>
      <c r="D18" s="128">
        <v>215342.98131561599</v>
      </c>
      <c r="E18" s="183"/>
      <c r="F18" s="128">
        <v>16894.223334434799</v>
      </c>
      <c r="G18" s="128">
        <v>7.4637451428999997</v>
      </c>
      <c r="H18" s="183"/>
      <c r="I18" s="128">
        <v>25907.591388066001</v>
      </c>
      <c r="J18" s="128">
        <v>11.4320356929</v>
      </c>
      <c r="K18" s="50"/>
      <c r="L18" s="128">
        <v>66390.072527785698</v>
      </c>
      <c r="M18" s="128">
        <v>29.633562489900001</v>
      </c>
      <c r="N18" s="183"/>
      <c r="O18" s="128">
        <v>40515.4738735348</v>
      </c>
      <c r="P18" s="128">
        <v>17.982568693099999</v>
      </c>
      <c r="Q18" s="183"/>
      <c r="R18" s="128">
        <v>34464.584372032397</v>
      </c>
      <c r="S18" s="128">
        <v>15.0892451338</v>
      </c>
      <c r="T18" s="53"/>
      <c r="U18" s="128">
        <v>8206.5044338486005</v>
      </c>
      <c r="V18" s="128">
        <v>3.5959748477</v>
      </c>
    </row>
    <row r="19" spans="1:22" ht="12.75" customHeight="1" x14ac:dyDescent="0.2">
      <c r="A19" s="21"/>
      <c r="B19" s="13" t="s">
        <v>32</v>
      </c>
      <c r="C19" s="182"/>
      <c r="D19" s="160">
        <v>1307775.79723661</v>
      </c>
      <c r="E19" s="183"/>
      <c r="F19" s="160">
        <v>161905.52275306999</v>
      </c>
      <c r="G19" s="160">
        <v>11.7016026132</v>
      </c>
      <c r="H19" s="183"/>
      <c r="I19" s="160">
        <v>238862.96884448401</v>
      </c>
      <c r="J19" s="160">
        <v>17.504011739799999</v>
      </c>
      <c r="K19" s="50"/>
      <c r="L19" s="160">
        <v>378300.863621047</v>
      </c>
      <c r="M19" s="160">
        <v>27.233970128599999</v>
      </c>
      <c r="N19" s="183"/>
      <c r="O19" s="160">
        <v>217109.37576895699</v>
      </c>
      <c r="P19" s="160">
        <v>15.6974312802</v>
      </c>
      <c r="Q19" s="183"/>
      <c r="R19" s="160">
        <v>189016.30034025401</v>
      </c>
      <c r="S19" s="160">
        <v>13.9048524738</v>
      </c>
      <c r="T19" s="52"/>
      <c r="U19" s="160">
        <v>32981.048211123503</v>
      </c>
      <c r="V19" s="160">
        <v>2.3644698340999999</v>
      </c>
    </row>
    <row r="20" spans="1:22" ht="12.75" customHeight="1" x14ac:dyDescent="0.2">
      <c r="B20" s="13" t="s">
        <v>33</v>
      </c>
      <c r="C20" s="182"/>
      <c r="D20" s="160">
        <v>1106672.0927464101</v>
      </c>
      <c r="E20" s="183"/>
      <c r="F20" s="160">
        <v>42875.002434973801</v>
      </c>
      <c r="G20" s="160">
        <v>3.7968858499000002</v>
      </c>
      <c r="H20" s="183"/>
      <c r="I20" s="160">
        <v>94626.275953861899</v>
      </c>
      <c r="J20" s="160">
        <v>8.3804234164999993</v>
      </c>
      <c r="K20" s="50"/>
      <c r="L20" s="160">
        <v>332537.62741874403</v>
      </c>
      <c r="M20" s="160">
        <v>29.230743947499999</v>
      </c>
      <c r="N20" s="183"/>
      <c r="O20" s="160">
        <v>230905.50350590199</v>
      </c>
      <c r="P20" s="160">
        <v>20.2223033866</v>
      </c>
      <c r="Q20" s="183"/>
      <c r="R20" s="160">
        <v>263741.72455602698</v>
      </c>
      <c r="S20" s="160">
        <v>23.120784912200001</v>
      </c>
      <c r="T20" s="52"/>
      <c r="U20" s="160">
        <v>29101.165601644199</v>
      </c>
      <c r="V20" s="160">
        <v>2.5518583207000001</v>
      </c>
    </row>
    <row r="21" spans="1:22" ht="12.75" customHeight="1" x14ac:dyDescent="0.2">
      <c r="B21" s="13" t="s">
        <v>34</v>
      </c>
      <c r="C21" s="182"/>
      <c r="D21" s="160">
        <v>2637127.6507512201</v>
      </c>
      <c r="E21" s="183"/>
      <c r="F21" s="160">
        <v>70538.027155835196</v>
      </c>
      <c r="G21" s="160">
        <v>2.6154817829999999</v>
      </c>
      <c r="H21" s="183"/>
      <c r="I21" s="160">
        <v>197448.14247951499</v>
      </c>
      <c r="J21" s="160">
        <v>7.2840626925</v>
      </c>
      <c r="K21" s="50"/>
      <c r="L21" s="160">
        <v>494146.96300381899</v>
      </c>
      <c r="M21" s="160">
        <v>18.280842152799998</v>
      </c>
      <c r="N21" s="183"/>
      <c r="O21" s="160">
        <v>492470.16128912201</v>
      </c>
      <c r="P21" s="160">
        <v>18.208176842499999</v>
      </c>
      <c r="Q21" s="183"/>
      <c r="R21" s="160">
        <v>1033910.87371116</v>
      </c>
      <c r="S21" s="160">
        <v>38.138200868200002</v>
      </c>
      <c r="T21" s="52"/>
      <c r="U21" s="160">
        <v>143445.40667502</v>
      </c>
      <c r="V21" s="160">
        <v>5.3079437580000004</v>
      </c>
    </row>
    <row r="22" spans="1:22" ht="12.75" customHeight="1" x14ac:dyDescent="0.2">
      <c r="B22" s="13" t="s">
        <v>35</v>
      </c>
      <c r="C22" s="182"/>
      <c r="D22" s="160">
        <v>479890.75585837202</v>
      </c>
      <c r="E22" s="183"/>
      <c r="F22" s="160">
        <v>34279.8244701</v>
      </c>
      <c r="G22" s="160">
        <v>6.9179668082000001</v>
      </c>
      <c r="H22" s="183"/>
      <c r="I22" s="160">
        <v>48939.408125964299</v>
      </c>
      <c r="J22" s="160">
        <v>9.9271448775</v>
      </c>
      <c r="K22" s="50"/>
      <c r="L22" s="160">
        <v>118576.29133848</v>
      </c>
      <c r="M22" s="160">
        <v>23.977827259200001</v>
      </c>
      <c r="N22" s="183"/>
      <c r="O22" s="160">
        <v>92076.074693821094</v>
      </c>
      <c r="P22" s="160">
        <v>18.6006543843</v>
      </c>
      <c r="Q22" s="183"/>
      <c r="R22" s="160">
        <v>134703.25869722801</v>
      </c>
      <c r="S22" s="160">
        <v>26.992386266800001</v>
      </c>
      <c r="T22" s="52"/>
      <c r="U22" s="160">
        <v>11385.522484008699</v>
      </c>
      <c r="V22" s="160">
        <v>2.2733559035000002</v>
      </c>
    </row>
    <row r="23" spans="1:22" ht="12.75" customHeight="1" x14ac:dyDescent="0.2">
      <c r="B23" s="13" t="s">
        <v>36</v>
      </c>
      <c r="C23" s="182"/>
      <c r="D23" s="160">
        <v>1521466.9196536599</v>
      </c>
      <c r="E23" s="183"/>
      <c r="F23" s="160">
        <v>145451.37114281801</v>
      </c>
      <c r="G23" s="160">
        <v>9.4253341898999992</v>
      </c>
      <c r="H23" s="183"/>
      <c r="I23" s="160">
        <v>154503.59656699101</v>
      </c>
      <c r="J23" s="160">
        <v>9.7666278462000005</v>
      </c>
      <c r="K23" s="50"/>
      <c r="L23" s="160">
        <v>419810.21176390903</v>
      </c>
      <c r="M23" s="160">
        <v>26.6344128946</v>
      </c>
      <c r="N23" s="183"/>
      <c r="O23" s="160">
        <v>291910.632478474</v>
      </c>
      <c r="P23" s="160">
        <v>18.456060162299998</v>
      </c>
      <c r="Q23" s="183"/>
      <c r="R23" s="160">
        <v>315126.93740935798</v>
      </c>
      <c r="S23" s="160">
        <v>19.751508577500001</v>
      </c>
      <c r="T23" s="52"/>
      <c r="U23" s="160">
        <v>34883.4865852972</v>
      </c>
      <c r="V23" s="160">
        <v>2.1922388831999999</v>
      </c>
    </row>
    <row r="24" spans="1:22" ht="12.75" customHeight="1" x14ac:dyDescent="0.2">
      <c r="B24" s="13" t="s">
        <v>37</v>
      </c>
      <c r="C24" s="182"/>
      <c r="D24" s="160">
        <v>891088.45772531198</v>
      </c>
      <c r="E24" s="183"/>
      <c r="F24" s="160">
        <v>96832.261975853602</v>
      </c>
      <c r="G24" s="160">
        <v>10.3933954722</v>
      </c>
      <c r="H24" s="183"/>
      <c r="I24" s="160">
        <v>141555.44828415301</v>
      </c>
      <c r="J24" s="160">
        <v>15.4100540622</v>
      </c>
      <c r="K24" s="50"/>
      <c r="L24" s="160">
        <v>234175.757524343</v>
      </c>
      <c r="M24" s="160">
        <v>25.2793795083</v>
      </c>
      <c r="N24" s="183"/>
      <c r="O24" s="160">
        <v>171963.167497699</v>
      </c>
      <c r="P24" s="160">
        <v>18.6035274306</v>
      </c>
      <c r="Q24" s="183"/>
      <c r="R24" s="160">
        <v>170255.808890338</v>
      </c>
      <c r="S24" s="160">
        <v>18.387431755400002</v>
      </c>
      <c r="T24" s="52"/>
      <c r="U24" s="160">
        <v>16585.0284976738</v>
      </c>
      <c r="V24" s="160">
        <v>1.7633103574</v>
      </c>
    </row>
    <row r="25" spans="1:22" ht="12.75" customHeight="1" x14ac:dyDescent="0.2">
      <c r="B25" s="13" t="s">
        <v>38</v>
      </c>
      <c r="C25" s="182"/>
      <c r="D25" s="160">
        <v>816896.76724279101</v>
      </c>
      <c r="E25" s="183"/>
      <c r="F25" s="160">
        <v>75312.017065462103</v>
      </c>
      <c r="G25" s="160">
        <v>8.817642158</v>
      </c>
      <c r="H25" s="183"/>
      <c r="I25" s="160">
        <v>99681.526964527206</v>
      </c>
      <c r="J25" s="160">
        <v>11.737507962600001</v>
      </c>
      <c r="K25" s="50"/>
      <c r="L25" s="160">
        <v>225475.78177609199</v>
      </c>
      <c r="M25" s="160">
        <v>26.731662767900001</v>
      </c>
      <c r="N25" s="183"/>
      <c r="O25" s="160">
        <v>165141.302029902</v>
      </c>
      <c r="P25" s="160">
        <v>19.514584735</v>
      </c>
      <c r="Q25" s="183"/>
      <c r="R25" s="160">
        <v>163205.12075510499</v>
      </c>
      <c r="S25" s="160">
        <v>19.264444718099998</v>
      </c>
      <c r="T25" s="52"/>
      <c r="U25" s="160">
        <v>21061.408922133302</v>
      </c>
      <c r="V25" s="160">
        <v>2.4767755366999999</v>
      </c>
    </row>
    <row r="26" spans="1:22" ht="12.75" customHeight="1" x14ac:dyDescent="0.2">
      <c r="B26" s="13" t="s">
        <v>39</v>
      </c>
      <c r="C26" s="182"/>
      <c r="D26" s="160">
        <v>2214619.12347756</v>
      </c>
      <c r="E26" s="183"/>
      <c r="F26" s="160">
        <v>73051.230192502495</v>
      </c>
      <c r="G26" s="160">
        <v>3.1842068232999998</v>
      </c>
      <c r="H26" s="183"/>
      <c r="I26" s="160">
        <v>268874.47663842601</v>
      </c>
      <c r="J26" s="160">
        <v>11.698996229900001</v>
      </c>
      <c r="K26" s="50"/>
      <c r="L26" s="160">
        <v>649726.16027660598</v>
      </c>
      <c r="M26" s="160">
        <v>28.444598908100001</v>
      </c>
      <c r="N26" s="183"/>
      <c r="O26" s="160">
        <v>410732.18789420399</v>
      </c>
      <c r="P26" s="160">
        <v>18.033650463400001</v>
      </c>
      <c r="Q26" s="183"/>
      <c r="R26" s="160">
        <v>587715.91159973305</v>
      </c>
      <c r="S26" s="160">
        <v>25.666622385699998</v>
      </c>
      <c r="T26" s="52"/>
      <c r="U26" s="160">
        <v>25883.855668383101</v>
      </c>
      <c r="V26" s="160">
        <v>1.1201828306999999</v>
      </c>
    </row>
    <row r="27" spans="1:22" ht="12.75" customHeight="1" x14ac:dyDescent="0.2">
      <c r="B27" s="13" t="s">
        <v>40</v>
      </c>
      <c r="C27" s="182"/>
      <c r="D27" s="160">
        <v>4367842.1895668004</v>
      </c>
      <c r="E27" s="183"/>
      <c r="F27" s="160">
        <v>282795.649704143</v>
      </c>
      <c r="G27" s="160">
        <v>6.1601021999999999</v>
      </c>
      <c r="H27" s="183"/>
      <c r="I27" s="160">
        <v>414777.33931613201</v>
      </c>
      <c r="J27" s="160">
        <v>9.0333473087999998</v>
      </c>
      <c r="K27" s="50"/>
      <c r="L27" s="160">
        <v>1068151.99651795</v>
      </c>
      <c r="M27" s="160">
        <v>23.562337968000001</v>
      </c>
      <c r="N27" s="183"/>
      <c r="O27" s="160">
        <v>970953.29462408496</v>
      </c>
      <c r="P27" s="160">
        <v>21.376557422000001</v>
      </c>
      <c r="Q27" s="183"/>
      <c r="R27" s="160">
        <v>1018118.79035939</v>
      </c>
      <c r="S27" s="160">
        <v>22.34865774</v>
      </c>
      <c r="T27" s="52"/>
      <c r="U27" s="160">
        <v>270625.64075563598</v>
      </c>
      <c r="V27" s="160">
        <v>5.9241454397000002</v>
      </c>
    </row>
    <row r="28" spans="1:22" ht="12.75" customHeight="1" x14ac:dyDescent="0.2">
      <c r="B28" s="13" t="s">
        <v>41</v>
      </c>
      <c r="C28" s="182"/>
      <c r="D28" s="160">
        <v>1209066.2014425499</v>
      </c>
      <c r="E28" s="183"/>
      <c r="F28" s="160">
        <v>103147.822964056</v>
      </c>
      <c r="G28" s="160">
        <v>8.0331048276000008</v>
      </c>
      <c r="H28" s="183"/>
      <c r="I28" s="160">
        <v>179080.683641179</v>
      </c>
      <c r="J28" s="160">
        <v>14.129803089899999</v>
      </c>
      <c r="K28" s="50"/>
      <c r="L28" s="160">
        <v>323945.47433954198</v>
      </c>
      <c r="M28" s="160">
        <v>25.732616762700001</v>
      </c>
      <c r="N28" s="183"/>
      <c r="O28" s="160">
        <v>212457.81565426799</v>
      </c>
      <c r="P28" s="160">
        <v>16.740220372300001</v>
      </c>
      <c r="Q28" s="183"/>
      <c r="R28" s="160">
        <v>280735.29795874603</v>
      </c>
      <c r="S28" s="160">
        <v>22.229067599499999</v>
      </c>
      <c r="T28" s="52"/>
      <c r="U28" s="160">
        <v>12893.993014342501</v>
      </c>
      <c r="V28" s="160">
        <v>1.0200896802999999</v>
      </c>
    </row>
    <row r="29" spans="1:22" ht="12.75" customHeight="1" x14ac:dyDescent="0.2">
      <c r="B29" s="13" t="s">
        <v>42</v>
      </c>
      <c r="C29" s="182"/>
      <c r="D29" s="160">
        <v>543030.77389932098</v>
      </c>
      <c r="E29" s="183"/>
      <c r="F29" s="160">
        <v>34267.429204646003</v>
      </c>
      <c r="G29" s="160">
        <v>6.0198561995000004</v>
      </c>
      <c r="H29" s="183"/>
      <c r="I29" s="160">
        <v>62673.890879408602</v>
      </c>
      <c r="J29" s="160">
        <v>10.863974883599999</v>
      </c>
      <c r="K29" s="50"/>
      <c r="L29" s="160">
        <v>126605.404598298</v>
      </c>
      <c r="M29" s="160">
        <v>22.3180449774</v>
      </c>
      <c r="N29" s="183"/>
      <c r="O29" s="160">
        <v>115529.61600644801</v>
      </c>
      <c r="P29" s="160">
        <v>20.423283259400002</v>
      </c>
      <c r="Q29" s="183"/>
      <c r="R29" s="160">
        <v>144506.16035983199</v>
      </c>
      <c r="S29" s="160">
        <v>25.8730541748</v>
      </c>
      <c r="T29" s="52"/>
      <c r="U29" s="160">
        <v>20184.690919137</v>
      </c>
      <c r="V29" s="160">
        <v>3.5014391348</v>
      </c>
    </row>
    <row r="30" spans="1:22" ht="12.75" customHeight="1" x14ac:dyDescent="0.2">
      <c r="B30" s="13" t="s">
        <v>43</v>
      </c>
      <c r="C30" s="182"/>
      <c r="D30" s="160">
        <v>343386.664223017</v>
      </c>
      <c r="E30" s="183"/>
      <c r="F30" s="160">
        <v>28437.334760723101</v>
      </c>
      <c r="G30" s="160">
        <v>7.9780123407000003</v>
      </c>
      <c r="H30" s="183"/>
      <c r="I30" s="160">
        <v>47042.568217913104</v>
      </c>
      <c r="J30" s="160">
        <v>13.282542659400001</v>
      </c>
      <c r="K30" s="50"/>
      <c r="L30" s="160">
        <v>84063.484919573195</v>
      </c>
      <c r="M30" s="160">
        <v>23.532862541499998</v>
      </c>
      <c r="N30" s="183"/>
      <c r="O30" s="160">
        <v>62161.536720520096</v>
      </c>
      <c r="P30" s="160">
        <v>17.4104413552</v>
      </c>
      <c r="Q30" s="183"/>
      <c r="R30" s="160">
        <v>79261.247780328398</v>
      </c>
      <c r="S30" s="160">
        <v>22.1496268647</v>
      </c>
      <c r="T30" s="52"/>
      <c r="U30" s="160">
        <v>8486.1636636833991</v>
      </c>
      <c r="V30" s="160">
        <v>2.3674861004999999</v>
      </c>
    </row>
    <row r="31" spans="1:22" ht="12.75" customHeight="1" x14ac:dyDescent="0.2">
      <c r="B31" s="13" t="s">
        <v>44</v>
      </c>
      <c r="C31" s="182"/>
      <c r="D31" s="160">
        <v>1584392.1221822</v>
      </c>
      <c r="E31" s="183"/>
      <c r="F31" s="160">
        <v>95650.083494783103</v>
      </c>
      <c r="G31" s="160">
        <v>5.8027415080999996</v>
      </c>
      <c r="H31" s="183"/>
      <c r="I31" s="160">
        <v>188062.52000010799</v>
      </c>
      <c r="J31" s="160">
        <v>11.7274226993</v>
      </c>
      <c r="K31" s="50"/>
      <c r="L31" s="160">
        <v>385238.215969774</v>
      </c>
      <c r="M31" s="160">
        <v>23.458093000400002</v>
      </c>
      <c r="N31" s="183"/>
      <c r="O31" s="160">
        <v>307852.90563084302</v>
      </c>
      <c r="P31" s="160">
        <v>18.432952484499999</v>
      </c>
      <c r="Q31" s="183"/>
      <c r="R31" s="160">
        <v>398114.016491519</v>
      </c>
      <c r="S31" s="160">
        <v>23.730583766300001</v>
      </c>
      <c r="T31" s="52"/>
      <c r="U31" s="160">
        <v>23462.3938371107</v>
      </c>
      <c r="V31" s="160">
        <v>1.4043842401</v>
      </c>
    </row>
    <row r="32" spans="1:22" ht="12.75" customHeight="1" x14ac:dyDescent="0.2">
      <c r="B32" s="13" t="s">
        <v>45</v>
      </c>
      <c r="C32" s="182"/>
      <c r="D32" s="160">
        <v>1033276.02380439</v>
      </c>
      <c r="E32" s="183"/>
      <c r="F32" s="160">
        <v>120453.420061165</v>
      </c>
      <c r="G32" s="160">
        <v>11.1493530526</v>
      </c>
      <c r="H32" s="183"/>
      <c r="I32" s="160">
        <v>159298.29356934101</v>
      </c>
      <c r="J32" s="160">
        <v>14.712445089599999</v>
      </c>
      <c r="K32" s="50"/>
      <c r="L32" s="160">
        <v>294519.87122898601</v>
      </c>
      <c r="M32" s="160">
        <v>26.714305017200001</v>
      </c>
      <c r="N32" s="183"/>
      <c r="O32" s="160">
        <v>183155.94375489399</v>
      </c>
      <c r="P32" s="160">
        <v>16.8374637109</v>
      </c>
      <c r="Q32" s="183"/>
      <c r="R32" s="160">
        <v>180010.29891107601</v>
      </c>
      <c r="S32" s="160">
        <v>16.506039990600001</v>
      </c>
      <c r="T32" s="52"/>
      <c r="U32" s="160">
        <v>25940.213333201202</v>
      </c>
      <c r="V32" s="160">
        <v>2.3953454715000002</v>
      </c>
    </row>
    <row r="33" spans="2:22" ht="12.75" customHeight="1" x14ac:dyDescent="0.2">
      <c r="B33" s="13" t="s">
        <v>46</v>
      </c>
      <c r="C33" s="182"/>
      <c r="D33" s="160">
        <v>1616705.1047259199</v>
      </c>
      <c r="E33" s="183"/>
      <c r="F33" s="160">
        <v>143190.17240602701</v>
      </c>
      <c r="G33" s="160">
        <v>8.5070612049999994</v>
      </c>
      <c r="H33" s="183"/>
      <c r="I33" s="160">
        <v>239189.11218895501</v>
      </c>
      <c r="J33" s="160">
        <v>14.376022924700001</v>
      </c>
      <c r="K33" s="50"/>
      <c r="L33" s="160">
        <v>493813.302228796</v>
      </c>
      <c r="M33" s="160">
        <v>29.621866575599999</v>
      </c>
      <c r="N33" s="183"/>
      <c r="O33" s="160">
        <v>301658.95375978702</v>
      </c>
      <c r="P33" s="160">
        <v>17.659774956100001</v>
      </c>
      <c r="Q33" s="183"/>
      <c r="R33" s="160">
        <v>298290.19715262699</v>
      </c>
      <c r="S33" s="160">
        <v>17.366336237900001</v>
      </c>
      <c r="T33" s="52"/>
      <c r="U33" s="160">
        <v>26835.570705901901</v>
      </c>
      <c r="V33" s="160">
        <v>1.5684597656999999</v>
      </c>
    </row>
    <row r="34" spans="2:22" ht="12.75" customHeight="1" x14ac:dyDescent="0.2">
      <c r="B34" s="13" t="s">
        <v>47</v>
      </c>
      <c r="C34" s="182"/>
      <c r="D34" s="160">
        <v>608432.00766038802</v>
      </c>
      <c r="E34" s="183"/>
      <c r="F34" s="160">
        <v>54934.046553318403</v>
      </c>
      <c r="G34" s="160">
        <v>8.5865603455000006</v>
      </c>
      <c r="H34" s="183"/>
      <c r="I34" s="160">
        <v>89545.981731868</v>
      </c>
      <c r="J34" s="160">
        <v>14.2235650939</v>
      </c>
      <c r="K34" s="50"/>
      <c r="L34" s="160">
        <v>186896.76156277099</v>
      </c>
      <c r="M34" s="160">
        <v>29.249724431800001</v>
      </c>
      <c r="N34" s="183"/>
      <c r="O34" s="160">
        <v>112195.786675244</v>
      </c>
      <c r="P34" s="160">
        <v>17.121737183800001</v>
      </c>
      <c r="Q34" s="183"/>
      <c r="R34" s="160">
        <v>100594.842363074</v>
      </c>
      <c r="S34" s="160">
        <v>15.159821623299999</v>
      </c>
      <c r="T34" s="52"/>
      <c r="U34" s="160">
        <v>10077.032820688901</v>
      </c>
      <c r="V34" s="160">
        <v>1.5069269837000001</v>
      </c>
    </row>
    <row r="35" spans="2:22" ht="12.75" customHeight="1" x14ac:dyDescent="0.2">
      <c r="B35" s="13" t="s">
        <v>48</v>
      </c>
      <c r="C35" s="182"/>
      <c r="D35" s="160">
        <v>522330.00393641897</v>
      </c>
      <c r="E35" s="183"/>
      <c r="F35" s="160">
        <v>66945.984636950001</v>
      </c>
      <c r="G35" s="160">
        <v>12.4366285026</v>
      </c>
      <c r="H35" s="183"/>
      <c r="I35" s="160">
        <v>84352.109946615805</v>
      </c>
      <c r="J35" s="160">
        <v>15.8263721834</v>
      </c>
      <c r="K35" s="50"/>
      <c r="L35" s="160">
        <v>169205.080125437</v>
      </c>
      <c r="M35" s="160">
        <v>30.244427028600001</v>
      </c>
      <c r="N35" s="183"/>
      <c r="O35" s="160">
        <v>81007.918505497699</v>
      </c>
      <c r="P35" s="160">
        <v>14.3031590733</v>
      </c>
      <c r="Q35" s="183"/>
      <c r="R35" s="160">
        <v>36791.080554859996</v>
      </c>
      <c r="S35" s="160">
        <v>6.4561465016000001</v>
      </c>
      <c r="T35" s="54"/>
      <c r="U35" s="160">
        <v>29171.640061468501</v>
      </c>
      <c r="V35" s="160">
        <v>5.1891179795999998</v>
      </c>
    </row>
    <row r="36" spans="2:22" ht="12.75" customHeight="1" x14ac:dyDescent="0.2">
      <c r="B36" s="13" t="s">
        <v>49</v>
      </c>
      <c r="C36" s="182"/>
      <c r="D36" s="160">
        <v>747363.50613859505</v>
      </c>
      <c r="E36" s="183"/>
      <c r="F36" s="160">
        <v>37387.116970996802</v>
      </c>
      <c r="G36" s="160">
        <v>4.8457266057000004</v>
      </c>
      <c r="H36" s="183"/>
      <c r="I36" s="160">
        <v>72651.107785141605</v>
      </c>
      <c r="J36" s="160">
        <v>9.5105692974</v>
      </c>
      <c r="K36" s="50"/>
      <c r="L36" s="160">
        <v>217469.291503124</v>
      </c>
      <c r="M36" s="160">
        <v>28.393377945200001</v>
      </c>
      <c r="N36" s="183"/>
      <c r="O36" s="160">
        <v>145805.218017576</v>
      </c>
      <c r="P36" s="160">
        <v>18.910084365700001</v>
      </c>
      <c r="Q36" s="183"/>
      <c r="R36" s="160">
        <v>198877.753521076</v>
      </c>
      <c r="S36" s="160">
        <v>25.731615982699999</v>
      </c>
      <c r="T36" s="52"/>
      <c r="U36" s="160">
        <v>4093.0615265554002</v>
      </c>
      <c r="V36" s="160">
        <v>0.52922074379999995</v>
      </c>
    </row>
    <row r="37" spans="2:22" ht="12.75" customHeight="1" x14ac:dyDescent="0.2">
      <c r="B37" s="13" t="s">
        <v>50</v>
      </c>
      <c r="C37" s="182"/>
      <c r="D37" s="160">
        <v>830795.97160518297</v>
      </c>
      <c r="E37" s="183"/>
      <c r="F37" s="160">
        <v>53509.319255069997</v>
      </c>
      <c r="G37" s="160">
        <v>6.3525770130000003</v>
      </c>
      <c r="H37" s="183"/>
      <c r="I37" s="160">
        <v>91127.797925002495</v>
      </c>
      <c r="J37" s="160">
        <v>10.5687252287</v>
      </c>
      <c r="K37" s="50"/>
      <c r="L37" s="160">
        <v>220255.766054865</v>
      </c>
      <c r="M37" s="160">
        <v>25.536192440499999</v>
      </c>
      <c r="N37" s="183"/>
      <c r="O37" s="160">
        <v>185782.25795091799</v>
      </c>
      <c r="P37" s="160">
        <v>21.629574059999999</v>
      </c>
      <c r="Q37" s="183"/>
      <c r="R37" s="160">
        <v>187841.25028955899</v>
      </c>
      <c r="S37" s="160">
        <v>21.876631292799999</v>
      </c>
      <c r="T37" s="52"/>
      <c r="U37" s="160">
        <v>16863.532714008299</v>
      </c>
      <c r="V37" s="160">
        <v>1.9686964626000001</v>
      </c>
    </row>
    <row r="38" spans="2:22" ht="12.75" customHeight="1" x14ac:dyDescent="0.2">
      <c r="B38" s="13" t="s">
        <v>51</v>
      </c>
      <c r="C38" s="182"/>
      <c r="D38" s="160">
        <v>834239.32982548501</v>
      </c>
      <c r="E38" s="183"/>
      <c r="F38" s="160">
        <v>62108.561743270599</v>
      </c>
      <c r="G38" s="160">
        <v>7.2556162555999997</v>
      </c>
      <c r="H38" s="183"/>
      <c r="I38" s="160">
        <v>95953.091463971607</v>
      </c>
      <c r="J38" s="160">
        <v>11.2070684113</v>
      </c>
      <c r="K38" s="50"/>
      <c r="L38" s="160">
        <v>214109.44703166399</v>
      </c>
      <c r="M38" s="160">
        <v>24.445598550900002</v>
      </c>
      <c r="N38" s="183"/>
      <c r="O38" s="160">
        <v>166170.16385503201</v>
      </c>
      <c r="P38" s="160">
        <v>19.024464206600001</v>
      </c>
      <c r="Q38" s="52"/>
      <c r="R38" s="160">
        <v>214880.69638774701</v>
      </c>
      <c r="S38" s="160">
        <v>24.5840256557</v>
      </c>
      <c r="T38" s="52"/>
      <c r="U38" s="160">
        <v>5264.1178013802</v>
      </c>
      <c r="V38" s="160">
        <v>0.60487029800000003</v>
      </c>
    </row>
    <row r="39" spans="2:22" ht="12.75" customHeight="1" x14ac:dyDescent="0.2">
      <c r="B39" s="13" t="s">
        <v>52</v>
      </c>
      <c r="C39" s="182"/>
      <c r="D39" s="160">
        <v>641258.75840786798</v>
      </c>
      <c r="E39" s="183"/>
      <c r="F39" s="160">
        <v>75304.482228039793</v>
      </c>
      <c r="G39" s="160">
        <v>11.066206052</v>
      </c>
      <c r="H39" s="183"/>
      <c r="I39" s="160">
        <v>92967.711717168204</v>
      </c>
      <c r="J39" s="160">
        <v>13.640705004200001</v>
      </c>
      <c r="K39" s="50"/>
      <c r="L39" s="160">
        <v>162182.716452936</v>
      </c>
      <c r="M39" s="160">
        <v>24.350264639599999</v>
      </c>
      <c r="N39" s="183"/>
      <c r="O39" s="160">
        <v>130528.242742517</v>
      </c>
      <c r="P39" s="160">
        <v>19.7521879574</v>
      </c>
      <c r="Q39" s="183"/>
      <c r="R39" s="160">
        <v>125866.900166306</v>
      </c>
      <c r="S39" s="160">
        <v>18.8367855272</v>
      </c>
      <c r="T39" s="52"/>
      <c r="U39" s="160">
        <v>6760.0879099479998</v>
      </c>
      <c r="V39" s="160">
        <v>0.99661872799999995</v>
      </c>
    </row>
    <row r="40" spans="2:22" ht="12.75" customHeight="1" x14ac:dyDescent="0.2">
      <c r="B40" s="13" t="s">
        <v>53</v>
      </c>
      <c r="C40" s="182"/>
      <c r="D40" s="160">
        <v>1015984.05385471</v>
      </c>
      <c r="E40" s="183"/>
      <c r="F40" s="160">
        <v>94599.434359634004</v>
      </c>
      <c r="G40" s="160">
        <v>9.1584351475000005</v>
      </c>
      <c r="H40" s="183"/>
      <c r="I40" s="160">
        <v>102224.155875488</v>
      </c>
      <c r="J40" s="160">
        <v>9.8204141504999996</v>
      </c>
      <c r="K40" s="50"/>
      <c r="L40" s="160">
        <v>331933.167525789</v>
      </c>
      <c r="M40" s="160">
        <v>31.602656359600001</v>
      </c>
      <c r="N40" s="183"/>
      <c r="O40" s="160">
        <v>187138.72930155499</v>
      </c>
      <c r="P40" s="160">
        <v>17.735009175599998</v>
      </c>
      <c r="Q40" s="183"/>
      <c r="R40" s="160">
        <v>168324.942542506</v>
      </c>
      <c r="S40" s="160">
        <v>16.032337195899999</v>
      </c>
      <c r="T40" s="52"/>
      <c r="U40" s="160">
        <v>36318.187543671302</v>
      </c>
      <c r="V40" s="160">
        <v>3.4506621872999999</v>
      </c>
    </row>
    <row r="41" spans="2:22" ht="12.75" customHeight="1" x14ac:dyDescent="0.2">
      <c r="B41" s="13" t="s">
        <v>54</v>
      </c>
      <c r="C41" s="182"/>
      <c r="D41" s="160">
        <v>320821.61901722202</v>
      </c>
      <c r="E41" s="183"/>
      <c r="F41" s="160">
        <v>22981.6212917585</v>
      </c>
      <c r="G41" s="160">
        <v>6.9258542424999998</v>
      </c>
      <c r="H41" s="183"/>
      <c r="I41" s="160">
        <v>45229.972514289002</v>
      </c>
      <c r="J41" s="160">
        <v>13.6323799412</v>
      </c>
      <c r="K41" s="50"/>
      <c r="L41" s="160">
        <v>88295.088278248193</v>
      </c>
      <c r="M41" s="160">
        <v>26.615165494900001</v>
      </c>
      <c r="N41" s="183"/>
      <c r="O41" s="160">
        <v>61229.508041729299</v>
      </c>
      <c r="P41" s="160">
        <v>18.449308514399998</v>
      </c>
      <c r="Q41" s="183"/>
      <c r="R41" s="160">
        <v>76087.687533021803</v>
      </c>
      <c r="S41" s="160">
        <v>22.885220727899998</v>
      </c>
      <c r="T41" s="52"/>
      <c r="U41" s="160">
        <v>5935.6372218000997</v>
      </c>
      <c r="V41" s="160">
        <v>1.7773322380000001</v>
      </c>
    </row>
    <row r="42" spans="2:22" ht="12.75" customHeight="1" x14ac:dyDescent="0.2">
      <c r="B42" s="13" t="s">
        <v>55</v>
      </c>
      <c r="C42" s="182"/>
      <c r="D42" s="160">
        <v>2250780.00268341</v>
      </c>
      <c r="E42" s="183"/>
      <c r="F42" s="160">
        <v>213243.30720471899</v>
      </c>
      <c r="G42" s="160">
        <v>9.0614548104000008</v>
      </c>
      <c r="H42" s="183"/>
      <c r="I42" s="160">
        <v>316191.74246866198</v>
      </c>
      <c r="J42" s="160">
        <v>13.384587135</v>
      </c>
      <c r="K42" s="50"/>
      <c r="L42" s="160">
        <v>681107.65689309302</v>
      </c>
      <c r="M42" s="160">
        <v>29.294704062600001</v>
      </c>
      <c r="N42" s="183"/>
      <c r="O42" s="160">
        <v>395329.490162567</v>
      </c>
      <c r="P42" s="160">
        <v>17.082487628999999</v>
      </c>
      <c r="Q42" s="183"/>
      <c r="R42" s="160">
        <v>439732.178439827</v>
      </c>
      <c r="S42" s="160">
        <v>18.655351275000001</v>
      </c>
      <c r="T42" s="52"/>
      <c r="U42" s="160">
        <v>37656.6622183488</v>
      </c>
      <c r="V42" s="160">
        <v>1.589193343</v>
      </c>
    </row>
    <row r="43" spans="2:22" ht="12.75" customHeight="1" x14ac:dyDescent="0.2">
      <c r="B43" s="13" t="s">
        <v>56</v>
      </c>
      <c r="C43" s="182"/>
      <c r="D43" s="160">
        <v>623364.16859410505</v>
      </c>
      <c r="E43" s="183"/>
      <c r="F43" s="160">
        <v>52350.943297920101</v>
      </c>
      <c r="G43" s="160">
        <v>8.0930501225999993</v>
      </c>
      <c r="H43" s="183"/>
      <c r="I43" s="160">
        <v>84127.959145792702</v>
      </c>
      <c r="J43" s="160">
        <v>13.0174796915</v>
      </c>
      <c r="K43" s="50"/>
      <c r="L43" s="160">
        <v>173631.41746694301</v>
      </c>
      <c r="M43" s="160">
        <v>26.733760304400001</v>
      </c>
      <c r="N43" s="183"/>
      <c r="O43" s="160">
        <v>120166.970617984</v>
      </c>
      <c r="P43" s="160">
        <v>18.357186779999999</v>
      </c>
      <c r="Q43" s="183"/>
      <c r="R43" s="160">
        <v>126430.03203273199</v>
      </c>
      <c r="S43" s="160">
        <v>19.289498228300001</v>
      </c>
      <c r="T43" s="52"/>
      <c r="U43" s="160">
        <v>12652.450268685199</v>
      </c>
      <c r="V43" s="160">
        <v>1.9361784555999999</v>
      </c>
    </row>
    <row r="44" spans="2:22" ht="12.75" customHeight="1" x14ac:dyDescent="0.2">
      <c r="B44" s="13" t="s">
        <v>57</v>
      </c>
      <c r="C44" s="182"/>
      <c r="D44" s="160">
        <v>426144.52179644001</v>
      </c>
      <c r="E44" s="183"/>
      <c r="F44" s="160">
        <v>35782.6519374196</v>
      </c>
      <c r="G44" s="160">
        <v>8.0262048350999997</v>
      </c>
      <c r="H44" s="183"/>
      <c r="I44" s="160">
        <v>41994.035963175003</v>
      </c>
      <c r="J44" s="160">
        <v>9.3447313825999991</v>
      </c>
      <c r="K44" s="50"/>
      <c r="L44" s="160">
        <v>98106.959834681402</v>
      </c>
      <c r="M44" s="160">
        <v>21.840546526899999</v>
      </c>
      <c r="N44" s="183"/>
      <c r="O44" s="160">
        <v>74569.353039333</v>
      </c>
      <c r="P44" s="160">
        <v>16.7291132798</v>
      </c>
      <c r="Q44" s="183"/>
      <c r="R44" s="160">
        <v>133524.856612601</v>
      </c>
      <c r="S44" s="160">
        <v>30.249185014599998</v>
      </c>
      <c r="T44" s="52"/>
      <c r="U44" s="160">
        <v>7882.0071917423002</v>
      </c>
      <c r="V44" s="160">
        <v>1.7543461053</v>
      </c>
    </row>
    <row r="45" spans="2:22" ht="6" customHeight="1" x14ac:dyDescent="0.2">
      <c r="B45" s="14"/>
      <c r="C45" s="14"/>
      <c r="D45" s="4"/>
      <c r="E45" s="184"/>
      <c r="F45" s="4"/>
      <c r="G45" s="185"/>
      <c r="H45" s="185"/>
      <c r="I45" s="4"/>
      <c r="J45" s="185"/>
      <c r="K45" s="186"/>
      <c r="L45" s="4"/>
      <c r="M45" s="185"/>
      <c r="N45" s="187"/>
      <c r="O45" s="4"/>
      <c r="P45" s="185"/>
      <c r="Q45" s="185"/>
      <c r="R45" s="185"/>
      <c r="S45" s="185"/>
      <c r="T45" s="185"/>
      <c r="U45" s="185"/>
      <c r="V45" s="185"/>
    </row>
    <row r="46" spans="2:22" ht="6" customHeight="1" x14ac:dyDescent="0.2">
      <c r="B46" s="188"/>
      <c r="C46" s="189"/>
      <c r="D46" s="189"/>
      <c r="E46" s="189"/>
      <c r="F46" s="189"/>
      <c r="G46" s="190"/>
      <c r="H46" s="190"/>
      <c r="I46" s="190"/>
      <c r="J46" s="191"/>
      <c r="K46" s="191"/>
      <c r="L46" s="190"/>
      <c r="M46" s="191"/>
      <c r="N46" s="191"/>
      <c r="O46" s="188"/>
      <c r="P46" s="192"/>
      <c r="V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V48" s="1"/>
    </row>
    <row r="49" spans="22:22" ht="12.75" customHeight="1" x14ac:dyDescent="0.2">
      <c r="V49" s="1"/>
    </row>
    <row r="50" spans="22:22" ht="12.75" customHeight="1" x14ac:dyDescent="0.2">
      <c r="V50" s="1"/>
    </row>
    <row r="51" spans="22:22" ht="12.75" customHeight="1" x14ac:dyDescent="0.2">
      <c r="V51" s="1"/>
    </row>
    <row r="52" spans="22:22" ht="12.75" customHeight="1" x14ac:dyDescent="0.2">
      <c r="V52" s="1"/>
    </row>
    <row r="53" spans="22:22" ht="12.75" customHeight="1" x14ac:dyDescent="0.2">
      <c r="V53" s="1"/>
    </row>
    <row r="54" spans="22:22" ht="12.75" customHeight="1" x14ac:dyDescent="0.2">
      <c r="V54" s="1"/>
    </row>
    <row r="55" spans="22:22" ht="12.75" customHeight="1" x14ac:dyDescent="0.2">
      <c r="V55" s="1"/>
    </row>
    <row r="56" spans="22:22" ht="12.75" customHeight="1" x14ac:dyDescent="0.2">
      <c r="V56" s="1"/>
    </row>
    <row r="57" spans="22:22" ht="12.75" customHeight="1" x14ac:dyDescent="0.2">
      <c r="V57" s="1"/>
    </row>
    <row r="58" spans="22:22" ht="12.75" customHeight="1" x14ac:dyDescent="0.2">
      <c r="V58" s="1"/>
    </row>
    <row r="59" spans="22:22" ht="12.75" customHeight="1" x14ac:dyDescent="0.2">
      <c r="V59" s="1"/>
    </row>
    <row r="60" spans="22:22" ht="12.75" customHeight="1" x14ac:dyDescent="0.2">
      <c r="V60" s="1"/>
    </row>
    <row r="61" spans="22:22" ht="12.75" customHeight="1" x14ac:dyDescent="0.2">
      <c r="V61" s="1"/>
    </row>
    <row r="62" spans="22:22" ht="12.75" customHeight="1" x14ac:dyDescent="0.2">
      <c r="V62" s="1"/>
    </row>
    <row r="63" spans="22:22" ht="12.75" customHeight="1" x14ac:dyDescent="0.2">
      <c r="V63" s="1"/>
    </row>
    <row r="64" spans="22:22" ht="12.75" customHeight="1" x14ac:dyDescent="0.2">
      <c r="V64" s="1"/>
    </row>
    <row r="65" spans="22:22" ht="12.75" customHeight="1" x14ac:dyDescent="0.2">
      <c r="V65" s="1"/>
    </row>
    <row r="66" spans="22:22" ht="12.75" customHeight="1" x14ac:dyDescent="0.2">
      <c r="V66" s="1"/>
    </row>
    <row r="67" spans="22:22" ht="12.75" customHeight="1" x14ac:dyDescent="0.2">
      <c r="V67" s="1"/>
    </row>
    <row r="68" spans="22:22" ht="12.75" customHeight="1" x14ac:dyDescent="0.2">
      <c r="V68" s="1"/>
    </row>
    <row r="69" spans="22:22" ht="12.75" customHeight="1" x14ac:dyDescent="0.2">
      <c r="V69" s="1"/>
    </row>
    <row r="70" spans="22:22" ht="12.75" customHeight="1" x14ac:dyDescent="0.2">
      <c r="V70" s="1"/>
    </row>
    <row r="71" spans="22:22" ht="12.75" customHeight="1" x14ac:dyDescent="0.2">
      <c r="V71" s="1"/>
    </row>
    <row r="72" spans="22:22" ht="12.75" customHeight="1" x14ac:dyDescent="0.2">
      <c r="V72" s="1"/>
    </row>
    <row r="73" spans="22:22" ht="12.75" customHeight="1" x14ac:dyDescent="0.2">
      <c r="V73" s="1"/>
    </row>
    <row r="74" spans="22:22" ht="12.75" customHeight="1" x14ac:dyDescent="0.2">
      <c r="V74" s="1"/>
    </row>
    <row r="75" spans="22:22" ht="12.75" customHeight="1" x14ac:dyDescent="0.2">
      <c r="V75" s="1"/>
    </row>
    <row r="76" spans="22:22" ht="12.75" customHeight="1" x14ac:dyDescent="0.2">
      <c r="V76" s="1"/>
    </row>
    <row r="77" spans="22:22" ht="12.75" customHeight="1" x14ac:dyDescent="0.2">
      <c r="V77" s="1"/>
    </row>
    <row r="78" spans="22:22" ht="12.75" customHeight="1" x14ac:dyDescent="0.2">
      <c r="V78" s="1"/>
    </row>
    <row r="79" spans="22:22" ht="12.75" customHeight="1" x14ac:dyDescent="0.2">
      <c r="V79" s="1"/>
    </row>
    <row r="80" spans="22:22" ht="12.75" customHeight="1" x14ac:dyDescent="0.2">
      <c r="V80" s="1"/>
    </row>
    <row r="81" spans="22:22" ht="12.75" customHeight="1" x14ac:dyDescent="0.2">
      <c r="V81" s="1"/>
    </row>
    <row r="82" spans="22:22" ht="12.75" customHeight="1" x14ac:dyDescent="0.2">
      <c r="V82" s="1"/>
    </row>
    <row r="83" spans="22:22" ht="12.75" customHeight="1" x14ac:dyDescent="0.2">
      <c r="V83" s="1"/>
    </row>
    <row r="84" spans="22:22" ht="12.75" customHeight="1" x14ac:dyDescent="0.2">
      <c r="V84" s="1"/>
    </row>
    <row r="85" spans="22:22" ht="12.75" customHeight="1" x14ac:dyDescent="0.2">
      <c r="V85" s="1"/>
    </row>
    <row r="86" spans="22:22" ht="12.75" customHeight="1" x14ac:dyDescent="0.2">
      <c r="V86" s="1"/>
    </row>
    <row r="87" spans="22:22" ht="12.75" customHeight="1" x14ac:dyDescent="0.2">
      <c r="V87" s="1"/>
    </row>
    <row r="88" spans="22:22" ht="12.75" customHeight="1" x14ac:dyDescent="0.2">
      <c r="V88" s="1"/>
    </row>
    <row r="89" spans="22:22" ht="12.75" customHeight="1" x14ac:dyDescent="0.2">
      <c r="V89" s="1"/>
    </row>
    <row r="90" spans="22:22" ht="12.75" customHeight="1" x14ac:dyDescent="0.2">
      <c r="V90" s="1"/>
    </row>
    <row r="91" spans="22:22" ht="12.75" customHeight="1" x14ac:dyDescent="0.2">
      <c r="V91" s="1"/>
    </row>
    <row r="92" spans="22:22" ht="12.75" customHeight="1" x14ac:dyDescent="0.2">
      <c r="V92" s="1"/>
    </row>
    <row r="93" spans="22:22" ht="12.75" customHeight="1" x14ac:dyDescent="0.2">
      <c r="V93" s="1"/>
    </row>
    <row r="94" spans="22:22" ht="12.75" customHeight="1" x14ac:dyDescent="0.2">
      <c r="V94" s="1"/>
    </row>
    <row r="95" spans="22:22" ht="12.75" customHeight="1" x14ac:dyDescent="0.2">
      <c r="V95" s="1"/>
    </row>
    <row r="96" spans="22:22" ht="12.75" customHeight="1" x14ac:dyDescent="0.2">
      <c r="V96" s="1"/>
    </row>
    <row r="97" spans="22:22" ht="12.75" customHeight="1" x14ac:dyDescent="0.2">
      <c r="V97" s="1"/>
    </row>
  </sheetData>
  <mergeCells count="11">
    <mergeCell ref="U8:V8"/>
    <mergeCell ref="B5:T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C0D4F1C9-A4F2-4031-8EED-341E3CABB361}"/>
  </hyperlinks>
  <pageMargins left="0.70866141732283472" right="0.70866141732283472" top="0.59055118110236227" bottom="0.59055118110236227" header="0.23622047244094491" footer="0.23622047244094491"/>
  <pageSetup scale="55" orientation="landscape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C197-5AAE-46DE-B696-BD1CD9520569}">
  <dimension ref="A1:AH40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</cols>
  <sheetData>
    <row r="1" spans="1:34" s="69" customFormat="1" ht="14.1" customHeight="1" x14ac:dyDescent="0.2">
      <c r="A1" s="66"/>
      <c r="B1" s="484" t="s">
        <v>144</v>
      </c>
      <c r="C1" s="194"/>
      <c r="D1" s="195"/>
      <c r="E1" s="195"/>
      <c r="F1" s="195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</row>
    <row r="2" spans="1:34" s="69" customFormat="1" ht="6.95" customHeight="1" x14ac:dyDescent="0.2">
      <c r="A2" s="66"/>
      <c r="B2" s="484"/>
      <c r="C2" s="194"/>
      <c r="D2" s="195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34" s="69" customFormat="1" ht="14.1" customHeight="1" x14ac:dyDescent="0.2">
      <c r="A3" s="66"/>
      <c r="B3" s="484" t="s">
        <v>142</v>
      </c>
      <c r="C3" s="197"/>
      <c r="D3" s="197"/>
      <c r="E3" s="197"/>
      <c r="F3" s="197"/>
      <c r="G3" s="197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34" s="69" customFormat="1" ht="6.95" customHeight="1" x14ac:dyDescent="0.2">
      <c r="A4" s="66"/>
      <c r="B4" s="484"/>
      <c r="C4" s="194"/>
      <c r="D4" s="194"/>
      <c r="E4" s="194"/>
      <c r="F4" s="194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34" s="69" customFormat="1" ht="20.100000000000001" customHeight="1" x14ac:dyDescent="0.2">
      <c r="A5" s="66"/>
      <c r="B5" s="543" t="s">
        <v>63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70"/>
      <c r="V5" s="75" t="s">
        <v>91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</row>
    <row r="6" spans="1:34" ht="6" customHeight="1" x14ac:dyDescent="0.2">
      <c r="A6" s="66"/>
      <c r="B6" s="198"/>
      <c r="C6" s="544"/>
      <c r="D6" s="544"/>
      <c r="E6" s="544"/>
      <c r="F6" s="545"/>
      <c r="G6" s="545"/>
      <c r="H6" s="545"/>
      <c r="I6" s="545"/>
      <c r="J6" s="545"/>
      <c r="K6" s="545"/>
      <c r="L6" s="545"/>
      <c r="M6" s="546"/>
      <c r="N6" s="546"/>
      <c r="O6" s="546"/>
      <c r="P6" s="546"/>
      <c r="Q6" s="546"/>
      <c r="R6" s="546"/>
      <c r="S6" s="199"/>
      <c r="T6" s="200"/>
      <c r="U6" s="200"/>
      <c r="V6" s="200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">
      <c r="A7" s="66"/>
      <c r="B7" s="547" t="s">
        <v>1</v>
      </c>
      <c r="C7" s="547"/>
      <c r="D7" s="550" t="s">
        <v>23</v>
      </c>
      <c r="E7" s="201"/>
      <c r="F7" s="542" t="s">
        <v>59</v>
      </c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7.75" customHeight="1" x14ac:dyDescent="0.2">
      <c r="A8" s="66"/>
      <c r="B8" s="548"/>
      <c r="C8" s="548"/>
      <c r="D8" s="551"/>
      <c r="E8" s="202"/>
      <c r="F8" s="553" t="s">
        <v>60</v>
      </c>
      <c r="G8" s="553"/>
      <c r="H8" s="202"/>
      <c r="I8" s="553" t="s">
        <v>61</v>
      </c>
      <c r="J8" s="553"/>
      <c r="K8" s="203"/>
      <c r="L8" s="553" t="s">
        <v>77</v>
      </c>
      <c r="M8" s="553"/>
      <c r="N8" s="203"/>
      <c r="O8" s="542" t="s">
        <v>78</v>
      </c>
      <c r="P8" s="542"/>
      <c r="Q8" s="203"/>
      <c r="R8" s="542" t="s">
        <v>62</v>
      </c>
      <c r="S8" s="542"/>
      <c r="T8" s="204"/>
      <c r="U8" s="542" t="s">
        <v>19</v>
      </c>
      <c r="V8" s="542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 x14ac:dyDescent="0.2">
      <c r="A9" s="12"/>
      <c r="B9" s="549"/>
      <c r="C9" s="549"/>
      <c r="D9" s="552"/>
      <c r="E9" s="205"/>
      <c r="F9" s="64" t="s">
        <v>13</v>
      </c>
      <c r="G9" s="64" t="s">
        <v>14</v>
      </c>
      <c r="H9" s="205"/>
      <c r="I9" s="64" t="s">
        <v>13</v>
      </c>
      <c r="J9" s="64" t="s">
        <v>14</v>
      </c>
      <c r="K9" s="206"/>
      <c r="L9" s="64" t="s">
        <v>13</v>
      </c>
      <c r="M9" s="64" t="s">
        <v>14</v>
      </c>
      <c r="N9" s="206"/>
      <c r="O9" s="64" t="s">
        <v>13</v>
      </c>
      <c r="P9" s="64" t="s">
        <v>14</v>
      </c>
      <c r="Q9" s="206"/>
      <c r="R9" s="64" t="s">
        <v>13</v>
      </c>
      <c r="S9" s="64" t="s">
        <v>14</v>
      </c>
      <c r="T9" s="207"/>
      <c r="U9" s="64" t="s">
        <v>13</v>
      </c>
      <c r="V9" s="64" t="s">
        <v>14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6" customHeight="1" x14ac:dyDescent="0.2">
      <c r="A10" s="67"/>
      <c r="B10" s="208"/>
      <c r="C10" s="208"/>
      <c r="D10" s="209"/>
      <c r="E10" s="209"/>
      <c r="F10" s="209"/>
      <c r="G10" s="203"/>
      <c r="H10" s="203"/>
      <c r="I10" s="210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00"/>
      <c r="U10" s="200"/>
      <c r="V10" s="200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2">
      <c r="A11" s="17"/>
      <c r="B11" s="37" t="s">
        <v>5</v>
      </c>
      <c r="C11" s="212"/>
      <c r="D11" s="159">
        <v>34855919.813209198</v>
      </c>
      <c r="E11" s="213"/>
      <c r="F11" s="159">
        <v>3033359.8583389702</v>
      </c>
      <c r="G11" s="159">
        <v>8.6208163343000006</v>
      </c>
      <c r="H11" s="213"/>
      <c r="I11" s="159">
        <v>4611161.9000468403</v>
      </c>
      <c r="J11" s="159">
        <v>13.109098536899999</v>
      </c>
      <c r="K11" s="50"/>
      <c r="L11" s="159">
        <v>9876651.0076369308</v>
      </c>
      <c r="M11" s="159">
        <v>28.098168363300001</v>
      </c>
      <c r="N11" s="213"/>
      <c r="O11" s="159">
        <v>7052443.6265788004</v>
      </c>
      <c r="P11" s="159">
        <v>20.055716118100001</v>
      </c>
      <c r="Q11" s="213"/>
      <c r="R11" s="159">
        <v>8442651.9904024601</v>
      </c>
      <c r="S11" s="159">
        <v>23.9856247532</v>
      </c>
      <c r="T11" s="51"/>
      <c r="U11" s="159">
        <v>1191430.34352226</v>
      </c>
      <c r="V11" s="159">
        <v>3.3846188312000001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9" customHeight="1" x14ac:dyDescent="0.2">
      <c r="A12" s="11"/>
      <c r="B12" s="38"/>
      <c r="C12" s="212"/>
      <c r="D12" s="95"/>
      <c r="E12" s="213"/>
      <c r="F12" s="95"/>
      <c r="G12" s="96"/>
      <c r="H12" s="213"/>
      <c r="I12" s="95"/>
      <c r="J12" s="96"/>
      <c r="K12" s="50"/>
      <c r="L12" s="95"/>
      <c r="M12" s="96"/>
      <c r="N12" s="213"/>
      <c r="O12" s="95"/>
      <c r="P12" s="96"/>
      <c r="Q12" s="213"/>
      <c r="R12" s="95"/>
      <c r="S12" s="96"/>
      <c r="T12" s="50"/>
      <c r="U12" s="95"/>
      <c r="V12" s="96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2.75" customHeight="1" x14ac:dyDescent="0.2">
      <c r="A13" s="11"/>
      <c r="B13" s="22" t="s">
        <v>6</v>
      </c>
      <c r="C13" s="214"/>
      <c r="D13" s="160">
        <v>7159413.7729825201</v>
      </c>
      <c r="E13" s="215"/>
      <c r="F13" s="160">
        <v>812112.92929089</v>
      </c>
      <c r="G13" s="160">
        <v>11.0646811001</v>
      </c>
      <c r="H13" s="215"/>
      <c r="I13" s="160">
        <v>1138594.4365920699</v>
      </c>
      <c r="J13" s="160">
        <v>15.518334043899999</v>
      </c>
      <c r="K13" s="50"/>
      <c r="L13" s="160">
        <v>2149648.9651604798</v>
      </c>
      <c r="M13" s="160">
        <v>29.3697716239</v>
      </c>
      <c r="N13" s="215"/>
      <c r="O13" s="160">
        <v>1199131.28713507</v>
      </c>
      <c r="P13" s="160">
        <v>16.4633236128</v>
      </c>
      <c r="Q13" s="215"/>
      <c r="R13" s="160">
        <v>1559138.24818245</v>
      </c>
      <c r="S13" s="160">
        <v>21.347553723800001</v>
      </c>
      <c r="T13" s="52"/>
      <c r="U13" s="160">
        <v>77005.785984636095</v>
      </c>
      <c r="V13" s="160">
        <v>1.056755071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2" customHeight="1" x14ac:dyDescent="0.2">
      <c r="A14" s="11"/>
      <c r="B14" s="22" t="s">
        <v>7</v>
      </c>
      <c r="C14" s="214"/>
      <c r="D14" s="160">
        <v>4482368.5111330803</v>
      </c>
      <c r="E14" s="215"/>
      <c r="F14" s="160">
        <v>437536.69845730299</v>
      </c>
      <c r="G14" s="160">
        <v>9.3571475572999994</v>
      </c>
      <c r="H14" s="215"/>
      <c r="I14" s="160">
        <v>723120.41041571496</v>
      </c>
      <c r="J14" s="160">
        <v>15.516513678800001</v>
      </c>
      <c r="K14" s="50"/>
      <c r="L14" s="160">
        <v>1385544.08251566</v>
      </c>
      <c r="M14" s="160">
        <v>30.304588368200001</v>
      </c>
      <c r="N14" s="215"/>
      <c r="O14" s="160">
        <v>759403.36206754798</v>
      </c>
      <c r="P14" s="160">
        <v>16.513457719400002</v>
      </c>
      <c r="Q14" s="215"/>
      <c r="R14" s="160">
        <v>931055.83483645599</v>
      </c>
      <c r="S14" s="160">
        <v>20.182379495700001</v>
      </c>
      <c r="T14" s="52"/>
      <c r="U14" s="160">
        <v>80182.282097609102</v>
      </c>
      <c r="V14" s="160">
        <v>1.7238559332000001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2">
      <c r="A15" s="12"/>
      <c r="B15" s="22" t="s">
        <v>8</v>
      </c>
      <c r="C15" s="214"/>
      <c r="D15" s="160">
        <v>5444929.1112685297</v>
      </c>
      <c r="E15" s="215"/>
      <c r="F15" s="160">
        <v>473632.01568759698</v>
      </c>
      <c r="G15" s="160">
        <v>8.4023917810000004</v>
      </c>
      <c r="H15" s="215"/>
      <c r="I15" s="160">
        <v>814259.662239942</v>
      </c>
      <c r="J15" s="160">
        <v>14.4539382851</v>
      </c>
      <c r="K15" s="50"/>
      <c r="L15" s="160">
        <v>1540703.49679161</v>
      </c>
      <c r="M15" s="160">
        <v>27.597185036399999</v>
      </c>
      <c r="N15" s="215"/>
      <c r="O15" s="160">
        <v>1040598.9036693</v>
      </c>
      <c r="P15" s="160">
        <v>18.670246939999998</v>
      </c>
      <c r="Q15" s="215"/>
      <c r="R15" s="160">
        <v>1096667.0855513499</v>
      </c>
      <c r="S15" s="160">
        <v>19.5177705336</v>
      </c>
      <c r="T15" s="52"/>
      <c r="U15" s="160">
        <v>193452.12533571399</v>
      </c>
      <c r="V15" s="160">
        <v>3.4555877652999998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2">
      <c r="A16" s="12"/>
      <c r="B16" s="22" t="s">
        <v>79</v>
      </c>
      <c r="C16" s="214"/>
      <c r="D16" s="160">
        <v>17359885.5900256</v>
      </c>
      <c r="E16" s="215"/>
      <c r="F16" s="160">
        <v>1175580.4453133501</v>
      </c>
      <c r="G16" s="160">
        <v>6.7237917870999997</v>
      </c>
      <c r="H16" s="215"/>
      <c r="I16" s="160">
        <v>1777543.1482670901</v>
      </c>
      <c r="J16" s="160">
        <v>10.1691358544</v>
      </c>
      <c r="K16" s="50"/>
      <c r="L16" s="160">
        <v>4564933.4879086697</v>
      </c>
      <c r="M16" s="160">
        <v>26.038040365299999</v>
      </c>
      <c r="N16" s="215"/>
      <c r="O16" s="160">
        <v>3874738.8326008399</v>
      </c>
      <c r="P16" s="160">
        <v>22.092391791400001</v>
      </c>
      <c r="Q16" s="215"/>
      <c r="R16" s="160">
        <v>4647627.7380681699</v>
      </c>
      <c r="S16" s="160">
        <v>26.489623994799999</v>
      </c>
      <c r="T16" s="52"/>
      <c r="U16" s="160">
        <v>781296.64655302395</v>
      </c>
      <c r="V16" s="160">
        <v>4.4581309383000001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6" customHeight="1" x14ac:dyDescent="0.2">
      <c r="A17" s="12"/>
      <c r="B17" s="45"/>
      <c r="C17" s="45"/>
      <c r="D17" s="4"/>
      <c r="E17" s="216"/>
      <c r="F17" s="4"/>
      <c r="G17" s="217"/>
      <c r="H17" s="217"/>
      <c r="I17" s="4"/>
      <c r="J17" s="217"/>
      <c r="K17" s="218"/>
      <c r="L17" s="4"/>
      <c r="M17" s="217"/>
      <c r="N17" s="219"/>
      <c r="O17" s="219"/>
      <c r="P17" s="219"/>
      <c r="Q17" s="219"/>
      <c r="R17" s="4"/>
      <c r="S17" s="217"/>
      <c r="T17" s="198"/>
      <c r="U17" s="198"/>
      <c r="V17" s="4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6" customHeight="1" x14ac:dyDescent="0.2">
      <c r="A18" s="21"/>
      <c r="B18" s="220"/>
      <c r="C18" s="221"/>
      <c r="D18" s="221"/>
      <c r="E18" s="221"/>
      <c r="F18" s="221"/>
      <c r="G18" s="222"/>
      <c r="H18" s="222"/>
      <c r="I18" s="222"/>
      <c r="J18" s="223"/>
      <c r="K18" s="223"/>
      <c r="L18" s="222"/>
      <c r="M18" s="223"/>
      <c r="N18" s="223"/>
      <c r="O18" s="223"/>
      <c r="P18" s="223"/>
      <c r="Q18" s="223"/>
      <c r="R18" s="220"/>
      <c r="S18" s="224"/>
      <c r="T18" s="200"/>
      <c r="U18" s="200"/>
      <c r="V18" s="4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s="89" customFormat="1" ht="11.25" customHeight="1" x14ac:dyDescent="0.2">
      <c r="B19" s="24" t="s">
        <v>9</v>
      </c>
    </row>
    <row r="20" spans="1:34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2:34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2:34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2:34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34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2:34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2:34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2:34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</sheetData>
  <mergeCells count="11">
    <mergeCell ref="U8:V8"/>
    <mergeCell ref="B5:T5"/>
    <mergeCell ref="C6:R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58AF908E-9FCB-4BE0-8EA0-3233BF9AFBE7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2D4E-D3E2-43C3-A99C-C943363FD94B}">
  <dimension ref="A1:DB645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29.5703125" customWidth="1"/>
    <col min="3" max="3" width="1.7109375" customWidth="1"/>
    <col min="4" max="4" width="20" customWidth="1"/>
    <col min="5" max="5" width="1.7109375" customWidth="1"/>
    <col min="6" max="6" width="14.42578125" customWidth="1"/>
    <col min="8" max="8" width="1.7109375" customWidth="1"/>
    <col min="9" max="9" width="18.140625" customWidth="1"/>
    <col min="11" max="11" width="1.7109375" customWidth="1"/>
    <col min="12" max="12" width="17.140625" customWidth="1"/>
    <col min="14" max="14" width="1.7109375" customWidth="1"/>
    <col min="15" max="15" width="16.5703125" customWidth="1"/>
    <col min="17" max="17" width="1.7109375" customWidth="1"/>
    <col min="18" max="18" width="16.85546875" customWidth="1"/>
    <col min="19" max="19" width="11.42578125" customWidth="1"/>
    <col min="20" max="20" width="1.7109375" customWidth="1"/>
    <col min="21" max="21" width="16.28515625" customWidth="1"/>
    <col min="22" max="22" width="11.42578125" customWidth="1"/>
    <col min="23" max="23" width="1.7109375" customWidth="1"/>
    <col min="24" max="24" width="16.5703125" customWidth="1"/>
    <col min="26" max="26" width="1.7109375" customWidth="1"/>
    <col min="27" max="27" width="16.85546875" customWidth="1"/>
    <col min="29" max="106" width="11.42578125" style="3"/>
  </cols>
  <sheetData>
    <row r="1" spans="1:106" s="69" customFormat="1" ht="14.1" customHeight="1" x14ac:dyDescent="0.2">
      <c r="A1" s="66"/>
      <c r="B1" s="484" t="s">
        <v>144</v>
      </c>
      <c r="C1" s="225"/>
      <c r="D1" s="226"/>
      <c r="E1" s="226"/>
      <c r="F1" s="226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85" t="s">
        <v>118</v>
      </c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</row>
    <row r="2" spans="1:106" s="69" customFormat="1" ht="6.95" customHeight="1" x14ac:dyDescent="0.2">
      <c r="A2" s="66"/>
      <c r="B2" s="484"/>
      <c r="C2" s="225"/>
      <c r="D2" s="226"/>
      <c r="E2" s="226"/>
      <c r="F2" s="226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</row>
    <row r="3" spans="1:106" s="69" customFormat="1" ht="14.1" customHeight="1" x14ac:dyDescent="0.2">
      <c r="A3" s="66"/>
      <c r="B3" s="484" t="s">
        <v>142</v>
      </c>
      <c r="C3" s="228"/>
      <c r="D3" s="228"/>
      <c r="E3" s="228"/>
      <c r="F3" s="228"/>
      <c r="G3" s="228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</row>
    <row r="4" spans="1:106" s="69" customFormat="1" ht="6.95" customHeight="1" x14ac:dyDescent="0.2">
      <c r="A4" s="66"/>
      <c r="B4" s="484"/>
      <c r="C4" s="225"/>
      <c r="D4" s="225"/>
      <c r="E4" s="225"/>
      <c r="F4" s="225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</row>
    <row r="5" spans="1:106" s="69" customFormat="1" ht="20.100000000000001" customHeight="1" x14ac:dyDescent="0.2">
      <c r="A5" s="66"/>
      <c r="B5" s="555" t="s">
        <v>64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227"/>
      <c r="AB5" s="75" t="s">
        <v>92</v>
      </c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</row>
    <row r="6" spans="1:106" ht="6" customHeight="1" x14ac:dyDescent="0.2">
      <c r="A6" s="66"/>
      <c r="B6" s="229"/>
      <c r="C6" s="556"/>
      <c r="D6" s="556"/>
      <c r="E6" s="556"/>
      <c r="F6" s="557"/>
      <c r="G6" s="557"/>
      <c r="H6" s="557"/>
      <c r="I6" s="557"/>
      <c r="J6" s="557"/>
      <c r="K6" s="557"/>
      <c r="L6" s="557"/>
      <c r="M6" s="558"/>
      <c r="N6" s="558"/>
      <c r="O6" s="558"/>
      <c r="P6" s="230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</row>
    <row r="7" spans="1:106" ht="12.75" x14ac:dyDescent="0.2">
      <c r="A7" s="66"/>
      <c r="B7" s="535" t="s">
        <v>22</v>
      </c>
      <c r="C7" s="535"/>
      <c r="D7" s="559" t="s">
        <v>23</v>
      </c>
      <c r="E7" s="232"/>
      <c r="F7" s="554" t="s">
        <v>65</v>
      </c>
      <c r="G7" s="554"/>
      <c r="H7" s="554"/>
      <c r="I7" s="554"/>
      <c r="J7" s="554"/>
      <c r="K7" s="554"/>
      <c r="L7" s="554"/>
      <c r="M7" s="554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</row>
    <row r="8" spans="1:106" ht="21" customHeight="1" x14ac:dyDescent="0.2">
      <c r="A8" s="66"/>
      <c r="B8" s="536"/>
      <c r="C8" s="536"/>
      <c r="D8" s="560"/>
      <c r="E8" s="233"/>
      <c r="F8" s="554" t="s">
        <v>66</v>
      </c>
      <c r="G8" s="554"/>
      <c r="H8" s="232"/>
      <c r="I8" s="554" t="s">
        <v>67</v>
      </c>
      <c r="J8" s="554"/>
      <c r="K8" s="234"/>
      <c r="L8" s="554" t="s">
        <v>68</v>
      </c>
      <c r="M8" s="554"/>
      <c r="N8" s="234"/>
      <c r="O8" s="554" t="s">
        <v>80</v>
      </c>
      <c r="P8" s="554"/>
      <c r="Q8" s="235"/>
      <c r="R8" s="554" t="s">
        <v>81</v>
      </c>
      <c r="S8" s="554"/>
      <c r="T8" s="234"/>
      <c r="U8" s="554" t="s">
        <v>82</v>
      </c>
      <c r="V8" s="554"/>
      <c r="W8" s="235"/>
      <c r="X8" s="554" t="s">
        <v>83</v>
      </c>
      <c r="Y8" s="554"/>
      <c r="Z8" s="236"/>
      <c r="AA8" s="554" t="s">
        <v>19</v>
      </c>
      <c r="AB8" s="554"/>
    </row>
    <row r="9" spans="1:106" ht="15" x14ac:dyDescent="0.2">
      <c r="A9" s="12"/>
      <c r="B9" s="537"/>
      <c r="C9" s="537"/>
      <c r="D9" s="561"/>
      <c r="E9" s="237"/>
      <c r="F9" s="65" t="s">
        <v>13</v>
      </c>
      <c r="G9" s="65" t="s">
        <v>14</v>
      </c>
      <c r="H9" s="237"/>
      <c r="I9" s="65" t="s">
        <v>13</v>
      </c>
      <c r="J9" s="65" t="s">
        <v>14</v>
      </c>
      <c r="K9" s="238"/>
      <c r="L9" s="65" t="s">
        <v>13</v>
      </c>
      <c r="M9" s="65" t="s">
        <v>14</v>
      </c>
      <c r="N9" s="238"/>
      <c r="O9" s="65" t="s">
        <v>13</v>
      </c>
      <c r="P9" s="65" t="s">
        <v>14</v>
      </c>
      <c r="Q9" s="239"/>
      <c r="R9" s="65" t="s">
        <v>13</v>
      </c>
      <c r="S9" s="65" t="s">
        <v>14</v>
      </c>
      <c r="T9" s="239"/>
      <c r="U9" s="65" t="s">
        <v>13</v>
      </c>
      <c r="V9" s="65" t="s">
        <v>14</v>
      </c>
      <c r="W9" s="239"/>
      <c r="X9" s="65" t="s">
        <v>13</v>
      </c>
      <c r="Y9" s="65" t="s">
        <v>14</v>
      </c>
      <c r="Z9" s="239"/>
      <c r="AA9" s="65" t="s">
        <v>13</v>
      </c>
      <c r="AB9" s="65" t="s">
        <v>14</v>
      </c>
    </row>
    <row r="10" spans="1:106" ht="6" customHeight="1" x14ac:dyDescent="0.2">
      <c r="A10" s="67"/>
      <c r="B10" s="240"/>
      <c r="C10" s="240"/>
      <c r="D10" s="241"/>
      <c r="E10" s="241"/>
      <c r="F10" s="241"/>
      <c r="G10" s="242"/>
      <c r="H10" s="242"/>
      <c r="I10" s="243"/>
      <c r="J10" s="244"/>
      <c r="K10" s="244"/>
      <c r="L10" s="244"/>
      <c r="M10" s="244"/>
      <c r="N10" s="244"/>
      <c r="O10" s="244"/>
      <c r="P10" s="244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</row>
    <row r="11" spans="1:106" ht="15" x14ac:dyDescent="0.2">
      <c r="A11" s="17"/>
      <c r="B11" s="37" t="s">
        <v>5</v>
      </c>
      <c r="C11" s="245"/>
      <c r="D11" s="159">
        <v>34855919.813209198</v>
      </c>
      <c r="E11" s="246"/>
      <c r="F11" s="159">
        <v>4108240.7420468498</v>
      </c>
      <c r="G11" s="159">
        <v>11.6788957598</v>
      </c>
      <c r="H11" s="246"/>
      <c r="I11" s="159">
        <v>4607332.9036494903</v>
      </c>
      <c r="J11" s="159">
        <v>13.080653204500001</v>
      </c>
      <c r="K11" s="50"/>
      <c r="L11" s="159">
        <v>6006981.90667406</v>
      </c>
      <c r="M11" s="159">
        <v>17.070918221900001</v>
      </c>
      <c r="N11" s="246"/>
      <c r="O11" s="159">
        <v>4295443.1183777601</v>
      </c>
      <c r="P11" s="159">
        <v>12.200958136200001</v>
      </c>
      <c r="Q11" s="246"/>
      <c r="R11" s="159">
        <v>4311044.2972511696</v>
      </c>
      <c r="S11" s="159">
        <v>12.252154446600001</v>
      </c>
      <c r="T11" s="51"/>
      <c r="U11" s="159">
        <v>3779904.8726536599</v>
      </c>
      <c r="V11" s="159">
        <v>10.746737615100001</v>
      </c>
      <c r="W11" s="3"/>
      <c r="X11" s="159">
        <v>5822011.9582443004</v>
      </c>
      <c r="Y11" s="159">
        <v>16.565479310899999</v>
      </c>
      <c r="Z11" s="3"/>
      <c r="AA11" s="159">
        <v>1102533.6597585799</v>
      </c>
      <c r="AB11" s="159">
        <v>3.1286454355000002</v>
      </c>
    </row>
    <row r="12" spans="1:106" ht="6" customHeight="1" x14ac:dyDescent="0.2">
      <c r="A12" s="11"/>
      <c r="B12" s="38"/>
      <c r="C12" s="245"/>
      <c r="D12" s="95"/>
      <c r="E12" s="246"/>
      <c r="F12" s="95"/>
      <c r="G12" s="96"/>
      <c r="H12" s="246"/>
      <c r="I12" s="95"/>
      <c r="J12" s="96"/>
      <c r="K12" s="50"/>
      <c r="L12" s="95"/>
      <c r="M12" s="96"/>
      <c r="N12" s="246"/>
      <c r="O12" s="95"/>
      <c r="P12" s="96"/>
      <c r="Q12" s="246"/>
      <c r="R12" s="95"/>
      <c r="S12" s="96"/>
      <c r="T12" s="50"/>
      <c r="U12" s="95"/>
      <c r="V12" s="96"/>
      <c r="W12" s="3"/>
      <c r="X12" s="95"/>
      <c r="Y12" s="96"/>
      <c r="Z12" s="3"/>
      <c r="AA12" s="95"/>
      <c r="AB12" s="96"/>
    </row>
    <row r="13" spans="1:106" ht="13.5" customHeight="1" x14ac:dyDescent="0.2">
      <c r="A13" s="11"/>
      <c r="B13" s="44" t="s">
        <v>26</v>
      </c>
      <c r="C13" s="247"/>
      <c r="D13" s="160">
        <v>372194.10329856101</v>
      </c>
      <c r="E13" s="248"/>
      <c r="F13" s="160">
        <v>14421.0715215324</v>
      </c>
      <c r="G13" s="160">
        <v>3.7193019551000002</v>
      </c>
      <c r="H13" s="248"/>
      <c r="I13" s="160">
        <v>105497.538810528</v>
      </c>
      <c r="J13" s="160">
        <v>27.747500225700001</v>
      </c>
      <c r="K13" s="50"/>
      <c r="L13" s="160">
        <v>69775.433382868199</v>
      </c>
      <c r="M13" s="160">
        <v>18.082306646900001</v>
      </c>
      <c r="N13" s="248"/>
      <c r="O13" s="160">
        <v>42156.464623837397</v>
      </c>
      <c r="P13" s="160">
        <v>10.915909835800001</v>
      </c>
      <c r="Q13" s="248"/>
      <c r="R13" s="160">
        <v>36497.382793441102</v>
      </c>
      <c r="S13" s="160">
        <v>9.4270263870999997</v>
      </c>
      <c r="T13" s="52"/>
      <c r="U13" s="160">
        <v>19838.668554203701</v>
      </c>
      <c r="V13" s="160">
        <v>5.1291377832</v>
      </c>
      <c r="W13" s="3"/>
      <c r="X13" s="160">
        <v>18768.3234950695</v>
      </c>
      <c r="Y13" s="160">
        <v>4.8730824648000004</v>
      </c>
      <c r="Z13" s="3"/>
      <c r="AA13" s="160">
        <v>20086.072519184399</v>
      </c>
      <c r="AB13" s="160">
        <v>5.1789446695999999</v>
      </c>
    </row>
    <row r="14" spans="1:106" ht="15" x14ac:dyDescent="0.2">
      <c r="A14" s="11"/>
      <c r="B14" s="13" t="s">
        <v>27</v>
      </c>
      <c r="C14" s="247"/>
      <c r="D14" s="160">
        <v>1094323.1287738399</v>
      </c>
      <c r="E14" s="248"/>
      <c r="F14" s="160">
        <v>57511.683924224802</v>
      </c>
      <c r="G14" s="160">
        <v>5.0284886891999996</v>
      </c>
      <c r="H14" s="248"/>
      <c r="I14" s="160">
        <v>46090.075497427802</v>
      </c>
      <c r="J14" s="160">
        <v>4.0559155078</v>
      </c>
      <c r="K14" s="50"/>
      <c r="L14" s="160">
        <v>109334.736870946</v>
      </c>
      <c r="M14" s="160">
        <v>9.6208731546999999</v>
      </c>
      <c r="N14" s="248"/>
      <c r="O14" s="160">
        <v>173147.69045640001</v>
      </c>
      <c r="P14" s="160">
        <v>15.2162836783</v>
      </c>
      <c r="Q14" s="248"/>
      <c r="R14" s="160">
        <v>206246.335498506</v>
      </c>
      <c r="S14" s="160">
        <v>17.941814256200001</v>
      </c>
      <c r="T14" s="52"/>
      <c r="U14" s="160">
        <v>183133.62752692401</v>
      </c>
      <c r="V14" s="160">
        <v>16.184328693800001</v>
      </c>
      <c r="W14" s="3"/>
      <c r="X14" s="160">
        <v>172717.86058249301</v>
      </c>
      <c r="Y14" s="160">
        <v>15.3524521826</v>
      </c>
      <c r="Z14" s="3"/>
      <c r="AA14" s="160">
        <v>8844.1069916464003</v>
      </c>
      <c r="AB14" s="160">
        <v>0.77350904170000001</v>
      </c>
    </row>
    <row r="15" spans="1:106" ht="15" x14ac:dyDescent="0.2">
      <c r="A15" s="12"/>
      <c r="B15" s="13" t="s">
        <v>28</v>
      </c>
      <c r="C15" s="247"/>
      <c r="D15" s="160">
        <v>227749.62097325901</v>
      </c>
      <c r="E15" s="248"/>
      <c r="F15" s="160">
        <v>9908.7537246808006</v>
      </c>
      <c r="G15" s="160">
        <v>4.1851304546000003</v>
      </c>
      <c r="H15" s="248"/>
      <c r="I15" s="160">
        <v>7804.7477407125998</v>
      </c>
      <c r="J15" s="160">
        <v>3.2303520261999998</v>
      </c>
      <c r="K15" s="50"/>
      <c r="L15" s="160">
        <v>10039.0030577087</v>
      </c>
      <c r="M15" s="160">
        <v>4.0976793800999998</v>
      </c>
      <c r="N15" s="248"/>
      <c r="O15" s="160">
        <v>30110.287308679599</v>
      </c>
      <c r="P15" s="160">
        <v>12.5818614269</v>
      </c>
      <c r="Q15" s="248"/>
      <c r="R15" s="160">
        <v>48254.972533841297</v>
      </c>
      <c r="S15" s="160">
        <v>20.661664096900001</v>
      </c>
      <c r="T15" s="52"/>
      <c r="U15" s="160">
        <v>28734.482451587901</v>
      </c>
      <c r="V15" s="160">
        <v>12.081846005299999</v>
      </c>
      <c r="W15" s="3"/>
      <c r="X15" s="160">
        <v>52652.135266053898</v>
      </c>
      <c r="Y15" s="160">
        <v>21.372398802900001</v>
      </c>
      <c r="Z15" s="3"/>
      <c r="AA15" s="160">
        <v>11489.0664290452</v>
      </c>
      <c r="AB15" s="160">
        <v>4.7547742045000003</v>
      </c>
    </row>
    <row r="16" spans="1:106" ht="15" x14ac:dyDescent="0.2">
      <c r="A16" s="12"/>
      <c r="B16" s="13" t="s">
        <v>29</v>
      </c>
      <c r="C16" s="247"/>
      <c r="D16" s="160">
        <v>241346.958106228</v>
      </c>
      <c r="E16" s="248"/>
      <c r="F16" s="160">
        <v>15032.993052980801</v>
      </c>
      <c r="G16" s="160">
        <v>5.8817253934</v>
      </c>
      <c r="H16" s="248"/>
      <c r="I16" s="160">
        <v>14939.2719387242</v>
      </c>
      <c r="J16" s="160">
        <v>5.8955513762000002</v>
      </c>
      <c r="K16" s="50"/>
      <c r="L16" s="160">
        <v>22980.157395539201</v>
      </c>
      <c r="M16" s="160">
        <v>8.9632586281000002</v>
      </c>
      <c r="N16" s="248"/>
      <c r="O16" s="160">
        <v>27678.925352771101</v>
      </c>
      <c r="P16" s="160">
        <v>10.851552488599999</v>
      </c>
      <c r="Q16" s="248"/>
      <c r="R16" s="160">
        <v>25368.7824215207</v>
      </c>
      <c r="S16" s="160">
        <v>9.9020573700999996</v>
      </c>
      <c r="T16" s="52"/>
      <c r="U16" s="160">
        <v>27346.8498466495</v>
      </c>
      <c r="V16" s="160">
        <v>10.761160740299999</v>
      </c>
      <c r="W16" s="3"/>
      <c r="X16" s="160">
        <v>72161.234827979803</v>
      </c>
      <c r="Y16" s="160">
        <v>29.080816818700001</v>
      </c>
      <c r="Z16" s="3"/>
      <c r="AA16" s="160">
        <v>14646.039432510601</v>
      </c>
      <c r="AB16" s="160">
        <v>5.7551326287000002</v>
      </c>
    </row>
    <row r="17" spans="1:28" ht="15" x14ac:dyDescent="0.2">
      <c r="A17" s="12"/>
      <c r="B17" s="13" t="s">
        <v>30</v>
      </c>
      <c r="C17" s="247"/>
      <c r="D17" s="128">
        <v>873188.10795798199</v>
      </c>
      <c r="E17" s="248"/>
      <c r="F17" s="128">
        <v>24302.382527385798</v>
      </c>
      <c r="G17" s="128">
        <v>2.6982729685</v>
      </c>
      <c r="H17" s="248"/>
      <c r="I17" s="128">
        <v>61009.2354133876</v>
      </c>
      <c r="J17" s="128">
        <v>6.7622673917</v>
      </c>
      <c r="K17" s="50"/>
      <c r="L17" s="128">
        <v>192802.506261606</v>
      </c>
      <c r="M17" s="128">
        <v>21.4646991185</v>
      </c>
      <c r="N17" s="248"/>
      <c r="O17" s="128">
        <v>151329.279703156</v>
      </c>
      <c r="P17" s="128">
        <v>16.700578831600001</v>
      </c>
      <c r="Q17" s="248"/>
      <c r="R17" s="128">
        <v>85507.222455571798</v>
      </c>
      <c r="S17" s="128">
        <v>9.4412769824999998</v>
      </c>
      <c r="T17" s="53"/>
      <c r="U17" s="128">
        <v>103057.181175941</v>
      </c>
      <c r="V17" s="128">
        <v>11.422873539699999</v>
      </c>
      <c r="W17" s="3"/>
      <c r="X17" s="128">
        <v>102877.4933832</v>
      </c>
      <c r="Y17" s="128">
        <v>11.5236937727</v>
      </c>
      <c r="Z17" s="3"/>
      <c r="AA17" s="128">
        <v>55686.489597388398</v>
      </c>
      <c r="AB17" s="128">
        <v>6.1491921689</v>
      </c>
    </row>
    <row r="18" spans="1:28" ht="15" x14ac:dyDescent="0.2">
      <c r="A18" s="21"/>
      <c r="B18" s="13" t="s">
        <v>31</v>
      </c>
      <c r="C18" s="247"/>
      <c r="D18" s="128">
        <v>215342.98131561599</v>
      </c>
      <c r="E18" s="248"/>
      <c r="F18" s="128">
        <v>15726.2011231289</v>
      </c>
      <c r="G18" s="128">
        <v>6.8522423458999997</v>
      </c>
      <c r="H18" s="248"/>
      <c r="I18" s="128">
        <v>26624.270550331101</v>
      </c>
      <c r="J18" s="128">
        <v>11.728844884300001</v>
      </c>
      <c r="K18" s="50"/>
      <c r="L18" s="128">
        <v>43978.058663463897</v>
      </c>
      <c r="M18" s="128">
        <v>19.407322576599999</v>
      </c>
      <c r="N18" s="248"/>
      <c r="O18" s="128">
        <v>40139.706264390501</v>
      </c>
      <c r="P18" s="128">
        <v>18.0512448351</v>
      </c>
      <c r="Q18" s="248"/>
      <c r="R18" s="128">
        <v>21821.388685109301</v>
      </c>
      <c r="S18" s="128">
        <v>9.6425131431000004</v>
      </c>
      <c r="T18" s="53"/>
      <c r="U18" s="128">
        <v>21601.997080530498</v>
      </c>
      <c r="V18" s="128">
        <v>9.4974492278000007</v>
      </c>
      <c r="W18" s="3"/>
      <c r="X18" s="128">
        <v>19959.284682228801</v>
      </c>
      <c r="Y18" s="128">
        <v>8.8062304937999993</v>
      </c>
      <c r="Z18" s="3"/>
      <c r="AA18" s="128">
        <v>2758.0224114120001</v>
      </c>
      <c r="AB18" s="128">
        <v>1.2101785492999999</v>
      </c>
    </row>
    <row r="19" spans="1:28" ht="15" x14ac:dyDescent="0.2">
      <c r="A19" s="21"/>
      <c r="B19" s="13" t="s">
        <v>32</v>
      </c>
      <c r="C19" s="247"/>
      <c r="D19" s="160">
        <v>1307775.79723661</v>
      </c>
      <c r="E19" s="248"/>
      <c r="F19" s="160">
        <v>128703.239194778</v>
      </c>
      <c r="G19" s="160">
        <v>9.1895241410999997</v>
      </c>
      <c r="H19" s="248"/>
      <c r="I19" s="160">
        <v>99541.285251714493</v>
      </c>
      <c r="J19" s="160">
        <v>7.2103006162999996</v>
      </c>
      <c r="K19" s="50"/>
      <c r="L19" s="160">
        <v>132971.99571797499</v>
      </c>
      <c r="M19" s="160">
        <v>9.6280519880999993</v>
      </c>
      <c r="N19" s="248"/>
      <c r="O19" s="160">
        <v>95469.767154936606</v>
      </c>
      <c r="P19" s="160">
        <v>6.8674883049000002</v>
      </c>
      <c r="Q19" s="248"/>
      <c r="R19" s="160">
        <v>214459.50527170501</v>
      </c>
      <c r="S19" s="160">
        <v>15.503209226499999</v>
      </c>
      <c r="T19" s="52"/>
      <c r="U19" s="160">
        <v>126095.284625712</v>
      </c>
      <c r="V19" s="160">
        <v>9.1268000182000009</v>
      </c>
      <c r="W19" s="3"/>
      <c r="X19" s="160">
        <v>374712.05917374598</v>
      </c>
      <c r="Y19" s="160">
        <v>27.383397603399999</v>
      </c>
      <c r="Z19" s="3"/>
      <c r="AA19" s="160">
        <v>14253.6523501337</v>
      </c>
      <c r="AB19" s="160">
        <v>1.0262693128</v>
      </c>
    </row>
    <row r="20" spans="1:28" ht="15" x14ac:dyDescent="0.2">
      <c r="B20" s="13" t="s">
        <v>33</v>
      </c>
      <c r="C20" s="247"/>
      <c r="D20" s="160">
        <v>1106672.0927464101</v>
      </c>
      <c r="E20" s="248"/>
      <c r="F20" s="160">
        <v>26436.633765136001</v>
      </c>
      <c r="G20" s="160">
        <v>2.3116620329000002</v>
      </c>
      <c r="H20" s="248"/>
      <c r="I20" s="160">
        <v>38397.486588852596</v>
      </c>
      <c r="J20" s="160">
        <v>3.3661911549000001</v>
      </c>
      <c r="K20" s="50"/>
      <c r="L20" s="160">
        <v>203145.11222781599</v>
      </c>
      <c r="M20" s="160">
        <v>17.981701277399999</v>
      </c>
      <c r="N20" s="248"/>
      <c r="O20" s="160">
        <v>180616.13257602201</v>
      </c>
      <c r="P20" s="160">
        <v>15.9121976337</v>
      </c>
      <c r="Q20" s="248"/>
      <c r="R20" s="160">
        <v>209775.41708392999</v>
      </c>
      <c r="S20" s="160">
        <v>18.455547912</v>
      </c>
      <c r="T20" s="52"/>
      <c r="U20" s="160">
        <v>131222.952724637</v>
      </c>
      <c r="V20" s="160">
        <v>11.510394076800001</v>
      </c>
      <c r="W20" s="3"/>
      <c r="X20" s="160">
        <v>150568.901149488</v>
      </c>
      <c r="Y20" s="160">
        <v>13.178442709500001</v>
      </c>
      <c r="Z20" s="3"/>
      <c r="AA20" s="160">
        <v>46357.799050351401</v>
      </c>
      <c r="AB20" s="160">
        <v>4.0571389889000002</v>
      </c>
    </row>
    <row r="21" spans="1:28" ht="15" x14ac:dyDescent="0.2">
      <c r="B21" s="13" t="s">
        <v>34</v>
      </c>
      <c r="C21" s="247"/>
      <c r="D21" s="160">
        <v>2637127.6507512201</v>
      </c>
      <c r="E21" s="248"/>
      <c r="F21" s="160">
        <v>766716.04744675499</v>
      </c>
      <c r="G21" s="160">
        <v>28.3468826786</v>
      </c>
      <c r="H21" s="248"/>
      <c r="I21" s="160">
        <v>470485.219763381</v>
      </c>
      <c r="J21" s="160">
        <v>17.363444490700001</v>
      </c>
      <c r="K21" s="50"/>
      <c r="L21" s="160">
        <v>357855.842916667</v>
      </c>
      <c r="M21" s="160">
        <v>13.1940712439</v>
      </c>
      <c r="N21" s="248"/>
      <c r="O21" s="160">
        <v>223909.54851108399</v>
      </c>
      <c r="P21" s="160">
        <v>8.2556542800999999</v>
      </c>
      <c r="Q21" s="248"/>
      <c r="R21" s="160">
        <v>214658.47881375899</v>
      </c>
      <c r="S21" s="160">
        <v>7.923140471</v>
      </c>
      <c r="T21" s="52"/>
      <c r="U21" s="160">
        <v>133759.26244931799</v>
      </c>
      <c r="V21" s="160">
        <v>4.9447586701999997</v>
      </c>
      <c r="W21" s="3"/>
      <c r="X21" s="160">
        <v>75576.975297804893</v>
      </c>
      <c r="Y21" s="160">
        <v>2.7850940879000001</v>
      </c>
      <c r="Z21" s="3"/>
      <c r="AA21" s="160">
        <v>127260.539235524</v>
      </c>
      <c r="AB21" s="160">
        <v>4.7091497255999997</v>
      </c>
    </row>
    <row r="22" spans="1:28" ht="15" x14ac:dyDescent="0.2">
      <c r="B22" s="13" t="s">
        <v>35</v>
      </c>
      <c r="C22" s="247"/>
      <c r="D22" s="160">
        <v>479890.75585837202</v>
      </c>
      <c r="E22" s="248"/>
      <c r="F22" s="160">
        <v>11853.646102852401</v>
      </c>
      <c r="G22" s="160">
        <v>2.3680236676000002</v>
      </c>
      <c r="H22" s="248"/>
      <c r="I22" s="160">
        <v>31687.561033963699</v>
      </c>
      <c r="J22" s="160">
        <v>6.3492140673000002</v>
      </c>
      <c r="K22" s="50"/>
      <c r="L22" s="160">
        <v>61373.196819410397</v>
      </c>
      <c r="M22" s="160">
        <v>12.3283592945</v>
      </c>
      <c r="N22" s="248"/>
      <c r="O22" s="160">
        <v>68391.918044772596</v>
      </c>
      <c r="P22" s="160">
        <v>13.7029939783</v>
      </c>
      <c r="Q22" s="248"/>
      <c r="R22" s="160">
        <v>81171.274740221896</v>
      </c>
      <c r="S22" s="160">
        <v>16.3348263295</v>
      </c>
      <c r="T22" s="52"/>
      <c r="U22" s="160">
        <v>36996.903177709297</v>
      </c>
      <c r="V22" s="160">
        <v>7.4529709583999999</v>
      </c>
      <c r="W22" s="3"/>
      <c r="X22" s="160">
        <v>112073.149935166</v>
      </c>
      <c r="Y22" s="160">
        <v>22.7804075926</v>
      </c>
      <c r="Z22" s="3"/>
      <c r="AA22" s="160">
        <v>24446.924663478101</v>
      </c>
      <c r="AB22" s="160">
        <v>4.9206869193999996</v>
      </c>
    </row>
    <row r="23" spans="1:28" ht="15" x14ac:dyDescent="0.2">
      <c r="B23" s="13" t="s">
        <v>36</v>
      </c>
      <c r="C23" s="247"/>
      <c r="D23" s="160">
        <v>1521466.9196536599</v>
      </c>
      <c r="E23" s="248"/>
      <c r="F23" s="160">
        <v>157221.266084242</v>
      </c>
      <c r="G23" s="160">
        <v>9.9623549399000009</v>
      </c>
      <c r="H23" s="248"/>
      <c r="I23" s="160">
        <v>297843.866874623</v>
      </c>
      <c r="J23" s="160">
        <v>19.063420116</v>
      </c>
      <c r="K23" s="50"/>
      <c r="L23" s="160">
        <v>260796.01998846099</v>
      </c>
      <c r="M23" s="160">
        <v>16.534386928899998</v>
      </c>
      <c r="N23" s="248"/>
      <c r="O23" s="160">
        <v>175703.41034374299</v>
      </c>
      <c r="P23" s="160">
        <v>11.142216597599999</v>
      </c>
      <c r="Q23" s="248"/>
      <c r="R23" s="160">
        <v>125525.334527521</v>
      </c>
      <c r="S23" s="160">
        <v>7.9482645482000001</v>
      </c>
      <c r="T23" s="52"/>
      <c r="U23" s="160">
        <v>160907.11465962601</v>
      </c>
      <c r="V23" s="160">
        <v>10.1678932415</v>
      </c>
      <c r="W23" s="3"/>
      <c r="X23" s="160">
        <v>141780.07979115599</v>
      </c>
      <c r="Y23" s="160">
        <v>8.9670987722</v>
      </c>
      <c r="Z23" s="3"/>
      <c r="AA23" s="160">
        <v>38272.614592696598</v>
      </c>
      <c r="AB23" s="160">
        <v>2.4271334027</v>
      </c>
    </row>
    <row r="24" spans="1:28" ht="15" x14ac:dyDescent="0.2">
      <c r="B24" s="13" t="s">
        <v>37</v>
      </c>
      <c r="C24" s="247"/>
      <c r="D24" s="160">
        <v>891088.45772531198</v>
      </c>
      <c r="E24" s="248"/>
      <c r="F24" s="160">
        <v>79461.482535005896</v>
      </c>
      <c r="G24" s="160">
        <v>8.5488064614999999</v>
      </c>
      <c r="H24" s="248"/>
      <c r="I24" s="160">
        <v>77280.280600065598</v>
      </c>
      <c r="J24" s="160">
        <v>8.2933859217000006</v>
      </c>
      <c r="K24" s="50"/>
      <c r="L24" s="160">
        <v>151335.936181186</v>
      </c>
      <c r="M24" s="160">
        <v>16.350484968100002</v>
      </c>
      <c r="N24" s="248"/>
      <c r="O24" s="160">
        <v>107541.367415306</v>
      </c>
      <c r="P24" s="160">
        <v>11.6079018825</v>
      </c>
      <c r="Q24" s="248"/>
      <c r="R24" s="160">
        <v>81259.695363539198</v>
      </c>
      <c r="S24" s="160">
        <v>8.8292396770000003</v>
      </c>
      <c r="T24" s="52"/>
      <c r="U24" s="160">
        <v>111118.10613348401</v>
      </c>
      <c r="V24" s="160">
        <v>11.9809740871</v>
      </c>
      <c r="W24" s="3"/>
      <c r="X24" s="160">
        <v>168255.372602269</v>
      </c>
      <c r="Y24" s="160">
        <v>18.150907508500001</v>
      </c>
      <c r="Z24" s="3"/>
      <c r="AA24" s="160">
        <v>35760.330401007297</v>
      </c>
      <c r="AB24" s="160">
        <v>3.8135303161</v>
      </c>
    </row>
    <row r="25" spans="1:28" ht="15" x14ac:dyDescent="0.2">
      <c r="B25" s="13" t="s">
        <v>38</v>
      </c>
      <c r="C25" s="247"/>
      <c r="D25" s="160">
        <v>816896.76724279101</v>
      </c>
      <c r="E25" s="248"/>
      <c r="F25" s="160">
        <v>83656.144331259595</v>
      </c>
      <c r="G25" s="160">
        <v>9.8387202444999993</v>
      </c>
      <c r="H25" s="248"/>
      <c r="I25" s="160">
        <v>115968.004122541</v>
      </c>
      <c r="J25" s="160">
        <v>13.502901208300001</v>
      </c>
      <c r="K25" s="50"/>
      <c r="L25" s="160">
        <v>150200.958829018</v>
      </c>
      <c r="M25" s="160">
        <v>17.654349569699999</v>
      </c>
      <c r="N25" s="248"/>
      <c r="O25" s="160">
        <v>69051.946274400907</v>
      </c>
      <c r="P25" s="160">
        <v>8.1626286883999999</v>
      </c>
      <c r="Q25" s="248"/>
      <c r="R25" s="160">
        <v>74344.606324561799</v>
      </c>
      <c r="S25" s="160">
        <v>8.8413593220000006</v>
      </c>
      <c r="T25" s="52"/>
      <c r="U25" s="160">
        <v>79806.332221373304</v>
      </c>
      <c r="V25" s="160">
        <v>9.3890249342000001</v>
      </c>
      <c r="W25" s="3"/>
      <c r="X25" s="160">
        <v>148787.13608977699</v>
      </c>
      <c r="Y25" s="160">
        <v>17.647164061000002</v>
      </c>
      <c r="Z25" s="3"/>
      <c r="AA25" s="160">
        <v>13957.9098101411</v>
      </c>
      <c r="AB25" s="160">
        <v>1.6370119867999999</v>
      </c>
    </row>
    <row r="26" spans="1:28" ht="15" x14ac:dyDescent="0.2">
      <c r="B26" s="13" t="s">
        <v>39</v>
      </c>
      <c r="C26" s="247"/>
      <c r="D26" s="160">
        <v>2214619.12347756</v>
      </c>
      <c r="E26" s="248"/>
      <c r="F26" s="160">
        <v>346301.68669411802</v>
      </c>
      <c r="G26" s="160">
        <v>15.196719439600001</v>
      </c>
      <c r="H26" s="248"/>
      <c r="I26" s="160">
        <v>592159.59069150197</v>
      </c>
      <c r="J26" s="160">
        <v>25.803142301499999</v>
      </c>
      <c r="K26" s="50"/>
      <c r="L26" s="160">
        <v>354899.94948223402</v>
      </c>
      <c r="M26" s="160">
        <v>15.457389669499999</v>
      </c>
      <c r="N26" s="248"/>
      <c r="O26" s="160">
        <v>236961.471555853</v>
      </c>
      <c r="P26" s="160">
        <v>10.414966979100001</v>
      </c>
      <c r="Q26" s="248"/>
      <c r="R26" s="160">
        <v>168358.26894646001</v>
      </c>
      <c r="S26" s="160">
        <v>7.3609537254999999</v>
      </c>
      <c r="T26" s="52"/>
      <c r="U26" s="160">
        <v>154443.41236615501</v>
      </c>
      <c r="V26" s="160">
        <v>6.7305687667000003</v>
      </c>
      <c r="W26" s="3"/>
      <c r="X26" s="160">
        <v>115901.879569649</v>
      </c>
      <c r="Y26" s="160">
        <v>5.0384505719000003</v>
      </c>
      <c r="Z26" s="3"/>
      <c r="AA26" s="160">
        <v>14147.8487826696</v>
      </c>
      <c r="AB26" s="160">
        <v>0.61072930030000006</v>
      </c>
    </row>
    <row r="27" spans="1:28" ht="15" x14ac:dyDescent="0.2">
      <c r="B27" s="13" t="s">
        <v>40</v>
      </c>
      <c r="C27" s="247"/>
      <c r="D27" s="160">
        <v>4367842.1895668004</v>
      </c>
      <c r="E27" s="248"/>
      <c r="F27" s="160">
        <v>608941.97161820403</v>
      </c>
      <c r="G27" s="160">
        <v>13.3391745382</v>
      </c>
      <c r="H27" s="248"/>
      <c r="I27" s="160">
        <v>426130.58301861899</v>
      </c>
      <c r="J27" s="160">
        <v>9.2039796060000008</v>
      </c>
      <c r="K27" s="50"/>
      <c r="L27" s="160">
        <v>977615.06515489996</v>
      </c>
      <c r="M27" s="160">
        <v>21.3420491549</v>
      </c>
      <c r="N27" s="248"/>
      <c r="O27" s="160">
        <v>446838.88853941503</v>
      </c>
      <c r="P27" s="160">
        <v>9.7569911364999999</v>
      </c>
      <c r="Q27" s="248"/>
      <c r="R27" s="160">
        <v>502572.61392249097</v>
      </c>
      <c r="S27" s="160">
        <v>11.0265469907</v>
      </c>
      <c r="T27" s="52"/>
      <c r="U27" s="160">
        <v>385421.69733504998</v>
      </c>
      <c r="V27" s="160">
        <v>8.5113934734000001</v>
      </c>
      <c r="W27" s="3"/>
      <c r="X27" s="160">
        <v>339002.74105508398</v>
      </c>
      <c r="Y27" s="160">
        <v>7.5855913537999999</v>
      </c>
      <c r="Z27" s="3"/>
      <c r="AA27" s="160">
        <v>222411.07257020599</v>
      </c>
      <c r="AB27" s="160">
        <v>4.8093595833</v>
      </c>
    </row>
    <row r="28" spans="1:28" ht="15" x14ac:dyDescent="0.2">
      <c r="B28" s="13" t="s">
        <v>41</v>
      </c>
      <c r="C28" s="247"/>
      <c r="D28" s="160">
        <v>1209066.2014425499</v>
      </c>
      <c r="E28" s="248"/>
      <c r="F28" s="160">
        <v>143119.18621577701</v>
      </c>
      <c r="G28" s="160">
        <v>11.299622791299999</v>
      </c>
      <c r="H28" s="248"/>
      <c r="I28" s="160">
        <v>142232.577674361</v>
      </c>
      <c r="J28" s="160">
        <v>11.0804410773</v>
      </c>
      <c r="K28" s="50"/>
      <c r="L28" s="160">
        <v>203535.08500459499</v>
      </c>
      <c r="M28" s="160">
        <v>15.9909845674</v>
      </c>
      <c r="N28" s="248"/>
      <c r="O28" s="160">
        <v>167586.15113893599</v>
      </c>
      <c r="P28" s="160">
        <v>13.236829823500001</v>
      </c>
      <c r="Q28" s="248"/>
      <c r="R28" s="160">
        <v>112510.81273541199</v>
      </c>
      <c r="S28" s="160">
        <v>8.9929586722000003</v>
      </c>
      <c r="T28" s="52"/>
      <c r="U28" s="160">
        <v>129840.55496185699</v>
      </c>
      <c r="V28" s="160">
        <v>10.29588489</v>
      </c>
      <c r="W28" s="3"/>
      <c r="X28" s="160">
        <v>162324.12681387499</v>
      </c>
      <c r="Y28" s="160">
        <v>12.727333875899999</v>
      </c>
      <c r="Z28" s="3"/>
      <c r="AA28" s="160">
        <v>23397.122369497301</v>
      </c>
      <c r="AB28" s="160">
        <v>1.8290817507999999</v>
      </c>
    </row>
    <row r="29" spans="1:28" ht="15" x14ac:dyDescent="0.2">
      <c r="B29" s="13" t="s">
        <v>42</v>
      </c>
      <c r="C29" s="247"/>
      <c r="D29" s="160">
        <v>543030.77389932098</v>
      </c>
      <c r="E29" s="248"/>
      <c r="F29" s="160">
        <v>39150.9991505984</v>
      </c>
      <c r="G29" s="160">
        <v>6.8551897697999999</v>
      </c>
      <c r="H29" s="248"/>
      <c r="I29" s="160">
        <v>47378.626524255997</v>
      </c>
      <c r="J29" s="160">
        <v>8.3462160215000001</v>
      </c>
      <c r="K29" s="50"/>
      <c r="L29" s="160">
        <v>64261.428223095798</v>
      </c>
      <c r="M29" s="160">
        <v>11.399032615799999</v>
      </c>
      <c r="N29" s="248"/>
      <c r="O29" s="160">
        <v>45760.942398480103</v>
      </c>
      <c r="P29" s="160">
        <v>8.0930382954999995</v>
      </c>
      <c r="Q29" s="248"/>
      <c r="R29" s="160">
        <v>87692.123034080098</v>
      </c>
      <c r="S29" s="160">
        <v>15.2055799001</v>
      </c>
      <c r="T29" s="52"/>
      <c r="U29" s="160">
        <v>78593.371653654205</v>
      </c>
      <c r="V29" s="160">
        <v>13.6704747729</v>
      </c>
      <c r="W29" s="3"/>
      <c r="X29" s="160">
        <v>104248.15745405</v>
      </c>
      <c r="Y29" s="160">
        <v>18.619830166100002</v>
      </c>
      <c r="Z29" s="3"/>
      <c r="AA29" s="160">
        <v>26329.616060173601</v>
      </c>
      <c r="AB29" s="160">
        <v>4.6039898081999997</v>
      </c>
    </row>
    <row r="30" spans="1:28" ht="15" x14ac:dyDescent="0.2">
      <c r="B30" s="13" t="s">
        <v>43</v>
      </c>
      <c r="C30" s="247"/>
      <c r="D30" s="160">
        <v>343386.664223017</v>
      </c>
      <c r="E30" s="248"/>
      <c r="F30" s="160">
        <v>25511.9526399963</v>
      </c>
      <c r="G30" s="160">
        <v>7.1244218805999999</v>
      </c>
      <c r="H30" s="248"/>
      <c r="I30" s="160">
        <v>38380.427742452703</v>
      </c>
      <c r="J30" s="160">
        <v>10.8532766942</v>
      </c>
      <c r="K30" s="50"/>
      <c r="L30" s="160">
        <v>59226.930872522498</v>
      </c>
      <c r="M30" s="160">
        <v>16.382609819399999</v>
      </c>
      <c r="N30" s="248"/>
      <c r="O30" s="160">
        <v>50924.415365361703</v>
      </c>
      <c r="P30" s="160">
        <v>14.2990445725</v>
      </c>
      <c r="Q30" s="248"/>
      <c r="R30" s="160">
        <v>29846.476688960502</v>
      </c>
      <c r="S30" s="160">
        <v>8.3859004528999996</v>
      </c>
      <c r="T30" s="52"/>
      <c r="U30" s="160">
        <v>30736.453422445698</v>
      </c>
      <c r="V30" s="160">
        <v>8.6275004271999993</v>
      </c>
      <c r="W30" s="3"/>
      <c r="X30" s="160">
        <v>60595.982664165102</v>
      </c>
      <c r="Y30" s="160">
        <v>16.967245352399999</v>
      </c>
      <c r="Z30" s="3"/>
      <c r="AA30" s="160">
        <v>8372.7193995762991</v>
      </c>
      <c r="AB30" s="160">
        <v>2.3297645453000002</v>
      </c>
    </row>
    <row r="31" spans="1:28" ht="15" x14ac:dyDescent="0.2">
      <c r="B31" s="13" t="s">
        <v>44</v>
      </c>
      <c r="C31" s="247"/>
      <c r="D31" s="160">
        <v>1584392.1221822</v>
      </c>
      <c r="E31" s="248"/>
      <c r="F31" s="160">
        <v>62850.8083236288</v>
      </c>
      <c r="G31" s="160">
        <v>3.7739559137000001</v>
      </c>
      <c r="H31" s="248"/>
      <c r="I31" s="160">
        <v>324894.39285857399</v>
      </c>
      <c r="J31" s="160">
        <v>19.905641621099999</v>
      </c>
      <c r="K31" s="50"/>
      <c r="L31" s="160">
        <v>521943.51920325297</v>
      </c>
      <c r="M31" s="160">
        <v>31.9630835456</v>
      </c>
      <c r="N31" s="248"/>
      <c r="O31" s="160">
        <v>218953.41393808401</v>
      </c>
      <c r="P31" s="160">
        <v>13.1897763376</v>
      </c>
      <c r="Q31" s="248"/>
      <c r="R31" s="160">
        <v>95024.939371586006</v>
      </c>
      <c r="S31" s="160">
        <v>5.6869583361</v>
      </c>
      <c r="T31" s="52"/>
      <c r="U31" s="160">
        <v>83809.611494329307</v>
      </c>
      <c r="V31" s="160">
        <v>5.0911118354999996</v>
      </c>
      <c r="W31" s="3"/>
      <c r="X31" s="160">
        <v>87543.022113084604</v>
      </c>
      <c r="Y31" s="160">
        <v>5.2661302889000003</v>
      </c>
      <c r="Z31" s="3"/>
      <c r="AA31" s="160">
        <v>9645.2098231880009</v>
      </c>
      <c r="AB31" s="160">
        <v>0.58374307469999998</v>
      </c>
    </row>
    <row r="32" spans="1:28" ht="15" x14ac:dyDescent="0.2">
      <c r="B32" s="13" t="s">
        <v>45</v>
      </c>
      <c r="C32" s="247"/>
      <c r="D32" s="160">
        <v>1033276.02380439</v>
      </c>
      <c r="E32" s="248"/>
      <c r="F32" s="160">
        <v>51442.569387195799</v>
      </c>
      <c r="G32" s="160">
        <v>4.6391334025999997</v>
      </c>
      <c r="H32" s="248"/>
      <c r="I32" s="160">
        <v>41104.676346711101</v>
      </c>
      <c r="J32" s="160">
        <v>3.7264641118999999</v>
      </c>
      <c r="K32" s="50"/>
      <c r="L32" s="160">
        <v>72067.618116279104</v>
      </c>
      <c r="M32" s="160">
        <v>6.5448950501000001</v>
      </c>
      <c r="N32" s="248"/>
      <c r="O32" s="160">
        <v>79972.943713797606</v>
      </c>
      <c r="P32" s="160">
        <v>7.3547250407</v>
      </c>
      <c r="Q32" s="248"/>
      <c r="R32" s="160">
        <v>130394.282449071</v>
      </c>
      <c r="S32" s="160">
        <v>11.9744048856</v>
      </c>
      <c r="T32" s="52"/>
      <c r="U32" s="160">
        <v>158774.34353057601</v>
      </c>
      <c r="V32" s="160">
        <v>14.657518636000001</v>
      </c>
      <c r="W32" s="3"/>
      <c r="X32" s="160">
        <v>391068.80051325</v>
      </c>
      <c r="Y32" s="160">
        <v>35.9838712934</v>
      </c>
      <c r="Z32" s="3"/>
      <c r="AA32" s="160">
        <v>17474.5033924286</v>
      </c>
      <c r="AB32" s="160">
        <v>1.5648968407999999</v>
      </c>
    </row>
    <row r="33" spans="1:28" ht="15" x14ac:dyDescent="0.2">
      <c r="B33" s="13" t="s">
        <v>46</v>
      </c>
      <c r="C33" s="247"/>
      <c r="D33" s="160">
        <v>1616705.1047259199</v>
      </c>
      <c r="E33" s="248"/>
      <c r="F33" s="160">
        <v>274320.43013765302</v>
      </c>
      <c r="G33" s="160">
        <v>16.309155760900001</v>
      </c>
      <c r="H33" s="248"/>
      <c r="I33" s="160">
        <v>201315.201221725</v>
      </c>
      <c r="J33" s="160">
        <v>12.011073275599999</v>
      </c>
      <c r="K33" s="50"/>
      <c r="L33" s="160">
        <v>170602.20616735701</v>
      </c>
      <c r="M33" s="160">
        <v>10.004854376400001</v>
      </c>
      <c r="N33" s="248"/>
      <c r="O33" s="160">
        <v>139541.54502765401</v>
      </c>
      <c r="P33" s="160">
        <v>8.2172159385000008</v>
      </c>
      <c r="Q33" s="248"/>
      <c r="R33" s="160">
        <v>212240.477862764</v>
      </c>
      <c r="S33" s="160">
        <v>12.5465062311</v>
      </c>
      <c r="T33" s="52"/>
      <c r="U33" s="160">
        <v>142097.50258716199</v>
      </c>
      <c r="V33" s="160">
        <v>8.3211059246999994</v>
      </c>
      <c r="W33" s="3"/>
      <c r="X33" s="160">
        <v>297770.66740557802</v>
      </c>
      <c r="Y33" s="160">
        <v>17.521343793100002</v>
      </c>
      <c r="Z33" s="3"/>
      <c r="AA33" s="160">
        <v>24637.9287214945</v>
      </c>
      <c r="AB33" s="160">
        <v>1.4550998844</v>
      </c>
    </row>
    <row r="34" spans="1:28" ht="15" x14ac:dyDescent="0.2">
      <c r="B34" s="13" t="s">
        <v>47</v>
      </c>
      <c r="C34" s="247"/>
      <c r="D34" s="160">
        <v>608432.00766038802</v>
      </c>
      <c r="E34" s="248"/>
      <c r="F34" s="160">
        <v>61757.5075664779</v>
      </c>
      <c r="G34" s="160">
        <v>9.6655201120999994</v>
      </c>
      <c r="H34" s="248"/>
      <c r="I34" s="160">
        <v>96052.172794470694</v>
      </c>
      <c r="J34" s="160">
        <v>14.821054781599999</v>
      </c>
      <c r="K34" s="50"/>
      <c r="L34" s="160">
        <v>119699.422435011</v>
      </c>
      <c r="M34" s="160">
        <v>18.2656910165</v>
      </c>
      <c r="N34" s="248"/>
      <c r="O34" s="160">
        <v>62018.292572575498</v>
      </c>
      <c r="P34" s="160">
        <v>9.6408977686000004</v>
      </c>
      <c r="Q34" s="248"/>
      <c r="R34" s="160">
        <v>65581.777841736097</v>
      </c>
      <c r="S34" s="160">
        <v>10.245539534300001</v>
      </c>
      <c r="T34" s="52"/>
      <c r="U34" s="160">
        <v>66753.011804229303</v>
      </c>
      <c r="V34" s="160">
        <v>10.241028421899999</v>
      </c>
      <c r="W34" s="3"/>
      <c r="X34" s="160">
        <v>61109.881254738902</v>
      </c>
      <c r="Y34" s="160">
        <v>9.3936563842999998</v>
      </c>
      <c r="Z34" s="3"/>
      <c r="AA34" s="160">
        <v>7025.2079436526001</v>
      </c>
      <c r="AB34" s="160">
        <v>1.0910474957</v>
      </c>
    </row>
    <row r="35" spans="1:28" ht="15" x14ac:dyDescent="0.2">
      <c r="B35" s="13" t="s">
        <v>48</v>
      </c>
      <c r="C35" s="247"/>
      <c r="D35" s="160">
        <v>522330.00393641897</v>
      </c>
      <c r="E35" s="248"/>
      <c r="F35" s="160">
        <v>46499.541160762303</v>
      </c>
      <c r="G35" s="160">
        <v>8.5926639887</v>
      </c>
      <c r="H35" s="248"/>
      <c r="I35" s="160">
        <v>66776.173898359702</v>
      </c>
      <c r="J35" s="160">
        <v>12.524164606899999</v>
      </c>
      <c r="K35" s="50"/>
      <c r="L35" s="160">
        <v>74630.139442328</v>
      </c>
      <c r="M35" s="160">
        <v>13.7454120185</v>
      </c>
      <c r="N35" s="248"/>
      <c r="O35" s="160">
        <v>88796.977831001306</v>
      </c>
      <c r="P35" s="160">
        <v>15.8615597707</v>
      </c>
      <c r="Q35" s="248"/>
      <c r="R35" s="160">
        <v>43759.668187643998</v>
      </c>
      <c r="S35" s="160">
        <v>7.8345257048999999</v>
      </c>
      <c r="T35" s="54"/>
      <c r="U35" s="160">
        <v>50920.561436387099</v>
      </c>
      <c r="V35" s="160">
        <v>9.0291107313999994</v>
      </c>
      <c r="W35" s="3"/>
      <c r="X35" s="160">
        <v>59946.408857459202</v>
      </c>
      <c r="Y35" s="160">
        <v>10.6131604918</v>
      </c>
      <c r="Z35" s="3"/>
      <c r="AA35" s="160">
        <v>23557.744057074899</v>
      </c>
      <c r="AB35" s="160">
        <v>4.2158821189999998</v>
      </c>
    </row>
    <row r="36" spans="1:28" ht="15" x14ac:dyDescent="0.2">
      <c r="B36" s="13" t="s">
        <v>49</v>
      </c>
      <c r="C36" s="247"/>
      <c r="D36" s="160">
        <v>747363.50613859505</v>
      </c>
      <c r="E36" s="248"/>
      <c r="F36" s="160">
        <v>33796.181980760397</v>
      </c>
      <c r="G36" s="160">
        <v>4.3670674992</v>
      </c>
      <c r="H36" s="248"/>
      <c r="I36" s="160">
        <v>145361.132214257</v>
      </c>
      <c r="J36" s="160">
        <v>18.955536269300001</v>
      </c>
      <c r="K36" s="50"/>
      <c r="L36" s="160">
        <v>124099.311907793</v>
      </c>
      <c r="M36" s="160">
        <v>16.087943457200002</v>
      </c>
      <c r="N36" s="248"/>
      <c r="O36" s="160">
        <v>72141.053393055103</v>
      </c>
      <c r="P36" s="160">
        <v>9.3579978271000002</v>
      </c>
      <c r="Q36" s="248"/>
      <c r="R36" s="160">
        <v>58467.023517690599</v>
      </c>
      <c r="S36" s="160">
        <v>7.5816605016</v>
      </c>
      <c r="T36" s="52"/>
      <c r="U36" s="160">
        <v>59380.396305700699</v>
      </c>
      <c r="V36" s="160">
        <v>7.6998804056000001</v>
      </c>
      <c r="W36" s="3"/>
      <c r="X36" s="160">
        <v>167802.108484141</v>
      </c>
      <c r="Y36" s="160">
        <v>21.912589556899999</v>
      </c>
      <c r="Z36" s="3"/>
      <c r="AA36" s="160">
        <v>7108.2714584736004</v>
      </c>
      <c r="AB36" s="160">
        <v>0.92093482429999995</v>
      </c>
    </row>
    <row r="37" spans="1:28" ht="15" x14ac:dyDescent="0.2">
      <c r="B37" s="13" t="s">
        <v>50</v>
      </c>
      <c r="C37" s="247"/>
      <c r="D37" s="160">
        <v>830795.97160518297</v>
      </c>
      <c r="E37" s="248"/>
      <c r="F37" s="160">
        <v>23427.548742101</v>
      </c>
      <c r="G37" s="160">
        <v>2.7331719578000002</v>
      </c>
      <c r="H37" s="248"/>
      <c r="I37" s="160">
        <v>45287.296060281798</v>
      </c>
      <c r="J37" s="160">
        <v>5.2077461977999997</v>
      </c>
      <c r="K37" s="50"/>
      <c r="L37" s="160">
        <v>144064.06845685499</v>
      </c>
      <c r="M37" s="160">
        <v>16.837294367399998</v>
      </c>
      <c r="N37" s="248"/>
      <c r="O37" s="160">
        <v>168972.31016460899</v>
      </c>
      <c r="P37" s="160">
        <v>19.667979256700001</v>
      </c>
      <c r="Q37" s="248"/>
      <c r="R37" s="160">
        <v>84398.424731409599</v>
      </c>
      <c r="S37" s="160">
        <v>9.8688488224000004</v>
      </c>
      <c r="T37" s="52"/>
      <c r="U37" s="160">
        <v>87350.223894977302</v>
      </c>
      <c r="V37" s="160">
        <v>10.1379673459</v>
      </c>
      <c r="W37" s="3"/>
      <c r="X37" s="160">
        <v>177141.31498462899</v>
      </c>
      <c r="Y37" s="160">
        <v>20.707711155999998</v>
      </c>
      <c r="Z37" s="3"/>
      <c r="AA37" s="160">
        <v>10906.6146529325</v>
      </c>
      <c r="AB37" s="160">
        <v>1.2899603509999999</v>
      </c>
    </row>
    <row r="38" spans="1:28" ht="15" x14ac:dyDescent="0.2">
      <c r="B38" s="13" t="s">
        <v>51</v>
      </c>
      <c r="C38" s="247"/>
      <c r="D38" s="160">
        <v>834239.32982548501</v>
      </c>
      <c r="E38" s="248"/>
      <c r="F38" s="160">
        <v>45122.896122652601</v>
      </c>
      <c r="G38" s="160">
        <v>5.2745136234999999</v>
      </c>
      <c r="H38" s="248"/>
      <c r="I38" s="160">
        <v>63012.878270421003</v>
      </c>
      <c r="J38" s="160">
        <v>7.2590402748000002</v>
      </c>
      <c r="K38" s="50"/>
      <c r="L38" s="160">
        <v>93210.253508785696</v>
      </c>
      <c r="M38" s="160">
        <v>10.6934750759</v>
      </c>
      <c r="N38" s="248"/>
      <c r="O38" s="160">
        <v>100858.826731457</v>
      </c>
      <c r="P38" s="160">
        <v>11.563419335900001</v>
      </c>
      <c r="Q38" s="52"/>
      <c r="R38" s="160">
        <v>129152.389312181</v>
      </c>
      <c r="S38" s="160">
        <v>14.880487110800001</v>
      </c>
      <c r="T38" s="52"/>
      <c r="U38" s="160">
        <v>108169.12096266801</v>
      </c>
      <c r="V38" s="160">
        <v>12.3754821082</v>
      </c>
      <c r="W38" s="3"/>
      <c r="X38" s="160">
        <v>196604.983461064</v>
      </c>
      <c r="Y38" s="160">
        <v>22.606007041000002</v>
      </c>
      <c r="Z38" s="3"/>
      <c r="AA38" s="160">
        <v>2385.1675696821999</v>
      </c>
      <c r="AB38" s="160">
        <v>0.2729458246</v>
      </c>
    </row>
    <row r="39" spans="1:28" ht="15" x14ac:dyDescent="0.2">
      <c r="B39" s="13" t="s">
        <v>52</v>
      </c>
      <c r="C39" s="247"/>
      <c r="D39" s="160">
        <v>641258.75840786798</v>
      </c>
      <c r="E39" s="248"/>
      <c r="F39" s="160">
        <v>68392.221690292397</v>
      </c>
      <c r="G39" s="160">
        <v>10.1536253862</v>
      </c>
      <c r="H39" s="248"/>
      <c r="I39" s="160">
        <v>49350.837623708401</v>
      </c>
      <c r="J39" s="160">
        <v>7.3287472215999996</v>
      </c>
      <c r="K39" s="50"/>
      <c r="L39" s="160">
        <v>77738.309308538097</v>
      </c>
      <c r="M39" s="160">
        <v>11.5801401685</v>
      </c>
      <c r="N39" s="248"/>
      <c r="O39" s="160">
        <v>50351.232641883202</v>
      </c>
      <c r="P39" s="160">
        <v>7.4827861585999997</v>
      </c>
      <c r="Q39" s="248"/>
      <c r="R39" s="160">
        <v>51794.727289381801</v>
      </c>
      <c r="S39" s="160">
        <v>7.6454920764000001</v>
      </c>
      <c r="T39" s="52"/>
      <c r="U39" s="160">
        <v>71257.933135578394</v>
      </c>
      <c r="V39" s="160">
        <v>10.5555499952</v>
      </c>
      <c r="W39" s="3"/>
      <c r="X39" s="160">
        <v>207272.16211678999</v>
      </c>
      <c r="Y39" s="160">
        <v>31.164760063599999</v>
      </c>
      <c r="Z39" s="3"/>
      <c r="AA39" s="160">
        <v>8885.5312587694007</v>
      </c>
      <c r="AB39" s="160">
        <v>1.3125331482</v>
      </c>
    </row>
    <row r="40" spans="1:28" ht="15" x14ac:dyDescent="0.2">
      <c r="B40" s="13" t="s">
        <v>53</v>
      </c>
      <c r="C40" s="247"/>
      <c r="D40" s="160">
        <v>1015984.05385471</v>
      </c>
      <c r="E40" s="248"/>
      <c r="F40" s="160">
        <v>39275.007888642598</v>
      </c>
      <c r="G40" s="160">
        <v>3.8326195629000002</v>
      </c>
      <c r="H40" s="248"/>
      <c r="I40" s="160">
        <v>72514.156553172506</v>
      </c>
      <c r="J40" s="160">
        <v>6.9235306920999999</v>
      </c>
      <c r="K40" s="50"/>
      <c r="L40" s="160">
        <v>162816.62354959399</v>
      </c>
      <c r="M40" s="160">
        <v>15.505799996</v>
      </c>
      <c r="N40" s="248"/>
      <c r="O40" s="160">
        <v>122654.004338018</v>
      </c>
      <c r="P40" s="160">
        <v>11.680761630099999</v>
      </c>
      <c r="Q40" s="248"/>
      <c r="R40" s="160">
        <v>187778.423336609</v>
      </c>
      <c r="S40" s="160">
        <v>17.860113933600001</v>
      </c>
      <c r="T40" s="52"/>
      <c r="U40" s="160">
        <v>119564.89853186801</v>
      </c>
      <c r="V40" s="160">
        <v>11.3905519817</v>
      </c>
      <c r="W40" s="3"/>
      <c r="X40" s="160">
        <v>173466.35834716199</v>
      </c>
      <c r="Y40" s="160">
        <v>16.509722802799999</v>
      </c>
      <c r="Z40" s="3"/>
      <c r="AA40" s="160">
        <v>19496.551612965901</v>
      </c>
      <c r="AB40" s="160">
        <v>1.8517438651</v>
      </c>
    </row>
    <row r="41" spans="1:28" ht="15" x14ac:dyDescent="0.2">
      <c r="B41" s="13" t="s">
        <v>54</v>
      </c>
      <c r="C41" s="247"/>
      <c r="D41" s="160">
        <v>320821.61901722202</v>
      </c>
      <c r="E41" s="248"/>
      <c r="F41" s="160">
        <v>38303.615507943701</v>
      </c>
      <c r="G41" s="160">
        <v>11.480902389000001</v>
      </c>
      <c r="H41" s="248"/>
      <c r="I41" s="160">
        <v>33515.576555852698</v>
      </c>
      <c r="J41" s="160">
        <v>10.009876934799999</v>
      </c>
      <c r="K41" s="50"/>
      <c r="L41" s="160">
        <v>50647.688521693803</v>
      </c>
      <c r="M41" s="160">
        <v>15.3903637613</v>
      </c>
      <c r="N41" s="248"/>
      <c r="O41" s="160">
        <v>33065.429088579796</v>
      </c>
      <c r="P41" s="160">
        <v>10.021381912900001</v>
      </c>
      <c r="Q41" s="248"/>
      <c r="R41" s="160">
        <v>35137.859001912599</v>
      </c>
      <c r="S41" s="160">
        <v>10.525617839500001</v>
      </c>
      <c r="T41" s="52"/>
      <c r="U41" s="160">
        <v>44977.499974681501</v>
      </c>
      <c r="V41" s="160">
        <v>13.5290391558</v>
      </c>
      <c r="W41" s="3"/>
      <c r="X41" s="160">
        <v>59020.523777125898</v>
      </c>
      <c r="Y41" s="160">
        <v>17.725821544900001</v>
      </c>
      <c r="Z41" s="3"/>
      <c r="AA41" s="160">
        <v>1101.5120246704</v>
      </c>
      <c r="AB41" s="160">
        <v>0.3284442286</v>
      </c>
    </row>
    <row r="42" spans="1:28" ht="15" x14ac:dyDescent="0.2">
      <c r="B42" s="13" t="s">
        <v>55</v>
      </c>
      <c r="C42" s="247"/>
      <c r="D42" s="160">
        <v>2250780.00268341</v>
      </c>
      <c r="E42" s="248"/>
      <c r="F42" s="160">
        <v>274685.39186342002</v>
      </c>
      <c r="G42" s="160">
        <v>11.705980523699999</v>
      </c>
      <c r="H42" s="248"/>
      <c r="I42" s="160">
        <v>203036.096949759</v>
      </c>
      <c r="J42" s="160">
        <v>8.5728722270999995</v>
      </c>
      <c r="K42" s="50"/>
      <c r="L42" s="160">
        <v>255869.98264803999</v>
      </c>
      <c r="M42" s="160">
        <v>10.9563613883</v>
      </c>
      <c r="N42" s="248"/>
      <c r="O42" s="160">
        <v>188137.29611351501</v>
      </c>
      <c r="P42" s="160">
        <v>8.0140151431</v>
      </c>
      <c r="Q42" s="248"/>
      <c r="R42" s="160">
        <v>258364.01832760801</v>
      </c>
      <c r="S42" s="160">
        <v>10.9685300103</v>
      </c>
      <c r="T42" s="52"/>
      <c r="U42" s="160">
        <v>243971.795990546</v>
      </c>
      <c r="V42" s="160">
        <v>10.429195244200001</v>
      </c>
      <c r="W42" s="3"/>
      <c r="X42" s="160">
        <v>584043.36829975795</v>
      </c>
      <c r="Y42" s="160">
        <v>24.9792800285</v>
      </c>
      <c r="Z42" s="3"/>
      <c r="AA42" s="160">
        <v>13783.831136364701</v>
      </c>
      <c r="AB42" s="160">
        <v>0.58125883860000005</v>
      </c>
    </row>
    <row r="43" spans="1:28" ht="15" x14ac:dyDescent="0.2">
      <c r="B43" s="46" t="s">
        <v>56</v>
      </c>
      <c r="C43" s="247"/>
      <c r="D43" s="160">
        <v>623364.16859410505</v>
      </c>
      <c r="E43" s="248"/>
      <c r="F43" s="160">
        <v>13306.485338169899</v>
      </c>
      <c r="G43" s="160">
        <v>2.0237698978999998</v>
      </c>
      <c r="H43" s="248"/>
      <c r="I43" s="160">
        <v>17389.569088693999</v>
      </c>
      <c r="J43" s="160">
        <v>2.6777827316999998</v>
      </c>
      <c r="K43" s="50"/>
      <c r="L43" s="160">
        <v>38474.958502064903</v>
      </c>
      <c r="M43" s="160">
        <v>5.9555535037</v>
      </c>
      <c r="N43" s="248"/>
      <c r="O43" s="160">
        <v>94670.027531842905</v>
      </c>
      <c r="P43" s="160">
        <v>14.4374985583</v>
      </c>
      <c r="Q43" s="248"/>
      <c r="R43" s="160">
        <v>77161.572667389206</v>
      </c>
      <c r="S43" s="160">
        <v>11.805327781500001</v>
      </c>
      <c r="T43" s="52"/>
      <c r="U43" s="160">
        <v>100670.5830636</v>
      </c>
      <c r="V43" s="160">
        <v>15.372100683199999</v>
      </c>
      <c r="W43" s="3"/>
      <c r="X43" s="160">
        <v>208139.109451444</v>
      </c>
      <c r="Y43" s="160">
        <v>32.2773139759</v>
      </c>
      <c r="Z43" s="3"/>
      <c r="AA43" s="160">
        <v>16476.803150825901</v>
      </c>
      <c r="AB43" s="160">
        <v>2.5109883997</v>
      </c>
    </row>
    <row r="44" spans="1:28" ht="15" x14ac:dyDescent="0.2">
      <c r="B44" s="46" t="s">
        <v>57</v>
      </c>
      <c r="C44" s="247"/>
      <c r="D44" s="160">
        <v>426144.52179644001</v>
      </c>
      <c r="E44" s="248"/>
      <c r="F44" s="160">
        <v>30135.628935656401</v>
      </c>
      <c r="G44" s="160">
        <v>6.6925761140000004</v>
      </c>
      <c r="H44" s="248"/>
      <c r="I44" s="160">
        <v>45381.5504569314</v>
      </c>
      <c r="J44" s="160">
        <v>10.038759819699999</v>
      </c>
      <c r="K44" s="50"/>
      <c r="L44" s="160">
        <v>81658.737630542906</v>
      </c>
      <c r="M44" s="160">
        <v>18.293766453899998</v>
      </c>
      <c r="N44" s="248"/>
      <c r="O44" s="160">
        <v>49709.685466117597</v>
      </c>
      <c r="P44" s="160">
        <v>11.1462399693</v>
      </c>
      <c r="Q44" s="248"/>
      <c r="R44" s="160">
        <v>44013.4071606867</v>
      </c>
      <c r="S44" s="160">
        <v>9.8332665125999998</v>
      </c>
      <c r="T44" s="52"/>
      <c r="U44" s="160">
        <v>49713.205677704398</v>
      </c>
      <c r="V44" s="160">
        <v>11.2126530855</v>
      </c>
      <c r="W44" s="3"/>
      <c r="X44" s="160">
        <v>81969.933564809704</v>
      </c>
      <c r="Y44" s="160">
        <v>18.5627642462</v>
      </c>
      <c r="Z44" s="3"/>
      <c r="AA44" s="160">
        <v>4721.9198635003004</v>
      </c>
      <c r="AB44" s="160">
        <v>1.0513907527999999</v>
      </c>
    </row>
    <row r="45" spans="1:28" ht="6" customHeight="1" x14ac:dyDescent="0.2">
      <c r="B45" s="32"/>
      <c r="C45" s="14"/>
      <c r="D45" s="4"/>
      <c r="E45" s="249"/>
      <c r="F45" s="4"/>
      <c r="G45" s="250"/>
      <c r="H45" s="250"/>
      <c r="I45" s="4"/>
      <c r="J45" s="250"/>
      <c r="K45" s="251"/>
      <c r="L45" s="4"/>
      <c r="M45" s="250"/>
      <c r="N45" s="252"/>
      <c r="O45" s="4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</row>
    <row r="46" spans="1:28" ht="6" customHeight="1" x14ac:dyDescent="0.2">
      <c r="B46" s="253"/>
      <c r="C46" s="254"/>
      <c r="D46" s="254"/>
      <c r="E46" s="254"/>
      <c r="F46" s="254"/>
      <c r="G46" s="255"/>
      <c r="H46" s="255"/>
      <c r="I46" s="255"/>
      <c r="J46" s="256"/>
      <c r="K46" s="256"/>
      <c r="L46" s="255"/>
      <c r="M46" s="256"/>
      <c r="N46" s="256"/>
      <c r="O46" s="253"/>
      <c r="P46" s="257"/>
      <c r="Q46" s="231"/>
      <c r="R46" s="231"/>
      <c r="S46" s="231"/>
      <c r="T46" s="231"/>
      <c r="U46" s="231"/>
      <c r="V46" s="231"/>
      <c r="W46" s="231"/>
      <c r="X46" s="231"/>
      <c r="Y46" s="43"/>
      <c r="Z46" s="231"/>
      <c r="AA46" s="231"/>
      <c r="AB46" s="231"/>
    </row>
    <row r="47" spans="1:28" s="89" customFormat="1" ht="11.25" customHeight="1" x14ac:dyDescent="0.2">
      <c r="B47" s="24" t="s">
        <v>9</v>
      </c>
    </row>
    <row r="48" spans="1:28" s="3" customFormat="1" x14ac:dyDescent="0.2">
      <c r="A48" s="5"/>
    </row>
    <row r="49" spans="1:1" s="3" customFormat="1" x14ac:dyDescent="0.2">
      <c r="A49" s="5"/>
    </row>
    <row r="50" spans="1:1" s="3" customFormat="1" x14ac:dyDescent="0.2">
      <c r="A50" s="5"/>
    </row>
    <row r="51" spans="1:1" s="3" customFormat="1" x14ac:dyDescent="0.2">
      <c r="A51" s="5"/>
    </row>
    <row r="52" spans="1:1" s="3" customFormat="1" x14ac:dyDescent="0.2">
      <c r="A52" s="5"/>
    </row>
    <row r="53" spans="1:1" s="3" customFormat="1" x14ac:dyDescent="0.2">
      <c r="A53" s="5"/>
    </row>
    <row r="54" spans="1:1" s="3" customFormat="1" x14ac:dyDescent="0.2">
      <c r="A54" s="5"/>
    </row>
    <row r="55" spans="1:1" s="3" customFormat="1" x14ac:dyDescent="0.2">
      <c r="A55" s="5"/>
    </row>
    <row r="56" spans="1:1" s="3" customFormat="1" x14ac:dyDescent="0.2">
      <c r="A56" s="5"/>
    </row>
    <row r="57" spans="1:1" s="3" customFormat="1" x14ac:dyDescent="0.2">
      <c r="A57" s="5"/>
    </row>
    <row r="58" spans="1:1" s="3" customFormat="1" x14ac:dyDescent="0.2">
      <c r="A58" s="5"/>
    </row>
    <row r="59" spans="1:1" s="3" customFormat="1" x14ac:dyDescent="0.2">
      <c r="A59" s="5"/>
    </row>
    <row r="60" spans="1:1" s="3" customFormat="1" x14ac:dyDescent="0.2">
      <c r="A60" s="5"/>
    </row>
    <row r="61" spans="1:1" s="3" customFormat="1" x14ac:dyDescent="0.2">
      <c r="A61" s="5"/>
    </row>
    <row r="62" spans="1:1" s="3" customFormat="1" x14ac:dyDescent="0.2">
      <c r="A62" s="5"/>
    </row>
    <row r="63" spans="1:1" s="3" customFormat="1" x14ac:dyDescent="0.2">
      <c r="A63" s="5"/>
    </row>
    <row r="64" spans="1:1" s="3" customFormat="1" x14ac:dyDescent="0.2">
      <c r="A64" s="5"/>
    </row>
    <row r="65" spans="1:1" s="3" customFormat="1" x14ac:dyDescent="0.2">
      <c r="A65" s="5"/>
    </row>
    <row r="66" spans="1:1" s="3" customFormat="1" x14ac:dyDescent="0.2">
      <c r="A66" s="5"/>
    </row>
    <row r="67" spans="1:1" s="3" customFormat="1" x14ac:dyDescent="0.2">
      <c r="A67" s="5"/>
    </row>
    <row r="68" spans="1:1" s="3" customFormat="1" x14ac:dyDescent="0.2">
      <c r="A68" s="5"/>
    </row>
    <row r="69" spans="1:1" s="3" customFormat="1" x14ac:dyDescent="0.2">
      <c r="A69" s="5"/>
    </row>
    <row r="70" spans="1:1" s="3" customFormat="1" x14ac:dyDescent="0.2">
      <c r="A70" s="5"/>
    </row>
    <row r="71" spans="1:1" s="3" customFormat="1" x14ac:dyDescent="0.2">
      <c r="A71" s="5"/>
    </row>
    <row r="72" spans="1:1" s="3" customFormat="1" x14ac:dyDescent="0.2">
      <c r="A72" s="5"/>
    </row>
    <row r="73" spans="1:1" s="3" customFormat="1" x14ac:dyDescent="0.2">
      <c r="A73" s="5"/>
    </row>
    <row r="74" spans="1:1" s="3" customFormat="1" x14ac:dyDescent="0.2">
      <c r="A74" s="5"/>
    </row>
    <row r="75" spans="1:1" s="3" customFormat="1" x14ac:dyDescent="0.2">
      <c r="A75" s="5"/>
    </row>
    <row r="76" spans="1:1" s="3" customFormat="1" x14ac:dyDescent="0.2">
      <c r="A76" s="5"/>
    </row>
    <row r="77" spans="1:1" s="3" customFormat="1" x14ac:dyDescent="0.2">
      <c r="A77" s="5"/>
    </row>
    <row r="78" spans="1:1" s="3" customFormat="1" x14ac:dyDescent="0.2">
      <c r="A78" s="5"/>
    </row>
    <row r="79" spans="1:1" s="3" customFormat="1" x14ac:dyDescent="0.2">
      <c r="A79" s="5"/>
    </row>
    <row r="80" spans="1:1" s="3" customFormat="1" x14ac:dyDescent="0.2">
      <c r="A80" s="5"/>
    </row>
    <row r="81" spans="1:1" s="3" customFormat="1" x14ac:dyDescent="0.2">
      <c r="A81" s="5"/>
    </row>
    <row r="82" spans="1:1" s="3" customFormat="1" x14ac:dyDescent="0.2">
      <c r="A82" s="5"/>
    </row>
    <row r="83" spans="1:1" s="3" customFormat="1" x14ac:dyDescent="0.2">
      <c r="A83" s="5"/>
    </row>
    <row r="84" spans="1:1" s="3" customFormat="1" x14ac:dyDescent="0.2">
      <c r="A84" s="5"/>
    </row>
    <row r="85" spans="1:1" s="3" customFormat="1" x14ac:dyDescent="0.2">
      <c r="A85" s="5"/>
    </row>
    <row r="86" spans="1:1" s="3" customFormat="1" x14ac:dyDescent="0.2">
      <c r="A86" s="5"/>
    </row>
    <row r="87" spans="1:1" s="3" customFormat="1" x14ac:dyDescent="0.2">
      <c r="A87" s="5"/>
    </row>
    <row r="88" spans="1:1" s="3" customFormat="1" x14ac:dyDescent="0.2">
      <c r="A88" s="5"/>
    </row>
    <row r="89" spans="1:1" s="3" customFormat="1" x14ac:dyDescent="0.2">
      <c r="A89" s="5"/>
    </row>
    <row r="90" spans="1:1" s="3" customFormat="1" x14ac:dyDescent="0.2">
      <c r="A90" s="5"/>
    </row>
    <row r="91" spans="1:1" s="3" customFormat="1" x14ac:dyDescent="0.2">
      <c r="A91" s="5"/>
    </row>
    <row r="92" spans="1:1" s="3" customFormat="1" x14ac:dyDescent="0.2">
      <c r="A92" s="5"/>
    </row>
    <row r="93" spans="1:1" s="3" customFormat="1" x14ac:dyDescent="0.2">
      <c r="A93" s="5"/>
    </row>
    <row r="94" spans="1:1" s="3" customFormat="1" x14ac:dyDescent="0.2">
      <c r="A94" s="5"/>
    </row>
    <row r="95" spans="1:1" s="3" customFormat="1" x14ac:dyDescent="0.2">
      <c r="A95" s="5"/>
    </row>
    <row r="96" spans="1:1" s="3" customFormat="1" x14ac:dyDescent="0.2">
      <c r="A96" s="5"/>
    </row>
    <row r="97" spans="1:1" s="3" customFormat="1" x14ac:dyDescent="0.2">
      <c r="A97" s="5"/>
    </row>
    <row r="98" spans="1:1" s="3" customFormat="1" x14ac:dyDescent="0.2">
      <c r="A98" s="5"/>
    </row>
    <row r="99" spans="1:1" s="3" customFormat="1" x14ac:dyDescent="0.2">
      <c r="A99" s="5"/>
    </row>
    <row r="100" spans="1:1" s="3" customFormat="1" x14ac:dyDescent="0.2">
      <c r="A100" s="5"/>
    </row>
    <row r="101" spans="1:1" s="3" customFormat="1" x14ac:dyDescent="0.2">
      <c r="A101" s="5"/>
    </row>
    <row r="102" spans="1:1" s="3" customFormat="1" x14ac:dyDescent="0.2">
      <c r="A102" s="5"/>
    </row>
    <row r="103" spans="1:1" s="3" customFormat="1" x14ac:dyDescent="0.2">
      <c r="A103" s="5"/>
    </row>
    <row r="104" spans="1:1" s="3" customFormat="1" x14ac:dyDescent="0.2">
      <c r="A104" s="5"/>
    </row>
    <row r="105" spans="1:1" s="3" customFormat="1" x14ac:dyDescent="0.2">
      <c r="A105" s="5"/>
    </row>
    <row r="106" spans="1:1" s="3" customFormat="1" x14ac:dyDescent="0.2">
      <c r="A106" s="5"/>
    </row>
    <row r="107" spans="1:1" s="3" customFormat="1" x14ac:dyDescent="0.2">
      <c r="A107" s="5"/>
    </row>
    <row r="108" spans="1:1" s="3" customFormat="1" x14ac:dyDescent="0.2">
      <c r="A108" s="5"/>
    </row>
    <row r="109" spans="1:1" s="3" customFormat="1" x14ac:dyDescent="0.2">
      <c r="A109" s="5"/>
    </row>
    <row r="110" spans="1:1" s="3" customFormat="1" x14ac:dyDescent="0.2">
      <c r="A110" s="5"/>
    </row>
    <row r="111" spans="1:1" s="3" customFormat="1" x14ac:dyDescent="0.2">
      <c r="A111" s="5"/>
    </row>
    <row r="112" spans="1:1" s="3" customFormat="1" x14ac:dyDescent="0.2">
      <c r="A112" s="5"/>
    </row>
    <row r="113" spans="1:1" s="3" customFormat="1" x14ac:dyDescent="0.2">
      <c r="A113" s="5"/>
    </row>
    <row r="114" spans="1:1" s="3" customFormat="1" x14ac:dyDescent="0.2">
      <c r="A114" s="5"/>
    </row>
    <row r="115" spans="1:1" s="3" customFormat="1" x14ac:dyDescent="0.2">
      <c r="A115" s="5"/>
    </row>
    <row r="116" spans="1:1" s="3" customFormat="1" x14ac:dyDescent="0.2">
      <c r="A116" s="5"/>
    </row>
    <row r="117" spans="1:1" s="3" customFormat="1" x14ac:dyDescent="0.2">
      <c r="A117" s="5"/>
    </row>
    <row r="118" spans="1:1" s="3" customFormat="1" x14ac:dyDescent="0.2">
      <c r="A118" s="5"/>
    </row>
    <row r="119" spans="1:1" s="3" customFormat="1" x14ac:dyDescent="0.2">
      <c r="A119" s="5"/>
    </row>
    <row r="120" spans="1:1" s="3" customFormat="1" x14ac:dyDescent="0.2">
      <c r="A120" s="5"/>
    </row>
    <row r="121" spans="1:1" s="3" customFormat="1" x14ac:dyDescent="0.2">
      <c r="A121" s="5"/>
    </row>
    <row r="122" spans="1:1" s="3" customFormat="1" x14ac:dyDescent="0.2">
      <c r="A122" s="5"/>
    </row>
    <row r="123" spans="1:1" s="3" customFormat="1" x14ac:dyDescent="0.2">
      <c r="A123" s="5"/>
    </row>
    <row r="124" spans="1:1" s="3" customFormat="1" x14ac:dyDescent="0.2">
      <c r="A124" s="5"/>
    </row>
    <row r="125" spans="1:1" s="3" customFormat="1" x14ac:dyDescent="0.2">
      <c r="A125" s="5"/>
    </row>
    <row r="126" spans="1:1" s="3" customFormat="1" x14ac:dyDescent="0.2">
      <c r="A126" s="5"/>
    </row>
    <row r="127" spans="1:1" s="3" customFormat="1" x14ac:dyDescent="0.2">
      <c r="A127" s="5"/>
    </row>
    <row r="128" spans="1:1" s="3" customFormat="1" x14ac:dyDescent="0.2">
      <c r="A128" s="5"/>
    </row>
    <row r="129" spans="1:1" s="3" customFormat="1" x14ac:dyDescent="0.2">
      <c r="A129" s="5"/>
    </row>
    <row r="130" spans="1:1" s="3" customFormat="1" x14ac:dyDescent="0.2">
      <c r="A130" s="5"/>
    </row>
    <row r="131" spans="1:1" s="3" customFormat="1" x14ac:dyDescent="0.2">
      <c r="A131" s="5"/>
    </row>
    <row r="132" spans="1:1" s="3" customFormat="1" x14ac:dyDescent="0.2">
      <c r="A132" s="5"/>
    </row>
    <row r="133" spans="1:1" s="3" customFormat="1" x14ac:dyDescent="0.2">
      <c r="A133" s="5"/>
    </row>
    <row r="134" spans="1:1" s="3" customFormat="1" x14ac:dyDescent="0.2">
      <c r="A134" s="5"/>
    </row>
    <row r="135" spans="1:1" s="3" customFormat="1" x14ac:dyDescent="0.2">
      <c r="A135" s="5"/>
    </row>
    <row r="136" spans="1:1" s="3" customFormat="1" x14ac:dyDescent="0.2">
      <c r="A136" s="5"/>
    </row>
    <row r="137" spans="1:1" s="3" customFormat="1" x14ac:dyDescent="0.2">
      <c r="A137" s="5"/>
    </row>
    <row r="138" spans="1:1" s="3" customFormat="1" x14ac:dyDescent="0.2">
      <c r="A138" s="5"/>
    </row>
    <row r="139" spans="1:1" s="3" customFormat="1" x14ac:dyDescent="0.2">
      <c r="A139" s="5"/>
    </row>
    <row r="140" spans="1:1" s="3" customFormat="1" x14ac:dyDescent="0.2">
      <c r="A140" s="5"/>
    </row>
    <row r="141" spans="1:1" s="3" customFormat="1" x14ac:dyDescent="0.2">
      <c r="A141" s="5"/>
    </row>
    <row r="142" spans="1:1" s="3" customFormat="1" x14ac:dyDescent="0.2">
      <c r="A142" s="5"/>
    </row>
    <row r="143" spans="1:1" s="3" customFormat="1" x14ac:dyDescent="0.2">
      <c r="A143" s="5"/>
    </row>
    <row r="144" spans="1:1" s="3" customFormat="1" x14ac:dyDescent="0.2">
      <c r="A144" s="5"/>
    </row>
    <row r="145" spans="1:1" s="3" customFormat="1" x14ac:dyDescent="0.2">
      <c r="A145" s="5"/>
    </row>
    <row r="146" spans="1:1" s="3" customFormat="1" x14ac:dyDescent="0.2">
      <c r="A146" s="5"/>
    </row>
    <row r="147" spans="1:1" s="3" customFormat="1" x14ac:dyDescent="0.2">
      <c r="A147" s="5"/>
    </row>
    <row r="148" spans="1:1" s="3" customFormat="1" x14ac:dyDescent="0.2">
      <c r="A148" s="5"/>
    </row>
    <row r="149" spans="1:1" s="3" customFormat="1" x14ac:dyDescent="0.2">
      <c r="A149" s="5"/>
    </row>
    <row r="150" spans="1:1" s="3" customFormat="1" x14ac:dyDescent="0.2">
      <c r="A150" s="5"/>
    </row>
    <row r="151" spans="1:1" s="3" customFormat="1" x14ac:dyDescent="0.2">
      <c r="A151" s="5"/>
    </row>
    <row r="152" spans="1:1" s="3" customFormat="1" x14ac:dyDescent="0.2">
      <c r="A152" s="5"/>
    </row>
    <row r="153" spans="1:1" s="3" customFormat="1" x14ac:dyDescent="0.2">
      <c r="A153" s="5"/>
    </row>
    <row r="154" spans="1:1" s="3" customFormat="1" x14ac:dyDescent="0.2">
      <c r="A154" s="5"/>
    </row>
    <row r="155" spans="1:1" s="3" customFormat="1" x14ac:dyDescent="0.2">
      <c r="A155" s="5"/>
    </row>
    <row r="156" spans="1:1" s="3" customFormat="1" x14ac:dyDescent="0.2">
      <c r="A156" s="5"/>
    </row>
    <row r="157" spans="1:1" s="3" customFormat="1" x14ac:dyDescent="0.2">
      <c r="A157" s="5"/>
    </row>
    <row r="158" spans="1:1" s="3" customFormat="1" x14ac:dyDescent="0.2">
      <c r="A158" s="5"/>
    </row>
    <row r="159" spans="1:1" s="3" customFormat="1" x14ac:dyDescent="0.2">
      <c r="A159" s="5"/>
    </row>
    <row r="160" spans="1:1" s="3" customFormat="1" x14ac:dyDescent="0.2">
      <c r="A160" s="5"/>
    </row>
    <row r="161" spans="1:1" s="3" customFormat="1" x14ac:dyDescent="0.2">
      <c r="A161" s="5"/>
    </row>
    <row r="162" spans="1:1" s="3" customFormat="1" x14ac:dyDescent="0.2">
      <c r="A162" s="5"/>
    </row>
    <row r="163" spans="1:1" s="3" customFormat="1" x14ac:dyDescent="0.2">
      <c r="A163" s="5"/>
    </row>
    <row r="164" spans="1:1" s="3" customFormat="1" x14ac:dyDescent="0.2">
      <c r="A164" s="5"/>
    </row>
    <row r="165" spans="1:1" s="3" customFormat="1" x14ac:dyDescent="0.2">
      <c r="A165" s="5"/>
    </row>
    <row r="166" spans="1:1" s="3" customFormat="1" x14ac:dyDescent="0.2">
      <c r="A166" s="5"/>
    </row>
    <row r="167" spans="1:1" s="3" customFormat="1" x14ac:dyDescent="0.2">
      <c r="A167" s="5"/>
    </row>
    <row r="168" spans="1:1" s="3" customFormat="1" x14ac:dyDescent="0.2">
      <c r="A168" s="5"/>
    </row>
    <row r="169" spans="1:1" s="3" customFormat="1" x14ac:dyDescent="0.2">
      <c r="A169" s="5"/>
    </row>
    <row r="170" spans="1:1" s="3" customFormat="1" x14ac:dyDescent="0.2">
      <c r="A170" s="5"/>
    </row>
    <row r="171" spans="1:1" s="3" customFormat="1" x14ac:dyDescent="0.2">
      <c r="A171" s="5"/>
    </row>
    <row r="172" spans="1:1" s="3" customFormat="1" x14ac:dyDescent="0.2">
      <c r="A172" s="5"/>
    </row>
    <row r="173" spans="1:1" s="3" customFormat="1" x14ac:dyDescent="0.2">
      <c r="A173" s="5"/>
    </row>
    <row r="174" spans="1:1" s="3" customFormat="1" x14ac:dyDescent="0.2">
      <c r="A174" s="5"/>
    </row>
    <row r="175" spans="1:1" s="3" customFormat="1" x14ac:dyDescent="0.2">
      <c r="A175" s="5"/>
    </row>
    <row r="176" spans="1:1" s="3" customFormat="1" x14ac:dyDescent="0.2">
      <c r="A176" s="5"/>
    </row>
    <row r="177" spans="1:1" s="3" customFormat="1" x14ac:dyDescent="0.2">
      <c r="A177" s="5"/>
    </row>
    <row r="178" spans="1:1" s="3" customFormat="1" x14ac:dyDescent="0.2">
      <c r="A178" s="5"/>
    </row>
    <row r="179" spans="1:1" s="3" customFormat="1" x14ac:dyDescent="0.2">
      <c r="A179" s="5"/>
    </row>
    <row r="180" spans="1:1" s="3" customFormat="1" x14ac:dyDescent="0.2">
      <c r="A180" s="5"/>
    </row>
    <row r="181" spans="1:1" s="3" customFormat="1" x14ac:dyDescent="0.2">
      <c r="A181" s="5"/>
    </row>
    <row r="182" spans="1:1" s="3" customFormat="1" x14ac:dyDescent="0.2">
      <c r="A182" s="5"/>
    </row>
    <row r="183" spans="1:1" s="3" customFormat="1" x14ac:dyDescent="0.2">
      <c r="A183" s="5"/>
    </row>
    <row r="184" spans="1:1" s="3" customFormat="1" x14ac:dyDescent="0.2">
      <c r="A184" s="5"/>
    </row>
    <row r="185" spans="1:1" s="3" customFormat="1" x14ac:dyDescent="0.2">
      <c r="A185" s="5"/>
    </row>
    <row r="186" spans="1:1" s="3" customFormat="1" x14ac:dyDescent="0.2">
      <c r="A186" s="5"/>
    </row>
    <row r="187" spans="1:1" s="3" customFormat="1" x14ac:dyDescent="0.2">
      <c r="A187" s="5"/>
    </row>
    <row r="188" spans="1:1" s="3" customFormat="1" x14ac:dyDescent="0.2">
      <c r="A188" s="5"/>
    </row>
    <row r="189" spans="1:1" s="3" customFormat="1" x14ac:dyDescent="0.2">
      <c r="A189" s="5"/>
    </row>
    <row r="190" spans="1:1" s="3" customFormat="1" x14ac:dyDescent="0.2">
      <c r="A190" s="5"/>
    </row>
    <row r="191" spans="1:1" s="3" customFormat="1" x14ac:dyDescent="0.2">
      <c r="A191" s="5"/>
    </row>
    <row r="192" spans="1:1" s="3" customFormat="1" x14ac:dyDescent="0.2">
      <c r="A192" s="5"/>
    </row>
    <row r="193" spans="1:1" s="3" customFormat="1" x14ac:dyDescent="0.2">
      <c r="A193" s="5"/>
    </row>
    <row r="194" spans="1:1" s="3" customFormat="1" x14ac:dyDescent="0.2">
      <c r="A194" s="5"/>
    </row>
    <row r="195" spans="1:1" s="3" customFormat="1" x14ac:dyDescent="0.2">
      <c r="A195" s="5"/>
    </row>
    <row r="196" spans="1:1" s="3" customFormat="1" x14ac:dyDescent="0.2">
      <c r="A196" s="5"/>
    </row>
    <row r="197" spans="1:1" s="3" customFormat="1" x14ac:dyDescent="0.2">
      <c r="A197" s="5"/>
    </row>
    <row r="198" spans="1:1" s="3" customFormat="1" x14ac:dyDescent="0.2">
      <c r="A198" s="5"/>
    </row>
    <row r="199" spans="1:1" s="3" customFormat="1" x14ac:dyDescent="0.2">
      <c r="A199" s="5"/>
    </row>
    <row r="200" spans="1:1" s="3" customFormat="1" x14ac:dyDescent="0.2">
      <c r="A200" s="5"/>
    </row>
    <row r="201" spans="1:1" s="3" customFormat="1" x14ac:dyDescent="0.2">
      <c r="A201" s="5"/>
    </row>
    <row r="202" spans="1:1" s="3" customFormat="1" x14ac:dyDescent="0.2">
      <c r="A202" s="5"/>
    </row>
    <row r="203" spans="1:1" s="3" customFormat="1" x14ac:dyDescent="0.2">
      <c r="A203" s="5"/>
    </row>
    <row r="204" spans="1:1" s="3" customFormat="1" x14ac:dyDescent="0.2">
      <c r="A204" s="5"/>
    </row>
    <row r="205" spans="1:1" s="3" customFormat="1" x14ac:dyDescent="0.2">
      <c r="A205" s="5"/>
    </row>
    <row r="206" spans="1:1" s="3" customFormat="1" x14ac:dyDescent="0.2">
      <c r="A206" s="5"/>
    </row>
    <row r="207" spans="1:1" s="3" customFormat="1" x14ac:dyDescent="0.2">
      <c r="A207" s="5"/>
    </row>
    <row r="208" spans="1:1" s="3" customFormat="1" x14ac:dyDescent="0.2">
      <c r="A208" s="5"/>
    </row>
    <row r="209" spans="1:1" s="3" customFormat="1" x14ac:dyDescent="0.2">
      <c r="A209" s="5"/>
    </row>
    <row r="210" spans="1:1" s="3" customFormat="1" x14ac:dyDescent="0.2">
      <c r="A210" s="5"/>
    </row>
    <row r="211" spans="1:1" s="3" customFormat="1" x14ac:dyDescent="0.2">
      <c r="A211" s="5"/>
    </row>
    <row r="212" spans="1:1" s="3" customFormat="1" x14ac:dyDescent="0.2">
      <c r="A212" s="5"/>
    </row>
    <row r="213" spans="1:1" s="3" customFormat="1" x14ac:dyDescent="0.2">
      <c r="A213" s="5"/>
    </row>
    <row r="214" spans="1:1" s="3" customFormat="1" x14ac:dyDescent="0.2">
      <c r="A214" s="5"/>
    </row>
    <row r="215" spans="1:1" s="3" customFormat="1" x14ac:dyDescent="0.2">
      <c r="A215" s="5"/>
    </row>
    <row r="216" spans="1:1" s="3" customFormat="1" x14ac:dyDescent="0.2">
      <c r="A216" s="5"/>
    </row>
    <row r="217" spans="1:1" s="3" customFormat="1" x14ac:dyDescent="0.2">
      <c r="A217" s="5"/>
    </row>
    <row r="218" spans="1:1" s="3" customFormat="1" x14ac:dyDescent="0.2">
      <c r="A218" s="5"/>
    </row>
    <row r="219" spans="1:1" s="3" customFormat="1" x14ac:dyDescent="0.2">
      <c r="A219" s="5"/>
    </row>
    <row r="220" spans="1:1" s="3" customFormat="1" x14ac:dyDescent="0.2">
      <c r="A220" s="5"/>
    </row>
    <row r="221" spans="1:1" s="3" customFormat="1" x14ac:dyDescent="0.2">
      <c r="A221" s="5"/>
    </row>
    <row r="222" spans="1:1" s="3" customFormat="1" x14ac:dyDescent="0.2">
      <c r="A222" s="5"/>
    </row>
    <row r="223" spans="1:1" s="3" customFormat="1" x14ac:dyDescent="0.2">
      <c r="A223" s="5"/>
    </row>
    <row r="224" spans="1:1" s="3" customFormat="1" x14ac:dyDescent="0.2">
      <c r="A224" s="5"/>
    </row>
    <row r="225" spans="1:1" s="3" customFormat="1" x14ac:dyDescent="0.2">
      <c r="A225" s="5"/>
    </row>
    <row r="226" spans="1:1" s="3" customFormat="1" x14ac:dyDescent="0.2">
      <c r="A226" s="5"/>
    </row>
    <row r="227" spans="1:1" s="3" customFormat="1" x14ac:dyDescent="0.2">
      <c r="A227" s="5"/>
    </row>
    <row r="228" spans="1:1" s="3" customFormat="1" x14ac:dyDescent="0.2">
      <c r="A228" s="5"/>
    </row>
    <row r="229" spans="1:1" s="3" customFormat="1" x14ac:dyDescent="0.2">
      <c r="A229" s="5"/>
    </row>
    <row r="230" spans="1:1" s="3" customFormat="1" x14ac:dyDescent="0.2">
      <c r="A230" s="5"/>
    </row>
    <row r="231" spans="1:1" s="3" customFormat="1" x14ac:dyDescent="0.2">
      <c r="A231" s="5"/>
    </row>
    <row r="232" spans="1:1" s="3" customFormat="1" x14ac:dyDescent="0.2">
      <c r="A232" s="5"/>
    </row>
    <row r="233" spans="1:1" s="3" customFormat="1" x14ac:dyDescent="0.2">
      <c r="A233" s="5"/>
    </row>
    <row r="234" spans="1:1" s="3" customFormat="1" x14ac:dyDescent="0.2">
      <c r="A234" s="5"/>
    </row>
    <row r="235" spans="1:1" s="3" customFormat="1" x14ac:dyDescent="0.2">
      <c r="A235" s="5"/>
    </row>
    <row r="236" spans="1:1" s="3" customFormat="1" x14ac:dyDescent="0.2">
      <c r="A236" s="5"/>
    </row>
    <row r="237" spans="1:1" s="3" customFormat="1" x14ac:dyDescent="0.2">
      <c r="A237" s="5"/>
    </row>
    <row r="238" spans="1:1" s="3" customFormat="1" x14ac:dyDescent="0.2">
      <c r="A238" s="5"/>
    </row>
    <row r="239" spans="1:1" s="3" customFormat="1" x14ac:dyDescent="0.2">
      <c r="A239" s="5"/>
    </row>
    <row r="240" spans="1:1" s="3" customFormat="1" x14ac:dyDescent="0.2">
      <c r="A240" s="5"/>
    </row>
    <row r="241" spans="1:1" s="3" customFormat="1" x14ac:dyDescent="0.2">
      <c r="A241" s="5"/>
    </row>
    <row r="242" spans="1:1" s="3" customFormat="1" x14ac:dyDescent="0.2">
      <c r="A242" s="5"/>
    </row>
    <row r="243" spans="1:1" s="3" customFormat="1" x14ac:dyDescent="0.2">
      <c r="A243" s="5"/>
    </row>
    <row r="244" spans="1:1" s="3" customFormat="1" x14ac:dyDescent="0.2">
      <c r="A244" s="5"/>
    </row>
    <row r="245" spans="1:1" s="3" customFormat="1" x14ac:dyDescent="0.2">
      <c r="A245" s="5"/>
    </row>
    <row r="246" spans="1:1" s="3" customFormat="1" x14ac:dyDescent="0.2">
      <c r="A246" s="5"/>
    </row>
    <row r="247" spans="1:1" s="3" customFormat="1" x14ac:dyDescent="0.2">
      <c r="A247" s="5"/>
    </row>
    <row r="248" spans="1:1" s="3" customFormat="1" x14ac:dyDescent="0.2">
      <c r="A248" s="5"/>
    </row>
    <row r="249" spans="1:1" s="3" customFormat="1" x14ac:dyDescent="0.2">
      <c r="A249" s="5"/>
    </row>
    <row r="250" spans="1:1" s="3" customFormat="1" x14ac:dyDescent="0.2">
      <c r="A250" s="5"/>
    </row>
    <row r="251" spans="1:1" s="3" customFormat="1" x14ac:dyDescent="0.2">
      <c r="A251" s="5"/>
    </row>
    <row r="252" spans="1:1" s="3" customFormat="1" x14ac:dyDescent="0.2">
      <c r="A252" s="5"/>
    </row>
    <row r="253" spans="1:1" s="3" customFormat="1" x14ac:dyDescent="0.2">
      <c r="A253" s="5"/>
    </row>
    <row r="254" spans="1:1" s="3" customFormat="1" x14ac:dyDescent="0.2">
      <c r="A254" s="5"/>
    </row>
    <row r="255" spans="1:1" s="3" customFormat="1" x14ac:dyDescent="0.2">
      <c r="A255" s="5"/>
    </row>
    <row r="256" spans="1:1" s="3" customFormat="1" x14ac:dyDescent="0.2">
      <c r="A256" s="5"/>
    </row>
    <row r="257" spans="1:1" s="3" customFormat="1" x14ac:dyDescent="0.2">
      <c r="A257" s="5"/>
    </row>
    <row r="258" spans="1:1" s="3" customFormat="1" x14ac:dyDescent="0.2">
      <c r="A258" s="5"/>
    </row>
    <row r="259" spans="1:1" s="3" customFormat="1" x14ac:dyDescent="0.2">
      <c r="A259" s="5"/>
    </row>
    <row r="260" spans="1:1" s="3" customFormat="1" x14ac:dyDescent="0.2">
      <c r="A260" s="5"/>
    </row>
    <row r="261" spans="1:1" s="3" customFormat="1" x14ac:dyDescent="0.2">
      <c r="A261" s="5"/>
    </row>
    <row r="262" spans="1:1" s="3" customFormat="1" x14ac:dyDescent="0.2">
      <c r="A262" s="5"/>
    </row>
    <row r="263" spans="1:1" s="3" customFormat="1" x14ac:dyDescent="0.2">
      <c r="A263" s="5"/>
    </row>
    <row r="264" spans="1:1" s="3" customFormat="1" x14ac:dyDescent="0.2">
      <c r="A264" s="5"/>
    </row>
    <row r="265" spans="1:1" s="3" customFormat="1" x14ac:dyDescent="0.2">
      <c r="A265" s="5"/>
    </row>
    <row r="266" spans="1:1" s="3" customFormat="1" x14ac:dyDescent="0.2">
      <c r="A266" s="5"/>
    </row>
    <row r="267" spans="1:1" s="3" customFormat="1" x14ac:dyDescent="0.2">
      <c r="A267" s="5"/>
    </row>
    <row r="268" spans="1:1" s="3" customFormat="1" x14ac:dyDescent="0.2">
      <c r="A268" s="5"/>
    </row>
    <row r="269" spans="1:1" s="3" customFormat="1" x14ac:dyDescent="0.2">
      <c r="A269" s="5"/>
    </row>
    <row r="270" spans="1:1" s="3" customFormat="1" x14ac:dyDescent="0.2">
      <c r="A270" s="5"/>
    </row>
    <row r="271" spans="1:1" s="3" customFormat="1" x14ac:dyDescent="0.2">
      <c r="A271" s="5"/>
    </row>
    <row r="272" spans="1:1" s="3" customFormat="1" x14ac:dyDescent="0.2">
      <c r="A272" s="5"/>
    </row>
    <row r="273" spans="1:1" s="3" customFormat="1" x14ac:dyDescent="0.2">
      <c r="A273" s="5"/>
    </row>
    <row r="274" spans="1:1" s="3" customFormat="1" x14ac:dyDescent="0.2">
      <c r="A274" s="5"/>
    </row>
    <row r="275" spans="1:1" s="3" customFormat="1" x14ac:dyDescent="0.2">
      <c r="A275" s="5"/>
    </row>
    <row r="276" spans="1:1" s="3" customFormat="1" x14ac:dyDescent="0.2">
      <c r="A276" s="5"/>
    </row>
    <row r="277" spans="1:1" s="3" customFormat="1" x14ac:dyDescent="0.2">
      <c r="A277" s="5"/>
    </row>
    <row r="278" spans="1:1" s="3" customFormat="1" x14ac:dyDescent="0.2">
      <c r="A278" s="5"/>
    </row>
    <row r="279" spans="1:1" s="3" customFormat="1" x14ac:dyDescent="0.2">
      <c r="A279" s="5"/>
    </row>
    <row r="280" spans="1:1" s="3" customFormat="1" x14ac:dyDescent="0.2">
      <c r="A280" s="5"/>
    </row>
    <row r="281" spans="1:1" s="3" customFormat="1" x14ac:dyDescent="0.2">
      <c r="A281" s="5"/>
    </row>
    <row r="282" spans="1:1" s="3" customFormat="1" x14ac:dyDescent="0.2">
      <c r="A282" s="5"/>
    </row>
    <row r="283" spans="1:1" s="3" customFormat="1" x14ac:dyDescent="0.2">
      <c r="A283" s="5"/>
    </row>
    <row r="284" spans="1:1" s="3" customFormat="1" x14ac:dyDescent="0.2">
      <c r="A284" s="5"/>
    </row>
    <row r="285" spans="1:1" s="3" customFormat="1" x14ac:dyDescent="0.2">
      <c r="A285" s="5"/>
    </row>
    <row r="286" spans="1:1" s="3" customFormat="1" x14ac:dyDescent="0.2">
      <c r="A286" s="5"/>
    </row>
    <row r="287" spans="1:1" s="3" customFormat="1" x14ac:dyDescent="0.2">
      <c r="A287" s="5"/>
    </row>
    <row r="288" spans="1:1" s="3" customFormat="1" x14ac:dyDescent="0.2">
      <c r="A288" s="5"/>
    </row>
    <row r="289" spans="1:1" s="3" customFormat="1" x14ac:dyDescent="0.2">
      <c r="A289" s="5"/>
    </row>
    <row r="290" spans="1:1" s="3" customFormat="1" x14ac:dyDescent="0.2">
      <c r="A290" s="5"/>
    </row>
    <row r="291" spans="1:1" s="3" customFormat="1" x14ac:dyDescent="0.2">
      <c r="A291" s="5"/>
    </row>
    <row r="292" spans="1:1" s="3" customFormat="1" x14ac:dyDescent="0.2">
      <c r="A292" s="5"/>
    </row>
    <row r="293" spans="1:1" s="3" customFormat="1" x14ac:dyDescent="0.2">
      <c r="A293" s="5"/>
    </row>
    <row r="294" spans="1:1" s="3" customFormat="1" x14ac:dyDescent="0.2">
      <c r="A294" s="5"/>
    </row>
    <row r="295" spans="1:1" s="3" customFormat="1" x14ac:dyDescent="0.2">
      <c r="A295" s="5"/>
    </row>
    <row r="296" spans="1:1" s="3" customFormat="1" x14ac:dyDescent="0.2">
      <c r="A296" s="5"/>
    </row>
    <row r="297" spans="1:1" s="3" customFormat="1" x14ac:dyDescent="0.2">
      <c r="A297" s="5"/>
    </row>
    <row r="298" spans="1:1" s="3" customFormat="1" x14ac:dyDescent="0.2">
      <c r="A298" s="5"/>
    </row>
    <row r="299" spans="1:1" s="3" customFormat="1" x14ac:dyDescent="0.2">
      <c r="A299" s="5"/>
    </row>
    <row r="300" spans="1:1" s="3" customFormat="1" x14ac:dyDescent="0.2">
      <c r="A300" s="5"/>
    </row>
    <row r="301" spans="1:1" s="3" customFormat="1" x14ac:dyDescent="0.2">
      <c r="A301" s="5"/>
    </row>
    <row r="302" spans="1:1" s="3" customFormat="1" x14ac:dyDescent="0.2">
      <c r="A302" s="5"/>
    </row>
    <row r="303" spans="1:1" s="3" customFormat="1" x14ac:dyDescent="0.2">
      <c r="A303" s="5"/>
    </row>
    <row r="304" spans="1:1" s="3" customFormat="1" x14ac:dyDescent="0.2">
      <c r="A304" s="5"/>
    </row>
    <row r="305" spans="1:1" s="3" customFormat="1" x14ac:dyDescent="0.2">
      <c r="A305" s="5"/>
    </row>
    <row r="306" spans="1:1" s="3" customFormat="1" x14ac:dyDescent="0.2">
      <c r="A306" s="5"/>
    </row>
    <row r="307" spans="1:1" s="3" customFormat="1" x14ac:dyDescent="0.2">
      <c r="A307" s="5"/>
    </row>
    <row r="308" spans="1:1" s="3" customFormat="1" x14ac:dyDescent="0.2">
      <c r="A308" s="5"/>
    </row>
    <row r="309" spans="1:1" s="3" customFormat="1" x14ac:dyDescent="0.2">
      <c r="A309" s="5"/>
    </row>
    <row r="310" spans="1:1" s="3" customFormat="1" x14ac:dyDescent="0.2">
      <c r="A310" s="5"/>
    </row>
    <row r="311" spans="1:1" s="3" customFormat="1" x14ac:dyDescent="0.2">
      <c r="A311" s="5"/>
    </row>
    <row r="312" spans="1:1" s="3" customFormat="1" x14ac:dyDescent="0.2">
      <c r="A312" s="5"/>
    </row>
    <row r="313" spans="1:1" s="3" customFormat="1" x14ac:dyDescent="0.2">
      <c r="A313" s="5"/>
    </row>
    <row r="314" spans="1:1" s="3" customFormat="1" x14ac:dyDescent="0.2">
      <c r="A314" s="5"/>
    </row>
    <row r="315" spans="1:1" s="3" customFormat="1" x14ac:dyDescent="0.2">
      <c r="A315" s="5"/>
    </row>
    <row r="316" spans="1:1" s="3" customFormat="1" x14ac:dyDescent="0.2">
      <c r="A316" s="5"/>
    </row>
    <row r="317" spans="1:1" s="3" customFormat="1" x14ac:dyDescent="0.2">
      <c r="A317" s="5"/>
    </row>
    <row r="318" spans="1:1" s="3" customFormat="1" x14ac:dyDescent="0.2">
      <c r="A318" s="5"/>
    </row>
    <row r="319" spans="1:1" s="3" customFormat="1" x14ac:dyDescent="0.2">
      <c r="A319" s="5"/>
    </row>
    <row r="320" spans="1:1" s="3" customFormat="1" x14ac:dyDescent="0.2">
      <c r="A320" s="5"/>
    </row>
    <row r="321" spans="1:1" s="3" customFormat="1" x14ac:dyDescent="0.2">
      <c r="A321" s="5"/>
    </row>
    <row r="322" spans="1:1" s="3" customFormat="1" x14ac:dyDescent="0.2">
      <c r="A322" s="5"/>
    </row>
    <row r="323" spans="1:1" s="3" customFormat="1" x14ac:dyDescent="0.2">
      <c r="A323" s="5"/>
    </row>
    <row r="324" spans="1:1" s="3" customFormat="1" x14ac:dyDescent="0.2">
      <c r="A324" s="5"/>
    </row>
    <row r="325" spans="1:1" s="3" customFormat="1" x14ac:dyDescent="0.2">
      <c r="A325" s="5"/>
    </row>
    <row r="326" spans="1:1" s="3" customFormat="1" x14ac:dyDescent="0.2">
      <c r="A326" s="5"/>
    </row>
    <row r="327" spans="1:1" s="3" customFormat="1" x14ac:dyDescent="0.2">
      <c r="A327" s="5"/>
    </row>
    <row r="328" spans="1:1" s="3" customFormat="1" x14ac:dyDescent="0.2">
      <c r="A328" s="5"/>
    </row>
    <row r="329" spans="1:1" s="3" customFormat="1" x14ac:dyDescent="0.2">
      <c r="A329" s="5"/>
    </row>
    <row r="330" spans="1:1" s="3" customFormat="1" x14ac:dyDescent="0.2">
      <c r="A330" s="5"/>
    </row>
    <row r="331" spans="1:1" s="3" customFormat="1" x14ac:dyDescent="0.2">
      <c r="A331" s="5"/>
    </row>
    <row r="332" spans="1:1" s="3" customFormat="1" x14ac:dyDescent="0.2">
      <c r="A332" s="5"/>
    </row>
    <row r="333" spans="1:1" s="3" customFormat="1" x14ac:dyDescent="0.2">
      <c r="A333" s="5"/>
    </row>
    <row r="334" spans="1:1" s="3" customFormat="1" x14ac:dyDescent="0.2">
      <c r="A334" s="5"/>
    </row>
    <row r="335" spans="1:1" s="3" customFormat="1" x14ac:dyDescent="0.2">
      <c r="A335" s="5"/>
    </row>
    <row r="336" spans="1:1" s="3" customFormat="1" x14ac:dyDescent="0.2">
      <c r="A336" s="5"/>
    </row>
    <row r="337" spans="1:1" s="3" customFormat="1" x14ac:dyDescent="0.2">
      <c r="A337" s="5"/>
    </row>
    <row r="338" spans="1:1" s="3" customFormat="1" x14ac:dyDescent="0.2">
      <c r="A338" s="5"/>
    </row>
    <row r="339" spans="1:1" s="3" customFormat="1" x14ac:dyDescent="0.2">
      <c r="A339" s="5"/>
    </row>
    <row r="340" spans="1:1" s="3" customFormat="1" x14ac:dyDescent="0.2">
      <c r="A340" s="5"/>
    </row>
    <row r="341" spans="1:1" s="3" customFormat="1" x14ac:dyDescent="0.2">
      <c r="A341" s="5"/>
    </row>
    <row r="342" spans="1:1" s="3" customFormat="1" x14ac:dyDescent="0.2">
      <c r="A342" s="5"/>
    </row>
    <row r="343" spans="1:1" s="3" customFormat="1" x14ac:dyDescent="0.2">
      <c r="A343" s="5"/>
    </row>
    <row r="344" spans="1:1" s="3" customFormat="1" x14ac:dyDescent="0.2">
      <c r="A344" s="5"/>
    </row>
    <row r="345" spans="1:1" s="3" customFormat="1" x14ac:dyDescent="0.2">
      <c r="A345" s="5"/>
    </row>
    <row r="346" spans="1:1" s="3" customFormat="1" x14ac:dyDescent="0.2">
      <c r="A346" s="5"/>
    </row>
    <row r="347" spans="1:1" s="3" customFormat="1" x14ac:dyDescent="0.2">
      <c r="A347" s="5"/>
    </row>
    <row r="348" spans="1:1" s="3" customFormat="1" x14ac:dyDescent="0.2">
      <c r="A348" s="5"/>
    </row>
    <row r="349" spans="1:1" s="3" customFormat="1" x14ac:dyDescent="0.2">
      <c r="A349" s="5"/>
    </row>
    <row r="350" spans="1:1" s="3" customFormat="1" x14ac:dyDescent="0.2">
      <c r="A350" s="5"/>
    </row>
    <row r="351" spans="1:1" s="3" customFormat="1" x14ac:dyDescent="0.2">
      <c r="A351" s="5"/>
    </row>
    <row r="352" spans="1:1" s="3" customFormat="1" x14ac:dyDescent="0.2">
      <c r="A352" s="5"/>
    </row>
    <row r="353" spans="1:1" s="3" customFormat="1" x14ac:dyDescent="0.2">
      <c r="A353" s="5"/>
    </row>
    <row r="354" spans="1:1" s="3" customFormat="1" x14ac:dyDescent="0.2">
      <c r="A354" s="5"/>
    </row>
    <row r="355" spans="1:1" s="3" customFormat="1" x14ac:dyDescent="0.2">
      <c r="A355" s="5"/>
    </row>
    <row r="356" spans="1:1" s="3" customFormat="1" x14ac:dyDescent="0.2">
      <c r="A356" s="5"/>
    </row>
    <row r="357" spans="1:1" s="3" customFormat="1" x14ac:dyDescent="0.2">
      <c r="A357" s="5"/>
    </row>
    <row r="358" spans="1:1" s="3" customFormat="1" x14ac:dyDescent="0.2">
      <c r="A358" s="5"/>
    </row>
    <row r="359" spans="1:1" s="3" customFormat="1" x14ac:dyDescent="0.2">
      <c r="A359" s="5"/>
    </row>
    <row r="360" spans="1:1" s="3" customFormat="1" x14ac:dyDescent="0.2">
      <c r="A360" s="5"/>
    </row>
    <row r="361" spans="1:1" s="3" customFormat="1" x14ac:dyDescent="0.2">
      <c r="A361" s="5"/>
    </row>
    <row r="362" spans="1:1" s="3" customFormat="1" x14ac:dyDescent="0.2">
      <c r="A362" s="5"/>
    </row>
    <row r="363" spans="1:1" s="3" customFormat="1" x14ac:dyDescent="0.2">
      <c r="A363" s="5"/>
    </row>
    <row r="364" spans="1:1" s="3" customFormat="1" x14ac:dyDescent="0.2">
      <c r="A364" s="5"/>
    </row>
    <row r="365" spans="1:1" s="3" customFormat="1" x14ac:dyDescent="0.2">
      <c r="A365" s="5"/>
    </row>
    <row r="366" spans="1:1" s="3" customFormat="1" x14ac:dyDescent="0.2">
      <c r="A366" s="5"/>
    </row>
    <row r="367" spans="1:1" s="3" customFormat="1" x14ac:dyDescent="0.2">
      <c r="A367" s="5"/>
    </row>
    <row r="368" spans="1:1" s="3" customFormat="1" x14ac:dyDescent="0.2">
      <c r="A368" s="5"/>
    </row>
    <row r="369" spans="1:1" s="3" customFormat="1" x14ac:dyDescent="0.2">
      <c r="A369" s="5"/>
    </row>
    <row r="370" spans="1:1" s="3" customFormat="1" x14ac:dyDescent="0.2">
      <c r="A370" s="5"/>
    </row>
    <row r="371" spans="1:1" s="3" customFormat="1" x14ac:dyDescent="0.2">
      <c r="A371" s="5"/>
    </row>
    <row r="372" spans="1:1" s="3" customFormat="1" x14ac:dyDescent="0.2">
      <c r="A372" s="5"/>
    </row>
    <row r="373" spans="1:1" s="3" customFormat="1" x14ac:dyDescent="0.2">
      <c r="A373" s="5"/>
    </row>
    <row r="374" spans="1:1" s="3" customFormat="1" x14ac:dyDescent="0.2">
      <c r="A374" s="5"/>
    </row>
    <row r="375" spans="1:1" s="3" customFormat="1" x14ac:dyDescent="0.2">
      <c r="A375" s="5"/>
    </row>
    <row r="376" spans="1:1" s="3" customFormat="1" x14ac:dyDescent="0.2">
      <c r="A376" s="5"/>
    </row>
    <row r="377" spans="1:1" s="3" customFormat="1" x14ac:dyDescent="0.2">
      <c r="A377" s="5"/>
    </row>
    <row r="378" spans="1:1" s="3" customFormat="1" x14ac:dyDescent="0.2">
      <c r="A378" s="5"/>
    </row>
    <row r="379" spans="1:1" s="3" customFormat="1" x14ac:dyDescent="0.2">
      <c r="A379" s="5"/>
    </row>
    <row r="380" spans="1:1" s="3" customFormat="1" x14ac:dyDescent="0.2">
      <c r="A380" s="5"/>
    </row>
    <row r="381" spans="1:1" s="3" customFormat="1" x14ac:dyDescent="0.2">
      <c r="A381" s="5"/>
    </row>
    <row r="382" spans="1:1" s="3" customFormat="1" x14ac:dyDescent="0.2">
      <c r="A382" s="5"/>
    </row>
    <row r="383" spans="1:1" s="3" customFormat="1" x14ac:dyDescent="0.2">
      <c r="A383" s="5"/>
    </row>
    <row r="384" spans="1:1" s="3" customFormat="1" x14ac:dyDescent="0.2">
      <c r="A384" s="5"/>
    </row>
    <row r="385" spans="1:1" s="3" customFormat="1" x14ac:dyDescent="0.2">
      <c r="A385" s="5"/>
    </row>
    <row r="386" spans="1:1" s="3" customFormat="1" x14ac:dyDescent="0.2">
      <c r="A386" s="5"/>
    </row>
    <row r="387" spans="1:1" s="3" customFormat="1" x14ac:dyDescent="0.2">
      <c r="A387" s="5"/>
    </row>
    <row r="388" spans="1:1" s="3" customFormat="1" x14ac:dyDescent="0.2">
      <c r="A388" s="5"/>
    </row>
    <row r="389" spans="1:1" s="3" customFormat="1" x14ac:dyDescent="0.2">
      <c r="A389" s="5"/>
    </row>
    <row r="390" spans="1:1" s="3" customFormat="1" x14ac:dyDescent="0.2">
      <c r="A390" s="5"/>
    </row>
    <row r="391" spans="1:1" s="3" customFormat="1" x14ac:dyDescent="0.2">
      <c r="A391" s="5"/>
    </row>
    <row r="392" spans="1:1" s="3" customFormat="1" x14ac:dyDescent="0.2">
      <c r="A392" s="5"/>
    </row>
    <row r="393" spans="1:1" s="3" customFormat="1" x14ac:dyDescent="0.2">
      <c r="A393" s="5"/>
    </row>
    <row r="394" spans="1:1" s="3" customFormat="1" x14ac:dyDescent="0.2">
      <c r="A394" s="5"/>
    </row>
    <row r="395" spans="1:1" s="3" customFormat="1" x14ac:dyDescent="0.2">
      <c r="A395" s="5"/>
    </row>
    <row r="396" spans="1:1" s="3" customFormat="1" x14ac:dyDescent="0.2">
      <c r="A396" s="5"/>
    </row>
    <row r="397" spans="1:1" s="3" customFormat="1" x14ac:dyDescent="0.2">
      <c r="A397" s="5"/>
    </row>
    <row r="398" spans="1:1" s="3" customFormat="1" x14ac:dyDescent="0.2">
      <c r="A398" s="5"/>
    </row>
    <row r="399" spans="1:1" s="3" customFormat="1" x14ac:dyDescent="0.2">
      <c r="A399" s="5"/>
    </row>
    <row r="400" spans="1:1" s="3" customFormat="1" x14ac:dyDescent="0.2">
      <c r="A400" s="5"/>
    </row>
    <row r="401" spans="1:1" s="3" customFormat="1" x14ac:dyDescent="0.2">
      <c r="A401" s="5"/>
    </row>
    <row r="402" spans="1:1" s="3" customFormat="1" x14ac:dyDescent="0.2">
      <c r="A402" s="5"/>
    </row>
    <row r="403" spans="1:1" s="3" customFormat="1" x14ac:dyDescent="0.2">
      <c r="A403" s="5"/>
    </row>
    <row r="404" spans="1:1" s="3" customFormat="1" x14ac:dyDescent="0.2">
      <c r="A404" s="5"/>
    </row>
    <row r="405" spans="1:1" s="3" customFormat="1" x14ac:dyDescent="0.2">
      <c r="A405" s="5"/>
    </row>
    <row r="406" spans="1:1" s="3" customFormat="1" x14ac:dyDescent="0.2">
      <c r="A406" s="5"/>
    </row>
    <row r="407" spans="1:1" s="3" customFormat="1" x14ac:dyDescent="0.2">
      <c r="A407" s="5"/>
    </row>
    <row r="408" spans="1:1" s="3" customFormat="1" x14ac:dyDescent="0.2">
      <c r="A408" s="5"/>
    </row>
    <row r="409" spans="1:1" s="3" customFormat="1" x14ac:dyDescent="0.2">
      <c r="A409" s="5"/>
    </row>
    <row r="410" spans="1:1" s="3" customFormat="1" x14ac:dyDescent="0.2">
      <c r="A410" s="5"/>
    </row>
    <row r="411" spans="1:1" s="3" customFormat="1" x14ac:dyDescent="0.2">
      <c r="A411" s="5"/>
    </row>
    <row r="412" spans="1:1" s="3" customFormat="1" x14ac:dyDescent="0.2">
      <c r="A412" s="5"/>
    </row>
    <row r="413" spans="1:1" s="3" customFormat="1" x14ac:dyDescent="0.2">
      <c r="A413" s="5"/>
    </row>
    <row r="414" spans="1:1" s="3" customFormat="1" x14ac:dyDescent="0.2">
      <c r="A414" s="5"/>
    </row>
    <row r="415" spans="1:1" s="3" customFormat="1" x14ac:dyDescent="0.2">
      <c r="A415" s="5"/>
    </row>
    <row r="416" spans="1:1" s="3" customFormat="1" x14ac:dyDescent="0.2">
      <c r="A416" s="5"/>
    </row>
    <row r="417" spans="1:1" s="3" customFormat="1" x14ac:dyDescent="0.2">
      <c r="A417" s="5"/>
    </row>
    <row r="418" spans="1:1" s="3" customFormat="1" x14ac:dyDescent="0.2">
      <c r="A418" s="5"/>
    </row>
    <row r="419" spans="1:1" s="3" customFormat="1" x14ac:dyDescent="0.2">
      <c r="A419" s="5"/>
    </row>
    <row r="420" spans="1:1" s="3" customFormat="1" x14ac:dyDescent="0.2">
      <c r="A420" s="5"/>
    </row>
    <row r="421" spans="1:1" s="3" customFormat="1" x14ac:dyDescent="0.2">
      <c r="A421" s="5"/>
    </row>
    <row r="422" spans="1:1" s="3" customFormat="1" x14ac:dyDescent="0.2">
      <c r="A422" s="5"/>
    </row>
    <row r="423" spans="1:1" s="3" customFormat="1" x14ac:dyDescent="0.2">
      <c r="A423" s="5"/>
    </row>
    <row r="424" spans="1:1" s="3" customFormat="1" x14ac:dyDescent="0.2">
      <c r="A424" s="5"/>
    </row>
    <row r="425" spans="1:1" s="3" customFormat="1" x14ac:dyDescent="0.2">
      <c r="A425" s="5"/>
    </row>
    <row r="426" spans="1:1" s="3" customFormat="1" x14ac:dyDescent="0.2">
      <c r="A426" s="5"/>
    </row>
    <row r="427" spans="1:1" s="3" customFormat="1" x14ac:dyDescent="0.2">
      <c r="A427" s="5"/>
    </row>
    <row r="428" spans="1:1" s="3" customFormat="1" x14ac:dyDescent="0.2">
      <c r="A428" s="5"/>
    </row>
    <row r="429" spans="1:1" s="3" customFormat="1" x14ac:dyDescent="0.2">
      <c r="A429" s="5"/>
    </row>
    <row r="430" spans="1:1" s="3" customFormat="1" x14ac:dyDescent="0.2">
      <c r="A430" s="5"/>
    </row>
    <row r="431" spans="1:1" s="3" customFormat="1" x14ac:dyDescent="0.2">
      <c r="A431" s="5"/>
    </row>
    <row r="432" spans="1:1" s="3" customFormat="1" x14ac:dyDescent="0.2">
      <c r="A432" s="5"/>
    </row>
    <row r="433" spans="1:1" s="3" customFormat="1" x14ac:dyDescent="0.2">
      <c r="A433" s="5"/>
    </row>
    <row r="434" spans="1:1" s="3" customFormat="1" x14ac:dyDescent="0.2">
      <c r="A434" s="5"/>
    </row>
    <row r="435" spans="1:1" s="3" customFormat="1" x14ac:dyDescent="0.2">
      <c r="A435" s="5"/>
    </row>
    <row r="436" spans="1:1" s="3" customFormat="1" x14ac:dyDescent="0.2">
      <c r="A436" s="5"/>
    </row>
    <row r="437" spans="1:1" s="3" customFormat="1" x14ac:dyDescent="0.2">
      <c r="A437" s="5"/>
    </row>
    <row r="438" spans="1:1" s="3" customFormat="1" x14ac:dyDescent="0.2">
      <c r="A438" s="5"/>
    </row>
    <row r="439" spans="1:1" s="3" customFormat="1" x14ac:dyDescent="0.2">
      <c r="A439" s="5"/>
    </row>
    <row r="440" spans="1:1" s="3" customFormat="1" x14ac:dyDescent="0.2">
      <c r="A440" s="5"/>
    </row>
    <row r="441" spans="1:1" s="3" customFormat="1" x14ac:dyDescent="0.2">
      <c r="A441" s="5"/>
    </row>
    <row r="442" spans="1:1" s="3" customFormat="1" x14ac:dyDescent="0.2">
      <c r="A442" s="5"/>
    </row>
    <row r="443" spans="1:1" s="3" customFormat="1" x14ac:dyDescent="0.2">
      <c r="A443" s="5"/>
    </row>
    <row r="444" spans="1:1" s="3" customFormat="1" x14ac:dyDescent="0.2">
      <c r="A444" s="5"/>
    </row>
    <row r="445" spans="1:1" s="3" customFormat="1" x14ac:dyDescent="0.2">
      <c r="A445" s="5"/>
    </row>
    <row r="446" spans="1:1" s="3" customFormat="1" x14ac:dyDescent="0.2">
      <c r="A446" s="5"/>
    </row>
    <row r="447" spans="1:1" s="3" customFormat="1" x14ac:dyDescent="0.2">
      <c r="A447" s="5"/>
    </row>
    <row r="448" spans="1:1" s="3" customFormat="1" x14ac:dyDescent="0.2">
      <c r="A448" s="5"/>
    </row>
    <row r="449" spans="1:1" s="3" customFormat="1" x14ac:dyDescent="0.2">
      <c r="A449" s="5"/>
    </row>
    <row r="450" spans="1:1" s="3" customFormat="1" x14ac:dyDescent="0.2">
      <c r="A450" s="5"/>
    </row>
    <row r="451" spans="1:1" s="3" customFormat="1" x14ac:dyDescent="0.2">
      <c r="A451" s="5"/>
    </row>
    <row r="452" spans="1:1" s="3" customFormat="1" x14ac:dyDescent="0.2">
      <c r="A452" s="5"/>
    </row>
    <row r="453" spans="1:1" s="3" customFormat="1" x14ac:dyDescent="0.2">
      <c r="A453" s="5"/>
    </row>
    <row r="454" spans="1:1" s="3" customFormat="1" x14ac:dyDescent="0.2">
      <c r="A454" s="5"/>
    </row>
    <row r="455" spans="1:1" s="3" customFormat="1" x14ac:dyDescent="0.2">
      <c r="A455" s="5"/>
    </row>
    <row r="456" spans="1:1" s="3" customFormat="1" x14ac:dyDescent="0.2">
      <c r="A456" s="5"/>
    </row>
    <row r="457" spans="1:1" s="3" customFormat="1" x14ac:dyDescent="0.2">
      <c r="A457" s="5"/>
    </row>
    <row r="458" spans="1:1" s="3" customFormat="1" x14ac:dyDescent="0.2">
      <c r="A458" s="5"/>
    </row>
    <row r="459" spans="1:1" s="3" customFormat="1" x14ac:dyDescent="0.2">
      <c r="A459" s="5"/>
    </row>
    <row r="460" spans="1:1" s="3" customFormat="1" x14ac:dyDescent="0.2">
      <c r="A460" s="5"/>
    </row>
    <row r="461" spans="1:1" s="3" customFormat="1" x14ac:dyDescent="0.2">
      <c r="A461" s="5"/>
    </row>
    <row r="462" spans="1:1" s="3" customFormat="1" x14ac:dyDescent="0.2">
      <c r="A462" s="5"/>
    </row>
    <row r="463" spans="1:1" s="3" customFormat="1" x14ac:dyDescent="0.2">
      <c r="A463" s="5"/>
    </row>
    <row r="464" spans="1:1" s="3" customFormat="1" x14ac:dyDescent="0.2">
      <c r="A464" s="5"/>
    </row>
    <row r="465" spans="1:1" s="3" customFormat="1" x14ac:dyDescent="0.2">
      <c r="A465" s="5"/>
    </row>
    <row r="466" spans="1:1" s="3" customFormat="1" x14ac:dyDescent="0.2">
      <c r="A466" s="5"/>
    </row>
    <row r="467" spans="1:1" s="3" customFormat="1" x14ac:dyDescent="0.2">
      <c r="A467" s="5"/>
    </row>
    <row r="468" spans="1:1" s="3" customFormat="1" x14ac:dyDescent="0.2">
      <c r="A468" s="5"/>
    </row>
    <row r="469" spans="1:1" s="3" customFormat="1" x14ac:dyDescent="0.2">
      <c r="A469" s="5"/>
    </row>
    <row r="470" spans="1:1" s="3" customFormat="1" x14ac:dyDescent="0.2">
      <c r="A470" s="5"/>
    </row>
    <row r="471" spans="1:1" s="3" customFormat="1" x14ac:dyDescent="0.2">
      <c r="A471" s="5"/>
    </row>
    <row r="472" spans="1:1" s="3" customFormat="1" x14ac:dyDescent="0.2">
      <c r="A472" s="5"/>
    </row>
    <row r="473" spans="1:1" s="3" customFormat="1" x14ac:dyDescent="0.2">
      <c r="A473" s="5"/>
    </row>
    <row r="474" spans="1:1" s="3" customFormat="1" x14ac:dyDescent="0.2">
      <c r="A474" s="5"/>
    </row>
    <row r="475" spans="1:1" s="3" customFormat="1" x14ac:dyDescent="0.2">
      <c r="A475" s="5"/>
    </row>
    <row r="476" spans="1:1" s="3" customFormat="1" x14ac:dyDescent="0.2">
      <c r="A476" s="5"/>
    </row>
    <row r="477" spans="1:1" s="3" customFormat="1" x14ac:dyDescent="0.2">
      <c r="A477" s="5"/>
    </row>
    <row r="478" spans="1:1" s="3" customFormat="1" x14ac:dyDescent="0.2">
      <c r="A478" s="5"/>
    </row>
    <row r="479" spans="1:1" s="3" customFormat="1" x14ac:dyDescent="0.2">
      <c r="A479" s="5"/>
    </row>
    <row r="480" spans="1:1" s="3" customFormat="1" x14ac:dyDescent="0.2">
      <c r="A480" s="5"/>
    </row>
    <row r="481" spans="1:1" s="3" customFormat="1" x14ac:dyDescent="0.2">
      <c r="A481" s="5"/>
    </row>
    <row r="482" spans="1:1" s="3" customFormat="1" x14ac:dyDescent="0.2">
      <c r="A482" s="5"/>
    </row>
    <row r="483" spans="1:1" s="3" customFormat="1" x14ac:dyDescent="0.2">
      <c r="A483" s="5"/>
    </row>
    <row r="484" spans="1:1" s="3" customFormat="1" x14ac:dyDescent="0.2">
      <c r="A484" s="5"/>
    </row>
    <row r="485" spans="1:1" s="3" customFormat="1" x14ac:dyDescent="0.2">
      <c r="A485" s="5"/>
    </row>
    <row r="486" spans="1:1" s="3" customFormat="1" x14ac:dyDescent="0.2">
      <c r="A486" s="5"/>
    </row>
    <row r="487" spans="1:1" s="3" customFormat="1" x14ac:dyDescent="0.2">
      <c r="A487" s="5"/>
    </row>
    <row r="488" spans="1:1" s="3" customFormat="1" x14ac:dyDescent="0.2">
      <c r="A488" s="5"/>
    </row>
    <row r="489" spans="1:1" s="3" customFormat="1" x14ac:dyDescent="0.2">
      <c r="A489" s="5"/>
    </row>
    <row r="490" spans="1:1" s="3" customFormat="1" x14ac:dyDescent="0.2">
      <c r="A490" s="5"/>
    </row>
    <row r="491" spans="1:1" s="3" customFormat="1" x14ac:dyDescent="0.2">
      <c r="A491" s="5"/>
    </row>
    <row r="492" spans="1:1" s="3" customFormat="1" x14ac:dyDescent="0.2">
      <c r="A492" s="5"/>
    </row>
    <row r="493" spans="1:1" s="3" customFormat="1" x14ac:dyDescent="0.2">
      <c r="A493" s="5"/>
    </row>
    <row r="494" spans="1:1" s="3" customFormat="1" x14ac:dyDescent="0.2">
      <c r="A494" s="5"/>
    </row>
    <row r="495" spans="1:1" s="3" customFormat="1" x14ac:dyDescent="0.2">
      <c r="A495" s="5"/>
    </row>
    <row r="496" spans="1:1" s="3" customFormat="1" x14ac:dyDescent="0.2">
      <c r="A496" s="5"/>
    </row>
    <row r="497" spans="1:1" s="3" customFormat="1" x14ac:dyDescent="0.2">
      <c r="A497" s="5"/>
    </row>
    <row r="498" spans="1:1" s="3" customFormat="1" x14ac:dyDescent="0.2">
      <c r="A498" s="5"/>
    </row>
    <row r="499" spans="1:1" s="3" customFormat="1" x14ac:dyDescent="0.2">
      <c r="A499" s="5"/>
    </row>
    <row r="500" spans="1:1" s="3" customFormat="1" x14ac:dyDescent="0.2">
      <c r="A500" s="5"/>
    </row>
    <row r="501" spans="1:1" s="3" customFormat="1" x14ac:dyDescent="0.2">
      <c r="A501" s="5"/>
    </row>
    <row r="502" spans="1:1" s="3" customFormat="1" x14ac:dyDescent="0.2">
      <c r="A502" s="5"/>
    </row>
    <row r="503" spans="1:1" s="3" customFormat="1" x14ac:dyDescent="0.2">
      <c r="A503" s="5"/>
    </row>
    <row r="504" spans="1:1" s="3" customFormat="1" x14ac:dyDescent="0.2">
      <c r="A504" s="5"/>
    </row>
    <row r="505" spans="1:1" s="3" customFormat="1" x14ac:dyDescent="0.2">
      <c r="A505" s="5"/>
    </row>
    <row r="506" spans="1:1" s="3" customFormat="1" x14ac:dyDescent="0.2">
      <c r="A506" s="5"/>
    </row>
    <row r="507" spans="1:1" s="3" customFormat="1" x14ac:dyDescent="0.2">
      <c r="A507" s="5"/>
    </row>
    <row r="508" spans="1:1" s="3" customFormat="1" x14ac:dyDescent="0.2">
      <c r="A508" s="5"/>
    </row>
    <row r="509" spans="1:1" s="3" customFormat="1" x14ac:dyDescent="0.2">
      <c r="A509" s="5"/>
    </row>
    <row r="510" spans="1:1" s="3" customFormat="1" x14ac:dyDescent="0.2">
      <c r="A510" s="5"/>
    </row>
    <row r="511" spans="1:1" s="3" customFormat="1" x14ac:dyDescent="0.2">
      <c r="A511" s="5"/>
    </row>
    <row r="512" spans="1:1" s="3" customFormat="1" x14ac:dyDescent="0.2">
      <c r="A512" s="5"/>
    </row>
    <row r="513" spans="1:1" s="3" customFormat="1" x14ac:dyDescent="0.2">
      <c r="A513" s="5"/>
    </row>
    <row r="514" spans="1:1" s="3" customFormat="1" x14ac:dyDescent="0.2">
      <c r="A514" s="5"/>
    </row>
    <row r="515" spans="1:1" s="3" customFormat="1" x14ac:dyDescent="0.2">
      <c r="A515" s="5"/>
    </row>
    <row r="516" spans="1:1" s="3" customFormat="1" x14ac:dyDescent="0.2">
      <c r="A516" s="5"/>
    </row>
    <row r="517" spans="1:1" s="3" customFormat="1" x14ac:dyDescent="0.2">
      <c r="A517" s="5"/>
    </row>
    <row r="518" spans="1:1" s="3" customFormat="1" x14ac:dyDescent="0.2">
      <c r="A518" s="5"/>
    </row>
    <row r="519" spans="1:1" s="3" customFormat="1" x14ac:dyDescent="0.2">
      <c r="A519" s="5"/>
    </row>
    <row r="520" spans="1:1" s="3" customFormat="1" x14ac:dyDescent="0.2">
      <c r="A520" s="5"/>
    </row>
    <row r="521" spans="1:1" s="3" customFormat="1" x14ac:dyDescent="0.2">
      <c r="A521" s="5"/>
    </row>
    <row r="522" spans="1:1" s="3" customFormat="1" x14ac:dyDescent="0.2">
      <c r="A522" s="5"/>
    </row>
    <row r="523" spans="1:1" s="3" customFormat="1" x14ac:dyDescent="0.2">
      <c r="A523" s="5"/>
    </row>
    <row r="524" spans="1:1" s="3" customFormat="1" x14ac:dyDescent="0.2">
      <c r="A524" s="5"/>
    </row>
    <row r="525" spans="1:1" s="3" customFormat="1" x14ac:dyDescent="0.2">
      <c r="A525" s="5"/>
    </row>
    <row r="526" spans="1:1" s="3" customFormat="1" x14ac:dyDescent="0.2">
      <c r="A526" s="5"/>
    </row>
    <row r="527" spans="1:1" s="3" customFormat="1" x14ac:dyDescent="0.2">
      <c r="A527" s="5"/>
    </row>
    <row r="528" spans="1:1" s="3" customFormat="1" x14ac:dyDescent="0.2">
      <c r="A528" s="5"/>
    </row>
    <row r="529" spans="1:1" s="3" customFormat="1" x14ac:dyDescent="0.2">
      <c r="A529" s="5"/>
    </row>
    <row r="530" spans="1:1" s="3" customFormat="1" x14ac:dyDescent="0.2">
      <c r="A530" s="5"/>
    </row>
    <row r="531" spans="1:1" s="3" customFormat="1" x14ac:dyDescent="0.2">
      <c r="A531" s="5"/>
    </row>
    <row r="532" spans="1:1" s="3" customFormat="1" x14ac:dyDescent="0.2">
      <c r="A532" s="5"/>
    </row>
    <row r="533" spans="1:1" s="3" customFormat="1" x14ac:dyDescent="0.2">
      <c r="A533" s="5"/>
    </row>
    <row r="534" spans="1:1" s="3" customFormat="1" x14ac:dyDescent="0.2">
      <c r="A534" s="5"/>
    </row>
    <row r="535" spans="1:1" s="3" customFormat="1" x14ac:dyDescent="0.2">
      <c r="A535" s="5"/>
    </row>
    <row r="536" spans="1:1" s="3" customFormat="1" x14ac:dyDescent="0.2">
      <c r="A536" s="5"/>
    </row>
    <row r="537" spans="1:1" s="3" customFormat="1" x14ac:dyDescent="0.2">
      <c r="A537" s="5"/>
    </row>
    <row r="538" spans="1:1" s="3" customFormat="1" x14ac:dyDescent="0.2">
      <c r="A538" s="5"/>
    </row>
    <row r="539" spans="1:1" s="3" customFormat="1" x14ac:dyDescent="0.2">
      <c r="A539" s="5"/>
    </row>
    <row r="540" spans="1:1" s="3" customFormat="1" x14ac:dyDescent="0.2">
      <c r="A540" s="5"/>
    </row>
    <row r="541" spans="1:1" s="3" customFormat="1" x14ac:dyDescent="0.2">
      <c r="A541" s="5"/>
    </row>
    <row r="542" spans="1:1" s="3" customFormat="1" x14ac:dyDescent="0.2">
      <c r="A542" s="5"/>
    </row>
    <row r="543" spans="1:1" s="3" customFormat="1" x14ac:dyDescent="0.2">
      <c r="A543" s="5"/>
    </row>
    <row r="544" spans="1:1" s="3" customFormat="1" x14ac:dyDescent="0.2">
      <c r="A544" s="5"/>
    </row>
    <row r="545" spans="1:1" s="3" customFormat="1" x14ac:dyDescent="0.2">
      <c r="A545" s="5"/>
    </row>
    <row r="546" spans="1:1" s="3" customFormat="1" x14ac:dyDescent="0.2">
      <c r="A546" s="5"/>
    </row>
    <row r="547" spans="1:1" s="3" customFormat="1" x14ac:dyDescent="0.2">
      <c r="A547" s="5"/>
    </row>
    <row r="548" spans="1:1" s="3" customFormat="1" x14ac:dyDescent="0.2">
      <c r="A548" s="5"/>
    </row>
    <row r="549" spans="1:1" s="3" customFormat="1" x14ac:dyDescent="0.2">
      <c r="A549" s="5"/>
    </row>
    <row r="550" spans="1:1" s="3" customFormat="1" x14ac:dyDescent="0.2">
      <c r="A550" s="5"/>
    </row>
    <row r="551" spans="1:1" s="3" customFormat="1" x14ac:dyDescent="0.2">
      <c r="A551" s="5"/>
    </row>
    <row r="552" spans="1:1" s="3" customFormat="1" x14ac:dyDescent="0.2">
      <c r="A552" s="5"/>
    </row>
    <row r="553" spans="1:1" s="3" customFormat="1" x14ac:dyDescent="0.2">
      <c r="A553" s="5"/>
    </row>
    <row r="554" spans="1:1" s="3" customFormat="1" x14ac:dyDescent="0.2">
      <c r="A554" s="5"/>
    </row>
    <row r="555" spans="1:1" s="3" customFormat="1" x14ac:dyDescent="0.2">
      <c r="A555" s="5"/>
    </row>
    <row r="556" spans="1:1" s="3" customFormat="1" x14ac:dyDescent="0.2">
      <c r="A556" s="5"/>
    </row>
    <row r="557" spans="1:1" s="3" customFormat="1" x14ac:dyDescent="0.2">
      <c r="A557" s="5"/>
    </row>
    <row r="558" spans="1:1" s="3" customFormat="1" x14ac:dyDescent="0.2">
      <c r="A558" s="5"/>
    </row>
    <row r="559" spans="1:1" s="3" customFormat="1" x14ac:dyDescent="0.2">
      <c r="A559" s="5"/>
    </row>
    <row r="560" spans="1:1" s="3" customFormat="1" x14ac:dyDescent="0.2">
      <c r="A560" s="5"/>
    </row>
    <row r="561" spans="1:1" s="3" customFormat="1" x14ac:dyDescent="0.2">
      <c r="A561" s="5"/>
    </row>
    <row r="562" spans="1:1" s="3" customFormat="1" x14ac:dyDescent="0.2">
      <c r="A562" s="5"/>
    </row>
    <row r="563" spans="1:1" s="3" customFormat="1" x14ac:dyDescent="0.2">
      <c r="A563" s="5"/>
    </row>
    <row r="564" spans="1:1" s="3" customFormat="1" x14ac:dyDescent="0.2">
      <c r="A564" s="5"/>
    </row>
    <row r="565" spans="1:1" s="3" customFormat="1" x14ac:dyDescent="0.2">
      <c r="A565" s="5"/>
    </row>
    <row r="566" spans="1:1" s="3" customFormat="1" x14ac:dyDescent="0.2">
      <c r="A566" s="5"/>
    </row>
    <row r="567" spans="1:1" s="3" customFormat="1" x14ac:dyDescent="0.2">
      <c r="A567" s="5"/>
    </row>
    <row r="568" spans="1:1" s="3" customFormat="1" x14ac:dyDescent="0.2">
      <c r="A568" s="5"/>
    </row>
    <row r="569" spans="1:1" s="3" customFormat="1" x14ac:dyDescent="0.2">
      <c r="A569" s="5"/>
    </row>
    <row r="570" spans="1:1" s="3" customFormat="1" x14ac:dyDescent="0.2">
      <c r="A570" s="5"/>
    </row>
    <row r="571" spans="1:1" s="3" customFormat="1" x14ac:dyDescent="0.2">
      <c r="A571" s="5"/>
    </row>
    <row r="572" spans="1:1" s="3" customFormat="1" x14ac:dyDescent="0.2">
      <c r="A572" s="5"/>
    </row>
    <row r="573" spans="1:1" s="3" customFormat="1" x14ac:dyDescent="0.2">
      <c r="A573" s="5"/>
    </row>
    <row r="574" spans="1:1" s="3" customFormat="1" x14ac:dyDescent="0.2">
      <c r="A574" s="5"/>
    </row>
    <row r="575" spans="1:1" s="3" customFormat="1" x14ac:dyDescent="0.2">
      <c r="A575" s="5"/>
    </row>
    <row r="576" spans="1:1" s="3" customFormat="1" x14ac:dyDescent="0.2">
      <c r="A576" s="5"/>
    </row>
    <row r="577" spans="1:1" s="3" customFormat="1" x14ac:dyDescent="0.2">
      <c r="A577" s="5"/>
    </row>
    <row r="578" spans="1:1" s="3" customFormat="1" x14ac:dyDescent="0.2">
      <c r="A578" s="5"/>
    </row>
    <row r="579" spans="1:1" s="3" customFormat="1" x14ac:dyDescent="0.2">
      <c r="A579" s="5"/>
    </row>
    <row r="580" spans="1:1" s="3" customFormat="1" x14ac:dyDescent="0.2">
      <c r="A580" s="5"/>
    </row>
    <row r="581" spans="1:1" s="3" customFormat="1" x14ac:dyDescent="0.2">
      <c r="A581" s="5"/>
    </row>
    <row r="582" spans="1:1" s="3" customFormat="1" x14ac:dyDescent="0.2">
      <c r="A582" s="5"/>
    </row>
    <row r="583" spans="1:1" s="3" customFormat="1" x14ac:dyDescent="0.2">
      <c r="A583" s="5"/>
    </row>
    <row r="584" spans="1:1" s="3" customFormat="1" x14ac:dyDescent="0.2">
      <c r="A584" s="5"/>
    </row>
    <row r="585" spans="1:1" s="3" customFormat="1" x14ac:dyDescent="0.2">
      <c r="A585" s="5"/>
    </row>
    <row r="586" spans="1:1" s="3" customFormat="1" x14ac:dyDescent="0.2">
      <c r="A586" s="5"/>
    </row>
    <row r="587" spans="1:1" s="3" customFormat="1" x14ac:dyDescent="0.2">
      <c r="A587" s="5"/>
    </row>
    <row r="588" spans="1:1" s="3" customFormat="1" x14ac:dyDescent="0.2">
      <c r="A588" s="5"/>
    </row>
    <row r="589" spans="1:1" s="3" customFormat="1" x14ac:dyDescent="0.2">
      <c r="A589" s="5"/>
    </row>
    <row r="590" spans="1:1" s="3" customFormat="1" x14ac:dyDescent="0.2">
      <c r="A590" s="5"/>
    </row>
    <row r="591" spans="1:1" s="3" customFormat="1" x14ac:dyDescent="0.2">
      <c r="A591" s="5"/>
    </row>
    <row r="592" spans="1:1" s="3" customFormat="1" x14ac:dyDescent="0.2">
      <c r="A592" s="5"/>
    </row>
    <row r="593" spans="1:1" s="3" customFormat="1" x14ac:dyDescent="0.2">
      <c r="A593" s="5"/>
    </row>
    <row r="594" spans="1:1" s="3" customFormat="1" x14ac:dyDescent="0.2">
      <c r="A594" s="5"/>
    </row>
    <row r="595" spans="1:1" s="3" customFormat="1" x14ac:dyDescent="0.2">
      <c r="A595" s="5"/>
    </row>
    <row r="596" spans="1:1" s="3" customFormat="1" x14ac:dyDescent="0.2">
      <c r="A596" s="5"/>
    </row>
    <row r="597" spans="1:1" s="3" customFormat="1" x14ac:dyDescent="0.2">
      <c r="A597" s="5"/>
    </row>
    <row r="598" spans="1:1" s="3" customFormat="1" x14ac:dyDescent="0.2">
      <c r="A598" s="5"/>
    </row>
    <row r="599" spans="1:1" s="3" customFormat="1" x14ac:dyDescent="0.2">
      <c r="A599" s="5"/>
    </row>
    <row r="600" spans="1:1" s="3" customFormat="1" x14ac:dyDescent="0.2">
      <c r="A600" s="5"/>
    </row>
    <row r="601" spans="1:1" s="3" customFormat="1" x14ac:dyDescent="0.2">
      <c r="A601" s="5"/>
    </row>
    <row r="602" spans="1:1" s="3" customFormat="1" x14ac:dyDescent="0.2">
      <c r="A602" s="5"/>
    </row>
    <row r="603" spans="1:1" s="3" customFormat="1" x14ac:dyDescent="0.2">
      <c r="A603" s="5"/>
    </row>
    <row r="604" spans="1:1" s="3" customFormat="1" x14ac:dyDescent="0.2">
      <c r="A604" s="5"/>
    </row>
    <row r="605" spans="1:1" s="3" customFormat="1" x14ac:dyDescent="0.2">
      <c r="A605" s="5"/>
    </row>
    <row r="606" spans="1:1" s="3" customFormat="1" x14ac:dyDescent="0.2">
      <c r="A606" s="5"/>
    </row>
    <row r="607" spans="1:1" s="3" customFormat="1" x14ac:dyDescent="0.2">
      <c r="A607" s="5"/>
    </row>
    <row r="608" spans="1:1" s="3" customFormat="1" x14ac:dyDescent="0.2">
      <c r="A608" s="5"/>
    </row>
    <row r="609" spans="1:1" s="3" customFormat="1" x14ac:dyDescent="0.2">
      <c r="A609" s="5"/>
    </row>
    <row r="610" spans="1:1" s="3" customFormat="1" x14ac:dyDescent="0.2">
      <c r="A610" s="5"/>
    </row>
    <row r="611" spans="1:1" s="3" customFormat="1" x14ac:dyDescent="0.2">
      <c r="A611" s="5"/>
    </row>
    <row r="612" spans="1:1" s="3" customFormat="1" x14ac:dyDescent="0.2">
      <c r="A612" s="5"/>
    </row>
    <row r="613" spans="1:1" s="3" customFormat="1" x14ac:dyDescent="0.2">
      <c r="A613" s="5"/>
    </row>
    <row r="614" spans="1:1" s="3" customFormat="1" x14ac:dyDescent="0.2">
      <c r="A614" s="5"/>
    </row>
    <row r="615" spans="1:1" s="3" customFormat="1" x14ac:dyDescent="0.2">
      <c r="A615" s="5"/>
    </row>
    <row r="616" spans="1:1" s="3" customFormat="1" x14ac:dyDescent="0.2">
      <c r="A616" s="5"/>
    </row>
    <row r="617" spans="1:1" s="3" customFormat="1" x14ac:dyDescent="0.2">
      <c r="A617" s="5"/>
    </row>
    <row r="618" spans="1:1" s="3" customFormat="1" x14ac:dyDescent="0.2">
      <c r="A618" s="5"/>
    </row>
    <row r="619" spans="1:1" s="3" customFormat="1" x14ac:dyDescent="0.2">
      <c r="A619" s="5"/>
    </row>
    <row r="620" spans="1:1" s="3" customFormat="1" x14ac:dyDescent="0.2">
      <c r="A620" s="5"/>
    </row>
    <row r="621" spans="1:1" s="3" customFormat="1" x14ac:dyDescent="0.2">
      <c r="A621" s="5"/>
    </row>
    <row r="622" spans="1:1" s="3" customFormat="1" x14ac:dyDescent="0.2">
      <c r="A622" s="5"/>
    </row>
    <row r="623" spans="1:1" s="3" customFormat="1" x14ac:dyDescent="0.2">
      <c r="A623" s="5"/>
    </row>
    <row r="624" spans="1:1" s="3" customFormat="1" x14ac:dyDescent="0.2">
      <c r="A624" s="5"/>
    </row>
    <row r="625" spans="1:1" s="3" customFormat="1" x14ac:dyDescent="0.2">
      <c r="A625" s="5"/>
    </row>
    <row r="626" spans="1:1" s="3" customFormat="1" x14ac:dyDescent="0.2">
      <c r="A626" s="5"/>
    </row>
    <row r="627" spans="1:1" s="3" customFormat="1" x14ac:dyDescent="0.2">
      <c r="A627" s="5"/>
    </row>
    <row r="628" spans="1:1" s="3" customFormat="1" x14ac:dyDescent="0.2">
      <c r="A628" s="5"/>
    </row>
    <row r="629" spans="1:1" s="3" customFormat="1" x14ac:dyDescent="0.2">
      <c r="A629" s="5"/>
    </row>
    <row r="630" spans="1:1" s="3" customFormat="1" x14ac:dyDescent="0.2">
      <c r="A630" s="5"/>
    </row>
    <row r="631" spans="1:1" s="3" customFormat="1" x14ac:dyDescent="0.2">
      <c r="A631" s="5"/>
    </row>
    <row r="632" spans="1:1" s="3" customFormat="1" x14ac:dyDescent="0.2">
      <c r="A632" s="5"/>
    </row>
    <row r="633" spans="1:1" s="3" customFormat="1" x14ac:dyDescent="0.2">
      <c r="A633" s="5"/>
    </row>
    <row r="634" spans="1:1" s="3" customFormat="1" x14ac:dyDescent="0.2">
      <c r="A634" s="5"/>
    </row>
    <row r="635" spans="1:1" s="3" customFormat="1" x14ac:dyDescent="0.2">
      <c r="A635" s="5"/>
    </row>
    <row r="636" spans="1:1" s="3" customFormat="1" x14ac:dyDescent="0.2">
      <c r="A636" s="5"/>
    </row>
    <row r="637" spans="1:1" s="3" customFormat="1" x14ac:dyDescent="0.2">
      <c r="A637" s="5"/>
    </row>
    <row r="638" spans="1:1" s="3" customFormat="1" x14ac:dyDescent="0.2">
      <c r="A638" s="5"/>
    </row>
    <row r="639" spans="1:1" s="3" customFormat="1" x14ac:dyDescent="0.2">
      <c r="A639" s="5"/>
    </row>
    <row r="640" spans="1:1" s="3" customFormat="1" x14ac:dyDescent="0.2">
      <c r="A640" s="5"/>
    </row>
    <row r="641" spans="1:1" s="3" customFormat="1" x14ac:dyDescent="0.2">
      <c r="A641" s="5"/>
    </row>
    <row r="642" spans="1:1" s="3" customFormat="1" x14ac:dyDescent="0.2">
      <c r="A642" s="5"/>
    </row>
    <row r="643" spans="1:1" s="3" customFormat="1" x14ac:dyDescent="0.2">
      <c r="A643" s="5"/>
    </row>
    <row r="644" spans="1:1" s="3" customFormat="1" x14ac:dyDescent="0.2">
      <c r="A644" s="5"/>
    </row>
    <row r="645" spans="1:1" s="3" customFormat="1" x14ac:dyDescent="0.2">
      <c r="A645" s="5"/>
    </row>
  </sheetData>
  <mergeCells count="13">
    <mergeCell ref="U8:V8"/>
    <mergeCell ref="X8:Y8"/>
    <mergeCell ref="AA8:AB8"/>
    <mergeCell ref="B5:Z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483EA667-12A2-435D-9FD4-23A58345DA45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B187-F345-4542-9039-0CF6D61D8598}">
  <sheetPr>
    <pageSetUpPr fitToPage="1"/>
  </sheetPr>
  <dimension ref="A1:AG69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7.85546875" style="264" customWidth="1"/>
    <col min="3" max="3" width="1.7109375" style="292" customWidth="1" collapsed="1"/>
    <col min="4" max="4" width="18.7109375" style="292" customWidth="1" collapsed="1"/>
    <col min="5" max="5" width="1.7109375" style="292" customWidth="1"/>
    <col min="6" max="6" width="14.85546875" style="292" customWidth="1" collapsed="1"/>
    <col min="7" max="7" width="11.42578125" style="264" customWidth="1" collapsed="1"/>
    <col min="8" max="8" width="1.7109375" style="264" customWidth="1" collapsed="1"/>
    <col min="9" max="9" width="16.42578125" style="264" customWidth="1" collapsed="1"/>
    <col min="10" max="10" width="11.42578125" style="264" customWidth="1" collapsed="1"/>
    <col min="11" max="11" width="1.7109375" style="264" customWidth="1" collapsed="1"/>
    <col min="12" max="12" width="16.28515625" style="264" customWidth="1" collapsed="1"/>
    <col min="13" max="13" width="11.42578125" style="264" customWidth="1" collapsed="1"/>
    <col min="14" max="14" width="1.7109375" style="264" customWidth="1" collapsed="1"/>
    <col min="15" max="15" width="17.28515625" style="264" customWidth="1" collapsed="1"/>
    <col min="16" max="16" width="10.85546875" style="264" customWidth="1" collapsed="1"/>
    <col min="17" max="17" width="1.7109375" style="264" customWidth="1" collapsed="1"/>
    <col min="18" max="18" width="16.42578125" style="264" customWidth="1" collapsed="1"/>
    <col min="19" max="19" width="11.42578125" style="264"/>
    <col min="20" max="20" width="1.7109375" style="264" customWidth="1"/>
    <col min="21" max="21" width="18.5703125" style="264" customWidth="1"/>
    <col min="22" max="22" width="11.42578125" style="264"/>
    <col min="23" max="23" width="1.7109375" style="264" customWidth="1"/>
    <col min="24" max="24" width="18.140625" style="264" customWidth="1"/>
    <col min="25" max="25" width="11.42578125" style="264"/>
    <col min="26" max="26" width="1.7109375" style="264" customWidth="1"/>
    <col min="27" max="27" width="17.140625" style="264" customWidth="1"/>
    <col min="28" max="30" width="11.42578125" style="264"/>
    <col min="31" max="31" width="11.42578125" style="264" collapsed="1"/>
    <col min="32" max="33" width="11.42578125" style="264"/>
    <col min="34" max="16384" width="11.42578125" style="264" collapsed="1"/>
  </cols>
  <sheetData>
    <row r="1" spans="1:28" s="260" customFormat="1" ht="14.1" customHeight="1" x14ac:dyDescent="0.2">
      <c r="A1" s="66"/>
      <c r="B1" s="484" t="s">
        <v>144</v>
      </c>
      <c r="C1" s="258"/>
      <c r="D1" s="259"/>
      <c r="E1" s="259"/>
      <c r="F1" s="259"/>
      <c r="AB1" s="85" t="s">
        <v>118</v>
      </c>
    </row>
    <row r="2" spans="1:28" s="260" customFormat="1" ht="6.95" customHeight="1" x14ac:dyDescent="0.2">
      <c r="A2" s="66"/>
      <c r="B2" s="484"/>
      <c r="C2" s="258"/>
      <c r="D2" s="259"/>
      <c r="E2" s="259"/>
      <c r="F2" s="259"/>
    </row>
    <row r="3" spans="1:28" s="260" customFormat="1" ht="14.1" customHeight="1" x14ac:dyDescent="0.2">
      <c r="A3" s="66"/>
      <c r="B3" s="484" t="s">
        <v>142</v>
      </c>
      <c r="C3" s="261"/>
      <c r="D3" s="261"/>
      <c r="E3" s="261"/>
      <c r="F3" s="261"/>
      <c r="G3" s="261"/>
    </row>
    <row r="4" spans="1:28" s="260" customFormat="1" ht="6.95" customHeight="1" x14ac:dyDescent="0.2">
      <c r="A4" s="66"/>
      <c r="B4" s="484"/>
      <c r="C4" s="258"/>
      <c r="D4" s="258"/>
      <c r="E4" s="258"/>
      <c r="F4" s="258"/>
    </row>
    <row r="5" spans="1:28" s="260" customFormat="1" ht="20.100000000000001" customHeight="1" x14ac:dyDescent="0.2">
      <c r="A5" s="66"/>
      <c r="B5" s="563" t="s">
        <v>69</v>
      </c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563"/>
      <c r="O5" s="563"/>
      <c r="P5" s="563"/>
      <c r="Q5" s="563"/>
      <c r="R5" s="563"/>
      <c r="AB5" s="75" t="s">
        <v>93</v>
      </c>
    </row>
    <row r="6" spans="1:28" ht="6" customHeight="1" x14ac:dyDescent="0.2">
      <c r="A6" s="66"/>
      <c r="B6" s="262"/>
      <c r="C6" s="564"/>
      <c r="D6" s="564"/>
      <c r="E6" s="564"/>
      <c r="F6" s="565"/>
      <c r="G6" s="565"/>
      <c r="H6" s="565"/>
      <c r="I6" s="565"/>
      <c r="J6" s="565"/>
      <c r="K6" s="565"/>
      <c r="L6" s="565"/>
      <c r="M6" s="566"/>
      <c r="N6" s="566"/>
      <c r="O6" s="566"/>
      <c r="P6" s="263"/>
    </row>
    <row r="7" spans="1:28" ht="15" customHeight="1" x14ac:dyDescent="0.2">
      <c r="A7" s="66"/>
      <c r="B7" s="535" t="s">
        <v>1</v>
      </c>
      <c r="C7" s="535"/>
      <c r="D7" s="567" t="s">
        <v>23</v>
      </c>
      <c r="E7" s="265"/>
      <c r="F7" s="562" t="s">
        <v>65</v>
      </c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2"/>
      <c r="Y7" s="562"/>
      <c r="Z7" s="562"/>
      <c r="AA7" s="562"/>
      <c r="AB7" s="562"/>
    </row>
    <row r="8" spans="1:28" ht="27" customHeight="1" x14ac:dyDescent="0.2">
      <c r="A8" s="66"/>
      <c r="B8" s="536"/>
      <c r="C8" s="536"/>
      <c r="D8" s="568"/>
      <c r="E8" s="266"/>
      <c r="F8" s="562" t="s">
        <v>66</v>
      </c>
      <c r="G8" s="562"/>
      <c r="H8" s="265"/>
      <c r="I8" s="562" t="s">
        <v>67</v>
      </c>
      <c r="J8" s="562"/>
      <c r="K8" s="267"/>
      <c r="L8" s="562" t="s">
        <v>68</v>
      </c>
      <c r="M8" s="562"/>
      <c r="N8" s="267"/>
      <c r="O8" s="562" t="s">
        <v>80</v>
      </c>
      <c r="P8" s="562"/>
      <c r="Q8" s="268"/>
      <c r="R8" s="562" t="s">
        <v>81</v>
      </c>
      <c r="S8" s="562"/>
      <c r="T8" s="267"/>
      <c r="U8" s="562" t="s">
        <v>82</v>
      </c>
      <c r="V8" s="562"/>
      <c r="W8" s="268"/>
      <c r="X8" s="562" t="s">
        <v>83</v>
      </c>
      <c r="Y8" s="562"/>
      <c r="Z8" s="269"/>
      <c r="AA8" s="562" t="s">
        <v>19</v>
      </c>
      <c r="AB8" s="562"/>
    </row>
    <row r="9" spans="1:28" ht="15" customHeight="1" x14ac:dyDescent="0.2">
      <c r="A9" s="12"/>
      <c r="B9" s="537"/>
      <c r="C9" s="537"/>
      <c r="D9" s="569"/>
      <c r="E9" s="270"/>
      <c r="F9" s="65" t="s">
        <v>13</v>
      </c>
      <c r="G9" s="65" t="s">
        <v>14</v>
      </c>
      <c r="H9" s="270"/>
      <c r="I9" s="65" t="s">
        <v>13</v>
      </c>
      <c r="J9" s="65" t="s">
        <v>14</v>
      </c>
      <c r="K9" s="271"/>
      <c r="L9" s="65" t="s">
        <v>13</v>
      </c>
      <c r="M9" s="65" t="s">
        <v>14</v>
      </c>
      <c r="N9" s="271"/>
      <c r="O9" s="65" t="s">
        <v>13</v>
      </c>
      <c r="P9" s="65" t="s">
        <v>14</v>
      </c>
      <c r="Q9" s="272"/>
      <c r="R9" s="65" t="s">
        <v>13</v>
      </c>
      <c r="S9" s="65" t="s">
        <v>14</v>
      </c>
      <c r="T9" s="272"/>
      <c r="U9" s="65" t="s">
        <v>13</v>
      </c>
      <c r="V9" s="65" t="s">
        <v>14</v>
      </c>
      <c r="W9" s="272"/>
      <c r="X9" s="65" t="s">
        <v>13</v>
      </c>
      <c r="Y9" s="65" t="s">
        <v>14</v>
      </c>
      <c r="Z9" s="272"/>
      <c r="AA9" s="65" t="s">
        <v>13</v>
      </c>
      <c r="AB9" s="65" t="s">
        <v>14</v>
      </c>
    </row>
    <row r="10" spans="1:28" ht="6" customHeight="1" x14ac:dyDescent="0.2">
      <c r="A10" s="67"/>
      <c r="B10" s="273"/>
      <c r="C10" s="273"/>
      <c r="D10" s="274"/>
      <c r="E10" s="274"/>
      <c r="F10" s="274"/>
      <c r="G10" s="275"/>
      <c r="H10" s="275"/>
      <c r="I10" s="276"/>
      <c r="J10" s="277"/>
      <c r="K10" s="277"/>
      <c r="L10" s="277"/>
      <c r="M10" s="277"/>
      <c r="N10" s="277"/>
      <c r="O10" s="277"/>
      <c r="P10" s="277"/>
    </row>
    <row r="11" spans="1:28" s="280" customFormat="1" ht="15" x14ac:dyDescent="0.2">
      <c r="A11" s="17"/>
      <c r="B11" s="10" t="s">
        <v>5</v>
      </c>
      <c r="C11" s="278"/>
      <c r="D11" s="159">
        <v>34855919.813209198</v>
      </c>
      <c r="E11" s="279"/>
      <c r="F11" s="159">
        <v>4108240.7420468498</v>
      </c>
      <c r="G11" s="159">
        <v>11.6788957598</v>
      </c>
      <c r="H11" s="279"/>
      <c r="I11" s="159">
        <v>4607332.9036494903</v>
      </c>
      <c r="J11" s="159">
        <v>13.080653204500001</v>
      </c>
      <c r="K11" s="50"/>
      <c r="L11" s="159">
        <v>6006981.90667406</v>
      </c>
      <c r="M11" s="159">
        <v>17.070918221900001</v>
      </c>
      <c r="N11" s="279"/>
      <c r="O11" s="159">
        <v>4295443.1183777601</v>
      </c>
      <c r="P11" s="159">
        <v>12.200958136200001</v>
      </c>
      <c r="Q11" s="279"/>
      <c r="R11" s="159">
        <v>4311044.2972511696</v>
      </c>
      <c r="S11" s="159">
        <v>12.252154446600001</v>
      </c>
      <c r="T11" s="51"/>
      <c r="U11" s="159">
        <v>3779904.8726536599</v>
      </c>
      <c r="V11" s="159">
        <v>10.746737615100001</v>
      </c>
      <c r="X11" s="159">
        <v>5822011.9582443004</v>
      </c>
      <c r="Y11" s="159">
        <v>16.565479310899999</v>
      </c>
      <c r="AA11" s="159">
        <v>1102533.6597585799</v>
      </c>
      <c r="AB11" s="159">
        <v>3.1286454355000002</v>
      </c>
    </row>
    <row r="12" spans="1:28" ht="6" customHeight="1" x14ac:dyDescent="0.2">
      <c r="A12" s="11"/>
      <c r="B12" s="13"/>
      <c r="C12" s="281"/>
      <c r="D12" s="95"/>
      <c r="E12" s="279"/>
      <c r="F12" s="95"/>
      <c r="G12" s="96"/>
      <c r="H12" s="279"/>
      <c r="I12" s="95"/>
      <c r="J12" s="96"/>
      <c r="K12" s="50"/>
      <c r="L12" s="95"/>
      <c r="M12" s="96"/>
      <c r="N12" s="279"/>
      <c r="O12" s="95"/>
      <c r="P12" s="96"/>
      <c r="Q12" s="279"/>
      <c r="R12" s="95"/>
      <c r="S12" s="96"/>
      <c r="T12" s="50"/>
      <c r="U12" s="95"/>
      <c r="V12" s="96"/>
      <c r="X12" s="95"/>
      <c r="Y12" s="96"/>
      <c r="AA12" s="95"/>
      <c r="AB12" s="96"/>
    </row>
    <row r="13" spans="1:28" ht="12.75" customHeight="1" x14ac:dyDescent="0.2">
      <c r="A13" s="11"/>
      <c r="B13" s="22" t="s">
        <v>6</v>
      </c>
      <c r="C13" s="281"/>
      <c r="D13" s="160">
        <v>7159413.7729825201</v>
      </c>
      <c r="E13" s="282"/>
      <c r="F13" s="160">
        <v>558774.87366791198</v>
      </c>
      <c r="G13" s="160">
        <v>7.6374281351000004</v>
      </c>
      <c r="H13" s="282"/>
      <c r="I13" s="160">
        <v>441023.59782482201</v>
      </c>
      <c r="J13" s="160">
        <v>5.9995739896</v>
      </c>
      <c r="K13" s="50"/>
      <c r="L13" s="160">
        <v>678026.91781124496</v>
      </c>
      <c r="M13" s="160">
        <v>9.2205549432999998</v>
      </c>
      <c r="N13" s="282"/>
      <c r="O13" s="160">
        <v>518495.26974434702</v>
      </c>
      <c r="P13" s="160">
        <v>7.0918046968999997</v>
      </c>
      <c r="Q13" s="282"/>
      <c r="R13" s="160">
        <v>700912.04771521105</v>
      </c>
      <c r="S13" s="160">
        <v>9.5793015338000007</v>
      </c>
      <c r="T13" s="52"/>
      <c r="U13" s="160">
        <v>925012.368849386</v>
      </c>
      <c r="V13" s="160">
        <v>12.637315254200001</v>
      </c>
      <c r="X13" s="160">
        <v>2890140.14725977</v>
      </c>
      <c r="Y13" s="160">
        <v>39.555600054700001</v>
      </c>
      <c r="AA13" s="160">
        <v>141665.10386422899</v>
      </c>
      <c r="AB13" s="160">
        <v>1.9265273089999999</v>
      </c>
    </row>
    <row r="14" spans="1:28" ht="12.75" customHeight="1" x14ac:dyDescent="0.2">
      <c r="A14" s="11"/>
      <c r="B14" s="22" t="s">
        <v>7</v>
      </c>
      <c r="C14" s="281"/>
      <c r="D14" s="160">
        <v>4482368.5111330803</v>
      </c>
      <c r="E14" s="282"/>
      <c r="F14" s="160">
        <v>431990.763024404</v>
      </c>
      <c r="G14" s="160">
        <v>9.3515430041999998</v>
      </c>
      <c r="H14" s="282"/>
      <c r="I14" s="160">
        <v>486631.56495570502</v>
      </c>
      <c r="J14" s="160">
        <v>10.4823084078</v>
      </c>
      <c r="K14" s="50"/>
      <c r="L14" s="160">
        <v>570663.02757656295</v>
      </c>
      <c r="M14" s="160">
        <v>12.3388639855</v>
      </c>
      <c r="N14" s="282"/>
      <c r="O14" s="160">
        <v>436928.71149448102</v>
      </c>
      <c r="P14" s="160">
        <v>9.3936485198999993</v>
      </c>
      <c r="Q14" s="282"/>
      <c r="R14" s="160">
        <v>528226.32637421903</v>
      </c>
      <c r="S14" s="160">
        <v>11.404968428</v>
      </c>
      <c r="T14" s="52"/>
      <c r="U14" s="160">
        <v>636068.89891115995</v>
      </c>
      <c r="V14" s="160">
        <v>13.819297737899999</v>
      </c>
      <c r="X14" s="160">
        <v>1058466.2904761999</v>
      </c>
      <c r="Y14" s="160">
        <v>22.9071862005</v>
      </c>
      <c r="AA14" s="160">
        <v>89475.161353295698</v>
      </c>
      <c r="AB14" s="160">
        <v>1.9106582456000001</v>
      </c>
    </row>
    <row r="15" spans="1:28" ht="12.75" customHeight="1" x14ac:dyDescent="0.2">
      <c r="A15" s="12"/>
      <c r="B15" s="22" t="s">
        <v>8</v>
      </c>
      <c r="C15" s="281"/>
      <c r="D15" s="160">
        <v>5444929.1112685297</v>
      </c>
      <c r="E15" s="282"/>
      <c r="F15" s="160">
        <v>584684.16060191102</v>
      </c>
      <c r="G15" s="160">
        <v>10.4596712971</v>
      </c>
      <c r="H15" s="282"/>
      <c r="I15" s="160">
        <v>737158.07789351896</v>
      </c>
      <c r="J15" s="160">
        <v>13.0307230049</v>
      </c>
      <c r="K15" s="50"/>
      <c r="L15" s="160">
        <v>862259.69305989798</v>
      </c>
      <c r="M15" s="160">
        <v>15.4205257121</v>
      </c>
      <c r="N15" s="282"/>
      <c r="O15" s="160">
        <v>663935.65422926203</v>
      </c>
      <c r="P15" s="160">
        <v>11.869958819100001</v>
      </c>
      <c r="Q15" s="282"/>
      <c r="R15" s="160">
        <v>812194.95796356106</v>
      </c>
      <c r="S15" s="160">
        <v>14.4967493269</v>
      </c>
      <c r="T15" s="52"/>
      <c r="U15" s="160">
        <v>630780.67273488897</v>
      </c>
      <c r="V15" s="160">
        <v>11.2567859598</v>
      </c>
      <c r="X15" s="160">
        <v>710991.390469832</v>
      </c>
      <c r="Y15" s="160">
        <v>12.6686820833</v>
      </c>
      <c r="AA15" s="160">
        <v>107609.259683631</v>
      </c>
      <c r="AB15" s="160">
        <v>1.9026535616</v>
      </c>
    </row>
    <row r="16" spans="1:28" ht="12.75" customHeight="1" x14ac:dyDescent="0.2">
      <c r="A16" s="12"/>
      <c r="B16" s="22" t="s">
        <v>79</v>
      </c>
      <c r="C16" s="281"/>
      <c r="D16" s="160">
        <v>17359885.5900256</v>
      </c>
      <c r="E16" s="282"/>
      <c r="F16" s="160">
        <v>2379754.7060891902</v>
      </c>
      <c r="G16" s="160">
        <v>13.588622386400001</v>
      </c>
      <c r="H16" s="282"/>
      <c r="I16" s="160">
        <v>2783096.31327231</v>
      </c>
      <c r="J16" s="160">
        <v>15.8931952513</v>
      </c>
      <c r="K16" s="50"/>
      <c r="L16" s="160">
        <v>3730432.84166686</v>
      </c>
      <c r="M16" s="160">
        <v>21.312372237799998</v>
      </c>
      <c r="N16" s="282"/>
      <c r="O16" s="160">
        <v>2553964.2511012</v>
      </c>
      <c r="P16" s="160">
        <v>14.562142398900001</v>
      </c>
      <c r="Q16" s="282"/>
      <c r="R16" s="160">
        <v>2126109.7085464201</v>
      </c>
      <c r="S16" s="160">
        <v>12.1232275838</v>
      </c>
      <c r="T16" s="52"/>
      <c r="U16" s="160">
        <v>1462701.8384543001</v>
      </c>
      <c r="V16" s="160">
        <v>8.3354962819999994</v>
      </c>
      <c r="X16" s="160">
        <v>992910.08552010695</v>
      </c>
      <c r="Y16" s="160">
        <v>5.6588661866000001</v>
      </c>
      <c r="AA16" s="160">
        <v>709230.44809944101</v>
      </c>
      <c r="AB16" s="160">
        <v>4.0476048837</v>
      </c>
    </row>
    <row r="17" spans="1:28" ht="6" customHeight="1" x14ac:dyDescent="0.2">
      <c r="A17" s="12"/>
      <c r="B17" s="14"/>
      <c r="C17" s="14"/>
      <c r="D17" s="4"/>
      <c r="E17" s="283"/>
      <c r="F17" s="4"/>
      <c r="G17" s="284"/>
      <c r="H17" s="284"/>
      <c r="I17" s="4"/>
      <c r="J17" s="284"/>
      <c r="K17" s="285"/>
      <c r="L17" s="4"/>
      <c r="M17" s="284"/>
      <c r="N17" s="286"/>
      <c r="O17" s="4"/>
      <c r="P17" s="284"/>
      <c r="Q17" s="284"/>
      <c r="R17" s="284"/>
      <c r="S17" s="284"/>
      <c r="T17" s="284"/>
      <c r="U17" s="284"/>
      <c r="V17" s="284"/>
      <c r="W17" s="262"/>
      <c r="X17" s="262"/>
      <c r="Y17" s="262"/>
      <c r="Z17" s="262"/>
      <c r="AA17" s="262"/>
      <c r="AB17" s="262"/>
    </row>
    <row r="18" spans="1:28" ht="6" customHeight="1" x14ac:dyDescent="0.2">
      <c r="A18" s="21"/>
      <c r="B18" s="287"/>
      <c r="C18" s="288"/>
      <c r="D18" s="288"/>
      <c r="E18" s="288"/>
      <c r="F18" s="288"/>
      <c r="G18" s="289"/>
      <c r="H18" s="289"/>
      <c r="I18" s="289"/>
      <c r="J18" s="290"/>
      <c r="K18" s="290"/>
      <c r="L18" s="289"/>
      <c r="M18" s="290"/>
      <c r="N18" s="290"/>
      <c r="O18" s="287"/>
      <c r="P18" s="291"/>
      <c r="S18" s="1"/>
    </row>
    <row r="19" spans="1:28" s="89" customFormat="1" ht="11.25" customHeight="1" x14ac:dyDescent="0.2">
      <c r="B19" s="24" t="s">
        <v>9</v>
      </c>
    </row>
    <row r="20" spans="1:28" ht="12.75" customHeight="1" x14ac:dyDescent="0.2">
      <c r="S20" s="1"/>
    </row>
    <row r="21" spans="1:28" ht="12.75" customHeight="1" x14ac:dyDescent="0.2">
      <c r="S21" s="1"/>
    </row>
    <row r="22" spans="1:28" ht="12.75" customHeight="1" x14ac:dyDescent="0.2">
      <c r="S22" s="1"/>
    </row>
    <row r="23" spans="1:28" ht="12.75" customHeight="1" x14ac:dyDescent="0.2">
      <c r="S23" s="1"/>
    </row>
    <row r="24" spans="1:28" ht="12.75" customHeight="1" x14ac:dyDescent="0.2">
      <c r="S24" s="1"/>
    </row>
    <row r="25" spans="1:28" ht="12.75" customHeight="1" x14ac:dyDescent="0.2">
      <c r="S25" s="1"/>
    </row>
    <row r="26" spans="1:28" ht="12.75" customHeight="1" x14ac:dyDescent="0.2">
      <c r="S26" s="1"/>
    </row>
    <row r="27" spans="1:28" ht="12.75" customHeight="1" x14ac:dyDescent="0.2">
      <c r="S27" s="1"/>
    </row>
    <row r="28" spans="1:28" ht="12.75" customHeight="1" x14ac:dyDescent="0.2">
      <c r="S28" s="1"/>
    </row>
    <row r="29" spans="1:28" ht="12.75" customHeight="1" x14ac:dyDescent="0.2">
      <c r="S29" s="1"/>
    </row>
    <row r="30" spans="1:28" ht="12.75" customHeight="1" x14ac:dyDescent="0.2">
      <c r="S30" s="1"/>
    </row>
    <row r="31" spans="1:28" ht="12.75" customHeight="1" x14ac:dyDescent="0.2">
      <c r="S31" s="1"/>
    </row>
    <row r="32" spans="1:28" ht="12.75" customHeight="1" x14ac:dyDescent="0.2">
      <c r="S32" s="1"/>
    </row>
    <row r="33" spans="19:19" ht="12.75" customHeight="1" x14ac:dyDescent="0.2">
      <c r="S33" s="1"/>
    </row>
    <row r="34" spans="19:19" ht="12.75" customHeight="1" x14ac:dyDescent="0.2">
      <c r="S34" s="1"/>
    </row>
    <row r="35" spans="19:19" ht="12.75" customHeight="1" x14ac:dyDescent="0.2">
      <c r="S35" s="1"/>
    </row>
    <row r="36" spans="19:19" ht="12.75" customHeight="1" x14ac:dyDescent="0.2">
      <c r="S36" s="1"/>
    </row>
    <row r="37" spans="19:19" ht="12.75" customHeight="1" x14ac:dyDescent="0.2">
      <c r="S37" s="1"/>
    </row>
    <row r="38" spans="19:19" ht="12.75" customHeight="1" x14ac:dyDescent="0.2">
      <c r="S38" s="1"/>
    </row>
    <row r="39" spans="19:19" ht="12.75" customHeight="1" x14ac:dyDescent="0.2">
      <c r="S39" s="1"/>
    </row>
    <row r="40" spans="19:19" ht="12.75" customHeight="1" x14ac:dyDescent="0.2">
      <c r="S40" s="1"/>
    </row>
    <row r="41" spans="19:19" ht="12.75" customHeight="1" x14ac:dyDescent="0.2">
      <c r="S41" s="1"/>
    </row>
    <row r="42" spans="19:19" ht="12.75" customHeight="1" x14ac:dyDescent="0.2">
      <c r="S42" s="1"/>
    </row>
    <row r="43" spans="19:19" ht="12.75" customHeight="1" x14ac:dyDescent="0.2">
      <c r="S43" s="1"/>
    </row>
    <row r="44" spans="19:19" ht="12.75" customHeight="1" x14ac:dyDescent="0.2">
      <c r="S44" s="1"/>
    </row>
    <row r="45" spans="19:19" ht="12.75" customHeight="1" x14ac:dyDescent="0.2">
      <c r="S45" s="1"/>
    </row>
    <row r="46" spans="19:19" ht="12.75" customHeight="1" x14ac:dyDescent="0.2">
      <c r="S46" s="1"/>
    </row>
    <row r="47" spans="19:19" ht="12.75" customHeight="1" x14ac:dyDescent="0.2">
      <c r="S47" s="1"/>
    </row>
    <row r="48" spans="19:19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</sheetData>
  <mergeCells count="13">
    <mergeCell ref="U8:V8"/>
    <mergeCell ref="X8:Y8"/>
    <mergeCell ref="AA8:AB8"/>
    <mergeCell ref="B5:R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54348C04-63CC-4742-9DB2-B2718B4402C3}"/>
  </hyperlinks>
  <pageMargins left="0.70866141732283472" right="0.70866141732283472" top="0.59055118110236227" bottom="0.59055118110236227" header="0.23622047244094491" footer="0.23622047244094491"/>
  <pageSetup scale="43" orientation="landscape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8F1A-BB5A-47F4-B613-4E4D8F8E31F1}">
  <sheetPr>
    <pageSetUpPr fitToPage="1"/>
  </sheetPr>
  <dimension ref="A1:AG96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" style="299" customWidth="1"/>
    <col min="3" max="3" width="1.7109375" style="327" customWidth="1" collapsed="1"/>
    <col min="4" max="4" width="18.7109375" style="327" customWidth="1" collapsed="1"/>
    <col min="5" max="5" width="1.7109375" style="327" customWidth="1"/>
    <col min="6" max="6" width="14.7109375" style="327" customWidth="1" collapsed="1"/>
    <col min="7" max="7" width="12.7109375" style="299" customWidth="1" collapsed="1"/>
    <col min="8" max="8" width="1.7109375" style="299" customWidth="1" collapsed="1"/>
    <col min="9" max="9" width="16.7109375" style="299" customWidth="1" collapsed="1"/>
    <col min="10" max="10" width="12.7109375" style="299" customWidth="1" collapsed="1"/>
    <col min="11" max="11" width="1.7109375" style="299" customWidth="1" collapsed="1"/>
    <col min="12" max="12" width="16.28515625" style="299" customWidth="1" collapsed="1"/>
    <col min="13" max="13" width="12.7109375" style="299" customWidth="1" collapsed="1"/>
    <col min="14" max="14" width="1.7109375" style="299" customWidth="1" collapsed="1"/>
    <col min="15" max="15" width="17.140625" style="299" customWidth="1" collapsed="1"/>
    <col min="16" max="16" width="12.7109375" style="299" customWidth="1" collapsed="1"/>
    <col min="17" max="17" width="1.7109375" style="299" customWidth="1" collapsed="1"/>
    <col min="18" max="18" width="18" style="299" customWidth="1" collapsed="1"/>
    <col min="19" max="19" width="11.42578125" style="299"/>
    <col min="20" max="20" width="1.7109375" style="299" customWidth="1"/>
    <col min="21" max="21" width="16.140625" style="299" customWidth="1"/>
    <col min="22" max="33" width="11.42578125" style="299"/>
    <col min="34" max="16384" width="11.42578125" style="299" collapsed="1"/>
  </cols>
  <sheetData>
    <row r="1" spans="1:22" s="295" customFormat="1" ht="14.1" customHeight="1" x14ac:dyDescent="0.2">
      <c r="A1" s="66"/>
      <c r="B1" s="484" t="s">
        <v>144</v>
      </c>
      <c r="C1" s="293"/>
      <c r="D1" s="294"/>
      <c r="E1" s="294"/>
      <c r="F1" s="294"/>
      <c r="V1" s="85" t="s">
        <v>118</v>
      </c>
    </row>
    <row r="2" spans="1:22" s="295" customFormat="1" ht="6.95" customHeight="1" x14ac:dyDescent="0.2">
      <c r="A2" s="66"/>
      <c r="B2" s="484"/>
      <c r="C2" s="293"/>
      <c r="D2" s="294"/>
      <c r="E2" s="294"/>
      <c r="F2" s="294"/>
    </row>
    <row r="3" spans="1:22" s="295" customFormat="1" ht="14.1" customHeight="1" x14ac:dyDescent="0.2">
      <c r="A3" s="66"/>
      <c r="B3" s="484" t="s">
        <v>142</v>
      </c>
      <c r="C3" s="296"/>
      <c r="D3" s="296"/>
      <c r="E3" s="296"/>
      <c r="F3" s="296"/>
      <c r="G3" s="296"/>
    </row>
    <row r="4" spans="1:22" s="295" customFormat="1" ht="6.95" customHeight="1" x14ac:dyDescent="0.2">
      <c r="A4" s="66"/>
      <c r="B4" s="484"/>
      <c r="C4" s="293"/>
      <c r="D4" s="293"/>
      <c r="E4" s="293"/>
      <c r="F4" s="293"/>
    </row>
    <row r="5" spans="1:22" s="295" customFormat="1" ht="20.100000000000001" customHeight="1" x14ac:dyDescent="0.2">
      <c r="A5" s="66"/>
      <c r="B5" s="571" t="s">
        <v>70</v>
      </c>
      <c r="C5" s="571"/>
      <c r="D5" s="571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V5" s="75" t="s">
        <v>94</v>
      </c>
    </row>
    <row r="6" spans="1:22" ht="6" customHeight="1" x14ac:dyDescent="0.2">
      <c r="A6" s="66"/>
      <c r="B6" s="297"/>
      <c r="C6" s="572"/>
      <c r="D6" s="572"/>
      <c r="E6" s="572"/>
      <c r="F6" s="573"/>
      <c r="G6" s="573"/>
      <c r="H6" s="573"/>
      <c r="I6" s="573"/>
      <c r="J6" s="573"/>
      <c r="K6" s="573"/>
      <c r="L6" s="573"/>
      <c r="M6" s="574"/>
      <c r="N6" s="574"/>
      <c r="O6" s="574"/>
      <c r="P6" s="298"/>
    </row>
    <row r="7" spans="1:22" ht="15" customHeight="1" x14ac:dyDescent="0.2">
      <c r="A7" s="66"/>
      <c r="B7" s="535" t="s">
        <v>22</v>
      </c>
      <c r="C7" s="535"/>
      <c r="D7" s="575" t="s">
        <v>23</v>
      </c>
      <c r="E7" s="300"/>
      <c r="F7" s="570" t="s">
        <v>71</v>
      </c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0"/>
      <c r="T7" s="570"/>
      <c r="U7" s="570"/>
      <c r="V7" s="570"/>
    </row>
    <row r="8" spans="1:22" ht="27" customHeight="1" x14ac:dyDescent="0.2">
      <c r="A8" s="66"/>
      <c r="B8" s="536"/>
      <c r="C8" s="536"/>
      <c r="D8" s="576"/>
      <c r="E8" s="301"/>
      <c r="F8" s="570" t="s">
        <v>84</v>
      </c>
      <c r="G8" s="570"/>
      <c r="H8" s="300"/>
      <c r="I8" s="570" t="s">
        <v>72</v>
      </c>
      <c r="J8" s="570"/>
      <c r="K8" s="302"/>
      <c r="L8" s="570" t="s">
        <v>85</v>
      </c>
      <c r="M8" s="570"/>
      <c r="N8" s="302"/>
      <c r="O8" s="570" t="s">
        <v>86</v>
      </c>
      <c r="P8" s="570"/>
      <c r="Q8" s="303"/>
      <c r="R8" s="570" t="s">
        <v>73</v>
      </c>
      <c r="S8" s="570"/>
      <c r="T8" s="304"/>
      <c r="U8" s="570" t="s">
        <v>19</v>
      </c>
      <c r="V8" s="570"/>
    </row>
    <row r="9" spans="1:22" ht="15" customHeight="1" x14ac:dyDescent="0.2">
      <c r="A9" s="12"/>
      <c r="B9" s="537"/>
      <c r="C9" s="537"/>
      <c r="D9" s="577"/>
      <c r="E9" s="305"/>
      <c r="F9" s="65" t="s">
        <v>13</v>
      </c>
      <c r="G9" s="65" t="s">
        <v>14</v>
      </c>
      <c r="H9" s="305"/>
      <c r="I9" s="65" t="s">
        <v>13</v>
      </c>
      <c r="J9" s="65" t="s">
        <v>14</v>
      </c>
      <c r="K9" s="306"/>
      <c r="L9" s="65" t="s">
        <v>13</v>
      </c>
      <c r="M9" s="65" t="s">
        <v>14</v>
      </c>
      <c r="N9" s="306"/>
      <c r="O9" s="65" t="s">
        <v>13</v>
      </c>
      <c r="P9" s="65" t="s">
        <v>14</v>
      </c>
      <c r="Q9" s="307"/>
      <c r="R9" s="65" t="s">
        <v>13</v>
      </c>
      <c r="S9" s="65" t="s">
        <v>14</v>
      </c>
      <c r="T9" s="307"/>
      <c r="U9" s="65" t="s">
        <v>13</v>
      </c>
      <c r="V9" s="65" t="s">
        <v>14</v>
      </c>
    </row>
    <row r="10" spans="1:22" ht="6" customHeight="1" x14ac:dyDescent="0.2">
      <c r="A10" s="67"/>
      <c r="B10" s="308"/>
      <c r="C10" s="308"/>
      <c r="D10" s="309"/>
      <c r="E10" s="309"/>
      <c r="F10" s="309"/>
      <c r="G10" s="310"/>
      <c r="H10" s="310"/>
      <c r="I10" s="311"/>
      <c r="J10" s="312"/>
      <c r="K10" s="312"/>
      <c r="L10" s="312"/>
      <c r="M10" s="312"/>
      <c r="N10" s="312"/>
      <c r="O10" s="312"/>
      <c r="P10" s="312"/>
    </row>
    <row r="11" spans="1:22" s="315" customFormat="1" ht="15" x14ac:dyDescent="0.2">
      <c r="A11" s="17"/>
      <c r="B11" s="10" t="s">
        <v>5</v>
      </c>
      <c r="C11" s="313"/>
      <c r="D11" s="159">
        <v>34855919.813209198</v>
      </c>
      <c r="E11" s="314"/>
      <c r="F11" s="159">
        <v>6289325.14280436</v>
      </c>
      <c r="G11" s="159">
        <v>17.901524114600001</v>
      </c>
      <c r="H11" s="314"/>
      <c r="I11" s="159">
        <v>9210161.4851699397</v>
      </c>
      <c r="J11" s="159">
        <v>26.198120449800001</v>
      </c>
      <c r="K11" s="50"/>
      <c r="L11" s="159">
        <v>7545316.8639500504</v>
      </c>
      <c r="M11" s="159">
        <v>21.4702992657</v>
      </c>
      <c r="N11" s="314"/>
      <c r="O11" s="159">
        <v>5156746.1391667398</v>
      </c>
      <c r="P11" s="159">
        <v>14.649574923699999</v>
      </c>
      <c r="Q11" s="314"/>
      <c r="R11" s="159">
        <v>4976697.02052637</v>
      </c>
      <c r="S11" s="159">
        <v>14.140708693400001</v>
      </c>
      <c r="T11" s="51"/>
      <c r="U11" s="159">
        <v>1115382.7087443499</v>
      </c>
      <c r="V11" s="159">
        <v>3.1661305004</v>
      </c>
    </row>
    <row r="12" spans="1:22" s="315" customFormat="1" ht="6" customHeight="1" x14ac:dyDescent="0.2">
      <c r="A12" s="11"/>
      <c r="B12" s="41"/>
      <c r="C12" s="313"/>
      <c r="D12" s="95"/>
      <c r="E12" s="314"/>
      <c r="F12" s="95"/>
      <c r="G12" s="96"/>
      <c r="H12" s="314"/>
      <c r="I12" s="95"/>
      <c r="J12" s="96"/>
      <c r="K12" s="50"/>
      <c r="L12" s="95"/>
      <c r="M12" s="96"/>
      <c r="N12" s="314"/>
      <c r="O12" s="95"/>
      <c r="P12" s="96"/>
      <c r="Q12" s="314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316"/>
      <c r="D13" s="160">
        <v>372194.10329856101</v>
      </c>
      <c r="E13" s="317"/>
      <c r="F13" s="160">
        <v>11945.868361492299</v>
      </c>
      <c r="G13" s="160">
        <v>3.0909319036</v>
      </c>
      <c r="H13" s="317"/>
      <c r="I13" s="160">
        <v>70123.121747158599</v>
      </c>
      <c r="J13" s="160">
        <v>18.586945464399999</v>
      </c>
      <c r="K13" s="50"/>
      <c r="L13" s="160">
        <v>99443.913236098902</v>
      </c>
      <c r="M13" s="160">
        <v>25.8031383973</v>
      </c>
      <c r="N13" s="317"/>
      <c r="O13" s="160">
        <v>66262.190419334802</v>
      </c>
      <c r="P13" s="160">
        <v>17.061409816899999</v>
      </c>
      <c r="Q13" s="317"/>
      <c r="R13" s="160">
        <v>68489.863756782099</v>
      </c>
      <c r="S13" s="160">
        <v>17.7024358231</v>
      </c>
      <c r="T13" s="52"/>
      <c r="U13" s="160">
        <v>23154.542474006499</v>
      </c>
      <c r="V13" s="160">
        <v>5.9653391825000002</v>
      </c>
    </row>
    <row r="14" spans="1:22" ht="12.75" customHeight="1" x14ac:dyDescent="0.2">
      <c r="A14" s="11"/>
      <c r="B14" s="13" t="s">
        <v>27</v>
      </c>
      <c r="C14" s="316"/>
      <c r="D14" s="160">
        <v>1094323.1287738399</v>
      </c>
      <c r="E14" s="317"/>
      <c r="F14" s="160">
        <v>134970.70040327401</v>
      </c>
      <c r="G14" s="160">
        <v>11.894434261300001</v>
      </c>
      <c r="H14" s="317"/>
      <c r="I14" s="160">
        <v>267667.67067700002</v>
      </c>
      <c r="J14" s="160">
        <v>23.6594092616</v>
      </c>
      <c r="K14" s="50"/>
      <c r="L14" s="160">
        <v>301498.07339496299</v>
      </c>
      <c r="M14" s="160">
        <v>26.7138298934</v>
      </c>
      <c r="N14" s="317"/>
      <c r="O14" s="160">
        <v>181920.76570298901</v>
      </c>
      <c r="P14" s="160">
        <v>16.004147681599999</v>
      </c>
      <c r="Q14" s="317"/>
      <c r="R14" s="160">
        <v>109476.262996437</v>
      </c>
      <c r="S14" s="160">
        <v>9.6091731390999993</v>
      </c>
      <c r="T14" s="52"/>
      <c r="U14" s="160">
        <v>12498.3457048174</v>
      </c>
      <c r="V14" s="160">
        <v>1.0934329569000001</v>
      </c>
    </row>
    <row r="15" spans="1:22" ht="12.75" customHeight="1" x14ac:dyDescent="0.2">
      <c r="A15" s="12"/>
      <c r="B15" s="13" t="s">
        <v>28</v>
      </c>
      <c r="C15" s="316"/>
      <c r="D15" s="160">
        <v>227749.62097325901</v>
      </c>
      <c r="E15" s="317"/>
      <c r="F15" s="160">
        <v>61144.2706743585</v>
      </c>
      <c r="G15" s="160">
        <v>26.478765401099999</v>
      </c>
      <c r="H15" s="317"/>
      <c r="I15" s="160">
        <v>57429.363913454901</v>
      </c>
      <c r="J15" s="160">
        <v>23.7763836363</v>
      </c>
      <c r="K15" s="50"/>
      <c r="L15" s="160">
        <v>45792.767525166899</v>
      </c>
      <c r="M15" s="160">
        <v>19.160651804800001</v>
      </c>
      <c r="N15" s="317"/>
      <c r="O15" s="160">
        <v>19135.585850526699</v>
      </c>
      <c r="P15" s="160">
        <v>7.7648695559999998</v>
      </c>
      <c r="Q15" s="317"/>
      <c r="R15" s="160">
        <v>12909.7533060735</v>
      </c>
      <c r="S15" s="160">
        <v>5.2283547602000002</v>
      </c>
      <c r="T15" s="52"/>
      <c r="U15" s="160">
        <v>12200.1430855783</v>
      </c>
      <c r="V15" s="160">
        <v>5.0909822433</v>
      </c>
    </row>
    <row r="16" spans="1:22" ht="12.75" customHeight="1" x14ac:dyDescent="0.2">
      <c r="A16" s="12"/>
      <c r="B16" s="13" t="s">
        <v>29</v>
      </c>
      <c r="C16" s="316"/>
      <c r="D16" s="160">
        <v>241346.958106228</v>
      </c>
      <c r="E16" s="317"/>
      <c r="F16" s="160">
        <v>68926.537423331101</v>
      </c>
      <c r="G16" s="160">
        <v>27.643660965799999</v>
      </c>
      <c r="H16" s="317"/>
      <c r="I16" s="160">
        <v>61681.193148159698</v>
      </c>
      <c r="J16" s="160">
        <v>24.577664289400001</v>
      </c>
      <c r="K16" s="50"/>
      <c r="L16" s="160">
        <v>37083.464008388102</v>
      </c>
      <c r="M16" s="160">
        <v>14.703818397399999</v>
      </c>
      <c r="N16" s="317"/>
      <c r="O16" s="160">
        <v>20868.946172494299</v>
      </c>
      <c r="P16" s="160">
        <v>8.2303431399000004</v>
      </c>
      <c r="Q16" s="317"/>
      <c r="R16" s="160">
        <v>19508.350800072101</v>
      </c>
      <c r="S16" s="160">
        <v>7.5929931884000004</v>
      </c>
      <c r="T16" s="52"/>
      <c r="U16" s="160">
        <v>18368.9141663214</v>
      </c>
      <c r="V16" s="160">
        <v>7.1867199606999996</v>
      </c>
    </row>
    <row r="17" spans="1:22" ht="12.75" customHeight="1" x14ac:dyDescent="0.2">
      <c r="A17" s="12"/>
      <c r="B17" s="13" t="s">
        <v>30</v>
      </c>
      <c r="C17" s="316"/>
      <c r="D17" s="128">
        <v>873188.10795798199</v>
      </c>
      <c r="E17" s="317"/>
      <c r="F17" s="128">
        <v>46834.6828947178</v>
      </c>
      <c r="G17" s="128">
        <v>5.2214866584999999</v>
      </c>
      <c r="H17" s="317"/>
      <c r="I17" s="128">
        <v>160899.34193283299</v>
      </c>
      <c r="J17" s="128">
        <v>17.957457776999998</v>
      </c>
      <c r="K17" s="50"/>
      <c r="L17" s="128">
        <v>210211.65752070301</v>
      </c>
      <c r="M17" s="128">
        <v>23.259812264499999</v>
      </c>
      <c r="N17" s="317"/>
      <c r="O17" s="128">
        <v>177054.362995078</v>
      </c>
      <c r="P17" s="128">
        <v>19.662872861899999</v>
      </c>
      <c r="Q17" s="317"/>
      <c r="R17" s="128">
        <v>134369.093976581</v>
      </c>
      <c r="S17" s="128">
        <v>14.9113258422</v>
      </c>
      <c r="T17" s="53"/>
      <c r="U17" s="128">
        <v>72077.54996561</v>
      </c>
      <c r="V17" s="128">
        <v>7.9870501994999996</v>
      </c>
    </row>
    <row r="18" spans="1:22" ht="12.75" customHeight="1" x14ac:dyDescent="0.2">
      <c r="A18" s="21"/>
      <c r="B18" s="13" t="s">
        <v>31</v>
      </c>
      <c r="C18" s="316"/>
      <c r="D18" s="128">
        <v>215342.98131561599</v>
      </c>
      <c r="E18" s="317"/>
      <c r="F18" s="128">
        <v>22522.669040144301</v>
      </c>
      <c r="G18" s="128">
        <v>9.8646124918000009</v>
      </c>
      <c r="H18" s="317"/>
      <c r="I18" s="128">
        <v>42086.464663484403</v>
      </c>
      <c r="J18" s="128">
        <v>18.620728023800002</v>
      </c>
      <c r="K18" s="50"/>
      <c r="L18" s="128">
        <v>56257.111513069598</v>
      </c>
      <c r="M18" s="128">
        <v>25.3255491892</v>
      </c>
      <c r="N18" s="317"/>
      <c r="O18" s="128">
        <v>40942.187036436</v>
      </c>
      <c r="P18" s="128">
        <v>18.2445759501</v>
      </c>
      <c r="Q18" s="317"/>
      <c r="R18" s="128">
        <v>32341.0374249659</v>
      </c>
      <c r="S18" s="128">
        <v>14.1910451854</v>
      </c>
      <c r="T18" s="53"/>
      <c r="U18" s="128">
        <v>4130.6889979506004</v>
      </c>
      <c r="V18" s="128">
        <v>1.8140969906</v>
      </c>
    </row>
    <row r="19" spans="1:22" ht="12.75" customHeight="1" x14ac:dyDescent="0.2">
      <c r="A19" s="21"/>
      <c r="B19" s="13" t="s">
        <v>32</v>
      </c>
      <c r="C19" s="316"/>
      <c r="D19" s="160">
        <v>1307775.79723661</v>
      </c>
      <c r="E19" s="317"/>
      <c r="F19" s="160">
        <v>395331.39743885701</v>
      </c>
      <c r="G19" s="160">
        <v>28.737150928799998</v>
      </c>
      <c r="H19" s="317"/>
      <c r="I19" s="160">
        <v>357521.22445461201</v>
      </c>
      <c r="J19" s="160">
        <v>26.405879910500001</v>
      </c>
      <c r="K19" s="50"/>
      <c r="L19" s="160">
        <v>227453.07179789699</v>
      </c>
      <c r="M19" s="160">
        <v>16.571769453400002</v>
      </c>
      <c r="N19" s="317"/>
      <c r="O19" s="160">
        <v>132767.59361943899</v>
      </c>
      <c r="P19" s="160">
        <v>9.6367534168999995</v>
      </c>
      <c r="Q19" s="317"/>
      <c r="R19" s="160">
        <v>117987.74088870399</v>
      </c>
      <c r="S19" s="160">
        <v>8.4466422314000003</v>
      </c>
      <c r="T19" s="52"/>
      <c r="U19" s="160">
        <v>7373.419564236</v>
      </c>
      <c r="V19" s="160">
        <v>0.53773935049999999</v>
      </c>
    </row>
    <row r="20" spans="1:22" ht="12.75" customHeight="1" x14ac:dyDescent="0.2">
      <c r="B20" s="13" t="s">
        <v>33</v>
      </c>
      <c r="C20" s="316"/>
      <c r="D20" s="160">
        <v>1106672.0927464101</v>
      </c>
      <c r="E20" s="317"/>
      <c r="F20" s="160">
        <v>145457.505486323</v>
      </c>
      <c r="G20" s="160">
        <v>12.882989502099999</v>
      </c>
      <c r="H20" s="317"/>
      <c r="I20" s="160">
        <v>239205.203830574</v>
      </c>
      <c r="J20" s="160">
        <v>21.088721837400001</v>
      </c>
      <c r="K20" s="50"/>
      <c r="L20" s="160">
        <v>261716.04884256001</v>
      </c>
      <c r="M20" s="160">
        <v>23.038899243100001</v>
      </c>
      <c r="N20" s="317"/>
      <c r="O20" s="160">
        <v>156675.48362274299</v>
      </c>
      <c r="P20" s="160">
        <v>13.715754387300001</v>
      </c>
      <c r="Q20" s="317"/>
      <c r="R20" s="160">
        <v>135452.17852456999</v>
      </c>
      <c r="S20" s="160">
        <v>11.8742063555</v>
      </c>
      <c r="T20" s="52"/>
      <c r="U20" s="160">
        <v>69429.223753855797</v>
      </c>
      <c r="V20" s="160">
        <v>6.0711306339000002</v>
      </c>
    </row>
    <row r="21" spans="1:22" ht="12.75" customHeight="1" x14ac:dyDescent="0.2">
      <c r="B21" s="13" t="s">
        <v>34</v>
      </c>
      <c r="C21" s="316"/>
      <c r="D21" s="160">
        <v>2637127.6507512201</v>
      </c>
      <c r="E21" s="317"/>
      <c r="F21" s="160">
        <v>520895.63235857198</v>
      </c>
      <c r="G21" s="160">
        <v>19.265160598000001</v>
      </c>
      <c r="H21" s="317"/>
      <c r="I21" s="160">
        <v>826166.60188835498</v>
      </c>
      <c r="J21" s="160">
        <v>30.532894701</v>
      </c>
      <c r="K21" s="50"/>
      <c r="L21" s="160">
        <v>396722.82439732301</v>
      </c>
      <c r="M21" s="160">
        <v>14.649804017199999</v>
      </c>
      <c r="N21" s="317"/>
      <c r="O21" s="160">
        <v>271072.55649510602</v>
      </c>
      <c r="P21" s="160">
        <v>10.007311964199999</v>
      </c>
      <c r="Q21" s="317"/>
      <c r="R21" s="160">
        <v>272834.595597515</v>
      </c>
      <c r="S21" s="160">
        <v>10.057070554299999</v>
      </c>
      <c r="T21" s="52"/>
      <c r="U21" s="160">
        <v>128368.033991157</v>
      </c>
      <c r="V21" s="160">
        <v>4.7503248066000001</v>
      </c>
    </row>
    <row r="22" spans="1:22" ht="12.75" customHeight="1" x14ac:dyDescent="0.2">
      <c r="B22" s="13" t="s">
        <v>35</v>
      </c>
      <c r="C22" s="316"/>
      <c r="D22" s="160">
        <v>479890.75585837202</v>
      </c>
      <c r="E22" s="317"/>
      <c r="F22" s="160">
        <v>38328.334418484403</v>
      </c>
      <c r="G22" s="160">
        <v>7.6733251638000004</v>
      </c>
      <c r="H22" s="317"/>
      <c r="I22" s="160">
        <v>95909.895538877798</v>
      </c>
      <c r="J22" s="160">
        <v>19.4310699374</v>
      </c>
      <c r="K22" s="50"/>
      <c r="L22" s="160">
        <v>116126.877363174</v>
      </c>
      <c r="M22" s="160">
        <v>23.426186173800001</v>
      </c>
      <c r="N22" s="317"/>
      <c r="O22" s="160">
        <v>76102.581008259498</v>
      </c>
      <c r="P22" s="160">
        <v>15.327376719</v>
      </c>
      <c r="Q22" s="317"/>
      <c r="R22" s="160">
        <v>83239.256797062393</v>
      </c>
      <c r="S22" s="160">
        <v>16.7762344466</v>
      </c>
      <c r="T22" s="52"/>
      <c r="U22" s="160">
        <v>28378.2330966015</v>
      </c>
      <c r="V22" s="160">
        <v>5.7135046880000004</v>
      </c>
    </row>
    <row r="23" spans="1:22" ht="12.75" customHeight="1" x14ac:dyDescent="0.2">
      <c r="B23" s="13" t="s">
        <v>36</v>
      </c>
      <c r="C23" s="316"/>
      <c r="D23" s="160">
        <v>1521466.9196536599</v>
      </c>
      <c r="E23" s="317"/>
      <c r="F23" s="160">
        <v>145667.16178477599</v>
      </c>
      <c r="G23" s="160">
        <v>9.2377178280999992</v>
      </c>
      <c r="H23" s="317"/>
      <c r="I23" s="160">
        <v>324233.56366811303</v>
      </c>
      <c r="J23" s="160">
        <v>20.699474021299999</v>
      </c>
      <c r="K23" s="50"/>
      <c r="L23" s="160">
        <v>350414.30956200103</v>
      </c>
      <c r="M23" s="160">
        <v>22.2220322037</v>
      </c>
      <c r="N23" s="317"/>
      <c r="O23" s="160">
        <v>251250.96442723699</v>
      </c>
      <c r="P23" s="160">
        <v>15.9998702566</v>
      </c>
      <c r="Q23" s="317"/>
      <c r="R23" s="160">
        <v>299310.62631740997</v>
      </c>
      <c r="S23" s="160">
        <v>19.026674229400001</v>
      </c>
      <c r="T23" s="52"/>
      <c r="U23" s="160">
        <v>30136.2927845263</v>
      </c>
      <c r="V23" s="160">
        <v>1.8967049541000001</v>
      </c>
    </row>
    <row r="24" spans="1:22" ht="12.75" customHeight="1" x14ac:dyDescent="0.2">
      <c r="B24" s="13" t="s">
        <v>37</v>
      </c>
      <c r="C24" s="316"/>
      <c r="D24" s="160">
        <v>891088.45772531198</v>
      </c>
      <c r="E24" s="317"/>
      <c r="F24" s="160">
        <v>202088.74307490699</v>
      </c>
      <c r="G24" s="160">
        <v>21.952297224300001</v>
      </c>
      <c r="H24" s="317"/>
      <c r="I24" s="160">
        <v>234101.00117457801</v>
      </c>
      <c r="J24" s="160">
        <v>25.1146703802</v>
      </c>
      <c r="K24" s="50"/>
      <c r="L24" s="160">
        <v>188919.30956107299</v>
      </c>
      <c r="M24" s="160">
        <v>20.6841088828</v>
      </c>
      <c r="N24" s="317"/>
      <c r="O24" s="160">
        <v>107195.05830617899</v>
      </c>
      <c r="P24" s="160">
        <v>11.4931777622</v>
      </c>
      <c r="Q24" s="317"/>
      <c r="R24" s="160">
        <v>64582.361592343703</v>
      </c>
      <c r="S24" s="160">
        <v>6.9045737984000004</v>
      </c>
      <c r="T24" s="52"/>
      <c r="U24" s="160">
        <v>30209.836788278601</v>
      </c>
      <c r="V24" s="160">
        <v>3.2178282014000001</v>
      </c>
    </row>
    <row r="25" spans="1:22" ht="12.75" customHeight="1" x14ac:dyDescent="0.2">
      <c r="B25" s="13" t="s">
        <v>38</v>
      </c>
      <c r="C25" s="316"/>
      <c r="D25" s="160">
        <v>816896.76724279101</v>
      </c>
      <c r="E25" s="317"/>
      <c r="F25" s="160">
        <v>166226.419073475</v>
      </c>
      <c r="G25" s="160">
        <v>19.561544917399999</v>
      </c>
      <c r="H25" s="317"/>
      <c r="I25" s="160">
        <v>197426.74328732499</v>
      </c>
      <c r="J25" s="160">
        <v>23.176558188200001</v>
      </c>
      <c r="K25" s="50"/>
      <c r="L25" s="160">
        <v>170397.714250647</v>
      </c>
      <c r="M25" s="160">
        <v>20.205934448899999</v>
      </c>
      <c r="N25" s="317"/>
      <c r="O25" s="160">
        <v>104756.259467938</v>
      </c>
      <c r="P25" s="160">
        <v>12.462613123600001</v>
      </c>
      <c r="Q25" s="317"/>
      <c r="R25" s="160">
        <v>102963.126185941</v>
      </c>
      <c r="S25" s="160">
        <v>12.159481621499999</v>
      </c>
      <c r="T25" s="52"/>
      <c r="U25" s="160">
        <v>17617.1143615441</v>
      </c>
      <c r="V25" s="160">
        <v>2.0652610985000002</v>
      </c>
    </row>
    <row r="26" spans="1:22" ht="12.75" customHeight="1" x14ac:dyDescent="0.2">
      <c r="B26" s="13" t="s">
        <v>39</v>
      </c>
      <c r="C26" s="316"/>
      <c r="D26" s="160">
        <v>2214619.12347756</v>
      </c>
      <c r="E26" s="317"/>
      <c r="F26" s="160">
        <v>240489.08728517799</v>
      </c>
      <c r="G26" s="160">
        <v>10.568589166900001</v>
      </c>
      <c r="H26" s="317"/>
      <c r="I26" s="160">
        <v>657728.73736229504</v>
      </c>
      <c r="J26" s="160">
        <v>28.836203020300001</v>
      </c>
      <c r="K26" s="50"/>
      <c r="L26" s="160">
        <v>430134.43328932603</v>
      </c>
      <c r="M26" s="160">
        <v>18.841522627900002</v>
      </c>
      <c r="N26" s="317"/>
      <c r="O26" s="160">
        <v>356601.34226124297</v>
      </c>
      <c r="P26" s="160">
        <v>15.5236751366</v>
      </c>
      <c r="Q26" s="317"/>
      <c r="R26" s="160">
        <v>327809.48726146301</v>
      </c>
      <c r="S26" s="160">
        <v>14.270435283399999</v>
      </c>
      <c r="T26" s="52"/>
      <c r="U26" s="160">
        <v>19625.763696274</v>
      </c>
      <c r="V26" s="160">
        <v>0.84591260310000005</v>
      </c>
    </row>
    <row r="27" spans="1:22" ht="12.75" customHeight="1" x14ac:dyDescent="0.2">
      <c r="B27" s="13" t="s">
        <v>40</v>
      </c>
      <c r="C27" s="316"/>
      <c r="D27" s="160">
        <v>4367842.1895668004</v>
      </c>
      <c r="E27" s="317"/>
      <c r="F27" s="160">
        <v>743413.778040412</v>
      </c>
      <c r="G27" s="160">
        <v>16.3938104862</v>
      </c>
      <c r="H27" s="317"/>
      <c r="I27" s="160">
        <v>1008641.65680445</v>
      </c>
      <c r="J27" s="160">
        <v>22.065943656999998</v>
      </c>
      <c r="K27" s="50"/>
      <c r="L27" s="160">
        <v>941144.72801464796</v>
      </c>
      <c r="M27" s="160">
        <v>20.781197222799999</v>
      </c>
      <c r="N27" s="317"/>
      <c r="O27" s="160">
        <v>515810.078676245</v>
      </c>
      <c r="P27" s="160">
        <v>11.307062158000001</v>
      </c>
      <c r="Q27" s="317"/>
      <c r="R27" s="160">
        <v>637429.27179720602</v>
      </c>
      <c r="S27" s="160">
        <v>14.0359018221</v>
      </c>
      <c r="T27" s="52"/>
      <c r="U27" s="160">
        <v>215365.62113033401</v>
      </c>
      <c r="V27" s="160">
        <v>4.6848697339000003</v>
      </c>
    </row>
    <row r="28" spans="1:22" ht="12.75" customHeight="1" x14ac:dyDescent="0.2">
      <c r="B28" s="13" t="s">
        <v>41</v>
      </c>
      <c r="C28" s="316"/>
      <c r="D28" s="160">
        <v>1209066.2014425499</v>
      </c>
      <c r="E28" s="317"/>
      <c r="F28" s="160">
        <v>162489.256387998</v>
      </c>
      <c r="G28" s="160">
        <v>12.7200871835</v>
      </c>
      <c r="H28" s="317"/>
      <c r="I28" s="160">
        <v>268025.69378462998</v>
      </c>
      <c r="J28" s="160">
        <v>21.244890266700001</v>
      </c>
      <c r="K28" s="50"/>
      <c r="L28" s="160">
        <v>199976.54102221501</v>
      </c>
      <c r="M28" s="160">
        <v>15.8061450605</v>
      </c>
      <c r="N28" s="317"/>
      <c r="O28" s="160">
        <v>199088.15803297999</v>
      </c>
      <c r="P28" s="160">
        <v>15.653142390499999</v>
      </c>
      <c r="Q28" s="317"/>
      <c r="R28" s="160">
        <v>263821.15607240499</v>
      </c>
      <c r="S28" s="160">
        <v>20.9793060917</v>
      </c>
      <c r="T28" s="52"/>
      <c r="U28" s="160">
        <v>19310.114728676901</v>
      </c>
      <c r="V28" s="160">
        <v>1.5000769514000001</v>
      </c>
    </row>
    <row r="29" spans="1:22" ht="12.75" customHeight="1" x14ac:dyDescent="0.2">
      <c r="B29" s="13" t="s">
        <v>42</v>
      </c>
      <c r="C29" s="316"/>
      <c r="D29" s="160">
        <v>543030.77389932098</v>
      </c>
      <c r="E29" s="317"/>
      <c r="F29" s="160">
        <v>96332.308577395903</v>
      </c>
      <c r="G29" s="160">
        <v>16.978615963599999</v>
      </c>
      <c r="H29" s="317"/>
      <c r="I29" s="160">
        <v>157760.56493042599</v>
      </c>
      <c r="J29" s="160">
        <v>27.716644088900001</v>
      </c>
      <c r="K29" s="50"/>
      <c r="L29" s="160">
        <v>133238.41014900201</v>
      </c>
      <c r="M29" s="160">
        <v>23.691942856299999</v>
      </c>
      <c r="N29" s="317"/>
      <c r="O29" s="160">
        <v>60785.243631960402</v>
      </c>
      <c r="P29" s="160">
        <v>10.733436895800001</v>
      </c>
      <c r="Q29" s="317"/>
      <c r="R29" s="160">
        <v>44776.4710217217</v>
      </c>
      <c r="S29" s="160">
        <v>7.9691154436999998</v>
      </c>
      <c r="T29" s="52"/>
      <c r="U29" s="160">
        <v>18441.5544750029</v>
      </c>
      <c r="V29" s="160">
        <v>3.2237083578000001</v>
      </c>
    </row>
    <row r="30" spans="1:22" ht="12.75" customHeight="1" x14ac:dyDescent="0.2">
      <c r="B30" s="13" t="s">
        <v>43</v>
      </c>
      <c r="C30" s="316"/>
      <c r="D30" s="160">
        <v>343386.664223017</v>
      </c>
      <c r="E30" s="317"/>
      <c r="F30" s="160">
        <v>47899.9064514153</v>
      </c>
      <c r="G30" s="160">
        <v>13.5298161276</v>
      </c>
      <c r="H30" s="317"/>
      <c r="I30" s="160">
        <v>81453.007209186006</v>
      </c>
      <c r="J30" s="160">
        <v>23.050038496599999</v>
      </c>
      <c r="K30" s="50"/>
      <c r="L30" s="160">
        <v>77769.401252585303</v>
      </c>
      <c r="M30" s="160">
        <v>21.846636478600001</v>
      </c>
      <c r="N30" s="317"/>
      <c r="O30" s="160">
        <v>57298.606417924901</v>
      </c>
      <c r="P30" s="160">
        <v>16.070906461700002</v>
      </c>
      <c r="Q30" s="317"/>
      <c r="R30" s="160">
        <v>46710.749647733697</v>
      </c>
      <c r="S30" s="160">
        <v>12.976576530999999</v>
      </c>
      <c r="T30" s="52"/>
      <c r="U30" s="160">
        <v>7862.3333702833997</v>
      </c>
      <c r="V30" s="160">
        <v>2.1869018262000002</v>
      </c>
    </row>
    <row r="31" spans="1:22" ht="12.75" customHeight="1" x14ac:dyDescent="0.2">
      <c r="B31" s="13" t="s">
        <v>44</v>
      </c>
      <c r="C31" s="316"/>
      <c r="D31" s="160">
        <v>1584392.1221822</v>
      </c>
      <c r="E31" s="317"/>
      <c r="F31" s="160">
        <v>165239.604479904</v>
      </c>
      <c r="G31" s="160">
        <v>10.1715437734</v>
      </c>
      <c r="H31" s="317"/>
      <c r="I31" s="160">
        <v>376962.67219839903</v>
      </c>
      <c r="J31" s="160">
        <v>23.275217405599999</v>
      </c>
      <c r="K31" s="50"/>
      <c r="L31" s="160">
        <v>373085.79355736298</v>
      </c>
      <c r="M31" s="160">
        <v>22.671833311499999</v>
      </c>
      <c r="N31" s="317"/>
      <c r="O31" s="160">
        <v>283387.38428342203</v>
      </c>
      <c r="P31" s="160">
        <v>16.960657033899999</v>
      </c>
      <c r="Q31" s="317"/>
      <c r="R31" s="160">
        <v>232782.981138726</v>
      </c>
      <c r="S31" s="160">
        <v>13.8928602958</v>
      </c>
      <c r="T31" s="52"/>
      <c r="U31" s="160">
        <v>9803.5749953532995</v>
      </c>
      <c r="V31" s="160">
        <v>0.58769419789999999</v>
      </c>
    </row>
    <row r="32" spans="1:22" ht="12.75" customHeight="1" x14ac:dyDescent="0.2">
      <c r="B32" s="13" t="s">
        <v>45</v>
      </c>
      <c r="C32" s="316"/>
      <c r="D32" s="160">
        <v>1033276.02380439</v>
      </c>
      <c r="E32" s="317"/>
      <c r="F32" s="160">
        <v>213127.88063771301</v>
      </c>
      <c r="G32" s="160">
        <v>19.974439176200001</v>
      </c>
      <c r="H32" s="317"/>
      <c r="I32" s="160">
        <v>287035.494778416</v>
      </c>
      <c r="J32" s="160">
        <v>26.379241610099999</v>
      </c>
      <c r="K32" s="50"/>
      <c r="L32" s="160">
        <v>218592.87336186299</v>
      </c>
      <c r="M32" s="160">
        <v>20.282167021399999</v>
      </c>
      <c r="N32" s="317"/>
      <c r="O32" s="160">
        <v>136379.90420473399</v>
      </c>
      <c r="P32" s="160">
        <v>12.413948856999999</v>
      </c>
      <c r="Q32" s="317"/>
      <c r="R32" s="160">
        <v>113744.64762325</v>
      </c>
      <c r="S32" s="160">
        <v>10.3078665241</v>
      </c>
      <c r="T32" s="52"/>
      <c r="U32" s="160">
        <v>9322.5740393132</v>
      </c>
      <c r="V32" s="160">
        <v>0.83320946979999999</v>
      </c>
    </row>
    <row r="33" spans="2:22" ht="12.75" customHeight="1" x14ac:dyDescent="0.2">
      <c r="B33" s="13" t="s">
        <v>46</v>
      </c>
      <c r="C33" s="316"/>
      <c r="D33" s="160">
        <v>1616705.1047259199</v>
      </c>
      <c r="E33" s="317"/>
      <c r="F33" s="160">
        <v>377115.82674723002</v>
      </c>
      <c r="G33" s="160">
        <v>22.423176440199999</v>
      </c>
      <c r="H33" s="317"/>
      <c r="I33" s="160">
        <v>422996.12066869199</v>
      </c>
      <c r="J33" s="160">
        <v>25.214973991899999</v>
      </c>
      <c r="K33" s="50"/>
      <c r="L33" s="160">
        <v>305729.96471777698</v>
      </c>
      <c r="M33" s="160">
        <v>18.2696807616</v>
      </c>
      <c r="N33" s="317"/>
      <c r="O33" s="160">
        <v>203302.46957984299</v>
      </c>
      <c r="P33" s="160">
        <v>11.990067273499999</v>
      </c>
      <c r="Q33" s="317"/>
      <c r="R33" s="160">
        <v>195617.64294313401</v>
      </c>
      <c r="S33" s="160">
        <v>11.481544467899999</v>
      </c>
      <c r="T33" s="52"/>
      <c r="U33" s="160">
        <v>17491.179996652099</v>
      </c>
      <c r="V33" s="160">
        <v>1.0308593329</v>
      </c>
    </row>
    <row r="34" spans="2:22" ht="12.75" customHeight="1" x14ac:dyDescent="0.2">
      <c r="B34" s="13" t="s">
        <v>47</v>
      </c>
      <c r="C34" s="316"/>
      <c r="D34" s="160">
        <v>608432.00766038802</v>
      </c>
      <c r="E34" s="317"/>
      <c r="F34" s="160">
        <v>78825.789933034393</v>
      </c>
      <c r="G34" s="160">
        <v>12.430176874900001</v>
      </c>
      <c r="H34" s="317"/>
      <c r="I34" s="160">
        <v>149439.351740546</v>
      </c>
      <c r="J34" s="160">
        <v>23.5457998708</v>
      </c>
      <c r="K34" s="50"/>
      <c r="L34" s="160">
        <v>150398.296093768</v>
      </c>
      <c r="M34" s="160">
        <v>23.744368019300001</v>
      </c>
      <c r="N34" s="317"/>
      <c r="O34" s="160">
        <v>87244.631712660994</v>
      </c>
      <c r="P34" s="160">
        <v>13.2907024602</v>
      </c>
      <c r="Q34" s="317"/>
      <c r="R34" s="160">
        <v>91990.032263561196</v>
      </c>
      <c r="S34" s="160">
        <v>13.8069020534</v>
      </c>
      <c r="T34" s="52"/>
      <c r="U34" s="160">
        <v>8242.3817015415007</v>
      </c>
      <c r="V34" s="160">
        <v>1.2849845863</v>
      </c>
    </row>
    <row r="35" spans="2:22" ht="12.75" customHeight="1" x14ac:dyDescent="0.2">
      <c r="B35" s="13" t="s">
        <v>48</v>
      </c>
      <c r="C35" s="316"/>
      <c r="D35" s="160">
        <v>522330.00393641897</v>
      </c>
      <c r="E35" s="317"/>
      <c r="F35" s="160">
        <v>146430.634493183</v>
      </c>
      <c r="G35" s="160">
        <v>26.120284851499999</v>
      </c>
      <c r="H35" s="317"/>
      <c r="I35" s="160">
        <v>125748.974696576</v>
      </c>
      <c r="J35" s="160">
        <v>23.6405861573</v>
      </c>
      <c r="K35" s="50"/>
      <c r="L35" s="160">
        <v>96402.987146022904</v>
      </c>
      <c r="M35" s="160">
        <v>17.821068173800001</v>
      </c>
      <c r="N35" s="317"/>
      <c r="O35" s="160">
        <v>48529.391740995103</v>
      </c>
      <c r="P35" s="160">
        <v>8.6751649057000009</v>
      </c>
      <c r="Q35" s="317"/>
      <c r="R35" s="160">
        <v>35005.421325408097</v>
      </c>
      <c r="S35" s="160">
        <v>6.1960873656000004</v>
      </c>
      <c r="T35" s="54"/>
      <c r="U35" s="160">
        <v>23442.354445839799</v>
      </c>
      <c r="V35" s="160">
        <v>4.1911506725000001</v>
      </c>
    </row>
    <row r="36" spans="2:22" ht="12.75" customHeight="1" x14ac:dyDescent="0.2">
      <c r="B36" s="13" t="s">
        <v>49</v>
      </c>
      <c r="C36" s="316"/>
      <c r="D36" s="160">
        <v>747363.50613859505</v>
      </c>
      <c r="E36" s="317"/>
      <c r="F36" s="160">
        <v>72259.153576055003</v>
      </c>
      <c r="G36" s="160">
        <v>9.4346262893000006</v>
      </c>
      <c r="H36" s="317"/>
      <c r="I36" s="160">
        <v>176499.89114800401</v>
      </c>
      <c r="J36" s="160">
        <v>22.941202258099999</v>
      </c>
      <c r="K36" s="50"/>
      <c r="L36" s="160">
        <v>199126.58514804501</v>
      </c>
      <c r="M36" s="160">
        <v>25.956454964399999</v>
      </c>
      <c r="N36" s="317"/>
      <c r="O36" s="160">
        <v>110407.144371569</v>
      </c>
      <c r="P36" s="160">
        <v>14.3737031796</v>
      </c>
      <c r="Q36" s="317"/>
      <c r="R36" s="160">
        <v>118644.028951924</v>
      </c>
      <c r="S36" s="160">
        <v>15.3709477607</v>
      </c>
      <c r="T36" s="52"/>
      <c r="U36" s="160">
        <v>7980.7738895724997</v>
      </c>
      <c r="V36" s="160">
        <v>1.0318068667</v>
      </c>
    </row>
    <row r="37" spans="2:22" ht="12.75" customHeight="1" x14ac:dyDescent="0.2">
      <c r="B37" s="13" t="s">
        <v>50</v>
      </c>
      <c r="C37" s="316"/>
      <c r="D37" s="160">
        <v>830795.97160518297</v>
      </c>
      <c r="E37" s="317"/>
      <c r="F37" s="160">
        <v>95035.275582647606</v>
      </c>
      <c r="G37" s="160">
        <v>11.066955482699999</v>
      </c>
      <c r="H37" s="317"/>
      <c r="I37" s="160">
        <v>203581.68692818799</v>
      </c>
      <c r="J37" s="160">
        <v>23.7217896965</v>
      </c>
      <c r="K37" s="50"/>
      <c r="L37" s="160">
        <v>191310.26235086101</v>
      </c>
      <c r="M37" s="160">
        <v>22.334318757199998</v>
      </c>
      <c r="N37" s="317"/>
      <c r="O37" s="160">
        <v>150887.22177691801</v>
      </c>
      <c r="P37" s="160">
        <v>17.740731050299999</v>
      </c>
      <c r="Q37" s="317"/>
      <c r="R37" s="160">
        <v>114484.48178074</v>
      </c>
      <c r="S37" s="160">
        <v>13.2646598579</v>
      </c>
      <c r="T37" s="52"/>
      <c r="U37" s="160">
        <v>11977.848139149401</v>
      </c>
      <c r="V37" s="160">
        <v>1.4180252316999999</v>
      </c>
    </row>
    <row r="38" spans="2:22" ht="12.75" customHeight="1" x14ac:dyDescent="0.2">
      <c r="B38" s="13" t="s">
        <v>51</v>
      </c>
      <c r="C38" s="316"/>
      <c r="D38" s="160">
        <v>834239.32982548501</v>
      </c>
      <c r="E38" s="317"/>
      <c r="F38" s="160">
        <v>131598.403436708</v>
      </c>
      <c r="G38" s="160">
        <v>15.2903449958</v>
      </c>
      <c r="H38" s="317"/>
      <c r="I38" s="160">
        <v>213898.10180054599</v>
      </c>
      <c r="J38" s="160">
        <v>24.9635328693</v>
      </c>
      <c r="K38" s="50"/>
      <c r="L38" s="160">
        <v>156812.298083595</v>
      </c>
      <c r="M38" s="160">
        <v>18.102418231000001</v>
      </c>
      <c r="N38" s="317"/>
      <c r="O38" s="160">
        <v>128172.83755629401</v>
      </c>
      <c r="P38" s="160">
        <v>14.6273760856</v>
      </c>
      <c r="Q38" s="52"/>
      <c r="R38" s="160">
        <v>135550.73692654999</v>
      </c>
      <c r="S38" s="160">
        <v>15.393762325200001</v>
      </c>
      <c r="T38" s="52"/>
      <c r="U38" s="160">
        <v>2865.6501107024001</v>
      </c>
      <c r="V38" s="160">
        <v>0.32677186530000002</v>
      </c>
    </row>
    <row r="39" spans="2:22" ht="12.75" customHeight="1" x14ac:dyDescent="0.2">
      <c r="B39" s="13" t="s">
        <v>52</v>
      </c>
      <c r="C39" s="316"/>
      <c r="D39" s="160">
        <v>641258.75840786798</v>
      </c>
      <c r="E39" s="317"/>
      <c r="F39" s="160">
        <v>137447.58565354999</v>
      </c>
      <c r="G39" s="160">
        <v>20.3843053955</v>
      </c>
      <c r="H39" s="317"/>
      <c r="I39" s="160">
        <v>189643.616372941</v>
      </c>
      <c r="J39" s="160">
        <v>28.354019651200002</v>
      </c>
      <c r="K39" s="50"/>
      <c r="L39" s="160">
        <v>121387.737482321</v>
      </c>
      <c r="M39" s="160">
        <v>18.3226746564</v>
      </c>
      <c r="N39" s="317"/>
      <c r="O39" s="160">
        <v>85619.301458905305</v>
      </c>
      <c r="P39" s="160">
        <v>12.8485259223</v>
      </c>
      <c r="Q39" s="317"/>
      <c r="R39" s="160">
        <v>65356.399350487198</v>
      </c>
      <c r="S39" s="160">
        <v>9.6898287659999998</v>
      </c>
      <c r="T39" s="52"/>
      <c r="U39" s="160">
        <v>4044.8259391987999</v>
      </c>
      <c r="V39" s="160">
        <v>0.59647438809999997</v>
      </c>
    </row>
    <row r="40" spans="2:22" ht="12.75" customHeight="1" x14ac:dyDescent="0.2">
      <c r="B40" s="13" t="s">
        <v>53</v>
      </c>
      <c r="C40" s="316"/>
      <c r="D40" s="160">
        <v>1015984.05385471</v>
      </c>
      <c r="E40" s="317"/>
      <c r="F40" s="160">
        <v>173624.078806276</v>
      </c>
      <c r="G40" s="160">
        <v>16.646315216800001</v>
      </c>
      <c r="H40" s="317"/>
      <c r="I40" s="160">
        <v>270203.390835264</v>
      </c>
      <c r="J40" s="160">
        <v>26.1910630476</v>
      </c>
      <c r="K40" s="50"/>
      <c r="L40" s="160">
        <v>225614.911865114</v>
      </c>
      <c r="M40" s="160">
        <v>21.424116873300001</v>
      </c>
      <c r="N40" s="317"/>
      <c r="O40" s="160">
        <v>125971.208505666</v>
      </c>
      <c r="P40" s="160">
        <v>11.9646509315</v>
      </c>
      <c r="Q40" s="317"/>
      <c r="R40" s="160">
        <v>123452.23696538</v>
      </c>
      <c r="S40" s="160">
        <v>11.657270027899999</v>
      </c>
      <c r="T40" s="52"/>
      <c r="U40" s="160">
        <v>15000.677667617399</v>
      </c>
      <c r="V40" s="160">
        <v>1.4251929846</v>
      </c>
    </row>
    <row r="41" spans="2:22" ht="12.75" customHeight="1" x14ac:dyDescent="0.2">
      <c r="B41" s="13" t="s">
        <v>54</v>
      </c>
      <c r="C41" s="316"/>
      <c r="D41" s="160">
        <v>320821.61901722202</v>
      </c>
      <c r="E41" s="317"/>
      <c r="F41" s="160">
        <v>53509.247246066501</v>
      </c>
      <c r="G41" s="160">
        <v>16.128321056000001</v>
      </c>
      <c r="H41" s="317"/>
      <c r="I41" s="160">
        <v>68808.550905702301</v>
      </c>
      <c r="J41" s="160">
        <v>20.949850984200001</v>
      </c>
      <c r="K41" s="50"/>
      <c r="L41" s="160">
        <v>71964.530907220993</v>
      </c>
      <c r="M41" s="160">
        <v>21.617928712499999</v>
      </c>
      <c r="N41" s="317"/>
      <c r="O41" s="160">
        <v>45702.861668264602</v>
      </c>
      <c r="P41" s="160">
        <v>13.741780264699999</v>
      </c>
      <c r="Q41" s="317"/>
      <c r="R41" s="160">
        <v>60736.939504500398</v>
      </c>
      <c r="S41" s="160">
        <v>18.180522638599999</v>
      </c>
      <c r="T41" s="52"/>
      <c r="U41" s="160">
        <v>940.39531214739998</v>
      </c>
      <c r="V41" s="160">
        <v>0.28048268040000002</v>
      </c>
    </row>
    <row r="42" spans="2:22" ht="12.75" customHeight="1" x14ac:dyDescent="0.2">
      <c r="B42" s="13" t="s">
        <v>55</v>
      </c>
      <c r="C42" s="316"/>
      <c r="D42" s="160">
        <v>2250780.00268341</v>
      </c>
      <c r="E42" s="317"/>
      <c r="F42" s="160">
        <v>631397.16027879401</v>
      </c>
      <c r="G42" s="160">
        <v>27.1476891079</v>
      </c>
      <c r="H42" s="317"/>
      <c r="I42" s="160">
        <v>606332.94982159894</v>
      </c>
      <c r="J42" s="160">
        <v>25.994344374099999</v>
      </c>
      <c r="K42" s="50"/>
      <c r="L42" s="160">
        <v>370182.68457008997</v>
      </c>
      <c r="M42" s="160">
        <v>15.8763401173</v>
      </c>
      <c r="N42" s="317"/>
      <c r="O42" s="160">
        <v>297172.75791146402</v>
      </c>
      <c r="P42" s="160">
        <v>12.6545532784</v>
      </c>
      <c r="Q42" s="317"/>
      <c r="R42" s="160">
        <v>200471.26046750401</v>
      </c>
      <c r="S42" s="160">
        <v>8.5100058007000001</v>
      </c>
      <c r="T42" s="52"/>
      <c r="U42" s="160">
        <v>11687.3962162241</v>
      </c>
      <c r="V42" s="160">
        <v>0.49504281449999998</v>
      </c>
    </row>
    <row r="43" spans="2:22" ht="12.75" customHeight="1" x14ac:dyDescent="0.2">
      <c r="B43" s="13" t="s">
        <v>56</v>
      </c>
      <c r="C43" s="316"/>
      <c r="D43" s="160">
        <v>623364.16859410505</v>
      </c>
      <c r="E43" s="317"/>
      <c r="F43" s="160">
        <v>113115.846242114</v>
      </c>
      <c r="G43" s="160">
        <v>17.600114279100001</v>
      </c>
      <c r="H43" s="317"/>
      <c r="I43" s="160">
        <v>174682.298091159</v>
      </c>
      <c r="J43" s="160">
        <v>27.082956507399999</v>
      </c>
      <c r="K43" s="50"/>
      <c r="L43" s="160">
        <v>99804.127248480407</v>
      </c>
      <c r="M43" s="160">
        <v>15.3562948119</v>
      </c>
      <c r="N43" s="317"/>
      <c r="O43" s="160">
        <v>83322.879772576096</v>
      </c>
      <c r="P43" s="160">
        <v>12.730314615499999</v>
      </c>
      <c r="Q43" s="317"/>
      <c r="R43" s="160">
        <v>83798.224639268403</v>
      </c>
      <c r="S43" s="160">
        <v>12.595743132200001</v>
      </c>
      <c r="T43" s="52"/>
      <c r="U43" s="160">
        <v>25738.8836733559</v>
      </c>
      <c r="V43" s="160">
        <v>3.9791321189</v>
      </c>
    </row>
    <row r="44" spans="2:22" ht="12.75" customHeight="1" x14ac:dyDescent="0.2">
      <c r="B44" s="13" t="s">
        <v>57</v>
      </c>
      <c r="C44" s="316"/>
      <c r="D44" s="160">
        <v>426144.52179644001</v>
      </c>
      <c r="E44" s="317"/>
      <c r="F44" s="160">
        <v>34405.444343656702</v>
      </c>
      <c r="G44" s="160">
        <v>7.6402919896999997</v>
      </c>
      <c r="H44" s="317"/>
      <c r="I44" s="160">
        <v>71898.730551621906</v>
      </c>
      <c r="J44" s="160">
        <v>16.100947467099999</v>
      </c>
      <c r="K44" s="50"/>
      <c r="L44" s="160">
        <v>91403.614042204106</v>
      </c>
      <c r="M44" s="160">
        <v>20.642308284599999</v>
      </c>
      <c r="N44" s="317"/>
      <c r="O44" s="160">
        <v>82327.3423845652</v>
      </c>
      <c r="P44" s="160">
        <v>18.66635642</v>
      </c>
      <c r="Q44" s="317"/>
      <c r="R44" s="160">
        <v>112284.54512470101</v>
      </c>
      <c r="S44" s="160">
        <v>25.257767008399998</v>
      </c>
      <c r="T44" s="52"/>
      <c r="U44" s="160">
        <v>6467.7260580455004</v>
      </c>
      <c r="V44" s="160">
        <v>1.4400635058</v>
      </c>
    </row>
    <row r="45" spans="2:22" ht="6" customHeight="1" x14ac:dyDescent="0.2">
      <c r="B45" s="14"/>
      <c r="C45" s="14"/>
      <c r="D45" s="4"/>
      <c r="E45" s="318"/>
      <c r="F45" s="4"/>
      <c r="G45" s="319"/>
      <c r="H45" s="319"/>
      <c r="I45" s="4"/>
      <c r="J45" s="319"/>
      <c r="K45" s="320"/>
      <c r="L45" s="4"/>
      <c r="M45" s="319"/>
      <c r="N45" s="321"/>
      <c r="O45" s="4"/>
      <c r="P45" s="319"/>
      <c r="Q45" s="319"/>
      <c r="R45" s="319"/>
      <c r="S45" s="319"/>
      <c r="T45" s="319"/>
      <c r="U45" s="319"/>
      <c r="V45" s="319"/>
    </row>
    <row r="46" spans="2:22" ht="6" customHeight="1" x14ac:dyDescent="0.2">
      <c r="B46" s="322"/>
      <c r="C46" s="323"/>
      <c r="D46" s="323"/>
      <c r="E46" s="323"/>
      <c r="F46" s="323"/>
      <c r="G46" s="324"/>
      <c r="H46" s="324"/>
      <c r="I46" s="324"/>
      <c r="J46" s="325"/>
      <c r="K46" s="325"/>
      <c r="L46" s="324"/>
      <c r="M46" s="325"/>
      <c r="N46" s="325"/>
      <c r="O46" s="322"/>
      <c r="P46" s="326"/>
      <c r="S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</sheetData>
  <mergeCells count="11">
    <mergeCell ref="U8:V8"/>
    <mergeCell ref="B5:R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A0A29DD7-224D-4427-BDEE-9894D5DDB40B}"/>
  </hyperlinks>
  <pageMargins left="0.70866141732283472" right="0.70866141732283472" top="0.59055118110236227" bottom="0.59055118110236227" header="0.23622047244094491" footer="0.23622047244094491"/>
  <pageSetup scale="53" orientation="landscape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7796-01C1-4FB4-9849-FE5EF3B55584}">
  <dimension ref="A1:DP78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" customWidth="1"/>
    <col min="3" max="3" width="1.7109375" customWidth="1"/>
    <col min="4" max="4" width="18.28515625" customWidth="1"/>
    <col min="5" max="5" width="1.7109375" customWidth="1"/>
    <col min="6" max="6" width="14.42578125" customWidth="1"/>
    <col min="8" max="8" width="1.7109375" customWidth="1"/>
    <col min="9" max="9" width="18" customWidth="1"/>
    <col min="11" max="11" width="1.7109375" customWidth="1"/>
    <col min="12" max="12" width="15.42578125" customWidth="1"/>
    <col min="14" max="14" width="1.7109375" customWidth="1"/>
    <col min="15" max="15" width="16.85546875" customWidth="1"/>
    <col min="17" max="17" width="1.7109375" customWidth="1"/>
    <col min="18" max="18" width="16.42578125" customWidth="1"/>
    <col min="20" max="20" width="1.7109375" customWidth="1"/>
    <col min="21" max="21" width="16.85546875" customWidth="1"/>
    <col min="23" max="120" width="11.42578125" style="3"/>
  </cols>
  <sheetData>
    <row r="1" spans="1:120" s="69" customFormat="1" ht="14.1" customHeight="1" x14ac:dyDescent="0.2">
      <c r="A1" s="66"/>
      <c r="B1" s="484" t="s">
        <v>144</v>
      </c>
      <c r="C1" s="459"/>
      <c r="D1" s="460"/>
      <c r="E1" s="460"/>
      <c r="F1" s="460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</row>
    <row r="2" spans="1:120" s="69" customFormat="1" ht="6.95" customHeight="1" x14ac:dyDescent="0.2">
      <c r="A2" s="66"/>
      <c r="B2" s="484"/>
      <c r="C2" s="459"/>
      <c r="D2" s="460"/>
      <c r="E2" s="460"/>
      <c r="F2" s="460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</row>
    <row r="3" spans="1:120" s="69" customFormat="1" ht="14.1" customHeight="1" x14ac:dyDescent="0.2">
      <c r="A3" s="66"/>
      <c r="B3" s="484" t="s">
        <v>142</v>
      </c>
      <c r="C3" s="462"/>
      <c r="D3" s="462"/>
      <c r="E3" s="462"/>
      <c r="F3" s="462"/>
      <c r="G3" s="462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</row>
    <row r="4" spans="1:120" s="69" customFormat="1" ht="6.95" customHeight="1" x14ac:dyDescent="0.2">
      <c r="A4" s="66"/>
      <c r="B4" s="484"/>
      <c r="C4" s="459"/>
      <c r="D4" s="459"/>
      <c r="E4" s="459"/>
      <c r="F4" s="459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</row>
    <row r="5" spans="1:120" s="69" customFormat="1" ht="12" x14ac:dyDescent="0.2">
      <c r="A5" s="66"/>
      <c r="B5" s="579" t="s">
        <v>74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463"/>
      <c r="Q5" s="464"/>
      <c r="R5" s="70"/>
      <c r="S5" s="461"/>
      <c r="T5" s="461"/>
      <c r="U5" s="461"/>
      <c r="V5" s="75" t="s">
        <v>95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</row>
    <row r="6" spans="1:120" ht="6" customHeight="1" x14ac:dyDescent="0.2">
      <c r="A6" s="66"/>
      <c r="B6" s="465"/>
      <c r="C6" s="580"/>
      <c r="D6" s="580"/>
      <c r="E6" s="580"/>
      <c r="F6" s="581"/>
      <c r="G6" s="581"/>
      <c r="H6" s="581"/>
      <c r="I6" s="581"/>
      <c r="J6" s="581"/>
      <c r="K6" s="581"/>
      <c r="L6" s="581"/>
      <c r="M6" s="582"/>
      <c r="N6" s="582"/>
      <c r="O6" s="582"/>
      <c r="P6" s="466"/>
      <c r="Q6" s="467"/>
      <c r="R6" s="467"/>
      <c r="S6" s="467"/>
      <c r="T6" s="467"/>
      <c r="U6" s="467"/>
      <c r="V6" s="467"/>
    </row>
    <row r="7" spans="1:120" ht="12.75" x14ac:dyDescent="0.2">
      <c r="A7" s="66"/>
      <c r="B7" s="535" t="s">
        <v>1</v>
      </c>
      <c r="C7" s="535"/>
      <c r="D7" s="583" t="s">
        <v>23</v>
      </c>
      <c r="E7" s="468"/>
      <c r="F7" s="578" t="s">
        <v>71</v>
      </c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</row>
    <row r="8" spans="1:120" ht="18" customHeight="1" x14ac:dyDescent="0.2">
      <c r="A8" s="66"/>
      <c r="B8" s="536"/>
      <c r="C8" s="536"/>
      <c r="D8" s="584"/>
      <c r="E8" s="469"/>
      <c r="F8" s="578" t="s">
        <v>84</v>
      </c>
      <c r="G8" s="578"/>
      <c r="H8" s="468"/>
      <c r="I8" s="578" t="s">
        <v>72</v>
      </c>
      <c r="J8" s="578"/>
      <c r="K8" s="470"/>
      <c r="L8" s="578" t="s">
        <v>85</v>
      </c>
      <c r="M8" s="578"/>
      <c r="N8" s="470"/>
      <c r="O8" s="578" t="s">
        <v>86</v>
      </c>
      <c r="P8" s="578"/>
      <c r="Q8" s="471"/>
      <c r="R8" s="578" t="s">
        <v>73</v>
      </c>
      <c r="S8" s="578"/>
      <c r="T8" s="472"/>
      <c r="U8" s="578" t="s">
        <v>19</v>
      </c>
      <c r="V8" s="578"/>
    </row>
    <row r="9" spans="1:120" ht="15" x14ac:dyDescent="0.2">
      <c r="A9" s="12"/>
      <c r="B9" s="537"/>
      <c r="C9" s="537"/>
      <c r="D9" s="585"/>
      <c r="E9" s="473"/>
      <c r="F9" s="63" t="s">
        <v>13</v>
      </c>
      <c r="G9" s="63" t="s">
        <v>14</v>
      </c>
      <c r="H9" s="473"/>
      <c r="I9" s="63" t="s">
        <v>13</v>
      </c>
      <c r="J9" s="63" t="s">
        <v>14</v>
      </c>
      <c r="K9" s="474"/>
      <c r="L9" s="63" t="s">
        <v>13</v>
      </c>
      <c r="M9" s="63" t="s">
        <v>14</v>
      </c>
      <c r="N9" s="474"/>
      <c r="O9" s="63" t="s">
        <v>13</v>
      </c>
      <c r="P9" s="63" t="s">
        <v>14</v>
      </c>
      <c r="Q9" s="475"/>
      <c r="R9" s="63" t="s">
        <v>13</v>
      </c>
      <c r="S9" s="63" t="s">
        <v>14</v>
      </c>
      <c r="T9" s="475"/>
      <c r="U9" s="63" t="s">
        <v>13</v>
      </c>
      <c r="V9" s="63" t="s">
        <v>14</v>
      </c>
    </row>
    <row r="10" spans="1:120" ht="6" customHeight="1" x14ac:dyDescent="0.2">
      <c r="A10" s="67"/>
      <c r="B10" s="476"/>
      <c r="C10" s="476"/>
      <c r="D10" s="477"/>
      <c r="E10" s="477"/>
      <c r="F10" s="477"/>
      <c r="G10" s="478"/>
      <c r="H10" s="478"/>
      <c r="I10" s="479"/>
      <c r="J10" s="480"/>
      <c r="K10" s="480"/>
      <c r="L10" s="480"/>
      <c r="M10" s="480"/>
      <c r="N10" s="480"/>
      <c r="O10" s="480"/>
      <c r="P10" s="480"/>
      <c r="Q10" s="467"/>
      <c r="R10" s="467"/>
      <c r="S10" s="467"/>
      <c r="T10" s="467"/>
      <c r="U10" s="467"/>
      <c r="V10" s="467"/>
    </row>
    <row r="11" spans="1:120" ht="15" x14ac:dyDescent="0.2">
      <c r="A11" s="17"/>
      <c r="B11" s="37" t="s">
        <v>5</v>
      </c>
      <c r="C11" s="481"/>
      <c r="D11" s="159">
        <v>34855919.813209198</v>
      </c>
      <c r="E11" s="482"/>
      <c r="F11" s="159">
        <v>6289325.14280436</v>
      </c>
      <c r="G11" s="159">
        <v>17.901524114600001</v>
      </c>
      <c r="H11" s="482"/>
      <c r="I11" s="159">
        <v>9210161.4851699397</v>
      </c>
      <c r="J11" s="159">
        <v>26.198120449800001</v>
      </c>
      <c r="K11" s="50"/>
      <c r="L11" s="159">
        <v>7545316.8639500504</v>
      </c>
      <c r="M11" s="159">
        <v>21.4702992657</v>
      </c>
      <c r="N11" s="482"/>
      <c r="O11" s="159">
        <v>5156746.1391667398</v>
      </c>
      <c r="P11" s="159">
        <v>14.649574923699999</v>
      </c>
      <c r="Q11" s="482"/>
      <c r="R11" s="159">
        <v>4976697.02052637</v>
      </c>
      <c r="S11" s="159">
        <v>14.140708693400001</v>
      </c>
      <c r="T11" s="51"/>
      <c r="U11" s="159">
        <v>1115382.7087443499</v>
      </c>
      <c r="V11" s="159">
        <v>3.1661305004</v>
      </c>
    </row>
    <row r="12" spans="1:120" ht="6" customHeight="1" x14ac:dyDescent="0.2">
      <c r="A12" s="11"/>
      <c r="B12" s="3"/>
      <c r="C12" s="3"/>
      <c r="D12" s="95"/>
      <c r="E12" s="482"/>
      <c r="F12" s="95"/>
      <c r="G12" s="96"/>
      <c r="H12" s="482"/>
      <c r="I12" s="95"/>
      <c r="J12" s="96"/>
      <c r="K12" s="50"/>
      <c r="L12" s="95"/>
      <c r="M12" s="96"/>
      <c r="N12" s="482"/>
      <c r="O12" s="95"/>
      <c r="P12" s="96"/>
      <c r="Q12" s="482"/>
      <c r="R12" s="95"/>
      <c r="S12" s="96"/>
      <c r="T12" s="50"/>
      <c r="U12" s="95"/>
      <c r="V12" s="96"/>
    </row>
    <row r="13" spans="1:120" x14ac:dyDescent="0.2">
      <c r="A13" s="11"/>
      <c r="B13" s="22" t="s">
        <v>6</v>
      </c>
      <c r="C13" s="3"/>
      <c r="D13" s="160">
        <v>7159413.7729825201</v>
      </c>
      <c r="E13" s="483"/>
      <c r="F13" s="160">
        <v>1743951.77036261</v>
      </c>
      <c r="G13" s="160">
        <v>23.893749421700001</v>
      </c>
      <c r="H13" s="483"/>
      <c r="I13" s="160">
        <v>1976097.1789750501</v>
      </c>
      <c r="J13" s="160">
        <v>27.035656874200001</v>
      </c>
      <c r="K13" s="50"/>
      <c r="L13" s="160">
        <v>1463965.1687103801</v>
      </c>
      <c r="M13" s="160">
        <v>20.025147162</v>
      </c>
      <c r="N13" s="483"/>
      <c r="O13" s="160">
        <v>869894.01784883102</v>
      </c>
      <c r="P13" s="160">
        <v>11.8938559143</v>
      </c>
      <c r="Q13" s="483"/>
      <c r="R13" s="160">
        <v>781895.65028295899</v>
      </c>
      <c r="S13" s="160">
        <v>10.6877490653</v>
      </c>
      <c r="T13" s="52"/>
      <c r="U13" s="160">
        <v>125040.198323223</v>
      </c>
      <c r="V13" s="160">
        <v>1.7038993551999999</v>
      </c>
    </row>
    <row r="14" spans="1:120" x14ac:dyDescent="0.2">
      <c r="A14" s="11"/>
      <c r="B14" s="22" t="s">
        <v>7</v>
      </c>
      <c r="C14" s="3"/>
      <c r="D14" s="160">
        <v>4482368.5111330803</v>
      </c>
      <c r="E14" s="483"/>
      <c r="F14" s="160">
        <v>892898.53116936097</v>
      </c>
      <c r="G14" s="160">
        <v>19.4176288106</v>
      </c>
      <c r="H14" s="483"/>
      <c r="I14" s="160">
        <v>1227940.2720797199</v>
      </c>
      <c r="J14" s="160">
        <v>26.667249509800001</v>
      </c>
      <c r="K14" s="50"/>
      <c r="L14" s="160">
        <v>931598.31153461803</v>
      </c>
      <c r="M14" s="160">
        <v>20.2491990762</v>
      </c>
      <c r="N14" s="483"/>
      <c r="O14" s="160">
        <v>631678.32144875196</v>
      </c>
      <c r="P14" s="160">
        <v>13.6601357694</v>
      </c>
      <c r="Q14" s="483"/>
      <c r="R14" s="160">
        <v>561653.93175971205</v>
      </c>
      <c r="S14" s="160">
        <v>12.1269895424</v>
      </c>
      <c r="T14" s="52"/>
      <c r="U14" s="160">
        <v>87633.058621643897</v>
      </c>
      <c r="V14" s="160">
        <v>1.8744883756999999</v>
      </c>
    </row>
    <row r="15" spans="1:120" x14ac:dyDescent="0.2">
      <c r="A15" s="12"/>
      <c r="B15" s="22" t="s">
        <v>8</v>
      </c>
      <c r="C15" s="3"/>
      <c r="D15" s="160">
        <v>5444929.1112685297</v>
      </c>
      <c r="E15" s="483"/>
      <c r="F15" s="160">
        <v>950961.60949216899</v>
      </c>
      <c r="G15" s="160">
        <v>17.042366438799998</v>
      </c>
      <c r="H15" s="483"/>
      <c r="I15" s="160">
        <v>1336408.6260512699</v>
      </c>
      <c r="J15" s="160">
        <v>23.798856795700001</v>
      </c>
      <c r="K15" s="50"/>
      <c r="L15" s="160">
        <v>1166277.8410903199</v>
      </c>
      <c r="M15" s="160">
        <v>20.977781528400001</v>
      </c>
      <c r="N15" s="483"/>
      <c r="O15" s="160">
        <v>807565.81697318703</v>
      </c>
      <c r="P15" s="160">
        <v>14.3669342525</v>
      </c>
      <c r="Q15" s="483"/>
      <c r="R15" s="160">
        <v>877894.34903647995</v>
      </c>
      <c r="S15" s="160">
        <v>15.674763687700001</v>
      </c>
      <c r="T15" s="52"/>
      <c r="U15" s="160">
        <v>100565.74988576</v>
      </c>
      <c r="V15" s="160">
        <v>1.7879303233999999</v>
      </c>
    </row>
    <row r="16" spans="1:120" x14ac:dyDescent="0.2">
      <c r="A16" s="12"/>
      <c r="B16" s="22" t="s">
        <v>79</v>
      </c>
      <c r="C16" s="3"/>
      <c r="D16" s="160">
        <v>17359885.5900256</v>
      </c>
      <c r="E16" s="483"/>
      <c r="F16" s="160">
        <v>2526965.1881244401</v>
      </c>
      <c r="G16" s="160">
        <v>14.431427396</v>
      </c>
      <c r="H16" s="483"/>
      <c r="I16" s="160">
        <v>4461815.6656219298</v>
      </c>
      <c r="J16" s="160">
        <v>25.499122828499999</v>
      </c>
      <c r="K16" s="50"/>
      <c r="L16" s="160">
        <v>3808713.7759107901</v>
      </c>
      <c r="M16" s="160">
        <v>21.740061253</v>
      </c>
      <c r="N16" s="483"/>
      <c r="O16" s="160">
        <v>2716784.13435261</v>
      </c>
      <c r="P16" s="160">
        <v>15.4906633945</v>
      </c>
      <c r="Q16" s="483"/>
      <c r="R16" s="160">
        <v>2607086.0846636002</v>
      </c>
      <c r="S16" s="160">
        <v>14.863458684899999</v>
      </c>
      <c r="T16" s="52"/>
      <c r="U16" s="160">
        <v>751117.26012554101</v>
      </c>
      <c r="V16" s="160">
        <v>4.2869168225000003</v>
      </c>
    </row>
    <row r="17" spans="1:22" ht="6" customHeight="1" x14ac:dyDescent="0.2">
      <c r="A17" s="1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ht="6" customHeight="1" x14ac:dyDescent="0.2">
      <c r="A18" s="2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89" customFormat="1" ht="11.25" customHeight="1" x14ac:dyDescent="0.2">
      <c r="B19" s="24" t="s">
        <v>9</v>
      </c>
    </row>
    <row r="20" spans="1:22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2:22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2:22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2:22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2:22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2:22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2:22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2:22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2:22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2:22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2:22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2:22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2:22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2:22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2:22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2:22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2:22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2:22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2:22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2:22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2:22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2:22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2:22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2:22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2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2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2:22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</sheetData>
  <mergeCells count="11">
    <mergeCell ref="U8:V8"/>
    <mergeCell ref="B5:O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7E7BFA2E-697C-4537-B7CC-CFC72BD3F3A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203D-985E-4974-9D0F-ECF8BA17A386}">
  <dimension ref="A1:AN33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1.7109375" customWidth="1"/>
    <col min="3" max="3" width="1.7109375" customWidth="1"/>
    <col min="4" max="4" width="16.7109375" customWidth="1"/>
    <col min="5" max="5" width="1.7109375" customWidth="1"/>
    <col min="6" max="6" width="13.42578125" customWidth="1"/>
    <col min="8" max="8" width="1.7109375" customWidth="1"/>
    <col min="9" max="9" width="13.42578125" customWidth="1"/>
    <col min="10" max="10" width="12.7109375" style="3" customWidth="1"/>
    <col min="11" max="11" width="1.7109375" style="3" customWidth="1"/>
    <col min="12" max="12" width="13.42578125" style="3" customWidth="1"/>
    <col min="13" max="13" width="12.7109375" style="3" customWidth="1"/>
    <col min="14" max="14" width="1.7109375" style="3" customWidth="1"/>
    <col min="15" max="15" width="13.42578125" style="3" customWidth="1"/>
    <col min="16" max="16" width="12.7109375" style="3" customWidth="1"/>
  </cols>
  <sheetData>
    <row r="1" spans="1:40" s="69" customFormat="1" ht="14.1" customHeight="1" x14ac:dyDescent="0.2">
      <c r="A1" s="66"/>
      <c r="B1" s="484" t="s">
        <v>144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85"/>
      <c r="N1" s="328"/>
      <c r="O1" s="328"/>
      <c r="P1" s="85" t="s">
        <v>118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F1" s="68"/>
      <c r="AG1" s="68"/>
      <c r="AH1" s="68"/>
      <c r="AI1" s="68"/>
      <c r="AJ1" s="68"/>
      <c r="AK1" s="68"/>
      <c r="AL1" s="68"/>
      <c r="AM1" s="68"/>
      <c r="AN1" s="68"/>
    </row>
    <row r="2" spans="1:40" s="69" customFormat="1" ht="6.95" customHeight="1" x14ac:dyDescent="0.2">
      <c r="A2" s="66"/>
      <c r="B2" s="484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spans="1:40" s="69" customFormat="1" ht="14.1" customHeight="1" x14ac:dyDescent="0.2">
      <c r="A3" s="66"/>
      <c r="B3" s="484" t="s">
        <v>142</v>
      </c>
      <c r="C3" s="329"/>
      <c r="D3" s="329"/>
      <c r="E3" s="329"/>
      <c r="F3" s="329"/>
      <c r="G3" s="329"/>
      <c r="H3" s="328"/>
      <c r="I3" s="328"/>
      <c r="J3" s="328"/>
      <c r="K3" s="328"/>
      <c r="L3" s="328"/>
      <c r="M3" s="328"/>
      <c r="N3" s="328"/>
      <c r="O3" s="328"/>
      <c r="P3" s="32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spans="1:40" s="69" customFormat="1" ht="6.95" customHeight="1" x14ac:dyDescent="0.2">
      <c r="A4" s="66"/>
      <c r="B4" s="484"/>
      <c r="C4" s="330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spans="1:40" s="69" customFormat="1" ht="30" customHeight="1" x14ac:dyDescent="0.2">
      <c r="A5" s="66"/>
      <c r="B5" s="588" t="s">
        <v>126</v>
      </c>
      <c r="C5" s="588"/>
      <c r="D5" s="588"/>
      <c r="E5" s="588"/>
      <c r="F5" s="588"/>
      <c r="G5" s="588"/>
      <c r="H5" s="588"/>
      <c r="I5" s="588"/>
      <c r="J5" s="588"/>
      <c r="K5" s="588"/>
      <c r="L5" s="588"/>
      <c r="M5" s="588"/>
      <c r="N5" s="588"/>
      <c r="O5" s="71"/>
      <c r="P5" s="75" t="s">
        <v>96</v>
      </c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spans="1:40" ht="6" customHeight="1" x14ac:dyDescent="0.2">
      <c r="A6" s="66"/>
      <c r="B6" s="331"/>
      <c r="C6" s="332"/>
      <c r="D6" s="332"/>
      <c r="E6" s="332"/>
      <c r="F6" s="332"/>
      <c r="G6" s="332"/>
      <c r="H6" s="332"/>
      <c r="I6" s="332"/>
      <c r="J6" s="333"/>
      <c r="K6" s="332"/>
      <c r="L6" s="332"/>
      <c r="M6" s="333"/>
      <c r="N6" s="332"/>
      <c r="O6" s="332"/>
      <c r="P6" s="33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customHeight="1" x14ac:dyDescent="0.2">
      <c r="A7" s="66"/>
      <c r="B7" s="589" t="s">
        <v>22</v>
      </c>
      <c r="C7" s="589"/>
      <c r="D7" s="592" t="s">
        <v>2</v>
      </c>
      <c r="E7" s="334"/>
      <c r="F7" s="595" t="s">
        <v>135</v>
      </c>
      <c r="G7" s="595"/>
      <c r="H7" s="335"/>
      <c r="I7" s="586" t="s">
        <v>136</v>
      </c>
      <c r="J7" s="586"/>
      <c r="K7" s="335"/>
      <c r="L7" s="586" t="s">
        <v>127</v>
      </c>
      <c r="M7" s="586"/>
      <c r="N7" s="335"/>
      <c r="O7" s="586" t="s">
        <v>117</v>
      </c>
      <c r="P7" s="586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21.75" customHeight="1" x14ac:dyDescent="0.2">
      <c r="A8" s="66"/>
      <c r="B8" s="590"/>
      <c r="C8" s="590"/>
      <c r="D8" s="593"/>
      <c r="E8" s="336"/>
      <c r="F8" s="596"/>
      <c r="G8" s="596"/>
      <c r="H8" s="337"/>
      <c r="I8" s="587"/>
      <c r="J8" s="587"/>
      <c r="K8" s="337"/>
      <c r="L8" s="587"/>
      <c r="M8" s="587"/>
      <c r="N8" s="337"/>
      <c r="O8" s="587"/>
      <c r="P8" s="587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.75" customHeight="1" x14ac:dyDescent="0.2">
      <c r="A9" s="12"/>
      <c r="B9" s="591"/>
      <c r="C9" s="591"/>
      <c r="D9" s="594"/>
      <c r="E9" s="338"/>
      <c r="F9" s="110" t="s">
        <v>13</v>
      </c>
      <c r="G9" s="110" t="s">
        <v>14</v>
      </c>
      <c r="H9" s="339"/>
      <c r="I9" s="110" t="s">
        <v>13</v>
      </c>
      <c r="J9" s="110" t="s">
        <v>14</v>
      </c>
      <c r="K9" s="339"/>
      <c r="L9" s="110" t="s">
        <v>13</v>
      </c>
      <c r="M9" s="110" t="s">
        <v>14</v>
      </c>
      <c r="N9" s="339"/>
      <c r="O9" s="110" t="s">
        <v>13</v>
      </c>
      <c r="P9" s="110" t="s">
        <v>14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6" customHeight="1" x14ac:dyDescent="0.2">
      <c r="A10" s="67"/>
      <c r="B10" s="340"/>
      <c r="C10" s="341"/>
      <c r="D10" s="342"/>
      <c r="E10" s="342"/>
      <c r="F10" s="343"/>
      <c r="G10" s="344"/>
      <c r="H10" s="344"/>
      <c r="I10" s="344"/>
      <c r="J10" s="345"/>
      <c r="K10" s="344"/>
      <c r="L10" s="346"/>
      <c r="M10" s="345"/>
      <c r="N10" s="344"/>
      <c r="O10" s="344"/>
      <c r="P10" s="34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x14ac:dyDescent="0.2">
      <c r="A11" s="17"/>
      <c r="B11" s="111" t="s">
        <v>5</v>
      </c>
      <c r="C11" s="347"/>
      <c r="D11" s="159">
        <v>34855919.813209198</v>
      </c>
      <c r="E11" s="348"/>
      <c r="F11" s="159">
        <v>1368328.8146349799</v>
      </c>
      <c r="G11" s="159">
        <v>3.8879337857</v>
      </c>
      <c r="H11" s="348"/>
      <c r="I11" s="159">
        <v>1296798.3237959</v>
      </c>
      <c r="J11" s="159">
        <v>3.6816455223000002</v>
      </c>
      <c r="K11" s="112"/>
      <c r="L11" s="159">
        <v>322241.02373955102</v>
      </c>
      <c r="M11" s="159">
        <v>0.91466424120000001</v>
      </c>
      <c r="N11" s="112"/>
      <c r="O11" s="159">
        <v>31718570.991418701</v>
      </c>
      <c r="P11" s="159">
        <v>90.744261829099997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" customHeight="1" x14ac:dyDescent="0.2">
      <c r="A12" s="11"/>
      <c r="B12" s="113"/>
      <c r="C12" s="347"/>
      <c r="D12" s="95"/>
      <c r="E12" s="348"/>
      <c r="F12" s="95"/>
      <c r="G12" s="96"/>
      <c r="H12" s="348"/>
      <c r="I12" s="95"/>
      <c r="J12" s="96"/>
      <c r="K12" s="112"/>
      <c r="L12" s="95"/>
      <c r="M12" s="96"/>
      <c r="N12" s="112"/>
      <c r="O12" s="95"/>
      <c r="P12" s="96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1.25" customHeight="1" x14ac:dyDescent="0.2">
      <c r="A13" s="11"/>
      <c r="B13" s="39" t="s">
        <v>26</v>
      </c>
      <c r="C13" s="349"/>
      <c r="D13" s="160">
        <v>372194.10329856101</v>
      </c>
      <c r="E13" s="350"/>
      <c r="F13" s="160">
        <v>17100.484988800501</v>
      </c>
      <c r="G13" s="160">
        <v>4.4135387953</v>
      </c>
      <c r="H13" s="350"/>
      <c r="I13" s="160">
        <v>6924.6717479708996</v>
      </c>
      <c r="J13" s="160">
        <v>1.7899027351000001</v>
      </c>
      <c r="K13" s="112"/>
      <c r="L13" s="160">
        <v>2267.7060306185999</v>
      </c>
      <c r="M13" s="160">
        <v>0.58794176870000003</v>
      </c>
      <c r="N13" s="112"/>
      <c r="O13" s="160">
        <v>337778.78928281402</v>
      </c>
      <c r="P13" s="160">
        <v>89.941975194500003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x14ac:dyDescent="0.2">
      <c r="A14" s="11"/>
      <c r="B14" s="39" t="s">
        <v>27</v>
      </c>
      <c r="C14" s="349"/>
      <c r="D14" s="160">
        <v>1094323.1287738399</v>
      </c>
      <c r="E14" s="350"/>
      <c r="F14" s="160">
        <v>19662.676108190601</v>
      </c>
      <c r="G14" s="160">
        <v>1.7127877723</v>
      </c>
      <c r="H14" s="350"/>
      <c r="I14" s="160">
        <v>9952.9327242481995</v>
      </c>
      <c r="J14" s="160">
        <v>0.87144590399999999</v>
      </c>
      <c r="K14" s="112"/>
      <c r="L14" s="160">
        <v>4243.9093680445003</v>
      </c>
      <c r="M14" s="160">
        <v>0.36670933779999998</v>
      </c>
      <c r="N14" s="112"/>
      <c r="O14" s="160">
        <v>1043785.8655079301</v>
      </c>
      <c r="P14" s="160">
        <v>94.800679665499999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x14ac:dyDescent="0.2">
      <c r="A15" s="12"/>
      <c r="B15" s="39" t="s">
        <v>28</v>
      </c>
      <c r="C15" s="349"/>
      <c r="D15" s="160">
        <v>227749.62097325901</v>
      </c>
      <c r="E15" s="350"/>
      <c r="F15" s="160">
        <v>4798.7652555982004</v>
      </c>
      <c r="G15" s="160">
        <v>2.0478259525000002</v>
      </c>
      <c r="H15" s="350"/>
      <c r="I15" s="160">
        <v>8005.7118182569002</v>
      </c>
      <c r="J15" s="160">
        <v>3.2956113249999999</v>
      </c>
      <c r="K15" s="112"/>
      <c r="L15" s="160">
        <v>1253.1524113748001</v>
      </c>
      <c r="M15" s="160">
        <v>0.51665988819999997</v>
      </c>
      <c r="N15" s="112"/>
      <c r="O15" s="160">
        <v>209556.722778667</v>
      </c>
      <c r="P15" s="160">
        <v>90.935510043299999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5" x14ac:dyDescent="0.2">
      <c r="A16" s="12"/>
      <c r="B16" s="39" t="s">
        <v>29</v>
      </c>
      <c r="C16" s="349"/>
      <c r="D16" s="160">
        <v>241346.958106228</v>
      </c>
      <c r="E16" s="350"/>
      <c r="F16" s="160">
        <v>4072.2524774763001</v>
      </c>
      <c r="G16" s="160">
        <v>1.6067003945</v>
      </c>
      <c r="H16" s="350"/>
      <c r="I16" s="160">
        <v>14350.786506004701</v>
      </c>
      <c r="J16" s="160">
        <v>5.7148209253999998</v>
      </c>
      <c r="K16" s="112"/>
      <c r="L16" s="160">
        <v>1765.9846682827999</v>
      </c>
      <c r="M16" s="160">
        <v>0.69995821499999999</v>
      </c>
      <c r="N16" s="112"/>
      <c r="O16" s="160">
        <v>217139.64011183201</v>
      </c>
      <c r="P16" s="160">
        <v>88.573294769900002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" x14ac:dyDescent="0.2">
      <c r="A17" s="12"/>
      <c r="B17" s="39" t="s">
        <v>30</v>
      </c>
      <c r="C17" s="349"/>
      <c r="D17" s="128">
        <v>873188.10795798199</v>
      </c>
      <c r="E17" s="350"/>
      <c r="F17" s="128">
        <v>12221.974009543101</v>
      </c>
      <c r="G17" s="128">
        <v>1.3530936243</v>
      </c>
      <c r="H17" s="350"/>
      <c r="I17" s="128">
        <v>28668.079360279102</v>
      </c>
      <c r="J17" s="128">
        <v>3.1714906678000001</v>
      </c>
      <c r="K17" s="112"/>
      <c r="L17" s="128">
        <v>10921.684932161499</v>
      </c>
      <c r="M17" s="128">
        <v>1.2081510154999999</v>
      </c>
      <c r="N17" s="112"/>
      <c r="O17" s="128">
        <v>803506.28654994804</v>
      </c>
      <c r="P17" s="128">
        <v>91.071837728399998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" x14ac:dyDescent="0.2">
      <c r="A18" s="21"/>
      <c r="B18" s="39" t="s">
        <v>31</v>
      </c>
      <c r="C18" s="349"/>
      <c r="D18" s="128">
        <v>215342.98131561599</v>
      </c>
      <c r="E18" s="350"/>
      <c r="F18" s="128">
        <v>5736.4666184913003</v>
      </c>
      <c r="G18" s="128">
        <v>2.5150566807999999</v>
      </c>
      <c r="H18" s="350"/>
      <c r="I18" s="128">
        <v>8858.0095607668009</v>
      </c>
      <c r="J18" s="128">
        <v>3.9487245557000001</v>
      </c>
      <c r="K18" s="112"/>
      <c r="L18" s="128">
        <v>564.88247594300003</v>
      </c>
      <c r="M18" s="128">
        <v>0.25149194470000003</v>
      </c>
      <c r="N18" s="112"/>
      <c r="O18" s="128">
        <v>196335.58845874399</v>
      </c>
      <c r="P18" s="128">
        <v>89.996747369700003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x14ac:dyDescent="0.2">
      <c r="A19" s="21"/>
      <c r="B19" s="39" t="s">
        <v>32</v>
      </c>
      <c r="C19" s="349"/>
      <c r="D19" s="160">
        <v>1307775.79723661</v>
      </c>
      <c r="E19" s="350"/>
      <c r="F19" s="160">
        <v>20163.665685800901</v>
      </c>
      <c r="G19" s="160">
        <v>1.4784942633</v>
      </c>
      <c r="H19" s="350"/>
      <c r="I19" s="160">
        <v>95060.776203528396</v>
      </c>
      <c r="J19" s="160">
        <v>6.9084454794000001</v>
      </c>
      <c r="K19" s="112"/>
      <c r="L19" s="160">
        <v>7939.9348920965003</v>
      </c>
      <c r="M19" s="160">
        <v>0.5778904104</v>
      </c>
      <c r="N19" s="112"/>
      <c r="O19" s="160">
        <v>1159090.1038446401</v>
      </c>
      <c r="P19" s="160">
        <v>86.785140009299994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x14ac:dyDescent="0.2">
      <c r="B20" s="39" t="s">
        <v>33</v>
      </c>
      <c r="C20" s="349"/>
      <c r="D20" s="160">
        <v>1106672.0927464101</v>
      </c>
      <c r="E20" s="350"/>
      <c r="F20" s="160">
        <v>7560.6827069238998</v>
      </c>
      <c r="G20" s="160">
        <v>0.66252889690000005</v>
      </c>
      <c r="H20" s="350"/>
      <c r="I20" s="160">
        <v>20371.089552528902</v>
      </c>
      <c r="J20" s="160">
        <v>1.7841480006999999</v>
      </c>
      <c r="K20" s="112"/>
      <c r="L20" s="160">
        <v>9523.2456938769992</v>
      </c>
      <c r="M20" s="160">
        <v>0.83512257130000001</v>
      </c>
      <c r="N20" s="112"/>
      <c r="O20" s="160">
        <v>1051055.26911422</v>
      </c>
      <c r="P20" s="160">
        <v>94.262657806500002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x14ac:dyDescent="0.2">
      <c r="B21" s="39" t="s">
        <v>34</v>
      </c>
      <c r="C21" s="349"/>
      <c r="D21" s="160">
        <v>2637127.6507512201</v>
      </c>
      <c r="E21" s="350"/>
      <c r="F21" s="160">
        <v>68730.257004756306</v>
      </c>
      <c r="G21" s="160">
        <v>2.5359581823999999</v>
      </c>
      <c r="H21" s="350"/>
      <c r="I21" s="160">
        <v>20739.392001683002</v>
      </c>
      <c r="J21" s="160">
        <v>0.76438341509999996</v>
      </c>
      <c r="K21" s="112"/>
      <c r="L21" s="160">
        <v>2149.0102479960001</v>
      </c>
      <c r="M21" s="160">
        <v>7.88408367E-2</v>
      </c>
      <c r="N21" s="112"/>
      <c r="O21" s="160">
        <v>2504244.65504087</v>
      </c>
      <c r="P21" s="160">
        <v>94.153035546200002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" x14ac:dyDescent="0.2">
      <c r="B22" s="39" t="s">
        <v>35</v>
      </c>
      <c r="C22" s="349"/>
      <c r="D22" s="160">
        <v>479890.75585837202</v>
      </c>
      <c r="E22" s="350"/>
      <c r="F22" s="160">
        <v>16203.093065314401</v>
      </c>
      <c r="G22" s="160">
        <v>3.2760744529000001</v>
      </c>
      <c r="H22" s="350"/>
      <c r="I22" s="160">
        <v>17749.083287586898</v>
      </c>
      <c r="J22" s="160">
        <v>3.5639503008000002</v>
      </c>
      <c r="K22" s="112"/>
      <c r="L22" s="160">
        <v>2406.0257392823</v>
      </c>
      <c r="M22" s="160">
        <v>0.489721762</v>
      </c>
      <c r="N22" s="112"/>
      <c r="O22" s="160">
        <v>433788.576819112</v>
      </c>
      <c r="P22" s="160">
        <v>89.140919177399994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" x14ac:dyDescent="0.2">
      <c r="B23" s="39" t="s">
        <v>36</v>
      </c>
      <c r="C23" s="349"/>
      <c r="D23" s="160">
        <v>1521466.9196536599</v>
      </c>
      <c r="E23" s="350"/>
      <c r="F23" s="160">
        <v>65042.660371143298</v>
      </c>
      <c r="G23" s="160">
        <v>4.1027889497999999</v>
      </c>
      <c r="H23" s="350"/>
      <c r="I23" s="160">
        <v>43460.651643333797</v>
      </c>
      <c r="J23" s="160">
        <v>2.7365623848</v>
      </c>
      <c r="K23" s="112"/>
      <c r="L23" s="160">
        <v>11189.076006879501</v>
      </c>
      <c r="M23" s="160">
        <v>0.70606098839999998</v>
      </c>
      <c r="N23" s="112"/>
      <c r="O23" s="160">
        <v>1366310.1026643601</v>
      </c>
      <c r="P23" s="160">
        <v>88.868019247899994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x14ac:dyDescent="0.2">
      <c r="B24" s="39" t="s">
        <v>37</v>
      </c>
      <c r="C24" s="349"/>
      <c r="D24" s="160">
        <v>891088.45772531198</v>
      </c>
      <c r="E24" s="350"/>
      <c r="F24" s="160">
        <v>24631.445477331701</v>
      </c>
      <c r="G24" s="160">
        <v>2.6390558282000001</v>
      </c>
      <c r="H24" s="350"/>
      <c r="I24" s="160">
        <v>57037.7746304744</v>
      </c>
      <c r="J24" s="160">
        <v>6.0721367106999997</v>
      </c>
      <c r="K24" s="112"/>
      <c r="L24" s="160">
        <v>3283.0846045069002</v>
      </c>
      <c r="M24" s="160">
        <v>0.3536712186</v>
      </c>
      <c r="N24" s="112"/>
      <c r="O24" s="160">
        <v>783789.27923508303</v>
      </c>
      <c r="P24" s="160">
        <v>86.729793856699999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x14ac:dyDescent="0.2">
      <c r="B25" s="39" t="s">
        <v>38</v>
      </c>
      <c r="C25" s="349"/>
      <c r="D25" s="160">
        <v>816896.76724279101</v>
      </c>
      <c r="E25" s="350"/>
      <c r="F25" s="160">
        <v>44168.6648505181</v>
      </c>
      <c r="G25" s="160">
        <v>5.2445006232000004</v>
      </c>
      <c r="H25" s="350"/>
      <c r="I25" s="160">
        <v>16691.1809894209</v>
      </c>
      <c r="J25" s="160">
        <v>1.9613139264999999</v>
      </c>
      <c r="K25" s="112"/>
      <c r="L25" s="160">
        <v>3841.0673708304998</v>
      </c>
      <c r="M25" s="160">
        <v>0.44854744419999998</v>
      </c>
      <c r="N25" s="112"/>
      <c r="O25" s="160">
        <v>736268.23313248798</v>
      </c>
      <c r="P25" s="160">
        <v>88.756679598600002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x14ac:dyDescent="0.2">
      <c r="B26" s="39" t="s">
        <v>39</v>
      </c>
      <c r="C26" s="349"/>
      <c r="D26" s="160">
        <v>2214619.12347756</v>
      </c>
      <c r="E26" s="350"/>
      <c r="F26" s="160">
        <v>48324.038031530101</v>
      </c>
      <c r="G26" s="160">
        <v>2.1193466677999999</v>
      </c>
      <c r="H26" s="350"/>
      <c r="I26" s="160">
        <v>64875.583977902403</v>
      </c>
      <c r="J26" s="160">
        <v>2.8329141631999999</v>
      </c>
      <c r="K26" s="112"/>
      <c r="L26" s="160">
        <v>15837.268980093701</v>
      </c>
      <c r="M26" s="160">
        <v>0.69191509949999996</v>
      </c>
      <c r="N26" s="112"/>
      <c r="O26" s="160">
        <v>2045667.03311598</v>
      </c>
      <c r="P26" s="160">
        <v>91.256146133100003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" x14ac:dyDescent="0.2">
      <c r="B27" s="39" t="s">
        <v>40</v>
      </c>
      <c r="C27" s="349"/>
      <c r="D27" s="160">
        <v>4367842.1895668004</v>
      </c>
      <c r="E27" s="350"/>
      <c r="F27" s="160">
        <v>238284.51737588301</v>
      </c>
      <c r="G27" s="160">
        <v>5.2078084030999996</v>
      </c>
      <c r="H27" s="350"/>
      <c r="I27" s="160">
        <v>113516.45087641101</v>
      </c>
      <c r="J27" s="160">
        <v>2.4574159678999998</v>
      </c>
      <c r="K27" s="112"/>
      <c r="L27" s="160">
        <v>24133.075861237201</v>
      </c>
      <c r="M27" s="160">
        <v>0.52236244379999996</v>
      </c>
      <c r="N27" s="112"/>
      <c r="O27" s="160">
        <v>3908861.6892333198</v>
      </c>
      <c r="P27" s="160">
        <v>88.5194745533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" x14ac:dyDescent="0.2">
      <c r="B28" s="39" t="s">
        <v>41</v>
      </c>
      <c r="C28" s="349"/>
      <c r="D28" s="160">
        <v>1209066.2014425499</v>
      </c>
      <c r="E28" s="350"/>
      <c r="F28" s="160">
        <v>67460.334322263996</v>
      </c>
      <c r="G28" s="160">
        <v>5.3067893023000003</v>
      </c>
      <c r="H28" s="350"/>
      <c r="I28" s="160">
        <v>62114.648499926203</v>
      </c>
      <c r="J28" s="160">
        <v>4.8620009561000002</v>
      </c>
      <c r="K28" s="112"/>
      <c r="L28" s="160">
        <v>7207.5366618750004</v>
      </c>
      <c r="M28" s="160">
        <v>0.58226007130000001</v>
      </c>
      <c r="N28" s="112"/>
      <c r="O28" s="160">
        <v>1034255.49050597</v>
      </c>
      <c r="P28" s="160">
        <v>83.563288335799996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x14ac:dyDescent="0.2">
      <c r="B29" s="39" t="s">
        <v>42</v>
      </c>
      <c r="C29" s="349"/>
      <c r="D29" s="160">
        <v>543030.77389932098</v>
      </c>
      <c r="E29" s="350"/>
      <c r="F29" s="160">
        <v>31150.018235245599</v>
      </c>
      <c r="G29" s="160">
        <v>5.5635829656000002</v>
      </c>
      <c r="H29" s="350"/>
      <c r="I29" s="160">
        <v>12427.4284582652</v>
      </c>
      <c r="J29" s="160">
        <v>2.1311039791000002</v>
      </c>
      <c r="K29" s="112"/>
      <c r="L29" s="160">
        <v>12828.6038301791</v>
      </c>
      <c r="M29" s="160">
        <v>2.2271092765999998</v>
      </c>
      <c r="N29" s="112"/>
      <c r="O29" s="160">
        <v>474632.83933352999</v>
      </c>
      <c r="P29" s="160">
        <v>86.148677638199999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" x14ac:dyDescent="0.2">
      <c r="B30" s="39" t="s">
        <v>43</v>
      </c>
      <c r="C30" s="349"/>
      <c r="D30" s="160">
        <v>343386.664223017</v>
      </c>
      <c r="E30" s="350"/>
      <c r="F30" s="160">
        <v>10481.9909059495</v>
      </c>
      <c r="G30" s="160">
        <v>2.9187736974999998</v>
      </c>
      <c r="H30" s="350"/>
      <c r="I30" s="160">
        <v>17913.334724860299</v>
      </c>
      <c r="J30" s="160">
        <v>4.9875540030999996</v>
      </c>
      <c r="K30" s="112"/>
      <c r="L30" s="160">
        <v>3377.9078687358001</v>
      </c>
      <c r="M30" s="160">
        <v>0.94137076939999997</v>
      </c>
      <c r="N30" s="112"/>
      <c r="O30" s="160">
        <v>303738.64047082298</v>
      </c>
      <c r="P30" s="160">
        <v>87.467944356199993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" x14ac:dyDescent="0.2">
      <c r="B31" s="39" t="s">
        <v>44</v>
      </c>
      <c r="C31" s="349"/>
      <c r="D31" s="160">
        <v>1584392.1221822</v>
      </c>
      <c r="E31" s="350"/>
      <c r="F31" s="160">
        <v>15242.2194417545</v>
      </c>
      <c r="G31" s="160">
        <v>0.92523495639999997</v>
      </c>
      <c r="H31" s="350"/>
      <c r="I31" s="160">
        <v>38080.956705555604</v>
      </c>
      <c r="J31" s="160">
        <v>2.3204378551999998</v>
      </c>
      <c r="K31" s="112"/>
      <c r="L31" s="160">
        <v>10039.6461272959</v>
      </c>
      <c r="M31" s="160">
        <v>0.61092643270000002</v>
      </c>
      <c r="N31" s="112"/>
      <c r="O31" s="160">
        <v>1491534.2806245</v>
      </c>
      <c r="P31" s="160">
        <v>92.951576008800004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x14ac:dyDescent="0.2">
      <c r="B32" s="39" t="s">
        <v>45</v>
      </c>
      <c r="C32" s="349"/>
      <c r="D32" s="160">
        <v>1033276.02380439</v>
      </c>
      <c r="E32" s="350"/>
      <c r="F32" s="160">
        <v>59853.763995302797</v>
      </c>
      <c r="G32" s="160">
        <v>5.4608027787999998</v>
      </c>
      <c r="H32" s="350"/>
      <c r="I32" s="160">
        <v>57451.110318643601</v>
      </c>
      <c r="J32" s="160">
        <v>5.2086431958999997</v>
      </c>
      <c r="K32" s="112"/>
      <c r="L32" s="160">
        <v>4538.5253287350997</v>
      </c>
      <c r="M32" s="160">
        <v>0.4063354696</v>
      </c>
      <c r="N32" s="112"/>
      <c r="O32" s="160">
        <v>890136.33215433604</v>
      </c>
      <c r="P32" s="160">
        <v>84.851059621299996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2:40" ht="15" x14ac:dyDescent="0.2">
      <c r="B33" s="39" t="s">
        <v>46</v>
      </c>
      <c r="C33" s="349"/>
      <c r="D33" s="160">
        <v>1616705.1047259199</v>
      </c>
      <c r="E33" s="350"/>
      <c r="F33" s="160">
        <v>88570.059414079107</v>
      </c>
      <c r="G33" s="160">
        <v>5.1701864991999997</v>
      </c>
      <c r="H33" s="350"/>
      <c r="I33" s="160">
        <v>65976.234246920605</v>
      </c>
      <c r="J33" s="160">
        <v>3.8373466361999999</v>
      </c>
      <c r="K33" s="112"/>
      <c r="L33" s="160">
        <v>8994.6209947133993</v>
      </c>
      <c r="M33" s="160">
        <v>0.53310866199999996</v>
      </c>
      <c r="N33" s="112"/>
      <c r="O33" s="160">
        <v>1416325.0567431201</v>
      </c>
      <c r="P33" s="160">
        <v>86.662289232700005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2:40" ht="15" x14ac:dyDescent="0.2">
      <c r="B34" s="39" t="s">
        <v>47</v>
      </c>
      <c r="C34" s="349"/>
      <c r="D34" s="160">
        <v>608432.00766038802</v>
      </c>
      <c r="E34" s="350"/>
      <c r="F34" s="160">
        <v>30872.779210536701</v>
      </c>
      <c r="G34" s="160">
        <v>4.6875396556000002</v>
      </c>
      <c r="H34" s="350"/>
      <c r="I34" s="160">
        <v>15158.736882368899</v>
      </c>
      <c r="J34" s="160">
        <v>2.3420411336</v>
      </c>
      <c r="K34" s="112"/>
      <c r="L34" s="160">
        <v>7640.4935645914002</v>
      </c>
      <c r="M34" s="160">
        <v>1.1716949509000001</v>
      </c>
      <c r="N34" s="112"/>
      <c r="O34" s="160">
        <v>541885.24780341401</v>
      </c>
      <c r="P34" s="160">
        <v>87.973542716400004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2:40" ht="15" x14ac:dyDescent="0.2">
      <c r="B35" s="39" t="s">
        <v>48</v>
      </c>
      <c r="C35" s="349"/>
      <c r="D35" s="160">
        <v>522330.00393641897</v>
      </c>
      <c r="E35" s="350"/>
      <c r="F35" s="160">
        <v>7366.6606027411999</v>
      </c>
      <c r="G35" s="160">
        <v>1.3120284744999999</v>
      </c>
      <c r="H35" s="350"/>
      <c r="I35" s="160">
        <v>12588.444772270799</v>
      </c>
      <c r="J35" s="160">
        <v>2.2211425766000001</v>
      </c>
      <c r="K35" s="112"/>
      <c r="L35" s="160">
        <v>2587.6117603881999</v>
      </c>
      <c r="M35" s="160">
        <v>0.4586135388</v>
      </c>
      <c r="N35" s="112"/>
      <c r="O35" s="160">
        <v>489853.54064690601</v>
      </c>
      <c r="P35" s="160">
        <v>93.213941389599995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2:40" ht="15" x14ac:dyDescent="0.2">
      <c r="B36" s="39" t="s">
        <v>49</v>
      </c>
      <c r="C36" s="349"/>
      <c r="D36" s="160">
        <v>747363.50613859505</v>
      </c>
      <c r="E36" s="350"/>
      <c r="F36" s="160">
        <v>33226.990954222099</v>
      </c>
      <c r="G36" s="160">
        <v>4.3035471287</v>
      </c>
      <c r="H36" s="350"/>
      <c r="I36" s="160">
        <v>21476.2392678449</v>
      </c>
      <c r="J36" s="160">
        <v>2.7839119259</v>
      </c>
      <c r="K36" s="112"/>
      <c r="L36" s="160">
        <v>10715.9798270718</v>
      </c>
      <c r="M36" s="160">
        <v>1.3916143857000001</v>
      </c>
      <c r="N36" s="112"/>
      <c r="O36" s="160">
        <v>663669.43535782397</v>
      </c>
      <c r="P36" s="160">
        <v>87.8166922347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2:40" ht="15" x14ac:dyDescent="0.2">
      <c r="B37" s="39" t="s">
        <v>50</v>
      </c>
      <c r="C37" s="349"/>
      <c r="D37" s="160">
        <v>830795.97160518297</v>
      </c>
      <c r="E37" s="350"/>
      <c r="F37" s="160">
        <v>12848.6946461237</v>
      </c>
      <c r="G37" s="160">
        <v>1.4907660218000001</v>
      </c>
      <c r="H37" s="350"/>
      <c r="I37" s="160">
        <v>25496.3644341693</v>
      </c>
      <c r="J37" s="160">
        <v>2.9943276761000002</v>
      </c>
      <c r="K37" s="112"/>
      <c r="L37" s="160">
        <v>5135.3466314009002</v>
      </c>
      <c r="M37" s="160">
        <v>0.59346008669999994</v>
      </c>
      <c r="N37" s="112"/>
      <c r="O37" s="160">
        <v>770651.69912568701</v>
      </c>
      <c r="P37" s="160">
        <v>91.579010538999995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2:40" ht="15" x14ac:dyDescent="0.2">
      <c r="B38" s="39" t="s">
        <v>51</v>
      </c>
      <c r="C38" s="349"/>
      <c r="D38" s="160">
        <v>834239.32982548501</v>
      </c>
      <c r="E38" s="350"/>
      <c r="F38" s="160">
        <v>14306.1060232528</v>
      </c>
      <c r="G38" s="160">
        <v>1.6380263723999999</v>
      </c>
      <c r="H38" s="350"/>
      <c r="I38" s="160">
        <v>28353.968151807399</v>
      </c>
      <c r="J38" s="160">
        <v>3.234011073</v>
      </c>
      <c r="K38" s="112"/>
      <c r="L38" s="160">
        <v>2368.9917777282999</v>
      </c>
      <c r="M38" s="160">
        <v>0.27046932820000003</v>
      </c>
      <c r="N38" s="112"/>
      <c r="O38" s="160">
        <v>775242.13442289201</v>
      </c>
      <c r="P38" s="160">
        <v>92.164775158400005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2:40" ht="15" x14ac:dyDescent="0.2">
      <c r="B39" s="39" t="s">
        <v>52</v>
      </c>
      <c r="C39" s="349"/>
      <c r="D39" s="160">
        <v>641258.75840786798</v>
      </c>
      <c r="E39" s="350"/>
      <c r="F39" s="160">
        <v>6476.5321330498</v>
      </c>
      <c r="G39" s="160">
        <v>0.94615088930000002</v>
      </c>
      <c r="H39" s="350"/>
      <c r="I39" s="160">
        <v>34300.325570476904</v>
      </c>
      <c r="J39" s="160">
        <v>5.0694277112000004</v>
      </c>
      <c r="K39" s="112"/>
      <c r="L39" s="160">
        <v>2712.3094180645999</v>
      </c>
      <c r="M39" s="160">
        <v>0.40037566860000001</v>
      </c>
      <c r="N39" s="112"/>
      <c r="O39" s="160">
        <v>585914.57810348703</v>
      </c>
      <c r="P39" s="160">
        <v>90.398103349099998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ht="15" x14ac:dyDescent="0.2">
      <c r="B40" s="39" t="s">
        <v>53</v>
      </c>
      <c r="C40" s="349"/>
      <c r="D40" s="160">
        <v>1015984.05385471</v>
      </c>
      <c r="E40" s="350"/>
      <c r="F40" s="160">
        <v>26687.080880723901</v>
      </c>
      <c r="G40" s="160">
        <v>2.5290404253999998</v>
      </c>
      <c r="H40" s="350"/>
      <c r="I40" s="160">
        <v>26215.7467187408</v>
      </c>
      <c r="J40" s="160">
        <v>2.4877422083999998</v>
      </c>
      <c r="K40" s="112"/>
      <c r="L40" s="160">
        <v>2816.9730352048</v>
      </c>
      <c r="M40" s="160">
        <v>0.26633351849999998</v>
      </c>
      <c r="N40" s="112"/>
      <c r="O40" s="160">
        <v>940819.37678174302</v>
      </c>
      <c r="P40" s="160">
        <v>91.9432331191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ht="15" x14ac:dyDescent="0.2">
      <c r="B41" s="39" t="s">
        <v>54</v>
      </c>
      <c r="C41" s="349"/>
      <c r="D41" s="160">
        <v>320821.61901722202</v>
      </c>
      <c r="E41" s="350"/>
      <c r="F41" s="160">
        <v>33849.737651858501</v>
      </c>
      <c r="G41" s="160">
        <v>10.151892030999999</v>
      </c>
      <c r="H41" s="350"/>
      <c r="I41" s="160">
        <v>15699.8789910737</v>
      </c>
      <c r="J41" s="160">
        <v>4.7091125600000003</v>
      </c>
      <c r="K41" s="112"/>
      <c r="L41" s="160">
        <v>3487.8221170552001</v>
      </c>
      <c r="M41" s="160">
        <v>1.0453627309</v>
      </c>
      <c r="N41" s="112"/>
      <c r="O41" s="160">
        <v>260230.538214517</v>
      </c>
      <c r="P41" s="160">
        <v>79.952628222100003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2:40" ht="15" x14ac:dyDescent="0.2">
      <c r="B42" s="39" t="s">
        <v>55</v>
      </c>
      <c r="C42" s="349"/>
      <c r="D42" s="160">
        <v>2250780.00268341</v>
      </c>
      <c r="E42" s="350"/>
      <c r="F42" s="160">
        <v>63188.106899327497</v>
      </c>
      <c r="G42" s="160">
        <v>2.6944516895000001</v>
      </c>
      <c r="H42" s="350"/>
      <c r="I42" s="160">
        <v>71468.328555765998</v>
      </c>
      <c r="J42" s="160">
        <v>3.0503061518000001</v>
      </c>
      <c r="K42" s="112"/>
      <c r="L42" s="160">
        <v>9284.0076776815004</v>
      </c>
      <c r="M42" s="160">
        <v>0.39738115070000002</v>
      </c>
      <c r="N42" s="112"/>
      <c r="O42" s="160">
        <v>2065294.6119588299</v>
      </c>
      <c r="P42" s="160">
        <v>90.511197066099996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2:40" ht="15" x14ac:dyDescent="0.2">
      <c r="B43" s="39" t="s">
        <v>56</v>
      </c>
      <c r="C43" s="349"/>
      <c r="D43" s="160">
        <v>623364.16859410505</v>
      </c>
      <c r="E43" s="350"/>
      <c r="F43" s="160">
        <v>7594.5768770485001</v>
      </c>
      <c r="G43" s="160">
        <v>1.1456470881</v>
      </c>
      <c r="H43" s="350"/>
      <c r="I43" s="160">
        <v>20590.0081816983</v>
      </c>
      <c r="J43" s="160">
        <v>3.1854914503999998</v>
      </c>
      <c r="K43" s="112"/>
      <c r="L43" s="160">
        <v>8132.9824138596996</v>
      </c>
      <c r="M43" s="160">
        <v>1.2483031715999999</v>
      </c>
      <c r="N43" s="112"/>
      <c r="O43" s="160">
        <v>575625.74208436999</v>
      </c>
      <c r="P43" s="160">
        <v>91.141107086600002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2:40" ht="15" x14ac:dyDescent="0.2">
      <c r="B44" s="48" t="s">
        <v>57</v>
      </c>
      <c r="C44" s="349"/>
      <c r="D44" s="160">
        <v>426144.52179644001</v>
      </c>
      <c r="E44" s="350"/>
      <c r="F44" s="160">
        <v>22780.390841189401</v>
      </c>
      <c r="G44" s="160">
        <v>5.1090312077000002</v>
      </c>
      <c r="H44" s="350"/>
      <c r="I44" s="160">
        <v>16668.351932364501</v>
      </c>
      <c r="J44" s="160">
        <v>3.7310983842000001</v>
      </c>
      <c r="K44" s="112"/>
      <c r="L44" s="160">
        <v>2163.4307783208001</v>
      </c>
      <c r="M44" s="160">
        <v>0.48195920339999998</v>
      </c>
      <c r="N44" s="112"/>
      <c r="O44" s="160">
        <v>375159.21375288902</v>
      </c>
      <c r="P44" s="160">
        <v>86.615080861199999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2:40" ht="6" customHeight="1" x14ac:dyDescent="0.2">
      <c r="B45" s="40"/>
      <c r="C45" s="331"/>
      <c r="D45" s="4"/>
      <c r="E45" s="351"/>
      <c r="F45" s="4"/>
      <c r="G45" s="352"/>
      <c r="H45" s="352"/>
      <c r="I45" s="4"/>
      <c r="J45" s="352"/>
      <c r="K45" s="352"/>
      <c r="L45" s="4"/>
      <c r="M45" s="352"/>
      <c r="N45" s="352"/>
      <c r="O45" s="4"/>
      <c r="P45" s="35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2:40" ht="6" customHeight="1" x14ac:dyDescent="0.2">
      <c r="B46" s="353"/>
      <c r="C46" s="354"/>
      <c r="D46" s="355"/>
      <c r="E46" s="355"/>
      <c r="F46" s="355"/>
      <c r="G46" s="356"/>
      <c r="H46" s="356"/>
      <c r="I46" s="355"/>
      <c r="J46" s="356"/>
      <c r="K46" s="356"/>
      <c r="L46" s="355"/>
      <c r="M46" s="356"/>
      <c r="N46" s="356"/>
      <c r="O46" s="355"/>
      <c r="P46" s="35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2:40" s="89" customFormat="1" ht="11.25" customHeight="1" x14ac:dyDescent="0.2">
      <c r="B47" s="108" t="s">
        <v>134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</row>
    <row r="48" spans="2:40" x14ac:dyDescent="0.2"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2:40" x14ac:dyDescent="0.2"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2:40" x14ac:dyDescent="0.2"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2:40" x14ac:dyDescent="0.2"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2:40" x14ac:dyDescent="0.2"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2:40" x14ac:dyDescent="0.2"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2:40" x14ac:dyDescent="0.2"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2:40" x14ac:dyDescent="0.2"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2:40" x14ac:dyDescent="0.2"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2:40" x14ac:dyDescent="0.2"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2:40" x14ac:dyDescent="0.2"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2:40" x14ac:dyDescent="0.2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2:40" x14ac:dyDescent="0.2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2:40" x14ac:dyDescent="0.2"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2:40" x14ac:dyDescent="0.2"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2:40" x14ac:dyDescent="0.2">
      <c r="B63" s="3"/>
      <c r="C63" s="3"/>
      <c r="D63" s="3"/>
      <c r="E63" s="3"/>
      <c r="F63" s="3"/>
      <c r="G63" s="3"/>
      <c r="H63" s="3"/>
      <c r="I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2:40" x14ac:dyDescent="0.2">
      <c r="B64" s="3"/>
      <c r="C64" s="3"/>
      <c r="D64" s="3"/>
      <c r="E64" s="3"/>
      <c r="F64" s="3"/>
      <c r="G64" s="3"/>
      <c r="H64" s="3"/>
      <c r="I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2:40" x14ac:dyDescent="0.2">
      <c r="B65" s="3"/>
      <c r="C65" s="3"/>
      <c r="D65" s="3"/>
      <c r="E65" s="3"/>
      <c r="F65" s="3"/>
      <c r="G65" s="3"/>
      <c r="H65" s="3"/>
      <c r="I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2:40" x14ac:dyDescent="0.2">
      <c r="B66" s="3"/>
      <c r="C66" s="3"/>
      <c r="D66" s="3"/>
      <c r="E66" s="3"/>
      <c r="F66" s="3"/>
      <c r="G66" s="3"/>
      <c r="H66" s="3"/>
      <c r="I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2:40" x14ac:dyDescent="0.2">
      <c r="B67" s="3"/>
      <c r="C67" s="3"/>
      <c r="D67" s="3"/>
      <c r="E67" s="3"/>
      <c r="F67" s="3"/>
      <c r="G67" s="3"/>
      <c r="H67" s="3"/>
      <c r="I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B68" s="3"/>
      <c r="C68" s="3"/>
      <c r="D68" s="3"/>
      <c r="E68" s="3"/>
      <c r="F68" s="3"/>
      <c r="G68" s="3"/>
      <c r="H68" s="3"/>
      <c r="I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2:40" x14ac:dyDescent="0.2">
      <c r="B69" s="3"/>
      <c r="C69" s="3"/>
      <c r="D69" s="3"/>
      <c r="E69" s="3"/>
      <c r="F69" s="3"/>
      <c r="G69" s="3"/>
      <c r="H69" s="3"/>
      <c r="I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2:40" x14ac:dyDescent="0.2">
      <c r="B70" s="3"/>
      <c r="C70" s="3"/>
      <c r="D70" s="3"/>
      <c r="E70" s="3"/>
      <c r="F70" s="3"/>
      <c r="G70" s="3"/>
      <c r="H70" s="3"/>
      <c r="I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2:40" x14ac:dyDescent="0.2">
      <c r="B71" s="3"/>
      <c r="C71" s="3"/>
      <c r="D71" s="3"/>
      <c r="E71" s="3"/>
      <c r="F71" s="3"/>
      <c r="G71" s="3"/>
      <c r="H71" s="3"/>
      <c r="I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2:40" x14ac:dyDescent="0.2">
      <c r="B72" s="3"/>
      <c r="C72" s="3"/>
      <c r="D72" s="3"/>
      <c r="E72" s="3"/>
      <c r="F72" s="3"/>
      <c r="G72" s="3"/>
      <c r="H72" s="3"/>
      <c r="I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2:40" x14ac:dyDescent="0.2">
      <c r="B73" s="3"/>
      <c r="C73" s="3"/>
      <c r="D73" s="3"/>
      <c r="E73" s="3"/>
      <c r="F73" s="3"/>
      <c r="G73" s="3"/>
      <c r="H73" s="3"/>
      <c r="I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2:40" x14ac:dyDescent="0.2">
      <c r="B74" s="3"/>
      <c r="C74" s="3"/>
      <c r="D74" s="3"/>
      <c r="E74" s="3"/>
      <c r="F74" s="3"/>
      <c r="G74" s="3"/>
      <c r="H74" s="3"/>
      <c r="I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2:40" x14ac:dyDescent="0.2">
      <c r="B75" s="3"/>
      <c r="C75" s="3"/>
      <c r="D75" s="3"/>
      <c r="E75" s="3"/>
      <c r="F75" s="3"/>
      <c r="G75" s="3"/>
      <c r="H75" s="3"/>
      <c r="I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2:40" x14ac:dyDescent="0.2">
      <c r="B76" s="3"/>
      <c r="C76" s="3"/>
      <c r="D76" s="3"/>
      <c r="E76" s="3"/>
      <c r="F76" s="3"/>
      <c r="G76" s="3"/>
      <c r="H76" s="3"/>
      <c r="I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2:40" x14ac:dyDescent="0.2">
      <c r="B77" s="3"/>
      <c r="C77" s="3"/>
      <c r="D77" s="3"/>
      <c r="E77" s="3"/>
      <c r="F77" s="3"/>
      <c r="G77" s="3"/>
      <c r="H77" s="3"/>
      <c r="I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2:40" x14ac:dyDescent="0.2">
      <c r="B78" s="3"/>
      <c r="C78" s="3"/>
      <c r="D78" s="3"/>
      <c r="E78" s="3"/>
      <c r="F78" s="3"/>
      <c r="G78" s="3"/>
      <c r="H78" s="3"/>
      <c r="I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2:40" x14ac:dyDescent="0.2">
      <c r="B79" s="3"/>
      <c r="C79" s="3"/>
      <c r="D79" s="3"/>
      <c r="E79" s="3"/>
      <c r="F79" s="3"/>
      <c r="G79" s="3"/>
      <c r="H79" s="3"/>
      <c r="I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2:40" x14ac:dyDescent="0.2">
      <c r="B80" s="3"/>
      <c r="C80" s="3"/>
      <c r="D80" s="3"/>
      <c r="E80" s="3"/>
      <c r="F80" s="3"/>
      <c r="G80" s="3"/>
      <c r="H80" s="3"/>
      <c r="I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2:40" x14ac:dyDescent="0.2">
      <c r="B81" s="3"/>
      <c r="C81" s="3"/>
      <c r="D81" s="3"/>
      <c r="E81" s="3"/>
      <c r="F81" s="3"/>
      <c r="G81" s="3"/>
      <c r="H81" s="3"/>
      <c r="I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2:40" x14ac:dyDescent="0.2">
      <c r="B82" s="3"/>
      <c r="C82" s="3"/>
      <c r="D82" s="3"/>
      <c r="E82" s="3"/>
      <c r="F82" s="3"/>
      <c r="G82" s="3"/>
      <c r="H82" s="3"/>
      <c r="I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2:40" x14ac:dyDescent="0.2">
      <c r="B83" s="3"/>
      <c r="C83" s="3"/>
      <c r="D83" s="3"/>
      <c r="E83" s="3"/>
      <c r="F83" s="3"/>
      <c r="G83" s="3"/>
      <c r="H83" s="3"/>
      <c r="I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2:40" x14ac:dyDescent="0.2">
      <c r="B84" s="3"/>
      <c r="C84" s="3"/>
      <c r="D84" s="3"/>
      <c r="E84" s="3"/>
      <c r="F84" s="3"/>
      <c r="G84" s="3"/>
      <c r="H84" s="3"/>
      <c r="I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2:40" x14ac:dyDescent="0.2">
      <c r="B85" s="3"/>
      <c r="C85" s="3"/>
      <c r="D85" s="3"/>
      <c r="E85" s="3"/>
      <c r="F85" s="3"/>
      <c r="G85" s="3"/>
      <c r="H85" s="3"/>
      <c r="I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2:40" x14ac:dyDescent="0.2">
      <c r="B86" s="3"/>
      <c r="C86" s="3"/>
      <c r="D86" s="3"/>
      <c r="E86" s="3"/>
      <c r="F86" s="3"/>
      <c r="G86" s="3"/>
      <c r="H86" s="3"/>
      <c r="I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2:40" x14ac:dyDescent="0.2">
      <c r="B87" s="3"/>
      <c r="C87" s="3"/>
      <c r="D87" s="3"/>
      <c r="E87" s="3"/>
      <c r="F87" s="3"/>
      <c r="G87" s="3"/>
      <c r="H87" s="3"/>
      <c r="I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2:40" x14ac:dyDescent="0.2">
      <c r="B88" s="3"/>
      <c r="C88" s="3"/>
      <c r="D88" s="3"/>
      <c r="E88" s="3"/>
      <c r="F88" s="3"/>
      <c r="G88" s="3"/>
      <c r="H88" s="3"/>
      <c r="I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2:40" x14ac:dyDescent="0.2">
      <c r="B89" s="3"/>
      <c r="C89" s="3"/>
      <c r="D89" s="3"/>
      <c r="E89" s="3"/>
      <c r="F89" s="3"/>
      <c r="G89" s="3"/>
      <c r="H89" s="3"/>
      <c r="I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2:40" x14ac:dyDescent="0.2">
      <c r="B90" s="3"/>
      <c r="C90" s="3"/>
      <c r="D90" s="3"/>
      <c r="E90" s="3"/>
      <c r="F90" s="3"/>
      <c r="G90" s="3"/>
      <c r="H90" s="3"/>
      <c r="I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2:40" x14ac:dyDescent="0.2">
      <c r="B91" s="3"/>
      <c r="C91" s="3"/>
      <c r="D91" s="3"/>
      <c r="E91" s="3"/>
      <c r="F91" s="3"/>
      <c r="G91" s="3"/>
      <c r="H91" s="3"/>
      <c r="I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2:40" x14ac:dyDescent="0.2">
      <c r="B92" s="3"/>
      <c r="C92" s="3"/>
      <c r="D92" s="3"/>
      <c r="E92" s="3"/>
      <c r="F92" s="3"/>
      <c r="G92" s="3"/>
      <c r="H92" s="3"/>
      <c r="I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2:40" x14ac:dyDescent="0.2">
      <c r="B93" s="3"/>
      <c r="C93" s="3"/>
      <c r="D93" s="3"/>
      <c r="E93" s="3"/>
      <c r="F93" s="3"/>
      <c r="G93" s="3"/>
      <c r="H93" s="3"/>
      <c r="I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2:40" x14ac:dyDescent="0.2">
      <c r="B94" s="3"/>
      <c r="C94" s="3"/>
      <c r="D94" s="3"/>
      <c r="E94" s="3"/>
      <c r="F94" s="3"/>
      <c r="G94" s="3"/>
      <c r="H94" s="3"/>
      <c r="I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2:40" x14ac:dyDescent="0.2">
      <c r="B95" s="3"/>
      <c r="C95" s="3"/>
      <c r="D95" s="3"/>
      <c r="E95" s="3"/>
      <c r="F95" s="3"/>
      <c r="G95" s="3"/>
      <c r="H95" s="3"/>
      <c r="I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2:40" x14ac:dyDescent="0.2">
      <c r="B96" s="3"/>
      <c r="C96" s="3"/>
      <c r="D96" s="3"/>
      <c r="E96" s="3"/>
      <c r="F96" s="3"/>
      <c r="G96" s="3"/>
      <c r="H96" s="3"/>
      <c r="I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2:40" x14ac:dyDescent="0.2">
      <c r="B97" s="3"/>
      <c r="C97" s="3"/>
      <c r="D97" s="3"/>
      <c r="E97" s="3"/>
      <c r="F97" s="3"/>
      <c r="G97" s="3"/>
      <c r="H97" s="3"/>
      <c r="I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2:40" x14ac:dyDescent="0.2">
      <c r="B98" s="3"/>
      <c r="C98" s="3"/>
      <c r="D98" s="3"/>
      <c r="E98" s="3"/>
      <c r="F98" s="3"/>
      <c r="G98" s="3"/>
      <c r="H98" s="3"/>
      <c r="I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2:40" x14ac:dyDescent="0.2">
      <c r="B99" s="3"/>
      <c r="C99" s="3"/>
      <c r="D99" s="3"/>
      <c r="E99" s="3"/>
      <c r="F99" s="3"/>
      <c r="G99" s="3"/>
      <c r="H99" s="3"/>
      <c r="I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2:40" x14ac:dyDescent="0.2">
      <c r="B100" s="3"/>
      <c r="C100" s="3"/>
      <c r="D100" s="3"/>
      <c r="E100" s="3"/>
      <c r="F100" s="3"/>
      <c r="G100" s="3"/>
      <c r="H100" s="3"/>
      <c r="I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2:40" x14ac:dyDescent="0.2">
      <c r="B101" s="3"/>
      <c r="C101" s="3"/>
      <c r="D101" s="3"/>
      <c r="E101" s="3"/>
      <c r="F101" s="3"/>
      <c r="G101" s="3"/>
      <c r="H101" s="3"/>
      <c r="I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2:40" x14ac:dyDescent="0.2">
      <c r="B102" s="3"/>
      <c r="C102" s="3"/>
      <c r="D102" s="3"/>
      <c r="E102" s="3"/>
      <c r="F102" s="3"/>
      <c r="G102" s="3"/>
      <c r="H102" s="3"/>
      <c r="I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2:40" x14ac:dyDescent="0.2">
      <c r="B103" s="3"/>
      <c r="C103" s="3"/>
      <c r="D103" s="3"/>
      <c r="E103" s="3"/>
      <c r="F103" s="3"/>
      <c r="G103" s="3"/>
      <c r="H103" s="3"/>
      <c r="I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2:40" x14ac:dyDescent="0.2">
      <c r="B104" s="3"/>
      <c r="C104" s="3"/>
      <c r="D104" s="3"/>
      <c r="E104" s="3"/>
      <c r="F104" s="3"/>
      <c r="G104" s="3"/>
      <c r="H104" s="3"/>
      <c r="I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2:40" x14ac:dyDescent="0.2">
      <c r="B105" s="3"/>
      <c r="C105" s="3"/>
      <c r="D105" s="3"/>
      <c r="E105" s="3"/>
      <c r="F105" s="3"/>
      <c r="G105" s="3"/>
      <c r="H105" s="3"/>
      <c r="I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2:40" x14ac:dyDescent="0.2">
      <c r="B106" s="3"/>
      <c r="C106" s="3"/>
      <c r="D106" s="3"/>
      <c r="E106" s="3"/>
      <c r="F106" s="3"/>
      <c r="G106" s="3"/>
      <c r="H106" s="3"/>
      <c r="I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2:40" x14ac:dyDescent="0.2">
      <c r="B107" s="3"/>
      <c r="C107" s="3"/>
      <c r="D107" s="3"/>
      <c r="E107" s="3"/>
      <c r="F107" s="3"/>
      <c r="G107" s="3"/>
      <c r="H107" s="3"/>
      <c r="I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2:40" x14ac:dyDescent="0.2">
      <c r="B108" s="3"/>
      <c r="C108" s="3"/>
      <c r="D108" s="3"/>
      <c r="E108" s="3"/>
      <c r="F108" s="3"/>
      <c r="G108" s="3"/>
      <c r="H108" s="3"/>
      <c r="I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2:40" x14ac:dyDescent="0.2">
      <c r="B109" s="3"/>
      <c r="C109" s="3"/>
      <c r="D109" s="3"/>
      <c r="E109" s="3"/>
      <c r="F109" s="3"/>
      <c r="G109" s="3"/>
      <c r="H109" s="3"/>
      <c r="I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2:40" x14ac:dyDescent="0.2">
      <c r="B110" s="3"/>
      <c r="C110" s="3"/>
      <c r="D110" s="3"/>
      <c r="E110" s="3"/>
      <c r="F110" s="3"/>
      <c r="G110" s="3"/>
      <c r="H110" s="3"/>
      <c r="I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2:40" x14ac:dyDescent="0.2">
      <c r="B111" s="3"/>
      <c r="C111" s="3"/>
      <c r="D111" s="3"/>
      <c r="E111" s="3"/>
      <c r="F111" s="3"/>
      <c r="G111" s="3"/>
      <c r="H111" s="3"/>
      <c r="I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2:40" x14ac:dyDescent="0.2">
      <c r="B112" s="3"/>
      <c r="C112" s="3"/>
      <c r="D112" s="3"/>
      <c r="E112" s="3"/>
      <c r="F112" s="3"/>
      <c r="G112" s="3"/>
      <c r="H112" s="3"/>
      <c r="I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2:40" x14ac:dyDescent="0.2">
      <c r="B113" s="3"/>
      <c r="C113" s="3"/>
      <c r="D113" s="3"/>
      <c r="E113" s="3"/>
      <c r="F113" s="3"/>
      <c r="G113" s="3"/>
      <c r="H113" s="3"/>
      <c r="I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2:40" x14ac:dyDescent="0.2">
      <c r="B114" s="3"/>
      <c r="C114" s="3"/>
      <c r="D114" s="3"/>
      <c r="E114" s="3"/>
      <c r="F114" s="3"/>
      <c r="G114" s="3"/>
      <c r="H114" s="3"/>
      <c r="I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2:40" x14ac:dyDescent="0.2">
      <c r="B115" s="3"/>
      <c r="C115" s="3"/>
      <c r="D115" s="3"/>
      <c r="E115" s="3"/>
      <c r="F115" s="3"/>
      <c r="G115" s="3"/>
      <c r="H115" s="3"/>
      <c r="I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2:40" x14ac:dyDescent="0.2">
      <c r="B116" s="3"/>
      <c r="C116" s="3"/>
      <c r="D116" s="3"/>
      <c r="E116" s="3"/>
      <c r="F116" s="3"/>
      <c r="G116" s="3"/>
      <c r="H116" s="3"/>
      <c r="I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2:40" x14ac:dyDescent="0.2">
      <c r="B117" s="3"/>
      <c r="C117" s="3"/>
      <c r="D117" s="3"/>
      <c r="E117" s="3"/>
      <c r="F117" s="3"/>
      <c r="G117" s="3"/>
      <c r="H117" s="3"/>
      <c r="I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2:40" x14ac:dyDescent="0.2">
      <c r="B118" s="3"/>
      <c r="C118" s="3"/>
      <c r="D118" s="3"/>
      <c r="E118" s="3"/>
      <c r="F118" s="3"/>
      <c r="G118" s="3"/>
      <c r="H118" s="3"/>
      <c r="I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2:40" x14ac:dyDescent="0.2">
      <c r="B119" s="3"/>
      <c r="C119" s="3"/>
      <c r="D119" s="3"/>
      <c r="E119" s="3"/>
      <c r="F119" s="3"/>
      <c r="G119" s="3"/>
      <c r="H119" s="3"/>
      <c r="I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2:40" x14ac:dyDescent="0.2">
      <c r="B120" s="3"/>
      <c r="C120" s="3"/>
      <c r="D120" s="3"/>
      <c r="E120" s="3"/>
      <c r="F120" s="3"/>
      <c r="G120" s="3"/>
      <c r="H120" s="3"/>
      <c r="I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2:40" x14ac:dyDescent="0.2">
      <c r="B121" s="3"/>
      <c r="C121" s="3"/>
      <c r="D121" s="3"/>
      <c r="E121" s="3"/>
      <c r="F121" s="3"/>
      <c r="G121" s="3"/>
      <c r="H121" s="3"/>
      <c r="I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2:40" x14ac:dyDescent="0.2">
      <c r="B122" s="3"/>
      <c r="C122" s="3"/>
      <c r="D122" s="3"/>
      <c r="E122" s="3"/>
      <c r="F122" s="3"/>
      <c r="G122" s="3"/>
      <c r="H122" s="3"/>
      <c r="I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2:40" x14ac:dyDescent="0.2">
      <c r="B123" s="3"/>
      <c r="C123" s="3"/>
      <c r="D123" s="3"/>
      <c r="E123" s="3"/>
      <c r="F123" s="3"/>
      <c r="G123" s="3"/>
      <c r="H123" s="3"/>
      <c r="I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2:40" x14ac:dyDescent="0.2">
      <c r="B124" s="3"/>
      <c r="C124" s="3"/>
      <c r="D124" s="3"/>
      <c r="E124" s="3"/>
      <c r="F124" s="3"/>
      <c r="G124" s="3"/>
      <c r="H124" s="3"/>
      <c r="I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2:40" x14ac:dyDescent="0.2">
      <c r="B125" s="3"/>
      <c r="C125" s="3"/>
      <c r="D125" s="3"/>
      <c r="E125" s="3"/>
      <c r="F125" s="3"/>
      <c r="G125" s="3"/>
      <c r="H125" s="3"/>
      <c r="I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2:40" x14ac:dyDescent="0.2">
      <c r="B126" s="3"/>
      <c r="C126" s="3"/>
      <c r="D126" s="3"/>
      <c r="E126" s="3"/>
      <c r="F126" s="3"/>
      <c r="G126" s="3"/>
      <c r="H126" s="3"/>
      <c r="I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2:40" x14ac:dyDescent="0.2">
      <c r="B127" s="3"/>
      <c r="C127" s="3"/>
      <c r="D127" s="3"/>
      <c r="E127" s="3"/>
      <c r="F127" s="3"/>
      <c r="G127" s="3"/>
      <c r="H127" s="3"/>
      <c r="I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2:40" x14ac:dyDescent="0.2">
      <c r="B128" s="3"/>
      <c r="C128" s="3"/>
      <c r="D128" s="3"/>
      <c r="E128" s="3"/>
      <c r="F128" s="3"/>
      <c r="G128" s="3"/>
      <c r="H128" s="3"/>
      <c r="I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2:40" x14ac:dyDescent="0.2">
      <c r="B129" s="3"/>
      <c r="C129" s="3"/>
      <c r="D129" s="3"/>
      <c r="E129" s="3"/>
      <c r="F129" s="3"/>
      <c r="G129" s="3"/>
      <c r="H129" s="3"/>
      <c r="I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2:40" x14ac:dyDescent="0.2">
      <c r="B130" s="3"/>
      <c r="C130" s="3"/>
      <c r="D130" s="3"/>
      <c r="E130" s="3"/>
      <c r="F130" s="3"/>
      <c r="G130" s="3"/>
      <c r="H130" s="3"/>
      <c r="I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2:40" x14ac:dyDescent="0.2">
      <c r="B131" s="3"/>
      <c r="C131" s="3"/>
      <c r="D131" s="3"/>
      <c r="E131" s="3"/>
      <c r="F131" s="3"/>
      <c r="G131" s="3"/>
      <c r="H131" s="3"/>
      <c r="I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2:40" x14ac:dyDescent="0.2">
      <c r="B132" s="3"/>
      <c r="C132" s="3"/>
      <c r="D132" s="3"/>
      <c r="E132" s="3"/>
      <c r="F132" s="3"/>
      <c r="G132" s="3"/>
      <c r="H132" s="3"/>
      <c r="I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2:40" x14ac:dyDescent="0.2">
      <c r="B133" s="3"/>
      <c r="C133" s="3"/>
      <c r="D133" s="3"/>
      <c r="E133" s="3"/>
      <c r="F133" s="3"/>
      <c r="G133" s="3"/>
      <c r="H133" s="3"/>
      <c r="I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2:40" x14ac:dyDescent="0.2">
      <c r="B134" s="3"/>
      <c r="C134" s="3"/>
      <c r="D134" s="3"/>
      <c r="E134" s="3"/>
      <c r="F134" s="3"/>
      <c r="G134" s="3"/>
      <c r="H134" s="3"/>
      <c r="I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2:40" x14ac:dyDescent="0.2">
      <c r="B135" s="3"/>
      <c r="C135" s="3"/>
      <c r="D135" s="3"/>
      <c r="E135" s="3"/>
      <c r="F135" s="3"/>
      <c r="G135" s="3"/>
      <c r="H135" s="3"/>
      <c r="I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2:40" x14ac:dyDescent="0.2">
      <c r="B136" s="3"/>
      <c r="C136" s="3"/>
      <c r="D136" s="3"/>
      <c r="E136" s="3"/>
      <c r="F136" s="3"/>
      <c r="G136" s="3"/>
      <c r="H136" s="3"/>
      <c r="I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2:40" x14ac:dyDescent="0.2">
      <c r="B137" s="3"/>
      <c r="C137" s="3"/>
      <c r="D137" s="3"/>
      <c r="E137" s="3"/>
      <c r="F137" s="3"/>
      <c r="G137" s="3"/>
      <c r="H137" s="3"/>
      <c r="I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2:40" x14ac:dyDescent="0.2">
      <c r="B138" s="3"/>
      <c r="C138" s="3"/>
      <c r="D138" s="3"/>
      <c r="E138" s="3"/>
      <c r="F138" s="3"/>
      <c r="G138" s="3"/>
      <c r="H138" s="3"/>
      <c r="I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2:40" x14ac:dyDescent="0.2">
      <c r="B139" s="3"/>
      <c r="C139" s="3"/>
      <c r="D139" s="3"/>
      <c r="E139" s="3"/>
      <c r="F139" s="3"/>
      <c r="G139" s="3"/>
      <c r="H139" s="3"/>
      <c r="I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2:40" x14ac:dyDescent="0.2">
      <c r="B140" s="3"/>
      <c r="C140" s="3"/>
      <c r="D140" s="3"/>
      <c r="E140" s="3"/>
      <c r="F140" s="3"/>
      <c r="G140" s="3"/>
      <c r="H140" s="3"/>
      <c r="I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2:40" x14ac:dyDescent="0.2">
      <c r="B141" s="3"/>
      <c r="C141" s="3"/>
      <c r="D141" s="3"/>
      <c r="E141" s="3"/>
      <c r="F141" s="3"/>
      <c r="G141" s="3"/>
      <c r="H141" s="3"/>
      <c r="I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2:40" x14ac:dyDescent="0.2">
      <c r="B142" s="3"/>
      <c r="C142" s="3"/>
      <c r="D142" s="3"/>
      <c r="E142" s="3"/>
      <c r="F142" s="3"/>
      <c r="G142" s="3"/>
      <c r="H142" s="3"/>
      <c r="I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2:40" x14ac:dyDescent="0.2">
      <c r="B143" s="3"/>
      <c r="C143" s="3"/>
      <c r="D143" s="3"/>
      <c r="E143" s="3"/>
      <c r="F143" s="3"/>
      <c r="G143" s="3"/>
      <c r="H143" s="3"/>
      <c r="I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2:40" x14ac:dyDescent="0.2">
      <c r="B144" s="3"/>
      <c r="C144" s="3"/>
      <c r="D144" s="3"/>
      <c r="E144" s="3"/>
      <c r="F144" s="3"/>
      <c r="G144" s="3"/>
      <c r="H144" s="3"/>
      <c r="I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2:40" x14ac:dyDescent="0.2">
      <c r="B145" s="3"/>
      <c r="C145" s="3"/>
      <c r="D145" s="3"/>
      <c r="E145" s="3"/>
      <c r="F145" s="3"/>
      <c r="G145" s="3"/>
      <c r="H145" s="3"/>
      <c r="I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2:40" x14ac:dyDescent="0.2">
      <c r="B146" s="3"/>
      <c r="C146" s="3"/>
      <c r="D146" s="3"/>
      <c r="E146" s="3"/>
      <c r="F146" s="3"/>
      <c r="G146" s="3"/>
      <c r="H146" s="3"/>
      <c r="I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2:40" x14ac:dyDescent="0.2">
      <c r="B147" s="3"/>
      <c r="C147" s="3"/>
      <c r="D147" s="3"/>
      <c r="E147" s="3"/>
      <c r="F147" s="3"/>
      <c r="G147" s="3"/>
      <c r="H147" s="3"/>
      <c r="I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2:40" x14ac:dyDescent="0.2">
      <c r="B148" s="3"/>
      <c r="C148" s="3"/>
      <c r="D148" s="3"/>
      <c r="E148" s="3"/>
      <c r="F148" s="3"/>
      <c r="G148" s="3"/>
      <c r="H148" s="3"/>
      <c r="I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2:40" x14ac:dyDescent="0.2">
      <c r="B149" s="3"/>
      <c r="C149" s="3"/>
      <c r="D149" s="3"/>
      <c r="E149" s="3"/>
      <c r="F149" s="3"/>
      <c r="G149" s="3"/>
      <c r="H149" s="3"/>
      <c r="I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2:40" x14ac:dyDescent="0.2">
      <c r="B150" s="3"/>
      <c r="C150" s="3"/>
      <c r="D150" s="3"/>
      <c r="E150" s="3"/>
      <c r="F150" s="3"/>
      <c r="G150" s="3"/>
      <c r="H150" s="3"/>
      <c r="I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2:40" x14ac:dyDescent="0.2">
      <c r="B151" s="3"/>
      <c r="C151" s="3"/>
      <c r="D151" s="3"/>
      <c r="E151" s="3"/>
      <c r="F151" s="3"/>
      <c r="G151" s="3"/>
      <c r="H151" s="3"/>
      <c r="I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2:40" x14ac:dyDescent="0.2">
      <c r="B152" s="3"/>
      <c r="C152" s="3"/>
      <c r="D152" s="3"/>
      <c r="E152" s="3"/>
      <c r="F152" s="3"/>
      <c r="G152" s="3"/>
      <c r="H152" s="3"/>
      <c r="I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2:40" x14ac:dyDescent="0.2">
      <c r="B153" s="3"/>
      <c r="C153" s="3"/>
      <c r="D153" s="3"/>
      <c r="E153" s="3"/>
      <c r="F153" s="3"/>
      <c r="G153" s="3"/>
      <c r="H153" s="3"/>
      <c r="I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2:40" x14ac:dyDescent="0.2">
      <c r="B154" s="3"/>
      <c r="C154" s="3"/>
      <c r="D154" s="3"/>
      <c r="E154" s="3"/>
      <c r="F154" s="3"/>
      <c r="G154" s="3"/>
      <c r="H154" s="3"/>
      <c r="I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2:40" x14ac:dyDescent="0.2">
      <c r="B155" s="3"/>
      <c r="C155" s="3"/>
      <c r="D155" s="3"/>
      <c r="E155" s="3"/>
      <c r="F155" s="3"/>
      <c r="G155" s="3"/>
      <c r="H155" s="3"/>
      <c r="I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2:40" x14ac:dyDescent="0.2">
      <c r="B156" s="3"/>
      <c r="C156" s="3"/>
      <c r="D156" s="3"/>
      <c r="E156" s="3"/>
      <c r="F156" s="3"/>
      <c r="G156" s="3"/>
      <c r="H156" s="3"/>
      <c r="I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2:40" x14ac:dyDescent="0.2">
      <c r="B157" s="3"/>
      <c r="C157" s="3"/>
      <c r="D157" s="3"/>
      <c r="E157" s="3"/>
      <c r="F157" s="3"/>
      <c r="G157" s="3"/>
      <c r="H157" s="3"/>
      <c r="I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2:40" x14ac:dyDescent="0.2">
      <c r="B158" s="3"/>
      <c r="C158" s="3"/>
      <c r="D158" s="3"/>
      <c r="E158" s="3"/>
      <c r="F158" s="3"/>
      <c r="G158" s="3"/>
      <c r="H158" s="3"/>
      <c r="I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2:40" x14ac:dyDescent="0.2">
      <c r="B159" s="3"/>
      <c r="C159" s="3"/>
      <c r="D159" s="3"/>
      <c r="E159" s="3"/>
      <c r="F159" s="3"/>
      <c r="G159" s="3"/>
      <c r="H159" s="3"/>
      <c r="I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2:40" x14ac:dyDescent="0.2">
      <c r="B160" s="3"/>
      <c r="C160" s="3"/>
      <c r="D160" s="3"/>
      <c r="E160" s="3"/>
      <c r="F160" s="3"/>
      <c r="G160" s="3"/>
      <c r="H160" s="3"/>
      <c r="I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2:40" x14ac:dyDescent="0.2">
      <c r="B161" s="3"/>
      <c r="C161" s="3"/>
      <c r="D161" s="3"/>
      <c r="E161" s="3"/>
      <c r="F161" s="3"/>
      <c r="G161" s="3"/>
      <c r="H161" s="3"/>
      <c r="I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2:40" x14ac:dyDescent="0.2">
      <c r="B162" s="3"/>
      <c r="C162" s="3"/>
      <c r="D162" s="3"/>
      <c r="E162" s="3"/>
      <c r="F162" s="3"/>
      <c r="G162" s="3"/>
      <c r="H162" s="3"/>
      <c r="I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2:40" x14ac:dyDescent="0.2">
      <c r="B163" s="3"/>
      <c r="C163" s="3"/>
      <c r="D163" s="3"/>
      <c r="E163" s="3"/>
      <c r="F163" s="3"/>
      <c r="G163" s="3"/>
      <c r="H163" s="3"/>
      <c r="I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2:40" x14ac:dyDescent="0.2">
      <c r="B164" s="3"/>
      <c r="C164" s="3"/>
      <c r="D164" s="3"/>
      <c r="E164" s="3"/>
      <c r="F164" s="3"/>
      <c r="G164" s="3"/>
      <c r="H164" s="3"/>
      <c r="I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2:40" x14ac:dyDescent="0.2">
      <c r="B165" s="3"/>
      <c r="C165" s="3"/>
      <c r="D165" s="3"/>
      <c r="E165" s="3"/>
      <c r="F165" s="3"/>
      <c r="G165" s="3"/>
      <c r="H165" s="3"/>
      <c r="I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2:40" x14ac:dyDescent="0.2">
      <c r="B166" s="3"/>
      <c r="C166" s="3"/>
      <c r="D166" s="3"/>
      <c r="E166" s="3"/>
      <c r="F166" s="3"/>
      <c r="G166" s="3"/>
      <c r="H166" s="3"/>
      <c r="I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2:40" x14ac:dyDescent="0.2">
      <c r="B167" s="3"/>
      <c r="C167" s="3"/>
      <c r="D167" s="3"/>
      <c r="E167" s="3"/>
      <c r="F167" s="3"/>
      <c r="G167" s="3"/>
      <c r="H167" s="3"/>
      <c r="I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2:40" x14ac:dyDescent="0.2">
      <c r="B168" s="3"/>
      <c r="C168" s="3"/>
      <c r="D168" s="3"/>
      <c r="E168" s="3"/>
      <c r="F168" s="3"/>
      <c r="G168" s="3"/>
      <c r="H168" s="3"/>
      <c r="I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2:40" x14ac:dyDescent="0.2">
      <c r="B169" s="3"/>
      <c r="C169" s="3"/>
      <c r="D169" s="3"/>
      <c r="E169" s="3"/>
      <c r="F169" s="3"/>
      <c r="G169" s="3"/>
      <c r="H169" s="3"/>
      <c r="I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2:40" x14ac:dyDescent="0.2">
      <c r="B170" s="3"/>
      <c r="C170" s="3"/>
      <c r="D170" s="3"/>
      <c r="E170" s="3"/>
      <c r="F170" s="3"/>
      <c r="G170" s="3"/>
      <c r="H170" s="3"/>
      <c r="I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2:40" x14ac:dyDescent="0.2">
      <c r="B171" s="3"/>
      <c r="C171" s="3"/>
      <c r="D171" s="3"/>
      <c r="E171" s="3"/>
      <c r="F171" s="3"/>
      <c r="G171" s="3"/>
      <c r="H171" s="3"/>
      <c r="I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2:40" x14ac:dyDescent="0.2">
      <c r="B172" s="3"/>
      <c r="C172" s="3"/>
      <c r="D172" s="3"/>
      <c r="E172" s="3"/>
      <c r="F172" s="3"/>
      <c r="G172" s="3"/>
      <c r="H172" s="3"/>
      <c r="I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2:40" x14ac:dyDescent="0.2">
      <c r="B173" s="3"/>
      <c r="C173" s="3"/>
      <c r="D173" s="3"/>
      <c r="E173" s="3"/>
      <c r="F173" s="3"/>
      <c r="G173" s="3"/>
      <c r="H173" s="3"/>
      <c r="I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2:40" x14ac:dyDescent="0.2">
      <c r="B174" s="3"/>
      <c r="C174" s="3"/>
      <c r="D174" s="3"/>
      <c r="E174" s="3"/>
      <c r="F174" s="3"/>
      <c r="G174" s="3"/>
      <c r="H174" s="3"/>
      <c r="I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2:40" x14ac:dyDescent="0.2">
      <c r="B175" s="3"/>
      <c r="C175" s="3"/>
      <c r="D175" s="3"/>
      <c r="E175" s="3"/>
      <c r="F175" s="3"/>
      <c r="G175" s="3"/>
      <c r="H175" s="3"/>
      <c r="I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2:40" x14ac:dyDescent="0.2">
      <c r="B176" s="3"/>
      <c r="C176" s="3"/>
      <c r="D176" s="3"/>
      <c r="E176" s="3"/>
      <c r="F176" s="3"/>
      <c r="G176" s="3"/>
      <c r="H176" s="3"/>
      <c r="I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2:40" x14ac:dyDescent="0.2">
      <c r="B177" s="3"/>
      <c r="C177" s="3"/>
      <c r="D177" s="3"/>
      <c r="E177" s="3"/>
      <c r="F177" s="3"/>
      <c r="G177" s="3"/>
      <c r="H177" s="3"/>
      <c r="I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2:40" x14ac:dyDescent="0.2">
      <c r="B178" s="3"/>
      <c r="C178" s="3"/>
      <c r="D178" s="3"/>
      <c r="E178" s="3"/>
      <c r="F178" s="3"/>
      <c r="G178" s="3"/>
      <c r="H178" s="3"/>
      <c r="I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2:40" x14ac:dyDescent="0.2">
      <c r="B179" s="3"/>
      <c r="C179" s="3"/>
      <c r="D179" s="3"/>
      <c r="E179" s="3"/>
      <c r="F179" s="3"/>
      <c r="G179" s="3"/>
      <c r="H179" s="3"/>
      <c r="I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2:40" x14ac:dyDescent="0.2">
      <c r="B180" s="3"/>
      <c r="C180" s="3"/>
      <c r="D180" s="3"/>
      <c r="E180" s="3"/>
      <c r="F180" s="3"/>
      <c r="G180" s="3"/>
      <c r="H180" s="3"/>
      <c r="I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2:40" x14ac:dyDescent="0.2">
      <c r="B181" s="3"/>
      <c r="C181" s="3"/>
      <c r="D181" s="3"/>
      <c r="E181" s="3"/>
      <c r="F181" s="3"/>
      <c r="G181" s="3"/>
      <c r="H181" s="3"/>
      <c r="I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2:40" x14ac:dyDescent="0.2">
      <c r="B182" s="3"/>
      <c r="C182" s="3"/>
      <c r="D182" s="3"/>
      <c r="E182" s="3"/>
      <c r="F182" s="3"/>
      <c r="G182" s="3"/>
      <c r="H182" s="3"/>
      <c r="I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2:40" x14ac:dyDescent="0.2">
      <c r="B183" s="3"/>
      <c r="C183" s="3"/>
      <c r="D183" s="3"/>
      <c r="E183" s="3"/>
      <c r="F183" s="3"/>
      <c r="G183" s="3"/>
      <c r="H183" s="3"/>
      <c r="I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2:40" x14ac:dyDescent="0.2">
      <c r="B184" s="3"/>
      <c r="C184" s="3"/>
      <c r="D184" s="3"/>
      <c r="E184" s="3"/>
      <c r="F184" s="3"/>
      <c r="G184" s="3"/>
      <c r="H184" s="3"/>
      <c r="I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2:40" x14ac:dyDescent="0.2">
      <c r="B185" s="3"/>
      <c r="C185" s="3"/>
      <c r="D185" s="3"/>
      <c r="E185" s="3"/>
      <c r="F185" s="3"/>
      <c r="G185" s="3"/>
      <c r="H185" s="3"/>
      <c r="I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2:40" x14ac:dyDescent="0.2">
      <c r="B186" s="3"/>
      <c r="C186" s="3"/>
      <c r="D186" s="3"/>
      <c r="E186" s="3"/>
      <c r="F186" s="3"/>
      <c r="G186" s="3"/>
      <c r="H186" s="3"/>
      <c r="I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2:40" x14ac:dyDescent="0.2">
      <c r="B187" s="3"/>
      <c r="C187" s="3"/>
      <c r="D187" s="3"/>
      <c r="E187" s="3"/>
      <c r="F187" s="3"/>
      <c r="G187" s="3"/>
      <c r="H187" s="3"/>
      <c r="I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2:40" x14ac:dyDescent="0.2">
      <c r="B188" s="3"/>
      <c r="C188" s="3"/>
      <c r="D188" s="3"/>
      <c r="E188" s="3"/>
      <c r="F188" s="3"/>
      <c r="G188" s="3"/>
      <c r="H188" s="3"/>
      <c r="I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2:40" x14ac:dyDescent="0.2">
      <c r="B189" s="3"/>
      <c r="C189" s="3"/>
      <c r="D189" s="3"/>
      <c r="E189" s="3"/>
      <c r="F189" s="3"/>
      <c r="G189" s="3"/>
      <c r="H189" s="3"/>
      <c r="I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2:40" x14ac:dyDescent="0.2">
      <c r="B190" s="3"/>
      <c r="C190" s="3"/>
      <c r="D190" s="3"/>
      <c r="E190" s="3"/>
      <c r="F190" s="3"/>
      <c r="G190" s="3"/>
      <c r="H190" s="3"/>
      <c r="I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2:40" x14ac:dyDescent="0.2">
      <c r="B191" s="3"/>
      <c r="C191" s="3"/>
      <c r="D191" s="3"/>
      <c r="E191" s="3"/>
      <c r="F191" s="3"/>
      <c r="G191" s="3"/>
      <c r="H191" s="3"/>
      <c r="I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2:40" x14ac:dyDescent="0.2">
      <c r="B192" s="3"/>
      <c r="C192" s="3"/>
      <c r="D192" s="3"/>
      <c r="E192" s="3"/>
      <c r="F192" s="3"/>
      <c r="G192" s="3"/>
      <c r="H192" s="3"/>
      <c r="I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2:40" x14ac:dyDescent="0.2">
      <c r="B193" s="3"/>
      <c r="C193" s="3"/>
      <c r="D193" s="3"/>
      <c r="E193" s="3"/>
      <c r="F193" s="3"/>
      <c r="G193" s="3"/>
      <c r="H193" s="3"/>
      <c r="I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2:40" x14ac:dyDescent="0.2">
      <c r="B194" s="3"/>
      <c r="C194" s="3"/>
      <c r="D194" s="3"/>
      <c r="E194" s="3"/>
      <c r="F194" s="3"/>
      <c r="G194" s="3"/>
      <c r="H194" s="3"/>
      <c r="I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2:40" x14ac:dyDescent="0.2">
      <c r="B195" s="3"/>
      <c r="C195" s="3"/>
      <c r="D195" s="3"/>
      <c r="E195" s="3"/>
      <c r="F195" s="3"/>
      <c r="G195" s="3"/>
      <c r="H195" s="3"/>
      <c r="I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2:40" x14ac:dyDescent="0.2">
      <c r="B196" s="3"/>
      <c r="C196" s="3"/>
      <c r="D196" s="3"/>
      <c r="E196" s="3"/>
      <c r="F196" s="3"/>
      <c r="G196" s="3"/>
      <c r="H196" s="3"/>
      <c r="I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2:40" x14ac:dyDescent="0.2">
      <c r="B197" s="3"/>
      <c r="C197" s="3"/>
      <c r="D197" s="3"/>
      <c r="E197" s="3"/>
      <c r="F197" s="3"/>
      <c r="G197" s="3"/>
      <c r="H197" s="3"/>
      <c r="I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2:40" x14ac:dyDescent="0.2">
      <c r="B198" s="3"/>
      <c r="C198" s="3"/>
      <c r="D198" s="3"/>
      <c r="E198" s="3"/>
      <c r="F198" s="3"/>
      <c r="G198" s="3"/>
      <c r="H198" s="3"/>
      <c r="I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2:40" x14ac:dyDescent="0.2">
      <c r="B199" s="3"/>
      <c r="C199" s="3"/>
      <c r="D199" s="3"/>
      <c r="E199" s="3"/>
      <c r="F199" s="3"/>
      <c r="G199" s="3"/>
      <c r="H199" s="3"/>
      <c r="I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2:40" x14ac:dyDescent="0.2">
      <c r="B200" s="3"/>
      <c r="C200" s="3"/>
      <c r="D200" s="3"/>
      <c r="E200" s="3"/>
      <c r="F200" s="3"/>
      <c r="G200" s="3"/>
      <c r="H200" s="3"/>
      <c r="I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2:40" x14ac:dyDescent="0.2">
      <c r="B201" s="3"/>
      <c r="C201" s="3"/>
      <c r="D201" s="3"/>
      <c r="E201" s="3"/>
      <c r="F201" s="3"/>
      <c r="G201" s="3"/>
      <c r="H201" s="3"/>
      <c r="I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2:40" x14ac:dyDescent="0.2">
      <c r="B202" s="3"/>
      <c r="C202" s="3"/>
      <c r="D202" s="3"/>
      <c r="E202" s="3"/>
      <c r="F202" s="3"/>
      <c r="G202" s="3"/>
      <c r="H202" s="3"/>
      <c r="I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2:40" x14ac:dyDescent="0.2">
      <c r="B203" s="3"/>
      <c r="C203" s="3"/>
      <c r="D203" s="3"/>
      <c r="E203" s="3"/>
      <c r="F203" s="3"/>
      <c r="G203" s="3"/>
      <c r="H203" s="3"/>
      <c r="I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2:40" x14ac:dyDescent="0.2">
      <c r="B204" s="3"/>
      <c r="C204" s="3"/>
      <c r="D204" s="3"/>
      <c r="E204" s="3"/>
      <c r="F204" s="3"/>
      <c r="G204" s="3"/>
      <c r="H204" s="3"/>
      <c r="I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2:40" x14ac:dyDescent="0.2">
      <c r="B205" s="3"/>
      <c r="C205" s="3"/>
      <c r="D205" s="3"/>
      <c r="E205" s="3"/>
      <c r="F205" s="3"/>
      <c r="G205" s="3"/>
      <c r="H205" s="3"/>
      <c r="I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2:40" x14ac:dyDescent="0.2">
      <c r="B206" s="3"/>
      <c r="C206" s="3"/>
      <c r="D206" s="3"/>
      <c r="E206" s="3"/>
      <c r="F206" s="3"/>
      <c r="G206" s="3"/>
      <c r="H206" s="3"/>
      <c r="I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2:40" x14ac:dyDescent="0.2">
      <c r="B207" s="3"/>
      <c r="C207" s="3"/>
      <c r="D207" s="3"/>
      <c r="E207" s="3"/>
      <c r="F207" s="3"/>
      <c r="G207" s="3"/>
      <c r="H207" s="3"/>
      <c r="I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2:40" x14ac:dyDescent="0.2">
      <c r="B208" s="3"/>
      <c r="C208" s="3"/>
      <c r="D208" s="3"/>
      <c r="E208" s="3"/>
      <c r="F208" s="3"/>
      <c r="G208" s="3"/>
      <c r="H208" s="3"/>
      <c r="I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2:40" x14ac:dyDescent="0.2">
      <c r="B209" s="3"/>
      <c r="C209" s="3"/>
      <c r="D209" s="3"/>
      <c r="E209" s="3"/>
      <c r="F209" s="3"/>
      <c r="G209" s="3"/>
      <c r="H209" s="3"/>
      <c r="I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2:40" x14ac:dyDescent="0.2">
      <c r="B210" s="3"/>
      <c r="C210" s="3"/>
      <c r="D210" s="3"/>
      <c r="E210" s="3"/>
      <c r="F210" s="3"/>
      <c r="G210" s="3"/>
      <c r="H210" s="3"/>
      <c r="I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2:40" x14ac:dyDescent="0.2">
      <c r="B211" s="3"/>
      <c r="C211" s="3"/>
      <c r="D211" s="3"/>
      <c r="E211" s="3"/>
      <c r="F211" s="3"/>
      <c r="G211" s="3"/>
      <c r="H211" s="3"/>
      <c r="I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2:40" x14ac:dyDescent="0.2">
      <c r="B212" s="3"/>
      <c r="C212" s="3"/>
      <c r="D212" s="3"/>
      <c r="E212" s="3"/>
      <c r="F212" s="3"/>
      <c r="G212" s="3"/>
      <c r="H212" s="3"/>
      <c r="I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2:40" x14ac:dyDescent="0.2">
      <c r="B213" s="3"/>
      <c r="C213" s="3"/>
      <c r="D213" s="3"/>
      <c r="E213" s="3"/>
      <c r="F213" s="3"/>
      <c r="G213" s="3"/>
      <c r="H213" s="3"/>
      <c r="I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2:40" x14ac:dyDescent="0.2">
      <c r="B214" s="3"/>
      <c r="C214" s="3"/>
      <c r="D214" s="3"/>
      <c r="E214" s="3"/>
      <c r="F214" s="3"/>
      <c r="G214" s="3"/>
      <c r="H214" s="3"/>
      <c r="I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2:40" x14ac:dyDescent="0.2">
      <c r="B215" s="3"/>
      <c r="C215" s="3"/>
      <c r="D215" s="3"/>
      <c r="E215" s="3"/>
      <c r="F215" s="3"/>
      <c r="G215" s="3"/>
      <c r="H215" s="3"/>
      <c r="I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2:40" x14ac:dyDescent="0.2">
      <c r="B216" s="3"/>
      <c r="C216" s="3"/>
      <c r="D216" s="3"/>
      <c r="E216" s="3"/>
      <c r="F216" s="3"/>
      <c r="G216" s="3"/>
      <c r="H216" s="3"/>
      <c r="I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2:40" x14ac:dyDescent="0.2">
      <c r="B217" s="3"/>
      <c r="C217" s="3"/>
      <c r="D217" s="3"/>
      <c r="E217" s="3"/>
      <c r="F217" s="3"/>
      <c r="G217" s="3"/>
      <c r="H217" s="3"/>
      <c r="I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2:40" x14ac:dyDescent="0.2">
      <c r="B218" s="3"/>
      <c r="C218" s="3"/>
      <c r="D218" s="3"/>
      <c r="E218" s="3"/>
      <c r="F218" s="3"/>
      <c r="G218" s="3"/>
      <c r="H218" s="3"/>
      <c r="I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2:40" x14ac:dyDescent="0.2">
      <c r="B219" s="3"/>
      <c r="C219" s="3"/>
      <c r="D219" s="3"/>
      <c r="E219" s="3"/>
      <c r="F219" s="3"/>
      <c r="G219" s="3"/>
      <c r="H219" s="3"/>
      <c r="I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2:40" x14ac:dyDescent="0.2">
      <c r="B220" s="3"/>
      <c r="C220" s="3"/>
      <c r="D220" s="3"/>
      <c r="E220" s="3"/>
      <c r="F220" s="3"/>
      <c r="G220" s="3"/>
      <c r="H220" s="3"/>
      <c r="I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2:40" x14ac:dyDescent="0.2">
      <c r="B221" s="3"/>
      <c r="C221" s="3"/>
      <c r="D221" s="3"/>
      <c r="E221" s="3"/>
      <c r="F221" s="3"/>
      <c r="G221" s="3"/>
      <c r="H221" s="3"/>
      <c r="I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2:40" x14ac:dyDescent="0.2">
      <c r="B222" s="3"/>
      <c r="C222" s="3"/>
      <c r="D222" s="3"/>
      <c r="E222" s="3"/>
      <c r="F222" s="3"/>
      <c r="G222" s="3"/>
      <c r="H222" s="3"/>
      <c r="I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2:40" x14ac:dyDescent="0.2">
      <c r="B223" s="3"/>
      <c r="C223" s="3"/>
      <c r="D223" s="3"/>
      <c r="E223" s="3"/>
      <c r="F223" s="3"/>
      <c r="G223" s="3"/>
      <c r="H223" s="3"/>
      <c r="I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2:40" x14ac:dyDescent="0.2">
      <c r="B224" s="3"/>
      <c r="C224" s="3"/>
      <c r="D224" s="3"/>
      <c r="E224" s="3"/>
      <c r="F224" s="3"/>
      <c r="G224" s="3"/>
      <c r="H224" s="3"/>
      <c r="I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Q335" s="3"/>
      <c r="R335" s="3"/>
      <c r="S335" s="3"/>
      <c r="T335" s="3"/>
      <c r="U335" s="3"/>
      <c r="V335" s="3"/>
      <c r="W335" s="3"/>
      <c r="X335" s="3"/>
      <c r="Y335" s="3"/>
    </row>
  </sheetData>
  <mergeCells count="7">
    <mergeCell ref="O7:P8"/>
    <mergeCell ref="B5:N5"/>
    <mergeCell ref="B7:C9"/>
    <mergeCell ref="D7:D9"/>
    <mergeCell ref="F7:G8"/>
    <mergeCell ref="I7:J8"/>
    <mergeCell ref="L7:M8"/>
  </mergeCells>
  <hyperlinks>
    <hyperlink ref="P1" location="Índice!A1" tooltip="Ir a ÍNDICE" display="INDICE" xr:uid="{AC08B095-1946-4600-A23B-563944A6CA57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106C-8C55-48ED-8041-9C478A07CB1C}">
  <sheetPr>
    <pageSetUpPr fitToPage="1"/>
  </sheetPr>
  <dimension ref="A1:AQ99"/>
  <sheetViews>
    <sheetView showGridLines="0" zoomScaleNormal="100" zoomScaleSheetLayoutView="5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4.28515625" style="402" customWidth="1"/>
    <col min="3" max="3" width="0.85546875" style="403" customWidth="1" collapsed="1"/>
    <col min="4" max="4" width="18.7109375" style="403" customWidth="1" collapsed="1"/>
    <col min="5" max="5" width="0.85546875" style="403" customWidth="1"/>
    <col min="6" max="6" width="10.7109375" style="403" customWidth="1" collapsed="1"/>
    <col min="7" max="7" width="10.7109375" style="402" customWidth="1" collapsed="1"/>
    <col min="8" max="8" width="0.85546875" style="402" customWidth="1" collapsed="1"/>
    <col min="9" max="10" width="10.7109375" style="402" customWidth="1" collapsed="1"/>
    <col min="11" max="11" width="0.85546875" style="402" customWidth="1" collapsed="1"/>
    <col min="12" max="13" width="10.7109375" style="402" customWidth="1" collapsed="1"/>
    <col min="14" max="14" width="0.85546875" style="402" customWidth="1" collapsed="1"/>
    <col min="15" max="16" width="10.7109375" style="402" customWidth="1" collapsed="1"/>
    <col min="17" max="17" width="0.85546875" style="402" customWidth="1" collapsed="1"/>
    <col min="18" max="18" width="10.7109375" style="402" customWidth="1" collapsed="1"/>
    <col min="19" max="19" width="10.7109375" style="402" customWidth="1"/>
    <col min="20" max="20" width="0.85546875" style="402" customWidth="1"/>
    <col min="21" max="22" width="10.7109375" style="402" customWidth="1"/>
    <col min="23" max="23" width="0.85546875" style="402" customWidth="1"/>
    <col min="24" max="25" width="10.7109375" style="402" customWidth="1"/>
    <col min="26" max="26" width="11.42578125" style="402"/>
    <col min="27" max="27" width="11.42578125" style="402" collapsed="1"/>
    <col min="28" max="29" width="11.42578125" style="402"/>
    <col min="30" max="30" width="11.42578125" style="402" collapsed="1"/>
    <col min="31" max="31" width="11.42578125" style="402"/>
    <col min="32" max="32" width="11.42578125" style="402" collapsed="1"/>
    <col min="33" max="35" width="11.42578125" style="402"/>
    <col min="36" max="36" width="11.42578125" style="402" collapsed="1"/>
    <col min="37" max="39" width="11.42578125" style="402"/>
    <col min="40" max="40" width="11.42578125" style="402" collapsed="1"/>
    <col min="41" max="43" width="11.42578125" style="402"/>
    <col min="44" max="16384" width="11.42578125" style="402" collapsed="1"/>
  </cols>
  <sheetData>
    <row r="1" spans="1:25" s="359" customFormat="1" ht="14.1" customHeight="1" x14ac:dyDescent="0.2">
      <c r="A1" s="66"/>
      <c r="B1" s="484" t="s">
        <v>144</v>
      </c>
      <c r="C1" s="357"/>
      <c r="D1" s="358"/>
      <c r="E1" s="358"/>
      <c r="F1" s="358"/>
      <c r="Y1" s="85" t="s">
        <v>118</v>
      </c>
    </row>
    <row r="2" spans="1:25" s="359" customFormat="1" ht="6.95" customHeight="1" x14ac:dyDescent="0.2">
      <c r="A2" s="66"/>
      <c r="B2" s="484"/>
      <c r="C2" s="357"/>
      <c r="D2" s="358"/>
      <c r="E2" s="358"/>
      <c r="F2" s="358"/>
    </row>
    <row r="3" spans="1:25" s="361" customFormat="1" ht="14.1" customHeight="1" x14ac:dyDescent="0.2">
      <c r="A3" s="98"/>
      <c r="B3" s="484" t="s">
        <v>142</v>
      </c>
      <c r="C3" s="360"/>
      <c r="D3" s="360"/>
      <c r="E3" s="360"/>
      <c r="F3" s="360"/>
      <c r="G3" s="360"/>
    </row>
    <row r="4" spans="1:25" s="361" customFormat="1" ht="6.95" customHeight="1" x14ac:dyDescent="0.2">
      <c r="A4" s="98"/>
      <c r="B4" s="484"/>
      <c r="C4" s="362"/>
      <c r="D4" s="362"/>
      <c r="E4" s="362"/>
      <c r="F4" s="362"/>
    </row>
    <row r="5" spans="1:25" s="361" customFormat="1" ht="20.100000000000001" customHeight="1" x14ac:dyDescent="0.2">
      <c r="A5" s="98"/>
      <c r="B5" s="597" t="s">
        <v>111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363"/>
      <c r="Q5" s="364"/>
      <c r="R5" s="114"/>
      <c r="Y5" s="75" t="s">
        <v>113</v>
      </c>
    </row>
    <row r="6" spans="1:25" s="367" customFormat="1" ht="6" customHeight="1" x14ac:dyDescent="0.2">
      <c r="A6" s="98"/>
      <c r="B6" s="365"/>
      <c r="C6" s="598"/>
      <c r="D6" s="598"/>
      <c r="E6" s="598"/>
      <c r="F6" s="599"/>
      <c r="G6" s="599"/>
      <c r="H6" s="599"/>
      <c r="I6" s="599"/>
      <c r="J6" s="599"/>
      <c r="K6" s="599"/>
      <c r="L6" s="599"/>
      <c r="M6" s="600"/>
      <c r="N6" s="600"/>
      <c r="O6" s="600"/>
      <c r="P6" s="366"/>
      <c r="W6" s="365"/>
    </row>
    <row r="7" spans="1:25" s="367" customFormat="1" ht="15" customHeight="1" x14ac:dyDescent="0.2">
      <c r="A7" s="98"/>
      <c r="B7" s="601" t="s">
        <v>22</v>
      </c>
      <c r="C7" s="601"/>
      <c r="D7" s="604" t="s">
        <v>23</v>
      </c>
      <c r="E7" s="368"/>
      <c r="F7" s="607" t="s">
        <v>137</v>
      </c>
      <c r="G7" s="607"/>
      <c r="H7" s="607"/>
      <c r="I7" s="607"/>
      <c r="J7" s="607"/>
      <c r="K7" s="607"/>
      <c r="L7" s="607"/>
      <c r="M7" s="607"/>
      <c r="N7" s="607"/>
      <c r="O7" s="607"/>
      <c r="P7" s="607"/>
      <c r="Q7" s="607"/>
      <c r="R7" s="607"/>
      <c r="S7" s="607"/>
      <c r="T7" s="607"/>
      <c r="U7" s="607"/>
      <c r="V7" s="607"/>
      <c r="W7" s="369"/>
      <c r="X7" s="604" t="s">
        <v>138</v>
      </c>
      <c r="Y7" s="604"/>
    </row>
    <row r="8" spans="1:25" s="367" customFormat="1" ht="36" customHeight="1" x14ac:dyDescent="0.2">
      <c r="A8" s="98"/>
      <c r="B8" s="602"/>
      <c r="C8" s="602"/>
      <c r="D8" s="605"/>
      <c r="E8" s="370"/>
      <c r="F8" s="607" t="s">
        <v>110</v>
      </c>
      <c r="G8" s="607"/>
      <c r="H8" s="368"/>
      <c r="I8" s="607" t="s">
        <v>109</v>
      </c>
      <c r="J8" s="607"/>
      <c r="K8" s="371"/>
      <c r="L8" s="607" t="s">
        <v>115</v>
      </c>
      <c r="M8" s="607"/>
      <c r="N8" s="371"/>
      <c r="O8" s="607" t="s">
        <v>116</v>
      </c>
      <c r="P8" s="607"/>
      <c r="Q8" s="372"/>
      <c r="R8" s="607" t="s">
        <v>108</v>
      </c>
      <c r="S8" s="607"/>
      <c r="T8" s="373"/>
      <c r="U8" s="607" t="s">
        <v>107</v>
      </c>
      <c r="V8" s="607"/>
      <c r="W8" s="374"/>
      <c r="X8" s="606"/>
      <c r="Y8" s="606"/>
    </row>
    <row r="9" spans="1:25" s="367" customFormat="1" ht="15" customHeight="1" x14ac:dyDescent="0.2">
      <c r="A9" s="99"/>
      <c r="B9" s="603"/>
      <c r="C9" s="603"/>
      <c r="D9" s="606"/>
      <c r="E9" s="375"/>
      <c r="F9" s="105" t="s">
        <v>13</v>
      </c>
      <c r="G9" s="105" t="s">
        <v>14</v>
      </c>
      <c r="H9" s="375"/>
      <c r="I9" s="105" t="s">
        <v>13</v>
      </c>
      <c r="J9" s="105" t="s">
        <v>14</v>
      </c>
      <c r="K9" s="376"/>
      <c r="L9" s="105" t="s">
        <v>13</v>
      </c>
      <c r="M9" s="105" t="s">
        <v>14</v>
      </c>
      <c r="N9" s="376"/>
      <c r="O9" s="105" t="s">
        <v>13</v>
      </c>
      <c r="P9" s="105" t="s">
        <v>14</v>
      </c>
      <c r="Q9" s="377"/>
      <c r="R9" s="105" t="s">
        <v>13</v>
      </c>
      <c r="S9" s="105" t="s">
        <v>14</v>
      </c>
      <c r="T9" s="377"/>
      <c r="U9" s="105" t="s">
        <v>13</v>
      </c>
      <c r="V9" s="105" t="s">
        <v>14</v>
      </c>
      <c r="W9" s="377"/>
      <c r="X9" s="105" t="s">
        <v>13</v>
      </c>
      <c r="Y9" s="105" t="s">
        <v>14</v>
      </c>
    </row>
    <row r="10" spans="1:25" s="367" customFormat="1" ht="6" customHeight="1" x14ac:dyDescent="0.2">
      <c r="A10" s="100"/>
      <c r="B10" s="378"/>
      <c r="C10" s="378"/>
      <c r="D10" s="379"/>
      <c r="E10" s="379"/>
      <c r="F10" s="379"/>
      <c r="G10" s="380"/>
      <c r="H10" s="380"/>
      <c r="I10" s="381"/>
      <c r="J10" s="382"/>
      <c r="K10" s="382"/>
      <c r="L10" s="382"/>
      <c r="M10" s="382"/>
      <c r="N10" s="382"/>
      <c r="O10" s="382"/>
      <c r="P10" s="382"/>
    </row>
    <row r="11" spans="1:25" s="385" customFormat="1" ht="12.75" customHeight="1" x14ac:dyDescent="0.2">
      <c r="A11" s="101"/>
      <c r="B11" s="106" t="s">
        <v>5</v>
      </c>
      <c r="C11" s="383"/>
      <c r="D11" s="159">
        <v>34855919.813209198</v>
      </c>
      <c r="E11" s="384"/>
      <c r="F11" s="159">
        <v>14126892.1928242</v>
      </c>
      <c r="G11" s="159">
        <v>40.263537472199999</v>
      </c>
      <c r="H11" s="384"/>
      <c r="I11" s="159">
        <v>5582133.5340568796</v>
      </c>
      <c r="J11" s="159">
        <v>15.8713264708</v>
      </c>
      <c r="K11" s="50"/>
      <c r="L11" s="159">
        <v>5072408.49808951</v>
      </c>
      <c r="M11" s="159">
        <v>14.4146677318</v>
      </c>
      <c r="N11" s="384"/>
      <c r="O11" s="159">
        <v>15310717.2483676</v>
      </c>
      <c r="P11" s="159">
        <v>43.640429198600003</v>
      </c>
      <c r="Q11" s="384"/>
      <c r="R11" s="159">
        <v>3614835.5073778299</v>
      </c>
      <c r="S11" s="159">
        <v>10.273469498000001</v>
      </c>
      <c r="T11" s="51"/>
      <c r="U11" s="159">
        <v>2692069.6272225799</v>
      </c>
      <c r="V11" s="159">
        <v>7.6444529998000004</v>
      </c>
      <c r="X11" s="159">
        <v>13495511.3782316</v>
      </c>
      <c r="Y11" s="159">
        <v>38.412148769600002</v>
      </c>
    </row>
    <row r="12" spans="1:25" s="385" customFormat="1" ht="6" customHeight="1" x14ac:dyDescent="0.2">
      <c r="A12" s="102"/>
      <c r="B12" s="107"/>
      <c r="C12" s="383"/>
      <c r="D12" s="95"/>
      <c r="E12" s="384"/>
      <c r="F12" s="95"/>
      <c r="G12" s="96"/>
      <c r="H12" s="384"/>
      <c r="I12" s="95"/>
      <c r="J12" s="96"/>
      <c r="K12" s="50"/>
      <c r="L12" s="95"/>
      <c r="M12" s="96"/>
      <c r="N12" s="384"/>
      <c r="O12" s="95"/>
      <c r="P12" s="96"/>
      <c r="Q12" s="384"/>
      <c r="R12" s="95"/>
      <c r="S12" s="96"/>
      <c r="T12" s="50"/>
      <c r="U12" s="95"/>
      <c r="V12" s="96"/>
      <c r="X12" s="95"/>
      <c r="Y12" s="96"/>
    </row>
    <row r="13" spans="1:25" s="367" customFormat="1" ht="12.75" customHeight="1" x14ac:dyDescent="0.2">
      <c r="A13" s="102"/>
      <c r="B13" s="13" t="s">
        <v>26</v>
      </c>
      <c r="C13" s="386"/>
      <c r="D13" s="160">
        <v>372194.10329856101</v>
      </c>
      <c r="E13" s="387"/>
      <c r="F13" s="160">
        <v>90977.452683407595</v>
      </c>
      <c r="G13" s="160">
        <v>23.8978398221</v>
      </c>
      <c r="H13" s="387"/>
      <c r="I13" s="160">
        <v>28019.0428371542</v>
      </c>
      <c r="J13" s="160">
        <v>7.3682557763999998</v>
      </c>
      <c r="K13" s="50"/>
      <c r="L13" s="160">
        <v>22923.9371807442</v>
      </c>
      <c r="M13" s="160">
        <v>5.9634004988999996</v>
      </c>
      <c r="N13" s="387"/>
      <c r="O13" s="160">
        <v>110797.474044724</v>
      </c>
      <c r="P13" s="160">
        <v>29.133396993800002</v>
      </c>
      <c r="Q13" s="387"/>
      <c r="R13" s="160">
        <v>13947.088075817701</v>
      </c>
      <c r="S13" s="160">
        <v>3.6420619388</v>
      </c>
      <c r="T13" s="52"/>
      <c r="U13" s="160">
        <v>18597.728411518099</v>
      </c>
      <c r="V13" s="160">
        <v>4.8553633170000001</v>
      </c>
      <c r="X13" s="160">
        <v>200245.91163816501</v>
      </c>
      <c r="Y13" s="160">
        <v>52.062213676799999</v>
      </c>
    </row>
    <row r="14" spans="1:25" s="367" customFormat="1" ht="12.75" customHeight="1" x14ac:dyDescent="0.2">
      <c r="A14" s="102"/>
      <c r="B14" s="13" t="s">
        <v>27</v>
      </c>
      <c r="C14" s="386"/>
      <c r="D14" s="160">
        <v>1094323.1287738399</v>
      </c>
      <c r="E14" s="387"/>
      <c r="F14" s="160">
        <v>362623.36315554398</v>
      </c>
      <c r="G14" s="160">
        <v>32.278236859000003</v>
      </c>
      <c r="H14" s="387"/>
      <c r="I14" s="160">
        <v>199588.415389439</v>
      </c>
      <c r="J14" s="160">
        <v>17.6109983449</v>
      </c>
      <c r="K14" s="50"/>
      <c r="L14" s="160">
        <v>174758.600327122</v>
      </c>
      <c r="M14" s="160">
        <v>15.4735345674</v>
      </c>
      <c r="N14" s="387"/>
      <c r="O14" s="160">
        <v>313536.22593487002</v>
      </c>
      <c r="P14" s="160">
        <v>27.637519294299999</v>
      </c>
      <c r="Q14" s="387"/>
      <c r="R14" s="160">
        <v>109513.276146973</v>
      </c>
      <c r="S14" s="160">
        <v>9.6467586918000006</v>
      </c>
      <c r="T14" s="52"/>
      <c r="U14" s="160">
        <v>104905.587553641</v>
      </c>
      <c r="V14" s="160">
        <v>9.1981857082000005</v>
      </c>
      <c r="X14" s="160">
        <v>504446.58422062302</v>
      </c>
      <c r="Y14" s="160">
        <v>44.710061622799998</v>
      </c>
    </row>
    <row r="15" spans="1:25" s="367" customFormat="1" ht="12.75" customHeight="1" x14ac:dyDescent="0.2">
      <c r="A15" s="99"/>
      <c r="B15" s="13" t="s">
        <v>28</v>
      </c>
      <c r="C15" s="386"/>
      <c r="D15" s="160">
        <v>227749.62097325901</v>
      </c>
      <c r="E15" s="387"/>
      <c r="F15" s="160">
        <v>78379.102850080904</v>
      </c>
      <c r="G15" s="160">
        <v>32.439115489999999</v>
      </c>
      <c r="H15" s="387"/>
      <c r="I15" s="160">
        <v>31194.525311775498</v>
      </c>
      <c r="J15" s="160">
        <v>13.177322521100001</v>
      </c>
      <c r="K15" s="50"/>
      <c r="L15" s="160">
        <v>18666.502606228001</v>
      </c>
      <c r="M15" s="160">
        <v>7.8341936816000004</v>
      </c>
      <c r="N15" s="387"/>
      <c r="O15" s="160">
        <v>82469.9387242753</v>
      </c>
      <c r="P15" s="160">
        <v>34.577810662399997</v>
      </c>
      <c r="Q15" s="387"/>
      <c r="R15" s="160">
        <v>15349.693051038001</v>
      </c>
      <c r="S15" s="160">
        <v>6.5133451309000003</v>
      </c>
      <c r="T15" s="52"/>
      <c r="U15" s="160">
        <v>13552.091897661399</v>
      </c>
      <c r="V15" s="160">
        <v>5.6468996329000003</v>
      </c>
      <c r="X15" s="160">
        <v>101311.172748153</v>
      </c>
      <c r="Y15" s="160">
        <v>43.325568246400003</v>
      </c>
    </row>
    <row r="16" spans="1:25" s="367" customFormat="1" ht="12.75" customHeight="1" x14ac:dyDescent="0.2">
      <c r="A16" s="99"/>
      <c r="B16" s="13" t="s">
        <v>29</v>
      </c>
      <c r="C16" s="386"/>
      <c r="D16" s="160">
        <v>241346.958106228</v>
      </c>
      <c r="E16" s="387"/>
      <c r="F16" s="160">
        <v>122355.637694046</v>
      </c>
      <c r="G16" s="160">
        <v>49.1295686395</v>
      </c>
      <c r="H16" s="387"/>
      <c r="I16" s="160">
        <v>75490.767726003105</v>
      </c>
      <c r="J16" s="160">
        <v>30.241402534799999</v>
      </c>
      <c r="K16" s="50"/>
      <c r="L16" s="160">
        <v>60831.434201331504</v>
      </c>
      <c r="M16" s="160">
        <v>24.402301659599999</v>
      </c>
      <c r="N16" s="387"/>
      <c r="O16" s="160">
        <v>151750.07909437999</v>
      </c>
      <c r="P16" s="160">
        <v>61.422000395600001</v>
      </c>
      <c r="Q16" s="387"/>
      <c r="R16" s="160">
        <v>49928.4958926127</v>
      </c>
      <c r="S16" s="160">
        <v>19.768459138899999</v>
      </c>
      <c r="T16" s="52"/>
      <c r="U16" s="160">
        <v>29231.622632013201</v>
      </c>
      <c r="V16" s="160">
        <v>11.5795040644</v>
      </c>
      <c r="X16" s="160">
        <v>50228.481755221197</v>
      </c>
      <c r="Y16" s="160">
        <v>19.713660403399999</v>
      </c>
    </row>
    <row r="17" spans="1:25" s="367" customFormat="1" ht="12.75" customHeight="1" x14ac:dyDescent="0.2">
      <c r="A17" s="99"/>
      <c r="B17" s="13" t="s">
        <v>30</v>
      </c>
      <c r="C17" s="386"/>
      <c r="D17" s="128">
        <v>873188.10795798199</v>
      </c>
      <c r="E17" s="387"/>
      <c r="F17" s="128">
        <v>284430.56732478802</v>
      </c>
      <c r="G17" s="128">
        <v>31.8232309984</v>
      </c>
      <c r="H17" s="387"/>
      <c r="I17" s="128">
        <v>129367.25776055</v>
      </c>
      <c r="J17" s="128">
        <v>14.4548114623</v>
      </c>
      <c r="K17" s="50"/>
      <c r="L17" s="128">
        <v>82300.695012614</v>
      </c>
      <c r="M17" s="128">
        <v>9.0915777976999994</v>
      </c>
      <c r="N17" s="387"/>
      <c r="O17" s="128">
        <v>307130.39029369998</v>
      </c>
      <c r="P17" s="128">
        <v>34.269313634900001</v>
      </c>
      <c r="Q17" s="387"/>
      <c r="R17" s="128">
        <v>71586.410520099496</v>
      </c>
      <c r="S17" s="128">
        <v>7.8961194628999998</v>
      </c>
      <c r="T17" s="53"/>
      <c r="U17" s="128">
        <v>76303.016941035705</v>
      </c>
      <c r="V17" s="128">
        <v>8.4694810157999996</v>
      </c>
      <c r="X17" s="128">
        <v>386080.96859357599</v>
      </c>
      <c r="Y17" s="128">
        <v>42.972683273800001</v>
      </c>
    </row>
    <row r="18" spans="1:25" s="367" customFormat="1" ht="12.75" customHeight="1" x14ac:dyDescent="0.2">
      <c r="A18" s="103"/>
      <c r="B18" s="13" t="s">
        <v>31</v>
      </c>
      <c r="C18" s="386"/>
      <c r="D18" s="128">
        <v>215342.98131561599</v>
      </c>
      <c r="E18" s="387"/>
      <c r="F18" s="128">
        <v>62425.838250766297</v>
      </c>
      <c r="G18" s="128">
        <v>27.8443297026</v>
      </c>
      <c r="H18" s="387"/>
      <c r="I18" s="128">
        <v>19026.939312697799</v>
      </c>
      <c r="J18" s="128">
        <v>8.4159995328000008</v>
      </c>
      <c r="K18" s="50"/>
      <c r="L18" s="128">
        <v>16369.929674045399</v>
      </c>
      <c r="M18" s="128">
        <v>7.1922946059999999</v>
      </c>
      <c r="N18" s="387"/>
      <c r="O18" s="128">
        <v>81660.042070252603</v>
      </c>
      <c r="P18" s="128">
        <v>36.679219135399997</v>
      </c>
      <c r="Q18" s="387"/>
      <c r="R18" s="128">
        <v>11267.9434632055</v>
      </c>
      <c r="S18" s="128">
        <v>4.9266800674000004</v>
      </c>
      <c r="T18" s="53"/>
      <c r="U18" s="128">
        <v>15277.3893465128</v>
      </c>
      <c r="V18" s="128">
        <v>6.7530065538999997</v>
      </c>
      <c r="X18" s="128">
        <v>99178.581842388696</v>
      </c>
      <c r="Y18" s="128">
        <v>44.322649796699999</v>
      </c>
    </row>
    <row r="19" spans="1:25" s="367" customFormat="1" ht="12.75" customHeight="1" x14ac:dyDescent="0.2">
      <c r="A19" s="103"/>
      <c r="B19" s="13" t="s">
        <v>32</v>
      </c>
      <c r="C19" s="386"/>
      <c r="D19" s="160">
        <v>1307775.79723661</v>
      </c>
      <c r="E19" s="387"/>
      <c r="F19" s="160">
        <v>691696.389890444</v>
      </c>
      <c r="G19" s="160">
        <v>51.432891984699999</v>
      </c>
      <c r="H19" s="387"/>
      <c r="I19" s="160">
        <v>330861.60740044201</v>
      </c>
      <c r="J19" s="160">
        <v>24.2850407866</v>
      </c>
      <c r="K19" s="50"/>
      <c r="L19" s="160">
        <v>319758.07674795302</v>
      </c>
      <c r="M19" s="160">
        <v>23.2670529665</v>
      </c>
      <c r="N19" s="387"/>
      <c r="O19" s="160">
        <v>751403.60698108596</v>
      </c>
      <c r="P19" s="160">
        <v>55.4544219203</v>
      </c>
      <c r="Q19" s="387"/>
      <c r="R19" s="160">
        <v>271781.38075018802</v>
      </c>
      <c r="S19" s="160">
        <v>19.826003233400002</v>
      </c>
      <c r="T19" s="52"/>
      <c r="U19" s="160">
        <v>90339.121081007703</v>
      </c>
      <c r="V19" s="160">
        <v>6.4398889197999996</v>
      </c>
      <c r="X19" s="160">
        <v>293434.795274537</v>
      </c>
      <c r="Y19" s="160">
        <v>21.2304463772</v>
      </c>
    </row>
    <row r="20" spans="1:25" s="367" customFormat="1" ht="12.75" customHeight="1" x14ac:dyDescent="0.2">
      <c r="A20" s="104"/>
      <c r="B20" s="13" t="s">
        <v>33</v>
      </c>
      <c r="C20" s="386"/>
      <c r="D20" s="160">
        <v>1106672.0927464101</v>
      </c>
      <c r="E20" s="387"/>
      <c r="F20" s="160">
        <v>339777.66411104897</v>
      </c>
      <c r="G20" s="160">
        <v>29.988719549999999</v>
      </c>
      <c r="H20" s="387"/>
      <c r="I20" s="160">
        <v>122598.034119381</v>
      </c>
      <c r="J20" s="160">
        <v>10.806133236000001</v>
      </c>
      <c r="K20" s="50"/>
      <c r="L20" s="160">
        <v>106827.034551858</v>
      </c>
      <c r="M20" s="160">
        <v>9.3736221185000002</v>
      </c>
      <c r="N20" s="387"/>
      <c r="O20" s="160">
        <v>280010.301583094</v>
      </c>
      <c r="P20" s="160">
        <v>24.6950912418</v>
      </c>
      <c r="Q20" s="387"/>
      <c r="R20" s="160">
        <v>67978.714607434493</v>
      </c>
      <c r="S20" s="160">
        <v>5.9791513843999997</v>
      </c>
      <c r="T20" s="52"/>
      <c r="U20" s="160">
        <v>53966.101551868</v>
      </c>
      <c r="V20" s="160">
        <v>4.7267646672000003</v>
      </c>
      <c r="X20" s="160">
        <v>572061.23700623994</v>
      </c>
      <c r="Y20" s="160">
        <v>50.583966972100001</v>
      </c>
    </row>
    <row r="21" spans="1:25" s="367" customFormat="1" ht="12.75" customHeight="1" x14ac:dyDescent="0.2">
      <c r="A21" s="104"/>
      <c r="B21" s="13" t="s">
        <v>34</v>
      </c>
      <c r="C21" s="386"/>
      <c r="D21" s="160">
        <v>2637127.6507512201</v>
      </c>
      <c r="E21" s="387"/>
      <c r="F21" s="160">
        <v>736401.28141574503</v>
      </c>
      <c r="G21" s="160">
        <v>27.262110475099998</v>
      </c>
      <c r="H21" s="387"/>
      <c r="I21" s="160">
        <v>272992.16983844602</v>
      </c>
      <c r="J21" s="160">
        <v>10.0661910701</v>
      </c>
      <c r="K21" s="50"/>
      <c r="L21" s="160">
        <v>245910.794041724</v>
      </c>
      <c r="M21" s="160">
        <v>9.0653549261999995</v>
      </c>
      <c r="N21" s="387"/>
      <c r="O21" s="160">
        <v>815190.57352186402</v>
      </c>
      <c r="P21" s="160">
        <v>30.245560719899999</v>
      </c>
      <c r="Q21" s="387"/>
      <c r="R21" s="160">
        <v>151824.237428305</v>
      </c>
      <c r="S21" s="160">
        <v>5.6064709301000004</v>
      </c>
      <c r="T21" s="52"/>
      <c r="U21" s="160">
        <v>159792.89833839799</v>
      </c>
      <c r="V21" s="160">
        <v>5.8939473861999998</v>
      </c>
      <c r="X21" s="160">
        <v>1308935.9523142299</v>
      </c>
      <c r="Y21" s="160">
        <v>48.573828916899998</v>
      </c>
    </row>
    <row r="22" spans="1:25" s="367" customFormat="1" ht="12.75" customHeight="1" x14ac:dyDescent="0.2">
      <c r="A22" s="104"/>
      <c r="B22" s="13" t="s">
        <v>35</v>
      </c>
      <c r="C22" s="386"/>
      <c r="D22" s="160">
        <v>479890.75585837202</v>
      </c>
      <c r="E22" s="387"/>
      <c r="F22" s="160">
        <v>214251.75336484</v>
      </c>
      <c r="G22" s="160">
        <v>43.703501341900001</v>
      </c>
      <c r="H22" s="387"/>
      <c r="I22" s="160">
        <v>85636.161343714906</v>
      </c>
      <c r="J22" s="160">
        <v>17.362499976900001</v>
      </c>
      <c r="K22" s="50"/>
      <c r="L22" s="160">
        <v>61456.244088295301</v>
      </c>
      <c r="M22" s="160">
        <v>12.3966610465</v>
      </c>
      <c r="N22" s="387"/>
      <c r="O22" s="160">
        <v>188369.90409940301</v>
      </c>
      <c r="P22" s="160">
        <v>38.186131042600003</v>
      </c>
      <c r="Q22" s="387"/>
      <c r="R22" s="160">
        <v>60484.453915124999</v>
      </c>
      <c r="S22" s="160">
        <v>12.23635226</v>
      </c>
      <c r="T22" s="52"/>
      <c r="U22" s="160">
        <v>35721.761097463102</v>
      </c>
      <c r="V22" s="160">
        <v>7.1283257744000004</v>
      </c>
      <c r="X22" s="160">
        <v>168940.65735267199</v>
      </c>
      <c r="Y22" s="160">
        <v>34.244961056999998</v>
      </c>
    </row>
    <row r="23" spans="1:25" s="367" customFormat="1" ht="12.75" customHeight="1" x14ac:dyDescent="0.2">
      <c r="A23" s="104"/>
      <c r="B23" s="13" t="s">
        <v>36</v>
      </c>
      <c r="C23" s="386"/>
      <c r="D23" s="160">
        <v>1521466.9196536599</v>
      </c>
      <c r="E23" s="387"/>
      <c r="F23" s="160">
        <v>570393.58647631004</v>
      </c>
      <c r="G23" s="160">
        <v>36.384205442199999</v>
      </c>
      <c r="H23" s="387"/>
      <c r="I23" s="160">
        <v>168184.04041310301</v>
      </c>
      <c r="J23" s="160">
        <v>10.6392020525</v>
      </c>
      <c r="K23" s="50"/>
      <c r="L23" s="160">
        <v>204947.76716454999</v>
      </c>
      <c r="M23" s="160">
        <v>12.9670447298</v>
      </c>
      <c r="N23" s="387"/>
      <c r="O23" s="160">
        <v>595532.42204337695</v>
      </c>
      <c r="P23" s="160">
        <v>37.839061668699998</v>
      </c>
      <c r="Q23" s="387"/>
      <c r="R23" s="160">
        <v>92895.312287665802</v>
      </c>
      <c r="S23" s="160">
        <v>5.8484647114000001</v>
      </c>
      <c r="T23" s="52"/>
      <c r="U23" s="160">
        <v>97796.2937582671</v>
      </c>
      <c r="V23" s="160">
        <v>6.2028829963999996</v>
      </c>
      <c r="X23" s="160">
        <v>624975.79884307901</v>
      </c>
      <c r="Y23" s="160">
        <v>40.084212371699998</v>
      </c>
    </row>
    <row r="24" spans="1:25" s="367" customFormat="1" ht="12.75" customHeight="1" x14ac:dyDescent="0.2">
      <c r="A24" s="104"/>
      <c r="B24" s="13" t="s">
        <v>37</v>
      </c>
      <c r="C24" s="386"/>
      <c r="D24" s="160">
        <v>891088.45772531198</v>
      </c>
      <c r="E24" s="387"/>
      <c r="F24" s="160">
        <v>403448.73440474801</v>
      </c>
      <c r="G24" s="160">
        <v>43.730136149000003</v>
      </c>
      <c r="H24" s="387"/>
      <c r="I24" s="160">
        <v>167351.844046029</v>
      </c>
      <c r="J24" s="160">
        <v>18.013829785799999</v>
      </c>
      <c r="K24" s="50"/>
      <c r="L24" s="160">
        <v>192225.16175980799</v>
      </c>
      <c r="M24" s="160">
        <v>20.733913261800001</v>
      </c>
      <c r="N24" s="387"/>
      <c r="O24" s="160">
        <v>496308.28585818701</v>
      </c>
      <c r="P24" s="160">
        <v>53.7640319116</v>
      </c>
      <c r="Q24" s="387"/>
      <c r="R24" s="160">
        <v>110257.556226545</v>
      </c>
      <c r="S24" s="160">
        <v>11.781218833300001</v>
      </c>
      <c r="T24" s="52"/>
      <c r="U24" s="160">
        <v>49420.631345571303</v>
      </c>
      <c r="V24" s="160">
        <v>5.2902979100999996</v>
      </c>
      <c r="X24" s="160">
        <v>236790.32386226099</v>
      </c>
      <c r="Y24" s="160">
        <v>25.7401554942</v>
      </c>
    </row>
    <row r="25" spans="1:25" s="367" customFormat="1" ht="12.75" customHeight="1" x14ac:dyDescent="0.2">
      <c r="A25" s="104"/>
      <c r="B25" s="13" t="s">
        <v>38</v>
      </c>
      <c r="C25" s="386"/>
      <c r="D25" s="160">
        <v>816896.76724279101</v>
      </c>
      <c r="E25" s="387"/>
      <c r="F25" s="160">
        <v>345295.40300678002</v>
      </c>
      <c r="G25" s="160">
        <v>41.068368259499998</v>
      </c>
      <c r="H25" s="387"/>
      <c r="I25" s="160">
        <v>119793.224335576</v>
      </c>
      <c r="J25" s="160">
        <v>14.1289179246</v>
      </c>
      <c r="K25" s="50"/>
      <c r="L25" s="160">
        <v>108861.14053151901</v>
      </c>
      <c r="M25" s="160">
        <v>12.838351898499999</v>
      </c>
      <c r="N25" s="387"/>
      <c r="O25" s="160">
        <v>361775.61464370298</v>
      </c>
      <c r="P25" s="160">
        <v>43.162591857000002</v>
      </c>
      <c r="Q25" s="387"/>
      <c r="R25" s="160">
        <v>69705.730181380102</v>
      </c>
      <c r="S25" s="160">
        <v>8.1770274584999996</v>
      </c>
      <c r="T25" s="52"/>
      <c r="U25" s="160">
        <v>61277.953415227901</v>
      </c>
      <c r="V25" s="160">
        <v>7.2279120192999997</v>
      </c>
      <c r="X25" s="160">
        <v>281901.08182796498</v>
      </c>
      <c r="Y25" s="160">
        <v>33.394087002299997</v>
      </c>
    </row>
    <row r="26" spans="1:25" s="367" customFormat="1" ht="12.75" customHeight="1" x14ac:dyDescent="0.2">
      <c r="A26" s="104"/>
      <c r="B26" s="13" t="s">
        <v>39</v>
      </c>
      <c r="C26" s="386"/>
      <c r="D26" s="160">
        <v>2214619.12347756</v>
      </c>
      <c r="E26" s="387"/>
      <c r="F26" s="160">
        <v>568319.48939752905</v>
      </c>
      <c r="G26" s="160">
        <v>24.981243563</v>
      </c>
      <c r="H26" s="387"/>
      <c r="I26" s="160">
        <v>198819.67555056201</v>
      </c>
      <c r="J26" s="160">
        <v>8.6893542339999996</v>
      </c>
      <c r="K26" s="50"/>
      <c r="L26" s="160">
        <v>192989.355898696</v>
      </c>
      <c r="M26" s="160">
        <v>8.4731629284000007</v>
      </c>
      <c r="N26" s="387"/>
      <c r="O26" s="160">
        <v>808939.11690448201</v>
      </c>
      <c r="P26" s="160">
        <v>35.732189916800003</v>
      </c>
      <c r="Q26" s="387"/>
      <c r="R26" s="160">
        <v>112938.437179539</v>
      </c>
      <c r="S26" s="160">
        <v>4.9431074392000003</v>
      </c>
      <c r="T26" s="52"/>
      <c r="U26" s="160">
        <v>175052.320648739</v>
      </c>
      <c r="V26" s="160">
        <v>7.6879857767999997</v>
      </c>
      <c r="X26" s="160">
        <v>1053694.90934698</v>
      </c>
      <c r="Y26" s="160">
        <v>46.0779325755</v>
      </c>
    </row>
    <row r="27" spans="1:25" s="367" customFormat="1" ht="12.75" customHeight="1" x14ac:dyDescent="0.2">
      <c r="A27" s="104"/>
      <c r="B27" s="13" t="s">
        <v>40</v>
      </c>
      <c r="C27" s="386"/>
      <c r="D27" s="160">
        <v>4367842.1895668004</v>
      </c>
      <c r="E27" s="387"/>
      <c r="F27" s="160">
        <v>1631834.1613441701</v>
      </c>
      <c r="G27" s="160">
        <v>36.354669559000001</v>
      </c>
      <c r="H27" s="387"/>
      <c r="I27" s="160">
        <v>491406.66542583302</v>
      </c>
      <c r="J27" s="160">
        <v>10.7958620289</v>
      </c>
      <c r="K27" s="50"/>
      <c r="L27" s="160">
        <v>505531.00083271298</v>
      </c>
      <c r="M27" s="160">
        <v>11.016680475699999</v>
      </c>
      <c r="N27" s="387"/>
      <c r="O27" s="160">
        <v>1606664.5761931499</v>
      </c>
      <c r="P27" s="160">
        <v>35.828702696599997</v>
      </c>
      <c r="Q27" s="387"/>
      <c r="R27" s="160">
        <v>264240.71486300702</v>
      </c>
      <c r="S27" s="160">
        <v>5.8280188009999998</v>
      </c>
      <c r="T27" s="52"/>
      <c r="U27" s="160">
        <v>273521.26015690097</v>
      </c>
      <c r="V27" s="160">
        <v>5.9480730820999996</v>
      </c>
      <c r="X27" s="160">
        <v>1821779.12617433</v>
      </c>
      <c r="Y27" s="160">
        <v>40.165695175899998</v>
      </c>
    </row>
    <row r="28" spans="1:25" s="367" customFormat="1" ht="12.75" customHeight="1" x14ac:dyDescent="0.2">
      <c r="A28" s="104"/>
      <c r="B28" s="13" t="s">
        <v>41</v>
      </c>
      <c r="C28" s="386"/>
      <c r="D28" s="160">
        <v>1209066.2014425499</v>
      </c>
      <c r="E28" s="387"/>
      <c r="F28" s="160">
        <v>480477.70043470699</v>
      </c>
      <c r="G28" s="160">
        <v>38.199983537599998</v>
      </c>
      <c r="H28" s="387"/>
      <c r="I28" s="160">
        <v>167681.95668002701</v>
      </c>
      <c r="J28" s="160">
        <v>13.3485801742</v>
      </c>
      <c r="K28" s="50"/>
      <c r="L28" s="160">
        <v>177208.138627204</v>
      </c>
      <c r="M28" s="160">
        <v>14.0253605257</v>
      </c>
      <c r="N28" s="387"/>
      <c r="O28" s="160">
        <v>560644.85255359998</v>
      </c>
      <c r="P28" s="160">
        <v>44.968678065500001</v>
      </c>
      <c r="Q28" s="387"/>
      <c r="R28" s="160">
        <v>95564.092625671299</v>
      </c>
      <c r="S28" s="160">
        <v>7.5121607369000003</v>
      </c>
      <c r="T28" s="52"/>
      <c r="U28" s="160">
        <v>102369.205927303</v>
      </c>
      <c r="V28" s="160">
        <v>8.0030112990000006</v>
      </c>
      <c r="X28" s="160">
        <v>419088.69914916699</v>
      </c>
      <c r="Y28" s="160">
        <v>33.387463754199999</v>
      </c>
    </row>
    <row r="29" spans="1:25" s="367" customFormat="1" ht="12.75" customHeight="1" x14ac:dyDescent="0.2">
      <c r="A29" s="104"/>
      <c r="B29" s="13" t="s">
        <v>42</v>
      </c>
      <c r="C29" s="386"/>
      <c r="D29" s="160">
        <v>543030.77389932098</v>
      </c>
      <c r="E29" s="387"/>
      <c r="F29" s="160">
        <v>247219.388827419</v>
      </c>
      <c r="G29" s="160">
        <v>44.722750043399998</v>
      </c>
      <c r="H29" s="387"/>
      <c r="I29" s="160">
        <v>75408.772665670796</v>
      </c>
      <c r="J29" s="160">
        <v>13.3912639199</v>
      </c>
      <c r="K29" s="50"/>
      <c r="L29" s="160">
        <v>78665.945993962698</v>
      </c>
      <c r="M29" s="160">
        <v>13.9151043964</v>
      </c>
      <c r="N29" s="387"/>
      <c r="O29" s="160">
        <v>264118.81388938101</v>
      </c>
      <c r="P29" s="160">
        <v>47.129286371699997</v>
      </c>
      <c r="Q29" s="387"/>
      <c r="R29" s="160">
        <v>47570.944477320598</v>
      </c>
      <c r="S29" s="160">
        <v>8.4833935232000002</v>
      </c>
      <c r="T29" s="52"/>
      <c r="U29" s="160">
        <v>31653.587384737199</v>
      </c>
      <c r="V29" s="160">
        <v>5.5618934264000002</v>
      </c>
      <c r="X29" s="160">
        <v>180842.531640492</v>
      </c>
      <c r="Y29" s="160">
        <v>31.679705265199999</v>
      </c>
    </row>
    <row r="30" spans="1:25" s="367" customFormat="1" ht="12.75" customHeight="1" x14ac:dyDescent="0.2">
      <c r="A30" s="104"/>
      <c r="B30" s="13" t="s">
        <v>43</v>
      </c>
      <c r="C30" s="386"/>
      <c r="D30" s="160">
        <v>343386.664223017</v>
      </c>
      <c r="E30" s="387"/>
      <c r="F30" s="160">
        <v>117330.146306504</v>
      </c>
      <c r="G30" s="160">
        <v>33.177095164800001</v>
      </c>
      <c r="H30" s="387"/>
      <c r="I30" s="160">
        <v>49712.332950098702</v>
      </c>
      <c r="J30" s="160">
        <v>13.8883620153</v>
      </c>
      <c r="K30" s="50"/>
      <c r="L30" s="160">
        <v>36080.987857544504</v>
      </c>
      <c r="M30" s="160">
        <v>10.0733507104</v>
      </c>
      <c r="N30" s="387"/>
      <c r="O30" s="160">
        <v>149507.10005563099</v>
      </c>
      <c r="P30" s="160">
        <v>42.363054022299998</v>
      </c>
      <c r="Q30" s="387"/>
      <c r="R30" s="160">
        <v>25838.749852667901</v>
      </c>
      <c r="S30" s="160">
        <v>7.1782508380000003</v>
      </c>
      <c r="T30" s="52"/>
      <c r="U30" s="160">
        <v>14865.176577408</v>
      </c>
      <c r="V30" s="160">
        <v>4.1607681881999996</v>
      </c>
      <c r="X30" s="160">
        <v>134612.12421690699</v>
      </c>
      <c r="Y30" s="160">
        <v>37.872454628600003</v>
      </c>
    </row>
    <row r="31" spans="1:25" s="367" customFormat="1" ht="12.75" customHeight="1" x14ac:dyDescent="0.2">
      <c r="A31" s="104"/>
      <c r="B31" s="13" t="s">
        <v>44</v>
      </c>
      <c r="C31" s="386"/>
      <c r="D31" s="160">
        <v>1584392.1221822</v>
      </c>
      <c r="E31" s="387"/>
      <c r="F31" s="160">
        <v>530767.01524825802</v>
      </c>
      <c r="G31" s="160">
        <v>32.073041350300002</v>
      </c>
      <c r="H31" s="387"/>
      <c r="I31" s="160">
        <v>174720.242849748</v>
      </c>
      <c r="J31" s="160">
        <v>10.6053117275</v>
      </c>
      <c r="K31" s="50"/>
      <c r="L31" s="160">
        <v>117825.024115566</v>
      </c>
      <c r="M31" s="160">
        <v>7.1829443747999999</v>
      </c>
      <c r="N31" s="387"/>
      <c r="O31" s="160">
        <v>565795.45576834201</v>
      </c>
      <c r="P31" s="160">
        <v>34.654559668799997</v>
      </c>
      <c r="Q31" s="387"/>
      <c r="R31" s="160">
        <v>78102.520576728304</v>
      </c>
      <c r="S31" s="160">
        <v>4.6862994896999997</v>
      </c>
      <c r="T31" s="52"/>
      <c r="U31" s="160">
        <v>132509.18668892101</v>
      </c>
      <c r="V31" s="160">
        <v>8.0239368208999995</v>
      </c>
      <c r="X31" s="160">
        <v>746737.10090173397</v>
      </c>
      <c r="Y31" s="160">
        <v>46.086801485499997</v>
      </c>
    </row>
    <row r="32" spans="1:25" s="367" customFormat="1" ht="12.75" customHeight="1" x14ac:dyDescent="0.2">
      <c r="A32" s="104"/>
      <c r="B32" s="13" t="s">
        <v>45</v>
      </c>
      <c r="C32" s="386"/>
      <c r="D32" s="160">
        <v>1033276.02380439</v>
      </c>
      <c r="E32" s="387"/>
      <c r="F32" s="160">
        <v>539865.70352249197</v>
      </c>
      <c r="G32" s="160">
        <v>50.859470991400002</v>
      </c>
      <c r="H32" s="387"/>
      <c r="I32" s="160">
        <v>218043.76860092601</v>
      </c>
      <c r="J32" s="160">
        <v>19.848310851899999</v>
      </c>
      <c r="K32" s="50"/>
      <c r="L32" s="160">
        <v>226506.84716656301</v>
      </c>
      <c r="M32" s="160">
        <v>20.977679908500001</v>
      </c>
      <c r="N32" s="387"/>
      <c r="O32" s="160">
        <v>532330.59644558595</v>
      </c>
      <c r="P32" s="160">
        <v>49.740307411099998</v>
      </c>
      <c r="Q32" s="387"/>
      <c r="R32" s="160">
        <v>156765.500314381</v>
      </c>
      <c r="S32" s="160">
        <v>14.251686143300001</v>
      </c>
      <c r="T32" s="52"/>
      <c r="U32" s="160">
        <v>41138.429142737201</v>
      </c>
      <c r="V32" s="160">
        <v>3.7977846425999999</v>
      </c>
      <c r="X32" s="160">
        <v>268413.49525099102</v>
      </c>
      <c r="Y32" s="160">
        <v>24.493269802299999</v>
      </c>
    </row>
    <row r="33" spans="1:25" s="367" customFormat="1" ht="12.75" customHeight="1" x14ac:dyDescent="0.2">
      <c r="A33" s="104"/>
      <c r="B33" s="13" t="s">
        <v>46</v>
      </c>
      <c r="C33" s="386"/>
      <c r="D33" s="160">
        <v>1616705.1047259199</v>
      </c>
      <c r="E33" s="387"/>
      <c r="F33" s="160">
        <v>759975.53628186905</v>
      </c>
      <c r="G33" s="160">
        <v>45.5376643333</v>
      </c>
      <c r="H33" s="387"/>
      <c r="I33" s="160">
        <v>211813.26988883101</v>
      </c>
      <c r="J33" s="160">
        <v>12.447009526</v>
      </c>
      <c r="K33" s="50"/>
      <c r="L33" s="160">
        <v>189092.12215777399</v>
      </c>
      <c r="M33" s="160">
        <v>11.1607895843</v>
      </c>
      <c r="N33" s="387"/>
      <c r="O33" s="160">
        <v>803989.46872087801</v>
      </c>
      <c r="P33" s="160">
        <v>47.923870149199999</v>
      </c>
      <c r="Q33" s="387"/>
      <c r="R33" s="160">
        <v>163646.21001910701</v>
      </c>
      <c r="S33" s="160">
        <v>9.5289298609999999</v>
      </c>
      <c r="T33" s="52"/>
      <c r="U33" s="160">
        <v>111101.448924923</v>
      </c>
      <c r="V33" s="160">
        <v>6.4996060909000004</v>
      </c>
      <c r="X33" s="160">
        <v>508843.69740217499</v>
      </c>
      <c r="Y33" s="160">
        <v>30.363215826099999</v>
      </c>
    </row>
    <row r="34" spans="1:25" s="367" customFormat="1" ht="12.75" customHeight="1" x14ac:dyDescent="0.2">
      <c r="A34" s="104"/>
      <c r="B34" s="13" t="s">
        <v>47</v>
      </c>
      <c r="C34" s="386"/>
      <c r="D34" s="160">
        <v>608432.00766038802</v>
      </c>
      <c r="E34" s="387"/>
      <c r="F34" s="160">
        <v>194203.95217610401</v>
      </c>
      <c r="G34" s="160">
        <v>30.3899695765</v>
      </c>
      <c r="H34" s="387"/>
      <c r="I34" s="160">
        <v>68596.160610784602</v>
      </c>
      <c r="J34" s="160">
        <v>10.7519943485</v>
      </c>
      <c r="K34" s="50"/>
      <c r="L34" s="160">
        <v>72789.257229731302</v>
      </c>
      <c r="M34" s="160">
        <v>11.307187174699999</v>
      </c>
      <c r="N34" s="387"/>
      <c r="O34" s="160">
        <v>207511.281226552</v>
      </c>
      <c r="P34" s="160">
        <v>32.810070580900003</v>
      </c>
      <c r="Q34" s="387"/>
      <c r="R34" s="160">
        <v>43988.634340334203</v>
      </c>
      <c r="S34" s="160">
        <v>6.8742743154000001</v>
      </c>
      <c r="T34" s="52"/>
      <c r="U34" s="160">
        <v>36244.652863189804</v>
      </c>
      <c r="V34" s="160">
        <v>5.6737147527999996</v>
      </c>
      <c r="X34" s="160">
        <v>293124.15285348397</v>
      </c>
      <c r="Y34" s="160">
        <v>46.144113932700002</v>
      </c>
    </row>
    <row r="35" spans="1:25" s="367" customFormat="1" ht="12.75" customHeight="1" x14ac:dyDescent="0.2">
      <c r="A35" s="104"/>
      <c r="B35" s="13" t="s">
        <v>48</v>
      </c>
      <c r="C35" s="386"/>
      <c r="D35" s="160">
        <v>522330.00393641897</v>
      </c>
      <c r="E35" s="387"/>
      <c r="F35" s="160">
        <v>233200.35973847701</v>
      </c>
      <c r="G35" s="160">
        <v>42.5394087683</v>
      </c>
      <c r="H35" s="387"/>
      <c r="I35" s="160">
        <v>105890.627176133</v>
      </c>
      <c r="J35" s="160">
        <v>19.396792126899999</v>
      </c>
      <c r="K35" s="50"/>
      <c r="L35" s="160">
        <v>85245.123411502107</v>
      </c>
      <c r="M35" s="160">
        <v>15.1010815895</v>
      </c>
      <c r="N35" s="387"/>
      <c r="O35" s="160">
        <v>293566.18270186801</v>
      </c>
      <c r="P35" s="160">
        <v>53.892740617299999</v>
      </c>
      <c r="Q35" s="387"/>
      <c r="R35" s="160">
        <v>59648.8594758244</v>
      </c>
      <c r="S35" s="160">
        <v>10.773143215499999</v>
      </c>
      <c r="T35" s="54"/>
      <c r="U35" s="160">
        <v>49379.9774157801</v>
      </c>
      <c r="V35" s="160">
        <v>9.0252925209000008</v>
      </c>
      <c r="X35" s="160">
        <v>153656.82495983099</v>
      </c>
      <c r="Y35" s="160">
        <v>28.564703699399999</v>
      </c>
    </row>
    <row r="36" spans="1:25" s="367" customFormat="1" ht="12.75" customHeight="1" x14ac:dyDescent="0.2">
      <c r="A36" s="104"/>
      <c r="B36" s="13" t="s">
        <v>49</v>
      </c>
      <c r="C36" s="386"/>
      <c r="D36" s="160">
        <v>747363.50613859505</v>
      </c>
      <c r="E36" s="387"/>
      <c r="F36" s="160">
        <v>263027.38567615999</v>
      </c>
      <c r="G36" s="160">
        <v>34.298787626299998</v>
      </c>
      <c r="H36" s="387"/>
      <c r="I36" s="160">
        <v>107044.894799403</v>
      </c>
      <c r="J36" s="160">
        <v>13.8975655996</v>
      </c>
      <c r="K36" s="50"/>
      <c r="L36" s="160">
        <v>88247.039007659798</v>
      </c>
      <c r="M36" s="160">
        <v>11.449780519100001</v>
      </c>
      <c r="N36" s="387"/>
      <c r="O36" s="160">
        <v>304637.949983611</v>
      </c>
      <c r="P36" s="160">
        <v>39.715902920200001</v>
      </c>
      <c r="Q36" s="387"/>
      <c r="R36" s="160">
        <v>67299.888400569806</v>
      </c>
      <c r="S36" s="160">
        <v>8.7464647507999995</v>
      </c>
      <c r="T36" s="52"/>
      <c r="U36" s="160">
        <v>39871.294073133002</v>
      </c>
      <c r="V36" s="160">
        <v>5.1788915727999996</v>
      </c>
      <c r="X36" s="160">
        <v>303977.22679155902</v>
      </c>
      <c r="Y36" s="160">
        <v>39.765884807699997</v>
      </c>
    </row>
    <row r="37" spans="1:25" s="367" customFormat="1" ht="12.75" customHeight="1" x14ac:dyDescent="0.2">
      <c r="A37" s="104"/>
      <c r="B37" s="13" t="s">
        <v>50</v>
      </c>
      <c r="C37" s="386"/>
      <c r="D37" s="160">
        <v>830795.97160518297</v>
      </c>
      <c r="E37" s="387"/>
      <c r="F37" s="160">
        <v>406254.56020399299</v>
      </c>
      <c r="G37" s="160">
        <v>47.562699632700003</v>
      </c>
      <c r="H37" s="387"/>
      <c r="I37" s="160">
        <v>163858.27186723301</v>
      </c>
      <c r="J37" s="160">
        <v>19.080107357199999</v>
      </c>
      <c r="K37" s="50"/>
      <c r="L37" s="160">
        <v>146962.80916272101</v>
      </c>
      <c r="M37" s="160">
        <v>17.077460886099999</v>
      </c>
      <c r="N37" s="387"/>
      <c r="O37" s="160">
        <v>429362.06570190401</v>
      </c>
      <c r="P37" s="160">
        <v>50.1871311226</v>
      </c>
      <c r="Q37" s="387"/>
      <c r="R37" s="160">
        <v>105060.927463737</v>
      </c>
      <c r="S37" s="160">
        <v>12.2433321408</v>
      </c>
      <c r="T37" s="52"/>
      <c r="U37" s="160">
        <v>72601.4593136529</v>
      </c>
      <c r="V37" s="160">
        <v>8.4497382989999998</v>
      </c>
      <c r="X37" s="160">
        <v>237015.64894110899</v>
      </c>
      <c r="Y37" s="160">
        <v>27.862123923399999</v>
      </c>
    </row>
    <row r="38" spans="1:25" s="367" customFormat="1" ht="12.75" customHeight="1" x14ac:dyDescent="0.2">
      <c r="A38" s="104"/>
      <c r="B38" s="13" t="s">
        <v>51</v>
      </c>
      <c r="C38" s="386"/>
      <c r="D38" s="160">
        <v>834239.32982548501</v>
      </c>
      <c r="E38" s="387"/>
      <c r="F38" s="160">
        <v>289155.84045493498</v>
      </c>
      <c r="G38" s="160">
        <v>33.4052955477</v>
      </c>
      <c r="H38" s="387"/>
      <c r="I38" s="160">
        <v>123303.340191315</v>
      </c>
      <c r="J38" s="160">
        <v>14.309506426900001</v>
      </c>
      <c r="K38" s="50"/>
      <c r="L38" s="160">
        <v>72196.068497238899</v>
      </c>
      <c r="M38" s="160">
        <v>8.3804466726999998</v>
      </c>
      <c r="N38" s="387"/>
      <c r="O38" s="160">
        <v>286339.65675753402</v>
      </c>
      <c r="P38" s="160">
        <v>33.135886055100002</v>
      </c>
      <c r="Q38" s="52"/>
      <c r="R38" s="160">
        <v>73328.615188457901</v>
      </c>
      <c r="S38" s="160">
        <v>8.4347623222999992</v>
      </c>
      <c r="T38" s="52"/>
      <c r="U38" s="160">
        <v>70140.141163824403</v>
      </c>
      <c r="V38" s="160">
        <v>8.0956862171000008</v>
      </c>
      <c r="X38" s="160">
        <v>375405.56588278001</v>
      </c>
      <c r="Y38" s="160">
        <v>43.598935840000003</v>
      </c>
    </row>
    <row r="39" spans="1:25" s="367" customFormat="1" ht="12.75" customHeight="1" x14ac:dyDescent="0.2">
      <c r="A39" s="104"/>
      <c r="B39" s="13" t="s">
        <v>52</v>
      </c>
      <c r="C39" s="386"/>
      <c r="D39" s="160">
        <v>641258.75840786798</v>
      </c>
      <c r="E39" s="387"/>
      <c r="F39" s="160">
        <v>474825.79833201901</v>
      </c>
      <c r="G39" s="160">
        <v>72.678103772900002</v>
      </c>
      <c r="H39" s="387"/>
      <c r="I39" s="160">
        <v>259931.02960062301</v>
      </c>
      <c r="J39" s="160">
        <v>39.184498231699997</v>
      </c>
      <c r="K39" s="50"/>
      <c r="L39" s="160">
        <v>275884.190087731</v>
      </c>
      <c r="M39" s="160">
        <v>41.648677538100003</v>
      </c>
      <c r="N39" s="387"/>
      <c r="O39" s="160">
        <v>543308.82816945005</v>
      </c>
      <c r="P39" s="160">
        <v>83.329711048199997</v>
      </c>
      <c r="Q39" s="387"/>
      <c r="R39" s="160">
        <v>205081.59329498201</v>
      </c>
      <c r="S39" s="160">
        <v>30.804926412099999</v>
      </c>
      <c r="T39" s="52"/>
      <c r="U39" s="160">
        <v>83361.923592901599</v>
      </c>
      <c r="V39" s="160">
        <v>12.512154088999999</v>
      </c>
      <c r="X39" s="160">
        <v>40306.758704724998</v>
      </c>
      <c r="Y39" s="160">
        <v>5.9639260849999998</v>
      </c>
    </row>
    <row r="40" spans="1:25" s="367" customFormat="1" ht="12.75" customHeight="1" x14ac:dyDescent="0.2">
      <c r="A40" s="104"/>
      <c r="B40" s="13" t="s">
        <v>53</v>
      </c>
      <c r="C40" s="386"/>
      <c r="D40" s="160">
        <v>1015984.05385471</v>
      </c>
      <c r="E40" s="387"/>
      <c r="F40" s="160">
        <v>455434.49709987798</v>
      </c>
      <c r="G40" s="160">
        <v>43.612081199800002</v>
      </c>
      <c r="H40" s="387"/>
      <c r="I40" s="160">
        <v>204157.56633670401</v>
      </c>
      <c r="J40" s="160">
        <v>19.572682582399999</v>
      </c>
      <c r="K40" s="50"/>
      <c r="L40" s="160">
        <v>161678.955417283</v>
      </c>
      <c r="M40" s="160">
        <v>15.445025835899999</v>
      </c>
      <c r="N40" s="387"/>
      <c r="O40" s="160">
        <v>445278.01918181003</v>
      </c>
      <c r="P40" s="160">
        <v>42.6535181868</v>
      </c>
      <c r="Q40" s="387"/>
      <c r="R40" s="160">
        <v>141132.468687574</v>
      </c>
      <c r="S40" s="160">
        <v>13.560711726499999</v>
      </c>
      <c r="T40" s="52"/>
      <c r="U40" s="160">
        <v>83167.110926920999</v>
      </c>
      <c r="V40" s="160">
        <v>7.9691237659</v>
      </c>
      <c r="X40" s="160">
        <v>359404.62711892102</v>
      </c>
      <c r="Y40" s="160">
        <v>34.686184138800002</v>
      </c>
    </row>
    <row r="41" spans="1:25" s="367" customFormat="1" ht="12.75" customHeight="1" x14ac:dyDescent="0.2">
      <c r="A41" s="104"/>
      <c r="B41" s="13" t="s">
        <v>54</v>
      </c>
      <c r="C41" s="386"/>
      <c r="D41" s="160">
        <v>320821.61901722202</v>
      </c>
      <c r="E41" s="387"/>
      <c r="F41" s="160">
        <v>156315.09204660001</v>
      </c>
      <c r="G41" s="160">
        <v>47.657932070100003</v>
      </c>
      <c r="H41" s="387"/>
      <c r="I41" s="160">
        <v>41729.098364975602</v>
      </c>
      <c r="J41" s="160">
        <v>12.5129422526</v>
      </c>
      <c r="K41" s="50"/>
      <c r="L41" s="160">
        <v>35564.847352480901</v>
      </c>
      <c r="M41" s="160">
        <v>10.716993929299999</v>
      </c>
      <c r="N41" s="387"/>
      <c r="O41" s="160">
        <v>164385.13961096699</v>
      </c>
      <c r="P41" s="160">
        <v>50.070193514000003</v>
      </c>
      <c r="Q41" s="387"/>
      <c r="R41" s="160">
        <v>28026.918522782002</v>
      </c>
      <c r="S41" s="160">
        <v>8.3692187313000002</v>
      </c>
      <c r="T41" s="52"/>
      <c r="U41" s="160">
        <v>16300.1476241164</v>
      </c>
      <c r="V41" s="160">
        <v>4.8589051721000001</v>
      </c>
      <c r="X41" s="160">
        <v>97031.936142355495</v>
      </c>
      <c r="Y41" s="160">
        <v>29.256762854200002</v>
      </c>
    </row>
    <row r="42" spans="1:25" s="367" customFormat="1" ht="12.75" customHeight="1" x14ac:dyDescent="0.2">
      <c r="A42" s="104"/>
      <c r="B42" s="13" t="s">
        <v>55</v>
      </c>
      <c r="C42" s="386"/>
      <c r="D42" s="160">
        <v>2250780.00268341</v>
      </c>
      <c r="E42" s="387"/>
      <c r="F42" s="160">
        <v>1081108.7192486899</v>
      </c>
      <c r="G42" s="160">
        <v>46.6413981659</v>
      </c>
      <c r="H42" s="387"/>
      <c r="I42" s="160">
        <v>471015.11145373399</v>
      </c>
      <c r="J42" s="160">
        <v>20.067280036500001</v>
      </c>
      <c r="K42" s="50"/>
      <c r="L42" s="160">
        <v>362672.83579625102</v>
      </c>
      <c r="M42" s="160">
        <v>15.3801747473</v>
      </c>
      <c r="N42" s="387"/>
      <c r="O42" s="160">
        <v>1213034.5433633199</v>
      </c>
      <c r="P42" s="160">
        <v>52.294342802899997</v>
      </c>
      <c r="Q42" s="387"/>
      <c r="R42" s="160">
        <v>336526.51465326402</v>
      </c>
      <c r="S42" s="160">
        <v>14.2462580762</v>
      </c>
      <c r="T42" s="52"/>
      <c r="U42" s="160">
        <v>100535.206694836</v>
      </c>
      <c r="V42" s="160">
        <v>4.2682000042999997</v>
      </c>
      <c r="X42" s="160">
        <v>617610.611884768</v>
      </c>
      <c r="Y42" s="160">
        <v>26.517716353899999</v>
      </c>
    </row>
    <row r="43" spans="1:25" s="367" customFormat="1" ht="12.75" customHeight="1" x14ac:dyDescent="0.2">
      <c r="A43" s="104"/>
      <c r="B43" s="13" t="s">
        <v>56</v>
      </c>
      <c r="C43" s="386"/>
      <c r="D43" s="160">
        <v>623364.16859410505</v>
      </c>
      <c r="E43" s="387"/>
      <c r="F43" s="160">
        <v>325193.35606169398</v>
      </c>
      <c r="G43" s="160">
        <v>50.262926601799997</v>
      </c>
      <c r="H43" s="387"/>
      <c r="I43" s="160">
        <v>112370.468437495</v>
      </c>
      <c r="J43" s="160">
        <v>17.347086431800001</v>
      </c>
      <c r="K43" s="50"/>
      <c r="L43" s="160">
        <v>76730.604347345594</v>
      </c>
      <c r="M43" s="160">
        <v>11.778055349500001</v>
      </c>
      <c r="N43" s="387"/>
      <c r="O43" s="160">
        <v>476991.96886713401</v>
      </c>
      <c r="P43" s="160">
        <v>75.215379868599996</v>
      </c>
      <c r="Q43" s="387"/>
      <c r="R43" s="160">
        <v>62305.648864839102</v>
      </c>
      <c r="S43" s="160">
        <v>9.5405251145999994</v>
      </c>
      <c r="T43" s="52"/>
      <c r="U43" s="160">
        <v>67231.7422452147</v>
      </c>
      <c r="V43" s="160">
        <v>10.256584674300001</v>
      </c>
      <c r="X43" s="160">
        <v>100021.654196456</v>
      </c>
      <c r="Y43" s="160">
        <v>15.3513552841</v>
      </c>
    </row>
    <row r="44" spans="1:25" s="367" customFormat="1" ht="12.75" customHeight="1" x14ac:dyDescent="0.2">
      <c r="A44" s="104"/>
      <c r="B44" s="46" t="s">
        <v>57</v>
      </c>
      <c r="C44" s="46"/>
      <c r="D44" s="160">
        <v>426144.52179644001</v>
      </c>
      <c r="E44" s="387"/>
      <c r="F44" s="160">
        <v>184006.934418385</v>
      </c>
      <c r="G44" s="160">
        <v>42.039282881200002</v>
      </c>
      <c r="H44" s="387"/>
      <c r="I44" s="160">
        <v>62974.319818502001</v>
      </c>
      <c r="J44" s="160">
        <v>14.0319507119</v>
      </c>
      <c r="K44" s="50"/>
      <c r="L44" s="160">
        <v>43942.419223933401</v>
      </c>
      <c r="M44" s="160">
        <v>9.8546124883000008</v>
      </c>
      <c r="N44" s="387"/>
      <c r="O44" s="160">
        <v>191179.74684054701</v>
      </c>
      <c r="P44" s="160">
        <v>43.456832684200002</v>
      </c>
      <c r="Q44" s="387"/>
      <c r="R44" s="160">
        <v>40411.632332198496</v>
      </c>
      <c r="S44" s="160">
        <v>9.0199195675000006</v>
      </c>
      <c r="T44" s="52"/>
      <c r="U44" s="160">
        <v>26538.969510780898</v>
      </c>
      <c r="V44" s="160">
        <v>5.9694908218</v>
      </c>
      <c r="X44" s="160">
        <v>155402.332006766</v>
      </c>
      <c r="Y44" s="160">
        <v>35.062289032999999</v>
      </c>
    </row>
    <row r="45" spans="1:25" s="367" customFormat="1" ht="6" customHeight="1" x14ac:dyDescent="0.2">
      <c r="A45" s="104"/>
      <c r="B45" s="365"/>
      <c r="C45" s="388"/>
      <c r="D45" s="388"/>
      <c r="E45" s="388"/>
      <c r="F45" s="388"/>
      <c r="G45" s="389"/>
      <c r="H45" s="389"/>
      <c r="I45" s="389"/>
      <c r="J45" s="390"/>
      <c r="K45" s="390"/>
      <c r="L45" s="389"/>
      <c r="M45" s="390"/>
      <c r="N45" s="390"/>
      <c r="O45" s="365"/>
      <c r="P45" s="391"/>
      <c r="Q45" s="365"/>
      <c r="R45" s="365"/>
      <c r="S45" s="121"/>
      <c r="T45" s="365"/>
      <c r="U45" s="365"/>
      <c r="V45" s="365"/>
      <c r="W45" s="365"/>
      <c r="X45" s="365"/>
      <c r="Y45" s="365"/>
    </row>
    <row r="46" spans="1:25" s="367" customFormat="1" ht="6" customHeight="1" x14ac:dyDescent="0.2">
      <c r="A46" s="104"/>
      <c r="C46" s="392"/>
      <c r="D46" s="392"/>
      <c r="E46" s="392"/>
      <c r="F46" s="392"/>
      <c r="G46" s="393"/>
      <c r="H46" s="393"/>
      <c r="I46" s="393"/>
      <c r="J46" s="394"/>
      <c r="K46" s="394"/>
      <c r="L46" s="393"/>
      <c r="M46" s="394"/>
      <c r="N46" s="394"/>
      <c r="P46" s="395"/>
      <c r="S46" s="122"/>
    </row>
    <row r="47" spans="1:25" s="396" customFormat="1" ht="11.25" x14ac:dyDescent="0.2">
      <c r="A47" s="99"/>
      <c r="B47" s="50" t="s">
        <v>106</v>
      </c>
      <c r="C47" s="392"/>
      <c r="D47" s="392"/>
      <c r="E47" s="392"/>
      <c r="F47" s="392"/>
      <c r="G47" s="393"/>
      <c r="H47" s="393"/>
      <c r="I47" s="393"/>
      <c r="J47" s="394"/>
      <c r="K47" s="394"/>
      <c r="L47" s="393"/>
      <c r="M47" s="394"/>
      <c r="N47" s="394"/>
      <c r="P47" s="395"/>
      <c r="S47" s="88"/>
      <c r="X47" s="50"/>
      <c r="Y47" s="50"/>
    </row>
    <row r="48" spans="1:25" s="400" customFormat="1" ht="11.25" x14ac:dyDescent="0.2">
      <c r="A48" s="99"/>
      <c r="B48" s="50" t="s">
        <v>139</v>
      </c>
      <c r="C48" s="397"/>
      <c r="D48" s="397"/>
      <c r="E48" s="397"/>
      <c r="F48" s="397"/>
      <c r="G48" s="398"/>
      <c r="H48" s="398"/>
      <c r="I48" s="398"/>
      <c r="J48" s="399"/>
      <c r="K48" s="399"/>
      <c r="L48" s="398"/>
      <c r="M48" s="399"/>
      <c r="N48" s="399"/>
      <c r="P48" s="401"/>
      <c r="S48" s="88"/>
      <c r="X48" s="50"/>
      <c r="Y48" s="50"/>
    </row>
    <row r="49" spans="1:19" s="396" customFormat="1" ht="11.25" x14ac:dyDescent="0.2">
      <c r="A49" s="99"/>
      <c r="B49" s="58" t="s">
        <v>140</v>
      </c>
      <c r="C49" s="392"/>
      <c r="D49" s="392"/>
      <c r="E49" s="392"/>
      <c r="F49" s="392"/>
      <c r="G49" s="393"/>
      <c r="H49" s="393"/>
      <c r="I49" s="393"/>
      <c r="J49" s="394"/>
      <c r="K49" s="394"/>
      <c r="L49" s="393"/>
      <c r="M49" s="394"/>
      <c r="N49" s="394"/>
      <c r="P49" s="395"/>
      <c r="S49" s="88"/>
    </row>
    <row r="50" spans="1:19" s="89" customFormat="1" ht="11.25" customHeight="1" x14ac:dyDescent="0.2">
      <c r="B50" s="24" t="s">
        <v>9</v>
      </c>
    </row>
    <row r="51" spans="1:19" ht="12.75" customHeight="1" x14ac:dyDescent="0.2">
      <c r="S51" s="1"/>
    </row>
    <row r="52" spans="1:19" ht="12.75" customHeight="1" x14ac:dyDescent="0.2">
      <c r="S52" s="1"/>
    </row>
    <row r="53" spans="1:19" ht="12.75" customHeight="1" x14ac:dyDescent="0.2">
      <c r="S53" s="1"/>
    </row>
    <row r="54" spans="1:19" ht="12.75" customHeight="1" x14ac:dyDescent="0.2">
      <c r="S54" s="1"/>
    </row>
    <row r="55" spans="1:19" ht="12.75" customHeight="1" x14ac:dyDescent="0.2">
      <c r="S55" s="1"/>
    </row>
    <row r="56" spans="1:19" ht="12.75" customHeight="1" x14ac:dyDescent="0.2">
      <c r="S56" s="1"/>
    </row>
    <row r="57" spans="1:19" ht="12.75" customHeight="1" x14ac:dyDescent="0.2">
      <c r="S57" s="1"/>
    </row>
    <row r="58" spans="1:19" ht="12.75" customHeight="1" x14ac:dyDescent="0.2">
      <c r="S58" s="1"/>
    </row>
    <row r="59" spans="1:19" ht="12.75" customHeight="1" x14ac:dyDescent="0.2">
      <c r="S59" s="1"/>
    </row>
    <row r="60" spans="1:19" ht="12.75" customHeight="1" x14ac:dyDescent="0.2">
      <c r="S60" s="1"/>
    </row>
    <row r="61" spans="1:19" ht="12.75" customHeight="1" x14ac:dyDescent="0.2">
      <c r="S61" s="1"/>
    </row>
    <row r="62" spans="1:19" ht="12.75" customHeight="1" x14ac:dyDescent="0.2">
      <c r="S62" s="1"/>
    </row>
    <row r="63" spans="1:19" ht="12.75" customHeight="1" x14ac:dyDescent="0.2">
      <c r="S63" s="1"/>
    </row>
    <row r="64" spans="1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  <row r="97" spans="19:19" ht="12.75" customHeight="1" x14ac:dyDescent="0.2">
      <c r="S97" s="1"/>
    </row>
    <row r="98" spans="19:19" ht="12.75" customHeight="1" x14ac:dyDescent="0.2">
      <c r="S98" s="1"/>
    </row>
    <row r="99" spans="19:19" ht="12.75" customHeight="1" x14ac:dyDescent="0.2">
      <c r="S99" s="1"/>
    </row>
  </sheetData>
  <mergeCells count="12">
    <mergeCell ref="X7:Y8"/>
    <mergeCell ref="F8:G8"/>
    <mergeCell ref="I8:J8"/>
    <mergeCell ref="L8:M8"/>
    <mergeCell ref="O8:P8"/>
    <mergeCell ref="R8:S8"/>
    <mergeCell ref="U8:V8"/>
    <mergeCell ref="B5:O5"/>
    <mergeCell ref="C6:O6"/>
    <mergeCell ref="B7:C9"/>
    <mergeCell ref="D7:D9"/>
    <mergeCell ref="F7:V7"/>
  </mergeCells>
  <hyperlinks>
    <hyperlink ref="Y1" location="Índice!A1" tooltip="Ir a ÍNDICE" display="INDICE" xr:uid="{875F9633-105D-4878-A284-5A3C865585C1}"/>
  </hyperlinks>
  <pageMargins left="0.70866141732283472" right="0.70866141732283472" top="0.59055118110236227" bottom="0.59055118110236227" header="0.23622047244094491" footer="0.23622047244094491"/>
  <pageSetup scale="56" orientation="landscape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DF5A-2263-4AF7-9145-6DABBD528310}">
  <dimension ref="A1:AE54"/>
  <sheetViews>
    <sheetView showGridLines="0" zoomScaleNormal="100" workbookViewId="0"/>
  </sheetViews>
  <sheetFormatPr baseColWidth="10" defaultColWidth="11.42578125" defaultRowHeight="1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  <col min="23" max="23" width="0.85546875" style="449" customWidth="1"/>
    <col min="24" max="25" width="10.7109375" style="449" customWidth="1"/>
  </cols>
  <sheetData>
    <row r="1" spans="1:31" s="69" customFormat="1" ht="14.1" customHeight="1" x14ac:dyDescent="0.2">
      <c r="A1" s="66"/>
      <c r="B1" s="484" t="s">
        <v>144</v>
      </c>
      <c r="C1" s="404"/>
      <c r="D1" s="405"/>
      <c r="E1" s="405"/>
      <c r="F1" s="405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85" t="s">
        <v>118</v>
      </c>
      <c r="Z1" s="68"/>
      <c r="AA1" s="68"/>
      <c r="AB1" s="68"/>
      <c r="AC1" s="68"/>
      <c r="AD1" s="68"/>
      <c r="AE1" s="68"/>
    </row>
    <row r="2" spans="1:31" s="69" customFormat="1" ht="6.95" customHeight="1" x14ac:dyDescent="0.2">
      <c r="A2" s="66"/>
      <c r="B2" s="484"/>
      <c r="C2" s="404"/>
      <c r="D2" s="405"/>
      <c r="E2" s="405"/>
      <c r="F2" s="405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68"/>
      <c r="AA2" s="68"/>
      <c r="AB2" s="68"/>
      <c r="AC2" s="68"/>
      <c r="AD2" s="68"/>
      <c r="AE2" s="68"/>
    </row>
    <row r="3" spans="1:31" s="69" customFormat="1" ht="14.1" customHeight="1" x14ac:dyDescent="0.2">
      <c r="A3" s="66"/>
      <c r="B3" s="484" t="s">
        <v>142</v>
      </c>
      <c r="C3" s="407"/>
      <c r="D3" s="407"/>
      <c r="E3" s="407"/>
      <c r="F3" s="407"/>
      <c r="G3" s="407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68"/>
      <c r="AA3" s="68"/>
      <c r="AB3" s="68"/>
      <c r="AC3" s="68"/>
      <c r="AD3" s="68"/>
      <c r="AE3" s="68"/>
    </row>
    <row r="4" spans="1:31" s="69" customFormat="1" ht="6.95" customHeight="1" x14ac:dyDescent="0.2">
      <c r="A4" s="66"/>
      <c r="B4" s="484"/>
      <c r="C4" s="404"/>
      <c r="D4" s="404"/>
      <c r="E4" s="404"/>
      <c r="F4" s="404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68"/>
      <c r="AA4" s="68"/>
      <c r="AB4" s="68"/>
      <c r="AC4" s="68"/>
      <c r="AD4" s="68"/>
      <c r="AE4" s="68"/>
    </row>
    <row r="5" spans="1:31" s="69" customFormat="1" ht="20.100000000000001" customHeight="1" x14ac:dyDescent="0.2">
      <c r="A5" s="98"/>
      <c r="B5" s="611" t="s">
        <v>112</v>
      </c>
      <c r="C5" s="611"/>
      <c r="D5" s="611"/>
      <c r="E5" s="611"/>
      <c r="F5" s="611"/>
      <c r="G5" s="611"/>
      <c r="H5" s="611"/>
      <c r="I5" s="611"/>
      <c r="J5" s="611"/>
      <c r="K5" s="611"/>
      <c r="L5" s="611"/>
      <c r="M5" s="611"/>
      <c r="N5" s="611"/>
      <c r="O5" s="611"/>
      <c r="P5" s="611"/>
      <c r="Q5" s="611"/>
      <c r="R5" s="611"/>
      <c r="S5" s="408"/>
      <c r="T5" s="409"/>
      <c r="U5" s="114"/>
      <c r="V5" s="410"/>
      <c r="W5" s="410"/>
      <c r="X5" s="410"/>
      <c r="Y5" s="75" t="s">
        <v>114</v>
      </c>
      <c r="Z5" s="68"/>
      <c r="AA5" s="68"/>
      <c r="AB5" s="68"/>
      <c r="AC5" s="68"/>
      <c r="AD5" s="68"/>
      <c r="AE5" s="68"/>
    </row>
    <row r="6" spans="1:31" s="116" customFormat="1" ht="6" customHeight="1" x14ac:dyDescent="0.2">
      <c r="A6" s="98"/>
      <c r="B6" s="411"/>
      <c r="C6" s="612"/>
      <c r="D6" s="612"/>
      <c r="E6" s="612"/>
      <c r="F6" s="613"/>
      <c r="G6" s="613"/>
      <c r="H6" s="613"/>
      <c r="I6" s="613"/>
      <c r="J6" s="613"/>
      <c r="K6" s="613"/>
      <c r="L6" s="613"/>
      <c r="M6" s="614"/>
      <c r="N6" s="614"/>
      <c r="O6" s="614"/>
      <c r="P6" s="614"/>
      <c r="Q6" s="614"/>
      <c r="R6" s="614"/>
      <c r="S6" s="412"/>
      <c r="T6" s="413"/>
      <c r="U6" s="413"/>
      <c r="V6" s="413"/>
      <c r="W6" s="411"/>
      <c r="X6" s="413"/>
      <c r="Y6" s="413"/>
      <c r="Z6" s="115"/>
      <c r="AA6" s="115"/>
      <c r="AB6" s="115"/>
      <c r="AC6" s="115"/>
      <c r="AD6" s="115"/>
      <c r="AE6" s="115"/>
    </row>
    <row r="7" spans="1:31" s="116" customFormat="1" ht="15.75" customHeight="1" x14ac:dyDescent="0.2">
      <c r="A7" s="98"/>
      <c r="B7" s="615" t="s">
        <v>1</v>
      </c>
      <c r="C7" s="615"/>
      <c r="D7" s="608" t="s">
        <v>23</v>
      </c>
      <c r="E7" s="414"/>
      <c r="F7" s="610" t="s">
        <v>137</v>
      </c>
      <c r="G7" s="610"/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415"/>
      <c r="X7" s="608" t="s">
        <v>138</v>
      </c>
      <c r="Y7" s="608"/>
      <c r="Z7" s="115"/>
      <c r="AA7" s="115"/>
      <c r="AB7" s="115"/>
      <c r="AC7" s="115"/>
      <c r="AD7" s="115"/>
      <c r="AE7" s="115"/>
    </row>
    <row r="8" spans="1:31" s="116" customFormat="1" ht="46.5" customHeight="1" x14ac:dyDescent="0.2">
      <c r="A8" s="98"/>
      <c r="B8" s="616"/>
      <c r="C8" s="616"/>
      <c r="D8" s="618"/>
      <c r="E8" s="416"/>
      <c r="F8" s="610" t="s">
        <v>110</v>
      </c>
      <c r="G8" s="610"/>
      <c r="H8" s="414"/>
      <c r="I8" s="610" t="s">
        <v>109</v>
      </c>
      <c r="J8" s="610"/>
      <c r="K8" s="417"/>
      <c r="L8" s="610" t="s">
        <v>115</v>
      </c>
      <c r="M8" s="610"/>
      <c r="N8" s="417"/>
      <c r="O8" s="610" t="s">
        <v>116</v>
      </c>
      <c r="P8" s="610"/>
      <c r="Q8" s="418"/>
      <c r="R8" s="610" t="s">
        <v>108</v>
      </c>
      <c r="S8" s="610"/>
      <c r="T8" s="419"/>
      <c r="U8" s="610" t="s">
        <v>107</v>
      </c>
      <c r="V8" s="610"/>
      <c r="W8" s="420"/>
      <c r="X8" s="609"/>
      <c r="Y8" s="609"/>
      <c r="Z8" s="115"/>
      <c r="AA8" s="115"/>
      <c r="AB8" s="115"/>
      <c r="AC8" s="115"/>
      <c r="AD8" s="115"/>
      <c r="AE8" s="115"/>
    </row>
    <row r="9" spans="1:31" s="116" customFormat="1" ht="15.75" customHeight="1" x14ac:dyDescent="0.2">
      <c r="A9" s="99"/>
      <c r="B9" s="617"/>
      <c r="C9" s="617"/>
      <c r="D9" s="609"/>
      <c r="E9" s="421"/>
      <c r="F9" s="105" t="s">
        <v>13</v>
      </c>
      <c r="G9" s="105" t="s">
        <v>14</v>
      </c>
      <c r="H9" s="421"/>
      <c r="I9" s="105" t="s">
        <v>13</v>
      </c>
      <c r="J9" s="105" t="s">
        <v>14</v>
      </c>
      <c r="K9" s="422"/>
      <c r="L9" s="105" t="s">
        <v>13</v>
      </c>
      <c r="M9" s="105" t="s">
        <v>14</v>
      </c>
      <c r="N9" s="422"/>
      <c r="O9" s="105" t="s">
        <v>13</v>
      </c>
      <c r="P9" s="105" t="s">
        <v>14</v>
      </c>
      <c r="Q9" s="423"/>
      <c r="R9" s="105" t="s">
        <v>13</v>
      </c>
      <c r="S9" s="105" t="s">
        <v>14</v>
      </c>
      <c r="T9" s="424"/>
      <c r="U9" s="105" t="s">
        <v>13</v>
      </c>
      <c r="V9" s="105" t="s">
        <v>14</v>
      </c>
      <c r="W9" s="423"/>
      <c r="X9" s="105" t="s">
        <v>13</v>
      </c>
      <c r="Y9" s="105" t="s">
        <v>14</v>
      </c>
      <c r="Z9" s="115"/>
      <c r="AA9" s="115"/>
      <c r="AB9" s="115"/>
      <c r="AC9" s="115"/>
      <c r="AD9" s="115"/>
      <c r="AE9" s="115"/>
    </row>
    <row r="10" spans="1:31" s="116" customFormat="1" ht="6" customHeight="1" x14ac:dyDescent="0.2">
      <c r="A10" s="100"/>
      <c r="B10" s="425"/>
      <c r="C10" s="425"/>
      <c r="D10" s="426"/>
      <c r="E10" s="426"/>
      <c r="F10" s="426"/>
      <c r="G10" s="427"/>
      <c r="H10" s="427"/>
      <c r="I10" s="428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13"/>
      <c r="U10" s="413"/>
      <c r="V10" s="413"/>
      <c r="W10" s="413"/>
      <c r="X10" s="413"/>
      <c r="Y10" s="413"/>
      <c r="Z10" s="115"/>
      <c r="AA10" s="115"/>
      <c r="AB10" s="115"/>
      <c r="AC10" s="115"/>
      <c r="AD10" s="115"/>
      <c r="AE10" s="115"/>
    </row>
    <row r="11" spans="1:31" s="116" customFormat="1" x14ac:dyDescent="0.2">
      <c r="A11" s="101"/>
      <c r="B11" s="111" t="s">
        <v>5</v>
      </c>
      <c r="C11" s="430"/>
      <c r="D11" s="159">
        <v>34855919.813209198</v>
      </c>
      <c r="E11" s="431"/>
      <c r="F11" s="159">
        <v>14126892.1928242</v>
      </c>
      <c r="G11" s="159">
        <v>40.263537472199999</v>
      </c>
      <c r="H11" s="431"/>
      <c r="I11" s="159">
        <v>5582133.5340568796</v>
      </c>
      <c r="J11" s="159">
        <v>15.8713264708</v>
      </c>
      <c r="K11" s="50"/>
      <c r="L11" s="159">
        <v>5072408.49808951</v>
      </c>
      <c r="M11" s="159">
        <v>14.4146677318</v>
      </c>
      <c r="N11" s="431"/>
      <c r="O11" s="159">
        <v>15310717.2483676</v>
      </c>
      <c r="P11" s="159">
        <v>43.640429198600003</v>
      </c>
      <c r="Q11" s="431"/>
      <c r="R11" s="159">
        <v>3614835.5073778299</v>
      </c>
      <c r="S11" s="159">
        <v>10.273469498000001</v>
      </c>
      <c r="T11" s="51"/>
      <c r="U11" s="159">
        <v>2692069.6272225799</v>
      </c>
      <c r="V11" s="159">
        <v>7.6444529998000004</v>
      </c>
      <c r="W11" s="432"/>
      <c r="X11" s="159">
        <v>13495511.3782316</v>
      </c>
      <c r="Y11" s="159">
        <v>38.412148769600002</v>
      </c>
      <c r="Z11" s="115"/>
      <c r="AA11" s="115"/>
      <c r="AB11" s="115"/>
      <c r="AC11" s="115"/>
      <c r="AD11" s="115"/>
      <c r="AE11" s="115"/>
    </row>
    <row r="12" spans="1:31" s="116" customFormat="1" ht="9" customHeight="1" x14ac:dyDescent="0.2">
      <c r="A12" s="102"/>
      <c r="B12" s="117"/>
      <c r="C12" s="430"/>
      <c r="D12" s="95"/>
      <c r="E12" s="431"/>
      <c r="F12" s="95"/>
      <c r="G12" s="96"/>
      <c r="H12" s="431"/>
      <c r="I12" s="95"/>
      <c r="J12" s="96"/>
      <c r="K12" s="50"/>
      <c r="L12" s="95"/>
      <c r="M12" s="96"/>
      <c r="N12" s="431"/>
      <c r="O12" s="95"/>
      <c r="P12" s="96"/>
      <c r="Q12" s="431"/>
      <c r="R12" s="95"/>
      <c r="S12" s="96"/>
      <c r="T12" s="50"/>
      <c r="U12" s="95"/>
      <c r="V12" s="96"/>
      <c r="W12" s="432"/>
      <c r="X12" s="95"/>
      <c r="Y12" s="96"/>
      <c r="Z12" s="115"/>
      <c r="AA12" s="115"/>
      <c r="AB12" s="115"/>
      <c r="AC12" s="115"/>
      <c r="AD12" s="115"/>
      <c r="AE12" s="115"/>
    </row>
    <row r="13" spans="1:31" s="116" customFormat="1" ht="12.75" customHeight="1" x14ac:dyDescent="0.2">
      <c r="A13" s="102"/>
      <c r="B13" s="97" t="s">
        <v>6</v>
      </c>
      <c r="C13" s="433"/>
      <c r="D13" s="160">
        <v>7159413.7729825201</v>
      </c>
      <c r="E13" s="434"/>
      <c r="F13" s="160">
        <v>3725351.5388230602</v>
      </c>
      <c r="G13" s="160">
        <v>51.271991351899999</v>
      </c>
      <c r="H13" s="434"/>
      <c r="I13" s="160">
        <v>1745196.20741412</v>
      </c>
      <c r="J13" s="160">
        <v>23.814289664099999</v>
      </c>
      <c r="K13" s="50"/>
      <c r="L13" s="160">
        <v>1669911.3981507199</v>
      </c>
      <c r="M13" s="160">
        <v>22.712523314199998</v>
      </c>
      <c r="N13" s="434"/>
      <c r="O13" s="160">
        <v>3807671.65903338</v>
      </c>
      <c r="P13" s="160">
        <v>52.353416046900001</v>
      </c>
      <c r="Q13" s="434"/>
      <c r="R13" s="160">
        <v>1262089.2487206699</v>
      </c>
      <c r="S13" s="160">
        <v>17.208971448500002</v>
      </c>
      <c r="T13" s="52"/>
      <c r="U13" s="160">
        <v>465353.415923614</v>
      </c>
      <c r="V13" s="160">
        <v>6.3242875472</v>
      </c>
      <c r="W13" s="413"/>
      <c r="X13" s="160">
        <v>1871881.6471057001</v>
      </c>
      <c r="Y13" s="160">
        <v>25.648065191400001</v>
      </c>
      <c r="Z13" s="115"/>
      <c r="AA13" s="115"/>
      <c r="AB13" s="115"/>
      <c r="AC13" s="115"/>
      <c r="AD13" s="115"/>
      <c r="AE13" s="115"/>
    </row>
    <row r="14" spans="1:31" s="116" customFormat="1" ht="12" customHeight="1" x14ac:dyDescent="0.2">
      <c r="A14" s="102"/>
      <c r="B14" s="97" t="s">
        <v>7</v>
      </c>
      <c r="C14" s="433"/>
      <c r="D14" s="160">
        <v>4482368.5111330803</v>
      </c>
      <c r="E14" s="434"/>
      <c r="F14" s="160">
        <v>2121743.8192370799</v>
      </c>
      <c r="G14" s="160">
        <v>46.439736753600002</v>
      </c>
      <c r="H14" s="434"/>
      <c r="I14" s="160">
        <v>813361.24221153394</v>
      </c>
      <c r="J14" s="160">
        <v>17.569542226700001</v>
      </c>
      <c r="K14" s="50"/>
      <c r="L14" s="160">
        <v>748448.32975456002</v>
      </c>
      <c r="M14" s="160">
        <v>16.140639792199998</v>
      </c>
      <c r="N14" s="434"/>
      <c r="O14" s="160">
        <v>2337030.3162628999</v>
      </c>
      <c r="P14" s="160">
        <v>51.058105663399999</v>
      </c>
      <c r="Q14" s="434"/>
      <c r="R14" s="160">
        <v>543544.69137872197</v>
      </c>
      <c r="S14" s="160">
        <v>11.7598825007</v>
      </c>
      <c r="T14" s="52"/>
      <c r="U14" s="160">
        <v>374618.40201928298</v>
      </c>
      <c r="V14" s="160">
        <v>8.0653830132</v>
      </c>
      <c r="W14" s="413"/>
      <c r="X14" s="160">
        <v>1370010.26157649</v>
      </c>
      <c r="Y14" s="160">
        <v>29.907722914800001</v>
      </c>
      <c r="Z14" s="115"/>
      <c r="AA14" s="115"/>
      <c r="AB14" s="115"/>
      <c r="AC14" s="115"/>
      <c r="AD14" s="115"/>
      <c r="AE14" s="115"/>
    </row>
    <row r="15" spans="1:31" s="116" customFormat="1" x14ac:dyDescent="0.2">
      <c r="A15" s="99"/>
      <c r="B15" s="97" t="s">
        <v>8</v>
      </c>
      <c r="C15" s="433"/>
      <c r="D15" s="160">
        <v>5444929.1112685297</v>
      </c>
      <c r="E15" s="434"/>
      <c r="F15" s="160">
        <v>2115555.1002449002</v>
      </c>
      <c r="G15" s="160">
        <v>38.013954371600001</v>
      </c>
      <c r="H15" s="434"/>
      <c r="I15" s="160">
        <v>772740.38265708205</v>
      </c>
      <c r="J15" s="160">
        <v>13.7613977873</v>
      </c>
      <c r="K15" s="50"/>
      <c r="L15" s="160">
        <v>676672.88708329794</v>
      </c>
      <c r="M15" s="160">
        <v>12.1002232837</v>
      </c>
      <c r="N15" s="434"/>
      <c r="O15" s="160">
        <v>2431918.12202127</v>
      </c>
      <c r="P15" s="160">
        <v>43.823942990399999</v>
      </c>
      <c r="Q15" s="434"/>
      <c r="R15" s="160">
        <v>479987.65038712497</v>
      </c>
      <c r="S15" s="160">
        <v>8.5269855796999998</v>
      </c>
      <c r="T15" s="52"/>
      <c r="U15" s="160">
        <v>410463.18152858299</v>
      </c>
      <c r="V15" s="160">
        <v>7.2923476083000001</v>
      </c>
      <c r="W15" s="413"/>
      <c r="X15" s="160">
        <v>2118892.5846782601</v>
      </c>
      <c r="Y15" s="160">
        <v>38.036538788199998</v>
      </c>
      <c r="Z15" s="115"/>
      <c r="AA15" s="115"/>
      <c r="AB15" s="115"/>
      <c r="AC15" s="115"/>
      <c r="AD15" s="115"/>
      <c r="AE15" s="115"/>
    </row>
    <row r="16" spans="1:31" s="116" customFormat="1" x14ac:dyDescent="0.2">
      <c r="A16" s="99"/>
      <c r="B16" s="97" t="s">
        <v>79</v>
      </c>
      <c r="C16" s="433"/>
      <c r="D16" s="160">
        <v>17359885.5900256</v>
      </c>
      <c r="E16" s="434"/>
      <c r="F16" s="160">
        <v>5902644.5840402301</v>
      </c>
      <c r="G16" s="160">
        <v>33.722547501900003</v>
      </c>
      <c r="H16" s="434"/>
      <c r="I16" s="160">
        <v>2110961.05281159</v>
      </c>
      <c r="J16" s="160">
        <v>12.0503924724</v>
      </c>
      <c r="K16" s="50"/>
      <c r="L16" s="160">
        <v>1834703.5533476099</v>
      </c>
      <c r="M16" s="160">
        <v>10.463613433300001</v>
      </c>
      <c r="N16" s="434"/>
      <c r="O16" s="160">
        <v>6461147.5386097198</v>
      </c>
      <c r="P16" s="160">
        <v>36.917254511300001</v>
      </c>
      <c r="Q16" s="434"/>
      <c r="R16" s="160">
        <v>1219879.8347444199</v>
      </c>
      <c r="S16" s="160">
        <v>6.9580065318999997</v>
      </c>
      <c r="T16" s="52"/>
      <c r="U16" s="160">
        <v>1346740.3385096299</v>
      </c>
      <c r="V16" s="160">
        <v>7.6837936973999996</v>
      </c>
      <c r="W16" s="413"/>
      <c r="X16" s="160">
        <v>7904840.2650150498</v>
      </c>
      <c r="Y16" s="160">
        <v>45.194111310700002</v>
      </c>
      <c r="Z16" s="115"/>
      <c r="AA16" s="115"/>
      <c r="AB16" s="115"/>
      <c r="AC16" s="115"/>
      <c r="AD16" s="115"/>
      <c r="AE16" s="115"/>
    </row>
    <row r="17" spans="1:31" s="116" customFormat="1" ht="6" customHeight="1" x14ac:dyDescent="0.2">
      <c r="A17" s="99"/>
      <c r="B17" s="45"/>
      <c r="C17" s="45"/>
      <c r="D17" s="57"/>
      <c r="E17" s="435"/>
      <c r="F17" s="57"/>
      <c r="G17" s="436"/>
      <c r="H17" s="436"/>
      <c r="I17" s="57"/>
      <c r="J17" s="436"/>
      <c r="K17" s="437"/>
      <c r="L17" s="57"/>
      <c r="M17" s="436"/>
      <c r="N17" s="438"/>
      <c r="O17" s="438"/>
      <c r="P17" s="438"/>
      <c r="Q17" s="438"/>
      <c r="R17" s="57"/>
      <c r="S17" s="436"/>
      <c r="T17" s="411"/>
      <c r="U17" s="411"/>
      <c r="V17" s="118"/>
      <c r="W17" s="411"/>
      <c r="X17" s="61"/>
      <c r="Y17" s="61"/>
      <c r="Z17" s="115"/>
      <c r="AA17" s="115"/>
      <c r="AB17" s="115"/>
      <c r="AC17" s="115"/>
      <c r="AD17" s="115"/>
      <c r="AE17" s="115"/>
    </row>
    <row r="18" spans="1:31" s="116" customFormat="1" ht="6" customHeight="1" x14ac:dyDescent="0.2">
      <c r="A18" s="103"/>
      <c r="B18" s="413"/>
      <c r="C18" s="439"/>
      <c r="D18" s="439"/>
      <c r="E18" s="439"/>
      <c r="F18" s="439"/>
      <c r="G18" s="440"/>
      <c r="H18" s="440"/>
      <c r="I18" s="440"/>
      <c r="J18" s="441"/>
      <c r="K18" s="441"/>
      <c r="L18" s="440"/>
      <c r="M18" s="441"/>
      <c r="N18" s="441"/>
      <c r="O18" s="441"/>
      <c r="P18" s="441"/>
      <c r="Q18" s="441"/>
      <c r="R18" s="413"/>
      <c r="S18" s="442"/>
      <c r="T18" s="413"/>
      <c r="U18" s="413"/>
      <c r="V18" s="119"/>
      <c r="W18" s="413"/>
      <c r="X18" s="53"/>
      <c r="Y18" s="53"/>
      <c r="Z18" s="115"/>
      <c r="AA18" s="115"/>
      <c r="AB18" s="115"/>
      <c r="AC18" s="115"/>
      <c r="AD18" s="115"/>
      <c r="AE18" s="115"/>
    </row>
    <row r="19" spans="1:31" s="87" customFormat="1" ht="11.25" x14ac:dyDescent="0.2">
      <c r="A19" s="120"/>
      <c r="B19" s="50" t="s">
        <v>106</v>
      </c>
      <c r="C19" s="439"/>
      <c r="D19" s="439"/>
      <c r="E19" s="439"/>
      <c r="F19" s="439"/>
      <c r="G19" s="440"/>
      <c r="H19" s="440"/>
      <c r="I19" s="440"/>
      <c r="J19" s="441"/>
      <c r="K19" s="441"/>
      <c r="L19" s="440"/>
      <c r="M19" s="441"/>
      <c r="N19" s="441"/>
      <c r="O19" s="441"/>
      <c r="P19" s="441"/>
      <c r="Q19" s="441"/>
      <c r="R19" s="443"/>
      <c r="S19" s="442"/>
      <c r="T19" s="443"/>
      <c r="U19" s="443"/>
      <c r="V19" s="86"/>
      <c r="W19" s="443"/>
      <c r="X19" s="52"/>
      <c r="Y19" s="52"/>
      <c r="Z19" s="50"/>
      <c r="AA19" s="50"/>
      <c r="AB19" s="50"/>
      <c r="AC19" s="50"/>
      <c r="AD19" s="50"/>
      <c r="AE19" s="50"/>
    </row>
    <row r="20" spans="1:31" s="447" customFormat="1" ht="11.25" x14ac:dyDescent="0.2">
      <c r="A20" s="99"/>
      <c r="B20" s="50" t="s">
        <v>139</v>
      </c>
      <c r="C20" s="444"/>
      <c r="D20" s="444"/>
      <c r="E20" s="444"/>
      <c r="F20" s="444"/>
      <c r="G20" s="445"/>
      <c r="H20" s="445"/>
      <c r="I20" s="445"/>
      <c r="J20" s="446"/>
      <c r="K20" s="446"/>
      <c r="L20" s="445"/>
      <c r="M20" s="446"/>
      <c r="N20" s="446"/>
      <c r="P20" s="448"/>
      <c r="S20" s="88"/>
      <c r="X20" s="50"/>
      <c r="Y20" s="50"/>
    </row>
    <row r="21" spans="1:31" s="443" customFormat="1" ht="11.25" x14ac:dyDescent="0.2">
      <c r="A21" s="99"/>
      <c r="B21" s="58" t="s">
        <v>140</v>
      </c>
      <c r="C21" s="439"/>
      <c r="D21" s="439"/>
      <c r="E21" s="439"/>
      <c r="F21" s="439"/>
      <c r="G21" s="440"/>
      <c r="H21" s="440"/>
      <c r="I21" s="440"/>
      <c r="J21" s="441"/>
      <c r="K21" s="441"/>
      <c r="L21" s="440"/>
      <c r="M21" s="441"/>
      <c r="N21" s="441"/>
      <c r="P21" s="442"/>
      <c r="S21" s="88"/>
    </row>
    <row r="22" spans="1:31" s="89" customFormat="1" ht="11.25" customHeight="1" x14ac:dyDescent="0.2">
      <c r="B22" s="24" t="s">
        <v>9</v>
      </c>
    </row>
    <row r="23" spans="1:3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52"/>
      <c r="Y23" s="52"/>
      <c r="Z23" s="3"/>
      <c r="AA23" s="3"/>
      <c r="AB23" s="3"/>
      <c r="AC23" s="3"/>
      <c r="AD23" s="3"/>
      <c r="AE23" s="3"/>
    </row>
    <row r="24" spans="1:3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52"/>
      <c r="Y24" s="52"/>
      <c r="Z24" s="3"/>
      <c r="AA24" s="3"/>
      <c r="AB24" s="3"/>
      <c r="AC24" s="3"/>
      <c r="AD24" s="3"/>
      <c r="AE24" s="3"/>
    </row>
    <row r="25" spans="1:3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52"/>
      <c r="Y25" s="52"/>
      <c r="Z25" s="3"/>
      <c r="AA25" s="3"/>
      <c r="AB25" s="3"/>
      <c r="AC25" s="3"/>
      <c r="AD25" s="3"/>
      <c r="AE25" s="3"/>
    </row>
    <row r="26" spans="1:3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52"/>
      <c r="Y26" s="52"/>
      <c r="Z26" s="3"/>
      <c r="AA26" s="3"/>
      <c r="AB26" s="3"/>
      <c r="AC26" s="3"/>
      <c r="AD26" s="3"/>
      <c r="AE26" s="3"/>
    </row>
    <row r="27" spans="1:3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52"/>
      <c r="Y27" s="52"/>
      <c r="Z27" s="3"/>
      <c r="AA27" s="3"/>
      <c r="AB27" s="3"/>
      <c r="AC27" s="3"/>
      <c r="AD27" s="3"/>
      <c r="AE27" s="3"/>
    </row>
    <row r="28" spans="1:3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52"/>
      <c r="Y28" s="52"/>
      <c r="Z28" s="3"/>
      <c r="AA28" s="3"/>
      <c r="AB28" s="3"/>
      <c r="AC28" s="3"/>
      <c r="AD28" s="3"/>
      <c r="AE28" s="3"/>
    </row>
    <row r="29" spans="1:3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54"/>
      <c r="Y29" s="54"/>
      <c r="Z29" s="3"/>
      <c r="AA29" s="3"/>
      <c r="AB29" s="3"/>
      <c r="AC29" s="3"/>
      <c r="AD29" s="3"/>
      <c r="AE29" s="3"/>
    </row>
    <row r="30" spans="1:3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52"/>
      <c r="Y30" s="52"/>
      <c r="Z30" s="3"/>
      <c r="AA30" s="3"/>
      <c r="AB30" s="3"/>
      <c r="AC30" s="3"/>
      <c r="AD30" s="3"/>
      <c r="AE30" s="3"/>
    </row>
    <row r="31" spans="1:3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52"/>
      <c r="Y31" s="52"/>
      <c r="Z31" s="3"/>
      <c r="AA31" s="3"/>
      <c r="AB31" s="3"/>
      <c r="AC31" s="3"/>
      <c r="AD31" s="3"/>
      <c r="AE31" s="3"/>
    </row>
    <row r="32" spans="1:3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52"/>
      <c r="Y32" s="52"/>
      <c r="Z32" s="3"/>
      <c r="AA32" s="3"/>
      <c r="AB32" s="3"/>
      <c r="AC32" s="3"/>
      <c r="AD32" s="3"/>
      <c r="AE32" s="3"/>
    </row>
    <row r="33" spans="2:3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52"/>
      <c r="Y33" s="52"/>
      <c r="Z33" s="3"/>
      <c r="AA33" s="3"/>
      <c r="AB33" s="3"/>
      <c r="AC33" s="3"/>
      <c r="AD33" s="3"/>
      <c r="AE33" s="3"/>
    </row>
    <row r="34" spans="2:3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52"/>
      <c r="Y34" s="52"/>
      <c r="Z34" s="3"/>
      <c r="AA34" s="3"/>
      <c r="AB34" s="3"/>
      <c r="AC34" s="3"/>
      <c r="AD34" s="3"/>
      <c r="AE34" s="3"/>
    </row>
    <row r="35" spans="2:3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52"/>
      <c r="Y35" s="52"/>
      <c r="Z35" s="3"/>
      <c r="AA35" s="3"/>
      <c r="AB35" s="3"/>
      <c r="AC35" s="3"/>
      <c r="AD35" s="3"/>
      <c r="AE35" s="3"/>
    </row>
    <row r="36" spans="2:3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50"/>
      <c r="X36" s="59"/>
      <c r="Y36" s="59"/>
      <c r="Z36" s="2"/>
      <c r="AA36" s="3"/>
      <c r="AB36" s="3"/>
      <c r="AC36" s="3"/>
      <c r="AD36" s="3"/>
      <c r="AE36" s="3"/>
    </row>
    <row r="37" spans="2:3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50"/>
      <c r="X37" s="59"/>
      <c r="Y37" s="59"/>
      <c r="Z37" s="2"/>
      <c r="AA37" s="3"/>
      <c r="AB37" s="3"/>
      <c r="AC37" s="3"/>
      <c r="AD37" s="3"/>
      <c r="AE37" s="3"/>
    </row>
    <row r="38" spans="2:3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50"/>
      <c r="X38" s="59"/>
      <c r="Y38" s="59"/>
      <c r="Z38" s="2"/>
      <c r="AA38" s="3"/>
      <c r="AB38" s="3"/>
      <c r="AC38" s="3"/>
      <c r="AD38" s="3"/>
      <c r="AE38" s="3"/>
    </row>
    <row r="39" spans="2:3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50"/>
      <c r="X39" s="450"/>
      <c r="Y39" s="450"/>
      <c r="Z39" s="2"/>
      <c r="AA39" s="3"/>
      <c r="AB39" s="3"/>
      <c r="AC39" s="3"/>
      <c r="AD39" s="3"/>
      <c r="AE39" s="3"/>
    </row>
    <row r="40" spans="2:3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50"/>
      <c r="X40" s="450"/>
      <c r="Y40" s="450"/>
      <c r="Z40" s="2"/>
      <c r="AA40" s="3"/>
      <c r="AB40" s="3"/>
      <c r="AC40" s="3"/>
      <c r="AD40" s="3"/>
      <c r="AE40" s="3"/>
    </row>
    <row r="41" spans="2:3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50"/>
      <c r="X41" s="60"/>
      <c r="Y41" s="60"/>
      <c r="Z41" s="2"/>
      <c r="AA41" s="3"/>
      <c r="AB41" s="3"/>
      <c r="AC41" s="3"/>
      <c r="AD41" s="3"/>
      <c r="AE41" s="3"/>
    </row>
    <row r="42" spans="2:3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50"/>
      <c r="X42" s="450"/>
      <c r="Y42" s="450"/>
      <c r="Z42" s="2"/>
      <c r="AA42" s="3"/>
      <c r="AB42" s="3"/>
      <c r="AC42" s="3"/>
      <c r="AD42" s="3"/>
      <c r="AE42" s="3"/>
    </row>
    <row r="43" spans="2:31" ht="14.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0"/>
      <c r="X43" s="2"/>
      <c r="Y43" s="2"/>
      <c r="Z43" s="2"/>
      <c r="AA43" s="3"/>
      <c r="AB43" s="3"/>
      <c r="AC43" s="3"/>
      <c r="AD43" s="3"/>
      <c r="AE43" s="3"/>
    </row>
    <row r="44" spans="2:3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  <c r="X44" s="451"/>
      <c r="Y44" s="451"/>
      <c r="Z44" s="2"/>
      <c r="AA44" s="3"/>
      <c r="AB44" s="3"/>
      <c r="AC44" s="3"/>
      <c r="AD44" s="3"/>
      <c r="AE44" s="3"/>
    </row>
    <row r="45" spans="2:3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52"/>
      <c r="X45" s="452"/>
      <c r="Y45" s="452"/>
      <c r="Z45" s="3"/>
      <c r="AA45" s="3"/>
      <c r="AB45" s="3"/>
      <c r="AC45" s="3"/>
      <c r="AD45" s="3"/>
      <c r="AE45" s="3"/>
    </row>
    <row r="46" spans="2:3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52"/>
      <c r="X46" s="452"/>
      <c r="Y46" s="452"/>
      <c r="Z46" s="3"/>
      <c r="AA46" s="3"/>
      <c r="AB46" s="3"/>
      <c r="AC46" s="3"/>
      <c r="AD46" s="3"/>
      <c r="AE46" s="3"/>
    </row>
    <row r="47" spans="2:31" x14ac:dyDescent="0.2">
      <c r="W47" s="452"/>
      <c r="X47" s="453"/>
      <c r="Y47" s="453"/>
      <c r="Z47" s="3"/>
      <c r="AA47" s="3"/>
      <c r="AB47" s="3"/>
      <c r="AC47" s="3"/>
      <c r="AD47" s="3"/>
      <c r="AE47" s="3"/>
    </row>
    <row r="48" spans="2:31" x14ac:dyDescent="0.2">
      <c r="W48" s="453"/>
      <c r="Z48" s="3"/>
      <c r="AA48" s="3"/>
      <c r="AB48" s="3"/>
      <c r="AC48" s="3"/>
      <c r="AD48" s="3"/>
      <c r="AE48" s="3"/>
    </row>
    <row r="49" spans="26:31" x14ac:dyDescent="0.2">
      <c r="Z49" s="3"/>
      <c r="AA49" s="3"/>
      <c r="AB49" s="3"/>
      <c r="AC49" s="3"/>
      <c r="AD49" s="3"/>
      <c r="AE49" s="3"/>
    </row>
    <row r="50" spans="26:31" x14ac:dyDescent="0.2">
      <c r="Z50" s="3"/>
      <c r="AA50" s="3"/>
      <c r="AB50" s="3"/>
      <c r="AC50" s="3"/>
      <c r="AD50" s="3"/>
      <c r="AE50" s="3"/>
    </row>
    <row r="51" spans="26:31" x14ac:dyDescent="0.2">
      <c r="Z51" s="3"/>
      <c r="AA51" s="3"/>
      <c r="AB51" s="3"/>
      <c r="AC51" s="3"/>
      <c r="AD51" s="3"/>
      <c r="AE51" s="3"/>
    </row>
    <row r="52" spans="26:31" x14ac:dyDescent="0.2">
      <c r="Z52" s="3"/>
      <c r="AA52" s="3"/>
      <c r="AB52" s="3"/>
      <c r="AC52" s="3"/>
      <c r="AD52" s="3"/>
      <c r="AE52" s="3"/>
    </row>
    <row r="53" spans="26:31" x14ac:dyDescent="0.2">
      <c r="Z53" s="3"/>
      <c r="AA53" s="3"/>
      <c r="AB53" s="3"/>
      <c r="AC53" s="3"/>
      <c r="AD53" s="3"/>
      <c r="AE53" s="3"/>
    </row>
    <row r="54" spans="26:31" x14ac:dyDescent="0.2">
      <c r="Z54" s="3"/>
      <c r="AA54" s="3"/>
      <c r="AB54" s="3"/>
      <c r="AC54" s="3"/>
      <c r="AD54" s="3"/>
      <c r="AE54" s="3"/>
    </row>
  </sheetData>
  <mergeCells count="12">
    <mergeCell ref="B5:R5"/>
    <mergeCell ref="C6:R6"/>
    <mergeCell ref="B7:C9"/>
    <mergeCell ref="D7:D9"/>
    <mergeCell ref="F7:V7"/>
    <mergeCell ref="X7:Y8"/>
    <mergeCell ref="F8:G8"/>
    <mergeCell ref="I8:J8"/>
    <mergeCell ref="L8:M8"/>
    <mergeCell ref="O8:P8"/>
    <mergeCell ref="R8:S8"/>
    <mergeCell ref="U8:V8"/>
  </mergeCells>
  <hyperlinks>
    <hyperlink ref="Y1" location="Índice!A1" tooltip="Ir a ÍNDICE" display="INDICE" xr:uid="{1871FB4F-C009-46A3-8C63-F49E95BD078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58CE33-D221-496E-94AD-07C2EB33CC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BCF33-5307-49D3-8A81-EC3B2FB5C484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e829ce69-67eb-47dd-9407-4f8adfa19fc2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7E91EB-6FAA-485E-994C-07E25722B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Índice</vt:lpstr>
      <vt:lpstr>Cuadro 1.1</vt:lpstr>
      <vt:lpstr>Cuadro 1.2</vt:lpstr>
      <vt:lpstr>Cuadro 1.3</vt:lpstr>
      <vt:lpstr>Cuadro 1.4</vt:lpstr>
      <vt:lpstr>Cuadro 1.5</vt:lpstr>
      <vt:lpstr>Cuadro 1.6</vt:lpstr>
      <vt:lpstr>Cuadro 1.7</vt:lpstr>
      <vt:lpstr>Cuadro 1.8</vt:lpstr>
      <vt:lpstr>Cuadro 1.9</vt:lpstr>
      <vt:lpstr>Cuadro 1.10</vt:lpstr>
      <vt:lpstr>Cuadro 1.11</vt:lpstr>
      <vt:lpstr>Cuadro 1.12</vt:lpstr>
      <vt:lpstr>'Cuadro 1.1'!Área_de_impresión</vt:lpstr>
      <vt:lpstr>'Cuadro 1.10'!Área_de_impresión</vt:lpstr>
      <vt:lpstr>'Cuadro 1.11'!Área_de_impresión</vt:lpstr>
      <vt:lpstr>'Cuadro 1.12'!Área_de_impresión</vt:lpstr>
      <vt:lpstr>'Cuadro 1.2'!Área_de_impresión</vt:lpstr>
      <vt:lpstr>'Cuadro 1.4'!Área_de_impresión</vt:lpstr>
      <vt:lpstr>'Cuadro 1.5'!Área_de_impresión</vt:lpstr>
      <vt:lpstr>'Cuadro 1.6'!Área_de_impresión</vt:lpstr>
      <vt:lpstr>'Cuadro 1.7'!Área_de_impresión</vt:lpstr>
      <vt:lpstr>'Cuadro 1.8'!Área_de_impresión</vt:lpstr>
      <vt:lpstr>'Cuadro 1.9'!Área_de_impresión</vt:lpstr>
    </vt:vector>
  </TitlesOfParts>
  <Manager/>
  <Company>INEGI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>Tabulados de hogares y viviendas</cp:keywords>
  <dc:description>2021</dc:description>
  <cp:lastModifiedBy>INEGI</cp:lastModifiedBy>
  <cp:revision/>
  <dcterms:created xsi:type="dcterms:W3CDTF">2019-05-08T14:05:56Z</dcterms:created>
  <dcterms:modified xsi:type="dcterms:W3CDTF">2021-08-19T16:00:52Z</dcterms:modified>
  <cp:category>ENVI2020; ENIGH 2018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