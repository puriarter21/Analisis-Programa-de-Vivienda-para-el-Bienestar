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228"/>
  <workbookPr/>
  <mc:AlternateContent xmlns:mc="http://schemas.openxmlformats.org/markup-compatibility/2006">
    <mc:Choice Requires="x15">
      <x15ac:absPath xmlns:x15ac="http://schemas.microsoft.com/office/spreadsheetml/2010/11/ac" url="C:\Users\guillermo.reyes\Downloads\Tabulados_ENVI2020\Tabulados_ENVI2020_20210811\"/>
    </mc:Choice>
  </mc:AlternateContent>
  <xr:revisionPtr revIDLastSave="0" documentId="13_ncr:1_{F73ABD07-9916-44E8-9915-7355073718E7}" xr6:coauthVersionLast="47" xr6:coauthVersionMax="47" xr10:uidLastSave="{00000000-0000-0000-0000-000000000000}"/>
  <bookViews>
    <workbookView xWindow="20370" yWindow="-120" windowWidth="29040" windowHeight="15840" tabRatio="968" xr2:uid="{00000000-000D-0000-FFFF-FFFF00000000}"/>
  </bookViews>
  <sheets>
    <sheet name="Índice" sheetId="92" r:id="rId1"/>
    <sheet name="Cuadro 1.1" sheetId="105" r:id="rId2"/>
    <sheet name="Cuadro 1.2" sheetId="93" r:id="rId3"/>
    <sheet name="Cuadro 1.3" sheetId="94" r:id="rId4"/>
    <sheet name="Cuadro 1.4" sheetId="95" r:id="rId5"/>
    <sheet name="Cuadro 1.5" sheetId="96" r:id="rId6"/>
    <sheet name="Cuadro 1.6" sheetId="97" r:id="rId7"/>
    <sheet name="Cuadro 1.7" sheetId="98" r:id="rId8"/>
    <sheet name="Cuadro 1.8" sheetId="100" r:id="rId9"/>
    <sheet name="Cuadro 1.9" sheetId="106" r:id="rId10"/>
    <sheet name="Cuadro 1.10" sheetId="101" r:id="rId11"/>
    <sheet name="Cuadro 1.11" sheetId="102" r:id="rId12"/>
    <sheet name="Cuadro 1.12" sheetId="103" r:id="rId13"/>
  </sheets>
  <externalReferences>
    <externalReference r:id="rId14"/>
  </externalReferences>
  <definedNames>
    <definedName name="\p">#N/A</definedName>
    <definedName name="\s">#N/A</definedName>
    <definedName name="_xlnm._FilterDatabase" localSheetId="11" hidden="1">'Cuadro 1.11'!$D$11:$P$44</definedName>
    <definedName name="_xlnm._FilterDatabase" localSheetId="3" hidden="1">'Cuadro 1.3'!$D$11:$M$44</definedName>
    <definedName name="_xlnm._FilterDatabase" localSheetId="4" hidden="1">'Cuadro 1.4'!$D$11:$P$45</definedName>
    <definedName name="_xlnm._FilterDatabase" localSheetId="7" hidden="1">'Cuadro 1.7'!$D$11:$P$17</definedName>
    <definedName name="_xlnm._FilterDatabase" localSheetId="8" hidden="1">'Cuadro 1.8'!$D$11:$P$45</definedName>
    <definedName name="A_impresión_IM" localSheetId="1">#REF!</definedName>
    <definedName name="A_impresión_IM" localSheetId="11">#REF!</definedName>
    <definedName name="A_impresión_IM" localSheetId="12">#REF!</definedName>
    <definedName name="A_impresión_IM" localSheetId="7">#REF!</definedName>
    <definedName name="A_impresión_IM" localSheetId="8">#REF!</definedName>
    <definedName name="A_impresión_IM" localSheetId="0">#REF!</definedName>
    <definedName name="A_impresión_IM">#REF!</definedName>
    <definedName name="_xlnm.Print_Area" localSheetId="1">'Cuadro 1.1'!$B$1:$F$17</definedName>
    <definedName name="_xlnm.Print_Area" localSheetId="10">'Cuadro 1.10'!$B$1:$J$46</definedName>
    <definedName name="_xlnm.Print_Area" localSheetId="11">'Cuadro 1.11'!$B$1:$W$49</definedName>
    <definedName name="_xlnm.Print_Area" localSheetId="12">'Cuadro 1.12'!$B$1:$V$21</definedName>
    <definedName name="_xlnm.Print_Area" localSheetId="2">'Cuadro 1.2'!$B$1:$E$31</definedName>
    <definedName name="_xlnm.Print_Area" localSheetId="4">'Cuadro 1.4'!$B$1:$V$46</definedName>
    <definedName name="_xlnm.Print_Area" localSheetId="5">'Cuadro 1.5'!$B$1:$V$18</definedName>
    <definedName name="_xlnm.Print_Area" localSheetId="6">'Cuadro 1.6'!$B$1:$AB$46</definedName>
    <definedName name="_xlnm.Print_Area" localSheetId="7">'Cuadro 1.7'!$B$1:$AB$18</definedName>
    <definedName name="_xlnm.Print_Area" localSheetId="8">'Cuadro 1.8'!$B$1:$V$46</definedName>
    <definedName name="_xlnm.Print_Area" localSheetId="9">'Cuadro 1.9'!$B$1:$V$18</definedName>
    <definedName name="Cuadro_2.1">#REF!</definedName>
    <definedName name="Cuadro_2.2" localSheetId="0">#REF!</definedName>
    <definedName name="Cuadro_2.2">#REF!</definedName>
    <definedName name="Cuadro_2.3" localSheetId="0">#REF!</definedName>
    <definedName name="Cuadro_2.3">#REF!</definedName>
    <definedName name="Ir_a_inicio">'[1]Cuadro 1'!#REF!</definedName>
    <definedName name="paso" localSheetId="1">#REF!</definedName>
    <definedName name="paso" localSheetId="11">#REF!</definedName>
    <definedName name="paso" localSheetId="12">#REF!</definedName>
    <definedName name="paso" localSheetId="7">#REF!</definedName>
    <definedName name="paso" localSheetId="8">#REF!</definedName>
    <definedName name="paso" localSheetId="0">#REF!</definedName>
    <definedName name="paso">#REF!</definedName>
    <definedName name="prueba" localSheetId="1">#REF!</definedName>
    <definedName name="prueba" localSheetId="11">#REF!</definedName>
    <definedName name="prueba" localSheetId="12">#REF!</definedName>
    <definedName name="prueba" localSheetId="7">#REF!</definedName>
    <definedName name="prueba" localSheetId="8">#REF!</definedName>
    <definedName name="prueba" localSheetId="0">#REF!</definedName>
    <definedName name="prueb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7" i="92" l="1"/>
</calcChain>
</file>

<file path=xl/sharedStrings.xml><?xml version="1.0" encoding="utf-8"?>
<sst xmlns="http://schemas.openxmlformats.org/spreadsheetml/2006/main" count="580" uniqueCount="145">
  <si>
    <t>Viviendas particulares habitadas por tamaño de localidad según número de hogares</t>
  </si>
  <si>
    <t>Tamaño de localidad</t>
  </si>
  <si>
    <t>Total de viviendas  particulares habitadas</t>
  </si>
  <si>
    <t xml:space="preserve">Solo con un hogar </t>
  </si>
  <si>
    <t>Dos o más hogares</t>
  </si>
  <si>
    <t xml:space="preserve">Estados Unidos Mexicanos                                    </t>
  </si>
  <si>
    <t>1 a 2 499 habitantes</t>
  </si>
  <si>
    <t xml:space="preserve">De 2 500 a 14 999 habitantes </t>
  </si>
  <si>
    <t xml:space="preserve">De 15 000 a 99 999 habitantes </t>
  </si>
  <si>
    <r>
      <t>Fuente:</t>
    </r>
    <r>
      <rPr>
        <b/>
        <sz val="8"/>
        <color rgb="FF000000"/>
        <rFont val="Arial"/>
        <family val="2"/>
      </rPr>
      <t xml:space="preserve"> INEGI.</t>
    </r>
    <r>
      <rPr>
        <sz val="8"/>
        <color rgb="FF000000"/>
        <rFont val="Arial"/>
        <family val="2"/>
      </rPr>
      <t xml:space="preserve"> Encuesta Nacional de Vivienda 2020.</t>
    </r>
  </si>
  <si>
    <t>Viviendas particulares habitadas por condición de tenencia de aislamiento térmico y acústico y su ubicación</t>
  </si>
  <si>
    <t>Condición de tenencia de aislamiento térmico y acústico y ubicación</t>
  </si>
  <si>
    <t>Viviendas particulares habitadas</t>
  </si>
  <si>
    <t>Absolutos</t>
  </si>
  <si>
    <t>Relativos</t>
  </si>
  <si>
    <t>Estados Unidos Mexicanos</t>
  </si>
  <si>
    <t>Techos</t>
  </si>
  <si>
    <t>Paredes</t>
  </si>
  <si>
    <t>Ventanas</t>
  </si>
  <si>
    <t>No especificado</t>
  </si>
  <si>
    <t>Puertas</t>
  </si>
  <si>
    <t xml:space="preserve">Viviendas particulares habitadas por entidad federativa, según condición de tenencia de servicios básicos </t>
  </si>
  <si>
    <t>Entidad federativa</t>
  </si>
  <si>
    <t xml:space="preserve">Total de viviendas  particulares habitadas
</t>
  </si>
  <si>
    <t>Sanitario</t>
  </si>
  <si>
    <t>Electricidad</t>
  </si>
  <si>
    <t>Aguascalientes</t>
  </si>
  <si>
    <t>Baja California</t>
  </si>
  <si>
    <t>Baja California Sur</t>
  </si>
  <si>
    <t>Campeche</t>
  </si>
  <si>
    <t>Coahuila de Zaragoza</t>
  </si>
  <si>
    <t>Colima</t>
  </si>
  <si>
    <t>Chiapas</t>
  </si>
  <si>
    <t>Chihuahua</t>
  </si>
  <si>
    <t>Ciudad de México</t>
  </si>
  <si>
    <t>Durango</t>
  </si>
  <si>
    <t>Guanajuato</t>
  </si>
  <si>
    <t>Guerrero</t>
  </si>
  <si>
    <t>Hidalgo</t>
  </si>
  <si>
    <t>Jalisco</t>
  </si>
  <si>
    <t>México</t>
  </si>
  <si>
    <t>Michoacán de Ocampo</t>
  </si>
  <si>
    <t>Morelos</t>
  </si>
  <si>
    <t>Nayarit</t>
  </si>
  <si>
    <t>Nuevo León</t>
  </si>
  <si>
    <t>Oaxaca</t>
  </si>
  <si>
    <t>Puebla</t>
  </si>
  <si>
    <t>Querétaro</t>
  </si>
  <si>
    <t>Quintana Roo</t>
  </si>
  <si>
    <t>San Luis Potosí</t>
  </si>
  <si>
    <t>Sinaloa</t>
  </si>
  <si>
    <t>Sonora</t>
  </si>
  <si>
    <t>Tabasco</t>
  </si>
  <si>
    <t>Tamaulipas</t>
  </si>
  <si>
    <t>Tlaxcala</t>
  </si>
  <si>
    <t>Veracruz de Ignacio de la Llave</t>
  </si>
  <si>
    <t>Yucatán</t>
  </si>
  <si>
    <t>Zacatecas</t>
  </si>
  <si>
    <t>Viviendas particulares habitadas por entidad federativa, según antigüedad de la vivienda</t>
  </si>
  <si>
    <t>Antigüedad de la vivienda</t>
  </si>
  <si>
    <t>5 años o menos</t>
  </si>
  <si>
    <t>De 6 a 10 años</t>
  </si>
  <si>
    <t>31 o más años</t>
  </si>
  <si>
    <t>Viviendas particulares habitadas por tamaño de localidad, según antigüedad de la vivienda</t>
  </si>
  <si>
    <t>Viviendas particulares habitadas por entidad federativa, según superficie de terreno</t>
  </si>
  <si>
    <r>
      <t>Superficie de terreno (m</t>
    </r>
    <r>
      <rPr>
        <b/>
        <vertAlign val="superscript"/>
        <sz val="8"/>
        <color theme="1"/>
        <rFont val="Arial"/>
        <family val="2"/>
      </rPr>
      <t>2</t>
    </r>
    <r>
      <rPr>
        <b/>
        <sz val="8"/>
        <color theme="1"/>
        <rFont val="Arial"/>
        <family val="2"/>
      </rPr>
      <t>)</t>
    </r>
  </si>
  <si>
    <r>
      <t>Hasta 60 m</t>
    </r>
    <r>
      <rPr>
        <b/>
        <vertAlign val="superscript"/>
        <sz val="8"/>
        <color theme="1"/>
        <rFont val="Arial"/>
        <family val="2"/>
      </rPr>
      <t>2</t>
    </r>
  </si>
  <si>
    <r>
      <t>De 61 a 90 m</t>
    </r>
    <r>
      <rPr>
        <b/>
        <vertAlign val="superscript"/>
        <sz val="8"/>
        <color theme="1"/>
        <rFont val="Arial"/>
        <family val="2"/>
      </rPr>
      <t>2</t>
    </r>
  </si>
  <si>
    <r>
      <t>De 91 a 120 m</t>
    </r>
    <r>
      <rPr>
        <b/>
        <vertAlign val="superscript"/>
        <sz val="8"/>
        <color theme="1"/>
        <rFont val="Arial"/>
        <family val="2"/>
      </rPr>
      <t>2</t>
    </r>
  </si>
  <si>
    <t>Viviendas particulares habitadas por tamaño de localidad, según superficie de terreno</t>
  </si>
  <si>
    <t>Viviendas particulares habitadas por entidad federativa, según metros de construcción</t>
  </si>
  <si>
    <r>
      <t>Metros de construcción (m</t>
    </r>
    <r>
      <rPr>
        <b/>
        <vertAlign val="superscript"/>
        <sz val="8"/>
        <color theme="1"/>
        <rFont val="Arial"/>
        <family val="2"/>
      </rPr>
      <t>2</t>
    </r>
    <r>
      <rPr>
        <b/>
        <sz val="8"/>
        <color theme="1"/>
        <rFont val="Arial"/>
        <family val="2"/>
      </rPr>
      <t>)</t>
    </r>
  </si>
  <si>
    <r>
      <t>De 46 a 75 m</t>
    </r>
    <r>
      <rPr>
        <b/>
        <vertAlign val="superscript"/>
        <sz val="8"/>
        <color theme="1"/>
        <rFont val="Arial"/>
        <family val="2"/>
      </rPr>
      <t>2</t>
    </r>
  </si>
  <si>
    <r>
      <t>Más de 150 m</t>
    </r>
    <r>
      <rPr>
        <b/>
        <vertAlign val="superscript"/>
        <sz val="8"/>
        <color theme="1"/>
        <rFont val="Arial"/>
        <family val="2"/>
      </rPr>
      <t>2</t>
    </r>
  </si>
  <si>
    <t>Viviendas particulares habitadas por tamaño de localidad, según metros de construcción</t>
  </si>
  <si>
    <t>Viviendas particulares habitadas por entidad federativa, según disponibilidad de local comercial o espacio adaptado para negocio</t>
  </si>
  <si>
    <t>100 000  o más habitantes</t>
  </si>
  <si>
    <t>De 11 a 20 años</t>
  </si>
  <si>
    <t>De 21 a 30 años</t>
  </si>
  <si>
    <t>100 000 y más habitantes</t>
  </si>
  <si>
    <r>
      <t>De 121 a 160 m</t>
    </r>
    <r>
      <rPr>
        <b/>
        <vertAlign val="superscript"/>
        <sz val="8"/>
        <color theme="1"/>
        <rFont val="Arial"/>
        <family val="2"/>
      </rPr>
      <t>2</t>
    </r>
  </si>
  <si>
    <r>
      <t>De 161 a 200 m</t>
    </r>
    <r>
      <rPr>
        <b/>
        <vertAlign val="superscript"/>
        <sz val="8"/>
        <color theme="1"/>
        <rFont val="Arial"/>
        <family val="2"/>
      </rPr>
      <t>2</t>
    </r>
  </si>
  <si>
    <r>
      <t>De 201 a 300 m</t>
    </r>
    <r>
      <rPr>
        <b/>
        <vertAlign val="superscript"/>
        <sz val="8"/>
        <color theme="1"/>
        <rFont val="Arial"/>
        <family val="2"/>
      </rPr>
      <t>2</t>
    </r>
  </si>
  <si>
    <r>
      <t>Más de 300 m</t>
    </r>
    <r>
      <rPr>
        <b/>
        <vertAlign val="superscript"/>
        <sz val="8"/>
        <color theme="1"/>
        <rFont val="Arial"/>
        <family val="2"/>
      </rPr>
      <t>2</t>
    </r>
  </si>
  <si>
    <r>
      <t>Hasta 45 m</t>
    </r>
    <r>
      <rPr>
        <b/>
        <vertAlign val="superscript"/>
        <sz val="8"/>
        <color theme="1"/>
        <rFont val="Arial"/>
        <family val="2"/>
      </rPr>
      <t>2</t>
    </r>
  </si>
  <si>
    <r>
      <t>De 76 a 100 m</t>
    </r>
    <r>
      <rPr>
        <b/>
        <vertAlign val="superscript"/>
        <sz val="8"/>
        <color theme="1"/>
        <rFont val="Arial"/>
        <family val="2"/>
      </rPr>
      <t>2</t>
    </r>
  </si>
  <si>
    <r>
      <t>De 101 a 150 m</t>
    </r>
    <r>
      <rPr>
        <b/>
        <vertAlign val="superscript"/>
        <sz val="8"/>
        <color theme="1"/>
        <rFont val="Arial"/>
        <family val="2"/>
      </rPr>
      <t>2</t>
    </r>
  </si>
  <si>
    <t>Cuadro 1.1</t>
  </si>
  <si>
    <t>Cuadro 1.2</t>
  </si>
  <si>
    <t>Cuadro 1.3</t>
  </si>
  <si>
    <t>Cuadro 1.4</t>
  </si>
  <si>
    <t>Cuadro 1.5</t>
  </si>
  <si>
    <t>Cuadro 1.6</t>
  </si>
  <si>
    <t>Cuadro 1.7</t>
  </si>
  <si>
    <t>Cuadro 1.8</t>
  </si>
  <si>
    <t>Cuadro 1.9</t>
  </si>
  <si>
    <t>Cuadro 1.10</t>
  </si>
  <si>
    <t>Sin servicios básicos</t>
  </si>
  <si>
    <r>
      <t>No tienen aislamiento térmico</t>
    </r>
    <r>
      <rPr>
        <b/>
        <vertAlign val="superscript"/>
        <sz val="8"/>
        <rFont val="Arial"/>
        <family val="2"/>
      </rPr>
      <t>2</t>
    </r>
  </si>
  <si>
    <r>
      <t>No tienen aislamiento acústico</t>
    </r>
    <r>
      <rPr>
        <b/>
        <vertAlign val="superscript"/>
        <sz val="8"/>
        <rFont val="Arial"/>
        <family val="2"/>
      </rPr>
      <t>4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</si>
  <si>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Incluye las viviendas particulares habitadas que declararon no saber si tienen aislamiento térmico.</t>
    </r>
  </si>
  <si>
    <r>
      <rPr>
        <vertAlign val="superscript"/>
        <sz val="8"/>
        <rFont val="Arial"/>
        <family val="2"/>
      </rPr>
      <t xml:space="preserve">4 </t>
    </r>
    <r>
      <rPr>
        <sz val="8"/>
        <rFont val="Arial"/>
        <family val="2"/>
      </rPr>
      <t>Incluye las viviendas particulares habitadas que declararon no saber si tienen aislamiento acústico.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</si>
  <si>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Una vivienda puede tener aislamiento térmico en más de una ubicación (techos, paredes o ventanas).</t>
    </r>
  </si>
  <si>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 xml:space="preserve"> Una vivienda puede tener aislamiento acústico en más de una ubicación (techos, paredes, ventanas o puertas).</t>
    </r>
  </si>
  <si>
    <r>
      <t>Sí tienen aislamiento térmico</t>
    </r>
    <r>
      <rPr>
        <b/>
        <vertAlign val="superscript"/>
        <sz val="8"/>
        <rFont val="Arial"/>
        <family val="2"/>
      </rPr>
      <t>1</t>
    </r>
  </si>
  <si>
    <r>
      <t>Sí tienen aislamiento acústico</t>
    </r>
    <r>
      <rPr>
        <b/>
        <vertAlign val="superscript"/>
        <sz val="8"/>
        <rFont val="Arial"/>
        <family val="2"/>
      </rPr>
      <t>3</t>
    </r>
  </si>
  <si>
    <r>
      <rPr>
        <vertAlign val="superscript"/>
        <sz val="8"/>
        <rFont val="Arial"/>
        <family val="2"/>
      </rPr>
      <t xml:space="preserve">1 </t>
    </r>
    <r>
      <rPr>
        <sz val="8"/>
        <rFont val="Arial"/>
        <family val="2"/>
      </rPr>
      <t>La suma puede ser mayor al total porque una vivienda pudo reportar más de un problema estructural.</t>
    </r>
  </si>
  <si>
    <t>En las tuberías de agua o drenaje dentro de la vivienda</t>
  </si>
  <si>
    <t>Fracturas, pandeos o deformación de columnas, vigas o trabes</t>
  </si>
  <si>
    <t>Pandeos o deformaciones en los marcos de las puertas o ventanas</t>
  </si>
  <si>
    <t>Grietas o cuarteaduras en techos o muros</t>
  </si>
  <si>
    <t xml:space="preserve">Viviendas particulares habitadas por entidad federativa, según problemas estructurales </t>
  </si>
  <si>
    <t xml:space="preserve">Viviendas particulares habitadas por tamaño de localidad, según problemas estructurales </t>
  </si>
  <si>
    <t>Cuadro 1.11</t>
  </si>
  <si>
    <t>Cuadro 1.12</t>
  </si>
  <si>
    <t>Levantamientos o hundimientos del piso</t>
  </si>
  <si>
    <t>Humedad o filtraciones de agua en cimientos, muros o techos</t>
  </si>
  <si>
    <t>Viviendas que no tienen local comercial o espacio adaptado para negocio</t>
  </si>
  <si>
    <t>ÍNDICE</t>
  </si>
  <si>
    <t>TABULADOS BÁSICOS</t>
  </si>
  <si>
    <t>Nivel de confianza del 90%</t>
  </si>
  <si>
    <t>Tema</t>
  </si>
  <si>
    <t>ID Cuadro</t>
  </si>
  <si>
    <t>Título</t>
  </si>
  <si>
    <t>Encuesta Nacional de Vivienda (ENVI) 2020</t>
  </si>
  <si>
    <r>
      <t xml:space="preserve">Tema 1. </t>
    </r>
    <r>
      <rPr>
        <sz val="11"/>
        <color theme="10"/>
        <rFont val="Arial"/>
        <family val="2"/>
      </rPr>
      <t>Características generales de la vivienda</t>
    </r>
  </si>
  <si>
    <t>Viviendas particulares habitadas por entidad federativa, según disponibilidad de local comercial o espacio adaptado 
para negocio</t>
  </si>
  <si>
    <t>Viviendas que tienen local comercial y espacio para negocio</t>
  </si>
  <si>
    <r>
      <t>Condición de tenencia de servicios básicos</t>
    </r>
    <r>
      <rPr>
        <b/>
        <vertAlign val="superscript"/>
        <sz val="8"/>
        <rFont val="Arial"/>
        <family val="2"/>
      </rPr>
      <t>1</t>
    </r>
  </si>
  <si>
    <r>
      <t>Agua entubada</t>
    </r>
    <r>
      <rPr>
        <b/>
        <vertAlign val="superscript"/>
        <sz val="8"/>
        <rFont val="Arial"/>
        <family val="2"/>
      </rPr>
      <t>2</t>
    </r>
  </si>
  <si>
    <r>
      <t>Drenaje</t>
    </r>
    <r>
      <rPr>
        <b/>
        <vertAlign val="superscript"/>
        <sz val="8"/>
        <rFont val="Arial"/>
        <family val="2"/>
      </rPr>
      <t>3,4</t>
    </r>
  </si>
  <si>
    <r>
      <rPr>
        <vertAlign val="superscript"/>
        <sz val="8"/>
        <rFont val="Arial"/>
        <family val="2"/>
      </rPr>
      <t>1</t>
    </r>
    <r>
      <rPr>
        <sz val="8"/>
        <rFont val="Arial"/>
        <family val="2"/>
      </rPr>
      <t xml:space="preserve"> La suma puede ser mayor al total porque una vivienda pudo reportar la tenencia de más de un servicio básico.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</si>
  <si>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Incluye: agua dentro de la vivienda y solo en el patio o terreno.</t>
    </r>
  </si>
  <si>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 xml:space="preserve"> Incluye: drenaje o desagüe conectado a la red pública, una fosa séptica o biodigestor, una tubería que va a dar a una barranca o grieta, y una tubería que va a dar a un río, lago o mar.</t>
    </r>
  </si>
  <si>
    <r>
      <t>Fuente:</t>
    </r>
    <r>
      <rPr>
        <b/>
        <sz val="8"/>
        <rFont val="Arial"/>
        <family val="2"/>
      </rPr>
      <t xml:space="preserve"> INEGI.</t>
    </r>
    <r>
      <rPr>
        <sz val="8"/>
        <rFont val="Arial"/>
        <family val="2"/>
      </rPr>
      <t xml:space="preserve"> Encuesta Nacional de Vivienda 2020.</t>
    </r>
  </si>
  <si>
    <t>Solo local comercial</t>
  </si>
  <si>
    <t>Solo espacio adaptado para negocio (tiendita, taller) oficina o consultorio</t>
  </si>
  <si>
    <r>
      <t>Problemas estructurales en la vivienda</t>
    </r>
    <r>
      <rPr>
        <b/>
        <vertAlign val="superscript"/>
        <sz val="8"/>
        <rFont val="Arial"/>
        <family val="2"/>
      </rPr>
      <t>1,2</t>
    </r>
  </si>
  <si>
    <r>
      <t>Viviendas sin problemas estructurales</t>
    </r>
    <r>
      <rPr>
        <b/>
        <vertAlign val="superscript"/>
        <sz val="8"/>
        <rFont val="Arial"/>
        <family val="2"/>
      </rPr>
      <t>2,3</t>
    </r>
  </si>
  <si>
    <r>
      <rPr>
        <vertAlign val="superscript"/>
        <sz val="8"/>
        <rFont val="Arial"/>
        <family val="2"/>
      </rPr>
      <t>2</t>
    </r>
    <r>
      <rPr>
        <sz val="8"/>
        <rFont val="Arial"/>
        <family val="2"/>
      </rPr>
      <t xml:space="preserve"> Se excluyen las viviendas que tuvieron problemas con el sistema eléctrico (muros, techos, etcétera).</t>
    </r>
  </si>
  <si>
    <r>
      <rPr>
        <vertAlign val="superscript"/>
        <sz val="8"/>
        <rFont val="Arial"/>
        <family val="2"/>
      </rPr>
      <t>3</t>
    </r>
    <r>
      <rPr>
        <sz val="8"/>
        <rFont val="Arial"/>
        <family val="2"/>
      </rPr>
      <t xml:space="preserve"> Incluye las viviendas particulares habitadas que declararon no saber si tienen problemas estructurales.</t>
    </r>
  </si>
  <si>
    <t>Agosto 2021</t>
  </si>
  <si>
    <t>Límite superior.</t>
  </si>
  <si>
    <r>
      <rPr>
        <vertAlign val="superscript"/>
        <sz val="8"/>
        <rFont val="Arial"/>
        <family val="2"/>
      </rPr>
      <t>4</t>
    </r>
    <r>
      <rPr>
        <sz val="8"/>
        <rFont val="Arial"/>
        <family val="2"/>
      </rPr>
      <t xml:space="preserve"> Se excluyen 101643 casos donde no hay congruencia entre la descarga de agua y el drenaje.</t>
    </r>
  </si>
  <si>
    <t>INEGI. Encuesta Nacional de Vivienda. ENVI 2020. Tabulados básicos.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</si>
</sst>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#\ ###\ ##0"/>
    <numFmt numFmtId="166" formatCode="###\ ###\ ##0"/>
    <numFmt numFmtId="167" formatCode="0.0"/>
    <numFmt numFmtId="168" formatCode="###\ ###\ ###\ ##0"/>
    <numFmt numFmtId="169" formatCode="###\ ###\ ###"/>
    <numFmt numFmtId="170" formatCode="###\ ###\ ##0.0"/>
    <numFmt numFmtId="171" formatCode="###\ ###\ ###\ ##0.0"/>
  </numFmts>
  <fonts count="74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rgb="FF000080"/>
      <name val="Arial"/>
      <family val="2"/>
    </font>
    <font>
      <sz val="8"/>
      <name val="Arial"/>
      <family val="2"/>
    </font>
    <font>
      <sz val="10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name val="Arial"/>
      <family val="2"/>
    </font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9"/>
      <color rgb="FF000080"/>
      <name val="Arial"/>
      <family val="2"/>
    </font>
    <font>
      <sz val="11"/>
      <name val="Arial"/>
      <family val="2"/>
    </font>
    <font>
      <b/>
      <sz val="11"/>
      <color theme="1"/>
      <name val="Arial"/>
      <family val="2"/>
    </font>
    <font>
      <b/>
      <sz val="9"/>
      <name val="Arial"/>
      <family val="2"/>
    </font>
    <font>
      <u/>
      <sz val="11"/>
      <color theme="10"/>
      <name val="Calibri"/>
      <family val="2"/>
      <scheme val="minor"/>
    </font>
    <font>
      <sz val="11"/>
      <color indexed="8"/>
      <name val="Calibri"/>
      <family val="2"/>
      <scheme val="minor"/>
    </font>
    <font>
      <sz val="11"/>
      <color indexed="8"/>
      <name val="Arial"/>
      <family val="2"/>
    </font>
    <font>
      <b/>
      <sz val="10"/>
      <color indexed="8"/>
      <name val="Arial"/>
      <family val="2"/>
    </font>
    <font>
      <b/>
      <sz val="8"/>
      <color indexed="8"/>
      <name val="Arial"/>
      <family val="2"/>
    </font>
    <font>
      <sz val="8"/>
      <color indexed="8"/>
      <name val="Arial"/>
      <family val="2"/>
    </font>
    <font>
      <sz val="8"/>
      <color rgb="FF000000"/>
      <name val="Arial"/>
      <family val="2"/>
    </font>
    <font>
      <b/>
      <sz val="8"/>
      <color rgb="FF000000"/>
      <name val="Arial"/>
      <family val="2"/>
    </font>
    <font>
      <b/>
      <vertAlign val="superscript"/>
      <sz val="8"/>
      <color theme="1"/>
      <name val="Arial"/>
      <family val="2"/>
    </font>
    <font>
      <b/>
      <vertAlign val="superscript"/>
      <sz val="8"/>
      <name val="Arial"/>
      <family val="2"/>
    </font>
    <font>
      <sz val="8"/>
      <color rgb="FF000000"/>
      <name val="Calibri"/>
      <family val="2"/>
    </font>
    <font>
      <vertAlign val="superscript"/>
      <sz val="8"/>
      <name val="Arial"/>
      <family val="2"/>
    </font>
    <font>
      <sz val="9"/>
      <color indexed="8"/>
      <name val="Arial"/>
      <family val="2"/>
    </font>
    <font>
      <u/>
      <sz val="11"/>
      <color theme="10"/>
      <name val="Arial"/>
      <family val="2"/>
    </font>
    <font>
      <sz val="9"/>
      <color theme="1"/>
      <name val="Arial"/>
      <family val="2"/>
    </font>
    <font>
      <sz val="9"/>
      <name val="Arial"/>
      <family val="2"/>
    </font>
    <font>
      <b/>
      <sz val="9"/>
      <color theme="1"/>
      <name val="Arial"/>
      <family val="2"/>
    </font>
    <font>
      <u/>
      <sz val="9"/>
      <color theme="10"/>
      <name val="Arial"/>
      <family val="2"/>
    </font>
    <font>
      <b/>
      <sz val="9"/>
      <color indexed="8"/>
      <name val="Arial"/>
      <family val="2"/>
    </font>
    <font>
      <u/>
      <sz val="10"/>
      <color theme="10"/>
      <name val="Arial"/>
      <family val="2"/>
    </font>
    <font>
      <sz val="11"/>
      <color rgb="FF000080"/>
      <name val="Arial"/>
      <family val="2"/>
    </font>
    <font>
      <b/>
      <sz val="11"/>
      <color theme="0"/>
      <name val="Arial"/>
      <family val="2"/>
    </font>
    <font>
      <b/>
      <sz val="11"/>
      <color theme="10"/>
      <name val="Arial"/>
      <family val="2"/>
    </font>
    <font>
      <sz val="11"/>
      <color theme="10"/>
      <name val="Arial"/>
      <family val="2"/>
    </font>
    <font>
      <sz val="10"/>
      <color theme="1"/>
      <name val="Arial"/>
      <family val="2"/>
    </font>
    <font>
      <b/>
      <i/>
      <sz val="12"/>
      <color rgb="FF000080"/>
      <name val="Arial"/>
      <family val="2"/>
    </font>
    <font>
      <u/>
      <sz val="9"/>
      <color rgb="FF003399"/>
      <name val="Arial"/>
      <family val="2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Arial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</font>
    <font>
      <u/>
      <sz val="9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6E6E6D"/>
        <bgColor indexed="64"/>
      </patternFill>
    </fill>
    <fill>
      <patternFill patternType="solid">
        <fgColor rgb="FF337AB7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9"/>
      </left>
      <right style="thin">
        <color indexed="9"/>
      </right>
      <top/>
      <bottom/>
      <diagonal/>
    </border>
    <border>
      <left/>
      <right/>
      <top/>
      <bottom style="thin">
        <color rgb="FF000000"/>
      </bottom>
      <diagonal/>
    </border>
    <border>
      <left style="medium">
        <color rgb="FF337AB7"/>
      </left>
      <right style="thin">
        <color rgb="FF337AB7"/>
      </right>
      <top style="medium">
        <color rgb="FF337AB7"/>
      </top>
      <bottom/>
      <diagonal/>
    </border>
    <border>
      <left style="thin">
        <color rgb="FF337AB7"/>
      </left>
      <right style="thin">
        <color rgb="FF337AB7"/>
      </right>
      <top style="medium">
        <color rgb="FF337AB7"/>
      </top>
      <bottom/>
      <diagonal/>
    </border>
    <border>
      <left style="thin">
        <color rgb="FF337AB7"/>
      </left>
      <right style="medium">
        <color rgb="FF337AB7"/>
      </right>
      <top style="medium">
        <color rgb="FF337AB7"/>
      </top>
      <bottom/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/>
      <diagonal/>
    </border>
    <border>
      <left/>
      <right style="thin">
        <color rgb="FF337AB7"/>
      </right>
      <top style="medium">
        <color rgb="FF0070C0"/>
      </top>
      <bottom style="thin">
        <color rgb="FF337AB7"/>
      </bottom>
      <diagonal/>
    </border>
    <border>
      <left style="thin">
        <color rgb="FF337AB7"/>
      </left>
      <right/>
      <top style="medium">
        <color rgb="FF0070C0"/>
      </top>
      <bottom style="thin">
        <color rgb="FF337AB7"/>
      </bottom>
      <diagonal/>
    </border>
    <border>
      <left/>
      <right/>
      <top style="medium">
        <color rgb="FF0070C0"/>
      </top>
      <bottom style="thin">
        <color rgb="FF337AB7"/>
      </bottom>
      <diagonal/>
    </border>
    <border>
      <left/>
      <right style="medium">
        <color rgb="FF0070C0"/>
      </right>
      <top style="medium">
        <color rgb="FF0070C0"/>
      </top>
      <bottom style="thin">
        <color rgb="FF337AB7"/>
      </bottom>
      <diagonal/>
    </border>
    <border>
      <left style="medium">
        <color rgb="FF0070C0"/>
      </left>
      <right style="thin">
        <color rgb="FF0070C0"/>
      </right>
      <top/>
      <bottom/>
      <diagonal/>
    </border>
    <border>
      <left/>
      <right/>
      <top style="thin">
        <color rgb="FF337AB7"/>
      </top>
      <bottom style="thin">
        <color rgb="FF337AB7"/>
      </bottom>
      <diagonal/>
    </border>
    <border>
      <left style="thin">
        <color rgb="FF337AB7"/>
      </left>
      <right/>
      <top style="thin">
        <color rgb="FF337AB7"/>
      </top>
      <bottom style="thin">
        <color rgb="FF337AB7"/>
      </bottom>
      <diagonal/>
    </border>
    <border>
      <left/>
      <right style="medium">
        <color rgb="FF0070C0"/>
      </right>
      <top style="thin">
        <color rgb="FF337AB7"/>
      </top>
      <bottom style="thin">
        <color rgb="FF337AB7"/>
      </bottom>
      <diagonal/>
    </border>
    <border>
      <left style="medium">
        <color rgb="FF0070C0"/>
      </left>
      <right style="thin">
        <color rgb="FF0070C0"/>
      </right>
      <top/>
      <bottom style="medium">
        <color rgb="FF0070C0"/>
      </bottom>
      <diagonal/>
    </border>
    <border>
      <left/>
      <right/>
      <top style="thin">
        <color rgb="FF337AB7"/>
      </top>
      <bottom style="medium">
        <color rgb="FF0070C0"/>
      </bottom>
      <diagonal/>
    </border>
    <border>
      <left style="thin">
        <color rgb="FF337AB7"/>
      </left>
      <right/>
      <top style="thin">
        <color rgb="FF337AB7"/>
      </top>
      <bottom style="medium">
        <color rgb="FF0070C0"/>
      </bottom>
      <diagonal/>
    </border>
    <border>
      <left/>
      <right style="medium">
        <color rgb="FF0070C0"/>
      </right>
      <top style="thin">
        <color rgb="FF337AB7"/>
      </top>
      <bottom style="medium">
        <color rgb="FF0070C0"/>
      </bottom>
      <diagonal/>
    </border>
  </borders>
  <cellStyleXfs count="79">
    <xf numFmtId="0" fontId="0" fillId="0" borderId="0"/>
    <xf numFmtId="0" fontId="29" fillId="0" borderId="0"/>
    <xf numFmtId="164" fontId="29" fillId="0" borderId="0" applyFont="0" applyFill="0" applyBorder="0" applyAlignment="0" applyProtection="0"/>
    <xf numFmtId="0" fontId="29" fillId="0" borderId="0"/>
    <xf numFmtId="0" fontId="26" fillId="0" borderId="0"/>
    <xf numFmtId="0" fontId="25" fillId="0" borderId="0"/>
    <xf numFmtId="0" fontId="25" fillId="0" borderId="0"/>
    <xf numFmtId="164" fontId="25" fillId="0" borderId="0" applyFont="0" applyFill="0" applyBorder="0" applyAlignment="0" applyProtection="0"/>
    <xf numFmtId="0" fontId="35" fillId="0" borderId="0" applyNumberFormat="0" applyFill="0" applyBorder="0" applyAlignment="0" applyProtection="0">
      <alignment vertical="top"/>
      <protection locked="0"/>
    </xf>
    <xf numFmtId="0" fontId="29" fillId="0" borderId="0"/>
    <xf numFmtId="0" fontId="25" fillId="3" borderId="4" applyNumberFormat="0" applyFont="0" applyAlignment="0" applyProtection="0"/>
    <xf numFmtId="0" fontId="25" fillId="0" borderId="0"/>
    <xf numFmtId="164" fontId="25" fillId="0" borderId="0" applyFont="0" applyFill="0" applyBorder="0" applyAlignment="0" applyProtection="0"/>
    <xf numFmtId="0" fontId="24" fillId="0" borderId="0"/>
    <xf numFmtId="0" fontId="40" fillId="0" borderId="0" applyNumberFormat="0" applyFill="0" applyBorder="0" applyAlignment="0" applyProtection="0"/>
    <xf numFmtId="0" fontId="29" fillId="0" borderId="0"/>
    <xf numFmtId="0" fontId="23" fillId="0" borderId="0"/>
    <xf numFmtId="0" fontId="22" fillId="0" borderId="0"/>
    <xf numFmtId="0" fontId="41" fillId="0" borderId="0"/>
    <xf numFmtId="164" fontId="41" fillId="0" borderId="0" applyFont="0" applyFill="0" applyBorder="0" applyAlignment="0" applyProtection="0"/>
    <xf numFmtId="0" fontId="21" fillId="0" borderId="0"/>
    <xf numFmtId="0" fontId="20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164" fontId="19" fillId="0" borderId="0" applyFont="0" applyFill="0" applyBorder="0" applyAlignment="0" applyProtection="0"/>
    <xf numFmtId="0" fontId="59" fillId="0" borderId="0" applyNumberFormat="0" applyFill="0" applyBorder="0" applyAlignment="0" applyProtection="0"/>
    <xf numFmtId="0" fontId="18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3" fillId="0" borderId="0"/>
    <xf numFmtId="0" fontId="13" fillId="0" borderId="0"/>
    <xf numFmtId="0" fontId="12" fillId="0" borderId="0"/>
    <xf numFmtId="0" fontId="12" fillId="0" borderId="0"/>
    <xf numFmtId="0" fontId="12" fillId="0" borderId="0"/>
    <xf numFmtId="0" fontId="11" fillId="0" borderId="0"/>
    <xf numFmtId="0" fontId="11" fillId="0" borderId="0"/>
    <xf numFmtId="0" fontId="11" fillId="0" borderId="0"/>
    <xf numFmtId="0" fontId="10" fillId="0" borderId="0"/>
    <xf numFmtId="0" fontId="10" fillId="0" borderId="0"/>
    <xf numFmtId="0" fontId="10" fillId="0" borderId="0"/>
    <xf numFmtId="0" fontId="9" fillId="0" borderId="0"/>
    <xf numFmtId="0" fontId="9" fillId="0" borderId="0"/>
    <xf numFmtId="0" fontId="9" fillId="0" borderId="0"/>
    <xf numFmtId="0" fontId="8" fillId="0" borderId="0"/>
    <xf numFmtId="0" fontId="8" fillId="0" borderId="0"/>
    <xf numFmtId="0" fontId="8" fillId="0" borderId="0"/>
    <xf numFmtId="0" fontId="7" fillId="0" borderId="0"/>
    <xf numFmtId="0" fontId="7" fillId="0" borderId="0"/>
    <xf numFmtId="0" fontId="7" fillId="0" borderId="0"/>
    <xf numFmtId="0" fontId="6" fillId="0" borderId="0"/>
    <xf numFmtId="0" fontId="6" fillId="0" borderId="0"/>
    <xf numFmtId="0" fontId="6" fillId="0" borderId="0"/>
    <xf numFmtId="0" fontId="5" fillId="0" borderId="0"/>
    <xf numFmtId="0" fontId="5" fillId="0" borderId="0"/>
    <xf numFmtId="0" fontId="5" fillId="0" borderId="0"/>
    <xf numFmtId="0" fontId="5" fillId="0" borderId="0"/>
    <xf numFmtId="164" fontId="5" fillId="0" borderId="0" applyFont="0" applyFill="0" applyBorder="0" applyAlignment="0" applyProtection="0"/>
    <xf numFmtId="0" fontId="5" fillId="0" borderId="0"/>
    <xf numFmtId="0" fontId="4" fillId="0" borderId="0"/>
    <xf numFmtId="0" fontId="4" fillId="0" borderId="0"/>
    <xf numFmtId="0" fontId="4" fillId="0" borderId="0"/>
    <xf numFmtId="0" fontId="4" fillId="0" borderId="0"/>
    <xf numFmtId="164" fontId="4" fillId="0" borderId="0" applyFont="0" applyFill="0" applyBorder="0" applyAlignment="0" applyProtection="0"/>
    <xf numFmtId="0" fontId="4" fillId="0" borderId="0"/>
    <xf numFmtId="0" fontId="3" fillId="0" borderId="0"/>
    <xf numFmtId="0" fontId="2" fillId="0" borderId="0"/>
    <xf numFmtId="0" fontId="1" fillId="0" borderId="0"/>
    <xf numFmtId="0" fontId="1" fillId="0" borderId="0"/>
    <xf numFmtId="0" fontId="1" fillId="0" borderId="0"/>
    <xf numFmtId="164" fontId="1" fillId="0" borderId="0" applyFont="0" applyFill="0" applyBorder="0" applyAlignment="0" applyProtection="0"/>
  </cellStyleXfs>
  <cellXfs count="619">
    <xf numFmtId="0" fontId="0" fillId="0" borderId="0" xfId="0"/>
    <xf numFmtId="0" fontId="29" fillId="0" borderId="0" xfId="15"/>
    <xf numFmtId="0" fontId="0" fillId="2" borderId="0" xfId="0" applyFill="1" applyBorder="1"/>
    <xf numFmtId="0" fontId="0" fillId="2" borderId="0" xfId="0" applyFill="1"/>
    <xf numFmtId="165" fontId="28" fillId="2" borderId="1" xfId="9" applyNumberFormat="1" applyFont="1" applyFill="1" applyBorder="1" applyAlignment="1" applyProtection="1">
      <alignment horizontal="right"/>
    </xf>
    <xf numFmtId="0" fontId="42" fillId="0" borderId="0" xfId="18" applyFont="1"/>
    <xf numFmtId="0" fontId="28" fillId="0" borderId="0" xfId="18" applyFont="1" applyBorder="1" applyAlignment="1">
      <alignment horizontal="right" vertical="top"/>
    </xf>
    <xf numFmtId="0" fontId="43" fillId="0" borderId="0" xfId="18" applyFont="1" applyBorder="1" applyAlignment="1">
      <alignment vertical="top"/>
    </xf>
    <xf numFmtId="0" fontId="43" fillId="0" borderId="0" xfId="18" applyFont="1" applyBorder="1" applyAlignment="1">
      <alignment vertical="top" wrapText="1"/>
    </xf>
    <xf numFmtId="0" fontId="42" fillId="0" borderId="0" xfId="18" applyFont="1" applyBorder="1"/>
    <xf numFmtId="0" fontId="44" fillId="0" borderId="5" xfId="18" applyFont="1" applyBorder="1" applyAlignment="1" applyProtection="1">
      <alignment vertical="center" wrapText="1" readingOrder="1"/>
      <protection locked="0"/>
    </xf>
    <xf numFmtId="0" fontId="45" fillId="0" borderId="0" xfId="18" applyFont="1" applyAlignment="1">
      <alignment vertical="center" readingOrder="1"/>
    </xf>
    <xf numFmtId="0" fontId="45" fillId="0" borderId="0" xfId="18" applyFont="1"/>
    <xf numFmtId="0" fontId="28" fillId="6" borderId="0" xfId="0" applyFont="1" applyFill="1" applyAlignment="1">
      <alignment horizontal="left" indent="1"/>
    </xf>
    <xf numFmtId="0" fontId="28" fillId="6" borderId="6" xfId="0" applyFont="1" applyFill="1" applyBorder="1" applyAlignment="1">
      <alignment horizontal="left" indent="1"/>
    </xf>
    <xf numFmtId="0" fontId="45" fillId="4" borderId="0" xfId="18" applyFont="1" applyFill="1" applyBorder="1" applyAlignment="1"/>
    <xf numFmtId="0" fontId="45" fillId="4" borderId="0" xfId="18" applyFont="1" applyFill="1" applyBorder="1" applyAlignment="1">
      <alignment horizontal="right"/>
    </xf>
    <xf numFmtId="0" fontId="45" fillId="4" borderId="0" xfId="18" applyFont="1" applyFill="1" applyBorder="1"/>
    <xf numFmtId="0" fontId="42" fillId="4" borderId="0" xfId="18" applyFont="1" applyFill="1" applyBorder="1"/>
    <xf numFmtId="0" fontId="45" fillId="4" borderId="1" xfId="18" applyFont="1" applyFill="1" applyBorder="1" applyAlignment="1">
      <alignment horizontal="right"/>
    </xf>
    <xf numFmtId="0" fontId="45" fillId="4" borderId="0" xfId="18" applyFont="1" applyFill="1"/>
    <xf numFmtId="0" fontId="42" fillId="4" borderId="0" xfId="18" applyFont="1" applyFill="1"/>
    <xf numFmtId="0" fontId="28" fillId="2" borderId="0" xfId="18" applyFont="1" applyFill="1" applyBorder="1" applyAlignment="1">
      <alignment horizontal="left" indent="1" readingOrder="1"/>
    </xf>
    <xf numFmtId="0" fontId="28" fillId="0" borderId="0" xfId="18" applyFont="1" applyFill="1" applyBorder="1" applyAlignment="1">
      <alignment horizontal="left" indent="1" readingOrder="1"/>
    </xf>
    <xf numFmtId="0" fontId="46" fillId="6" borderId="0" xfId="0" applyFont="1" applyFill="1" applyAlignment="1">
      <alignment horizontal="left" vertical="top"/>
    </xf>
    <xf numFmtId="0" fontId="50" fillId="6" borderId="0" xfId="0" applyFont="1" applyFill="1" applyAlignment="1">
      <alignment vertical="top"/>
    </xf>
    <xf numFmtId="0" fontId="42" fillId="4" borderId="6" xfId="18" applyFont="1" applyFill="1" applyBorder="1"/>
    <xf numFmtId="0" fontId="32" fillId="2" borderId="0" xfId="0" applyFont="1" applyFill="1"/>
    <xf numFmtId="0" fontId="28" fillId="2" borderId="0" xfId="0" applyFont="1" applyFill="1" applyAlignment="1">
      <alignment horizontal="left" vertical="center" wrapText="1" indent="1"/>
    </xf>
    <xf numFmtId="0" fontId="32" fillId="2" borderId="0" xfId="0" applyFont="1" applyFill="1" applyBorder="1" applyAlignment="1">
      <alignment horizontal="left" vertical="center" wrapText="1"/>
    </xf>
    <xf numFmtId="168" fontId="28" fillId="2" borderId="0" xfId="0" applyNumberFormat="1" applyFont="1" applyFill="1" applyBorder="1"/>
    <xf numFmtId="167" fontId="28" fillId="2" borderId="0" xfId="0" applyNumberFormat="1" applyFont="1" applyFill="1" applyBorder="1"/>
    <xf numFmtId="0" fontId="0" fillId="0" borderId="1" xfId="0" applyBorder="1"/>
    <xf numFmtId="168" fontId="28" fillId="2" borderId="1" xfId="0" applyNumberFormat="1" applyFont="1" applyFill="1" applyBorder="1"/>
    <xf numFmtId="167" fontId="28" fillId="2" borderId="1" xfId="0" applyNumberFormat="1" applyFont="1" applyFill="1" applyBorder="1"/>
    <xf numFmtId="0" fontId="46" fillId="7" borderId="0" xfId="0" applyFont="1" applyFill="1" applyAlignment="1">
      <alignment horizontal="left" vertical="top"/>
    </xf>
    <xf numFmtId="0" fontId="50" fillId="7" borderId="0" xfId="0" applyFont="1" applyFill="1" applyAlignment="1">
      <alignment vertical="top"/>
    </xf>
    <xf numFmtId="0" fontId="44" fillId="2" borderId="5" xfId="18" applyFont="1" applyFill="1" applyBorder="1" applyAlignment="1" applyProtection="1">
      <alignment vertical="center" wrapText="1" readingOrder="1"/>
      <protection locked="0"/>
    </xf>
    <xf numFmtId="0" fontId="44" fillId="2" borderId="0" xfId="18" applyFont="1" applyFill="1" applyBorder="1" applyAlignment="1" applyProtection="1">
      <alignment vertical="center" wrapText="1" readingOrder="1"/>
      <protection locked="0"/>
    </xf>
    <xf numFmtId="0" fontId="28" fillId="2" borderId="0" xfId="0" applyFont="1" applyFill="1" applyAlignment="1">
      <alignment horizontal="left" indent="1"/>
    </xf>
    <xf numFmtId="0" fontId="28" fillId="2" borderId="6" xfId="0" applyFont="1" applyFill="1" applyBorder="1" applyAlignment="1">
      <alignment horizontal="left" indent="1"/>
    </xf>
    <xf numFmtId="0" fontId="44" fillId="0" borderId="0" xfId="18" applyFont="1" applyBorder="1" applyAlignment="1" applyProtection="1">
      <alignment vertical="center" wrapText="1" readingOrder="1"/>
      <protection locked="0"/>
    </xf>
    <xf numFmtId="0" fontId="42" fillId="4" borderId="1" xfId="18" applyFont="1" applyFill="1" applyBorder="1"/>
    <xf numFmtId="0" fontId="29" fillId="2" borderId="0" xfId="15" applyFill="1"/>
    <xf numFmtId="0" fontId="28" fillId="7" borderId="0" xfId="0" applyFont="1" applyFill="1" applyAlignment="1">
      <alignment horizontal="left" indent="1"/>
    </xf>
    <xf numFmtId="0" fontId="28" fillId="7" borderId="6" xfId="0" applyFont="1" applyFill="1" applyBorder="1" applyAlignment="1">
      <alignment horizontal="left" indent="1"/>
    </xf>
    <xf numFmtId="0" fontId="28" fillId="6" borderId="0" xfId="0" applyFont="1" applyFill="1" applyBorder="1" applyAlignment="1">
      <alignment horizontal="left" indent="1"/>
    </xf>
    <xf numFmtId="0" fontId="0" fillId="2" borderId="1" xfId="0" applyFill="1" applyBorder="1"/>
    <xf numFmtId="0" fontId="28" fillId="2" borderId="0" xfId="0" applyFont="1" applyFill="1" applyBorder="1" applyAlignment="1">
      <alignment horizontal="left" indent="1"/>
    </xf>
    <xf numFmtId="0" fontId="29" fillId="2" borderId="1" xfId="15" applyFill="1" applyBorder="1"/>
    <xf numFmtId="0" fontId="28" fillId="2" borderId="0" xfId="0" applyFont="1" applyFill="1"/>
    <xf numFmtId="169" fontId="32" fillId="2" borderId="0" xfId="0" applyNumberFormat="1" applyFont="1" applyFill="1" applyAlignment="1">
      <alignment horizontal="right" wrapText="1"/>
    </xf>
    <xf numFmtId="169" fontId="28" fillId="2" borderId="0" xfId="0" applyNumberFormat="1" applyFont="1" applyFill="1" applyAlignment="1">
      <alignment horizontal="right" wrapText="1"/>
    </xf>
    <xf numFmtId="49" fontId="28" fillId="2" borderId="0" xfId="0" applyNumberFormat="1" applyFont="1" applyFill="1" applyAlignment="1">
      <alignment horizontal="right"/>
    </xf>
    <xf numFmtId="0" fontId="28" fillId="2" borderId="0" xfId="0" applyFont="1" applyFill="1" applyAlignment="1">
      <alignment horizontal="right" wrapText="1"/>
    </xf>
    <xf numFmtId="0" fontId="32" fillId="2" borderId="0" xfId="0" applyFont="1" applyFill="1" applyBorder="1" applyAlignment="1">
      <alignment horizontal="center" vertical="center"/>
    </xf>
    <xf numFmtId="0" fontId="29" fillId="2" borderId="1" xfId="0" applyFont="1" applyFill="1" applyBorder="1"/>
    <xf numFmtId="165" fontId="28" fillId="2" borderId="1" xfId="9" applyNumberFormat="1" applyFont="1" applyFill="1" applyBorder="1" applyAlignment="1">
      <alignment horizontal="right"/>
    </xf>
    <xf numFmtId="0" fontId="28" fillId="2" borderId="0" xfId="0" applyFont="1" applyFill="1" applyAlignment="1">
      <alignment vertical="center"/>
    </xf>
    <xf numFmtId="169" fontId="28" fillId="2" borderId="0" xfId="0" applyNumberFormat="1" applyFont="1" applyFill="1" applyBorder="1" applyAlignment="1">
      <alignment horizontal="right" wrapText="1"/>
    </xf>
    <xf numFmtId="0" fontId="29" fillId="2" borderId="0" xfId="0" applyFont="1" applyFill="1" applyBorder="1"/>
    <xf numFmtId="49" fontId="28" fillId="2" borderId="1" xfId="0" applyNumberFormat="1" applyFont="1" applyFill="1" applyBorder="1" applyAlignment="1">
      <alignment horizontal="right"/>
    </xf>
    <xf numFmtId="0" fontId="32" fillId="2" borderId="2" xfId="0" applyFont="1" applyFill="1" applyBorder="1" applyAlignment="1">
      <alignment horizontal="right" vertical="center"/>
    </xf>
    <xf numFmtId="0" fontId="47" fillId="6" borderId="1" xfId="0" applyFont="1" applyFill="1" applyBorder="1" applyAlignment="1">
      <alignment horizontal="right" vertical="center"/>
    </xf>
    <xf numFmtId="0" fontId="47" fillId="7" borderId="1" xfId="0" applyFont="1" applyFill="1" applyBorder="1" applyAlignment="1">
      <alignment horizontal="right" vertical="center"/>
    </xf>
    <xf numFmtId="0" fontId="47" fillId="6" borderId="2" xfId="0" applyFont="1" applyFill="1" applyBorder="1" applyAlignment="1">
      <alignment horizontal="right" vertical="center"/>
    </xf>
    <xf numFmtId="0" fontId="52" fillId="0" borderId="0" xfId="18" applyFont="1"/>
    <xf numFmtId="0" fontId="45" fillId="0" borderId="0" xfId="18" applyFont="1" applyBorder="1"/>
    <xf numFmtId="0" fontId="55" fillId="2" borderId="0" xfId="0" applyFont="1" applyFill="1"/>
    <xf numFmtId="0" fontId="55" fillId="0" borderId="0" xfId="0" applyFont="1"/>
    <xf numFmtId="0" fontId="57" fillId="2" borderId="0" xfId="8" applyNumberFormat="1" applyFont="1" applyFill="1" applyBorder="1" applyAlignment="1" applyProtection="1">
      <alignment horizontal="right" vertical="center"/>
    </xf>
    <xf numFmtId="0" fontId="55" fillId="2" borderId="0" xfId="0" applyFont="1" applyFill="1" applyAlignment="1">
      <alignment horizontal="right" vertical="top"/>
    </xf>
    <xf numFmtId="0" fontId="53" fillId="0" borderId="11" xfId="30" applyFont="1" applyBorder="1" applyAlignment="1" applyProtection="1">
      <alignment horizontal="center" vertical="center"/>
    </xf>
    <xf numFmtId="0" fontId="53" fillId="0" borderId="16" xfId="30" applyFont="1" applyBorder="1" applyAlignment="1" applyProtection="1">
      <alignment horizontal="center" vertical="center"/>
    </xf>
    <xf numFmtId="0" fontId="53" fillId="0" borderId="20" xfId="30" applyFont="1" applyBorder="1" applyAlignment="1" applyProtection="1">
      <alignment horizontal="center" vertical="center"/>
    </xf>
    <xf numFmtId="0" fontId="55" fillId="2" borderId="0" xfId="0" applyFont="1" applyFill="1" applyAlignment="1">
      <alignment horizontal="right"/>
    </xf>
    <xf numFmtId="0" fontId="33" fillId="0" borderId="0" xfId="32" applyFont="1"/>
    <xf numFmtId="0" fontId="64" fillId="0" borderId="0" xfId="32" applyFont="1"/>
    <xf numFmtId="0" fontId="61" fillId="9" borderId="8" xfId="32" applyFont="1" applyFill="1" applyBorder="1" applyAlignment="1">
      <alignment horizontal="center" vertical="center"/>
    </xf>
    <xf numFmtId="0" fontId="61" fillId="9" borderId="7" xfId="32" applyFont="1" applyFill="1" applyBorder="1" applyAlignment="1">
      <alignment horizontal="center" vertical="center"/>
    </xf>
    <xf numFmtId="17" fontId="27" fillId="0" borderId="0" xfId="32" quotePrefix="1" applyNumberFormat="1" applyFont="1"/>
    <xf numFmtId="0" fontId="33" fillId="0" borderId="0" xfId="32" applyFont="1" applyFill="1"/>
    <xf numFmtId="0" fontId="60" fillId="0" borderId="0" xfId="32" applyFont="1"/>
    <xf numFmtId="0" fontId="61" fillId="0" borderId="0" xfId="32" applyFont="1" applyFill="1" applyAlignment="1">
      <alignment horizontal="center" vertical="center"/>
    </xf>
    <xf numFmtId="0" fontId="61" fillId="0" borderId="0" xfId="32" applyFont="1" applyFill="1" applyAlignment="1">
      <alignment vertical="center"/>
    </xf>
    <xf numFmtId="0" fontId="66" fillId="2" borderId="0" xfId="14" applyFont="1" applyFill="1" applyAlignment="1" applyProtection="1">
      <alignment horizontal="right"/>
    </xf>
    <xf numFmtId="0" fontId="28" fillId="2" borderId="0" xfId="15" applyFont="1" applyFill="1"/>
    <xf numFmtId="0" fontId="28" fillId="0" borderId="0" xfId="0" applyFont="1"/>
    <xf numFmtId="0" fontId="28" fillId="0" borderId="0" xfId="15" applyFont="1"/>
    <xf numFmtId="0" fontId="45" fillId="0" borderId="0" xfId="18" applyFont="1" applyFill="1" applyAlignment="1"/>
    <xf numFmtId="166" fontId="45" fillId="2" borderId="0" xfId="0" applyNumberFormat="1" applyFont="1" applyFill="1" applyAlignment="1">
      <alignment horizontal="right" vertical="center"/>
    </xf>
    <xf numFmtId="166" fontId="32" fillId="2" borderId="0" xfId="0" applyNumberFormat="1" applyFont="1" applyFill="1" applyAlignment="1">
      <alignment horizontal="right"/>
    </xf>
    <xf numFmtId="166" fontId="28" fillId="2" borderId="0" xfId="0" applyNumberFormat="1" applyFont="1" applyFill="1" applyBorder="1"/>
    <xf numFmtId="170" fontId="28" fillId="2" borderId="0" xfId="0" applyNumberFormat="1" applyFont="1" applyFill="1" applyAlignment="1">
      <alignment horizontal="right"/>
    </xf>
    <xf numFmtId="170" fontId="28" fillId="2" borderId="0" xfId="0" applyNumberFormat="1" applyFont="1" applyFill="1" applyBorder="1"/>
    <xf numFmtId="166" fontId="28" fillId="2" borderId="0" xfId="0" applyNumberFormat="1" applyFont="1" applyFill="1"/>
    <xf numFmtId="170" fontId="28" fillId="2" borderId="0" xfId="0" applyNumberFormat="1" applyFont="1" applyFill="1"/>
    <xf numFmtId="0" fontId="28" fillId="2" borderId="0" xfId="18" applyFont="1" applyFill="1" applyAlignment="1">
      <alignment horizontal="left" indent="1" readingOrder="1"/>
    </xf>
    <xf numFmtId="0" fontId="55" fillId="0" borderId="0" xfId="18" applyFont="1"/>
    <xf numFmtId="0" fontId="28" fillId="0" borderId="0" xfId="18" applyFont="1"/>
    <xf numFmtId="0" fontId="28" fillId="0" borderId="0" xfId="18" applyFont="1" applyBorder="1"/>
    <xf numFmtId="0" fontId="28" fillId="4" borderId="0" xfId="18" applyFont="1" applyFill="1" applyBorder="1"/>
    <xf numFmtId="0" fontId="28" fillId="0" borderId="0" xfId="18" applyFont="1" applyAlignment="1">
      <alignment vertical="center" readingOrder="1"/>
    </xf>
    <xf numFmtId="0" fontId="37" fillId="4" borderId="0" xfId="18" applyFont="1" applyFill="1"/>
    <xf numFmtId="0" fontId="37" fillId="0" borderId="0" xfId="18" applyFont="1"/>
    <xf numFmtId="0" fontId="32" fillId="6" borderId="1" xfId="0" applyFont="1" applyFill="1" applyBorder="1" applyAlignment="1">
      <alignment horizontal="right" vertical="center"/>
    </xf>
    <xf numFmtId="0" fontId="32" fillId="0" borderId="5" xfId="18" applyFont="1" applyBorder="1" applyAlignment="1" applyProtection="1">
      <alignment vertical="center" wrapText="1" readingOrder="1"/>
      <protection locked="0"/>
    </xf>
    <xf numFmtId="0" fontId="32" fillId="0" borderId="0" xfId="18" applyFont="1" applyBorder="1" applyAlignment="1" applyProtection="1">
      <alignment vertical="center" wrapText="1" readingOrder="1"/>
      <protection locked="0"/>
    </xf>
    <xf numFmtId="0" fontId="28" fillId="6" borderId="0" xfId="0" applyFont="1" applyFill="1" applyAlignment="1">
      <alignment horizontal="left" vertical="top"/>
    </xf>
    <xf numFmtId="0" fontId="28" fillId="0" borderId="0" xfId="18" applyFont="1" applyFill="1" applyAlignment="1"/>
    <xf numFmtId="0" fontId="32" fillId="2" borderId="1" xfId="0" applyFont="1" applyFill="1" applyBorder="1" applyAlignment="1">
      <alignment horizontal="right" vertical="center"/>
    </xf>
    <xf numFmtId="0" fontId="32" fillId="2" borderId="5" xfId="18" applyFont="1" applyFill="1" applyBorder="1" applyAlignment="1" applyProtection="1">
      <alignment vertical="center" wrapText="1" readingOrder="1"/>
      <protection locked="0"/>
    </xf>
    <xf numFmtId="0" fontId="29" fillId="2" borderId="0" xfId="0" applyFont="1" applyFill="1"/>
    <xf numFmtId="0" fontId="32" fillId="2" borderId="0" xfId="18" applyFont="1" applyFill="1" applyBorder="1" applyAlignment="1" applyProtection="1">
      <alignment vertical="center" wrapText="1" readingOrder="1"/>
      <protection locked="0"/>
    </xf>
    <xf numFmtId="0" fontId="73" fillId="2" borderId="0" xfId="8" applyNumberFormat="1" applyFont="1" applyFill="1" applyBorder="1" applyAlignment="1" applyProtection="1">
      <alignment horizontal="right" vertical="center"/>
    </xf>
    <xf numFmtId="0" fontId="72" fillId="2" borderId="0" xfId="0" applyFont="1" applyFill="1"/>
    <xf numFmtId="0" fontId="72" fillId="0" borderId="0" xfId="0" applyFont="1"/>
    <xf numFmtId="0" fontId="32" fillId="2" borderId="0" xfId="18" applyFont="1" applyFill="1" applyAlignment="1" applyProtection="1">
      <alignment vertical="center" wrapText="1" readingOrder="1"/>
      <protection locked="0"/>
    </xf>
    <xf numFmtId="0" fontId="29" fillId="2" borderId="1" xfId="15" applyFont="1" applyFill="1" applyBorder="1"/>
    <xf numFmtId="0" fontId="29" fillId="2" borderId="0" xfId="15" applyFont="1" applyFill="1"/>
    <xf numFmtId="0" fontId="28" fillId="4" borderId="0" xfId="18" applyFont="1" applyFill="1"/>
    <xf numFmtId="0" fontId="29" fillId="0" borderId="1" xfId="15" applyFont="1" applyBorder="1"/>
    <xf numFmtId="0" fontId="29" fillId="0" borderId="0" xfId="15" applyFont="1"/>
    <xf numFmtId="0" fontId="32" fillId="2" borderId="3" xfId="0" applyFont="1" applyFill="1" applyBorder="1" applyAlignment="1">
      <alignment horizontal="left" vertical="center" wrapText="1"/>
    </xf>
    <xf numFmtId="0" fontId="32" fillId="2" borderId="0" xfId="0" applyFont="1" applyFill="1" applyAlignment="1">
      <alignment horizontal="left" vertical="center" wrapText="1"/>
    </xf>
    <xf numFmtId="0" fontId="32" fillId="2" borderId="1" xfId="0" applyFont="1" applyFill="1" applyBorder="1" applyAlignment="1">
      <alignment horizontal="left" vertical="center" wrapText="1"/>
    </xf>
    <xf numFmtId="171" fontId="45" fillId="2" borderId="0" xfId="0" applyNumberFormat="1" applyFont="1" applyFill="1" applyAlignment="1">
      <alignment horizontal="right" vertical="center"/>
    </xf>
    <xf numFmtId="0" fontId="36" fillId="2" borderId="0" xfId="36" applyFont="1" applyFill="1"/>
    <xf numFmtId="171" fontId="28" fillId="2" borderId="0" xfId="0" applyNumberFormat="1" applyFont="1" applyFill="1" applyAlignment="1">
      <alignment horizontal="right"/>
    </xf>
    <xf numFmtId="171" fontId="32" fillId="2" borderId="0" xfId="0" applyNumberFormat="1" applyFont="1" applyFill="1" applyAlignment="1">
      <alignment horizontal="right"/>
    </xf>
    <xf numFmtId="0" fontId="54" fillId="2" borderId="0" xfId="37" applyFont="1" applyFill="1" applyAlignment="1">
      <alignment horizontal="left" vertical="center"/>
    </xf>
    <xf numFmtId="0" fontId="54" fillId="2" borderId="0" xfId="37" applyFont="1" applyFill="1" applyAlignment="1">
      <alignment vertical="center"/>
    </xf>
    <xf numFmtId="0" fontId="36" fillId="0" borderId="0" xfId="37" applyFont="1"/>
    <xf numFmtId="0" fontId="39" fillId="2" borderId="0" xfId="37" applyFont="1" applyFill="1" applyAlignment="1">
      <alignment vertical="center"/>
    </xf>
    <xf numFmtId="0" fontId="56" fillId="2" borderId="0" xfId="37" applyFont="1" applyFill="1" applyAlignment="1">
      <alignment vertical="center"/>
    </xf>
    <xf numFmtId="0" fontId="28" fillId="2" borderId="1" xfId="37" applyFont="1" applyFill="1" applyBorder="1" applyAlignment="1">
      <alignment vertical="center"/>
    </xf>
    <xf numFmtId="0" fontId="28" fillId="2" borderId="0" xfId="37" applyFont="1" applyFill="1" applyBorder="1" applyAlignment="1">
      <alignment horizontal="left" vertical="center"/>
    </xf>
    <xf numFmtId="165" fontId="28" fillId="2" borderId="0" xfId="37" applyNumberFormat="1" applyFont="1" applyFill="1" applyBorder="1" applyAlignment="1">
      <alignment horizontal="right" vertical="center"/>
    </xf>
    <xf numFmtId="0" fontId="28" fillId="2" borderId="0" xfId="37" applyFont="1" applyFill="1" applyBorder="1" applyAlignment="1">
      <alignment vertical="center"/>
    </xf>
    <xf numFmtId="0" fontId="28" fillId="2" borderId="0" xfId="37" applyFont="1" applyFill="1" applyAlignment="1">
      <alignment vertical="center"/>
    </xf>
    <xf numFmtId="0" fontId="30" fillId="2" borderId="0" xfId="37" applyFont="1" applyFill="1" applyAlignment="1">
      <alignment vertical="center"/>
    </xf>
    <xf numFmtId="0" fontId="32" fillId="2" borderId="3" xfId="37" applyFont="1" applyFill="1" applyBorder="1" applyAlignment="1">
      <alignment horizontal="right" vertical="center" wrapText="1"/>
    </xf>
    <xf numFmtId="0" fontId="33" fillId="2" borderId="0" xfId="37" applyFont="1" applyFill="1" applyAlignment="1">
      <alignment vertical="center"/>
    </xf>
    <xf numFmtId="0" fontId="32" fillId="2" borderId="0" xfId="37" applyFont="1" applyFill="1" applyBorder="1" applyAlignment="1">
      <alignment horizontal="right" vertical="center" wrapText="1"/>
    </xf>
    <xf numFmtId="0" fontId="32" fillId="2" borderId="3" xfId="37" applyFont="1" applyFill="1" applyBorder="1" applyAlignment="1">
      <alignment horizontal="center" vertical="center" wrapText="1"/>
    </xf>
    <xf numFmtId="0" fontId="32" fillId="2" borderId="3" xfId="37" applyFont="1" applyFill="1" applyBorder="1" applyAlignment="1">
      <alignment vertical="center" wrapText="1"/>
    </xf>
    <xf numFmtId="0" fontId="37" fillId="2" borderId="3" xfId="37" applyFont="1" applyFill="1" applyBorder="1" applyAlignment="1">
      <alignment vertical="center"/>
    </xf>
    <xf numFmtId="0" fontId="32" fillId="2" borderId="1" xfId="37" applyFont="1" applyFill="1" applyBorder="1" applyAlignment="1">
      <alignment horizontal="right" vertical="center" wrapText="1"/>
    </xf>
    <xf numFmtId="0" fontId="32" fillId="2" borderId="1" xfId="39" applyFont="1" applyFill="1" applyBorder="1" applyAlignment="1">
      <alignment horizontal="right" vertical="center" wrapText="1"/>
    </xf>
    <xf numFmtId="0" fontId="32" fillId="2" borderId="1" xfId="37" applyFont="1" applyFill="1" applyBorder="1" applyAlignment="1">
      <alignment horizontal="right" vertical="center"/>
    </xf>
    <xf numFmtId="0" fontId="37" fillId="2" borderId="1" xfId="37" applyFont="1" applyFill="1" applyBorder="1" applyAlignment="1">
      <alignment horizontal="right" vertical="center"/>
    </xf>
    <xf numFmtId="0" fontId="28" fillId="2" borderId="0" xfId="37" applyFont="1" applyFill="1" applyBorder="1" applyAlignment="1">
      <alignment horizontal="left" vertical="center" wrapText="1"/>
    </xf>
    <xf numFmtId="0" fontId="32" fillId="2" borderId="0" xfId="37" applyFont="1" applyFill="1" applyAlignment="1">
      <alignment vertical="center"/>
    </xf>
    <xf numFmtId="0" fontId="69" fillId="2" borderId="0" xfId="37" applyFont="1" applyFill="1" applyAlignment="1">
      <alignment vertical="center"/>
    </xf>
    <xf numFmtId="0" fontId="38" fillId="2" borderId="0" xfId="37" applyFont="1" applyFill="1" applyAlignment="1">
      <alignment vertical="center"/>
    </xf>
    <xf numFmtId="0" fontId="67" fillId="2" borderId="0" xfId="37" applyFont="1" applyFill="1" applyAlignment="1">
      <alignment vertical="center"/>
    </xf>
    <xf numFmtId="0" fontId="37" fillId="2" borderId="0" xfId="37" applyFont="1" applyFill="1" applyAlignment="1">
      <alignment vertical="center"/>
    </xf>
    <xf numFmtId="0" fontId="37" fillId="2" borderId="1" xfId="37" applyFont="1" applyFill="1" applyBorder="1" applyAlignment="1">
      <alignment vertical="center"/>
    </xf>
    <xf numFmtId="0" fontId="33" fillId="2" borderId="0" xfId="37" applyFont="1" applyFill="1" applyAlignment="1">
      <alignment horizontal="left" vertical="center"/>
    </xf>
    <xf numFmtId="171" fontId="32" fillId="2" borderId="0" xfId="0" applyNumberFormat="1" applyFont="1" applyFill="1" applyAlignment="1">
      <alignment horizontal="right" wrapText="1"/>
    </xf>
    <xf numFmtId="171" fontId="28" fillId="2" borderId="0" xfId="0" applyNumberFormat="1" applyFont="1" applyFill="1" applyAlignment="1">
      <alignment horizontal="right" wrapText="1"/>
    </xf>
    <xf numFmtId="0" fontId="54" fillId="2" borderId="0" xfId="41" applyFont="1" applyFill="1" applyAlignment="1">
      <alignment horizontal="left" vertical="center"/>
    </xf>
    <xf numFmtId="0" fontId="36" fillId="0" borderId="0" xfId="41" applyFont="1" applyFill="1" applyAlignment="1">
      <alignment horizontal="left" vertical="center"/>
    </xf>
    <xf numFmtId="0" fontId="54" fillId="2" borderId="0" xfId="41" applyFont="1" applyFill="1" applyAlignment="1">
      <alignment vertical="center"/>
    </xf>
    <xf numFmtId="0" fontId="36" fillId="0" borderId="0" xfId="40" applyFont="1"/>
    <xf numFmtId="0" fontId="12" fillId="2" borderId="1" xfId="41" applyFill="1" applyBorder="1" applyAlignment="1">
      <alignment vertical="center"/>
    </xf>
    <xf numFmtId="0" fontId="28" fillId="2" borderId="0" xfId="41" applyFont="1" applyFill="1" applyBorder="1" applyAlignment="1">
      <alignment horizontal="right" vertical="top" wrapText="1"/>
    </xf>
    <xf numFmtId="0" fontId="12" fillId="2" borderId="0" xfId="41" applyFill="1" applyAlignment="1">
      <alignment vertical="center"/>
    </xf>
    <xf numFmtId="0" fontId="31" fillId="2" borderId="3" xfId="41" applyFont="1" applyFill="1" applyBorder="1" applyAlignment="1">
      <alignment horizontal="right" vertical="center" wrapText="1"/>
    </xf>
    <xf numFmtId="0" fontId="31" fillId="2" borderId="0" xfId="41" applyFont="1" applyFill="1" applyBorder="1" applyAlignment="1">
      <alignment horizontal="right" vertical="center" wrapText="1"/>
    </xf>
    <xf numFmtId="0" fontId="31" fillId="2" borderId="0" xfId="41" applyFont="1" applyFill="1" applyBorder="1" applyAlignment="1">
      <alignment horizontal="center" vertical="center" wrapText="1"/>
    </xf>
    <xf numFmtId="0" fontId="12" fillId="0" borderId="3" xfId="41" applyFill="1" applyBorder="1" applyAlignment="1">
      <alignment vertical="center"/>
    </xf>
    <xf numFmtId="0" fontId="31" fillId="2" borderId="1" xfId="41" applyFont="1" applyFill="1" applyBorder="1" applyAlignment="1">
      <alignment horizontal="right" vertical="center" wrapText="1"/>
    </xf>
    <xf numFmtId="0" fontId="31" fillId="2" borderId="1" xfId="41" applyFont="1" applyFill="1" applyBorder="1" applyAlignment="1">
      <alignment horizontal="right" vertical="center"/>
    </xf>
    <xf numFmtId="0" fontId="12" fillId="2" borderId="1" xfId="41" applyFill="1" applyBorder="1" applyAlignment="1">
      <alignment horizontal="right" vertical="center"/>
    </xf>
    <xf numFmtId="0" fontId="30" fillId="2" borderId="0" xfId="40" applyFont="1" applyFill="1" applyBorder="1" applyAlignment="1">
      <alignment horizontal="left" vertical="center" wrapText="1"/>
    </xf>
    <xf numFmtId="0" fontId="31" fillId="2" borderId="0" xfId="41" applyFont="1" applyFill="1" applyBorder="1" applyAlignment="1">
      <alignment horizontal="left" vertical="center" wrapText="1"/>
    </xf>
    <xf numFmtId="0" fontId="31" fillId="2" borderId="0" xfId="41" applyFont="1" applyFill="1" applyBorder="1" applyAlignment="1">
      <alignment horizontal="center" vertical="center"/>
    </xf>
    <xf numFmtId="0" fontId="31" fillId="2" borderId="0" xfId="41" applyFont="1" applyFill="1" applyBorder="1" applyAlignment="1">
      <alignment horizontal="right" vertical="center"/>
    </xf>
    <xf numFmtId="0" fontId="31" fillId="2" borderId="0" xfId="40" applyFont="1" applyFill="1" applyAlignment="1">
      <alignment vertical="center"/>
    </xf>
    <xf numFmtId="0" fontId="38" fillId="2" borderId="0" xfId="40" applyFont="1" applyFill="1" applyAlignment="1">
      <alignment vertical="center"/>
    </xf>
    <xf numFmtId="0" fontId="34" fillId="2" borderId="0" xfId="41" applyFont="1" applyFill="1" applyAlignment="1">
      <alignment vertical="center"/>
    </xf>
    <xf numFmtId="0" fontId="12" fillId="2" borderId="0" xfId="40" applyFill="1" applyAlignment="1">
      <alignment vertical="center"/>
    </xf>
    <xf numFmtId="0" fontId="33" fillId="2" borderId="0" xfId="40" applyFont="1" applyFill="1" applyAlignment="1">
      <alignment vertical="center"/>
    </xf>
    <xf numFmtId="165" fontId="28" fillId="2" borderId="1" xfId="42" applyNumberFormat="1" applyFont="1" applyFill="1" applyBorder="1"/>
    <xf numFmtId="167" fontId="28" fillId="2" borderId="1" xfId="42" applyNumberFormat="1" applyFont="1" applyFill="1" applyBorder="1"/>
    <xf numFmtId="167" fontId="28" fillId="5" borderId="1" xfId="40" applyNumberFormat="1" applyFont="1" applyFill="1" applyBorder="1"/>
    <xf numFmtId="167" fontId="28" fillId="2" borderId="1" xfId="41" applyNumberFormat="1" applyFont="1" applyFill="1" applyBorder="1"/>
    <xf numFmtId="0" fontId="12" fillId="2" borderId="0" xfId="41" applyFill="1" applyBorder="1" applyAlignment="1">
      <alignment vertical="center"/>
    </xf>
    <xf numFmtId="0" fontId="30" fillId="2" borderId="0" xfId="41" applyFont="1" applyFill="1" applyBorder="1" applyAlignment="1">
      <alignment horizontal="left" vertical="center"/>
    </xf>
    <xf numFmtId="166" fontId="30" fillId="2" borderId="0" xfId="41" applyNumberFormat="1" applyFont="1" applyFill="1" applyBorder="1" applyAlignment="1">
      <alignment horizontal="right" vertical="center"/>
    </xf>
    <xf numFmtId="166" fontId="30" fillId="2" borderId="0" xfId="41" applyNumberFormat="1" applyFont="1" applyFill="1" applyBorder="1" applyAlignment="1">
      <alignment vertical="center"/>
    </xf>
    <xf numFmtId="167" fontId="30" fillId="2" borderId="0" xfId="41" applyNumberFormat="1" applyFont="1" applyFill="1" applyBorder="1" applyAlignment="1">
      <alignment vertical="center"/>
    </xf>
    <xf numFmtId="0" fontId="12" fillId="2" borderId="0" xfId="41" applyFill="1" applyAlignment="1">
      <alignment horizontal="left" vertical="center"/>
    </xf>
    <xf numFmtId="0" fontId="54" fillId="2" borderId="0" xfId="44" applyFont="1" applyFill="1" applyAlignment="1">
      <alignment horizontal="left" vertical="center"/>
    </xf>
    <xf numFmtId="0" fontId="36" fillId="2" borderId="0" xfId="44" applyFont="1" applyFill="1" applyAlignment="1">
      <alignment horizontal="left" vertical="center"/>
    </xf>
    <xf numFmtId="0" fontId="54" fillId="2" borderId="0" xfId="44" applyFont="1" applyFill="1" applyAlignment="1">
      <alignment vertical="center"/>
    </xf>
    <xf numFmtId="0" fontId="36" fillId="2" borderId="0" xfId="43" applyFont="1" applyFill="1"/>
    <xf numFmtId="0" fontId="11" fillId="2" borderId="1" xfId="44" applyFill="1" applyBorder="1" applyAlignment="1">
      <alignment vertical="center"/>
    </xf>
    <xf numFmtId="0" fontId="28" fillId="2" borderId="0" xfId="44" applyFont="1" applyFill="1" applyBorder="1" applyAlignment="1">
      <alignment horizontal="right" vertical="top" wrapText="1"/>
    </xf>
    <xf numFmtId="0" fontId="11" fillId="2" borderId="0" xfId="44" applyFill="1" applyAlignment="1">
      <alignment vertical="center"/>
    </xf>
    <xf numFmtId="0" fontId="31" fillId="2" borderId="3" xfId="44" applyFont="1" applyFill="1" applyBorder="1" applyAlignment="1">
      <alignment horizontal="right" vertical="center" wrapText="1"/>
    </xf>
    <xf numFmtId="0" fontId="31" fillId="2" borderId="0" xfId="44" applyFont="1" applyFill="1" applyBorder="1" applyAlignment="1">
      <alignment horizontal="right" vertical="center" wrapText="1"/>
    </xf>
    <xf numFmtId="0" fontId="31" fillId="2" borderId="0" xfId="44" applyFont="1" applyFill="1" applyBorder="1" applyAlignment="1">
      <alignment horizontal="center" vertical="center" wrapText="1"/>
    </xf>
    <xf numFmtId="0" fontId="11" fillId="2" borderId="3" xfId="44" applyFill="1" applyBorder="1" applyAlignment="1">
      <alignment vertical="center"/>
    </xf>
    <xf numFmtId="0" fontId="31" fillId="2" borderId="1" xfId="44" applyFont="1" applyFill="1" applyBorder="1" applyAlignment="1">
      <alignment horizontal="right" vertical="center" wrapText="1"/>
    </xf>
    <xf numFmtId="0" fontId="31" fillId="2" borderId="1" xfId="44" applyFont="1" applyFill="1" applyBorder="1" applyAlignment="1">
      <alignment horizontal="right" vertical="center"/>
    </xf>
    <xf numFmtId="0" fontId="11" fillId="2" borderId="1" xfId="44" applyFill="1" applyBorder="1" applyAlignment="1">
      <alignment horizontal="right" vertical="center"/>
    </xf>
    <xf numFmtId="0" fontId="30" fillId="2" borderId="0" xfId="43" applyFont="1" applyFill="1" applyBorder="1" applyAlignment="1">
      <alignment horizontal="left" vertical="center" wrapText="1"/>
    </xf>
    <xf numFmtId="0" fontId="31" fillId="2" borderId="0" xfId="44" applyFont="1" applyFill="1" applyBorder="1" applyAlignment="1">
      <alignment horizontal="left" vertical="center" wrapText="1"/>
    </xf>
    <xf numFmtId="0" fontId="31" fillId="2" borderId="0" xfId="44" applyFont="1" applyFill="1" applyBorder="1" applyAlignment="1">
      <alignment horizontal="center" vertical="center"/>
    </xf>
    <xf numFmtId="0" fontId="31" fillId="2" borderId="0" xfId="44" applyFont="1" applyFill="1" applyBorder="1" applyAlignment="1">
      <alignment horizontal="right" vertical="center"/>
    </xf>
    <xf numFmtId="0" fontId="31" fillId="2" borderId="0" xfId="43" applyFont="1" applyFill="1" applyAlignment="1">
      <alignment vertical="center"/>
    </xf>
    <xf numFmtId="0" fontId="38" fillId="2" borderId="0" xfId="43" applyFont="1" applyFill="1" applyAlignment="1">
      <alignment vertical="center"/>
    </xf>
    <xf numFmtId="0" fontId="11" fillId="2" borderId="0" xfId="43" applyFill="1" applyAlignment="1">
      <alignment vertical="center"/>
    </xf>
    <xf numFmtId="0" fontId="33" fillId="2" borderId="0" xfId="43" applyFont="1" applyFill="1" applyAlignment="1">
      <alignment vertical="center"/>
    </xf>
    <xf numFmtId="165" fontId="28" fillId="2" borderId="1" xfId="45" applyNumberFormat="1" applyFont="1" applyFill="1" applyBorder="1"/>
    <xf numFmtId="167" fontId="28" fillId="2" borderId="1" xfId="45" applyNumberFormat="1" applyFont="1" applyFill="1" applyBorder="1"/>
    <xf numFmtId="167" fontId="28" fillId="5" borderId="1" xfId="43" applyNumberFormat="1" applyFont="1" applyFill="1" applyBorder="1"/>
    <xf numFmtId="167" fontId="28" fillId="2" borderId="1" xfId="44" applyNumberFormat="1" applyFont="1" applyFill="1" applyBorder="1"/>
    <xf numFmtId="0" fontId="11" fillId="2" borderId="0" xfId="44" applyFill="1" applyBorder="1" applyAlignment="1">
      <alignment vertical="center"/>
    </xf>
    <xf numFmtId="0" fontId="30" fillId="2" borderId="0" xfId="44" applyFont="1" applyFill="1" applyBorder="1" applyAlignment="1">
      <alignment horizontal="left" vertical="center"/>
    </xf>
    <xf numFmtId="166" fontId="30" fillId="2" borderId="0" xfId="44" applyNumberFormat="1" applyFont="1" applyFill="1" applyBorder="1" applyAlignment="1">
      <alignment horizontal="right" vertical="center"/>
    </xf>
    <xf numFmtId="166" fontId="30" fillId="2" borderId="0" xfId="44" applyNumberFormat="1" applyFont="1" applyFill="1" applyBorder="1" applyAlignment="1">
      <alignment vertical="center"/>
    </xf>
    <xf numFmtId="167" fontId="30" fillId="2" borderId="0" xfId="44" applyNumberFormat="1" applyFont="1" applyFill="1" applyBorder="1" applyAlignment="1">
      <alignment vertical="center"/>
    </xf>
    <xf numFmtId="0" fontId="54" fillId="2" borderId="0" xfId="47" applyFont="1" applyFill="1" applyAlignment="1">
      <alignment horizontal="left" vertical="center"/>
    </xf>
    <xf numFmtId="0" fontId="36" fillId="0" borderId="0" xfId="47" applyFont="1" applyFill="1" applyAlignment="1">
      <alignment horizontal="left" vertical="center"/>
    </xf>
    <xf numFmtId="0" fontId="54" fillId="2" borderId="0" xfId="47" applyFont="1" applyFill="1" applyAlignment="1">
      <alignment vertical="center"/>
    </xf>
    <xf numFmtId="0" fontId="36" fillId="0" borderId="0" xfId="46" applyFont="1"/>
    <xf numFmtId="0" fontId="10" fillId="2" borderId="1" xfId="47" applyFill="1" applyBorder="1" applyAlignment="1">
      <alignment vertical="center"/>
    </xf>
    <xf numFmtId="0" fontId="28" fillId="2" borderId="0" xfId="47" applyFont="1" applyFill="1" applyBorder="1" applyAlignment="1">
      <alignment horizontal="right" vertical="top" wrapText="1"/>
    </xf>
    <xf numFmtId="0" fontId="10" fillId="2" borderId="0" xfId="47" applyFill="1" applyAlignment="1">
      <alignment vertical="center"/>
    </xf>
    <xf numFmtId="0" fontId="31" fillId="2" borderId="3" xfId="47" applyFont="1" applyFill="1" applyBorder="1" applyAlignment="1">
      <alignment horizontal="right" vertical="center" wrapText="1"/>
    </xf>
    <xf numFmtId="0" fontId="31" fillId="2" borderId="0" xfId="47" applyFont="1" applyFill="1" applyBorder="1" applyAlignment="1">
      <alignment horizontal="right" vertical="center" wrapText="1"/>
    </xf>
    <xf numFmtId="0" fontId="31" fillId="2" borderId="3" xfId="47" applyFont="1" applyFill="1" applyBorder="1" applyAlignment="1">
      <alignment horizontal="center" vertical="center" wrapText="1"/>
    </xf>
    <xf numFmtId="0" fontId="10" fillId="0" borderId="3" xfId="47" applyFill="1" applyBorder="1" applyAlignment="1">
      <alignment vertical="center"/>
    </xf>
    <xf numFmtId="0" fontId="10" fillId="2" borderId="3" xfId="47" applyFill="1" applyBorder="1" applyAlignment="1">
      <alignment vertical="center"/>
    </xf>
    <xf numFmtId="0" fontId="31" fillId="2" borderId="1" xfId="47" applyFont="1" applyFill="1" applyBorder="1" applyAlignment="1">
      <alignment horizontal="right" vertical="center" wrapText="1"/>
    </xf>
    <xf numFmtId="0" fontId="31" fillId="2" borderId="1" xfId="47" applyFont="1" applyFill="1" applyBorder="1" applyAlignment="1">
      <alignment horizontal="right" vertical="center"/>
    </xf>
    <xf numFmtId="0" fontId="10" fillId="2" borderId="1" xfId="47" applyFill="1" applyBorder="1" applyAlignment="1">
      <alignment horizontal="right" vertical="center"/>
    </xf>
    <xf numFmtId="0" fontId="30" fillId="2" borderId="0" xfId="46" applyFont="1" applyFill="1" applyBorder="1" applyAlignment="1">
      <alignment horizontal="left" vertical="center" wrapText="1"/>
    </xf>
    <xf numFmtId="0" fontId="31" fillId="2" borderId="0" xfId="47" applyFont="1" applyFill="1" applyBorder="1" applyAlignment="1">
      <alignment horizontal="left" vertical="center" wrapText="1"/>
    </xf>
    <xf numFmtId="0" fontId="31" fillId="2" borderId="0" xfId="47" applyFont="1" applyFill="1" applyBorder="1" applyAlignment="1">
      <alignment horizontal="center" vertical="center" wrapText="1"/>
    </xf>
    <xf numFmtId="0" fontId="31" fillId="2" borderId="0" xfId="47" applyFont="1" applyFill="1" applyBorder="1" applyAlignment="1">
      <alignment horizontal="center" vertical="center"/>
    </xf>
    <xf numFmtId="0" fontId="31" fillId="2" borderId="0" xfId="47" applyFont="1" applyFill="1" applyBorder="1" applyAlignment="1">
      <alignment horizontal="right" vertical="center"/>
    </xf>
    <xf numFmtId="0" fontId="31" fillId="2" borderId="0" xfId="46" applyFont="1" applyFill="1" applyAlignment="1">
      <alignment vertical="center"/>
    </xf>
    <xf numFmtId="0" fontId="38" fillId="2" borderId="0" xfId="46" applyFont="1" applyFill="1" applyAlignment="1">
      <alignment vertical="center"/>
    </xf>
    <xf numFmtId="0" fontId="10" fillId="2" borderId="0" xfId="46" applyFill="1" applyAlignment="1">
      <alignment vertical="center"/>
    </xf>
    <xf numFmtId="0" fontId="33" fillId="2" borderId="0" xfId="46" applyFont="1" applyFill="1" applyAlignment="1">
      <alignment vertical="center"/>
    </xf>
    <xf numFmtId="165" fontId="28" fillId="2" borderId="1" xfId="48" applyNumberFormat="1" applyFont="1" applyFill="1" applyBorder="1"/>
    <xf numFmtId="167" fontId="28" fillId="2" borderId="1" xfId="48" applyNumberFormat="1" applyFont="1" applyFill="1" applyBorder="1"/>
    <xf numFmtId="167" fontId="28" fillId="5" borderId="1" xfId="46" applyNumberFormat="1" applyFont="1" applyFill="1" applyBorder="1"/>
    <xf numFmtId="167" fontId="28" fillId="2" borderId="1" xfId="47" applyNumberFormat="1" applyFont="1" applyFill="1" applyBorder="1"/>
    <xf numFmtId="0" fontId="10" fillId="2" borderId="0" xfId="47" applyFill="1" applyBorder="1" applyAlignment="1">
      <alignment vertical="center"/>
    </xf>
    <xf numFmtId="0" fontId="30" fillId="2" borderId="0" xfId="47" applyFont="1" applyFill="1" applyBorder="1" applyAlignment="1">
      <alignment horizontal="left" vertical="center"/>
    </xf>
    <xf numFmtId="166" fontId="30" fillId="2" borderId="0" xfId="47" applyNumberFormat="1" applyFont="1" applyFill="1" applyBorder="1" applyAlignment="1">
      <alignment horizontal="right" vertical="center"/>
    </xf>
    <xf numFmtId="166" fontId="30" fillId="2" borderId="0" xfId="47" applyNumberFormat="1" applyFont="1" applyFill="1" applyBorder="1" applyAlignment="1">
      <alignment vertical="center"/>
    </xf>
    <xf numFmtId="167" fontId="30" fillId="2" borderId="0" xfId="47" applyNumberFormat="1" applyFont="1" applyFill="1" applyBorder="1" applyAlignment="1">
      <alignment vertical="center"/>
    </xf>
    <xf numFmtId="0" fontId="54" fillId="2" borderId="0" xfId="50" applyFont="1" applyFill="1" applyAlignment="1">
      <alignment horizontal="left" vertical="center"/>
    </xf>
    <xf numFmtId="0" fontId="36" fillId="0" borderId="0" xfId="50" applyFont="1" applyFill="1" applyAlignment="1">
      <alignment horizontal="left" vertical="center"/>
    </xf>
    <xf numFmtId="0" fontId="54" fillId="2" borderId="0" xfId="50" applyFont="1" applyFill="1" applyAlignment="1">
      <alignment vertical="center"/>
    </xf>
    <xf numFmtId="0" fontId="36" fillId="0" borderId="0" xfId="49" applyFont="1"/>
    <xf numFmtId="0" fontId="9" fillId="2" borderId="1" xfId="50" applyFill="1" applyBorder="1" applyAlignment="1">
      <alignment vertical="center"/>
    </xf>
    <xf numFmtId="0" fontId="28" fillId="2" borderId="0" xfId="50" applyFont="1" applyFill="1" applyBorder="1" applyAlignment="1">
      <alignment horizontal="right" vertical="top" wrapText="1"/>
    </xf>
    <xf numFmtId="0" fontId="9" fillId="2" borderId="0" xfId="50" applyFill="1" applyAlignment="1">
      <alignment vertical="center"/>
    </xf>
    <xf numFmtId="0" fontId="31" fillId="2" borderId="3" xfId="50" applyFont="1" applyFill="1" applyBorder="1" applyAlignment="1">
      <alignment horizontal="right" vertical="center" wrapText="1"/>
    </xf>
    <xf numFmtId="0" fontId="31" fillId="2" borderId="0" xfId="50" applyFont="1" applyFill="1" applyBorder="1" applyAlignment="1">
      <alignment horizontal="right" vertical="center" wrapText="1"/>
    </xf>
    <xf numFmtId="0" fontId="31" fillId="2" borderId="3" xfId="50" applyFont="1" applyFill="1" applyBorder="1" applyAlignment="1">
      <alignment horizontal="center" vertical="center" wrapText="1"/>
    </xf>
    <xf numFmtId="0" fontId="9" fillId="0" borderId="3" xfId="50" applyFill="1" applyBorder="1" applyAlignment="1">
      <alignment vertical="center"/>
    </xf>
    <xf numFmtId="0" fontId="9" fillId="2" borderId="3" xfId="50" applyFill="1" applyBorder="1" applyAlignment="1">
      <alignment vertical="center"/>
    </xf>
    <xf numFmtId="0" fontId="31" fillId="2" borderId="1" xfId="50" applyFont="1" applyFill="1" applyBorder="1" applyAlignment="1">
      <alignment horizontal="right" vertical="center" wrapText="1"/>
    </xf>
    <xf numFmtId="0" fontId="31" fillId="2" borderId="1" xfId="50" applyFont="1" applyFill="1" applyBorder="1" applyAlignment="1">
      <alignment horizontal="right" vertical="center"/>
    </xf>
    <xf numFmtId="0" fontId="9" fillId="2" borderId="1" xfId="50" applyFill="1" applyBorder="1" applyAlignment="1">
      <alignment horizontal="right" vertical="center"/>
    </xf>
    <xf numFmtId="0" fontId="30" fillId="2" borderId="0" xfId="49" applyFont="1" applyFill="1" applyBorder="1" applyAlignment="1">
      <alignment horizontal="left" vertical="center" wrapText="1"/>
    </xf>
    <xf numFmtId="0" fontId="31" fillId="2" borderId="0" xfId="50" applyFont="1" applyFill="1" applyBorder="1" applyAlignment="1">
      <alignment horizontal="left" vertical="center" wrapText="1"/>
    </xf>
    <xf numFmtId="0" fontId="31" fillId="2" borderId="0" xfId="50" applyFont="1" applyFill="1" applyBorder="1" applyAlignment="1">
      <alignment horizontal="center" vertical="center" wrapText="1"/>
    </xf>
    <xf numFmtId="0" fontId="31" fillId="2" borderId="0" xfId="50" applyFont="1" applyFill="1" applyBorder="1" applyAlignment="1">
      <alignment horizontal="center" vertical="center"/>
    </xf>
    <xf numFmtId="0" fontId="31" fillId="2" borderId="0" xfId="50" applyFont="1" applyFill="1" applyBorder="1" applyAlignment="1">
      <alignment horizontal="right" vertical="center"/>
    </xf>
    <xf numFmtId="0" fontId="31" fillId="2" borderId="0" xfId="49" applyFont="1" applyFill="1" applyAlignment="1">
      <alignment vertical="center"/>
    </xf>
    <xf numFmtId="0" fontId="38" fillId="2" borderId="0" xfId="49" applyFont="1" applyFill="1" applyAlignment="1">
      <alignment vertical="center"/>
    </xf>
    <xf numFmtId="0" fontId="34" fillId="2" borderId="0" xfId="50" applyFont="1" applyFill="1" applyAlignment="1">
      <alignment vertical="center"/>
    </xf>
    <xf numFmtId="0" fontId="9" fillId="2" borderId="0" xfId="49" applyFill="1" applyAlignment="1">
      <alignment vertical="center"/>
    </xf>
    <xf numFmtId="0" fontId="33" fillId="2" borderId="0" xfId="49" applyFont="1" applyFill="1" applyAlignment="1">
      <alignment vertical="center"/>
    </xf>
    <xf numFmtId="165" fontId="28" fillId="2" borderId="1" xfId="51" applyNumberFormat="1" applyFont="1" applyFill="1" applyBorder="1"/>
    <xf numFmtId="167" fontId="28" fillId="2" borderId="1" xfId="51" applyNumberFormat="1" applyFont="1" applyFill="1" applyBorder="1"/>
    <xf numFmtId="167" fontId="28" fillId="5" borderId="1" xfId="49" applyNumberFormat="1" applyFont="1" applyFill="1" applyBorder="1"/>
    <xf numFmtId="167" fontId="28" fillId="2" borderId="1" xfId="50" applyNumberFormat="1" applyFont="1" applyFill="1" applyBorder="1"/>
    <xf numFmtId="0" fontId="9" fillId="2" borderId="0" xfId="50" applyFill="1" applyBorder="1" applyAlignment="1">
      <alignment vertical="center"/>
    </xf>
    <xf numFmtId="0" fontId="30" fillId="2" borderId="0" xfId="50" applyFont="1" applyFill="1" applyBorder="1" applyAlignment="1">
      <alignment horizontal="left" vertical="center"/>
    </xf>
    <xf numFmtId="166" fontId="30" fillId="2" borderId="0" xfId="50" applyNumberFormat="1" applyFont="1" applyFill="1" applyBorder="1" applyAlignment="1">
      <alignment horizontal="right" vertical="center"/>
    </xf>
    <xf numFmtId="166" fontId="30" fillId="2" borderId="0" xfId="50" applyNumberFormat="1" applyFont="1" applyFill="1" applyBorder="1" applyAlignment="1">
      <alignment vertical="center"/>
    </xf>
    <xf numFmtId="167" fontId="30" fillId="2" borderId="0" xfId="50" applyNumberFormat="1" applyFont="1" applyFill="1" applyBorder="1" applyAlignment="1">
      <alignment vertical="center"/>
    </xf>
    <xf numFmtId="0" fontId="9" fillId="2" borderId="0" xfId="50" applyFill="1" applyAlignment="1">
      <alignment horizontal="left" vertical="center"/>
    </xf>
    <xf numFmtId="0" fontId="54" fillId="2" borderId="0" xfId="56" applyFont="1" applyFill="1" applyAlignment="1">
      <alignment horizontal="left" vertical="center"/>
    </xf>
    <xf numFmtId="0" fontId="36" fillId="0" borderId="0" xfId="56" applyFont="1" applyFill="1" applyAlignment="1">
      <alignment horizontal="left" vertical="center"/>
    </xf>
    <xf numFmtId="0" fontId="54" fillId="2" borderId="0" xfId="56" applyFont="1" applyFill="1" applyAlignment="1">
      <alignment vertical="center"/>
    </xf>
    <xf numFmtId="0" fontId="36" fillId="0" borderId="0" xfId="55" applyFont="1"/>
    <xf numFmtId="0" fontId="7" fillId="2" borderId="1" xfId="56" applyFill="1" applyBorder="1" applyAlignment="1">
      <alignment vertical="center"/>
    </xf>
    <xf numFmtId="0" fontId="28" fillId="2" borderId="0" xfId="56" applyFont="1" applyFill="1" applyBorder="1" applyAlignment="1">
      <alignment horizontal="right" vertical="top" wrapText="1"/>
    </xf>
    <xf numFmtId="0" fontId="7" fillId="2" borderId="0" xfId="56" applyFill="1" applyAlignment="1">
      <alignment vertical="center"/>
    </xf>
    <xf numFmtId="0" fontId="31" fillId="2" borderId="3" xfId="56" applyFont="1" applyFill="1" applyBorder="1" applyAlignment="1">
      <alignment horizontal="right" vertical="center" wrapText="1"/>
    </xf>
    <xf numFmtId="0" fontId="31" fillId="2" borderId="0" xfId="56" applyFont="1" applyFill="1" applyBorder="1" applyAlignment="1">
      <alignment horizontal="right" vertical="center" wrapText="1"/>
    </xf>
    <xf numFmtId="0" fontId="31" fillId="2" borderId="3" xfId="56" applyFont="1" applyFill="1" applyBorder="1" applyAlignment="1">
      <alignment horizontal="center" vertical="center" wrapText="1"/>
    </xf>
    <xf numFmtId="0" fontId="7" fillId="0" borderId="3" xfId="56" applyFill="1" applyBorder="1" applyAlignment="1">
      <alignment vertical="center"/>
    </xf>
    <xf numFmtId="0" fontId="7" fillId="2" borderId="3" xfId="56" applyFill="1" applyBorder="1" applyAlignment="1">
      <alignment vertical="center"/>
    </xf>
    <xf numFmtId="0" fontId="31" fillId="2" borderId="1" xfId="56" applyFont="1" applyFill="1" applyBorder="1" applyAlignment="1">
      <alignment horizontal="right" vertical="center" wrapText="1"/>
    </xf>
    <xf numFmtId="0" fontId="31" fillId="2" borderId="1" xfId="56" applyFont="1" applyFill="1" applyBorder="1" applyAlignment="1">
      <alignment horizontal="right" vertical="center"/>
    </xf>
    <xf numFmtId="0" fontId="7" fillId="2" borderId="1" xfId="56" applyFill="1" applyBorder="1" applyAlignment="1">
      <alignment horizontal="right" vertical="center"/>
    </xf>
    <xf numFmtId="0" fontId="30" fillId="2" borderId="0" xfId="55" applyFont="1" applyFill="1" applyBorder="1" applyAlignment="1">
      <alignment horizontal="left" vertical="center" wrapText="1"/>
    </xf>
    <xf numFmtId="0" fontId="31" fillId="2" borderId="0" xfId="56" applyFont="1" applyFill="1" applyBorder="1" applyAlignment="1">
      <alignment horizontal="left" vertical="center" wrapText="1"/>
    </xf>
    <xf numFmtId="0" fontId="31" fillId="2" borderId="0" xfId="56" applyFont="1" applyFill="1" applyBorder="1" applyAlignment="1">
      <alignment horizontal="center" vertical="center" wrapText="1"/>
    </xf>
    <xf numFmtId="0" fontId="31" fillId="2" borderId="0" xfId="56" applyFont="1" applyFill="1" applyBorder="1" applyAlignment="1">
      <alignment horizontal="center" vertical="center"/>
    </xf>
    <xf numFmtId="0" fontId="31" fillId="2" borderId="0" xfId="56" applyFont="1" applyFill="1" applyBorder="1" applyAlignment="1">
      <alignment horizontal="right" vertical="center"/>
    </xf>
    <xf numFmtId="0" fontId="31" fillId="2" borderId="0" xfId="55" applyFont="1" applyFill="1" applyAlignment="1">
      <alignment vertical="center"/>
    </xf>
    <xf numFmtId="0" fontId="38" fillId="2" borderId="0" xfId="55" applyFont="1" applyFill="1" applyAlignment="1">
      <alignment vertical="center"/>
    </xf>
    <xf numFmtId="0" fontId="34" fillId="2" borderId="0" xfId="56" applyFont="1" applyFill="1" applyAlignment="1">
      <alignment vertical="center"/>
    </xf>
    <xf numFmtId="0" fontId="7" fillId="2" borderId="0" xfId="55" applyFill="1" applyAlignment="1">
      <alignment vertical="center"/>
    </xf>
    <xf numFmtId="0" fontId="33" fillId="2" borderId="0" xfId="55" applyFont="1" applyFill="1" applyAlignment="1">
      <alignment vertical="center"/>
    </xf>
    <xf numFmtId="165" fontId="28" fillId="2" borderId="1" xfId="57" applyNumberFormat="1" applyFont="1" applyFill="1" applyBorder="1"/>
    <xf numFmtId="167" fontId="28" fillId="2" borderId="1" xfId="57" applyNumberFormat="1" applyFont="1" applyFill="1" applyBorder="1"/>
    <xf numFmtId="167" fontId="28" fillId="5" borderId="1" xfId="55" applyNumberFormat="1" applyFont="1" applyFill="1" applyBorder="1"/>
    <xf numFmtId="167" fontId="28" fillId="2" borderId="1" xfId="56" applyNumberFormat="1" applyFont="1" applyFill="1" applyBorder="1"/>
    <xf numFmtId="0" fontId="7" fillId="2" borderId="0" xfId="56" applyFill="1" applyBorder="1" applyAlignment="1">
      <alignment vertical="center"/>
    </xf>
    <xf numFmtId="0" fontId="30" fillId="2" borderId="0" xfId="56" applyFont="1" applyFill="1" applyBorder="1" applyAlignment="1">
      <alignment horizontal="left" vertical="center"/>
    </xf>
    <xf numFmtId="166" fontId="30" fillId="2" borderId="0" xfId="56" applyNumberFormat="1" applyFont="1" applyFill="1" applyBorder="1" applyAlignment="1">
      <alignment horizontal="right" vertical="center"/>
    </xf>
    <xf numFmtId="166" fontId="30" fillId="2" borderId="0" xfId="56" applyNumberFormat="1" applyFont="1" applyFill="1" applyBorder="1" applyAlignment="1">
      <alignment vertical="center"/>
    </xf>
    <xf numFmtId="167" fontId="30" fillId="2" borderId="0" xfId="56" applyNumberFormat="1" applyFont="1" applyFill="1" applyBorder="1" applyAlignment="1">
      <alignment vertical="center"/>
    </xf>
    <xf numFmtId="0" fontId="7" fillId="2" borderId="0" xfId="56" applyFill="1" applyAlignment="1">
      <alignment horizontal="left" vertical="center"/>
    </xf>
    <xf numFmtId="0" fontId="54" fillId="2" borderId="0" xfId="59" applyFont="1" applyFill="1" applyAlignment="1">
      <alignment vertical="center"/>
    </xf>
    <xf numFmtId="0" fontId="36" fillId="0" borderId="0" xfId="58" applyFont="1"/>
    <xf numFmtId="0" fontId="54" fillId="2" borderId="0" xfId="59" applyFont="1" applyFill="1" applyAlignment="1">
      <alignment horizontal="left" vertical="center"/>
    </xf>
    <xf numFmtId="0" fontId="67" fillId="2" borderId="1" xfId="59" applyFont="1" applyFill="1" applyBorder="1" applyAlignment="1">
      <alignment vertical="center"/>
    </xf>
    <xf numFmtId="0" fontId="70" fillId="2" borderId="1" xfId="59" applyFont="1" applyFill="1" applyBorder="1" applyAlignment="1">
      <alignment vertical="center" wrapText="1"/>
    </xf>
    <xf numFmtId="0" fontId="32" fillId="2" borderId="1" xfId="59" applyFont="1" applyFill="1" applyBorder="1" applyAlignment="1">
      <alignment vertical="center" wrapText="1"/>
    </xf>
    <xf numFmtId="0" fontId="28" fillId="2" borderId="3" xfId="59" applyFont="1" applyFill="1" applyBorder="1" applyAlignment="1">
      <alignment horizontal="right" vertical="center" wrapText="1"/>
    </xf>
    <xf numFmtId="0" fontId="32" fillId="2" borderId="3" xfId="59" applyFont="1" applyFill="1" applyBorder="1" applyAlignment="1">
      <alignment vertical="center"/>
    </xf>
    <xf numFmtId="0" fontId="28" fillId="2" borderId="0" xfId="59" applyFont="1" applyFill="1" applyBorder="1" applyAlignment="1">
      <alignment horizontal="right" vertical="center" wrapText="1"/>
    </xf>
    <xf numFmtId="0" fontId="32" fillId="2" borderId="1" xfId="59" applyFont="1" applyFill="1" applyBorder="1" applyAlignment="1">
      <alignment vertical="center"/>
    </xf>
    <xf numFmtId="0" fontId="28" fillId="2" borderId="1" xfId="59" applyFont="1" applyFill="1" applyBorder="1" applyAlignment="1">
      <alignment horizontal="right" vertical="center" wrapText="1"/>
    </xf>
    <xf numFmtId="0" fontId="32" fillId="2" borderId="1" xfId="60" applyFont="1" applyFill="1" applyBorder="1" applyAlignment="1">
      <alignment horizontal="right" vertical="center" wrapText="1"/>
    </xf>
    <xf numFmtId="0" fontId="28" fillId="2" borderId="0" xfId="58" applyFont="1" applyFill="1" applyBorder="1" applyAlignment="1">
      <alignment horizontal="left" vertical="center" wrapText="1"/>
    </xf>
    <xf numFmtId="0" fontId="32" fillId="2" borderId="0" xfId="59" applyFont="1" applyFill="1" applyBorder="1" applyAlignment="1">
      <alignment horizontal="left" vertical="center" wrapText="1"/>
    </xf>
    <xf numFmtId="0" fontId="32" fillId="2" borderId="0" xfId="59" applyFont="1" applyFill="1" applyBorder="1" applyAlignment="1">
      <alignment horizontal="center" vertical="center" wrapText="1"/>
    </xf>
    <xf numFmtId="0" fontId="32" fillId="2" borderId="0" xfId="59" applyFont="1" applyFill="1" applyBorder="1" applyAlignment="1">
      <alignment horizontal="center" vertical="center"/>
    </xf>
    <xf numFmtId="0" fontId="32" fillId="2" borderId="0" xfId="59" applyFont="1" applyFill="1" applyBorder="1" applyAlignment="1">
      <alignment horizontal="right" vertical="center"/>
    </xf>
    <xf numFmtId="0" fontId="32" fillId="2" borderId="3" xfId="59" applyFont="1" applyFill="1" applyBorder="1" applyAlignment="1">
      <alignment horizontal="right" vertical="center"/>
    </xf>
    <xf numFmtId="0" fontId="32" fillId="2" borderId="0" xfId="59" applyFont="1" applyFill="1" applyAlignment="1">
      <alignment horizontal="right" vertical="center"/>
    </xf>
    <xf numFmtId="0" fontId="71" fillId="2" borderId="0" xfId="59" applyFont="1" applyFill="1" applyAlignment="1">
      <alignment vertical="center"/>
    </xf>
    <xf numFmtId="0" fontId="69" fillId="2" borderId="0" xfId="58" applyFont="1" applyFill="1" applyAlignment="1">
      <alignment vertical="center"/>
    </xf>
    <xf numFmtId="0" fontId="67" fillId="2" borderId="0" xfId="59" applyFont="1" applyFill="1" applyAlignment="1">
      <alignment vertical="center"/>
    </xf>
    <xf numFmtId="0" fontId="37" fillId="2" borderId="0" xfId="58" applyFont="1" applyFill="1" applyAlignment="1">
      <alignment vertical="center"/>
    </xf>
    <xf numFmtId="165" fontId="28" fillId="2" borderId="1" xfId="59" applyNumberFormat="1" applyFont="1" applyFill="1" applyBorder="1"/>
    <xf numFmtId="167" fontId="28" fillId="2" borderId="1" xfId="59" applyNumberFormat="1" applyFont="1" applyFill="1" applyBorder="1"/>
    <xf numFmtId="0" fontId="67" fillId="2" borderId="0" xfId="59" applyFont="1" applyFill="1" applyBorder="1" applyAlignment="1">
      <alignment vertical="center"/>
    </xf>
    <xf numFmtId="0" fontId="28" fillId="2" borderId="0" xfId="59" applyFont="1" applyFill="1" applyBorder="1" applyAlignment="1">
      <alignment vertical="center"/>
    </xf>
    <xf numFmtId="166" fontId="28" fillId="2" borderId="0" xfId="59" applyNumberFormat="1" applyFont="1" applyFill="1" applyBorder="1" applyAlignment="1">
      <alignment horizontal="right" vertical="center"/>
    </xf>
    <xf numFmtId="166" fontId="28" fillId="2" borderId="0" xfId="59" applyNumberFormat="1" applyFont="1" applyFill="1" applyBorder="1" applyAlignment="1">
      <alignment vertical="center"/>
    </xf>
    <xf numFmtId="0" fontId="54" fillId="2" borderId="0" xfId="62" applyFont="1" applyFill="1" applyAlignment="1">
      <alignment horizontal="left" vertical="center"/>
    </xf>
    <xf numFmtId="0" fontId="36" fillId="0" borderId="0" xfId="62" applyFont="1" applyAlignment="1">
      <alignment horizontal="left" vertical="center"/>
    </xf>
    <xf numFmtId="0" fontId="54" fillId="2" borderId="0" xfId="62" applyFont="1" applyFill="1" applyAlignment="1">
      <alignment vertical="center"/>
    </xf>
    <xf numFmtId="0" fontId="55" fillId="0" borderId="0" xfId="63" applyFont="1"/>
    <xf numFmtId="0" fontId="55" fillId="2" borderId="0" xfId="62" applyFont="1" applyFill="1" applyAlignment="1">
      <alignment vertical="center"/>
    </xf>
    <xf numFmtId="0" fontId="55" fillId="2" borderId="0" xfId="62" applyFont="1" applyFill="1" applyAlignment="1">
      <alignment horizontal="left" vertical="center"/>
    </xf>
    <xf numFmtId="164" fontId="55" fillId="2" borderId="0" xfId="65" applyFont="1" applyFill="1" applyBorder="1" applyAlignment="1">
      <alignment horizontal="right" vertical="top"/>
    </xf>
    <xf numFmtId="0" fontId="55" fillId="2" borderId="0" xfId="64" applyFont="1" applyFill="1" applyAlignment="1">
      <alignment vertical="center"/>
    </xf>
    <xf numFmtId="0" fontId="67" fillId="2" borderId="1" xfId="62" applyFont="1" applyFill="1" applyBorder="1" applyAlignment="1">
      <alignment vertical="center"/>
    </xf>
    <xf numFmtId="0" fontId="28" fillId="2" borderId="0" xfId="62" applyFont="1" applyFill="1" applyAlignment="1">
      <alignment horizontal="right" vertical="top" wrapText="1"/>
    </xf>
    <xf numFmtId="0" fontId="67" fillId="2" borderId="0" xfId="62" applyFont="1" applyFill="1" applyAlignment="1">
      <alignment vertical="center"/>
    </xf>
    <xf numFmtId="0" fontId="32" fillId="2" borderId="3" xfId="62" applyFont="1" applyFill="1" applyBorder="1" applyAlignment="1">
      <alignment horizontal="right" vertical="center" wrapText="1"/>
    </xf>
    <xf numFmtId="0" fontId="32" fillId="2" borderId="0" xfId="62" applyFont="1" applyFill="1" applyBorder="1" applyAlignment="1">
      <alignment vertical="center" wrapText="1"/>
    </xf>
    <xf numFmtId="0" fontId="32" fillId="2" borderId="0" xfId="62" applyFont="1" applyFill="1" applyAlignment="1">
      <alignment horizontal="right" vertical="center" wrapText="1"/>
    </xf>
    <xf numFmtId="0" fontId="32" fillId="2" borderId="3" xfId="62" applyFont="1" applyFill="1" applyBorder="1" applyAlignment="1">
      <alignment horizontal="center" vertical="center" wrapText="1"/>
    </xf>
    <xf numFmtId="0" fontId="67" fillId="0" borderId="3" xfId="62" applyFont="1" applyBorder="1" applyAlignment="1">
      <alignment vertical="center"/>
    </xf>
    <xf numFmtId="0" fontId="67" fillId="2" borderId="3" xfId="62" applyFont="1" applyFill="1" applyBorder="1" applyAlignment="1">
      <alignment vertical="center"/>
    </xf>
    <xf numFmtId="0" fontId="67" fillId="2" borderId="0" xfId="62" applyFont="1" applyFill="1" applyBorder="1" applyAlignment="1">
      <alignment vertical="center"/>
    </xf>
    <xf numFmtId="0" fontId="32" fillId="2" borderId="1" xfId="62" applyFont="1" applyFill="1" applyBorder="1" applyAlignment="1">
      <alignment horizontal="right" vertical="center" wrapText="1"/>
    </xf>
    <xf numFmtId="0" fontId="32" fillId="2" borderId="1" xfId="62" applyFont="1" applyFill="1" applyBorder="1" applyAlignment="1">
      <alignment horizontal="right" vertical="center"/>
    </xf>
    <xf numFmtId="0" fontId="67" fillId="2" borderId="1" xfId="62" applyFont="1" applyFill="1" applyBorder="1" applyAlignment="1">
      <alignment horizontal="right" vertical="center"/>
    </xf>
    <xf numFmtId="0" fontId="28" fillId="2" borderId="0" xfId="63" applyFont="1" applyFill="1" applyAlignment="1">
      <alignment horizontal="left" vertical="center" wrapText="1"/>
    </xf>
    <xf numFmtId="0" fontId="32" fillId="2" borderId="0" xfId="62" applyFont="1" applyFill="1" applyAlignment="1">
      <alignment horizontal="left" vertical="center" wrapText="1"/>
    </xf>
    <xf numFmtId="0" fontId="32" fillId="2" borderId="0" xfId="62" applyFont="1" applyFill="1" applyAlignment="1">
      <alignment horizontal="center" vertical="center" wrapText="1"/>
    </xf>
    <xf numFmtId="0" fontId="32" fillId="2" borderId="0" xfId="62" applyFont="1" applyFill="1" applyAlignment="1">
      <alignment horizontal="center" vertical="center"/>
    </xf>
    <xf numFmtId="0" fontId="32" fillId="2" borderId="0" xfId="62" applyFont="1" applyFill="1" applyAlignment="1">
      <alignment horizontal="right" vertical="center"/>
    </xf>
    <xf numFmtId="0" fontId="32" fillId="2" borderId="0" xfId="63" applyFont="1" applyFill="1" applyAlignment="1">
      <alignment vertical="center"/>
    </xf>
    <xf numFmtId="0" fontId="69" fillId="2" borderId="0" xfId="61" applyFont="1" applyFill="1" applyAlignment="1">
      <alignment vertical="center"/>
    </xf>
    <xf numFmtId="0" fontId="71" fillId="2" borderId="0" xfId="62" applyFont="1" applyFill="1" applyAlignment="1">
      <alignment vertical="center"/>
    </xf>
    <xf numFmtId="0" fontId="67" fillId="2" borderId="0" xfId="63" applyFont="1" applyFill="1" applyAlignment="1">
      <alignment vertical="center"/>
    </xf>
    <xf numFmtId="0" fontId="37" fillId="2" borderId="0" xfId="61" applyFont="1" applyFill="1" applyAlignment="1">
      <alignment vertical="center"/>
    </xf>
    <xf numFmtId="0" fontId="28" fillId="2" borderId="1" xfId="62" applyFont="1" applyFill="1" applyBorder="1" applyAlignment="1">
      <alignment horizontal="left" vertical="center"/>
    </xf>
    <xf numFmtId="166" fontId="28" fillId="2" borderId="1" xfId="62" applyNumberFormat="1" applyFont="1" applyFill="1" applyBorder="1" applyAlignment="1">
      <alignment horizontal="right" vertical="center"/>
    </xf>
    <xf numFmtId="166" fontId="28" fillId="2" borderId="1" xfId="62" applyNumberFormat="1" applyFont="1" applyFill="1" applyBorder="1" applyAlignment="1">
      <alignment vertical="center"/>
    </xf>
    <xf numFmtId="167" fontId="28" fillId="2" borderId="1" xfId="62" applyNumberFormat="1" applyFont="1" applyFill="1" applyBorder="1" applyAlignment="1">
      <alignment vertical="center"/>
    </xf>
    <xf numFmtId="0" fontId="28" fillId="2" borderId="0" xfId="62" applyFont="1" applyFill="1" applyAlignment="1">
      <alignment horizontal="left" vertical="center"/>
    </xf>
    <xf numFmtId="166" fontId="28" fillId="2" borderId="0" xfId="62" applyNumberFormat="1" applyFont="1" applyFill="1" applyAlignment="1">
      <alignment horizontal="right" vertical="center"/>
    </xf>
    <xf numFmtId="166" fontId="28" fillId="2" borderId="0" xfId="62" applyNumberFormat="1" applyFont="1" applyFill="1" applyAlignment="1">
      <alignment vertical="center"/>
    </xf>
    <xf numFmtId="167" fontId="28" fillId="2" borderId="0" xfId="62" applyNumberFormat="1" applyFont="1" applyFill="1" applyAlignment="1">
      <alignment vertical="center"/>
    </xf>
    <xf numFmtId="0" fontId="68" fillId="2" borderId="0" xfId="62" applyFont="1" applyFill="1" applyAlignment="1">
      <alignment vertical="center"/>
    </xf>
    <xf numFmtId="0" fontId="28" fillId="2" borderId="0" xfId="66" applyFont="1" applyFill="1" applyAlignment="1">
      <alignment horizontal="left" vertical="center"/>
    </xf>
    <xf numFmtId="166" fontId="28" fillId="2" borderId="0" xfId="66" applyNumberFormat="1" applyFont="1" applyFill="1" applyAlignment="1">
      <alignment horizontal="right" vertical="center"/>
    </xf>
    <xf numFmtId="166" fontId="28" fillId="2" borderId="0" xfId="66" applyNumberFormat="1" applyFont="1" applyFill="1" applyAlignment="1">
      <alignment vertical="center"/>
    </xf>
    <xf numFmtId="0" fontId="68" fillId="2" borderId="0" xfId="66" applyFont="1" applyFill="1" applyAlignment="1">
      <alignment vertical="center"/>
    </xf>
    <xf numFmtId="167" fontId="28" fillId="2" borderId="0" xfId="66" applyNumberFormat="1" applyFont="1" applyFill="1" applyAlignment="1">
      <alignment vertical="center"/>
    </xf>
    <xf numFmtId="0" fontId="5" fillId="2" borderId="0" xfId="62" applyFill="1" applyAlignment="1">
      <alignment vertical="center"/>
    </xf>
    <xf numFmtId="0" fontId="5" fillId="2" borderId="0" xfId="62" applyFill="1" applyAlignment="1">
      <alignment horizontal="left" vertical="center"/>
    </xf>
    <xf numFmtId="0" fontId="54" fillId="2" borderId="0" xfId="68" applyFont="1" applyFill="1" applyAlignment="1">
      <alignment horizontal="left" vertical="center"/>
    </xf>
    <xf numFmtId="0" fontId="36" fillId="2" borderId="0" xfId="68" applyFont="1" applyFill="1" applyAlignment="1">
      <alignment horizontal="left" vertical="center"/>
    </xf>
    <xf numFmtId="0" fontId="54" fillId="2" borderId="0" xfId="68" applyFont="1" applyFill="1" applyAlignment="1">
      <alignment vertical="center"/>
    </xf>
    <xf numFmtId="0" fontId="36" fillId="2" borderId="0" xfId="69" applyFont="1" applyFill="1"/>
    <xf numFmtId="164" fontId="55" fillId="2" borderId="0" xfId="71" applyFont="1" applyFill="1" applyBorder="1" applyAlignment="1">
      <alignment horizontal="right" vertical="top"/>
    </xf>
    <xf numFmtId="0" fontId="55" fillId="2" borderId="0" xfId="70" applyFont="1" applyFill="1" applyAlignment="1">
      <alignment vertical="center"/>
    </xf>
    <xf numFmtId="0" fontId="55" fillId="2" borderId="0" xfId="68" applyFont="1" applyFill="1" applyAlignment="1">
      <alignment vertical="center"/>
    </xf>
    <xf numFmtId="0" fontId="67" fillId="2" borderId="1" xfId="68" applyFont="1" applyFill="1" applyBorder="1" applyAlignment="1">
      <alignment vertical="center"/>
    </xf>
    <xf numFmtId="0" fontId="28" fillId="2" borderId="0" xfId="68" applyFont="1" applyFill="1" applyAlignment="1">
      <alignment horizontal="right" vertical="top" wrapText="1"/>
    </xf>
    <xf numFmtId="0" fontId="67" fillId="2" borderId="0" xfId="68" applyFont="1" applyFill="1" applyAlignment="1">
      <alignment vertical="center"/>
    </xf>
    <xf numFmtId="0" fontId="32" fillId="2" borderId="3" xfId="68" applyFont="1" applyFill="1" applyBorder="1" applyAlignment="1">
      <alignment horizontal="right" vertical="center" wrapText="1"/>
    </xf>
    <xf numFmtId="0" fontId="32" fillId="2" borderId="0" xfId="68" applyFont="1" applyFill="1" applyBorder="1" applyAlignment="1">
      <alignment vertical="center" wrapText="1"/>
    </xf>
    <xf numFmtId="0" fontId="32" fillId="2" borderId="0" xfId="68" applyFont="1" applyFill="1" applyAlignment="1">
      <alignment horizontal="right" vertical="center" wrapText="1"/>
    </xf>
    <xf numFmtId="0" fontId="32" fillId="2" borderId="3" xfId="68" applyFont="1" applyFill="1" applyBorder="1" applyAlignment="1">
      <alignment horizontal="center" vertical="center" wrapText="1"/>
    </xf>
    <xf numFmtId="0" fontId="67" fillId="0" borderId="3" xfId="68" applyFont="1" applyBorder="1" applyAlignment="1">
      <alignment vertical="center"/>
    </xf>
    <xf numFmtId="0" fontId="67" fillId="2" borderId="3" xfId="68" applyFont="1" applyFill="1" applyBorder="1" applyAlignment="1">
      <alignment vertical="center"/>
    </xf>
    <xf numFmtId="0" fontId="67" fillId="2" borderId="0" xfId="68" applyFont="1" applyFill="1" applyBorder="1" applyAlignment="1">
      <alignment vertical="center"/>
    </xf>
    <xf numFmtId="0" fontId="32" fillId="2" borderId="1" xfId="68" applyFont="1" applyFill="1" applyBorder="1" applyAlignment="1">
      <alignment horizontal="right" vertical="center" wrapText="1"/>
    </xf>
    <xf numFmtId="0" fontId="32" fillId="2" borderId="1" xfId="68" applyFont="1" applyFill="1" applyBorder="1" applyAlignment="1">
      <alignment horizontal="right" vertical="center"/>
    </xf>
    <xf numFmtId="0" fontId="67" fillId="2" borderId="1" xfId="68" applyFont="1" applyFill="1" applyBorder="1" applyAlignment="1">
      <alignment horizontal="right" vertical="center"/>
    </xf>
    <xf numFmtId="0" fontId="67" fillId="2" borderId="0" xfId="68" applyFont="1" applyFill="1" applyAlignment="1">
      <alignment horizontal="right" vertical="center"/>
    </xf>
    <xf numFmtId="0" fontId="28" fillId="2" borderId="0" xfId="69" applyFont="1" applyFill="1" applyAlignment="1">
      <alignment horizontal="left" vertical="center" wrapText="1"/>
    </xf>
    <xf numFmtId="0" fontId="32" fillId="2" borderId="0" xfId="68" applyFont="1" applyFill="1" applyAlignment="1">
      <alignment horizontal="left" vertical="center" wrapText="1"/>
    </xf>
    <xf numFmtId="0" fontId="32" fillId="2" borderId="0" xfId="68" applyFont="1" applyFill="1" applyAlignment="1">
      <alignment horizontal="center" vertical="center" wrapText="1"/>
    </xf>
    <xf numFmtId="0" fontId="32" fillId="2" borderId="0" xfId="68" applyFont="1" applyFill="1" applyAlignment="1">
      <alignment horizontal="center" vertical="center"/>
    </xf>
    <xf numFmtId="0" fontId="32" fillId="2" borderId="0" xfId="68" applyFont="1" applyFill="1" applyAlignment="1">
      <alignment horizontal="right" vertical="center"/>
    </xf>
    <xf numFmtId="0" fontId="32" fillId="2" borderId="0" xfId="69" applyFont="1" applyFill="1" applyAlignment="1">
      <alignment vertical="center"/>
    </xf>
    <xf numFmtId="0" fontId="69" fillId="2" borderId="0" xfId="67" applyFont="1" applyFill="1" applyAlignment="1">
      <alignment vertical="center"/>
    </xf>
    <xf numFmtId="0" fontId="71" fillId="2" borderId="0" xfId="68" applyFont="1" applyFill="1" applyAlignment="1">
      <alignment vertical="center"/>
    </xf>
    <xf numFmtId="0" fontId="67" fillId="2" borderId="0" xfId="69" applyFont="1" applyFill="1" applyAlignment="1">
      <alignment vertical="center"/>
    </xf>
    <xf numFmtId="0" fontId="37" fillId="2" borderId="0" xfId="67" applyFont="1" applyFill="1" applyAlignment="1">
      <alignment vertical="center"/>
    </xf>
    <xf numFmtId="165" fontId="28" fillId="2" borderId="1" xfId="70" applyNumberFormat="1" applyFont="1" applyFill="1" applyBorder="1"/>
    <xf numFmtId="167" fontId="28" fillId="2" borderId="1" xfId="70" applyNumberFormat="1" applyFont="1" applyFill="1" applyBorder="1"/>
    <xf numFmtId="167" fontId="28" fillId="5" borderId="1" xfId="69" applyNumberFormat="1" applyFont="1" applyFill="1" applyBorder="1"/>
    <xf numFmtId="167" fontId="28" fillId="2" borderId="1" xfId="68" applyNumberFormat="1" applyFont="1" applyFill="1" applyBorder="1"/>
    <xf numFmtId="0" fontId="28" fillId="2" borderId="0" xfId="68" applyFont="1" applyFill="1" applyAlignment="1">
      <alignment horizontal="left" vertical="center"/>
    </xf>
    <xf numFmtId="166" fontId="28" fillId="2" borderId="0" xfId="68" applyNumberFormat="1" applyFont="1" applyFill="1" applyAlignment="1">
      <alignment horizontal="right" vertical="center"/>
    </xf>
    <xf numFmtId="166" fontId="28" fillId="2" borderId="0" xfId="68" applyNumberFormat="1" applyFont="1" applyFill="1" applyAlignment="1">
      <alignment vertical="center"/>
    </xf>
    <xf numFmtId="167" fontId="28" fillId="2" borderId="0" xfId="68" applyNumberFormat="1" applyFont="1" applyFill="1" applyAlignment="1">
      <alignment vertical="center"/>
    </xf>
    <xf numFmtId="0" fontId="68" fillId="2" borderId="0" xfId="68" applyFont="1" applyFill="1" applyAlignment="1">
      <alignment vertical="center"/>
    </xf>
    <xf numFmtId="0" fontId="28" fillId="2" borderId="0" xfId="72" applyFont="1" applyFill="1" applyAlignment="1">
      <alignment horizontal="left" vertical="center"/>
    </xf>
    <xf numFmtId="166" fontId="28" fillId="2" borderId="0" xfId="72" applyNumberFormat="1" applyFont="1" applyFill="1" applyAlignment="1">
      <alignment horizontal="right" vertical="center"/>
    </xf>
    <xf numFmtId="166" fontId="28" fillId="2" borderId="0" xfId="72" applyNumberFormat="1" applyFont="1" applyFill="1" applyAlignment="1">
      <alignment vertical="center"/>
    </xf>
    <xf numFmtId="0" fontId="68" fillId="2" borderId="0" xfId="72" applyFont="1" applyFill="1" applyAlignment="1">
      <alignment vertical="center"/>
    </xf>
    <xf numFmtId="167" fontId="28" fillId="2" borderId="0" xfId="72" applyNumberFormat="1" applyFont="1" applyFill="1" applyAlignment="1">
      <alignment vertical="center"/>
    </xf>
    <xf numFmtId="0" fontId="4" fillId="2" borderId="0" xfId="68" applyFill="1" applyAlignment="1">
      <alignment vertical="center"/>
    </xf>
    <xf numFmtId="0" fontId="4" fillId="2" borderId="0" xfId="68" applyFill="1" applyBorder="1" applyAlignment="1">
      <alignment vertical="center"/>
    </xf>
    <xf numFmtId="0" fontId="4" fillId="2" borderId="0" xfId="69" applyFill="1" applyBorder="1" applyAlignment="1">
      <alignment vertical="center"/>
    </xf>
    <xf numFmtId="0" fontId="4" fillId="2" borderId="0" xfId="69" applyFill="1" applyAlignment="1">
      <alignment vertical="center"/>
    </xf>
    <xf numFmtId="0" fontId="37" fillId="2" borderId="0" xfId="68" applyFont="1" applyFill="1" applyAlignment="1">
      <alignment vertical="top"/>
    </xf>
    <xf numFmtId="0" fontId="44" fillId="0" borderId="3" xfId="18" applyFont="1" applyBorder="1" applyAlignment="1">
      <alignment horizontal="left" vertical="center" wrapText="1"/>
    </xf>
    <xf numFmtId="0" fontId="44" fillId="0" borderId="1" xfId="18" applyFont="1" applyBorder="1" applyAlignment="1">
      <alignment horizontal="left" vertical="center" wrapText="1"/>
    </xf>
    <xf numFmtId="0" fontId="36" fillId="0" borderId="0" xfId="74" applyFont="1"/>
    <xf numFmtId="171" fontId="44" fillId="2" borderId="0" xfId="0" applyNumberFormat="1" applyFont="1" applyFill="1" applyAlignment="1">
      <alignment horizontal="right" vertical="center"/>
    </xf>
    <xf numFmtId="171" fontId="45" fillId="0" borderId="0" xfId="0" applyNumberFormat="1" applyFont="1" applyFill="1" applyAlignment="1">
      <alignment horizontal="right" vertical="center"/>
    </xf>
    <xf numFmtId="0" fontId="54" fillId="2" borderId="0" xfId="76" applyFont="1" applyFill="1" applyAlignment="1">
      <alignment horizontal="left" vertical="center"/>
    </xf>
    <xf numFmtId="0" fontId="36" fillId="0" borderId="0" xfId="76" applyFont="1" applyFill="1" applyAlignment="1">
      <alignment horizontal="left" vertical="center"/>
    </xf>
    <xf numFmtId="0" fontId="54" fillId="2" borderId="0" xfId="76" applyFont="1" applyFill="1" applyAlignment="1">
      <alignment vertical="center"/>
    </xf>
    <xf numFmtId="0" fontId="36" fillId="0" borderId="0" xfId="75" applyFont="1"/>
    <xf numFmtId="164" fontId="54" fillId="2" borderId="0" xfId="78" applyFont="1" applyFill="1" applyBorder="1" applyAlignment="1">
      <alignment horizontal="right" vertical="top"/>
    </xf>
    <xf numFmtId="0" fontId="54" fillId="2" borderId="0" xfId="77" applyFont="1" applyFill="1" applyAlignment="1">
      <alignment vertical="center"/>
    </xf>
    <xf numFmtId="0" fontId="1" fillId="2" borderId="1" xfId="76" applyFill="1" applyBorder="1" applyAlignment="1">
      <alignment vertical="center"/>
    </xf>
    <xf numFmtId="0" fontId="28" fillId="2" borderId="0" xfId="76" applyFont="1" applyFill="1" applyBorder="1" applyAlignment="1">
      <alignment horizontal="right" vertical="top" wrapText="1"/>
    </xf>
    <xf numFmtId="0" fontId="1" fillId="2" borderId="0" xfId="76" applyFill="1" applyAlignment="1">
      <alignment vertical="center"/>
    </xf>
    <xf numFmtId="0" fontId="31" fillId="2" borderId="3" xfId="76" applyFont="1" applyFill="1" applyBorder="1" applyAlignment="1">
      <alignment horizontal="right" vertical="center" wrapText="1"/>
    </xf>
    <xf numFmtId="0" fontId="31" fillId="2" borderId="0" xfId="76" applyFont="1" applyFill="1" applyBorder="1" applyAlignment="1">
      <alignment horizontal="right" vertical="center" wrapText="1"/>
    </xf>
    <xf numFmtId="0" fontId="31" fillId="2" borderId="3" xfId="76" applyFont="1" applyFill="1" applyBorder="1" applyAlignment="1">
      <alignment horizontal="center" vertical="center" wrapText="1"/>
    </xf>
    <xf numFmtId="0" fontId="1" fillId="0" borderId="3" xfId="76" applyFill="1" applyBorder="1" applyAlignment="1">
      <alignment vertical="center"/>
    </xf>
    <xf numFmtId="0" fontId="1" fillId="2" borderId="3" xfId="76" applyFill="1" applyBorder="1" applyAlignment="1">
      <alignment vertical="center"/>
    </xf>
    <xf numFmtId="0" fontId="31" fillId="2" borderId="1" xfId="76" applyFont="1" applyFill="1" applyBorder="1" applyAlignment="1">
      <alignment horizontal="right" vertical="center" wrapText="1"/>
    </xf>
    <xf numFmtId="0" fontId="31" fillId="2" borderId="1" xfId="76" applyFont="1" applyFill="1" applyBorder="1" applyAlignment="1">
      <alignment horizontal="right" vertical="center"/>
    </xf>
    <xf numFmtId="0" fontId="1" fillId="2" borderId="1" xfId="76" applyFill="1" applyBorder="1" applyAlignment="1">
      <alignment horizontal="right" vertical="center"/>
    </xf>
    <xf numFmtId="0" fontId="30" fillId="2" borderId="0" xfId="75" applyFont="1" applyFill="1" applyBorder="1" applyAlignment="1">
      <alignment horizontal="left" vertical="center" wrapText="1"/>
    </xf>
    <xf numFmtId="0" fontId="31" fillId="2" borderId="0" xfId="76" applyFont="1" applyFill="1" applyBorder="1" applyAlignment="1">
      <alignment horizontal="left" vertical="center" wrapText="1"/>
    </xf>
    <xf numFmtId="0" fontId="31" fillId="2" borderId="0" xfId="76" applyFont="1" applyFill="1" applyBorder="1" applyAlignment="1">
      <alignment horizontal="center" vertical="center" wrapText="1"/>
    </xf>
    <xf numFmtId="0" fontId="31" fillId="2" borderId="0" xfId="76" applyFont="1" applyFill="1" applyBorder="1" applyAlignment="1">
      <alignment horizontal="center" vertical="center"/>
    </xf>
    <xf numFmtId="0" fontId="31" fillId="2" borderId="0" xfId="76" applyFont="1" applyFill="1" applyBorder="1" applyAlignment="1">
      <alignment horizontal="right" vertical="center"/>
    </xf>
    <xf numFmtId="0" fontId="31" fillId="2" borderId="0" xfId="75" applyFont="1" applyFill="1" applyAlignment="1">
      <alignment vertical="center"/>
    </xf>
    <xf numFmtId="0" fontId="38" fillId="2" borderId="0" xfId="75" applyFont="1" applyFill="1" applyAlignment="1">
      <alignment vertical="center"/>
    </xf>
    <xf numFmtId="0" fontId="33" fillId="2" borderId="0" xfId="75" applyFont="1" applyFill="1" applyAlignment="1">
      <alignment vertical="center"/>
    </xf>
    <xf numFmtId="0" fontId="27" fillId="0" borderId="0" xfId="0" applyFont="1" applyAlignment="1">
      <alignment vertical="center"/>
    </xf>
    <xf numFmtId="0" fontId="37" fillId="0" borderId="21" xfId="32" applyFont="1" applyBorder="1" applyAlignment="1">
      <alignment horizontal="left" vertical="center" wrapText="1" indent="1"/>
    </xf>
    <xf numFmtId="0" fontId="37" fillId="0" borderId="20" xfId="32" applyFont="1" applyBorder="1" applyAlignment="1">
      <alignment horizontal="left" vertical="center" wrapText="1" indent="1"/>
    </xf>
    <xf numFmtId="0" fontId="37" fillId="0" borderId="22" xfId="32" applyFont="1" applyBorder="1" applyAlignment="1">
      <alignment horizontal="left" vertical="center" wrapText="1" indent="1"/>
    </xf>
    <xf numFmtId="0" fontId="37" fillId="0" borderId="17" xfId="32" applyFont="1" applyBorder="1" applyAlignment="1">
      <alignment horizontal="left" vertical="center" wrapText="1" indent="1"/>
    </xf>
    <xf numFmtId="0" fontId="37" fillId="0" borderId="16" xfId="32" applyFont="1" applyBorder="1" applyAlignment="1">
      <alignment horizontal="left" vertical="center" wrapText="1" indent="1"/>
    </xf>
    <xf numFmtId="0" fontId="37" fillId="0" borderId="18" xfId="32" applyFont="1" applyBorder="1" applyAlignment="1">
      <alignment horizontal="left" vertical="center" wrapText="1" indent="1"/>
    </xf>
    <xf numFmtId="0" fontId="62" fillId="0" borderId="10" xfId="14" applyFont="1" applyFill="1" applyBorder="1" applyAlignment="1">
      <alignment horizontal="center" vertical="center" wrapText="1"/>
    </xf>
    <xf numFmtId="0" fontId="63" fillId="0" borderId="15" xfId="14" applyFont="1" applyFill="1" applyBorder="1" applyAlignment="1">
      <alignment horizontal="center" vertical="center" wrapText="1"/>
    </xf>
    <xf numFmtId="0" fontId="63" fillId="0" borderId="19" xfId="14" applyFont="1" applyFill="1" applyBorder="1" applyAlignment="1">
      <alignment horizontal="center" vertical="center" wrapText="1"/>
    </xf>
    <xf numFmtId="0" fontId="37" fillId="0" borderId="12" xfId="32" applyFont="1" applyBorder="1" applyAlignment="1">
      <alignment horizontal="left" vertical="center" wrapText="1" indent="1"/>
    </xf>
    <xf numFmtId="0" fontId="37" fillId="0" borderId="13" xfId="32" applyFont="1" applyBorder="1" applyAlignment="1">
      <alignment horizontal="left" vertical="center" wrapText="1" indent="1"/>
    </xf>
    <xf numFmtId="0" fontId="37" fillId="0" borderId="14" xfId="32" applyFont="1" applyBorder="1" applyAlignment="1">
      <alignment horizontal="left" vertical="center" wrapText="1" indent="1"/>
    </xf>
    <xf numFmtId="0" fontId="61" fillId="9" borderId="8" xfId="32" applyFont="1" applyFill="1" applyBorder="1" applyAlignment="1">
      <alignment horizontal="center" vertical="center"/>
    </xf>
    <xf numFmtId="0" fontId="61" fillId="9" borderId="9" xfId="32" applyFont="1" applyFill="1" applyBorder="1" applyAlignment="1">
      <alignment horizontal="center" vertical="center"/>
    </xf>
    <xf numFmtId="0" fontId="60" fillId="0" borderId="0" xfId="32" applyFont="1" applyAlignment="1">
      <alignment horizontal="center" vertical="center"/>
    </xf>
    <xf numFmtId="0" fontId="65" fillId="0" borderId="0" xfId="32" applyFont="1" applyAlignment="1">
      <alignment horizontal="center" vertical="center"/>
    </xf>
    <xf numFmtId="0" fontId="61" fillId="8" borderId="0" xfId="32" applyFont="1" applyFill="1" applyAlignment="1">
      <alignment horizontal="center" vertical="center"/>
    </xf>
    <xf numFmtId="0" fontId="27" fillId="0" borderId="0" xfId="18" applyFont="1" applyAlignment="1">
      <alignment horizontal="center" vertical="center"/>
    </xf>
    <xf numFmtId="0" fontId="27" fillId="0" borderId="0" xfId="32" applyFont="1" applyAlignment="1">
      <alignment horizontal="right"/>
    </xf>
    <xf numFmtId="0" fontId="58" fillId="0" borderId="0" xfId="18" applyFont="1" applyBorder="1" applyAlignment="1">
      <alignment horizontal="left" vertical="center" wrapText="1"/>
    </xf>
    <xf numFmtId="0" fontId="44" fillId="0" borderId="3" xfId="18" applyFont="1" applyBorder="1" applyAlignment="1">
      <alignment horizontal="left" vertical="center" wrapText="1"/>
    </xf>
    <xf numFmtId="0" fontId="44" fillId="0" borderId="1" xfId="18" applyFont="1" applyBorder="1" applyAlignment="1">
      <alignment horizontal="left" vertical="center" wrapText="1"/>
    </xf>
    <xf numFmtId="0" fontId="44" fillId="0" borderId="3" xfId="18" applyFont="1" applyBorder="1" applyAlignment="1">
      <alignment horizontal="right" vertical="center" wrapText="1"/>
    </xf>
    <xf numFmtId="0" fontId="44" fillId="0" borderId="1" xfId="18" applyFont="1" applyBorder="1" applyAlignment="1">
      <alignment horizontal="right" vertical="center" wrapText="1"/>
    </xf>
    <xf numFmtId="0" fontId="31" fillId="0" borderId="3" xfId="18" applyFont="1" applyBorder="1" applyAlignment="1">
      <alignment horizontal="right" vertical="center" wrapText="1"/>
    </xf>
    <xf numFmtId="0" fontId="31" fillId="0" borderId="1" xfId="18" applyFont="1" applyBorder="1" applyAlignment="1">
      <alignment horizontal="right" vertical="center" wrapText="1"/>
    </xf>
    <xf numFmtId="0" fontId="32" fillId="0" borderId="3" xfId="18" applyFont="1" applyFill="1" applyBorder="1" applyAlignment="1">
      <alignment horizontal="right" vertical="center" wrapText="1"/>
    </xf>
    <xf numFmtId="0" fontId="32" fillId="0" borderId="1" xfId="18" applyFont="1" applyFill="1" applyBorder="1" applyAlignment="1">
      <alignment horizontal="right" vertical="center" wrapText="1"/>
    </xf>
    <xf numFmtId="0" fontId="39" fillId="2" borderId="0" xfId="0" applyFont="1" applyFill="1" applyAlignment="1">
      <alignment horizontal="left" vertical="center" wrapText="1"/>
    </xf>
    <xf numFmtId="0" fontId="32" fillId="2" borderId="3" xfId="0" applyFont="1" applyFill="1" applyBorder="1" applyAlignment="1">
      <alignment horizontal="left" vertical="center" wrapText="1"/>
    </xf>
    <xf numFmtId="0" fontId="32" fillId="2" borderId="0" xfId="0" applyFont="1" applyFill="1" applyAlignment="1">
      <alignment horizontal="left" vertical="center" wrapText="1"/>
    </xf>
    <xf numFmtId="0" fontId="32" fillId="2" borderId="1" xfId="0" applyFont="1" applyFill="1" applyBorder="1" applyAlignment="1">
      <alignment horizontal="left" vertical="center" wrapText="1"/>
    </xf>
    <xf numFmtId="0" fontId="32" fillId="2" borderId="3" xfId="0" applyFont="1" applyFill="1" applyBorder="1" applyAlignment="1">
      <alignment horizontal="center" vertical="center" wrapText="1"/>
    </xf>
    <xf numFmtId="0" fontId="32" fillId="2" borderId="1" xfId="0" applyFont="1" applyFill="1" applyBorder="1" applyAlignment="1">
      <alignment horizontal="center" vertical="center" wrapText="1"/>
    </xf>
    <xf numFmtId="0" fontId="39" fillId="2" borderId="0" xfId="38" applyFont="1" applyFill="1" applyAlignment="1">
      <alignment horizontal="left" vertical="center" wrapText="1"/>
    </xf>
    <xf numFmtId="0" fontId="32" fillId="2" borderId="3" xfId="38" applyFont="1" applyFill="1" applyBorder="1" applyAlignment="1">
      <alignment horizontal="left" vertical="center" wrapText="1"/>
    </xf>
    <xf numFmtId="0" fontId="32" fillId="2" borderId="0" xfId="38" applyFont="1" applyFill="1" applyBorder="1" applyAlignment="1">
      <alignment horizontal="left" vertical="center" wrapText="1"/>
    </xf>
    <xf numFmtId="0" fontId="32" fillId="2" borderId="1" xfId="38" applyFont="1" applyFill="1" applyBorder="1" applyAlignment="1">
      <alignment horizontal="left" vertical="center" wrapText="1"/>
    </xf>
    <xf numFmtId="0" fontId="32" fillId="0" borderId="3" xfId="37" applyFont="1" applyFill="1" applyBorder="1" applyAlignment="1">
      <alignment horizontal="right" vertical="center" wrapText="1"/>
    </xf>
    <xf numFmtId="0" fontId="32" fillId="0" borderId="0" xfId="37" applyFont="1" applyFill="1" applyBorder="1" applyAlignment="1">
      <alignment horizontal="right" vertical="center" wrapText="1"/>
    </xf>
    <xf numFmtId="0" fontId="32" fillId="0" borderId="1" xfId="37" applyFont="1" applyFill="1" applyBorder="1" applyAlignment="1">
      <alignment horizontal="right" vertical="center" wrapText="1"/>
    </xf>
    <xf numFmtId="0" fontId="32" fillId="2" borderId="2" xfId="37" applyFont="1" applyFill="1" applyBorder="1" applyAlignment="1">
      <alignment horizontal="center" vertical="center"/>
    </xf>
    <xf numFmtId="0" fontId="32" fillId="2" borderId="2" xfId="38" applyFont="1" applyFill="1" applyBorder="1" applyAlignment="1">
      <alignment horizontal="center" vertical="center" wrapText="1"/>
    </xf>
    <xf numFmtId="0" fontId="32" fillId="2" borderId="2" xfId="37" applyFont="1" applyFill="1" applyBorder="1" applyAlignment="1">
      <alignment horizontal="center" vertical="center" wrapText="1"/>
    </xf>
    <xf numFmtId="0" fontId="32" fillId="0" borderId="2" xfId="37" applyFont="1" applyFill="1" applyBorder="1" applyAlignment="1">
      <alignment horizontal="center" vertical="center" wrapText="1"/>
    </xf>
    <xf numFmtId="0" fontId="31" fillId="2" borderId="2" xfId="41" applyFont="1" applyFill="1" applyBorder="1" applyAlignment="1">
      <alignment horizontal="center" vertical="center" wrapText="1"/>
    </xf>
    <xf numFmtId="0" fontId="56" fillId="2" borderId="0" xfId="42" applyFont="1" applyFill="1" applyAlignment="1">
      <alignment horizontal="left" vertical="center" wrapText="1"/>
    </xf>
    <xf numFmtId="0" fontId="39" fillId="2" borderId="1" xfId="41" applyFont="1" applyFill="1" applyBorder="1" applyAlignment="1">
      <alignment horizontal="justify" vertical="top" wrapText="1"/>
    </xf>
    <xf numFmtId="0" fontId="39" fillId="2" borderId="0" xfId="41" applyFont="1" applyFill="1" applyBorder="1" applyAlignment="1">
      <alignment horizontal="justify" vertical="top" wrapText="1"/>
    </xf>
    <xf numFmtId="0" fontId="12" fillId="2" borderId="0" xfId="41" applyFill="1" applyBorder="1" applyAlignment="1">
      <alignment vertical="top" wrapText="1"/>
    </xf>
    <xf numFmtId="0" fontId="47" fillId="6" borderId="3" xfId="0" applyFont="1" applyFill="1" applyBorder="1" applyAlignment="1">
      <alignment horizontal="left" vertical="center" wrapText="1"/>
    </xf>
    <xf numFmtId="0" fontId="47" fillId="6" borderId="0" xfId="0" applyFont="1" applyFill="1" applyBorder="1" applyAlignment="1">
      <alignment horizontal="left" vertical="center" wrapText="1"/>
    </xf>
    <xf numFmtId="0" fontId="47" fillId="6" borderId="1" xfId="0" applyFont="1" applyFill="1" applyBorder="1" applyAlignment="1">
      <alignment horizontal="left" vertical="center" wrapText="1"/>
    </xf>
    <xf numFmtId="0" fontId="31" fillId="2" borderId="3" xfId="41" applyFont="1" applyFill="1" applyBorder="1" applyAlignment="1">
      <alignment horizontal="right" vertical="center" wrapText="1"/>
    </xf>
    <xf numFmtId="0" fontId="31" fillId="2" borderId="0" xfId="41" applyFont="1" applyFill="1" applyBorder="1" applyAlignment="1">
      <alignment horizontal="right" vertical="center" wrapText="1"/>
    </xf>
    <xf numFmtId="0" fontId="31" fillId="2" borderId="1" xfId="41" applyFont="1" applyFill="1" applyBorder="1" applyAlignment="1">
      <alignment horizontal="right" vertical="center" wrapText="1"/>
    </xf>
    <xf numFmtId="0" fontId="31" fillId="2" borderId="1" xfId="41" applyFont="1" applyFill="1" applyBorder="1" applyAlignment="1">
      <alignment horizontal="center" vertical="center" wrapText="1"/>
    </xf>
    <xf numFmtId="0" fontId="31" fillId="2" borderId="2" xfId="44" applyFont="1" applyFill="1" applyBorder="1" applyAlignment="1">
      <alignment horizontal="center" vertical="center" wrapText="1"/>
    </xf>
    <xf numFmtId="0" fontId="56" fillId="2" borderId="0" xfId="45" applyFont="1" applyFill="1" applyAlignment="1">
      <alignment horizontal="left" vertical="center" wrapText="1"/>
    </xf>
    <xf numFmtId="0" fontId="39" fillId="2" borderId="1" xfId="44" applyFont="1" applyFill="1" applyBorder="1" applyAlignment="1">
      <alignment horizontal="justify" vertical="top" wrapText="1"/>
    </xf>
    <xf numFmtId="0" fontId="39" fillId="2" borderId="0" xfId="44" applyFont="1" applyFill="1" applyBorder="1" applyAlignment="1">
      <alignment horizontal="justify" vertical="top" wrapText="1"/>
    </xf>
    <xf numFmtId="0" fontId="11" fillId="2" borderId="0" xfId="44" applyFill="1" applyBorder="1" applyAlignment="1">
      <alignment vertical="top" wrapText="1"/>
    </xf>
    <xf numFmtId="0" fontId="47" fillId="7" borderId="3" xfId="0" applyFont="1" applyFill="1" applyBorder="1" applyAlignment="1">
      <alignment horizontal="left" vertical="center" wrapText="1"/>
    </xf>
    <xf numFmtId="0" fontId="47" fillId="7" borderId="0" xfId="0" applyFont="1" applyFill="1" applyBorder="1" applyAlignment="1">
      <alignment horizontal="left" vertical="center" wrapText="1"/>
    </xf>
    <xf numFmtId="0" fontId="47" fillId="7" borderId="1" xfId="0" applyFont="1" applyFill="1" applyBorder="1" applyAlignment="1">
      <alignment horizontal="left" vertical="center" wrapText="1"/>
    </xf>
    <xf numFmtId="0" fontId="31" fillId="2" borderId="3" xfId="44" applyFont="1" applyFill="1" applyBorder="1" applyAlignment="1">
      <alignment horizontal="right" vertical="center" wrapText="1"/>
    </xf>
    <xf numFmtId="0" fontId="31" fillId="2" borderId="0" xfId="44" applyFont="1" applyFill="1" applyBorder="1" applyAlignment="1">
      <alignment horizontal="right" vertical="center" wrapText="1"/>
    </xf>
    <xf numFmtId="0" fontId="31" fillId="2" borderId="1" xfId="44" applyFont="1" applyFill="1" applyBorder="1" applyAlignment="1">
      <alignment horizontal="right" vertical="center" wrapText="1"/>
    </xf>
    <xf numFmtId="0" fontId="31" fillId="2" borderId="1" xfId="44" applyFont="1" applyFill="1" applyBorder="1" applyAlignment="1">
      <alignment horizontal="center" vertical="center" wrapText="1"/>
    </xf>
    <xf numFmtId="0" fontId="31" fillId="2" borderId="2" xfId="47" applyFont="1" applyFill="1" applyBorder="1" applyAlignment="1">
      <alignment horizontal="center" vertical="center" wrapText="1"/>
    </xf>
    <xf numFmtId="0" fontId="56" fillId="2" borderId="0" xfId="48" applyFont="1" applyFill="1" applyAlignment="1">
      <alignment horizontal="left" vertical="center" wrapText="1"/>
    </xf>
    <xf numFmtId="0" fontId="39" fillId="2" borderId="1" xfId="47" applyFont="1" applyFill="1" applyBorder="1" applyAlignment="1">
      <alignment horizontal="justify" vertical="top" wrapText="1"/>
    </xf>
    <xf numFmtId="0" fontId="39" fillId="2" borderId="0" xfId="47" applyFont="1" applyFill="1" applyBorder="1" applyAlignment="1">
      <alignment horizontal="justify" vertical="top" wrapText="1"/>
    </xf>
    <xf numFmtId="0" fontId="10" fillId="2" borderId="0" xfId="47" applyFill="1" applyBorder="1" applyAlignment="1">
      <alignment vertical="top" wrapText="1"/>
    </xf>
    <xf numFmtId="0" fontId="31" fillId="2" borderId="3" xfId="47" applyFont="1" applyFill="1" applyBorder="1" applyAlignment="1">
      <alignment horizontal="right" vertical="center" wrapText="1"/>
    </xf>
    <xf numFmtId="0" fontId="31" fillId="2" borderId="0" xfId="47" applyFont="1" applyFill="1" applyBorder="1" applyAlignment="1">
      <alignment horizontal="right" vertical="center" wrapText="1"/>
    </xf>
    <xf numFmtId="0" fontId="31" fillId="2" borderId="1" xfId="47" applyFont="1" applyFill="1" applyBorder="1" applyAlignment="1">
      <alignment horizontal="right" vertical="center" wrapText="1"/>
    </xf>
    <xf numFmtId="0" fontId="31" fillId="2" borderId="2" xfId="50" applyFont="1" applyFill="1" applyBorder="1" applyAlignment="1">
      <alignment horizontal="center" vertical="center" wrapText="1"/>
    </xf>
    <xf numFmtId="0" fontId="56" fillId="2" borderId="0" xfId="51" applyFont="1" applyFill="1" applyAlignment="1">
      <alignment horizontal="left" vertical="center" wrapText="1"/>
    </xf>
    <xf numFmtId="0" fontId="39" fillId="2" borderId="1" xfId="50" applyFont="1" applyFill="1" applyBorder="1" applyAlignment="1">
      <alignment horizontal="justify" vertical="top" wrapText="1"/>
    </xf>
    <xf numFmtId="0" fontId="39" fillId="2" borderId="0" xfId="50" applyFont="1" applyFill="1" applyBorder="1" applyAlignment="1">
      <alignment horizontal="justify" vertical="top" wrapText="1"/>
    </xf>
    <xf numFmtId="0" fontId="9" fillId="2" borderId="0" xfId="50" applyFill="1" applyBorder="1" applyAlignment="1">
      <alignment vertical="top" wrapText="1"/>
    </xf>
    <xf numFmtId="0" fontId="31" fillId="2" borderId="3" xfId="50" applyFont="1" applyFill="1" applyBorder="1" applyAlignment="1">
      <alignment horizontal="right" vertical="center" wrapText="1"/>
    </xf>
    <xf numFmtId="0" fontId="31" fillId="2" borderId="0" xfId="50" applyFont="1" applyFill="1" applyBorder="1" applyAlignment="1">
      <alignment horizontal="right" vertical="center" wrapText="1"/>
    </xf>
    <xf numFmtId="0" fontId="31" fillId="2" borderId="1" xfId="50" applyFont="1" applyFill="1" applyBorder="1" applyAlignment="1">
      <alignment horizontal="right" vertical="center" wrapText="1"/>
    </xf>
    <xf numFmtId="0" fontId="31" fillId="2" borderId="2" xfId="56" applyFont="1" applyFill="1" applyBorder="1" applyAlignment="1">
      <alignment horizontal="center" vertical="center" wrapText="1"/>
    </xf>
    <xf numFmtId="0" fontId="56" fillId="2" borderId="0" xfId="57" applyFont="1" applyFill="1" applyAlignment="1">
      <alignment horizontal="left" vertical="center" wrapText="1"/>
    </xf>
    <xf numFmtId="0" fontId="39" fillId="2" borderId="1" xfId="56" applyFont="1" applyFill="1" applyBorder="1" applyAlignment="1">
      <alignment horizontal="justify" vertical="top" wrapText="1"/>
    </xf>
    <xf numFmtId="0" fontId="39" fillId="2" borderId="0" xfId="56" applyFont="1" applyFill="1" applyBorder="1" applyAlignment="1">
      <alignment horizontal="justify" vertical="top" wrapText="1"/>
    </xf>
    <xf numFmtId="0" fontId="7" fillId="2" borderId="0" xfId="56" applyFill="1" applyBorder="1" applyAlignment="1">
      <alignment vertical="top" wrapText="1"/>
    </xf>
    <xf numFmtId="0" fontId="31" fillId="2" borderId="3" xfId="56" applyFont="1" applyFill="1" applyBorder="1" applyAlignment="1">
      <alignment horizontal="right" vertical="center" wrapText="1"/>
    </xf>
    <xf numFmtId="0" fontId="31" fillId="2" borderId="0" xfId="56" applyFont="1" applyFill="1" applyBorder="1" applyAlignment="1">
      <alignment horizontal="right" vertical="center" wrapText="1"/>
    </xf>
    <xf numFmtId="0" fontId="31" fillId="2" borderId="1" xfId="56" applyFont="1" applyFill="1" applyBorder="1" applyAlignment="1">
      <alignment horizontal="right" vertical="center" wrapText="1"/>
    </xf>
    <xf numFmtId="0" fontId="31" fillId="2" borderId="2" xfId="76" applyFont="1" applyFill="1" applyBorder="1" applyAlignment="1">
      <alignment horizontal="center" vertical="center" wrapText="1"/>
    </xf>
    <xf numFmtId="0" fontId="56" fillId="2" borderId="0" xfId="77" applyFont="1" applyFill="1" applyAlignment="1">
      <alignment horizontal="left" vertical="top" wrapText="1"/>
    </xf>
    <xf numFmtId="0" fontId="39" fillId="2" borderId="1" xfId="76" applyFont="1" applyFill="1" applyBorder="1" applyAlignment="1">
      <alignment horizontal="justify" vertical="top" wrapText="1"/>
    </xf>
    <xf numFmtId="0" fontId="39" fillId="2" borderId="0" xfId="76" applyFont="1" applyFill="1" applyBorder="1" applyAlignment="1">
      <alignment horizontal="justify" vertical="top" wrapText="1"/>
    </xf>
    <xf numFmtId="0" fontId="1" fillId="2" borderId="0" xfId="76" applyFill="1" applyBorder="1" applyAlignment="1">
      <alignment vertical="top" wrapText="1"/>
    </xf>
    <xf numFmtId="0" fontId="31" fillId="2" borderId="3" xfId="76" applyFont="1" applyFill="1" applyBorder="1" applyAlignment="1">
      <alignment horizontal="right" wrapText="1"/>
    </xf>
    <xf numFmtId="0" fontId="31" fillId="2" borderId="0" xfId="76" applyFont="1" applyFill="1" applyBorder="1" applyAlignment="1">
      <alignment horizontal="right" wrapText="1"/>
    </xf>
    <xf numFmtId="0" fontId="31" fillId="2" borderId="1" xfId="76" applyFont="1" applyFill="1" applyBorder="1" applyAlignment="1">
      <alignment horizontal="right" wrapText="1"/>
    </xf>
    <xf numFmtId="0" fontId="32" fillId="2" borderId="3" xfId="59" applyFont="1" applyFill="1" applyBorder="1" applyAlignment="1">
      <alignment horizontal="center" vertical="center" wrapText="1"/>
    </xf>
    <xf numFmtId="0" fontId="32" fillId="2" borderId="1" xfId="59" applyFont="1" applyFill="1" applyBorder="1" applyAlignment="1">
      <alignment horizontal="center" vertical="center" wrapText="1"/>
    </xf>
    <xf numFmtId="0" fontId="39" fillId="2" borderId="0" xfId="59" applyFont="1" applyFill="1" applyAlignment="1">
      <alignment horizontal="left" vertical="top" wrapText="1"/>
    </xf>
    <xf numFmtId="0" fontId="32" fillId="2" borderId="3" xfId="59" applyFont="1" applyFill="1" applyBorder="1" applyAlignment="1">
      <alignment horizontal="left" vertical="center" wrapText="1"/>
    </xf>
    <xf numFmtId="0" fontId="32" fillId="2" borderId="0" xfId="59" applyFont="1" applyFill="1" applyBorder="1" applyAlignment="1">
      <alignment horizontal="left" vertical="center" wrapText="1"/>
    </xf>
    <xf numFmtId="0" fontId="32" fillId="2" borderId="1" xfId="59" applyFont="1" applyFill="1" applyBorder="1" applyAlignment="1">
      <alignment horizontal="left" vertical="center" wrapText="1"/>
    </xf>
    <xf numFmtId="0" fontId="32" fillId="2" borderId="3" xfId="60" applyFont="1" applyFill="1" applyBorder="1" applyAlignment="1">
      <alignment horizontal="right" vertical="center" wrapText="1"/>
    </xf>
    <xf numFmtId="0" fontId="32" fillId="2" borderId="0" xfId="60" applyFont="1" applyFill="1" applyBorder="1" applyAlignment="1">
      <alignment horizontal="right" vertical="center" wrapText="1"/>
    </xf>
    <xf numFmtId="0" fontId="32" fillId="2" borderId="1" xfId="60" applyFont="1" applyFill="1" applyBorder="1" applyAlignment="1">
      <alignment horizontal="right" vertical="center" wrapText="1"/>
    </xf>
    <xf numFmtId="0" fontId="32" fillId="2" borderId="3" xfId="59" applyFont="1" applyFill="1" applyBorder="1" applyAlignment="1">
      <alignment horizontal="center" vertical="center"/>
    </xf>
    <xf numFmtId="0" fontId="32" fillId="2" borderId="1" xfId="59" applyFont="1" applyFill="1" applyBorder="1" applyAlignment="1">
      <alignment horizontal="center" vertical="center"/>
    </xf>
    <xf numFmtId="0" fontId="39" fillId="2" borderId="0" xfId="64" applyFont="1" applyFill="1" applyAlignment="1">
      <alignment horizontal="left" vertical="center" wrapText="1"/>
    </xf>
    <xf numFmtId="0" fontId="39" fillId="2" borderId="1" xfId="62" applyFont="1" applyFill="1" applyBorder="1" applyAlignment="1">
      <alignment horizontal="justify" vertical="top" wrapText="1"/>
    </xf>
    <xf numFmtId="0" fontId="39" fillId="2" borderId="0" xfId="62" applyFont="1" applyFill="1" applyAlignment="1">
      <alignment horizontal="justify" vertical="top" wrapText="1"/>
    </xf>
    <xf numFmtId="0" fontId="67" fillId="2" borderId="0" xfId="62" applyFont="1" applyFill="1" applyAlignment="1">
      <alignment vertical="top" wrapText="1"/>
    </xf>
    <xf numFmtId="0" fontId="32" fillId="6" borderId="3" xfId="0" applyFont="1" applyFill="1" applyBorder="1" applyAlignment="1">
      <alignment horizontal="left" vertical="center" wrapText="1"/>
    </xf>
    <xf numFmtId="0" fontId="32" fillId="6" borderId="0" xfId="0" applyFont="1" applyFill="1" applyAlignment="1">
      <alignment horizontal="left" vertical="center" wrapText="1"/>
    </xf>
    <xf numFmtId="0" fontId="32" fillId="6" borderId="1" xfId="0" applyFont="1" applyFill="1" applyBorder="1" applyAlignment="1">
      <alignment horizontal="left" vertical="center" wrapText="1"/>
    </xf>
    <xf numFmtId="0" fontId="32" fillId="2" borderId="3" xfId="62" applyFont="1" applyFill="1" applyBorder="1" applyAlignment="1">
      <alignment horizontal="right" vertical="center" wrapText="1"/>
    </xf>
    <xf numFmtId="0" fontId="32" fillId="2" borderId="0" xfId="62" applyFont="1" applyFill="1" applyAlignment="1">
      <alignment horizontal="right" vertical="center" wrapText="1"/>
    </xf>
    <xf numFmtId="0" fontId="32" fillId="2" borderId="1" xfId="62" applyFont="1" applyFill="1" applyBorder="1" applyAlignment="1">
      <alignment horizontal="right" vertical="center" wrapText="1"/>
    </xf>
    <xf numFmtId="0" fontId="32" fillId="2" borderId="2" xfId="62" applyFont="1" applyFill="1" applyBorder="1" applyAlignment="1">
      <alignment horizontal="center" vertical="center" wrapText="1"/>
    </xf>
    <xf numFmtId="0" fontId="32" fillId="2" borderId="3" xfId="68" applyFont="1" applyFill="1" applyBorder="1" applyAlignment="1">
      <alignment horizontal="right" vertical="center" wrapText="1"/>
    </xf>
    <xf numFmtId="0" fontId="32" fillId="2" borderId="1" xfId="68" applyFont="1" applyFill="1" applyBorder="1" applyAlignment="1">
      <alignment horizontal="right" vertical="center" wrapText="1"/>
    </xf>
    <xf numFmtId="0" fontId="32" fillId="2" borderId="2" xfId="68" applyFont="1" applyFill="1" applyBorder="1" applyAlignment="1">
      <alignment horizontal="center" vertical="center" wrapText="1"/>
    </xf>
    <xf numFmtId="0" fontId="39" fillId="2" borderId="0" xfId="70" applyFont="1" applyFill="1" applyAlignment="1">
      <alignment horizontal="left" vertical="center" wrapText="1"/>
    </xf>
    <xf numFmtId="0" fontId="39" fillId="2" borderId="1" xfId="68" applyFont="1" applyFill="1" applyBorder="1" applyAlignment="1">
      <alignment horizontal="justify" vertical="top" wrapText="1"/>
    </xf>
    <xf numFmtId="0" fontId="39" fillId="2" borderId="0" xfId="68" applyFont="1" applyFill="1" applyAlignment="1">
      <alignment horizontal="justify" vertical="top" wrapText="1"/>
    </xf>
    <xf numFmtId="0" fontId="67" fillId="2" borderId="0" xfId="68" applyFont="1" applyFill="1" applyAlignment="1">
      <alignment vertical="top" wrapText="1"/>
    </xf>
    <xf numFmtId="0" fontId="32" fillId="7" borderId="3" xfId="0" applyFont="1" applyFill="1" applyBorder="1" applyAlignment="1">
      <alignment horizontal="left" vertical="center" wrapText="1"/>
    </xf>
    <xf numFmtId="0" fontId="32" fillId="7" borderId="0" xfId="0" applyFont="1" applyFill="1" applyAlignment="1">
      <alignment horizontal="left" vertical="center" wrapText="1"/>
    </xf>
    <xf numFmtId="0" fontId="32" fillId="7" borderId="1" xfId="0" applyFont="1" applyFill="1" applyBorder="1" applyAlignment="1">
      <alignment horizontal="left" vertical="center" wrapText="1"/>
    </xf>
    <xf numFmtId="0" fontId="32" fillId="2" borderId="0" xfId="68" applyFont="1" applyFill="1" applyAlignment="1">
      <alignment horizontal="right" vertical="center" wrapText="1"/>
    </xf>
  </cellXfs>
  <cellStyles count="79">
    <cellStyle name="Hipervínculo" xfId="30" builtinId="8"/>
    <cellStyle name="Hipervínculo 2" xfId="14" xr:uid="{00000000-0005-0000-0000-000000000000}"/>
    <cellStyle name="Hipervínculo 2 2" xfId="8" xr:uid="{00000000-0005-0000-0000-000001000000}"/>
    <cellStyle name="Millares 2" xfId="2" xr:uid="{00000000-0005-0000-0000-000002000000}"/>
    <cellStyle name="Millares 2 2" xfId="12" xr:uid="{00000000-0005-0000-0000-000003000000}"/>
    <cellStyle name="Millares 3" xfId="7" xr:uid="{00000000-0005-0000-0000-000004000000}"/>
    <cellStyle name="Millares 3 2" xfId="29" xr:uid="{4D05132F-AA51-441C-92E7-AE2D0525667B}"/>
    <cellStyle name="Millares 3 2 2" xfId="65" xr:uid="{E5F2B42B-708F-4231-A6DE-C4D009F7DD93}"/>
    <cellStyle name="Millares 3 2 3" xfId="71" xr:uid="{ABF79CCC-0615-47F4-A818-0ACA802D265A}"/>
    <cellStyle name="Millares 3 3" xfId="78" xr:uid="{D18C7C67-52EA-4D4F-A171-89DE48CDE01C}"/>
    <cellStyle name="Millares 4" xfId="19" xr:uid="{00000000-0005-0000-0000-000005000000}"/>
    <cellStyle name="Normal" xfId="0" builtinId="0"/>
    <cellStyle name="Normal 10" xfId="16" xr:uid="{00000000-0005-0000-0000-000007000000}"/>
    <cellStyle name="Normal 10 2" xfId="26" xr:uid="{6F15F46B-B912-4429-B51E-CCB4F1741EDA}"/>
    <cellStyle name="Normal 2" xfId="1" xr:uid="{00000000-0005-0000-0000-000008000000}"/>
    <cellStyle name="Normal 2 2" xfId="6" xr:uid="{00000000-0005-0000-0000-000009000000}"/>
    <cellStyle name="Normal 2 2 10" xfId="57" xr:uid="{9C155383-3CF4-4236-93D9-B963DC178C45}"/>
    <cellStyle name="Normal 2 2 11" xfId="59" xr:uid="{3EA56A09-D906-40B6-B36C-FFAF1E6E727F}"/>
    <cellStyle name="Normal 2 2 12" xfId="77" xr:uid="{CF9207C9-4ED5-44EA-A1C9-AE18B28AB398}"/>
    <cellStyle name="Normal 2 2 2" xfId="9" xr:uid="{00000000-0005-0000-0000-00000A000000}"/>
    <cellStyle name="Normal 2 2 3" xfId="27" xr:uid="{80B387E1-6104-4759-B172-E889F1033F4F}"/>
    <cellStyle name="Normal 2 2 3 2" xfId="64" xr:uid="{C41435CB-ED54-4537-B42E-1EA7D34021D9}"/>
    <cellStyle name="Normal 2 2 3 3" xfId="70" xr:uid="{867E0B5A-457B-4BDE-820C-4FD4813851F7}"/>
    <cellStyle name="Normal 2 2 4" xfId="38" xr:uid="{35EF4AEF-3F08-4A88-B733-16CEA1EA9E03}"/>
    <cellStyle name="Normal 2 2 5" xfId="42" xr:uid="{D9A5150F-49AF-4F15-8D53-668CA908A597}"/>
    <cellStyle name="Normal 2 2 6" xfId="45" xr:uid="{0592E957-0EE4-48AE-81D1-2B693CD7BE2F}"/>
    <cellStyle name="Normal 2 2 7" xfId="48" xr:uid="{7A36E3A4-2F9A-4D4E-A5CC-92EF7A660CF8}"/>
    <cellStyle name="Normal 2 2 8" xfId="51" xr:uid="{2655D7AC-655B-48FD-B48F-7443A2AD5ECE}"/>
    <cellStyle name="Normal 2 2 9" xfId="54" xr:uid="{90565444-8570-493F-A9C3-26406AC5AE94}"/>
    <cellStyle name="Normal 2 3" xfId="20" xr:uid="{8911C9B8-9030-4820-8303-BA258F57877B}"/>
    <cellStyle name="Normal 2 4" xfId="21" xr:uid="{38DDF550-B697-4764-AAAF-2FF1A14F6127}"/>
    <cellStyle name="Normal 3" xfId="5" xr:uid="{00000000-0005-0000-0000-00000B000000}"/>
    <cellStyle name="Normal 3 2" xfId="17" xr:uid="{00000000-0005-0000-0000-00000C000000}"/>
    <cellStyle name="Normal 3 2 10" xfId="52" xr:uid="{7B89F41E-356F-4989-9252-CDE58EB784B0}"/>
    <cellStyle name="Normal 3 2 11" xfId="55" xr:uid="{65FD14FE-8DF1-4036-BB7F-9AA09E8B0C24}"/>
    <cellStyle name="Normal 3 2 12" xfId="58" xr:uid="{09E6D566-9386-4467-9426-68F8E213D535}"/>
    <cellStyle name="Normal 3 2 13" xfId="61" xr:uid="{F5B260BC-91FA-4149-911C-E07EB80E4FC8}"/>
    <cellStyle name="Normal 3 2 14" xfId="67" xr:uid="{782C2165-36D5-49B4-A7CF-597916224639}"/>
    <cellStyle name="Normal 3 2 15" xfId="73" xr:uid="{0A7A9F20-F5F1-4D33-8B74-C6BBC40E16EB}"/>
    <cellStyle name="Normal 3 2 16" xfId="74" xr:uid="{3BF828C5-1F3E-4787-A3F4-7EEF5A0EA759}"/>
    <cellStyle name="Normal 3 2 17" xfId="75" xr:uid="{082B33D3-F194-46B7-A134-B5569B5A8848}"/>
    <cellStyle name="Normal 3 2 2" xfId="23" xr:uid="{4665E5CF-3A08-410E-8DBC-F177E1289EB8}"/>
    <cellStyle name="Normal 3 2 3" xfId="25" xr:uid="{194844DE-447D-4746-AA1D-15CA18684C23}"/>
    <cellStyle name="Normal 3 2 3 2" xfId="69" xr:uid="{84092AC6-8638-4450-9735-7681E1335D82}"/>
    <cellStyle name="Normal 3 2 4" xfId="36" xr:uid="{CBC2D7E3-8905-4929-AB25-0AF53EAFA837}"/>
    <cellStyle name="Normal 3 2 5" xfId="37" xr:uid="{683E5457-C0FC-4286-BE71-BBF69E36A3CE}"/>
    <cellStyle name="Normal 3 2 6" xfId="40" xr:uid="{B4FB9FB5-A700-4AF4-A3F2-197C3E12A4B7}"/>
    <cellStyle name="Normal 3 2 7" xfId="43" xr:uid="{19A9DC97-1ACC-463C-9C88-877362FAB017}"/>
    <cellStyle name="Normal 3 2 8" xfId="46" xr:uid="{FCC8B543-E32D-47D6-89F5-27035C09E13D}"/>
    <cellStyle name="Normal 3 2 9" xfId="49" xr:uid="{77997C1F-4B3F-4556-B969-B5A144264C76}"/>
    <cellStyle name="Normal 3 3" xfId="22" xr:uid="{921933FC-7972-4BF0-9107-66AA8ED931A7}"/>
    <cellStyle name="Normal 3 4" xfId="28" xr:uid="{2CEE30AB-3928-4137-9D98-9DDB11C74292}"/>
    <cellStyle name="Normal 3 4 2" xfId="63" xr:uid="{FCBD72FB-6F3A-44C0-9612-27CC4CED4D9A}"/>
    <cellStyle name="Normal 4" xfId="11" xr:uid="{00000000-0005-0000-0000-00000D000000}"/>
    <cellStyle name="Normal 4 10" xfId="60" xr:uid="{284131F5-82DE-43BF-94EA-BF8469E268DC}"/>
    <cellStyle name="Normal 4 11" xfId="76" xr:uid="{9A11C6E3-A959-42F1-9299-A0F0CAD5F5B0}"/>
    <cellStyle name="Normal 4 2" xfId="24" xr:uid="{960762D1-FDBD-4B69-82BB-778AAF0EF7ED}"/>
    <cellStyle name="Normal 4 2 2" xfId="62" xr:uid="{ED6E6B5F-85DC-4619-8B30-2147BD4A6015}"/>
    <cellStyle name="Normal 4 2 3" xfId="35" xr:uid="{5C0DADC7-8369-44E8-812A-1C8E251FBB1D}"/>
    <cellStyle name="Normal 4 2 3 2" xfId="66" xr:uid="{1AD6DF33-F96A-4AC0-8399-CAAC7BED9C7D}"/>
    <cellStyle name="Normal 4 2 3 3" xfId="72" xr:uid="{7D9A8812-84FA-42AC-9B4F-BCE1133495EF}"/>
    <cellStyle name="Normal 4 2 4" xfId="68" xr:uid="{DD420C79-3EEF-4629-869A-7981431EF0A1}"/>
    <cellStyle name="Normal 4 3" xfId="39" xr:uid="{E636FDCD-F083-412B-BB6C-D1B480DDE90E}"/>
    <cellStyle name="Normal 4 4" xfId="41" xr:uid="{1EEA66DE-E0F3-4195-81C3-6CB4D42578FD}"/>
    <cellStyle name="Normal 4 5" xfId="44" xr:uid="{94728EEF-6249-48AF-94FF-F5CD9B5AD923}"/>
    <cellStyle name="Normal 4 6" xfId="47" xr:uid="{F3C7A4A9-F569-4205-94B6-95534CA9DF35}"/>
    <cellStyle name="Normal 4 7" xfId="50" xr:uid="{B1139F83-CDA6-4C82-BA4F-11086910F4C9}"/>
    <cellStyle name="Normal 4 8" xfId="53" xr:uid="{0121961C-6A72-4424-AA80-6176D7728730}"/>
    <cellStyle name="Normal 4 9" xfId="56" xr:uid="{013D0039-1AEC-459D-8B9C-A365A5AC8AD6}"/>
    <cellStyle name="Normal 5" xfId="13" xr:uid="{00000000-0005-0000-0000-00000E000000}"/>
    <cellStyle name="Normal 6" xfId="18" xr:uid="{00000000-0005-0000-0000-00000F000000}"/>
    <cellStyle name="Normal 7" xfId="31" xr:uid="{C7E7F07F-230F-440B-A4B9-5B3E08F3C9EC}"/>
    <cellStyle name="Normal 7 2" xfId="32" xr:uid="{0AA4F219-A708-4A4E-9BBF-9AFE1D2298C5}"/>
    <cellStyle name="Normal 8" xfId="4" xr:uid="{00000000-0005-0000-0000-000010000000}"/>
    <cellStyle name="Normal 9" xfId="3" xr:uid="{00000000-0005-0000-0000-000011000000}"/>
    <cellStyle name="Normal 9 2" xfId="34" xr:uid="{8AED9811-F237-4573-9CD2-DEE2BC86037E}"/>
    <cellStyle name="Normal 9 3" xfId="33" xr:uid="{583E1943-83E2-433B-A618-A722CE3FD3A7}"/>
    <cellStyle name="Normal_1.8" xfId="15" xr:uid="{00000000-0005-0000-0000-000012000000}"/>
    <cellStyle name="Notas 2" xfId="10" xr:uid="{00000000-0005-0000-0000-000013000000}"/>
  </cellStyles>
  <dxfs count="0"/>
  <tableStyles count="0" defaultTableStyle="TableStyleMedium2" defaultPivotStyle="PivotStyleLight16"/>
  <colors>
    <mruColors>
      <color rgb="FF003399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57150</xdr:colOff>
      <xdr:row>1</xdr:row>
      <xdr:rowOff>47626</xdr:rowOff>
    </xdr:from>
    <xdr:ext cx="1901758" cy="381000"/>
    <xdr:pic>
      <xdr:nvPicPr>
        <xdr:cNvPr id="2" name="Imagen 1">
          <a:extLst>
            <a:ext uri="{FF2B5EF4-FFF2-40B4-BE49-F238E27FC236}">
              <a16:creationId xmlns:a16="http://schemas.microsoft.com/office/drawing/2014/main" id="{479604AD-5EC0-4731-BDF6-AB709C293A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9150" y="238126"/>
          <a:ext cx="1901758" cy="381000"/>
        </a:xfrm>
        <a:prstGeom prst="rect">
          <a:avLst/>
        </a:prstGeom>
      </xdr:spPr>
    </xdr:pic>
    <xdr:clientData/>
  </xdr:oneCellAnchor>
  <xdr:oneCellAnchor>
    <xdr:from>
      <xdr:col>1</xdr:col>
      <xdr:colOff>57150</xdr:colOff>
      <xdr:row>1</xdr:row>
      <xdr:rowOff>47626</xdr:rowOff>
    </xdr:from>
    <xdr:ext cx="1901758" cy="381000"/>
    <xdr:pic>
      <xdr:nvPicPr>
        <xdr:cNvPr id="3" name="Imagen 2">
          <a:extLst>
            <a:ext uri="{FF2B5EF4-FFF2-40B4-BE49-F238E27FC236}">
              <a16:creationId xmlns:a16="http://schemas.microsoft.com/office/drawing/2014/main" id="{0C8E5E93-E493-4AFB-80D8-C355684F0F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9150" y="238126"/>
          <a:ext cx="1901758" cy="381000"/>
        </a:xfrm>
        <a:prstGeom prst="rect">
          <a:avLst/>
        </a:prstGeom>
      </xdr:spPr>
    </xdr:pic>
    <xdr:clientData/>
  </xdr:oneCellAnchor>
  <xdr:oneCellAnchor>
    <xdr:from>
      <xdr:col>1</xdr:col>
      <xdr:colOff>57150</xdr:colOff>
      <xdr:row>1</xdr:row>
      <xdr:rowOff>47626</xdr:rowOff>
    </xdr:from>
    <xdr:ext cx="1901758" cy="381000"/>
    <xdr:pic>
      <xdr:nvPicPr>
        <xdr:cNvPr id="4" name="Imagen 3">
          <a:extLst>
            <a:ext uri="{FF2B5EF4-FFF2-40B4-BE49-F238E27FC236}">
              <a16:creationId xmlns:a16="http://schemas.microsoft.com/office/drawing/2014/main" id="{956505DB-E00B-4CCB-A75C-9AC8CEC327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9150" y="238126"/>
          <a:ext cx="1901758" cy="381000"/>
        </a:xfrm>
        <a:prstGeom prst="rect">
          <a:avLst/>
        </a:prstGeom>
      </xdr:spPr>
    </xdr:pic>
    <xdr:clientData/>
  </xdr:oneCellAnchor>
  <xdr:oneCellAnchor>
    <xdr:from>
      <xdr:col>1</xdr:col>
      <xdr:colOff>57150</xdr:colOff>
      <xdr:row>1</xdr:row>
      <xdr:rowOff>47626</xdr:rowOff>
    </xdr:from>
    <xdr:ext cx="1901758" cy="381000"/>
    <xdr:pic>
      <xdr:nvPicPr>
        <xdr:cNvPr id="5" name="Imagen 4">
          <a:extLst>
            <a:ext uri="{FF2B5EF4-FFF2-40B4-BE49-F238E27FC236}">
              <a16:creationId xmlns:a16="http://schemas.microsoft.com/office/drawing/2014/main" id="{85A70879-6B56-4E3A-9E54-73C58295F7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19150" y="238126"/>
          <a:ext cx="1901758" cy="381000"/>
        </a:xfrm>
        <a:prstGeom prst="rect">
          <a:avLst/>
        </a:prstGeom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2021_INEGI\2021_ENVI_2020\00%20LosCuadrosOrigen\Tabulados_MOPRADEF_Noviembre_2020_v1%200%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Índice"/>
      <sheetName val="Cuadro 1"/>
      <sheetName val="Cuadro 2"/>
      <sheetName val="Cuadro 3"/>
      <sheetName val="Cuadro 4"/>
      <sheetName val="Cuadro 5"/>
      <sheetName val="Cuadro 6"/>
      <sheetName val="Cuadro 7"/>
      <sheetName val="Cuadro 8"/>
      <sheetName val="Cuadro 9"/>
      <sheetName val="Cuadro 10"/>
      <sheetName val="Cuadro 1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4C65CD-1D75-4FBF-B264-AA213D78BCA1}">
  <dimension ref="A1:O31"/>
  <sheetViews>
    <sheetView showGridLines="0" tabSelected="1" zoomScaleNormal="100" workbookViewId="0"/>
  </sheetViews>
  <sheetFormatPr baseColWidth="10" defaultRowHeight="14.25" x14ac:dyDescent="0.2"/>
  <cols>
    <col min="1" max="1" width="1.7109375" style="76" customWidth="1"/>
    <col min="2" max="2" width="20.28515625" style="76" customWidth="1"/>
    <col min="3" max="3" width="17.42578125" style="76" customWidth="1"/>
    <col min="4" max="14" width="11.42578125" style="76"/>
    <col min="15" max="15" width="1.7109375" style="76" customWidth="1"/>
    <col min="16" max="16384" width="11.42578125" style="76"/>
  </cols>
  <sheetData>
    <row r="1" spans="1:15" x14ac:dyDescent="0.2">
      <c r="B1" s="82"/>
      <c r="C1" s="82"/>
    </row>
    <row r="2" spans="1:15" ht="19.5" customHeight="1" x14ac:dyDescent="0.2">
      <c r="B2" s="499" t="s">
        <v>124</v>
      </c>
      <c r="C2" s="499"/>
      <c r="D2" s="499"/>
      <c r="E2" s="499"/>
      <c r="F2" s="499"/>
      <c r="G2" s="499"/>
      <c r="H2" s="499"/>
      <c r="I2" s="499"/>
      <c r="J2" s="499"/>
      <c r="K2" s="499"/>
      <c r="L2" s="499"/>
      <c r="M2" s="499"/>
      <c r="N2" s="499"/>
    </row>
    <row r="3" spans="1:15" ht="19.5" customHeight="1" x14ac:dyDescent="0.2">
      <c r="B3" s="500" t="s">
        <v>119</v>
      </c>
      <c r="C3" s="500"/>
      <c r="D3" s="500"/>
      <c r="E3" s="500"/>
      <c r="F3" s="500"/>
      <c r="G3" s="500"/>
      <c r="H3" s="500"/>
      <c r="I3" s="500"/>
      <c r="J3" s="500"/>
      <c r="K3" s="500"/>
      <c r="L3" s="500"/>
      <c r="M3" s="500"/>
      <c r="N3" s="500"/>
    </row>
    <row r="4" spans="1:15" ht="16.5" customHeight="1" x14ac:dyDescent="0.2">
      <c r="A4" s="501" t="s">
        <v>142</v>
      </c>
      <c r="B4" s="501"/>
      <c r="C4" s="501"/>
      <c r="D4" s="501"/>
      <c r="E4" s="501"/>
      <c r="F4" s="501"/>
      <c r="G4" s="501"/>
      <c r="H4" s="501"/>
      <c r="I4" s="501"/>
      <c r="J4" s="501"/>
      <c r="K4" s="501"/>
      <c r="L4" s="501"/>
      <c r="M4" s="501"/>
      <c r="N4" s="501"/>
      <c r="O4" s="501"/>
    </row>
    <row r="5" spans="1:15" s="81" customFormat="1" ht="6.95" customHeight="1" x14ac:dyDescent="0.2">
      <c r="A5" s="83"/>
      <c r="B5" s="84"/>
      <c r="C5" s="84"/>
      <c r="D5" s="84"/>
      <c r="E5" s="84"/>
      <c r="F5" s="84"/>
      <c r="G5" s="84"/>
      <c r="H5" s="84"/>
      <c r="I5" s="84"/>
      <c r="J5" s="84"/>
      <c r="K5" s="84"/>
      <c r="L5" s="84"/>
      <c r="M5" s="84"/>
      <c r="N5" s="84"/>
      <c r="O5" s="83"/>
    </row>
    <row r="6" spans="1:15" s="81" customFormat="1" ht="16.5" customHeight="1" x14ac:dyDescent="0.2">
      <c r="A6" s="83"/>
      <c r="B6" s="502" t="s">
        <v>120</v>
      </c>
      <c r="C6" s="502"/>
      <c r="D6" s="502"/>
      <c r="E6" s="502"/>
      <c r="F6" s="502"/>
      <c r="G6" s="502"/>
      <c r="H6" s="502"/>
      <c r="I6" s="502"/>
      <c r="J6" s="502"/>
      <c r="K6" s="502"/>
      <c r="L6" s="502"/>
      <c r="M6" s="502"/>
      <c r="N6" s="502"/>
      <c r="O6" s="83"/>
    </row>
    <row r="7" spans="1:15" ht="19.5" customHeight="1" x14ac:dyDescent="0.2">
      <c r="B7" s="80" t="s">
        <v>141</v>
      </c>
      <c r="C7" s="80"/>
      <c r="D7" s="77"/>
      <c r="E7" s="77"/>
      <c r="F7" s="77"/>
      <c r="G7" s="77"/>
      <c r="H7" s="77"/>
      <c r="I7" s="77"/>
      <c r="J7" s="77"/>
      <c r="K7" s="77"/>
      <c r="L7" s="77"/>
      <c r="M7" s="503" t="str">
        <f>CONCATENATE("Total de tabulados: ", COUNTIF(D10:D29,"&lt;&gt;"))</f>
        <v>Total de tabulados: 12</v>
      </c>
      <c r="N7" s="503"/>
    </row>
    <row r="8" spans="1:15" ht="6.95" customHeight="1" thickBot="1" x14ac:dyDescent="0.25"/>
    <row r="9" spans="1:15" ht="18.75" customHeight="1" thickBot="1" x14ac:dyDescent="0.25">
      <c r="B9" s="79" t="s">
        <v>121</v>
      </c>
      <c r="C9" s="78" t="s">
        <v>122</v>
      </c>
      <c r="D9" s="497" t="s">
        <v>123</v>
      </c>
      <c r="E9" s="497"/>
      <c r="F9" s="497"/>
      <c r="G9" s="497"/>
      <c r="H9" s="497"/>
      <c r="I9" s="497"/>
      <c r="J9" s="497"/>
      <c r="K9" s="497"/>
      <c r="L9" s="497"/>
      <c r="M9" s="497"/>
      <c r="N9" s="498"/>
    </row>
    <row r="10" spans="1:15" ht="39.950000000000003" customHeight="1" x14ac:dyDescent="0.2">
      <c r="B10" s="491" t="s">
        <v>125</v>
      </c>
      <c r="C10" s="72" t="s">
        <v>87</v>
      </c>
      <c r="D10" s="494" t="s">
        <v>0</v>
      </c>
      <c r="E10" s="495"/>
      <c r="F10" s="495"/>
      <c r="G10" s="495"/>
      <c r="H10" s="495"/>
      <c r="I10" s="495"/>
      <c r="J10" s="495"/>
      <c r="K10" s="495"/>
      <c r="L10" s="495"/>
      <c r="M10" s="495"/>
      <c r="N10" s="496"/>
    </row>
    <row r="11" spans="1:15" ht="39.950000000000003" customHeight="1" x14ac:dyDescent="0.2">
      <c r="B11" s="492"/>
      <c r="C11" s="73" t="s">
        <v>88</v>
      </c>
      <c r="D11" s="488" t="s">
        <v>10</v>
      </c>
      <c r="E11" s="489"/>
      <c r="F11" s="489"/>
      <c r="G11" s="489"/>
      <c r="H11" s="489"/>
      <c r="I11" s="489"/>
      <c r="J11" s="489"/>
      <c r="K11" s="489"/>
      <c r="L11" s="489"/>
      <c r="M11" s="489"/>
      <c r="N11" s="490"/>
    </row>
    <row r="12" spans="1:15" ht="51.75" customHeight="1" x14ac:dyDescent="0.2">
      <c r="B12" s="492"/>
      <c r="C12" s="73" t="s">
        <v>89</v>
      </c>
      <c r="D12" s="488" t="s">
        <v>21</v>
      </c>
      <c r="E12" s="489"/>
      <c r="F12" s="489"/>
      <c r="G12" s="489"/>
      <c r="H12" s="489"/>
      <c r="I12" s="489"/>
      <c r="J12" s="489"/>
      <c r="K12" s="489"/>
      <c r="L12" s="489"/>
      <c r="M12" s="489"/>
      <c r="N12" s="490"/>
    </row>
    <row r="13" spans="1:15" ht="39.950000000000003" customHeight="1" x14ac:dyDescent="0.2">
      <c r="B13" s="492"/>
      <c r="C13" s="73" t="s">
        <v>90</v>
      </c>
      <c r="D13" s="488" t="s">
        <v>58</v>
      </c>
      <c r="E13" s="489"/>
      <c r="F13" s="489"/>
      <c r="G13" s="489"/>
      <c r="H13" s="489"/>
      <c r="I13" s="489"/>
      <c r="J13" s="489"/>
      <c r="K13" s="489"/>
      <c r="L13" s="489"/>
      <c r="M13" s="489"/>
      <c r="N13" s="490"/>
    </row>
    <row r="14" spans="1:15" ht="39.950000000000003" customHeight="1" x14ac:dyDescent="0.2">
      <c r="B14" s="492"/>
      <c r="C14" s="73" t="s">
        <v>91</v>
      </c>
      <c r="D14" s="488" t="s">
        <v>63</v>
      </c>
      <c r="E14" s="489"/>
      <c r="F14" s="489"/>
      <c r="G14" s="489"/>
      <c r="H14" s="489"/>
      <c r="I14" s="489"/>
      <c r="J14" s="489"/>
      <c r="K14" s="489"/>
      <c r="L14" s="489"/>
      <c r="M14" s="489"/>
      <c r="N14" s="490"/>
    </row>
    <row r="15" spans="1:15" ht="39.950000000000003" customHeight="1" x14ac:dyDescent="0.2">
      <c r="B15" s="492"/>
      <c r="C15" s="73" t="s">
        <v>92</v>
      </c>
      <c r="D15" s="488" t="s">
        <v>64</v>
      </c>
      <c r="E15" s="489"/>
      <c r="F15" s="489"/>
      <c r="G15" s="489"/>
      <c r="H15" s="489"/>
      <c r="I15" s="489"/>
      <c r="J15" s="489"/>
      <c r="K15" s="489"/>
      <c r="L15" s="489"/>
      <c r="M15" s="489"/>
      <c r="N15" s="490"/>
    </row>
    <row r="16" spans="1:15" ht="39.950000000000003" customHeight="1" x14ac:dyDescent="0.2">
      <c r="B16" s="492"/>
      <c r="C16" s="73" t="s">
        <v>93</v>
      </c>
      <c r="D16" s="488" t="s">
        <v>69</v>
      </c>
      <c r="E16" s="489"/>
      <c r="F16" s="489"/>
      <c r="G16" s="489"/>
      <c r="H16" s="489"/>
      <c r="I16" s="489"/>
      <c r="J16" s="489"/>
      <c r="K16" s="489"/>
      <c r="L16" s="489"/>
      <c r="M16" s="489"/>
      <c r="N16" s="490"/>
    </row>
    <row r="17" spans="2:14" ht="39.950000000000003" customHeight="1" x14ac:dyDescent="0.2">
      <c r="B17" s="492"/>
      <c r="C17" s="73" t="s">
        <v>94</v>
      </c>
      <c r="D17" s="488" t="s">
        <v>70</v>
      </c>
      <c r="E17" s="489"/>
      <c r="F17" s="489"/>
      <c r="G17" s="489"/>
      <c r="H17" s="489"/>
      <c r="I17" s="489"/>
      <c r="J17" s="489"/>
      <c r="K17" s="489"/>
      <c r="L17" s="489"/>
      <c r="M17" s="489"/>
      <c r="N17" s="490"/>
    </row>
    <row r="18" spans="2:14" ht="39.950000000000003" customHeight="1" x14ac:dyDescent="0.2">
      <c r="B18" s="492"/>
      <c r="C18" s="73" t="s">
        <v>95</v>
      </c>
      <c r="D18" s="488" t="s">
        <v>74</v>
      </c>
      <c r="E18" s="489"/>
      <c r="F18" s="489"/>
      <c r="G18" s="489"/>
      <c r="H18" s="489"/>
      <c r="I18" s="489"/>
      <c r="J18" s="489"/>
      <c r="K18" s="489"/>
      <c r="L18" s="489"/>
      <c r="M18" s="489"/>
      <c r="N18" s="490"/>
    </row>
    <row r="19" spans="2:14" ht="39.950000000000003" customHeight="1" x14ac:dyDescent="0.2">
      <c r="B19" s="492"/>
      <c r="C19" s="73" t="s">
        <v>96</v>
      </c>
      <c r="D19" s="488" t="s">
        <v>75</v>
      </c>
      <c r="E19" s="489"/>
      <c r="F19" s="489"/>
      <c r="G19" s="489"/>
      <c r="H19" s="489"/>
      <c r="I19" s="489"/>
      <c r="J19" s="489"/>
      <c r="K19" s="489"/>
      <c r="L19" s="489"/>
      <c r="M19" s="489"/>
      <c r="N19" s="490"/>
    </row>
    <row r="20" spans="2:14" ht="39.950000000000003" customHeight="1" x14ac:dyDescent="0.2">
      <c r="B20" s="492"/>
      <c r="C20" s="73" t="s">
        <v>113</v>
      </c>
      <c r="D20" s="488" t="s">
        <v>111</v>
      </c>
      <c r="E20" s="489"/>
      <c r="F20" s="489"/>
      <c r="G20" s="489"/>
      <c r="H20" s="489"/>
      <c r="I20" s="489"/>
      <c r="J20" s="489"/>
      <c r="K20" s="489"/>
      <c r="L20" s="489"/>
      <c r="M20" s="489"/>
      <c r="N20" s="490"/>
    </row>
    <row r="21" spans="2:14" ht="39.950000000000003" customHeight="1" thickBot="1" x14ac:dyDescent="0.25">
      <c r="B21" s="493"/>
      <c r="C21" s="74" t="s">
        <v>114</v>
      </c>
      <c r="D21" s="485" t="s">
        <v>112</v>
      </c>
      <c r="E21" s="486"/>
      <c r="F21" s="486"/>
      <c r="G21" s="486"/>
      <c r="H21" s="486"/>
      <c r="I21" s="486"/>
      <c r="J21" s="486"/>
      <c r="K21" s="486"/>
      <c r="L21" s="486"/>
      <c r="M21" s="486"/>
      <c r="N21" s="487"/>
    </row>
    <row r="22" spans="2:14" ht="6.95" customHeight="1" x14ac:dyDescent="0.2"/>
    <row r="31" spans="2:14" ht="14.25" customHeight="1" x14ac:dyDescent="0.2"/>
  </sheetData>
  <mergeCells count="19">
    <mergeCell ref="D9:N9"/>
    <mergeCell ref="B2:N2"/>
    <mergeCell ref="B3:N3"/>
    <mergeCell ref="A4:O4"/>
    <mergeCell ref="B6:N6"/>
    <mergeCell ref="M7:N7"/>
    <mergeCell ref="D21:N21"/>
    <mergeCell ref="D18:N18"/>
    <mergeCell ref="D19:N19"/>
    <mergeCell ref="B10:B21"/>
    <mergeCell ref="D10:N10"/>
    <mergeCell ref="D11:N11"/>
    <mergeCell ref="D12:N12"/>
    <mergeCell ref="D13:N13"/>
    <mergeCell ref="D14:N14"/>
    <mergeCell ref="D15:N15"/>
    <mergeCell ref="D16:N16"/>
    <mergeCell ref="D17:N17"/>
    <mergeCell ref="D20:N20"/>
  </mergeCells>
  <hyperlinks>
    <hyperlink ref="C10" location="'Cuadro 1.1'!A1" tooltip="Cuadro 1.1" display="Cuadro 1.1" xr:uid="{DEB6EF70-5257-45C3-9CDC-058B1346749A}"/>
    <hyperlink ref="C11" location="'Cuadro 1.2'!A1" tooltip="Cuadro 1.2" display="Cuadro 1.2" xr:uid="{7601872B-529D-4337-B575-E486D6B9B464}"/>
    <hyperlink ref="C21" location="'Cuadro 1.12'!A1" tooltip="Ir a Cuadro 1.12" display="Cuadro 1.12" xr:uid="{9F2A273B-3388-4FAD-8CCD-D3E99401CFD8}"/>
    <hyperlink ref="C12" location="'Cuadro 1.3'!A1" tooltip="Cuadro 1.3" display="Cuadro 1.3" xr:uid="{7CEDBD5C-7E4C-445C-8E94-DD9A97C2074E}"/>
    <hyperlink ref="C13" location="'Cuadro 1.4'!A1" tooltip="Cuadro 1.4" display="Cuadro 1.4" xr:uid="{3A21A1C7-6A6B-49D3-824F-4D0E8E7AA77C}"/>
    <hyperlink ref="C14" location="'Cuadro 1.5'!A1" tooltip="Cuadro 1.5" display="Cuadro 1.5" xr:uid="{1E0D5813-7D3B-48B9-8931-5075AF6B761C}"/>
    <hyperlink ref="C15" location="'Cuadro 1.6'!A1" tooltip="Cuadro 1.6" display="Cuadro 1.6" xr:uid="{5125EE74-2880-44EC-8456-119D095BA2BE}"/>
    <hyperlink ref="C16" location="'Cuadro 1.7'!A1" tooltip="Cuadro 1.7" display="Cuadro 1.7" xr:uid="{464C8323-EDC1-4893-9BFD-046523330ABD}"/>
    <hyperlink ref="C17" location="'Cuadro 1.8'!A1" tooltip="Cuadro 1.8" display="Cuadro 1.8" xr:uid="{2A382C57-4434-439C-977D-5FE3090E2EBD}"/>
    <hyperlink ref="C20" location="'Cuadro 1.11'!A1" tooltip="Ir a Cuadro 1.11" display="Cuadro 1.11" xr:uid="{7AF1C668-4441-4362-A00E-9E7E0D41F999}"/>
    <hyperlink ref="C18" location="'Cuadro 1.9'!A1" tooltip="Ir a Cuadro 1.9" display="Cuadro 1.9" xr:uid="{0DB84DC2-2ECA-4080-8A8C-835AFC88F858}"/>
    <hyperlink ref="C19" location="'Cuadro 1.10'!A1" tooltip="Ir a Cuadro 1.10" display="Cuadro 1.10" xr:uid="{0562AE30-B614-45D7-9118-A776E81DA00C}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F22CAE-6233-4A42-91C0-D2A0E19CBE83}">
  <dimension ref="A1:G18"/>
  <sheetViews>
    <sheetView showGridLines="0" zoomScaleNormal="100" workbookViewId="0"/>
  </sheetViews>
  <sheetFormatPr baseColWidth="10" defaultColWidth="9.140625" defaultRowHeight="14.25" x14ac:dyDescent="0.2"/>
  <cols>
    <col min="1" max="1" width="1.7109375" style="5" customWidth="1"/>
    <col min="2" max="2" width="33.85546875" style="5" customWidth="1"/>
    <col min="3" max="3" width="1.7109375" style="5" customWidth="1"/>
    <col min="4" max="6" width="20" style="5" customWidth="1"/>
    <col min="7" max="16384" width="9.140625" style="5"/>
  </cols>
  <sheetData>
    <row r="1" spans="1:7" s="66" customFormat="1" ht="14.1" customHeight="1" x14ac:dyDescent="0.2">
      <c r="B1" s="484" t="s">
        <v>144</v>
      </c>
      <c r="C1" s="456"/>
      <c r="F1" s="85" t="s">
        <v>118</v>
      </c>
    </row>
    <row r="2" spans="1:7" s="66" customFormat="1" ht="6.95" customHeight="1" x14ac:dyDescent="0.2">
      <c r="B2" s="484"/>
      <c r="C2" s="456"/>
    </row>
    <row r="3" spans="1:7" s="66" customFormat="1" ht="14.1" customHeight="1" x14ac:dyDescent="0.2">
      <c r="B3" s="484" t="s">
        <v>142</v>
      </c>
      <c r="C3" s="456"/>
      <c r="D3" s="456"/>
      <c r="E3" s="456"/>
      <c r="F3" s="456"/>
      <c r="G3" s="456"/>
    </row>
    <row r="4" spans="1:7" s="66" customFormat="1" ht="6.95" customHeight="1" x14ac:dyDescent="0.2"/>
    <row r="5" spans="1:7" s="66" customFormat="1" ht="20.100000000000001" customHeight="1" x14ac:dyDescent="0.2">
      <c r="B5" s="504" t="s">
        <v>0</v>
      </c>
      <c r="C5" s="504"/>
      <c r="D5" s="504"/>
      <c r="E5" s="504"/>
      <c r="F5" s="75" t="s">
        <v>87</v>
      </c>
    </row>
    <row r="6" spans="1:7" ht="6" customHeight="1" x14ac:dyDescent="0.2">
      <c r="A6" s="66"/>
      <c r="B6" s="7"/>
      <c r="C6" s="7"/>
      <c r="D6" s="8"/>
      <c r="E6" s="8"/>
      <c r="F6" s="6"/>
    </row>
    <row r="7" spans="1:7" ht="16.5" customHeight="1" x14ac:dyDescent="0.2">
      <c r="A7" s="66"/>
      <c r="B7" s="505" t="s">
        <v>1</v>
      </c>
      <c r="C7" s="454"/>
      <c r="D7" s="507" t="s">
        <v>2</v>
      </c>
      <c r="E7" s="509" t="s">
        <v>3</v>
      </c>
      <c r="F7" s="511" t="s">
        <v>4</v>
      </c>
    </row>
    <row r="8" spans="1:7" s="9" customFormat="1" ht="23.25" customHeight="1" x14ac:dyDescent="0.2">
      <c r="A8" s="66"/>
      <c r="B8" s="506"/>
      <c r="C8" s="455"/>
      <c r="D8" s="508"/>
      <c r="E8" s="510"/>
      <c r="F8" s="512"/>
    </row>
    <row r="9" spans="1:7" s="18" customFormat="1" ht="6" customHeight="1" x14ac:dyDescent="0.2">
      <c r="A9" s="12"/>
      <c r="B9" s="15"/>
      <c r="C9" s="15"/>
      <c r="D9" s="16"/>
      <c r="E9" s="16"/>
      <c r="F9" s="16"/>
      <c r="G9" s="17"/>
    </row>
    <row r="10" spans="1:7" s="11" customFormat="1" ht="11.25" x14ac:dyDescent="0.2">
      <c r="A10" s="67"/>
      <c r="B10" s="10" t="s">
        <v>5</v>
      </c>
      <c r="C10" s="41"/>
      <c r="D10" s="457">
        <v>35662946.186790802</v>
      </c>
      <c r="E10" s="457">
        <v>34886358.544246398</v>
      </c>
      <c r="F10" s="457">
        <v>833051.71179329196</v>
      </c>
    </row>
    <row r="11" spans="1:7" s="11" customFormat="1" ht="9" customHeight="1" x14ac:dyDescent="0.2">
      <c r="A11" s="17"/>
      <c r="B11" s="41"/>
      <c r="C11" s="41"/>
      <c r="D11" s="90"/>
      <c r="E11" s="90"/>
      <c r="F11" s="90"/>
    </row>
    <row r="12" spans="1:7" s="11" customFormat="1" ht="15" customHeight="1" x14ac:dyDescent="0.2">
      <c r="B12" s="22" t="s">
        <v>6</v>
      </c>
      <c r="C12" s="22"/>
      <c r="D12" s="126">
        <v>7588550.2270174799</v>
      </c>
      <c r="E12" s="458">
        <v>7447445.0823398205</v>
      </c>
      <c r="F12" s="126">
        <v>162351.82941703801</v>
      </c>
    </row>
    <row r="13" spans="1:7" s="12" customFormat="1" ht="15" customHeight="1" x14ac:dyDescent="0.2">
      <c r="A13" s="11"/>
      <c r="B13" s="22" t="s">
        <v>7</v>
      </c>
      <c r="C13" s="22"/>
      <c r="D13" s="126">
        <v>4880011.4888669197</v>
      </c>
      <c r="E13" s="126">
        <v>4758290.5022412697</v>
      </c>
      <c r="F13" s="126">
        <v>137495.490113245</v>
      </c>
    </row>
    <row r="14" spans="1:7" s="12" customFormat="1" ht="15" customHeight="1" x14ac:dyDescent="0.2">
      <c r="A14" s="11"/>
      <c r="B14" s="23" t="s">
        <v>8</v>
      </c>
      <c r="C14" s="23"/>
      <c r="D14" s="126">
        <v>5869884.8887314703</v>
      </c>
      <c r="E14" s="126">
        <v>5730650.4407328097</v>
      </c>
      <c r="F14" s="126">
        <v>168902.349021275</v>
      </c>
    </row>
    <row r="15" spans="1:7" s="12" customFormat="1" ht="15" customHeight="1" x14ac:dyDescent="0.2">
      <c r="B15" s="23" t="s">
        <v>76</v>
      </c>
      <c r="C15" s="23"/>
      <c r="D15" s="126">
        <v>17733822.4099744</v>
      </c>
      <c r="E15" s="126">
        <v>17360913.651630301</v>
      </c>
      <c r="F15" s="126">
        <v>415675.43744353502</v>
      </c>
    </row>
    <row r="16" spans="1:7" s="21" customFormat="1" ht="6" customHeight="1" x14ac:dyDescent="0.2">
      <c r="A16" s="12"/>
      <c r="B16" s="26"/>
      <c r="C16" s="42"/>
      <c r="D16" s="19"/>
      <c r="E16" s="19"/>
      <c r="F16" s="19"/>
      <c r="G16" s="20"/>
    </row>
    <row r="17" spans="1:7" s="21" customFormat="1" ht="6" customHeight="1" x14ac:dyDescent="0.2">
      <c r="A17" s="12"/>
      <c r="B17" s="15"/>
      <c r="C17" s="15"/>
      <c r="D17" s="16"/>
      <c r="E17" s="16"/>
      <c r="F17" s="16"/>
      <c r="G17" s="20"/>
    </row>
    <row r="18" spans="1:7" x14ac:dyDescent="0.2">
      <c r="B18" s="24" t="s">
        <v>9</v>
      </c>
    </row>
  </sheetData>
  <mergeCells count="5">
    <mergeCell ref="B5:E5"/>
    <mergeCell ref="B7:B8"/>
    <mergeCell ref="D7:D8"/>
    <mergeCell ref="E7:E8"/>
    <mergeCell ref="F7:F8"/>
  </mergeCells>
  <hyperlinks>
    <hyperlink ref="F1" location="Índice!A1" tooltip="Ir a ÍNDICE" display="INDICE" xr:uid="{5ACA298A-AD50-4187-8455-970CA8B0B4E8}"/>
  </hyperlink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0B141-9FE7-4E6E-A36C-C27CA1666BCF}">
  <dimension ref="A1:Y755"/>
  <sheetViews>
    <sheetView showGridLines="0" zoomScaleNormal="100" workbookViewId="0"/>
  </sheetViews>
  <sheetFormatPr baseColWidth="10" defaultColWidth="9.140625" defaultRowHeight="14.25" x14ac:dyDescent="0.2"/>
  <cols>
    <col min="1" max="1" width="1.7109375" style="5" customWidth="1"/>
    <col min="2" max="2" width="37.5703125" customWidth="1"/>
    <col min="3" max="3" width="1.7109375" customWidth="1"/>
    <col min="4" max="5" width="28.42578125" customWidth="1"/>
  </cols>
  <sheetData>
    <row r="1" spans="1:25" s="69" customFormat="1" ht="14.1" customHeight="1" x14ac:dyDescent="0.2">
      <c r="A1" s="66"/>
      <c r="B1" s="484" t="s">
        <v>144</v>
      </c>
      <c r="C1" s="127"/>
      <c r="D1" s="68"/>
      <c r="E1" s="85" t="s">
        <v>118</v>
      </c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</row>
    <row r="2" spans="1:25" s="69" customFormat="1" ht="6.95" customHeight="1" x14ac:dyDescent="0.2">
      <c r="A2" s="66"/>
      <c r="B2" s="484"/>
      <c r="C2" s="127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</row>
    <row r="3" spans="1:25" s="69" customFormat="1" ht="14.1" customHeight="1" x14ac:dyDescent="0.2">
      <c r="A3" s="66"/>
      <c r="B3" s="484" t="s">
        <v>142</v>
      </c>
      <c r="C3" s="127"/>
      <c r="D3" s="127"/>
      <c r="E3" s="127"/>
      <c r="F3" s="127"/>
      <c r="G3" s="127"/>
      <c r="H3" s="68"/>
      <c r="I3" s="68"/>
      <c r="J3" s="68"/>
      <c r="K3" s="68"/>
      <c r="L3" s="68"/>
      <c r="M3" s="68"/>
      <c r="N3" s="68"/>
      <c r="O3" s="68"/>
      <c r="P3" s="68"/>
      <c r="Q3" s="68"/>
      <c r="R3" s="68"/>
      <c r="S3" s="68"/>
      <c r="T3" s="68"/>
      <c r="U3" s="68"/>
      <c r="V3" s="68"/>
      <c r="W3" s="68"/>
      <c r="X3" s="68"/>
      <c r="Y3" s="68"/>
    </row>
    <row r="4" spans="1:25" s="69" customFormat="1" ht="6.95" customHeight="1" x14ac:dyDescent="0.2">
      <c r="A4" s="66"/>
      <c r="B4" s="68"/>
      <c r="C4" s="68"/>
      <c r="D4" s="68"/>
      <c r="E4" s="68"/>
      <c r="F4" s="68"/>
      <c r="G4" s="68"/>
      <c r="H4" s="68"/>
      <c r="I4" s="68"/>
      <c r="J4" s="68"/>
      <c r="K4" s="68"/>
      <c r="L4" s="68"/>
      <c r="M4" s="68"/>
      <c r="N4" s="68"/>
      <c r="O4" s="68"/>
      <c r="P4" s="68"/>
      <c r="Q4" s="68"/>
      <c r="R4" s="68"/>
      <c r="S4" s="68"/>
      <c r="T4" s="68"/>
      <c r="U4" s="68"/>
      <c r="V4" s="68"/>
      <c r="W4" s="68"/>
      <c r="X4" s="68"/>
      <c r="Y4" s="68"/>
    </row>
    <row r="5" spans="1:25" s="69" customFormat="1" ht="30" customHeight="1" x14ac:dyDescent="0.2">
      <c r="A5" s="66"/>
      <c r="B5" s="513" t="s">
        <v>10</v>
      </c>
      <c r="C5" s="513"/>
      <c r="D5" s="513"/>
      <c r="E5" s="75" t="s">
        <v>88</v>
      </c>
      <c r="F5" s="68"/>
      <c r="G5" s="68"/>
      <c r="H5" s="68"/>
      <c r="I5" s="68"/>
      <c r="J5" s="68"/>
      <c r="K5" s="68"/>
      <c r="L5" s="68"/>
      <c r="M5" s="68"/>
      <c r="N5" s="68"/>
      <c r="O5" s="68"/>
      <c r="P5" s="68"/>
      <c r="Q5" s="68"/>
      <c r="R5" s="68"/>
      <c r="S5" s="68"/>
      <c r="T5" s="68"/>
      <c r="U5" s="68"/>
      <c r="V5" s="68"/>
      <c r="W5" s="68"/>
      <c r="X5" s="68"/>
      <c r="Y5" s="68"/>
    </row>
    <row r="6" spans="1:25" ht="6" customHeight="1" x14ac:dyDescent="0.2">
      <c r="A6" s="66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ht="12.75" x14ac:dyDescent="0.2">
      <c r="A7" s="66"/>
      <c r="B7" s="514" t="s">
        <v>11</v>
      </c>
      <c r="C7" s="123"/>
      <c r="D7" s="517" t="s">
        <v>12</v>
      </c>
      <c r="E7" s="517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ht="12.75" x14ac:dyDescent="0.2">
      <c r="A8" s="12"/>
      <c r="B8" s="515"/>
      <c r="C8" s="124"/>
      <c r="D8" s="518"/>
      <c r="E8" s="518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ht="12.75" x14ac:dyDescent="0.2">
      <c r="A9" s="67"/>
      <c r="B9" s="516"/>
      <c r="C9" s="125"/>
      <c r="D9" s="62" t="s">
        <v>13</v>
      </c>
      <c r="E9" s="62" t="s">
        <v>14</v>
      </c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6" customHeight="1" x14ac:dyDescent="0.2">
      <c r="A10" s="17"/>
      <c r="B10" s="29"/>
      <c r="C10" s="29"/>
      <c r="D10" s="55"/>
      <c r="E10" s="55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12.75" x14ac:dyDescent="0.2">
      <c r="A11" s="11"/>
      <c r="B11" s="27" t="s">
        <v>15</v>
      </c>
      <c r="C11" s="27"/>
      <c r="D11" s="129">
        <v>35662946.186790802</v>
      </c>
      <c r="E11" s="129">
        <v>100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ht="6" customHeight="1" x14ac:dyDescent="0.2">
      <c r="A12" s="11"/>
      <c r="B12" s="27"/>
      <c r="C12" s="27"/>
      <c r="D12" s="91"/>
      <c r="E12" s="9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ht="17.25" customHeight="1" x14ac:dyDescent="0.2">
      <c r="A13" s="11"/>
      <c r="B13" s="124" t="s">
        <v>104</v>
      </c>
      <c r="C13" s="124"/>
      <c r="D13" s="129">
        <v>2211453.0676645599</v>
      </c>
      <c r="E13" s="129">
        <v>6.2713297452000001</v>
      </c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ht="12.75" x14ac:dyDescent="0.2">
      <c r="A14" s="12"/>
      <c r="B14" s="28" t="s">
        <v>16</v>
      </c>
      <c r="C14" s="28"/>
      <c r="D14" s="128">
        <v>1924668.0187363599</v>
      </c>
      <c r="E14" s="128">
        <v>88.182970780000005</v>
      </c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t="12.75" x14ac:dyDescent="0.2">
      <c r="A15" s="12"/>
      <c r="B15" s="28" t="s">
        <v>17</v>
      </c>
      <c r="C15" s="28"/>
      <c r="D15" s="128">
        <v>709744.678384642</v>
      </c>
      <c r="E15" s="128">
        <v>32.864143159199998</v>
      </c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12.75" x14ac:dyDescent="0.2">
      <c r="A16" s="12"/>
      <c r="B16" s="28" t="s">
        <v>18</v>
      </c>
      <c r="C16" s="28"/>
      <c r="D16" s="128">
        <v>388793.92542073003</v>
      </c>
      <c r="E16" s="128">
        <v>18.152821727700001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">
      <c r="A17" s="21"/>
      <c r="B17" s="29" t="s">
        <v>98</v>
      </c>
      <c r="C17" s="28"/>
      <c r="D17" s="129">
        <v>33539864.856037099</v>
      </c>
      <c r="E17" s="129">
        <v>94.243927035699997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6" customHeight="1" x14ac:dyDescent="0.2">
      <c r="A18" s="21"/>
      <c r="B18" s="29"/>
      <c r="C18" s="29"/>
      <c r="D18" s="92"/>
      <c r="E18" s="94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ht="13.5" customHeight="1" x14ac:dyDescent="0.2">
      <c r="B19" s="124" t="s">
        <v>105</v>
      </c>
      <c r="C19" s="29"/>
      <c r="D19" s="129">
        <v>473975.51291051903</v>
      </c>
      <c r="E19" s="129">
        <v>1.3441816673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13.5" customHeight="1" x14ac:dyDescent="0.2">
      <c r="B20" s="28" t="s">
        <v>16</v>
      </c>
      <c r="C20" s="29"/>
      <c r="D20" s="128">
        <v>255640.067028146</v>
      </c>
      <c r="E20" s="128">
        <v>56.854489041999997</v>
      </c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ht="13.5" customHeight="1" x14ac:dyDescent="0.2">
      <c r="B21" s="28" t="s">
        <v>17</v>
      </c>
      <c r="C21" s="29"/>
      <c r="D21" s="128">
        <v>230780.056680165</v>
      </c>
      <c r="E21" s="128">
        <v>50.813477939599998</v>
      </c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ht="13.5" customHeight="1" x14ac:dyDescent="0.2">
      <c r="B22" s="28" t="s">
        <v>18</v>
      </c>
      <c r="C22" s="29"/>
      <c r="D22" s="128">
        <v>232772.68418670201</v>
      </c>
      <c r="E22" s="128">
        <v>51.9270336027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ht="13.5" customHeight="1" x14ac:dyDescent="0.2">
      <c r="B23" s="28" t="s">
        <v>20</v>
      </c>
      <c r="C23" s="29"/>
      <c r="D23" s="128">
        <v>133653.05746701901</v>
      </c>
      <c r="E23" s="128">
        <v>30.100216770599999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ht="13.5" customHeight="1" x14ac:dyDescent="0.2">
      <c r="B24" s="29" t="s">
        <v>99</v>
      </c>
      <c r="C24" s="29"/>
      <c r="D24" s="129">
        <v>35227192.651380502</v>
      </c>
      <c r="E24" s="129">
        <v>98.877000757100006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ht="6" customHeight="1" x14ac:dyDescent="0.2">
      <c r="B25" s="56"/>
      <c r="C25" s="125"/>
      <c r="D25" s="33"/>
      <c r="E25" s="34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ht="6" customHeight="1" x14ac:dyDescent="0.2">
      <c r="B26" s="29"/>
      <c r="C26" s="29"/>
      <c r="D26" s="30"/>
      <c r="E26" s="31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s="87" customFormat="1" ht="11.25" x14ac:dyDescent="0.2">
      <c r="A27" s="12"/>
      <c r="B27" s="50" t="s">
        <v>102</v>
      </c>
      <c r="C27" s="29"/>
      <c r="D27" s="30"/>
      <c r="E27" s="31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</row>
    <row r="28" spans="1:25" s="87" customFormat="1" ht="11.25" x14ac:dyDescent="0.2">
      <c r="A28" s="12"/>
      <c r="B28" s="50" t="s">
        <v>100</v>
      </c>
      <c r="C28" s="29"/>
      <c r="D28" s="30"/>
      <c r="E28" s="31"/>
      <c r="F28" s="50"/>
      <c r="G28" s="50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</row>
    <row r="29" spans="1:25" s="87" customFormat="1" ht="11.25" x14ac:dyDescent="0.2">
      <c r="A29" s="12"/>
      <c r="B29" s="50" t="s">
        <v>103</v>
      </c>
      <c r="C29" s="29"/>
      <c r="D29" s="30"/>
      <c r="E29" s="31"/>
      <c r="F29" s="50"/>
      <c r="G29" s="50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</row>
    <row r="30" spans="1:25" s="87" customFormat="1" ht="11.25" x14ac:dyDescent="0.2">
      <c r="A30" s="12"/>
      <c r="B30" s="50" t="s">
        <v>101</v>
      </c>
      <c r="C30" s="29"/>
      <c r="D30" s="30"/>
      <c r="E30" s="31"/>
      <c r="F30" s="50"/>
      <c r="G30" s="50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</row>
    <row r="31" spans="1:25" s="87" customFormat="1" ht="11.25" x14ac:dyDescent="0.2">
      <c r="A31" s="12"/>
      <c r="B31" s="24" t="s">
        <v>9</v>
      </c>
      <c r="C31" s="25"/>
      <c r="D31" s="25"/>
      <c r="E31" s="25"/>
      <c r="F31" s="50"/>
      <c r="G31" s="50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</row>
    <row r="32" spans="1:25" ht="13.5" customHeight="1" x14ac:dyDescent="0.2">
      <c r="B32" s="24"/>
      <c r="C32" s="25"/>
      <c r="D32" s="25"/>
      <c r="E32" s="25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2:25" ht="13.5" customHeight="1" x14ac:dyDescent="0.2">
      <c r="B33" s="35"/>
      <c r="C33" s="36"/>
      <c r="D33" s="36"/>
      <c r="E33" s="36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2:25" x14ac:dyDescent="0.2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2:25" x14ac:dyDescent="0.2"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2:25" x14ac:dyDescent="0.2"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2:25" x14ac:dyDescent="0.2"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2:25" x14ac:dyDescent="0.2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2:25" x14ac:dyDescent="0.2"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2:25" x14ac:dyDescent="0.2"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2:25" x14ac:dyDescent="0.2"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2:25" x14ac:dyDescent="0.2"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2:25" x14ac:dyDescent="0.2"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2:25" x14ac:dyDescent="0.2"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2:25" x14ac:dyDescent="0.2"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2:25" x14ac:dyDescent="0.2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2:25" x14ac:dyDescent="0.2"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2:25" x14ac:dyDescent="0.2"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2:25" x14ac:dyDescent="0.2"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2:25" x14ac:dyDescent="0.2"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2:25" x14ac:dyDescent="0.2"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</row>
    <row r="52" spans="2:25" x14ac:dyDescent="0.2"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</row>
    <row r="53" spans="2:25" x14ac:dyDescent="0.2"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</row>
    <row r="54" spans="2:25" x14ac:dyDescent="0.2"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</row>
    <row r="55" spans="2:25" x14ac:dyDescent="0.2"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</row>
    <row r="56" spans="2:25" x14ac:dyDescent="0.2"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</row>
    <row r="57" spans="2:25" x14ac:dyDescent="0.2"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</row>
    <row r="58" spans="2:25" x14ac:dyDescent="0.2"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</row>
    <row r="59" spans="2:25" x14ac:dyDescent="0.2"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</row>
    <row r="60" spans="2:25" x14ac:dyDescent="0.2"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</row>
    <row r="61" spans="2:25" x14ac:dyDescent="0.2"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</row>
    <row r="62" spans="2:25" x14ac:dyDescent="0.2"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</row>
    <row r="63" spans="2:25" x14ac:dyDescent="0.2"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</row>
    <row r="64" spans="2:25" x14ac:dyDescent="0.2"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</row>
    <row r="65" spans="2:25" x14ac:dyDescent="0.2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</row>
    <row r="66" spans="2:25" x14ac:dyDescent="0.2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</row>
    <row r="67" spans="2:25" x14ac:dyDescent="0.2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</row>
    <row r="68" spans="2:25" x14ac:dyDescent="0.2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</row>
    <row r="69" spans="2:25" x14ac:dyDescent="0.2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</row>
    <row r="70" spans="2:25" x14ac:dyDescent="0.2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</row>
    <row r="71" spans="2:25" x14ac:dyDescent="0.2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</row>
    <row r="72" spans="2:25" x14ac:dyDescent="0.2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</row>
    <row r="73" spans="2:25" x14ac:dyDescent="0.2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</row>
    <row r="74" spans="2:25" x14ac:dyDescent="0.2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</row>
    <row r="75" spans="2:25" x14ac:dyDescent="0.2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</row>
    <row r="76" spans="2:25" x14ac:dyDescent="0.2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</row>
    <row r="77" spans="2:25" x14ac:dyDescent="0.2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</row>
    <row r="78" spans="2:25" x14ac:dyDescent="0.2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</row>
    <row r="79" spans="2:25" x14ac:dyDescent="0.2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</row>
    <row r="80" spans="2:25" x14ac:dyDescent="0.2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</row>
    <row r="81" spans="2:25" x14ac:dyDescent="0.2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</row>
    <row r="82" spans="2:25" x14ac:dyDescent="0.2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</row>
    <row r="83" spans="2:25" x14ac:dyDescent="0.2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</row>
    <row r="84" spans="2:25" x14ac:dyDescent="0.2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</row>
    <row r="85" spans="2:25" x14ac:dyDescent="0.2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</row>
    <row r="86" spans="2:25" x14ac:dyDescent="0.2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</row>
    <row r="87" spans="2:25" x14ac:dyDescent="0.2"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</row>
    <row r="88" spans="2:25" x14ac:dyDescent="0.2"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</row>
    <row r="89" spans="2:25" x14ac:dyDescent="0.2"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</row>
    <row r="90" spans="2:25" x14ac:dyDescent="0.2"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</row>
    <row r="91" spans="2:25" x14ac:dyDescent="0.2"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</row>
    <row r="92" spans="2:25" x14ac:dyDescent="0.2"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</row>
    <row r="93" spans="2:25" x14ac:dyDescent="0.2"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</row>
    <row r="94" spans="2:25" x14ac:dyDescent="0.2"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</row>
    <row r="95" spans="2:25" x14ac:dyDescent="0.2"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</row>
    <row r="96" spans="2:25" x14ac:dyDescent="0.2"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</row>
    <row r="97" spans="2:25" x14ac:dyDescent="0.2"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</row>
    <row r="98" spans="2:25" x14ac:dyDescent="0.2"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</row>
    <row r="99" spans="2:25" x14ac:dyDescent="0.2"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</row>
    <row r="100" spans="2:25" x14ac:dyDescent="0.2"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</row>
    <row r="101" spans="2:25" x14ac:dyDescent="0.2"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</row>
    <row r="102" spans="2:25" x14ac:dyDescent="0.2"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</row>
    <row r="103" spans="2:25" x14ac:dyDescent="0.2"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</row>
    <row r="104" spans="2:25" x14ac:dyDescent="0.2"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</row>
    <row r="105" spans="2:25" x14ac:dyDescent="0.2"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</row>
    <row r="106" spans="2:25" x14ac:dyDescent="0.2"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</row>
    <row r="107" spans="2:25" x14ac:dyDescent="0.2"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</row>
    <row r="108" spans="2:25" x14ac:dyDescent="0.2"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</row>
    <row r="109" spans="2:25" x14ac:dyDescent="0.2"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</row>
    <row r="110" spans="2:25" x14ac:dyDescent="0.2"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</row>
    <row r="111" spans="2:25" x14ac:dyDescent="0.2"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</row>
    <row r="112" spans="2:25" x14ac:dyDescent="0.2"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</row>
    <row r="113" spans="2:25" x14ac:dyDescent="0.2"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</row>
    <row r="114" spans="2:25" x14ac:dyDescent="0.2"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</row>
    <row r="115" spans="2:25" x14ac:dyDescent="0.2"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</row>
    <row r="116" spans="2:25" x14ac:dyDescent="0.2"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</row>
    <row r="117" spans="2:25" x14ac:dyDescent="0.2"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</row>
    <row r="118" spans="2:25" x14ac:dyDescent="0.2"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</row>
    <row r="119" spans="2:25" x14ac:dyDescent="0.2"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</row>
    <row r="120" spans="2:25" x14ac:dyDescent="0.2"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</row>
    <row r="121" spans="2:25" x14ac:dyDescent="0.2"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</row>
    <row r="122" spans="2:25" x14ac:dyDescent="0.2"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</row>
    <row r="123" spans="2:25" x14ac:dyDescent="0.2"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</row>
    <row r="124" spans="2:25" x14ac:dyDescent="0.2"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</row>
    <row r="125" spans="2:25" x14ac:dyDescent="0.2"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</row>
    <row r="126" spans="2:25" x14ac:dyDescent="0.2"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</row>
    <row r="127" spans="2:25" x14ac:dyDescent="0.2"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</row>
    <row r="128" spans="2:25" x14ac:dyDescent="0.2"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</row>
    <row r="129" spans="2:25" x14ac:dyDescent="0.2"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</row>
    <row r="130" spans="2:25" x14ac:dyDescent="0.2"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</row>
    <row r="131" spans="2:25" x14ac:dyDescent="0.2"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</row>
    <row r="132" spans="2:25" x14ac:dyDescent="0.2"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</row>
    <row r="133" spans="2:25" x14ac:dyDescent="0.2"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</row>
    <row r="134" spans="2:25" x14ac:dyDescent="0.2"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</row>
    <row r="135" spans="2:25" x14ac:dyDescent="0.2"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</row>
    <row r="136" spans="2:25" x14ac:dyDescent="0.2"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</row>
    <row r="137" spans="2:25" x14ac:dyDescent="0.2"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</row>
    <row r="138" spans="2:25" x14ac:dyDescent="0.2"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</row>
    <row r="139" spans="2:25" x14ac:dyDescent="0.2"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</row>
    <row r="140" spans="2:25" x14ac:dyDescent="0.2"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</row>
    <row r="141" spans="2:25" x14ac:dyDescent="0.2"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</row>
    <row r="142" spans="2:25" x14ac:dyDescent="0.2"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</row>
    <row r="143" spans="2:25" x14ac:dyDescent="0.2"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</row>
    <row r="144" spans="2:25" x14ac:dyDescent="0.2"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</row>
    <row r="145" spans="2:25" x14ac:dyDescent="0.2"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</row>
    <row r="146" spans="2:25" x14ac:dyDescent="0.2"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</row>
    <row r="147" spans="2:25" x14ac:dyDescent="0.2"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</row>
    <row r="148" spans="2:25" x14ac:dyDescent="0.2"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</row>
    <row r="149" spans="2:25" x14ac:dyDescent="0.2"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</row>
    <row r="150" spans="2:25" x14ac:dyDescent="0.2"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</row>
    <row r="151" spans="2:25" x14ac:dyDescent="0.2"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</row>
    <row r="152" spans="2:25" x14ac:dyDescent="0.2"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</row>
    <row r="153" spans="2:25" x14ac:dyDescent="0.2"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</row>
    <row r="154" spans="2:25" x14ac:dyDescent="0.2"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</row>
    <row r="155" spans="2:25" x14ac:dyDescent="0.2"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</row>
    <row r="156" spans="2:25" x14ac:dyDescent="0.2"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</row>
    <row r="157" spans="2:25" x14ac:dyDescent="0.2"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</row>
    <row r="158" spans="2:25" x14ac:dyDescent="0.2"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</row>
    <row r="159" spans="2:25" x14ac:dyDescent="0.2"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</row>
    <row r="160" spans="2:25" x14ac:dyDescent="0.2"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</row>
    <row r="161" spans="2:25" x14ac:dyDescent="0.2"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</row>
    <row r="162" spans="2:25" x14ac:dyDescent="0.2"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</row>
    <row r="163" spans="2:25" x14ac:dyDescent="0.2"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</row>
    <row r="164" spans="2:25" x14ac:dyDescent="0.2"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</row>
    <row r="165" spans="2:25" x14ac:dyDescent="0.2"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</row>
    <row r="166" spans="2:25" x14ac:dyDescent="0.2"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</row>
    <row r="167" spans="2:25" x14ac:dyDescent="0.2"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</row>
    <row r="168" spans="2:25" x14ac:dyDescent="0.2"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</row>
    <row r="169" spans="2:25" x14ac:dyDescent="0.2"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</row>
    <row r="170" spans="2:25" x14ac:dyDescent="0.2"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</row>
    <row r="171" spans="2:25" x14ac:dyDescent="0.2"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</row>
    <row r="172" spans="2:25" x14ac:dyDescent="0.2"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</row>
    <row r="173" spans="2:25" x14ac:dyDescent="0.2"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</row>
    <row r="174" spans="2:25" x14ac:dyDescent="0.2"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</row>
    <row r="175" spans="2:25" x14ac:dyDescent="0.2"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</row>
    <row r="176" spans="2:25" x14ac:dyDescent="0.2"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</row>
    <row r="177" spans="2:25" x14ac:dyDescent="0.2"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</row>
    <row r="178" spans="2:25" x14ac:dyDescent="0.2"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</row>
    <row r="179" spans="2:25" x14ac:dyDescent="0.2"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</row>
    <row r="180" spans="2:25" x14ac:dyDescent="0.2"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</row>
    <row r="181" spans="2:25" x14ac:dyDescent="0.2"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</row>
    <row r="182" spans="2:25" x14ac:dyDescent="0.2"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</row>
    <row r="183" spans="2:25" x14ac:dyDescent="0.2"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</row>
    <row r="184" spans="2:25" x14ac:dyDescent="0.2"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</row>
    <row r="185" spans="2:25" x14ac:dyDescent="0.2"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</row>
    <row r="186" spans="2:25" x14ac:dyDescent="0.2"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</row>
    <row r="187" spans="2:25" x14ac:dyDescent="0.2"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</row>
    <row r="188" spans="2:25" x14ac:dyDescent="0.2"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</row>
    <row r="189" spans="2:25" x14ac:dyDescent="0.2"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</row>
    <row r="190" spans="2:25" x14ac:dyDescent="0.2"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</row>
    <row r="191" spans="2:25" x14ac:dyDescent="0.2"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</row>
    <row r="192" spans="2:25" x14ac:dyDescent="0.2"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</row>
    <row r="193" spans="2:25" x14ac:dyDescent="0.2"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</row>
    <row r="194" spans="2:25" x14ac:dyDescent="0.2"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</row>
    <row r="195" spans="2:25" x14ac:dyDescent="0.2"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</row>
    <row r="196" spans="2:25" x14ac:dyDescent="0.2"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</row>
    <row r="197" spans="2:25" x14ac:dyDescent="0.2"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</row>
    <row r="198" spans="2:25" x14ac:dyDescent="0.2"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</row>
    <row r="199" spans="2:25" x14ac:dyDescent="0.2"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</row>
    <row r="200" spans="2:25" x14ac:dyDescent="0.2"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</row>
    <row r="201" spans="2:25" x14ac:dyDescent="0.2"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</row>
    <row r="202" spans="2:25" x14ac:dyDescent="0.2"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</row>
    <row r="203" spans="2:25" x14ac:dyDescent="0.2"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</row>
    <row r="204" spans="2:25" x14ac:dyDescent="0.2"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</row>
    <row r="205" spans="2:25" x14ac:dyDescent="0.2"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</row>
    <row r="206" spans="2:25" x14ac:dyDescent="0.2"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</row>
    <row r="207" spans="2:25" x14ac:dyDescent="0.2"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</row>
    <row r="208" spans="2:25" x14ac:dyDescent="0.2"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</row>
    <row r="209" spans="2:25" x14ac:dyDescent="0.2"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</row>
    <row r="210" spans="2:25" x14ac:dyDescent="0.2"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</row>
    <row r="211" spans="2:25" x14ac:dyDescent="0.2"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</row>
    <row r="212" spans="2:25" x14ac:dyDescent="0.2"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</row>
    <row r="213" spans="2:25" x14ac:dyDescent="0.2"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</row>
    <row r="214" spans="2:25" x14ac:dyDescent="0.2"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</row>
    <row r="215" spans="2:25" x14ac:dyDescent="0.2"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</row>
    <row r="216" spans="2:25" x14ac:dyDescent="0.2"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</row>
    <row r="217" spans="2:25" x14ac:dyDescent="0.2"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</row>
    <row r="218" spans="2:25" x14ac:dyDescent="0.2"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</row>
    <row r="219" spans="2:25" x14ac:dyDescent="0.2"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</row>
    <row r="220" spans="2:25" x14ac:dyDescent="0.2"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</row>
    <row r="221" spans="2:25" x14ac:dyDescent="0.2"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</row>
    <row r="222" spans="2:25" x14ac:dyDescent="0.2"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</row>
    <row r="223" spans="2:25" x14ac:dyDescent="0.2"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</row>
    <row r="224" spans="2:25" x14ac:dyDescent="0.2"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</row>
    <row r="225" spans="2:25" x14ac:dyDescent="0.2"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</row>
    <row r="226" spans="2:25" x14ac:dyDescent="0.2"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</row>
    <row r="227" spans="2:25" x14ac:dyDescent="0.2"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</row>
    <row r="228" spans="2:25" x14ac:dyDescent="0.2"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</row>
    <row r="229" spans="2:25" x14ac:dyDescent="0.2"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</row>
    <row r="230" spans="2:25" x14ac:dyDescent="0.2"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</row>
    <row r="231" spans="2:25" x14ac:dyDescent="0.2"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</row>
    <row r="232" spans="2:25" x14ac:dyDescent="0.2"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</row>
    <row r="233" spans="2:25" x14ac:dyDescent="0.2"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</row>
    <row r="234" spans="2:25" x14ac:dyDescent="0.2"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</row>
    <row r="235" spans="2:25" x14ac:dyDescent="0.2"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</row>
    <row r="236" spans="2:25" x14ac:dyDescent="0.2"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</row>
    <row r="237" spans="2:25" x14ac:dyDescent="0.2"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</row>
    <row r="238" spans="2:25" x14ac:dyDescent="0.2"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</row>
    <row r="239" spans="2:25" x14ac:dyDescent="0.2"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</row>
    <row r="240" spans="2:25" x14ac:dyDescent="0.2"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</row>
    <row r="241" spans="2:25" x14ac:dyDescent="0.2"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</row>
    <row r="242" spans="2:25" x14ac:dyDescent="0.2"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</row>
    <row r="243" spans="2:25" x14ac:dyDescent="0.2"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</row>
    <row r="244" spans="2:25" x14ac:dyDescent="0.2"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</row>
    <row r="245" spans="2:25" x14ac:dyDescent="0.2"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</row>
    <row r="246" spans="2:25" x14ac:dyDescent="0.2"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</row>
    <row r="247" spans="2:25" x14ac:dyDescent="0.2"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</row>
    <row r="248" spans="2:25" x14ac:dyDescent="0.2"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</row>
    <row r="249" spans="2:25" x14ac:dyDescent="0.2"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</row>
    <row r="250" spans="2:25" x14ac:dyDescent="0.2"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</row>
    <row r="251" spans="2:25" x14ac:dyDescent="0.2"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</row>
    <row r="252" spans="2:25" x14ac:dyDescent="0.2"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</row>
    <row r="253" spans="2:25" x14ac:dyDescent="0.2"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</row>
    <row r="254" spans="2:25" x14ac:dyDescent="0.2"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</row>
    <row r="255" spans="2:25" x14ac:dyDescent="0.2"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</row>
    <row r="256" spans="2:25" x14ac:dyDescent="0.2"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</row>
    <row r="257" spans="2:25" x14ac:dyDescent="0.2"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</row>
    <row r="258" spans="2:25" x14ac:dyDescent="0.2"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</row>
    <row r="259" spans="2:25" x14ac:dyDescent="0.2"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</row>
    <row r="260" spans="2:25" x14ac:dyDescent="0.2"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</row>
    <row r="261" spans="2:25" x14ac:dyDescent="0.2"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</row>
    <row r="262" spans="2:25" x14ac:dyDescent="0.2"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</row>
    <row r="263" spans="2:25" x14ac:dyDescent="0.2"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</row>
    <row r="264" spans="2:25" x14ac:dyDescent="0.2"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</row>
    <row r="265" spans="2:25" x14ac:dyDescent="0.2"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</row>
    <row r="266" spans="2:25" x14ac:dyDescent="0.2"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</row>
    <row r="267" spans="2:25" x14ac:dyDescent="0.2"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</row>
    <row r="268" spans="2:25" x14ac:dyDescent="0.2"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</row>
    <row r="269" spans="2:25" x14ac:dyDescent="0.2"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</row>
    <row r="270" spans="2:25" x14ac:dyDescent="0.2"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</row>
    <row r="271" spans="2:25" x14ac:dyDescent="0.2"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</row>
    <row r="272" spans="2:25" x14ac:dyDescent="0.2"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</row>
    <row r="273" spans="2:25" x14ac:dyDescent="0.2"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</row>
    <row r="274" spans="2:25" x14ac:dyDescent="0.2"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</row>
    <row r="275" spans="2:25" x14ac:dyDescent="0.2"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</row>
    <row r="276" spans="2:25" x14ac:dyDescent="0.2"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</row>
    <row r="277" spans="2:25" x14ac:dyDescent="0.2"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</row>
    <row r="278" spans="2:25" x14ac:dyDescent="0.2"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</row>
    <row r="279" spans="2:25" x14ac:dyDescent="0.2"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</row>
    <row r="280" spans="2:25" x14ac:dyDescent="0.2"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</row>
    <row r="281" spans="2:25" x14ac:dyDescent="0.2"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</row>
    <row r="282" spans="2:25" x14ac:dyDescent="0.2"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</row>
    <row r="283" spans="2:25" x14ac:dyDescent="0.2"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</row>
    <row r="284" spans="2:25" x14ac:dyDescent="0.2"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</row>
    <row r="285" spans="2:25" x14ac:dyDescent="0.2"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</row>
    <row r="286" spans="2:25" x14ac:dyDescent="0.2"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</row>
    <row r="287" spans="2:25" x14ac:dyDescent="0.2"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</row>
    <row r="288" spans="2:25" x14ac:dyDescent="0.2"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</row>
    <row r="289" spans="2:25" x14ac:dyDescent="0.2"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</row>
    <row r="290" spans="2:25" x14ac:dyDescent="0.2"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</row>
    <row r="291" spans="2:25" x14ac:dyDescent="0.2"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</row>
    <row r="292" spans="2:25" x14ac:dyDescent="0.2"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</row>
    <row r="293" spans="2:25" x14ac:dyDescent="0.2"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</row>
    <row r="294" spans="2:25" x14ac:dyDescent="0.2"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</row>
    <row r="295" spans="2:25" x14ac:dyDescent="0.2"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</row>
    <row r="296" spans="2:25" x14ac:dyDescent="0.2"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</row>
    <row r="297" spans="2:25" x14ac:dyDescent="0.2"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</row>
    <row r="298" spans="2:25" x14ac:dyDescent="0.2"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</row>
    <row r="299" spans="2:25" x14ac:dyDescent="0.2"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</row>
    <row r="300" spans="2:25" x14ac:dyDescent="0.2"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</row>
    <row r="301" spans="2:25" x14ac:dyDescent="0.2"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</row>
    <row r="302" spans="2:25" x14ac:dyDescent="0.2"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</row>
    <row r="303" spans="2:25" x14ac:dyDescent="0.2"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</row>
    <row r="304" spans="2:25" x14ac:dyDescent="0.2"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</row>
    <row r="305" spans="2:25" x14ac:dyDescent="0.2"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</row>
    <row r="306" spans="2:25" x14ac:dyDescent="0.2"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</row>
    <row r="307" spans="2:25" x14ac:dyDescent="0.2"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</row>
    <row r="308" spans="2:25" x14ac:dyDescent="0.2"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</row>
    <row r="309" spans="2:25" x14ac:dyDescent="0.2"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</row>
    <row r="310" spans="2:25" x14ac:dyDescent="0.2"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</row>
    <row r="311" spans="2:25" x14ac:dyDescent="0.2"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</row>
    <row r="312" spans="2:25" x14ac:dyDescent="0.2"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</row>
    <row r="313" spans="2:25" x14ac:dyDescent="0.2"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</row>
    <row r="314" spans="2:25" x14ac:dyDescent="0.2"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</row>
    <row r="315" spans="2:25" x14ac:dyDescent="0.2"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</row>
    <row r="316" spans="2:25" x14ac:dyDescent="0.2"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</row>
    <row r="317" spans="2:25" x14ac:dyDescent="0.2"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</row>
    <row r="318" spans="2:25" x14ac:dyDescent="0.2"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</row>
    <row r="319" spans="2:25" x14ac:dyDescent="0.2"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</row>
    <row r="320" spans="2:25" x14ac:dyDescent="0.2"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</row>
    <row r="321" spans="2:25" x14ac:dyDescent="0.2"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</row>
    <row r="322" spans="2:25" x14ac:dyDescent="0.2"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</row>
    <row r="323" spans="2:25" x14ac:dyDescent="0.2"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</row>
    <row r="324" spans="2:25" x14ac:dyDescent="0.2"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</row>
    <row r="325" spans="2:25" x14ac:dyDescent="0.2"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</row>
    <row r="326" spans="2:25" x14ac:dyDescent="0.2"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</row>
    <row r="327" spans="2:25" x14ac:dyDescent="0.2"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</row>
    <row r="328" spans="2:25" x14ac:dyDescent="0.2"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</row>
    <row r="329" spans="2:25" x14ac:dyDescent="0.2"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</row>
    <row r="330" spans="2:25" x14ac:dyDescent="0.2"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</row>
    <row r="331" spans="2:25" x14ac:dyDescent="0.2"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</row>
    <row r="332" spans="2:25" x14ac:dyDescent="0.2"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</row>
    <row r="333" spans="2:25" x14ac:dyDescent="0.2"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</row>
    <row r="334" spans="2:25" x14ac:dyDescent="0.2"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</row>
    <row r="335" spans="2:25" x14ac:dyDescent="0.2"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</row>
    <row r="336" spans="2:25" x14ac:dyDescent="0.2"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</row>
    <row r="337" spans="2:25" x14ac:dyDescent="0.2"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</row>
    <row r="338" spans="2:25" x14ac:dyDescent="0.2"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</row>
    <row r="339" spans="2:25" x14ac:dyDescent="0.2"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</row>
    <row r="340" spans="2:25" x14ac:dyDescent="0.2"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</row>
    <row r="341" spans="2:25" x14ac:dyDescent="0.2"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</row>
    <row r="342" spans="2:25" x14ac:dyDescent="0.2"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</row>
    <row r="343" spans="2:25" x14ac:dyDescent="0.2"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</row>
    <row r="344" spans="2:25" x14ac:dyDescent="0.2"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</row>
    <row r="345" spans="2:25" x14ac:dyDescent="0.2"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</row>
    <row r="346" spans="2:25" x14ac:dyDescent="0.2"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</row>
    <row r="347" spans="2:25" x14ac:dyDescent="0.2"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</row>
    <row r="348" spans="2:25" x14ac:dyDescent="0.2"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</row>
    <row r="349" spans="2:25" x14ac:dyDescent="0.2"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</row>
    <row r="350" spans="2:25" x14ac:dyDescent="0.2"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</row>
    <row r="351" spans="2:25" x14ac:dyDescent="0.2"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</row>
    <row r="352" spans="2:25" x14ac:dyDescent="0.2"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</row>
    <row r="353" spans="2:25" x14ac:dyDescent="0.2"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</row>
    <row r="354" spans="2:25" x14ac:dyDescent="0.2"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</row>
    <row r="355" spans="2:25" x14ac:dyDescent="0.2"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</row>
    <row r="356" spans="2:25" x14ac:dyDescent="0.2"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</row>
    <row r="357" spans="2:25" x14ac:dyDescent="0.2"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</row>
    <row r="358" spans="2:25" x14ac:dyDescent="0.2"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</row>
    <row r="359" spans="2:25" x14ac:dyDescent="0.2"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</row>
    <row r="360" spans="2:25" x14ac:dyDescent="0.2"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</row>
    <row r="361" spans="2:25" x14ac:dyDescent="0.2"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</row>
    <row r="362" spans="2:25" x14ac:dyDescent="0.2"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</row>
    <row r="363" spans="2:25" x14ac:dyDescent="0.2"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</row>
    <row r="364" spans="2:25" x14ac:dyDescent="0.2"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</row>
    <row r="365" spans="2:25" x14ac:dyDescent="0.2"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</row>
    <row r="366" spans="2:25" x14ac:dyDescent="0.2"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</row>
    <row r="367" spans="2:25" x14ac:dyDescent="0.2"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</row>
    <row r="368" spans="2:25" x14ac:dyDescent="0.2"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</row>
    <row r="369" spans="2:25" x14ac:dyDescent="0.2"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</row>
    <row r="370" spans="2:25" x14ac:dyDescent="0.2"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</row>
    <row r="371" spans="2:25" x14ac:dyDescent="0.2"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</row>
    <row r="372" spans="2:25" x14ac:dyDescent="0.2"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</row>
    <row r="373" spans="2:25" x14ac:dyDescent="0.2"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</row>
    <row r="374" spans="2:25" x14ac:dyDescent="0.2"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</row>
    <row r="375" spans="2:25" x14ac:dyDescent="0.2"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</row>
    <row r="376" spans="2:25" x14ac:dyDescent="0.2"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</row>
    <row r="377" spans="2:25" x14ac:dyDescent="0.2"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</row>
    <row r="378" spans="2:25" x14ac:dyDescent="0.2"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</row>
    <row r="379" spans="2:25" x14ac:dyDescent="0.2"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</row>
    <row r="380" spans="2:25" x14ac:dyDescent="0.2"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</row>
    <row r="381" spans="2:25" x14ac:dyDescent="0.2"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</row>
    <row r="382" spans="2:25" x14ac:dyDescent="0.2"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</row>
    <row r="383" spans="2:25" x14ac:dyDescent="0.2"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</row>
    <row r="384" spans="2:25" x14ac:dyDescent="0.2"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</row>
    <row r="385" spans="2:25" x14ac:dyDescent="0.2"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</row>
    <row r="386" spans="2:25" x14ac:dyDescent="0.2"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</row>
    <row r="387" spans="2:25" x14ac:dyDescent="0.2"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</row>
    <row r="388" spans="2:25" x14ac:dyDescent="0.2"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</row>
    <row r="389" spans="2:25" x14ac:dyDescent="0.2"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</row>
    <row r="390" spans="2:25" x14ac:dyDescent="0.2"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</row>
    <row r="391" spans="2:25" x14ac:dyDescent="0.2"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</row>
    <row r="392" spans="2:25" x14ac:dyDescent="0.2"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</row>
    <row r="393" spans="2:25" x14ac:dyDescent="0.2"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</row>
    <row r="394" spans="2:25" x14ac:dyDescent="0.2"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</row>
    <row r="395" spans="2:25" x14ac:dyDescent="0.2"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</row>
    <row r="396" spans="2:25" x14ac:dyDescent="0.2"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</row>
    <row r="397" spans="2:25" x14ac:dyDescent="0.2"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</row>
    <row r="398" spans="2:25" x14ac:dyDescent="0.2"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</row>
    <row r="399" spans="2:25" x14ac:dyDescent="0.2"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</row>
    <row r="400" spans="2:25" x14ac:dyDescent="0.2"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</row>
    <row r="401" spans="2:25" x14ac:dyDescent="0.2"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</row>
    <row r="402" spans="2:25" x14ac:dyDescent="0.2"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</row>
    <row r="403" spans="2:25" x14ac:dyDescent="0.2"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</row>
    <row r="404" spans="2:25" x14ac:dyDescent="0.2"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</row>
    <row r="405" spans="2:25" x14ac:dyDescent="0.2"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</row>
    <row r="406" spans="2:25" x14ac:dyDescent="0.2"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</row>
    <row r="407" spans="2:25" x14ac:dyDescent="0.2"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</row>
    <row r="408" spans="2:25" x14ac:dyDescent="0.2"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</row>
    <row r="409" spans="2:25" x14ac:dyDescent="0.2"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</row>
    <row r="410" spans="2:25" x14ac:dyDescent="0.2"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</row>
    <row r="411" spans="2:25" x14ac:dyDescent="0.2"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</row>
    <row r="412" spans="2:25" x14ac:dyDescent="0.2"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</row>
    <row r="413" spans="2:25" x14ac:dyDescent="0.2"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</row>
    <row r="414" spans="2:25" x14ac:dyDescent="0.2"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</row>
    <row r="415" spans="2:25" x14ac:dyDescent="0.2"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</row>
    <row r="416" spans="2:25" x14ac:dyDescent="0.2"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</row>
    <row r="417" spans="2:25" x14ac:dyDescent="0.2"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</row>
    <row r="418" spans="2:25" x14ac:dyDescent="0.2"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</row>
    <row r="419" spans="2:25" x14ac:dyDescent="0.2"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</row>
    <row r="420" spans="2:25" x14ac:dyDescent="0.2"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</row>
    <row r="421" spans="2:25" x14ac:dyDescent="0.2"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</row>
    <row r="422" spans="2:25" x14ac:dyDescent="0.2"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</row>
    <row r="423" spans="2:25" x14ac:dyDescent="0.2"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</row>
    <row r="424" spans="2:25" x14ac:dyDescent="0.2"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</row>
    <row r="425" spans="2:25" x14ac:dyDescent="0.2"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</row>
    <row r="426" spans="2:25" x14ac:dyDescent="0.2"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</row>
    <row r="427" spans="2:25" x14ac:dyDescent="0.2"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</row>
    <row r="428" spans="2:25" x14ac:dyDescent="0.2"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</row>
    <row r="429" spans="2:25" x14ac:dyDescent="0.2"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</row>
    <row r="430" spans="2:25" x14ac:dyDescent="0.2"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</row>
    <row r="431" spans="2:25" x14ac:dyDescent="0.2"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</row>
    <row r="432" spans="2:25" x14ac:dyDescent="0.2"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</row>
    <row r="433" spans="2:25" x14ac:dyDescent="0.2"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</row>
    <row r="434" spans="2:25" x14ac:dyDescent="0.2"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</row>
    <row r="435" spans="2:25" x14ac:dyDescent="0.2"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</row>
    <row r="436" spans="2:25" x14ac:dyDescent="0.2"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</row>
    <row r="437" spans="2:25" x14ac:dyDescent="0.2"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</row>
    <row r="438" spans="2:25" x14ac:dyDescent="0.2"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</row>
    <row r="439" spans="2:25" x14ac:dyDescent="0.2"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</row>
    <row r="440" spans="2:25" x14ac:dyDescent="0.2"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</row>
    <row r="441" spans="2:25" x14ac:dyDescent="0.2"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</row>
    <row r="442" spans="2:25" x14ac:dyDescent="0.2"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</row>
    <row r="443" spans="2:25" x14ac:dyDescent="0.2"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</row>
    <row r="444" spans="2:25" x14ac:dyDescent="0.2"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</row>
    <row r="445" spans="2:25" x14ac:dyDescent="0.2"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</row>
    <row r="446" spans="2:25" x14ac:dyDescent="0.2"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</row>
    <row r="447" spans="2:25" x14ac:dyDescent="0.2"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</row>
    <row r="448" spans="2:25" x14ac:dyDescent="0.2"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</row>
    <row r="449" spans="2:25" x14ac:dyDescent="0.2"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</row>
    <row r="450" spans="2:25" x14ac:dyDescent="0.2"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</row>
    <row r="451" spans="2:25" x14ac:dyDescent="0.2"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</row>
    <row r="452" spans="2:25" x14ac:dyDescent="0.2"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</row>
    <row r="453" spans="2:25" x14ac:dyDescent="0.2"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</row>
    <row r="454" spans="2:25" x14ac:dyDescent="0.2"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</row>
    <row r="455" spans="2:25" x14ac:dyDescent="0.2"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</row>
    <row r="456" spans="2:25" x14ac:dyDescent="0.2"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</row>
    <row r="457" spans="2:25" x14ac:dyDescent="0.2"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</row>
    <row r="458" spans="2:25" x14ac:dyDescent="0.2"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</row>
    <row r="459" spans="2:25" x14ac:dyDescent="0.2"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</row>
    <row r="460" spans="2:25" x14ac:dyDescent="0.2"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</row>
    <row r="461" spans="2:25" x14ac:dyDescent="0.2"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</row>
    <row r="462" spans="2:25" x14ac:dyDescent="0.2"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</row>
    <row r="463" spans="2:25" x14ac:dyDescent="0.2"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</row>
    <row r="464" spans="2:25" x14ac:dyDescent="0.2"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</row>
    <row r="465" spans="2:25" x14ac:dyDescent="0.2"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</row>
    <row r="466" spans="2:25" x14ac:dyDescent="0.2"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</row>
    <row r="467" spans="2:25" x14ac:dyDescent="0.2"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</row>
    <row r="468" spans="2:25" x14ac:dyDescent="0.2"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</row>
    <row r="469" spans="2:25" x14ac:dyDescent="0.2"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</row>
    <row r="470" spans="2:25" x14ac:dyDescent="0.2"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</row>
    <row r="471" spans="2:25" x14ac:dyDescent="0.2"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</row>
    <row r="472" spans="2:25" x14ac:dyDescent="0.2"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</row>
    <row r="473" spans="2:25" x14ac:dyDescent="0.2"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</row>
    <row r="474" spans="2:25" x14ac:dyDescent="0.2"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</row>
    <row r="475" spans="2:25" x14ac:dyDescent="0.2"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</row>
    <row r="476" spans="2:25" x14ac:dyDescent="0.2"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</row>
    <row r="477" spans="2:25" x14ac:dyDescent="0.2"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</row>
    <row r="478" spans="2:25" x14ac:dyDescent="0.2"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</row>
    <row r="479" spans="2:25" x14ac:dyDescent="0.2"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</row>
    <row r="480" spans="2:25" x14ac:dyDescent="0.2"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</row>
    <row r="481" spans="2:25" x14ac:dyDescent="0.2"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</row>
    <row r="482" spans="2:25" x14ac:dyDescent="0.2"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</row>
    <row r="483" spans="2:25" x14ac:dyDescent="0.2"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</row>
    <row r="484" spans="2:25" x14ac:dyDescent="0.2"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</row>
    <row r="485" spans="2:25" x14ac:dyDescent="0.2"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</row>
    <row r="486" spans="2:25" x14ac:dyDescent="0.2"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</row>
    <row r="487" spans="2:25" x14ac:dyDescent="0.2"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</row>
    <row r="488" spans="2:25" x14ac:dyDescent="0.2"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</row>
    <row r="489" spans="2:25" x14ac:dyDescent="0.2"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</row>
    <row r="490" spans="2:25" x14ac:dyDescent="0.2"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</row>
    <row r="491" spans="2:25" x14ac:dyDescent="0.2"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</row>
    <row r="492" spans="2:25" x14ac:dyDescent="0.2"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</row>
    <row r="493" spans="2:25" x14ac:dyDescent="0.2"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</row>
    <row r="494" spans="2:25" x14ac:dyDescent="0.2"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</row>
    <row r="495" spans="2:25" x14ac:dyDescent="0.2"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</row>
    <row r="496" spans="2:25" x14ac:dyDescent="0.2"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</row>
    <row r="497" spans="2:25" x14ac:dyDescent="0.2"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</row>
    <row r="498" spans="2:25" x14ac:dyDescent="0.2"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</row>
    <row r="499" spans="2:25" x14ac:dyDescent="0.2"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</row>
    <row r="500" spans="2:25" x14ac:dyDescent="0.2"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</row>
    <row r="501" spans="2:25" x14ac:dyDescent="0.2"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</row>
    <row r="502" spans="2:25" x14ac:dyDescent="0.2"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</row>
    <row r="503" spans="2:25" x14ac:dyDescent="0.2"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</row>
    <row r="504" spans="2:25" x14ac:dyDescent="0.2"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</row>
    <row r="505" spans="2:25" x14ac:dyDescent="0.2"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</row>
    <row r="506" spans="2:25" x14ac:dyDescent="0.2"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</row>
    <row r="507" spans="2:25" x14ac:dyDescent="0.2"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</row>
    <row r="508" spans="2:25" x14ac:dyDescent="0.2"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</row>
    <row r="509" spans="2:25" x14ac:dyDescent="0.2"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</row>
    <row r="510" spans="2:25" x14ac:dyDescent="0.2"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</row>
    <row r="511" spans="2:25" x14ac:dyDescent="0.2"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</row>
    <row r="512" spans="2:25" x14ac:dyDescent="0.2"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</row>
    <row r="513" spans="2:25" x14ac:dyDescent="0.2"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</row>
    <row r="514" spans="2:25" x14ac:dyDescent="0.2"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</row>
    <row r="515" spans="2:25" x14ac:dyDescent="0.2"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</row>
    <row r="516" spans="2:25" x14ac:dyDescent="0.2"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</row>
    <row r="517" spans="2:25" x14ac:dyDescent="0.2"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</row>
    <row r="518" spans="2:25" x14ac:dyDescent="0.2"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</row>
    <row r="519" spans="2:25" x14ac:dyDescent="0.2"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</row>
    <row r="520" spans="2:25" x14ac:dyDescent="0.2"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</row>
    <row r="521" spans="2:25" x14ac:dyDescent="0.2"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</row>
    <row r="522" spans="2:25" x14ac:dyDescent="0.2"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</row>
    <row r="523" spans="2:25" x14ac:dyDescent="0.2"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</row>
    <row r="524" spans="2:25" x14ac:dyDescent="0.2"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</row>
    <row r="525" spans="2:25" x14ac:dyDescent="0.2"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</row>
    <row r="526" spans="2:25" x14ac:dyDescent="0.2"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</row>
    <row r="527" spans="2:25" x14ac:dyDescent="0.2"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</row>
    <row r="528" spans="2:25" x14ac:dyDescent="0.2"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</row>
    <row r="529" spans="2:25" x14ac:dyDescent="0.2"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</row>
    <row r="530" spans="2:25" x14ac:dyDescent="0.2"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</row>
    <row r="531" spans="2:25" x14ac:dyDescent="0.2"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</row>
    <row r="532" spans="2:25" x14ac:dyDescent="0.2"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</row>
    <row r="533" spans="2:25" x14ac:dyDescent="0.2"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</row>
    <row r="534" spans="2:25" x14ac:dyDescent="0.2"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</row>
    <row r="535" spans="2:25" x14ac:dyDescent="0.2"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</row>
    <row r="536" spans="2:25" x14ac:dyDescent="0.2"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</row>
    <row r="537" spans="2:25" x14ac:dyDescent="0.2"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</row>
    <row r="538" spans="2:25" x14ac:dyDescent="0.2"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</row>
    <row r="539" spans="2:25" x14ac:dyDescent="0.2"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</row>
    <row r="540" spans="2:25" x14ac:dyDescent="0.2"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</row>
    <row r="541" spans="2:25" x14ac:dyDescent="0.2"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</row>
    <row r="542" spans="2:25" x14ac:dyDescent="0.2"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</row>
    <row r="543" spans="2:25" x14ac:dyDescent="0.2"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</row>
    <row r="544" spans="2:25" x14ac:dyDescent="0.2"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</row>
    <row r="545" spans="2:25" x14ac:dyDescent="0.2"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</row>
    <row r="546" spans="2:25" x14ac:dyDescent="0.2"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</row>
    <row r="547" spans="2:25" x14ac:dyDescent="0.2"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</row>
    <row r="548" spans="2:25" x14ac:dyDescent="0.2"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</row>
    <row r="549" spans="2:25" x14ac:dyDescent="0.2"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</row>
    <row r="550" spans="2:25" x14ac:dyDescent="0.2"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</row>
    <row r="551" spans="2:25" x14ac:dyDescent="0.2"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</row>
    <row r="552" spans="2:25" x14ac:dyDescent="0.2"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</row>
    <row r="553" spans="2:25" x14ac:dyDescent="0.2"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</row>
    <row r="554" spans="2:25" x14ac:dyDescent="0.2"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</row>
    <row r="555" spans="2:25" x14ac:dyDescent="0.2"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</row>
    <row r="556" spans="2:25" x14ac:dyDescent="0.2"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</row>
    <row r="557" spans="2:25" x14ac:dyDescent="0.2"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</row>
    <row r="558" spans="2:25" x14ac:dyDescent="0.2"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</row>
    <row r="559" spans="2:25" x14ac:dyDescent="0.2"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</row>
    <row r="560" spans="2:25" x14ac:dyDescent="0.2"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</row>
    <row r="561" spans="2:25" x14ac:dyDescent="0.2"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</row>
    <row r="562" spans="2:25" x14ac:dyDescent="0.2"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</row>
    <row r="563" spans="2:25" x14ac:dyDescent="0.2"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</row>
    <row r="564" spans="2:25" x14ac:dyDescent="0.2"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</row>
    <row r="565" spans="2:25" x14ac:dyDescent="0.2"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</row>
    <row r="566" spans="2:25" x14ac:dyDescent="0.2"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</row>
    <row r="567" spans="2:25" x14ac:dyDescent="0.2"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</row>
    <row r="568" spans="2:25" x14ac:dyDescent="0.2"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</row>
    <row r="569" spans="2:25" x14ac:dyDescent="0.2"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</row>
    <row r="570" spans="2:25" x14ac:dyDescent="0.2"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</row>
    <row r="571" spans="2:25" x14ac:dyDescent="0.2"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</row>
    <row r="572" spans="2:25" x14ac:dyDescent="0.2"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</row>
    <row r="573" spans="2:25" x14ac:dyDescent="0.2"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</row>
    <row r="574" spans="2:25" x14ac:dyDescent="0.2"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</row>
    <row r="575" spans="2:25" x14ac:dyDescent="0.2"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</row>
    <row r="576" spans="2:25" x14ac:dyDescent="0.2"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</row>
    <row r="577" spans="2:25" x14ac:dyDescent="0.2"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</row>
    <row r="578" spans="2:25" x14ac:dyDescent="0.2"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</row>
    <row r="579" spans="2:25" x14ac:dyDescent="0.2"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</row>
    <row r="580" spans="2:25" x14ac:dyDescent="0.2"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</row>
    <row r="581" spans="2:25" x14ac:dyDescent="0.2"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</row>
    <row r="582" spans="2:25" x14ac:dyDescent="0.2"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</row>
    <row r="583" spans="2:25" x14ac:dyDescent="0.2"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</row>
    <row r="584" spans="2:25" x14ac:dyDescent="0.2"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</row>
    <row r="585" spans="2:25" x14ac:dyDescent="0.2"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</row>
    <row r="586" spans="2:25" x14ac:dyDescent="0.2"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</row>
    <row r="587" spans="2:25" x14ac:dyDescent="0.2"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</row>
    <row r="588" spans="2:25" x14ac:dyDescent="0.2"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</row>
    <row r="589" spans="2:25" x14ac:dyDescent="0.2"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</row>
    <row r="590" spans="2:25" x14ac:dyDescent="0.2"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</row>
    <row r="591" spans="2:25" x14ac:dyDescent="0.2"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</row>
    <row r="592" spans="2:25" x14ac:dyDescent="0.2"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</row>
    <row r="593" spans="2:25" x14ac:dyDescent="0.2"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</row>
    <row r="594" spans="2:25" x14ac:dyDescent="0.2"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</row>
    <row r="595" spans="2:25" x14ac:dyDescent="0.2"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</row>
    <row r="596" spans="2:25" x14ac:dyDescent="0.2"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</row>
    <row r="597" spans="2:25" x14ac:dyDescent="0.2"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</row>
    <row r="598" spans="2:25" x14ac:dyDescent="0.2"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</row>
    <row r="599" spans="2:25" x14ac:dyDescent="0.2"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</row>
    <row r="600" spans="2:25" x14ac:dyDescent="0.2"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</row>
    <row r="601" spans="2:25" x14ac:dyDescent="0.2"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</row>
    <row r="602" spans="2:25" x14ac:dyDescent="0.2"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</row>
    <row r="603" spans="2:25" x14ac:dyDescent="0.2"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</row>
    <row r="604" spans="2:25" x14ac:dyDescent="0.2"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</row>
    <row r="605" spans="2:25" x14ac:dyDescent="0.2"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</row>
    <row r="606" spans="2:25" x14ac:dyDescent="0.2"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</row>
    <row r="607" spans="2:25" x14ac:dyDescent="0.2"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</row>
    <row r="608" spans="2:25" x14ac:dyDescent="0.2"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</row>
    <row r="609" spans="2:25" x14ac:dyDescent="0.2"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</row>
    <row r="610" spans="2:25" x14ac:dyDescent="0.2"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</row>
    <row r="611" spans="2:25" x14ac:dyDescent="0.2"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</row>
    <row r="612" spans="2:25" x14ac:dyDescent="0.2"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</row>
    <row r="613" spans="2:25" x14ac:dyDescent="0.2"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</row>
    <row r="614" spans="2:25" x14ac:dyDescent="0.2"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</row>
    <row r="615" spans="2:25" x14ac:dyDescent="0.2"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</row>
    <row r="616" spans="2:25" x14ac:dyDescent="0.2"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</row>
    <row r="617" spans="2:25" x14ac:dyDescent="0.2"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</row>
    <row r="618" spans="2:25" x14ac:dyDescent="0.2"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</row>
    <row r="619" spans="2:25" x14ac:dyDescent="0.2"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</row>
    <row r="620" spans="2:25" x14ac:dyDescent="0.2"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</row>
    <row r="621" spans="2:25" x14ac:dyDescent="0.2"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</row>
    <row r="622" spans="2:25" x14ac:dyDescent="0.2"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</row>
    <row r="623" spans="2:25" x14ac:dyDescent="0.2"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</row>
    <row r="624" spans="2:25" x14ac:dyDescent="0.2"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</row>
    <row r="625" spans="2:25" x14ac:dyDescent="0.2"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</row>
    <row r="626" spans="2:25" x14ac:dyDescent="0.2"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</row>
    <row r="627" spans="2:25" x14ac:dyDescent="0.2"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</row>
    <row r="628" spans="2:25" x14ac:dyDescent="0.2"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</row>
    <row r="629" spans="2:25" x14ac:dyDescent="0.2"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</row>
    <row r="630" spans="2:25" x14ac:dyDescent="0.2"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</row>
    <row r="631" spans="2:25" x14ac:dyDescent="0.2"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</row>
    <row r="632" spans="2:25" x14ac:dyDescent="0.2"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</row>
    <row r="633" spans="2:25" x14ac:dyDescent="0.2"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</row>
    <row r="634" spans="2:25" x14ac:dyDescent="0.2"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</row>
    <row r="635" spans="2:25" x14ac:dyDescent="0.2"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</row>
    <row r="636" spans="2:25" x14ac:dyDescent="0.2"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</row>
    <row r="637" spans="2:25" x14ac:dyDescent="0.2"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</row>
    <row r="638" spans="2:25" x14ac:dyDescent="0.2"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</row>
    <row r="639" spans="2:25" x14ac:dyDescent="0.2"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</row>
    <row r="640" spans="2:25" x14ac:dyDescent="0.2"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</row>
    <row r="641" spans="2:25" x14ac:dyDescent="0.2"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</row>
    <row r="642" spans="2:25" x14ac:dyDescent="0.2"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</row>
    <row r="643" spans="2:25" x14ac:dyDescent="0.2"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</row>
    <row r="644" spans="2:25" x14ac:dyDescent="0.2"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</row>
    <row r="645" spans="2:25" x14ac:dyDescent="0.2"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</row>
    <row r="646" spans="2:25" x14ac:dyDescent="0.2"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</row>
    <row r="647" spans="2:25" x14ac:dyDescent="0.2"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</row>
    <row r="648" spans="2:25" x14ac:dyDescent="0.2"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</row>
    <row r="649" spans="2:25" x14ac:dyDescent="0.2"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</row>
    <row r="650" spans="2:25" x14ac:dyDescent="0.2"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</row>
    <row r="651" spans="2:25" x14ac:dyDescent="0.2"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</row>
    <row r="652" spans="2:25" x14ac:dyDescent="0.2"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</row>
    <row r="653" spans="2:25" x14ac:dyDescent="0.2"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</row>
    <row r="654" spans="2:25" x14ac:dyDescent="0.2"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</row>
    <row r="655" spans="2:25" x14ac:dyDescent="0.2"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</row>
    <row r="656" spans="2:25" x14ac:dyDescent="0.2"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</row>
    <row r="657" spans="2:25" x14ac:dyDescent="0.2"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</row>
    <row r="658" spans="2:25" x14ac:dyDescent="0.2"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</row>
    <row r="659" spans="2:25" x14ac:dyDescent="0.2"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</row>
    <row r="660" spans="2:25" x14ac:dyDescent="0.2"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</row>
    <row r="661" spans="2:25" x14ac:dyDescent="0.2"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</row>
    <row r="662" spans="2:25" x14ac:dyDescent="0.2"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</row>
    <row r="663" spans="2:25" x14ac:dyDescent="0.2"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</row>
    <row r="664" spans="2:25" x14ac:dyDescent="0.2"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</row>
    <row r="665" spans="2:25" x14ac:dyDescent="0.2"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</row>
    <row r="666" spans="2:25" x14ac:dyDescent="0.2"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</row>
    <row r="667" spans="2:25" x14ac:dyDescent="0.2"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</row>
    <row r="668" spans="2:25" x14ac:dyDescent="0.2"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</row>
    <row r="669" spans="2:25" x14ac:dyDescent="0.2"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</row>
    <row r="670" spans="2:25" x14ac:dyDescent="0.2"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</row>
    <row r="671" spans="2:25" x14ac:dyDescent="0.2"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</row>
    <row r="672" spans="2:25" x14ac:dyDescent="0.2"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</row>
    <row r="673" spans="2:25" x14ac:dyDescent="0.2"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</row>
    <row r="674" spans="2:25" x14ac:dyDescent="0.2"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</row>
    <row r="675" spans="2:25" x14ac:dyDescent="0.2"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</row>
    <row r="676" spans="2:25" x14ac:dyDescent="0.2"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</row>
    <row r="677" spans="2:25" x14ac:dyDescent="0.2"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</row>
    <row r="678" spans="2:25" x14ac:dyDescent="0.2"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</row>
    <row r="679" spans="2:25" x14ac:dyDescent="0.2"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</row>
    <row r="680" spans="2:25" x14ac:dyDescent="0.2"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</row>
    <row r="681" spans="2:25" x14ac:dyDescent="0.2"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</row>
    <row r="682" spans="2:25" x14ac:dyDescent="0.2"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</row>
    <row r="683" spans="2:25" x14ac:dyDescent="0.2"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</row>
    <row r="684" spans="2:25" x14ac:dyDescent="0.2"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</row>
    <row r="685" spans="2:25" x14ac:dyDescent="0.2"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</row>
    <row r="686" spans="2:25" x14ac:dyDescent="0.2"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</row>
    <row r="687" spans="2:25" x14ac:dyDescent="0.2"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</row>
    <row r="688" spans="2:25" x14ac:dyDescent="0.2"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</row>
    <row r="689" spans="2:25" x14ac:dyDescent="0.2"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</row>
    <row r="690" spans="2:25" x14ac:dyDescent="0.2"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</row>
    <row r="691" spans="2:25" x14ac:dyDescent="0.2"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</row>
    <row r="692" spans="2:25" x14ac:dyDescent="0.2"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</row>
    <row r="693" spans="2:25" x14ac:dyDescent="0.2"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</row>
    <row r="694" spans="2:25" x14ac:dyDescent="0.2"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</row>
    <row r="695" spans="2:25" x14ac:dyDescent="0.2"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</row>
    <row r="696" spans="2:25" x14ac:dyDescent="0.2"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</row>
    <row r="697" spans="2:25" x14ac:dyDescent="0.2"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</row>
    <row r="698" spans="2:25" x14ac:dyDescent="0.2"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</row>
    <row r="699" spans="2:25" x14ac:dyDescent="0.2"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</row>
    <row r="700" spans="2:25" x14ac:dyDescent="0.2"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</row>
    <row r="701" spans="2:25" x14ac:dyDescent="0.2"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</row>
    <row r="702" spans="2:25" x14ac:dyDescent="0.2"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</row>
    <row r="703" spans="2:25" x14ac:dyDescent="0.2"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</row>
    <row r="704" spans="2:25" x14ac:dyDescent="0.2"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</row>
    <row r="705" spans="2:25" x14ac:dyDescent="0.2"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</row>
    <row r="706" spans="2:25" x14ac:dyDescent="0.2"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</row>
    <row r="707" spans="2:25" x14ac:dyDescent="0.2"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</row>
    <row r="708" spans="2:25" x14ac:dyDescent="0.2"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</row>
    <row r="709" spans="2:25" x14ac:dyDescent="0.2"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</row>
    <row r="710" spans="2:25" x14ac:dyDescent="0.2"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</row>
    <row r="711" spans="2:25" x14ac:dyDescent="0.2"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</row>
    <row r="712" spans="2:25" x14ac:dyDescent="0.2"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</row>
    <row r="713" spans="2:25" x14ac:dyDescent="0.2"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</row>
    <row r="714" spans="2:25" x14ac:dyDescent="0.2"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</row>
    <row r="715" spans="2:25" x14ac:dyDescent="0.2"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</row>
    <row r="716" spans="2:25" x14ac:dyDescent="0.2"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</row>
    <row r="717" spans="2:25" x14ac:dyDescent="0.2"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</row>
    <row r="718" spans="2:25" x14ac:dyDescent="0.2"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</row>
    <row r="719" spans="2:25" x14ac:dyDescent="0.2"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</row>
    <row r="720" spans="2:25" x14ac:dyDescent="0.2"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</row>
    <row r="721" spans="2:25" x14ac:dyDescent="0.2"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</row>
    <row r="722" spans="2:25" x14ac:dyDescent="0.2"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</row>
    <row r="723" spans="2:25" x14ac:dyDescent="0.2"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</row>
    <row r="724" spans="2:25" x14ac:dyDescent="0.2"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</row>
    <row r="725" spans="2:25" x14ac:dyDescent="0.2"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</row>
    <row r="726" spans="2:25" x14ac:dyDescent="0.2"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</row>
    <row r="727" spans="2:25" x14ac:dyDescent="0.2"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</row>
    <row r="728" spans="2:25" x14ac:dyDescent="0.2"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</row>
    <row r="729" spans="2:25" x14ac:dyDescent="0.2"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</row>
    <row r="730" spans="2:25" x14ac:dyDescent="0.2"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</row>
    <row r="731" spans="2:25" x14ac:dyDescent="0.2"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</row>
    <row r="732" spans="2:25" x14ac:dyDescent="0.2"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</row>
    <row r="733" spans="2:25" x14ac:dyDescent="0.2"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</row>
    <row r="734" spans="2:25" x14ac:dyDescent="0.2"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</row>
    <row r="735" spans="2:25" x14ac:dyDescent="0.2"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</row>
    <row r="736" spans="2:25" x14ac:dyDescent="0.2"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</row>
    <row r="737" spans="2:25" x14ac:dyDescent="0.2"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</row>
    <row r="738" spans="2:25" x14ac:dyDescent="0.2"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</row>
    <row r="739" spans="2:25" x14ac:dyDescent="0.2"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</row>
    <row r="740" spans="2:25" x14ac:dyDescent="0.2"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</row>
    <row r="741" spans="2:25" x14ac:dyDescent="0.2"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</row>
    <row r="742" spans="2:25" x14ac:dyDescent="0.2"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</row>
    <row r="743" spans="2:25" x14ac:dyDescent="0.2"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</row>
    <row r="744" spans="2:25" x14ac:dyDescent="0.2"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</row>
    <row r="745" spans="2:25" x14ac:dyDescent="0.2"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</row>
    <row r="746" spans="2:25" x14ac:dyDescent="0.2"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</row>
    <row r="747" spans="2:25" x14ac:dyDescent="0.2"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</row>
    <row r="748" spans="2:25" x14ac:dyDescent="0.2"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</row>
    <row r="749" spans="2:25" x14ac:dyDescent="0.2"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</row>
    <row r="750" spans="2:25" x14ac:dyDescent="0.2"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</row>
    <row r="751" spans="2:25" x14ac:dyDescent="0.2"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</row>
    <row r="752" spans="2:25" x14ac:dyDescent="0.2"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</row>
    <row r="753" spans="2:25" x14ac:dyDescent="0.2"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</row>
    <row r="754" spans="2:25" x14ac:dyDescent="0.2"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</row>
    <row r="755" spans="2:25" x14ac:dyDescent="0.2"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</row>
  </sheetData>
  <mergeCells count="3">
    <mergeCell ref="B5:D5"/>
    <mergeCell ref="B7:B9"/>
    <mergeCell ref="D7:E8"/>
  </mergeCells>
  <hyperlinks>
    <hyperlink ref="E1" location="Índice!A1" tooltip="Ir a ÍNDICE" display="INDICE" xr:uid="{56FD3570-C775-44F1-BA26-F709AE6579B6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55C1E3-EB82-4FB5-991C-0B74142AC682}">
  <sheetPr>
    <pageSetUpPr fitToPage="1"/>
  </sheetPr>
  <dimension ref="A1:AA53"/>
  <sheetViews>
    <sheetView showGridLines="0" zoomScaleNormal="100" workbookViewId="0"/>
  </sheetViews>
  <sheetFormatPr baseColWidth="10" defaultColWidth="11.42578125" defaultRowHeight="14.25" x14ac:dyDescent="0.2"/>
  <cols>
    <col min="1" max="1" width="1.7109375" style="5" customWidth="1"/>
    <col min="2" max="2" width="31.140625" style="142" customWidth="1"/>
    <col min="3" max="3" width="1.7109375" style="158" customWidth="1" collapsed="1"/>
    <col min="4" max="4" width="18.7109375" style="142" customWidth="1" collapsed="1"/>
    <col min="5" max="5" width="1.7109375" style="142" customWidth="1" collapsed="1"/>
    <col min="6" max="7" width="11.42578125" style="142" customWidth="1" collapsed="1"/>
    <col min="8" max="8" width="1.7109375" style="142" customWidth="1" collapsed="1"/>
    <col min="9" max="10" width="11.42578125" style="142" customWidth="1" collapsed="1"/>
    <col min="11" max="11" width="1.7109375" style="142" customWidth="1" collapsed="1"/>
    <col min="12" max="13" width="11.42578125" style="142" customWidth="1" collapsed="1"/>
    <col min="14" max="14" width="1.7109375" style="142" customWidth="1" collapsed="1"/>
    <col min="15" max="15" width="11.42578125" style="142" customWidth="1" collapsed="1"/>
    <col min="16" max="16" width="11.42578125" style="142"/>
    <col min="17" max="17" width="1.7109375" style="142" customWidth="1"/>
    <col min="18" max="18" width="16.42578125" style="142" customWidth="1"/>
    <col min="19" max="27" width="11.42578125" style="142"/>
    <col min="28" max="16384" width="11.42578125" style="142" collapsed="1"/>
  </cols>
  <sheetData>
    <row r="1" spans="1:19" s="131" customFormat="1" ht="14.1" customHeight="1" x14ac:dyDescent="0.2">
      <c r="A1" s="66"/>
      <c r="B1" s="484" t="s">
        <v>144</v>
      </c>
      <c r="C1" s="130"/>
      <c r="S1" s="85" t="s">
        <v>118</v>
      </c>
    </row>
    <row r="2" spans="1:19" s="131" customFormat="1" ht="6.95" customHeight="1" x14ac:dyDescent="0.2">
      <c r="A2" s="66"/>
      <c r="B2" s="484"/>
      <c r="C2" s="130"/>
    </row>
    <row r="3" spans="1:19" s="131" customFormat="1" ht="14.1" customHeight="1" x14ac:dyDescent="0.2">
      <c r="A3" s="66"/>
      <c r="B3" s="484" t="s">
        <v>142</v>
      </c>
      <c r="C3" s="132"/>
      <c r="D3" s="132"/>
      <c r="E3" s="132"/>
      <c r="F3" s="132"/>
      <c r="G3" s="132"/>
    </row>
    <row r="4" spans="1:19" s="131" customFormat="1" ht="6.95" customHeight="1" x14ac:dyDescent="0.2">
      <c r="A4" s="66"/>
      <c r="C4" s="130"/>
    </row>
    <row r="5" spans="1:19" s="134" customFormat="1" ht="20.100000000000001" customHeight="1" x14ac:dyDescent="0.2">
      <c r="A5" s="66"/>
      <c r="B5" s="519" t="s">
        <v>21</v>
      </c>
      <c r="C5" s="519"/>
      <c r="D5" s="519"/>
      <c r="E5" s="519"/>
      <c r="F5" s="519"/>
      <c r="G5" s="519"/>
      <c r="H5" s="519"/>
      <c r="I5" s="519"/>
      <c r="J5" s="519"/>
      <c r="K5" s="519"/>
      <c r="L5" s="519"/>
      <c r="M5" s="519"/>
      <c r="N5" s="519"/>
      <c r="O5" s="519"/>
      <c r="P5" s="519"/>
      <c r="Q5" s="519"/>
      <c r="R5" s="133"/>
      <c r="S5" s="75" t="s">
        <v>89</v>
      </c>
    </row>
    <row r="6" spans="1:19" s="140" customFormat="1" ht="6" customHeight="1" x14ac:dyDescent="0.2">
      <c r="A6" s="66"/>
      <c r="B6" s="135"/>
      <c r="C6" s="136"/>
      <c r="D6" s="137"/>
      <c r="E6" s="137"/>
      <c r="F6" s="137"/>
      <c r="G6" s="138"/>
      <c r="H6" s="138"/>
      <c r="I6" s="138"/>
      <c r="J6" s="139"/>
      <c r="K6" s="139"/>
      <c r="L6" s="139"/>
      <c r="M6" s="139"/>
      <c r="N6" s="139"/>
      <c r="O6" s="139"/>
      <c r="P6" s="139"/>
      <c r="Q6" s="139"/>
      <c r="R6" s="139"/>
      <c r="S6" s="139"/>
    </row>
    <row r="7" spans="1:19" ht="15" customHeight="1" x14ac:dyDescent="0.2">
      <c r="A7" s="66"/>
      <c r="B7" s="520" t="s">
        <v>22</v>
      </c>
      <c r="C7" s="520"/>
      <c r="D7" s="523" t="s">
        <v>23</v>
      </c>
      <c r="E7" s="141"/>
      <c r="F7" s="526" t="s">
        <v>128</v>
      </c>
      <c r="G7" s="526"/>
      <c r="H7" s="526"/>
      <c r="I7" s="526"/>
      <c r="J7" s="526"/>
      <c r="K7" s="526"/>
      <c r="L7" s="526"/>
      <c r="M7" s="526"/>
      <c r="N7" s="526"/>
      <c r="O7" s="526"/>
      <c r="P7" s="526"/>
      <c r="Q7" s="526"/>
      <c r="R7" s="526"/>
      <c r="S7" s="526"/>
    </row>
    <row r="8" spans="1:19" ht="21.75" customHeight="1" x14ac:dyDescent="0.2">
      <c r="A8" s="66"/>
      <c r="B8" s="521"/>
      <c r="C8" s="521"/>
      <c r="D8" s="524"/>
      <c r="E8" s="143"/>
      <c r="F8" s="527" t="s">
        <v>24</v>
      </c>
      <c r="G8" s="527"/>
      <c r="H8" s="144"/>
      <c r="I8" s="528" t="s">
        <v>129</v>
      </c>
      <c r="J8" s="528"/>
      <c r="K8" s="144"/>
      <c r="L8" s="528" t="s">
        <v>130</v>
      </c>
      <c r="M8" s="528"/>
      <c r="N8" s="145"/>
      <c r="O8" s="528" t="s">
        <v>25</v>
      </c>
      <c r="P8" s="528"/>
      <c r="Q8" s="146"/>
      <c r="R8" s="529" t="s">
        <v>97</v>
      </c>
      <c r="S8" s="529"/>
    </row>
    <row r="9" spans="1:19" ht="15" customHeight="1" x14ac:dyDescent="0.2">
      <c r="A9" s="12"/>
      <c r="B9" s="522"/>
      <c r="C9" s="522"/>
      <c r="D9" s="525"/>
      <c r="E9" s="147"/>
      <c r="F9" s="105" t="s">
        <v>13</v>
      </c>
      <c r="G9" s="105" t="s">
        <v>14</v>
      </c>
      <c r="H9" s="148"/>
      <c r="I9" s="105" t="s">
        <v>13</v>
      </c>
      <c r="J9" s="105" t="s">
        <v>14</v>
      </c>
      <c r="K9" s="149"/>
      <c r="L9" s="105" t="s">
        <v>13</v>
      </c>
      <c r="M9" s="105" t="s">
        <v>14</v>
      </c>
      <c r="N9" s="149"/>
      <c r="O9" s="105" t="s">
        <v>13</v>
      </c>
      <c r="P9" s="105" t="s">
        <v>14</v>
      </c>
      <c r="Q9" s="150"/>
      <c r="R9" s="105" t="s">
        <v>13</v>
      </c>
      <c r="S9" s="105" t="s">
        <v>14</v>
      </c>
    </row>
    <row r="10" spans="1:19" s="140" customFormat="1" ht="6" customHeight="1" x14ac:dyDescent="0.2">
      <c r="A10" s="67"/>
      <c r="B10" s="151"/>
      <c r="C10" s="151"/>
      <c r="D10" s="137"/>
      <c r="E10" s="137"/>
      <c r="F10" s="137"/>
      <c r="G10" s="138"/>
      <c r="H10" s="138"/>
      <c r="I10" s="138"/>
      <c r="J10" s="139"/>
      <c r="K10" s="139"/>
      <c r="L10" s="139"/>
      <c r="M10" s="139"/>
      <c r="N10" s="139"/>
      <c r="O10" s="139"/>
      <c r="P10" s="139"/>
      <c r="Q10" s="139"/>
      <c r="R10" s="139"/>
      <c r="S10" s="139"/>
    </row>
    <row r="11" spans="1:19" s="154" customFormat="1" ht="15" x14ac:dyDescent="0.2">
      <c r="A11" s="17"/>
      <c r="B11" s="106" t="s">
        <v>5</v>
      </c>
      <c r="C11" s="152"/>
      <c r="D11" s="159">
        <v>35662946.186790802</v>
      </c>
      <c r="E11" s="153"/>
      <c r="F11" s="159">
        <v>34805234.533746898</v>
      </c>
      <c r="G11" s="159">
        <v>97.787303915899997</v>
      </c>
      <c r="H11" s="153"/>
      <c r="I11" s="159">
        <v>34648821.691903599</v>
      </c>
      <c r="J11" s="159">
        <v>97.384857236299993</v>
      </c>
      <c r="K11" s="50"/>
      <c r="L11" s="159">
        <v>34580306.535082303</v>
      </c>
      <c r="M11" s="159">
        <v>97.186395781300007</v>
      </c>
      <c r="N11" s="153"/>
      <c r="O11" s="159">
        <v>35448250.346319102</v>
      </c>
      <c r="P11" s="159">
        <v>99.468513106499998</v>
      </c>
      <c r="Q11" s="153"/>
      <c r="R11" s="159">
        <v>33835.513724286699</v>
      </c>
      <c r="S11" s="159">
        <v>9.5967983199999995E-2</v>
      </c>
    </row>
    <row r="12" spans="1:19" s="154" customFormat="1" ht="6" customHeight="1" x14ac:dyDescent="0.2">
      <c r="A12" s="11"/>
      <c r="B12" s="107"/>
      <c r="C12" s="152"/>
      <c r="D12" s="95"/>
      <c r="E12" s="153"/>
      <c r="F12" s="95"/>
      <c r="G12" s="96"/>
      <c r="H12" s="153"/>
      <c r="I12" s="95"/>
      <c r="J12" s="96"/>
      <c r="K12" s="50"/>
      <c r="L12" s="95"/>
      <c r="M12" s="96"/>
      <c r="N12" s="153"/>
      <c r="O12" s="95"/>
      <c r="P12" s="96"/>
      <c r="Q12" s="153"/>
      <c r="R12" s="95"/>
      <c r="S12" s="96"/>
    </row>
    <row r="13" spans="1:19" ht="12.75" customHeight="1" x14ac:dyDescent="0.2">
      <c r="A13" s="11"/>
      <c r="B13" s="13" t="s">
        <v>26</v>
      </c>
      <c r="C13" s="155"/>
      <c r="D13" s="160">
        <v>401693.89670143899</v>
      </c>
      <c r="E13" s="156"/>
      <c r="F13" s="160">
        <v>399937.602236384</v>
      </c>
      <c r="G13" s="160">
        <v>99.764420693399998</v>
      </c>
      <c r="H13" s="156"/>
      <c r="I13" s="160">
        <v>400470.35917673999</v>
      </c>
      <c r="J13" s="160">
        <v>99.904850811499998</v>
      </c>
      <c r="K13" s="50"/>
      <c r="L13" s="160">
        <v>400557.88621348498</v>
      </c>
      <c r="M13" s="160">
        <v>99.912944450200001</v>
      </c>
      <c r="N13" s="156"/>
      <c r="O13" s="160">
        <v>398970.060683613</v>
      </c>
      <c r="P13" s="160">
        <v>99.7307865131</v>
      </c>
      <c r="Q13" s="156"/>
      <c r="R13" s="160">
        <v>0</v>
      </c>
      <c r="S13" s="160">
        <v>0</v>
      </c>
    </row>
    <row r="14" spans="1:19" ht="12.75" customHeight="1" x14ac:dyDescent="0.2">
      <c r="A14" s="11"/>
      <c r="B14" s="13" t="s">
        <v>27</v>
      </c>
      <c r="C14" s="155"/>
      <c r="D14" s="160">
        <v>1194812.8712261601</v>
      </c>
      <c r="E14" s="156"/>
      <c r="F14" s="160">
        <v>1183332.6954866</v>
      </c>
      <c r="G14" s="160">
        <v>99.479125218799993</v>
      </c>
      <c r="H14" s="156"/>
      <c r="I14" s="160">
        <v>1177348.83226989</v>
      </c>
      <c r="J14" s="160">
        <v>99.055309414800007</v>
      </c>
      <c r="K14" s="50"/>
      <c r="L14" s="160">
        <v>1170862.31760402</v>
      </c>
      <c r="M14" s="160">
        <v>99.222731879199998</v>
      </c>
      <c r="N14" s="156"/>
      <c r="O14" s="160">
        <v>1185488.91230323</v>
      </c>
      <c r="P14" s="160">
        <v>99.544104467300002</v>
      </c>
      <c r="Q14" s="156"/>
      <c r="R14" s="160">
        <v>1782.6313445653</v>
      </c>
      <c r="S14" s="160">
        <v>0.15635228139999999</v>
      </c>
    </row>
    <row r="15" spans="1:19" ht="12.75" customHeight="1" x14ac:dyDescent="0.2">
      <c r="A15" s="12"/>
      <c r="B15" s="13" t="s">
        <v>28</v>
      </c>
      <c r="C15" s="155"/>
      <c r="D15" s="160">
        <v>256444.37902674099</v>
      </c>
      <c r="E15" s="156"/>
      <c r="F15" s="160">
        <v>251776.973123445</v>
      </c>
      <c r="G15" s="160">
        <v>99.678837483199999</v>
      </c>
      <c r="H15" s="156"/>
      <c r="I15" s="160">
        <v>237119.09289302601</v>
      </c>
      <c r="J15" s="160">
        <v>96.543372249699999</v>
      </c>
      <c r="K15" s="50"/>
      <c r="L15" s="160">
        <v>248943.24984080801</v>
      </c>
      <c r="M15" s="160">
        <v>99.500752538599997</v>
      </c>
      <c r="N15" s="156"/>
      <c r="O15" s="160">
        <v>251393.09570131599</v>
      </c>
      <c r="P15" s="160">
        <v>99.107514691199995</v>
      </c>
      <c r="Q15" s="156"/>
      <c r="R15" s="160">
        <v>0</v>
      </c>
      <c r="S15" s="160">
        <v>0</v>
      </c>
    </row>
    <row r="16" spans="1:19" ht="12.75" customHeight="1" x14ac:dyDescent="0.2">
      <c r="A16" s="12"/>
      <c r="B16" s="13" t="s">
        <v>29</v>
      </c>
      <c r="C16" s="155"/>
      <c r="D16" s="160">
        <v>273665.04189377202</v>
      </c>
      <c r="E16" s="156"/>
      <c r="F16" s="160">
        <v>258905.08166508799</v>
      </c>
      <c r="G16" s="160">
        <v>96.120933071500005</v>
      </c>
      <c r="H16" s="156"/>
      <c r="I16" s="160">
        <v>268881.13214844</v>
      </c>
      <c r="J16" s="160">
        <v>99.168502093499995</v>
      </c>
      <c r="K16" s="50"/>
      <c r="L16" s="160">
        <v>255351.65670952699</v>
      </c>
      <c r="M16" s="160">
        <v>95.083377261699994</v>
      </c>
      <c r="N16" s="156"/>
      <c r="O16" s="160">
        <v>272013.935837075</v>
      </c>
      <c r="P16" s="160">
        <v>99.710473501899997</v>
      </c>
      <c r="Q16" s="156"/>
      <c r="R16" s="160">
        <v>454.91482383570002</v>
      </c>
      <c r="S16" s="160">
        <v>0.1766511942</v>
      </c>
    </row>
    <row r="17" spans="1:19" ht="12.75" customHeight="1" x14ac:dyDescent="0.2">
      <c r="A17" s="12"/>
      <c r="B17" s="13" t="s">
        <v>30</v>
      </c>
      <c r="C17" s="155"/>
      <c r="D17" s="128">
        <v>939555.89204201801</v>
      </c>
      <c r="E17" s="156"/>
      <c r="F17" s="128">
        <v>934796.82738992502</v>
      </c>
      <c r="G17" s="128">
        <v>99.785729201699993</v>
      </c>
      <c r="H17" s="156"/>
      <c r="I17" s="128">
        <v>932609.75657303503</v>
      </c>
      <c r="J17" s="128">
        <v>99.736528078099994</v>
      </c>
      <c r="K17" s="50"/>
      <c r="L17" s="128">
        <v>927972.45713949099</v>
      </c>
      <c r="M17" s="128">
        <v>99.665770533900002</v>
      </c>
      <c r="N17" s="156"/>
      <c r="O17" s="128">
        <v>937425.09713705804</v>
      </c>
      <c r="P17" s="128">
        <v>99.935289706399999</v>
      </c>
      <c r="Q17" s="156"/>
      <c r="R17" s="128">
        <v>0</v>
      </c>
      <c r="S17" s="128">
        <v>0</v>
      </c>
    </row>
    <row r="18" spans="1:19" ht="12.75" customHeight="1" x14ac:dyDescent="0.2">
      <c r="A18" s="21"/>
      <c r="B18" s="13" t="s">
        <v>31</v>
      </c>
      <c r="C18" s="155"/>
      <c r="D18" s="128">
        <v>243697.01868438401</v>
      </c>
      <c r="E18" s="156"/>
      <c r="F18" s="128">
        <v>242101.39051830801</v>
      </c>
      <c r="G18" s="128">
        <v>99.607096499799994</v>
      </c>
      <c r="H18" s="156"/>
      <c r="I18" s="128">
        <v>242309.74741068599</v>
      </c>
      <c r="J18" s="128">
        <v>99.696277473099997</v>
      </c>
      <c r="K18" s="50"/>
      <c r="L18" s="128">
        <v>243121.87914233399</v>
      </c>
      <c r="M18" s="128">
        <v>99.942314096000004</v>
      </c>
      <c r="N18" s="156"/>
      <c r="O18" s="128">
        <v>240936.580680151</v>
      </c>
      <c r="P18" s="128">
        <v>99.255611149299995</v>
      </c>
      <c r="Q18" s="156"/>
      <c r="R18" s="128">
        <v>515.2184452596</v>
      </c>
      <c r="S18" s="128">
        <v>0.22432521429999999</v>
      </c>
    </row>
    <row r="19" spans="1:19" ht="12.75" customHeight="1" x14ac:dyDescent="0.2">
      <c r="A19" s="21"/>
      <c r="B19" s="13" t="s">
        <v>32</v>
      </c>
      <c r="C19" s="155"/>
      <c r="D19" s="160">
        <v>1515154.20276339</v>
      </c>
      <c r="E19" s="156"/>
      <c r="F19" s="160">
        <v>1455296.80283127</v>
      </c>
      <c r="G19" s="160">
        <v>96.809297837700001</v>
      </c>
      <c r="H19" s="156"/>
      <c r="I19" s="160">
        <v>1447173.01054661</v>
      </c>
      <c r="J19" s="160">
        <v>96.911077113399998</v>
      </c>
      <c r="K19" s="50"/>
      <c r="L19" s="160">
        <v>1448594.8543539699</v>
      </c>
      <c r="M19" s="160">
        <v>96.420891211699995</v>
      </c>
      <c r="N19" s="156"/>
      <c r="O19" s="160">
        <v>1501565.80523431</v>
      </c>
      <c r="P19" s="160">
        <v>99.443987073200006</v>
      </c>
      <c r="Q19" s="156"/>
      <c r="R19" s="160">
        <v>5723.6650281106004</v>
      </c>
      <c r="S19" s="160">
        <v>0.40530907980000003</v>
      </c>
    </row>
    <row r="20" spans="1:19" ht="12.75" customHeight="1" x14ac:dyDescent="0.2">
      <c r="B20" s="13" t="s">
        <v>33</v>
      </c>
      <c r="C20" s="155"/>
      <c r="D20" s="160">
        <v>1177493.9072535899</v>
      </c>
      <c r="E20" s="156"/>
      <c r="F20" s="160">
        <v>1156569.1840896399</v>
      </c>
      <c r="G20" s="160">
        <v>98.877624161100002</v>
      </c>
      <c r="H20" s="156"/>
      <c r="I20" s="160">
        <v>1165089.9559881</v>
      </c>
      <c r="J20" s="160">
        <v>99.682404934999994</v>
      </c>
      <c r="K20" s="50"/>
      <c r="L20" s="160">
        <v>1164313.06826472</v>
      </c>
      <c r="M20" s="160">
        <v>99.831482275200003</v>
      </c>
      <c r="N20" s="156"/>
      <c r="O20" s="160">
        <v>1164251.5713713199</v>
      </c>
      <c r="P20" s="160">
        <v>99.868929004199998</v>
      </c>
      <c r="Q20" s="156"/>
      <c r="R20" s="160">
        <v>3380.122935244</v>
      </c>
      <c r="S20" s="160">
        <v>0.29536440219999999</v>
      </c>
    </row>
    <row r="21" spans="1:19" ht="12.75" customHeight="1" x14ac:dyDescent="0.2">
      <c r="B21" s="13" t="s">
        <v>34</v>
      </c>
      <c r="C21" s="155"/>
      <c r="D21" s="160">
        <v>2802756.3492487799</v>
      </c>
      <c r="E21" s="156"/>
      <c r="F21" s="160">
        <v>2759112.3714578501</v>
      </c>
      <c r="G21" s="160">
        <v>99.007881410899998</v>
      </c>
      <c r="H21" s="156"/>
      <c r="I21" s="160">
        <v>2796384.09564842</v>
      </c>
      <c r="J21" s="160">
        <v>99.9912987461</v>
      </c>
      <c r="K21" s="50"/>
      <c r="L21" s="160">
        <v>2798808.0081619099</v>
      </c>
      <c r="M21" s="160">
        <v>100.023330192</v>
      </c>
      <c r="N21" s="156"/>
      <c r="O21" s="160">
        <v>2794975.6220295099</v>
      </c>
      <c r="P21" s="160">
        <v>99.9255510797</v>
      </c>
      <c r="Q21" s="156"/>
      <c r="R21" s="160">
        <v>0</v>
      </c>
      <c r="S21" s="160">
        <v>0</v>
      </c>
    </row>
    <row r="22" spans="1:19" ht="12.75" customHeight="1" x14ac:dyDescent="0.2">
      <c r="B22" s="13" t="s">
        <v>35</v>
      </c>
      <c r="C22" s="155"/>
      <c r="D22" s="160">
        <v>519941.24414162798</v>
      </c>
      <c r="E22" s="156"/>
      <c r="F22" s="160">
        <v>507817.407988741</v>
      </c>
      <c r="G22" s="160">
        <v>98.232999821199996</v>
      </c>
      <c r="H22" s="156"/>
      <c r="I22" s="160">
        <v>510811.950332821</v>
      </c>
      <c r="J22" s="160">
        <v>99.355272705199994</v>
      </c>
      <c r="K22" s="50"/>
      <c r="L22" s="160">
        <v>507293.80448615202</v>
      </c>
      <c r="M22" s="160">
        <v>98.431780683599996</v>
      </c>
      <c r="N22" s="156"/>
      <c r="O22" s="160">
        <v>518055.70928827499</v>
      </c>
      <c r="P22" s="160">
        <v>99.861955742500001</v>
      </c>
      <c r="Q22" s="156"/>
      <c r="R22" s="160">
        <v>243.32653367949999</v>
      </c>
      <c r="S22" s="160">
        <v>4.8921648499999998E-2</v>
      </c>
    </row>
    <row r="23" spans="1:19" ht="12.75" customHeight="1" x14ac:dyDescent="0.2">
      <c r="B23" s="13" t="s">
        <v>36</v>
      </c>
      <c r="C23" s="155"/>
      <c r="D23" s="160">
        <v>1650893.0803463401</v>
      </c>
      <c r="E23" s="156"/>
      <c r="F23" s="160">
        <v>1600059.9515621699</v>
      </c>
      <c r="G23" s="160">
        <v>97.5882688871</v>
      </c>
      <c r="H23" s="156"/>
      <c r="I23" s="160">
        <v>1608626.5761742101</v>
      </c>
      <c r="J23" s="160">
        <v>98.853938385299998</v>
      </c>
      <c r="K23" s="50"/>
      <c r="L23" s="160">
        <v>1609598.5285470099</v>
      </c>
      <c r="M23" s="160">
        <v>98.126326555700004</v>
      </c>
      <c r="N23" s="156"/>
      <c r="O23" s="160">
        <v>1634710.0112743101</v>
      </c>
      <c r="P23" s="160">
        <v>99.414722028200003</v>
      </c>
      <c r="Q23" s="156"/>
      <c r="R23" s="160">
        <v>5956.2103678946996</v>
      </c>
      <c r="S23" s="160">
        <v>0.37651887229999997</v>
      </c>
    </row>
    <row r="24" spans="1:19" ht="12.75" customHeight="1" x14ac:dyDescent="0.2">
      <c r="B24" s="13" t="s">
        <v>37</v>
      </c>
      <c r="C24" s="155"/>
      <c r="D24" s="160">
        <v>985997.54227468802</v>
      </c>
      <c r="E24" s="156"/>
      <c r="F24" s="160">
        <v>896010.88331880304</v>
      </c>
      <c r="G24" s="160">
        <v>92.700008926600006</v>
      </c>
      <c r="H24" s="156"/>
      <c r="I24" s="160">
        <v>885256.20475151704</v>
      </c>
      <c r="J24" s="160">
        <v>91.681803772500004</v>
      </c>
      <c r="K24" s="50"/>
      <c r="L24" s="160">
        <v>882331.41565644799</v>
      </c>
      <c r="M24" s="160">
        <v>91.515534037999998</v>
      </c>
      <c r="N24" s="156"/>
      <c r="O24" s="160">
        <v>977648.30661749805</v>
      </c>
      <c r="P24" s="160">
        <v>99.554406204499998</v>
      </c>
      <c r="Q24" s="156"/>
      <c r="R24" s="160">
        <v>5070.7728146504996</v>
      </c>
      <c r="S24" s="160">
        <v>0.53923931250000001</v>
      </c>
    </row>
    <row r="25" spans="1:19" ht="12.75" customHeight="1" x14ac:dyDescent="0.2">
      <c r="B25" s="13" t="s">
        <v>38</v>
      </c>
      <c r="C25" s="155"/>
      <c r="D25" s="160">
        <v>896937.23275720899</v>
      </c>
      <c r="E25" s="156"/>
      <c r="F25" s="160">
        <v>873545.15538269398</v>
      </c>
      <c r="G25" s="160">
        <v>98.180945289199997</v>
      </c>
      <c r="H25" s="156"/>
      <c r="I25" s="160">
        <v>876579.00769494695</v>
      </c>
      <c r="J25" s="160">
        <v>98.3980008618</v>
      </c>
      <c r="K25" s="50"/>
      <c r="L25" s="160">
        <v>872165.36218930897</v>
      </c>
      <c r="M25" s="160">
        <v>98.172891610799994</v>
      </c>
      <c r="N25" s="156"/>
      <c r="O25" s="160">
        <v>890705.62021107902</v>
      </c>
      <c r="P25" s="160">
        <v>99.675441669199998</v>
      </c>
      <c r="Q25" s="156"/>
      <c r="R25" s="160">
        <v>1343.5856424913</v>
      </c>
      <c r="S25" s="160">
        <v>0.15693871940000001</v>
      </c>
    </row>
    <row r="26" spans="1:19" ht="12.75" customHeight="1" x14ac:dyDescent="0.2">
      <c r="B26" s="13" t="s">
        <v>39</v>
      </c>
      <c r="C26" s="155"/>
      <c r="D26" s="160">
        <v>2397392.87652244</v>
      </c>
      <c r="E26" s="156"/>
      <c r="F26" s="160">
        <v>2373255.0336458902</v>
      </c>
      <c r="G26" s="160">
        <v>99.575852999700004</v>
      </c>
      <c r="H26" s="156"/>
      <c r="I26" s="160">
        <v>2380831.2167364601</v>
      </c>
      <c r="J26" s="160">
        <v>99.642054910699997</v>
      </c>
      <c r="K26" s="50"/>
      <c r="L26" s="160">
        <v>2382020.30019311</v>
      </c>
      <c r="M26" s="160">
        <v>99.818425988200005</v>
      </c>
      <c r="N26" s="156"/>
      <c r="O26" s="160">
        <v>2392888.7931684698</v>
      </c>
      <c r="P26" s="160">
        <v>99.950584507499997</v>
      </c>
      <c r="Q26" s="156"/>
      <c r="R26" s="160">
        <v>0</v>
      </c>
      <c r="S26" s="160">
        <v>0</v>
      </c>
    </row>
    <row r="27" spans="1:19" ht="12.75" customHeight="1" x14ac:dyDescent="0.2">
      <c r="B27" s="13" t="s">
        <v>40</v>
      </c>
      <c r="C27" s="155"/>
      <c r="D27" s="160">
        <v>4873947.8104331996</v>
      </c>
      <c r="E27" s="156"/>
      <c r="F27" s="160">
        <v>4741175.7860701298</v>
      </c>
      <c r="G27" s="160">
        <v>98.329955044900004</v>
      </c>
      <c r="H27" s="156"/>
      <c r="I27" s="160">
        <v>4780642.12969587</v>
      </c>
      <c r="J27" s="160">
        <v>98.775918661899993</v>
      </c>
      <c r="K27" s="50"/>
      <c r="L27" s="160">
        <v>4766831.1071297796</v>
      </c>
      <c r="M27" s="160">
        <v>98.945257606799998</v>
      </c>
      <c r="N27" s="156"/>
      <c r="O27" s="160">
        <v>4860815.3902853597</v>
      </c>
      <c r="P27" s="160">
        <v>99.934563459499998</v>
      </c>
      <c r="Q27" s="156"/>
      <c r="R27" s="160">
        <v>4684.0357733311002</v>
      </c>
      <c r="S27" s="160">
        <v>0.1013264832</v>
      </c>
    </row>
    <row r="28" spans="1:19" ht="12.75" customHeight="1" x14ac:dyDescent="0.2">
      <c r="B28" s="13" t="s">
        <v>41</v>
      </c>
      <c r="C28" s="155"/>
      <c r="D28" s="160">
        <v>1368761.7985574501</v>
      </c>
      <c r="E28" s="156"/>
      <c r="F28" s="160">
        <v>1334944.95820083</v>
      </c>
      <c r="G28" s="160">
        <v>98.548544684600003</v>
      </c>
      <c r="H28" s="156"/>
      <c r="I28" s="160">
        <v>1318892.8946294601</v>
      </c>
      <c r="J28" s="160">
        <v>97.752106298800001</v>
      </c>
      <c r="K28" s="50"/>
      <c r="L28" s="160">
        <v>1321346.0066247799</v>
      </c>
      <c r="M28" s="160">
        <v>97.600398025700002</v>
      </c>
      <c r="N28" s="156"/>
      <c r="O28" s="160">
        <v>1364252.7241199601</v>
      </c>
      <c r="P28" s="160">
        <v>99.990481325900006</v>
      </c>
      <c r="Q28" s="156"/>
      <c r="R28" s="160">
        <v>3231.1930999269998</v>
      </c>
      <c r="S28" s="160">
        <v>0.24987093830000001</v>
      </c>
    </row>
    <row r="29" spans="1:19" ht="12.75" customHeight="1" x14ac:dyDescent="0.2">
      <c r="B29" s="13" t="s">
        <v>42</v>
      </c>
      <c r="C29" s="155"/>
      <c r="D29" s="160">
        <v>610031.22610067902</v>
      </c>
      <c r="E29" s="156"/>
      <c r="F29" s="160">
        <v>596760.17994753201</v>
      </c>
      <c r="G29" s="160">
        <v>98.681336980699996</v>
      </c>
      <c r="H29" s="156"/>
      <c r="I29" s="160">
        <v>597079.37178564805</v>
      </c>
      <c r="J29" s="160">
        <v>98.308061807900003</v>
      </c>
      <c r="K29" s="50"/>
      <c r="L29" s="160">
        <v>602891.03443905804</v>
      </c>
      <c r="M29" s="160">
        <v>99.288699368699994</v>
      </c>
      <c r="N29" s="156"/>
      <c r="O29" s="160">
        <v>608050.28698481596</v>
      </c>
      <c r="P29" s="160">
        <v>99.886449468199999</v>
      </c>
      <c r="Q29" s="156"/>
      <c r="R29" s="160">
        <v>1704.3824873154999</v>
      </c>
      <c r="S29" s="160">
        <v>0.29516880200000001</v>
      </c>
    </row>
    <row r="30" spans="1:19" ht="12.75" customHeight="1" x14ac:dyDescent="0.2">
      <c r="B30" s="13" t="s">
        <v>43</v>
      </c>
      <c r="C30" s="155"/>
      <c r="D30" s="160">
        <v>376533.335776983</v>
      </c>
      <c r="E30" s="156"/>
      <c r="F30" s="160">
        <v>367341.806609875</v>
      </c>
      <c r="G30" s="160">
        <v>98.426550532899995</v>
      </c>
      <c r="H30" s="156"/>
      <c r="I30" s="160">
        <v>371926.999242349</v>
      </c>
      <c r="J30" s="160">
        <v>99.491763456699999</v>
      </c>
      <c r="K30" s="50"/>
      <c r="L30" s="160">
        <v>370855.73481655697</v>
      </c>
      <c r="M30" s="160">
        <v>99.365900970799999</v>
      </c>
      <c r="N30" s="156"/>
      <c r="O30" s="160">
        <v>373737.98246758501</v>
      </c>
      <c r="P30" s="160">
        <v>99.587655716699999</v>
      </c>
      <c r="Q30" s="156"/>
      <c r="R30" s="160">
        <v>941.5678911947</v>
      </c>
      <c r="S30" s="160">
        <v>0.26156576679999999</v>
      </c>
    </row>
    <row r="31" spans="1:19" ht="12.75" customHeight="1" x14ac:dyDescent="0.2">
      <c r="B31" s="13" t="s">
        <v>44</v>
      </c>
      <c r="C31" s="155"/>
      <c r="D31" s="160">
        <v>1738437.8778178</v>
      </c>
      <c r="E31" s="156"/>
      <c r="F31" s="160">
        <v>1727961.3058468599</v>
      </c>
      <c r="G31" s="160">
        <v>99.745969706300002</v>
      </c>
      <c r="H31" s="156"/>
      <c r="I31" s="160">
        <v>1730426.59603169</v>
      </c>
      <c r="J31" s="160">
        <v>99.833283784100004</v>
      </c>
      <c r="K31" s="50"/>
      <c r="L31" s="160">
        <v>1730615.57762087</v>
      </c>
      <c r="M31" s="160">
        <v>99.855365279200001</v>
      </c>
      <c r="N31" s="156"/>
      <c r="O31" s="160">
        <v>1737468.45300221</v>
      </c>
      <c r="P31" s="160">
        <v>100.0368908514</v>
      </c>
      <c r="Q31" s="156"/>
      <c r="R31" s="160">
        <v>0</v>
      </c>
      <c r="S31" s="160">
        <v>0</v>
      </c>
    </row>
    <row r="32" spans="1:19" ht="12.75" customHeight="1" x14ac:dyDescent="0.2">
      <c r="B32" s="13" t="s">
        <v>45</v>
      </c>
      <c r="C32" s="155"/>
      <c r="D32" s="160">
        <v>1203423.9761956099</v>
      </c>
      <c r="E32" s="156"/>
      <c r="F32" s="160">
        <v>1174482.5233302701</v>
      </c>
      <c r="G32" s="160">
        <v>98.526802904299998</v>
      </c>
      <c r="H32" s="156"/>
      <c r="I32" s="160">
        <v>1117692.88000366</v>
      </c>
      <c r="J32" s="160">
        <v>94.480171304799995</v>
      </c>
      <c r="K32" s="50"/>
      <c r="L32" s="160">
        <v>1090751.65184954</v>
      </c>
      <c r="M32" s="160">
        <v>92.199537927999998</v>
      </c>
      <c r="N32" s="156"/>
      <c r="O32" s="160">
        <v>1190855.38717341</v>
      </c>
      <c r="P32" s="160">
        <v>99.379099850000003</v>
      </c>
      <c r="Q32" s="156"/>
      <c r="R32" s="160">
        <v>4163.5910832150003</v>
      </c>
      <c r="S32" s="160">
        <v>0.37192073799999997</v>
      </c>
    </row>
    <row r="33" spans="1:19" ht="12.75" customHeight="1" x14ac:dyDescent="0.2">
      <c r="B33" s="13" t="s">
        <v>46</v>
      </c>
      <c r="C33" s="155"/>
      <c r="D33" s="160">
        <v>1815906.8952740801</v>
      </c>
      <c r="E33" s="156"/>
      <c r="F33" s="160">
        <v>1764968.6107544</v>
      </c>
      <c r="G33" s="160">
        <v>97.865100601099996</v>
      </c>
      <c r="H33" s="156"/>
      <c r="I33" s="160">
        <v>1759637.2670803501</v>
      </c>
      <c r="J33" s="160">
        <v>98.456535120400005</v>
      </c>
      <c r="K33" s="50"/>
      <c r="L33" s="160">
        <v>1761284.1155516</v>
      </c>
      <c r="M33" s="160">
        <v>97.837161867700004</v>
      </c>
      <c r="N33" s="156"/>
      <c r="O33" s="160">
        <v>1807122.2757613</v>
      </c>
      <c r="P33" s="160">
        <v>99.776642115499996</v>
      </c>
      <c r="Q33" s="156"/>
      <c r="R33" s="160">
        <v>2703.0404067444001</v>
      </c>
      <c r="S33" s="160">
        <v>0.15761009300000001</v>
      </c>
    </row>
    <row r="34" spans="1:19" ht="12.75" customHeight="1" x14ac:dyDescent="0.2">
      <c r="B34" s="13" t="s">
        <v>47</v>
      </c>
      <c r="C34" s="155"/>
      <c r="D34" s="160">
        <v>715683.99233961198</v>
      </c>
      <c r="E34" s="156"/>
      <c r="F34" s="160">
        <v>696118.70385792502</v>
      </c>
      <c r="G34" s="160">
        <v>98.318944113699999</v>
      </c>
      <c r="H34" s="156"/>
      <c r="I34" s="160">
        <v>701599.20121200604</v>
      </c>
      <c r="J34" s="160">
        <v>99.1888059841</v>
      </c>
      <c r="K34" s="50"/>
      <c r="L34" s="160">
        <v>701993.32550066896</v>
      </c>
      <c r="M34" s="160">
        <v>98.924884764300003</v>
      </c>
      <c r="N34" s="156"/>
      <c r="O34" s="160">
        <v>713292.18378227402</v>
      </c>
      <c r="P34" s="160">
        <v>99.972574515900007</v>
      </c>
      <c r="Q34" s="156"/>
      <c r="R34" s="160">
        <v>1433.5106658077</v>
      </c>
      <c r="S34" s="160">
        <v>0.21685012400000001</v>
      </c>
    </row>
    <row r="35" spans="1:19" ht="12.75" customHeight="1" x14ac:dyDescent="0.2">
      <c r="B35" s="13" t="s">
        <v>48</v>
      </c>
      <c r="C35" s="155"/>
      <c r="D35" s="160">
        <v>594621.99606358097</v>
      </c>
      <c r="E35" s="156"/>
      <c r="F35" s="160">
        <v>584394.82701537502</v>
      </c>
      <c r="G35" s="160">
        <v>98.896924467000005</v>
      </c>
      <c r="H35" s="156"/>
      <c r="I35" s="160">
        <v>582663.01900540898</v>
      </c>
      <c r="J35" s="160">
        <v>98.865125583899996</v>
      </c>
      <c r="K35" s="50"/>
      <c r="L35" s="160">
        <v>582540.86922556895</v>
      </c>
      <c r="M35" s="160">
        <v>98.627113112700002</v>
      </c>
      <c r="N35" s="156"/>
      <c r="O35" s="160">
        <v>589937.05875778897</v>
      </c>
      <c r="P35" s="160">
        <v>99.598884030099995</v>
      </c>
      <c r="Q35" s="156"/>
      <c r="R35" s="160">
        <v>0</v>
      </c>
      <c r="S35" s="160">
        <v>0</v>
      </c>
    </row>
    <row r="36" spans="1:19" ht="12.75" customHeight="1" x14ac:dyDescent="0.2">
      <c r="B36" s="13" t="s">
        <v>49</v>
      </c>
      <c r="C36" s="155"/>
      <c r="D36" s="160">
        <v>798902.49386140495</v>
      </c>
      <c r="E36" s="156"/>
      <c r="F36" s="160">
        <v>780667.62123566004</v>
      </c>
      <c r="G36" s="160">
        <v>98.553260477600006</v>
      </c>
      <c r="H36" s="156"/>
      <c r="I36" s="160">
        <v>744651.83621256496</v>
      </c>
      <c r="J36" s="160">
        <v>95.016075065699994</v>
      </c>
      <c r="K36" s="50"/>
      <c r="L36" s="160">
        <v>730043.47578201396</v>
      </c>
      <c r="M36" s="160">
        <v>92.768393291099997</v>
      </c>
      <c r="N36" s="156"/>
      <c r="O36" s="160">
        <v>787971.17967884603</v>
      </c>
      <c r="P36" s="160">
        <v>99.233670597300005</v>
      </c>
      <c r="Q36" s="156"/>
      <c r="R36" s="160">
        <v>3904.1826664168002</v>
      </c>
      <c r="S36" s="160">
        <v>0.5044717473</v>
      </c>
    </row>
    <row r="37" spans="1:19" ht="12.75" customHeight="1" x14ac:dyDescent="0.2">
      <c r="B37" s="13" t="s">
        <v>50</v>
      </c>
      <c r="C37" s="155"/>
      <c r="D37" s="160">
        <v>894882.02839481703</v>
      </c>
      <c r="E37" s="156"/>
      <c r="F37" s="160">
        <v>874773.89300842595</v>
      </c>
      <c r="G37" s="160">
        <v>98.376771949000002</v>
      </c>
      <c r="H37" s="156"/>
      <c r="I37" s="160">
        <v>876200.91654826503</v>
      </c>
      <c r="J37" s="160">
        <v>98.611563427999997</v>
      </c>
      <c r="K37" s="50"/>
      <c r="L37" s="160">
        <v>871949.24125739897</v>
      </c>
      <c r="M37" s="160">
        <v>98.4733923772</v>
      </c>
      <c r="N37" s="156"/>
      <c r="O37" s="160">
        <v>890297.34371207003</v>
      </c>
      <c r="P37" s="160">
        <v>99.724599670200007</v>
      </c>
      <c r="Q37" s="156"/>
      <c r="R37" s="160">
        <v>1002.3995246146</v>
      </c>
      <c r="S37" s="160">
        <v>0.1162322781</v>
      </c>
    </row>
    <row r="38" spans="1:19" ht="12.75" customHeight="1" x14ac:dyDescent="0.2">
      <c r="B38" s="13" t="s">
        <v>51</v>
      </c>
      <c r="C38" s="155"/>
      <c r="D38" s="160">
        <v>919536.67017451499</v>
      </c>
      <c r="E38" s="156"/>
      <c r="F38" s="160">
        <v>903864.09064098296</v>
      </c>
      <c r="G38" s="160">
        <v>98.767733505799995</v>
      </c>
      <c r="H38" s="156"/>
      <c r="I38" s="160">
        <v>910386.41199837497</v>
      </c>
      <c r="J38" s="160">
        <v>99.428907064399993</v>
      </c>
      <c r="K38" s="50"/>
      <c r="L38" s="160">
        <v>888339.49047973601</v>
      </c>
      <c r="M38" s="160">
        <v>97.308271860999994</v>
      </c>
      <c r="N38" s="156"/>
      <c r="O38" s="160">
        <v>915372.55002197495</v>
      </c>
      <c r="P38" s="160">
        <v>99.771993358299994</v>
      </c>
      <c r="Q38" s="52"/>
      <c r="R38" s="160">
        <v>0</v>
      </c>
      <c r="S38" s="160">
        <v>0</v>
      </c>
    </row>
    <row r="39" spans="1:19" ht="12.75" customHeight="1" x14ac:dyDescent="0.2">
      <c r="B39" s="13" t="s">
        <v>52</v>
      </c>
      <c r="C39" s="155"/>
      <c r="D39" s="160">
        <v>723495.24159213202</v>
      </c>
      <c r="E39" s="156"/>
      <c r="F39" s="160">
        <v>693741.892846353</v>
      </c>
      <c r="G39" s="160">
        <v>96.657991742899995</v>
      </c>
      <c r="H39" s="156"/>
      <c r="I39" s="160">
        <v>666355.52559750003</v>
      </c>
      <c r="J39" s="160">
        <v>93.328372895100003</v>
      </c>
      <c r="K39" s="50"/>
      <c r="L39" s="160">
        <v>705828.66575088503</v>
      </c>
      <c r="M39" s="160">
        <v>98.217529859999999</v>
      </c>
      <c r="N39" s="156"/>
      <c r="O39" s="160">
        <v>715527.52861158701</v>
      </c>
      <c r="P39" s="160">
        <v>99.550750055799995</v>
      </c>
      <c r="Q39" s="156"/>
      <c r="R39" s="160">
        <v>2709.1304571963001</v>
      </c>
      <c r="S39" s="160">
        <v>0.39611425620000001</v>
      </c>
    </row>
    <row r="40" spans="1:19" ht="12.75" customHeight="1" x14ac:dyDescent="0.2">
      <c r="B40" s="13" t="s">
        <v>53</v>
      </c>
      <c r="C40" s="155"/>
      <c r="D40" s="160">
        <v>1089179.94614529</v>
      </c>
      <c r="E40" s="156"/>
      <c r="F40" s="160">
        <v>1079400.0472195901</v>
      </c>
      <c r="G40" s="160">
        <v>99.488197405500003</v>
      </c>
      <c r="H40" s="156"/>
      <c r="I40" s="160">
        <v>1070628.70470272</v>
      </c>
      <c r="J40" s="160">
        <v>99.000754783199994</v>
      </c>
      <c r="K40" s="50"/>
      <c r="L40" s="160">
        <v>1043106.65141554</v>
      </c>
      <c r="M40" s="160">
        <v>96.671063342699995</v>
      </c>
      <c r="N40" s="156"/>
      <c r="O40" s="160">
        <v>1081296.80350837</v>
      </c>
      <c r="P40" s="160">
        <v>99.780186702500004</v>
      </c>
      <c r="Q40" s="156"/>
      <c r="R40" s="160">
        <v>0</v>
      </c>
      <c r="S40" s="160">
        <v>0</v>
      </c>
    </row>
    <row r="41" spans="1:19" ht="12.75" customHeight="1" x14ac:dyDescent="0.2">
      <c r="B41" s="13" t="s">
        <v>54</v>
      </c>
      <c r="C41" s="155"/>
      <c r="D41" s="160">
        <v>350536.38098277798</v>
      </c>
      <c r="E41" s="156"/>
      <c r="F41" s="160">
        <v>342977.53112278599</v>
      </c>
      <c r="G41" s="160">
        <v>98.468112652900004</v>
      </c>
      <c r="H41" s="156"/>
      <c r="I41" s="160">
        <v>348640.23970002501</v>
      </c>
      <c r="J41" s="160">
        <v>99.748317952099995</v>
      </c>
      <c r="K41" s="50"/>
      <c r="L41" s="160">
        <v>346259.216017058</v>
      </c>
      <c r="M41" s="160">
        <v>99.395638772300003</v>
      </c>
      <c r="N41" s="156"/>
      <c r="O41" s="160">
        <v>349100.069873559</v>
      </c>
      <c r="P41" s="160">
        <v>99.834041447999994</v>
      </c>
      <c r="Q41" s="156"/>
      <c r="R41" s="160">
        <v>624.18545596050001</v>
      </c>
      <c r="S41" s="160">
        <v>0.1856771696</v>
      </c>
    </row>
    <row r="42" spans="1:19" ht="12.75" customHeight="1" x14ac:dyDescent="0.2">
      <c r="B42" s="13" t="s">
        <v>55</v>
      </c>
      <c r="C42" s="155"/>
      <c r="D42" s="160">
        <v>2493851.99731659</v>
      </c>
      <c r="E42" s="156"/>
      <c r="F42" s="160">
        <v>2429239.0723316199</v>
      </c>
      <c r="G42" s="160">
        <v>98.040208615300003</v>
      </c>
      <c r="H42" s="156"/>
      <c r="I42" s="160">
        <v>2343137.2307221899</v>
      </c>
      <c r="J42" s="160">
        <v>95.516935892899994</v>
      </c>
      <c r="K42" s="50"/>
      <c r="L42" s="160">
        <v>2362040.83556636</v>
      </c>
      <c r="M42" s="160">
        <v>95.797519046399998</v>
      </c>
      <c r="N42" s="156"/>
      <c r="O42" s="160">
        <v>2471440.7801575898</v>
      </c>
      <c r="P42" s="160">
        <v>99.481265457099994</v>
      </c>
      <c r="Q42" s="156"/>
      <c r="R42" s="160">
        <v>5073.8575466723996</v>
      </c>
      <c r="S42" s="160">
        <v>0.2142590821</v>
      </c>
    </row>
    <row r="43" spans="1:19" ht="12.75" customHeight="1" x14ac:dyDescent="0.2">
      <c r="B43" s="13" t="s">
        <v>56</v>
      </c>
      <c r="C43" s="155"/>
      <c r="D43" s="160">
        <v>696285.83140589495</v>
      </c>
      <c r="E43" s="156"/>
      <c r="F43" s="160">
        <v>668764.67215268</v>
      </c>
      <c r="G43" s="160">
        <v>96.704329382799997</v>
      </c>
      <c r="H43" s="156"/>
      <c r="I43" s="160">
        <v>689328.81692522904</v>
      </c>
      <c r="J43" s="160">
        <v>99.365834695299995</v>
      </c>
      <c r="K43" s="50"/>
      <c r="L43" s="160">
        <v>661226.83793627599</v>
      </c>
      <c r="M43" s="160">
        <v>95.844744233399993</v>
      </c>
      <c r="N43" s="156"/>
      <c r="O43" s="160">
        <v>691493.02283595304</v>
      </c>
      <c r="P43" s="160">
        <v>99.607834005599997</v>
      </c>
      <c r="Q43" s="156"/>
      <c r="R43" s="160">
        <v>0</v>
      </c>
      <c r="S43" s="160">
        <v>0</v>
      </c>
    </row>
    <row r="44" spans="1:19" ht="12.75" customHeight="1" x14ac:dyDescent="0.2">
      <c r="B44" s="13" t="s">
        <v>57</v>
      </c>
      <c r="C44" s="155"/>
      <c r="D44" s="160">
        <v>479515.47820355999</v>
      </c>
      <c r="E44" s="156"/>
      <c r="F44" s="160">
        <v>469061.39070730802</v>
      </c>
      <c r="G44" s="160">
        <v>98.443388539200001</v>
      </c>
      <c r="H44" s="156"/>
      <c r="I44" s="160">
        <v>468465.78133290302</v>
      </c>
      <c r="J44" s="160">
        <v>98.501740706000007</v>
      </c>
      <c r="K44" s="50"/>
      <c r="L44" s="160">
        <v>470933.93827407999</v>
      </c>
      <c r="M44" s="160">
        <v>99.189712470700002</v>
      </c>
      <c r="N44" s="156"/>
      <c r="O44" s="160">
        <v>477421.512003635</v>
      </c>
      <c r="P44" s="160">
        <v>99.855791921100007</v>
      </c>
      <c r="Q44" s="156"/>
      <c r="R44" s="160">
        <v>616.25089507969994</v>
      </c>
      <c r="S44" s="160">
        <v>0.13660183510000001</v>
      </c>
    </row>
    <row r="45" spans="1:19" ht="6" customHeight="1" x14ac:dyDescent="0.2">
      <c r="B45" s="14"/>
      <c r="C45" s="14"/>
      <c r="D45" s="157"/>
      <c r="E45" s="157"/>
      <c r="F45" s="157"/>
      <c r="G45" s="157"/>
      <c r="H45" s="157"/>
      <c r="I45" s="157"/>
      <c r="J45" s="157"/>
      <c r="K45" s="157"/>
      <c r="L45" s="157"/>
      <c r="M45" s="157"/>
      <c r="N45" s="157"/>
      <c r="O45" s="157"/>
      <c r="P45" s="157"/>
      <c r="Q45" s="157"/>
      <c r="R45" s="157"/>
      <c r="S45" s="157"/>
    </row>
    <row r="46" spans="1:19" s="140" customFormat="1" ht="6" customHeight="1" x14ac:dyDescent="0.2">
      <c r="A46" s="5"/>
      <c r="B46" s="138"/>
      <c r="C46" s="136"/>
      <c r="D46" s="139"/>
      <c r="E46" s="139"/>
      <c r="F46" s="139"/>
      <c r="G46" s="139"/>
      <c r="H46" s="139"/>
      <c r="I46" s="139"/>
      <c r="J46" s="139"/>
      <c r="K46" s="139"/>
      <c r="L46" s="139"/>
      <c r="M46" s="139"/>
      <c r="N46" s="139"/>
      <c r="O46" s="139"/>
      <c r="P46" s="139"/>
      <c r="Q46" s="139"/>
      <c r="R46" s="139"/>
      <c r="S46" s="139"/>
    </row>
    <row r="47" spans="1:19" s="140" customFormat="1" ht="11.25" x14ac:dyDescent="0.2">
      <c r="A47" s="12"/>
      <c r="B47" s="138" t="s">
        <v>131</v>
      </c>
      <c r="C47" s="136"/>
      <c r="D47" s="137"/>
      <c r="E47" s="137"/>
      <c r="F47" s="137"/>
      <c r="G47" s="138"/>
      <c r="H47" s="138"/>
      <c r="I47" s="138"/>
      <c r="J47" s="138"/>
      <c r="K47" s="138"/>
      <c r="L47" s="138"/>
      <c r="M47" s="138"/>
      <c r="N47" s="138"/>
      <c r="O47" s="139"/>
      <c r="P47" s="139"/>
      <c r="Q47" s="139"/>
      <c r="R47" s="139"/>
      <c r="S47" s="139"/>
    </row>
    <row r="48" spans="1:19" s="140" customFormat="1" ht="11.25" x14ac:dyDescent="0.2">
      <c r="A48" s="12"/>
      <c r="B48" s="138" t="s">
        <v>132</v>
      </c>
      <c r="C48" s="136"/>
      <c r="D48" s="137"/>
      <c r="E48" s="137"/>
      <c r="F48" s="137"/>
      <c r="G48" s="138"/>
      <c r="H48" s="138"/>
      <c r="I48" s="138"/>
      <c r="J48" s="138"/>
      <c r="K48" s="138"/>
      <c r="L48" s="138"/>
      <c r="M48" s="138"/>
      <c r="N48" s="138"/>
      <c r="O48" s="139"/>
      <c r="P48" s="139"/>
      <c r="Q48" s="139"/>
      <c r="R48" s="139"/>
      <c r="S48" s="139"/>
    </row>
    <row r="49" spans="1:19" s="140" customFormat="1" ht="11.25" x14ac:dyDescent="0.2">
      <c r="A49" s="12"/>
      <c r="B49" s="138" t="s">
        <v>133</v>
      </c>
      <c r="C49" s="136"/>
      <c r="D49" s="137"/>
      <c r="E49" s="137"/>
      <c r="F49" s="137"/>
      <c r="G49" s="138"/>
      <c r="H49" s="138"/>
      <c r="I49" s="138"/>
      <c r="J49" s="138"/>
      <c r="K49" s="138"/>
      <c r="L49" s="138"/>
      <c r="M49" s="138"/>
      <c r="N49" s="138"/>
      <c r="O49" s="139"/>
      <c r="P49" s="139"/>
      <c r="Q49" s="139"/>
      <c r="R49" s="139"/>
      <c r="S49" s="139"/>
    </row>
    <row r="50" spans="1:19" s="140" customFormat="1" ht="11.25" x14ac:dyDescent="0.2">
      <c r="A50" s="12"/>
      <c r="B50" s="138" t="s">
        <v>143</v>
      </c>
      <c r="C50" s="136"/>
      <c r="D50" s="137"/>
      <c r="E50" s="137"/>
      <c r="F50" s="137"/>
      <c r="G50" s="138"/>
      <c r="H50" s="138"/>
      <c r="I50" s="138"/>
      <c r="J50" s="138"/>
      <c r="K50" s="138"/>
      <c r="L50" s="138"/>
      <c r="M50" s="138"/>
      <c r="N50" s="138"/>
      <c r="O50" s="139"/>
      <c r="P50" s="139"/>
      <c r="Q50" s="139"/>
      <c r="R50" s="139"/>
      <c r="S50" s="139"/>
    </row>
    <row r="51" spans="1:19" s="89" customFormat="1" ht="11.25" customHeight="1" x14ac:dyDescent="0.2">
      <c r="B51" s="108" t="s">
        <v>134</v>
      </c>
      <c r="C51" s="109"/>
      <c r="D51" s="109"/>
      <c r="E51" s="109"/>
      <c r="F51" s="109"/>
      <c r="G51" s="109"/>
      <c r="H51" s="109"/>
      <c r="I51" s="109"/>
      <c r="J51" s="109"/>
      <c r="K51" s="109"/>
      <c r="L51" s="109"/>
      <c r="M51" s="109"/>
      <c r="N51" s="109"/>
      <c r="O51" s="109"/>
      <c r="P51" s="109"/>
      <c r="Q51" s="109"/>
      <c r="R51" s="109"/>
      <c r="S51" s="109"/>
    </row>
    <row r="52" spans="1:19" s="89" customFormat="1" ht="11.25" customHeight="1" x14ac:dyDescent="0.2">
      <c r="B52" s="109"/>
      <c r="C52" s="109"/>
      <c r="D52" s="109"/>
      <c r="E52" s="109"/>
      <c r="F52" s="109"/>
      <c r="G52" s="109"/>
      <c r="H52" s="109"/>
      <c r="I52" s="109"/>
      <c r="J52" s="109"/>
      <c r="K52" s="109"/>
      <c r="L52" s="109"/>
      <c r="M52" s="109"/>
      <c r="N52" s="109"/>
      <c r="O52" s="109"/>
      <c r="P52" s="109"/>
      <c r="Q52" s="109"/>
      <c r="R52" s="109"/>
      <c r="S52" s="109"/>
    </row>
    <row r="53" spans="1:19" s="89" customFormat="1" ht="11.25" customHeight="1" x14ac:dyDescent="0.2"/>
  </sheetData>
  <mergeCells count="9">
    <mergeCell ref="B5:Q5"/>
    <mergeCell ref="B7:C9"/>
    <mergeCell ref="D7:D9"/>
    <mergeCell ref="F7:S7"/>
    <mergeCell ref="F8:G8"/>
    <mergeCell ref="I8:J8"/>
    <mergeCell ref="L8:M8"/>
    <mergeCell ref="O8:P8"/>
    <mergeCell ref="R8:S8"/>
  </mergeCells>
  <hyperlinks>
    <hyperlink ref="S1" location="Índice!A1" tooltip="Ir a ÍNDICE" display="INDICE" xr:uid="{9C870935-FE60-4EDD-A6F8-B7DB68C30367}"/>
  </hyperlinks>
  <pageMargins left="0.70866141732283472" right="0.70866141732283472" top="0.74803149606299213" bottom="0.74803149606299213" header="0.31496062992125984" footer="0.31496062992125984"/>
  <pageSetup scale="6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A48F0E-9780-4DF6-8080-4B9641B1A4B6}">
  <sheetPr>
    <pageSetUpPr fitToPage="1"/>
  </sheetPr>
  <dimension ref="A1:AJ97"/>
  <sheetViews>
    <sheetView showGridLines="0" zoomScaleNormal="100" zoomScaleSheetLayoutView="40" workbookViewId="0"/>
  </sheetViews>
  <sheetFormatPr baseColWidth="10" defaultColWidth="11.42578125" defaultRowHeight="12.75" customHeight="1" x14ac:dyDescent="0.2"/>
  <cols>
    <col min="1" max="1" width="1.7109375" style="5" customWidth="1"/>
    <col min="2" max="2" width="31.28515625" style="167" customWidth="1"/>
    <col min="3" max="3" width="1.7109375" style="193" customWidth="1" collapsed="1"/>
    <col min="4" max="4" width="18.7109375" style="193" customWidth="1" collapsed="1"/>
    <col min="5" max="5" width="1.7109375" style="193" customWidth="1"/>
    <col min="6" max="6" width="13.42578125" style="193" customWidth="1" collapsed="1"/>
    <col min="7" max="7" width="12.42578125" style="167" customWidth="1" collapsed="1"/>
    <col min="8" max="8" width="1.7109375" style="167" customWidth="1" collapsed="1"/>
    <col min="9" max="9" width="15.5703125" style="167" customWidth="1" collapsed="1"/>
    <col min="10" max="10" width="11.42578125" style="167" customWidth="1" collapsed="1"/>
    <col min="11" max="11" width="1.7109375" style="167" customWidth="1" collapsed="1"/>
    <col min="12" max="12" width="15.42578125" style="167" customWidth="1" collapsed="1"/>
    <col min="13" max="13" width="11.42578125" style="167" customWidth="1" collapsed="1"/>
    <col min="14" max="14" width="1.7109375" style="167" customWidth="1" collapsed="1"/>
    <col min="15" max="15" width="16.5703125" style="167" customWidth="1" collapsed="1"/>
    <col min="16" max="16" width="11.42578125" style="167" customWidth="1" collapsed="1"/>
    <col min="17" max="17" width="1.7109375" style="167" customWidth="1" collapsed="1"/>
    <col min="18" max="18" width="16.85546875" style="167" customWidth="1"/>
    <col min="19" max="19" width="11.42578125" style="167" customWidth="1"/>
    <col min="20" max="20" width="1.7109375" style="167" customWidth="1"/>
    <col min="21" max="21" width="16.28515625" style="167" customWidth="1" collapsed="1"/>
    <col min="22" max="33" width="11.42578125" style="167"/>
    <col min="34" max="34" width="11.42578125" style="167" collapsed="1"/>
    <col min="35" max="36" width="11.42578125" style="167"/>
    <col min="37" max="16384" width="11.42578125" style="167" collapsed="1"/>
  </cols>
  <sheetData>
    <row r="1" spans="1:22" s="163" customFormat="1" ht="14.1" customHeight="1" x14ac:dyDescent="0.2">
      <c r="A1" s="66"/>
      <c r="B1" s="484" t="s">
        <v>144</v>
      </c>
      <c r="C1" s="161"/>
      <c r="D1" s="162"/>
      <c r="E1" s="162"/>
      <c r="F1" s="162"/>
      <c r="V1" s="85" t="s">
        <v>118</v>
      </c>
    </row>
    <row r="2" spans="1:22" s="163" customFormat="1" ht="6.95" customHeight="1" x14ac:dyDescent="0.2">
      <c r="A2" s="66"/>
      <c r="B2" s="484"/>
      <c r="C2" s="161"/>
      <c r="D2" s="162"/>
      <c r="E2" s="162"/>
      <c r="F2" s="162"/>
    </row>
    <row r="3" spans="1:22" s="163" customFormat="1" ht="14.1" customHeight="1" x14ac:dyDescent="0.2">
      <c r="A3" s="66"/>
      <c r="B3" s="484" t="s">
        <v>142</v>
      </c>
      <c r="C3" s="164"/>
      <c r="D3" s="164"/>
      <c r="E3" s="164"/>
      <c r="F3" s="164"/>
      <c r="G3" s="164"/>
    </row>
    <row r="4" spans="1:22" s="163" customFormat="1" ht="6.95" customHeight="1" x14ac:dyDescent="0.2">
      <c r="A4" s="66"/>
      <c r="C4" s="161"/>
      <c r="D4" s="161"/>
      <c r="E4" s="161"/>
      <c r="F4" s="161"/>
    </row>
    <row r="5" spans="1:22" s="163" customFormat="1" ht="20.100000000000001" customHeight="1" x14ac:dyDescent="0.2">
      <c r="A5" s="66"/>
      <c r="B5" s="531" t="s">
        <v>58</v>
      </c>
      <c r="C5" s="531"/>
      <c r="D5" s="531"/>
      <c r="E5" s="531"/>
      <c r="F5" s="531"/>
      <c r="G5" s="531"/>
      <c r="H5" s="531"/>
      <c r="I5" s="531"/>
      <c r="J5" s="531"/>
      <c r="K5" s="531"/>
      <c r="L5" s="531"/>
      <c r="M5" s="531"/>
      <c r="N5" s="531"/>
      <c r="O5" s="531"/>
      <c r="P5" s="531"/>
      <c r="Q5" s="531"/>
      <c r="R5" s="531"/>
      <c r="S5" s="531"/>
      <c r="T5" s="531"/>
      <c r="U5" s="70"/>
      <c r="V5" s="75" t="s">
        <v>90</v>
      </c>
    </row>
    <row r="6" spans="1:22" ht="6" customHeight="1" x14ac:dyDescent="0.2">
      <c r="A6" s="66"/>
      <c r="B6" s="165"/>
      <c r="C6" s="532"/>
      <c r="D6" s="532"/>
      <c r="E6" s="532"/>
      <c r="F6" s="533"/>
      <c r="G6" s="533"/>
      <c r="H6" s="533"/>
      <c r="I6" s="533"/>
      <c r="J6" s="533"/>
      <c r="K6" s="533"/>
      <c r="L6" s="533"/>
      <c r="M6" s="534"/>
      <c r="N6" s="534"/>
      <c r="O6" s="534"/>
      <c r="P6" s="166"/>
    </row>
    <row r="7" spans="1:22" ht="15" customHeight="1" x14ac:dyDescent="0.2">
      <c r="A7" s="66"/>
      <c r="B7" s="535" t="s">
        <v>22</v>
      </c>
      <c r="C7" s="535"/>
      <c r="D7" s="538" t="s">
        <v>23</v>
      </c>
      <c r="E7" s="168"/>
      <c r="F7" s="530" t="s">
        <v>59</v>
      </c>
      <c r="G7" s="530"/>
      <c r="H7" s="530"/>
      <c r="I7" s="530"/>
      <c r="J7" s="530"/>
      <c r="K7" s="530"/>
      <c r="L7" s="530"/>
      <c r="M7" s="530"/>
      <c r="N7" s="530"/>
      <c r="O7" s="530"/>
      <c r="P7" s="530"/>
      <c r="Q7" s="530"/>
      <c r="R7" s="530"/>
      <c r="S7" s="530"/>
      <c r="T7" s="530"/>
      <c r="U7" s="530"/>
      <c r="V7" s="530"/>
    </row>
    <row r="8" spans="1:22" ht="27" customHeight="1" x14ac:dyDescent="0.2">
      <c r="A8" s="66"/>
      <c r="B8" s="536"/>
      <c r="C8" s="536"/>
      <c r="D8" s="539"/>
      <c r="E8" s="169"/>
      <c r="F8" s="541" t="s">
        <v>60</v>
      </c>
      <c r="G8" s="541"/>
      <c r="H8" s="169"/>
      <c r="I8" s="541" t="s">
        <v>61</v>
      </c>
      <c r="J8" s="541"/>
      <c r="K8" s="170"/>
      <c r="L8" s="541" t="s">
        <v>77</v>
      </c>
      <c r="M8" s="541"/>
      <c r="N8" s="170"/>
      <c r="O8" s="530" t="s">
        <v>78</v>
      </c>
      <c r="P8" s="530"/>
      <c r="Q8" s="171"/>
      <c r="R8" s="530" t="s">
        <v>62</v>
      </c>
      <c r="S8" s="530"/>
      <c r="T8" s="171"/>
      <c r="U8" s="530" t="s">
        <v>19</v>
      </c>
      <c r="V8" s="530"/>
    </row>
    <row r="9" spans="1:22" ht="15" customHeight="1" x14ac:dyDescent="0.2">
      <c r="A9" s="12"/>
      <c r="B9" s="537"/>
      <c r="C9" s="537"/>
      <c r="D9" s="540"/>
      <c r="E9" s="172"/>
      <c r="F9" s="63" t="s">
        <v>13</v>
      </c>
      <c r="G9" s="63" t="s">
        <v>14</v>
      </c>
      <c r="H9" s="172"/>
      <c r="I9" s="63" t="s">
        <v>13</v>
      </c>
      <c r="J9" s="63" t="s">
        <v>14</v>
      </c>
      <c r="K9" s="173"/>
      <c r="L9" s="63" t="s">
        <v>13</v>
      </c>
      <c r="M9" s="63" t="s">
        <v>14</v>
      </c>
      <c r="N9" s="173"/>
      <c r="O9" s="63" t="s">
        <v>13</v>
      </c>
      <c r="P9" s="63" t="s">
        <v>14</v>
      </c>
      <c r="Q9" s="174"/>
      <c r="R9" s="63" t="s">
        <v>13</v>
      </c>
      <c r="S9" s="63" t="s">
        <v>14</v>
      </c>
      <c r="T9" s="174"/>
      <c r="U9" s="63" t="s">
        <v>13</v>
      </c>
      <c r="V9" s="63" t="s">
        <v>14</v>
      </c>
    </row>
    <row r="10" spans="1:22" ht="6" customHeight="1" x14ac:dyDescent="0.2">
      <c r="A10" s="67"/>
      <c r="B10" s="175"/>
      <c r="C10" s="175"/>
      <c r="D10" s="176"/>
      <c r="E10" s="176"/>
      <c r="F10" s="176"/>
      <c r="G10" s="170"/>
      <c r="H10" s="170"/>
      <c r="I10" s="177"/>
      <c r="J10" s="178"/>
      <c r="K10" s="178"/>
      <c r="L10" s="178"/>
      <c r="M10" s="178"/>
      <c r="N10" s="178"/>
      <c r="O10" s="178"/>
      <c r="P10" s="178"/>
    </row>
    <row r="11" spans="1:22" s="181" customFormat="1" ht="15" x14ac:dyDescent="0.2">
      <c r="A11" s="17"/>
      <c r="B11" s="10" t="s">
        <v>5</v>
      </c>
      <c r="C11" s="179"/>
      <c r="D11" s="159">
        <v>35662946.186790802</v>
      </c>
      <c r="E11" s="180"/>
      <c r="F11" s="159">
        <v>3327332.1416610298</v>
      </c>
      <c r="G11" s="159">
        <v>9.4188725058999996</v>
      </c>
      <c r="H11" s="180"/>
      <c r="I11" s="159">
        <v>4942938.0999531597</v>
      </c>
      <c r="J11" s="159">
        <v>13.987480129</v>
      </c>
      <c r="K11" s="50"/>
      <c r="L11" s="159">
        <v>10359686.992363101</v>
      </c>
      <c r="M11" s="159">
        <v>29.294524253100001</v>
      </c>
      <c r="N11" s="180"/>
      <c r="O11" s="159">
        <v>7438712.3734211996</v>
      </c>
      <c r="P11" s="159">
        <v>21.042948173999999</v>
      </c>
      <c r="Q11" s="180"/>
      <c r="R11" s="159">
        <v>8889756.0095975399</v>
      </c>
      <c r="S11" s="159">
        <v>25.171172521399999</v>
      </c>
      <c r="T11" s="51"/>
      <c r="U11" s="159">
        <v>1352741.65647774</v>
      </c>
      <c r="V11" s="159">
        <v>3.8309594794000001</v>
      </c>
    </row>
    <row r="12" spans="1:22" s="181" customFormat="1" ht="6" customHeight="1" x14ac:dyDescent="0.2">
      <c r="A12" s="11"/>
      <c r="B12" s="41"/>
      <c r="C12" s="179"/>
      <c r="D12" s="95"/>
      <c r="E12" s="180"/>
      <c r="F12" s="95"/>
      <c r="G12" s="96"/>
      <c r="H12" s="180"/>
      <c r="I12" s="95"/>
      <c r="J12" s="96"/>
      <c r="K12" s="50"/>
      <c r="L12" s="95"/>
      <c r="M12" s="96"/>
      <c r="N12" s="180"/>
      <c r="O12" s="95"/>
      <c r="P12" s="96"/>
      <c r="Q12" s="180"/>
      <c r="R12" s="95"/>
      <c r="S12" s="96"/>
      <c r="T12" s="50"/>
      <c r="U12" s="95"/>
      <c r="V12" s="96"/>
    </row>
    <row r="13" spans="1:22" ht="12.75" customHeight="1" x14ac:dyDescent="0.2">
      <c r="A13" s="11"/>
      <c r="B13" s="13" t="s">
        <v>26</v>
      </c>
      <c r="C13" s="182"/>
      <c r="D13" s="160">
        <v>401693.89670143899</v>
      </c>
      <c r="E13" s="183"/>
      <c r="F13" s="160">
        <v>49391.119685092301</v>
      </c>
      <c r="G13" s="160">
        <v>12.5721908728</v>
      </c>
      <c r="H13" s="183"/>
      <c r="I13" s="160">
        <v>45210.734012750698</v>
      </c>
      <c r="J13" s="160">
        <v>11.5999023599</v>
      </c>
      <c r="K13" s="50"/>
      <c r="L13" s="160">
        <v>128694.085442601</v>
      </c>
      <c r="M13" s="160">
        <v>33.249701840299998</v>
      </c>
      <c r="N13" s="183"/>
      <c r="O13" s="160">
        <v>85178.246774756306</v>
      </c>
      <c r="P13" s="160">
        <v>22.045006939899999</v>
      </c>
      <c r="Q13" s="183"/>
      <c r="R13" s="160">
        <v>100230.883283574</v>
      </c>
      <c r="S13" s="160">
        <v>25.921558429600001</v>
      </c>
      <c r="T13" s="52"/>
      <c r="U13" s="160">
        <v>32370.6113791061</v>
      </c>
      <c r="V13" s="160">
        <v>8.3660226366000003</v>
      </c>
    </row>
    <row r="14" spans="1:22" ht="12.75" customHeight="1" x14ac:dyDescent="0.2">
      <c r="A14" s="11"/>
      <c r="B14" s="13" t="s">
        <v>27</v>
      </c>
      <c r="C14" s="182"/>
      <c r="D14" s="160">
        <v>1194812.8712261601</v>
      </c>
      <c r="E14" s="183"/>
      <c r="F14" s="160">
        <v>88247.381477293005</v>
      </c>
      <c r="G14" s="160">
        <v>7.7113310250999998</v>
      </c>
      <c r="H14" s="183"/>
      <c r="I14" s="160">
        <v>201395.612306136</v>
      </c>
      <c r="J14" s="160">
        <v>17.461550285600001</v>
      </c>
      <c r="K14" s="50"/>
      <c r="L14" s="160">
        <v>462599.25214316399</v>
      </c>
      <c r="M14" s="160">
        <v>39.951424068199998</v>
      </c>
      <c r="N14" s="183"/>
      <c r="O14" s="160">
        <v>258965.28764495399</v>
      </c>
      <c r="P14" s="160">
        <v>22.476711192100002</v>
      </c>
      <c r="Q14" s="183"/>
      <c r="R14" s="160">
        <v>269883.43387596699</v>
      </c>
      <c r="S14" s="160">
        <v>23.4677358894</v>
      </c>
      <c r="T14" s="52"/>
      <c r="U14" s="160">
        <v>17020.148890054199</v>
      </c>
      <c r="V14" s="160">
        <v>1.4908084266999999</v>
      </c>
    </row>
    <row r="15" spans="1:22" ht="12.75" customHeight="1" x14ac:dyDescent="0.2">
      <c r="A15" s="12"/>
      <c r="B15" s="13" t="s">
        <v>28</v>
      </c>
      <c r="C15" s="182"/>
      <c r="D15" s="160">
        <v>256444.37902674099</v>
      </c>
      <c r="E15" s="183"/>
      <c r="F15" s="160">
        <v>63774.759984620599</v>
      </c>
      <c r="G15" s="160">
        <v>25.697656775700001</v>
      </c>
      <c r="H15" s="183"/>
      <c r="I15" s="160">
        <v>55734.292112789502</v>
      </c>
      <c r="J15" s="160">
        <v>22.594986962499998</v>
      </c>
      <c r="K15" s="50"/>
      <c r="L15" s="160">
        <v>78983.505206707297</v>
      </c>
      <c r="M15" s="160">
        <v>32.5509326687</v>
      </c>
      <c r="N15" s="183"/>
      <c r="O15" s="160">
        <v>33841.461068971897</v>
      </c>
      <c r="P15" s="160">
        <v>14.1222588265</v>
      </c>
      <c r="Q15" s="183"/>
      <c r="R15" s="160">
        <v>34915.846136617001</v>
      </c>
      <c r="S15" s="160">
        <v>14.643490958999999</v>
      </c>
      <c r="T15" s="52"/>
      <c r="U15" s="160">
        <v>15088.771193353499</v>
      </c>
      <c r="V15" s="160">
        <v>6.2008068294000003</v>
      </c>
    </row>
    <row r="16" spans="1:22" ht="12.75" customHeight="1" x14ac:dyDescent="0.2">
      <c r="A16" s="12"/>
      <c r="B16" s="13" t="s">
        <v>29</v>
      </c>
      <c r="C16" s="182"/>
      <c r="D16" s="160">
        <v>273665.04189377202</v>
      </c>
      <c r="E16" s="183"/>
      <c r="F16" s="160">
        <v>30749.0590169401</v>
      </c>
      <c r="G16" s="160">
        <v>11.684201826000001</v>
      </c>
      <c r="H16" s="183"/>
      <c r="I16" s="160">
        <v>51154.770548775901</v>
      </c>
      <c r="J16" s="160">
        <v>19.445281923100001</v>
      </c>
      <c r="K16" s="50"/>
      <c r="L16" s="160">
        <v>81052.276596044394</v>
      </c>
      <c r="M16" s="160">
        <v>30.853907781699998</v>
      </c>
      <c r="N16" s="183"/>
      <c r="O16" s="160">
        <v>54123.064815828599</v>
      </c>
      <c r="P16" s="160">
        <v>20.860111173899998</v>
      </c>
      <c r="Q16" s="183"/>
      <c r="R16" s="160">
        <v>59644.753797238001</v>
      </c>
      <c r="S16" s="160">
        <v>22.8377298825</v>
      </c>
      <c r="T16" s="52"/>
      <c r="U16" s="160">
        <v>11338.5989486691</v>
      </c>
      <c r="V16" s="160">
        <v>4.3742127771000003</v>
      </c>
    </row>
    <row r="17" spans="1:22" ht="12.75" customHeight="1" x14ac:dyDescent="0.2">
      <c r="A17" s="12"/>
      <c r="B17" s="13" t="s">
        <v>30</v>
      </c>
      <c r="C17" s="182"/>
      <c r="D17" s="128">
        <v>939555.89204201801</v>
      </c>
      <c r="E17" s="183"/>
      <c r="F17" s="128">
        <v>88260.113050837594</v>
      </c>
      <c r="G17" s="128">
        <v>9.7133873850000008</v>
      </c>
      <c r="H17" s="183"/>
      <c r="I17" s="128">
        <v>110837.187284078</v>
      </c>
      <c r="J17" s="128">
        <v>12.166509738</v>
      </c>
      <c r="K17" s="50"/>
      <c r="L17" s="128">
        <v>281771.26425158302</v>
      </c>
      <c r="M17" s="128">
        <v>31.0005145939</v>
      </c>
      <c r="N17" s="183"/>
      <c r="O17" s="128">
        <v>197351.74536420699</v>
      </c>
      <c r="P17" s="128">
        <v>21.7471316438</v>
      </c>
      <c r="Q17" s="183"/>
      <c r="R17" s="128">
        <v>278293.42740110098</v>
      </c>
      <c r="S17" s="128">
        <v>30.466169623500001</v>
      </c>
      <c r="T17" s="53"/>
      <c r="U17" s="128">
        <v>69197.373108688102</v>
      </c>
      <c r="V17" s="128">
        <v>7.5767271513000001</v>
      </c>
    </row>
    <row r="18" spans="1:22" ht="12.75" customHeight="1" x14ac:dyDescent="0.2">
      <c r="A18" s="21"/>
      <c r="B18" s="13" t="s">
        <v>31</v>
      </c>
      <c r="C18" s="182"/>
      <c r="D18" s="128">
        <v>243697.01868438401</v>
      </c>
      <c r="E18" s="183"/>
      <c r="F18" s="128">
        <v>30501.776665565201</v>
      </c>
      <c r="G18" s="128">
        <v>13.1863071401</v>
      </c>
      <c r="H18" s="183"/>
      <c r="I18" s="128">
        <v>36540.408611933999</v>
      </c>
      <c r="J18" s="128">
        <v>15.776050748399999</v>
      </c>
      <c r="K18" s="50"/>
      <c r="L18" s="128">
        <v>84579.927472214302</v>
      </c>
      <c r="M18" s="128">
        <v>36.142840437899999</v>
      </c>
      <c r="N18" s="183"/>
      <c r="O18" s="128">
        <v>53680.5261264652</v>
      </c>
      <c r="P18" s="128">
        <v>23.057863513200001</v>
      </c>
      <c r="Q18" s="183"/>
      <c r="R18" s="128">
        <v>47361.415627967603</v>
      </c>
      <c r="S18" s="128">
        <v>20.561678532999998</v>
      </c>
      <c r="T18" s="53"/>
      <c r="U18" s="128">
        <v>13997.4955661514</v>
      </c>
      <c r="V18" s="128">
        <v>6.0781276270999998</v>
      </c>
    </row>
    <row r="19" spans="1:22" ht="12.75" customHeight="1" x14ac:dyDescent="0.2">
      <c r="A19" s="21"/>
      <c r="B19" s="13" t="s">
        <v>32</v>
      </c>
      <c r="C19" s="182"/>
      <c r="D19" s="160">
        <v>1515154.20276339</v>
      </c>
      <c r="E19" s="183"/>
      <c r="F19" s="160">
        <v>224948.47724693001</v>
      </c>
      <c r="G19" s="160">
        <v>15.706374205199999</v>
      </c>
      <c r="H19" s="183"/>
      <c r="I19" s="160">
        <v>312463.03115551599</v>
      </c>
      <c r="J19" s="160">
        <v>21.556538823</v>
      </c>
      <c r="K19" s="50"/>
      <c r="L19" s="160">
        <v>452941.136378953</v>
      </c>
      <c r="M19" s="160">
        <v>31.658173849400001</v>
      </c>
      <c r="N19" s="183"/>
      <c r="O19" s="160">
        <v>290186.62423104298</v>
      </c>
      <c r="P19" s="160">
        <v>20.2436653818</v>
      </c>
      <c r="Q19" s="183"/>
      <c r="R19" s="160">
        <v>266927.69965974602</v>
      </c>
      <c r="S19" s="160">
        <v>18.3980384941</v>
      </c>
      <c r="T19" s="52"/>
      <c r="U19" s="160">
        <v>57286.951788876402</v>
      </c>
      <c r="V19" s="160">
        <v>4.0308711767999998</v>
      </c>
    </row>
    <row r="20" spans="1:22" ht="12.75" customHeight="1" x14ac:dyDescent="0.2">
      <c r="B20" s="13" t="s">
        <v>33</v>
      </c>
      <c r="C20" s="182"/>
      <c r="D20" s="160">
        <v>1177493.9072535899</v>
      </c>
      <c r="E20" s="183"/>
      <c r="F20" s="160">
        <v>83778.997565026206</v>
      </c>
      <c r="G20" s="160">
        <v>7.2928510607000003</v>
      </c>
      <c r="H20" s="183"/>
      <c r="I20" s="160">
        <v>145377.724046138</v>
      </c>
      <c r="J20" s="160">
        <v>12.6341613378</v>
      </c>
      <c r="K20" s="50"/>
      <c r="L20" s="160">
        <v>399980.37258125597</v>
      </c>
      <c r="M20" s="160">
        <v>34.908027052599998</v>
      </c>
      <c r="N20" s="183"/>
      <c r="O20" s="160">
        <v>283008.49649409798</v>
      </c>
      <c r="P20" s="160">
        <v>24.775652103500001</v>
      </c>
      <c r="Q20" s="183"/>
      <c r="R20" s="160">
        <v>331372.27544397302</v>
      </c>
      <c r="S20" s="160">
        <v>28.986986589499999</v>
      </c>
      <c r="T20" s="52"/>
      <c r="U20" s="160">
        <v>46860.834398355801</v>
      </c>
      <c r="V20" s="160">
        <v>4.0993220225</v>
      </c>
    </row>
    <row r="21" spans="1:22" ht="12.75" customHeight="1" x14ac:dyDescent="0.2">
      <c r="B21" s="13" t="s">
        <v>34</v>
      </c>
      <c r="C21" s="182"/>
      <c r="D21" s="160">
        <v>2802756.3492487799</v>
      </c>
      <c r="E21" s="183"/>
      <c r="F21" s="160">
        <v>116635.97284416499</v>
      </c>
      <c r="G21" s="160">
        <v>4.2660620146000001</v>
      </c>
      <c r="H21" s="183"/>
      <c r="I21" s="160">
        <v>273177.85752048501</v>
      </c>
      <c r="J21" s="160">
        <v>10.0187327348</v>
      </c>
      <c r="K21" s="50"/>
      <c r="L21" s="160">
        <v>611065.03699617996</v>
      </c>
      <c r="M21" s="160">
        <v>22.3528184179</v>
      </c>
      <c r="N21" s="183"/>
      <c r="O21" s="160">
        <v>608023.83871087804</v>
      </c>
      <c r="P21" s="160">
        <v>22.252024147099998</v>
      </c>
      <c r="Q21" s="183"/>
      <c r="R21" s="160">
        <v>1191047.1262888401</v>
      </c>
      <c r="S21" s="160">
        <v>43.663469902700001</v>
      </c>
      <c r="T21" s="52"/>
      <c r="U21" s="160">
        <v>207974.59332498</v>
      </c>
      <c r="V21" s="160">
        <v>7.6121846859</v>
      </c>
    </row>
    <row r="22" spans="1:22" ht="12.75" customHeight="1" x14ac:dyDescent="0.2">
      <c r="B22" s="13" t="s">
        <v>35</v>
      </c>
      <c r="C22" s="182"/>
      <c r="D22" s="160">
        <v>519941.24414162798</v>
      </c>
      <c r="E22" s="183"/>
      <c r="F22" s="160">
        <v>51722.1755299</v>
      </c>
      <c r="G22" s="160">
        <v>10.2853233445</v>
      </c>
      <c r="H22" s="183"/>
      <c r="I22" s="160">
        <v>68688.591874035701</v>
      </c>
      <c r="J22" s="160">
        <v>13.602408087400001</v>
      </c>
      <c r="K22" s="50"/>
      <c r="L22" s="160">
        <v>144321.70866152001</v>
      </c>
      <c r="M22" s="160">
        <v>28.610607597800001</v>
      </c>
      <c r="N22" s="183"/>
      <c r="O22" s="160">
        <v>113967.92530617899</v>
      </c>
      <c r="P22" s="160">
        <v>22.615069857400002</v>
      </c>
      <c r="Q22" s="183"/>
      <c r="R22" s="160">
        <v>161728.74130277199</v>
      </c>
      <c r="S22" s="160">
        <v>32.303975522000002</v>
      </c>
      <c r="T22" s="52"/>
      <c r="U22" s="160">
        <v>19442.477515991301</v>
      </c>
      <c r="V22" s="160">
        <v>3.8932800912999999</v>
      </c>
    </row>
    <row r="23" spans="1:22" ht="12.75" customHeight="1" x14ac:dyDescent="0.2">
      <c r="B23" s="13" t="s">
        <v>36</v>
      </c>
      <c r="C23" s="182"/>
      <c r="D23" s="160">
        <v>1650893.0803463401</v>
      </c>
      <c r="E23" s="183"/>
      <c r="F23" s="160">
        <v>268170.62885718199</v>
      </c>
      <c r="G23" s="160">
        <v>16.651277543900001</v>
      </c>
      <c r="H23" s="183"/>
      <c r="I23" s="160">
        <v>221334.40343300899</v>
      </c>
      <c r="J23" s="160">
        <v>13.927908713300001</v>
      </c>
      <c r="K23" s="50"/>
      <c r="L23" s="160">
        <v>502507.78823609097</v>
      </c>
      <c r="M23" s="160">
        <v>31.512707860999999</v>
      </c>
      <c r="N23" s="183"/>
      <c r="O23" s="160">
        <v>366155.367521526</v>
      </c>
      <c r="P23" s="160">
        <v>23.031412886199998</v>
      </c>
      <c r="Q23" s="183"/>
      <c r="R23" s="160">
        <v>395837.06259064202</v>
      </c>
      <c r="S23" s="160">
        <v>25.070894932800002</v>
      </c>
      <c r="T23" s="52"/>
      <c r="U23" s="160">
        <v>56668.5134147028</v>
      </c>
      <c r="V23" s="160">
        <v>3.5796155090999999</v>
      </c>
    </row>
    <row r="24" spans="1:22" ht="12.75" customHeight="1" x14ac:dyDescent="0.2">
      <c r="B24" s="13" t="s">
        <v>37</v>
      </c>
      <c r="C24" s="182"/>
      <c r="D24" s="160">
        <v>985997.54227468802</v>
      </c>
      <c r="E24" s="183"/>
      <c r="F24" s="160">
        <v>129007.73802414601</v>
      </c>
      <c r="G24" s="160">
        <v>13.669433828100001</v>
      </c>
      <c r="H24" s="183"/>
      <c r="I24" s="160">
        <v>180908.55171584699</v>
      </c>
      <c r="J24" s="160">
        <v>18.9478815891</v>
      </c>
      <c r="K24" s="50"/>
      <c r="L24" s="160">
        <v>275426.24247565703</v>
      </c>
      <c r="M24" s="160">
        <v>29.017759780999999</v>
      </c>
      <c r="N24" s="183"/>
      <c r="O24" s="160">
        <v>212722.832502301</v>
      </c>
      <c r="P24" s="160">
        <v>22.384045861200001</v>
      </c>
      <c r="Q24" s="183"/>
      <c r="R24" s="160">
        <v>218140.191109662</v>
      </c>
      <c r="S24" s="160">
        <v>22.995435092499999</v>
      </c>
      <c r="T24" s="52"/>
      <c r="U24" s="160">
        <v>29512.9715023262</v>
      </c>
      <c r="V24" s="160">
        <v>3.1483452619999999</v>
      </c>
    </row>
    <row r="25" spans="1:22" ht="12.75" customHeight="1" x14ac:dyDescent="0.2">
      <c r="B25" s="13" t="s">
        <v>38</v>
      </c>
      <c r="C25" s="182"/>
      <c r="D25" s="160">
        <v>896937.23275720899</v>
      </c>
      <c r="E25" s="183"/>
      <c r="F25" s="160">
        <v>111523.982934538</v>
      </c>
      <c r="G25" s="160">
        <v>12.985636339199999</v>
      </c>
      <c r="H25" s="183"/>
      <c r="I25" s="160">
        <v>135006.473035473</v>
      </c>
      <c r="J25" s="160">
        <v>15.6499753059</v>
      </c>
      <c r="K25" s="50"/>
      <c r="L25" s="160">
        <v>269142.21822390798</v>
      </c>
      <c r="M25" s="160">
        <v>30.988979954800001</v>
      </c>
      <c r="N25" s="183"/>
      <c r="O25" s="160">
        <v>203750.697970098</v>
      </c>
      <c r="P25" s="160">
        <v>23.534158608799999</v>
      </c>
      <c r="Q25" s="183"/>
      <c r="R25" s="160">
        <v>207036.87924489399</v>
      </c>
      <c r="S25" s="160">
        <v>23.941840138</v>
      </c>
      <c r="T25" s="52"/>
      <c r="U25" s="160">
        <v>37496.5910778666</v>
      </c>
      <c r="V25" s="160">
        <v>4.3567917748999996</v>
      </c>
    </row>
    <row r="26" spans="1:22" ht="12.75" customHeight="1" x14ac:dyDescent="0.2">
      <c r="B26" s="13" t="s">
        <v>39</v>
      </c>
      <c r="C26" s="182"/>
      <c r="D26" s="160">
        <v>2397392.87652244</v>
      </c>
      <c r="E26" s="183"/>
      <c r="F26" s="160">
        <v>121196.769807498</v>
      </c>
      <c r="G26" s="160">
        <v>5.2393618923999998</v>
      </c>
      <c r="H26" s="183"/>
      <c r="I26" s="160">
        <v>377453.52336157399</v>
      </c>
      <c r="J26" s="160">
        <v>16.329031450900001</v>
      </c>
      <c r="K26" s="50"/>
      <c r="L26" s="160">
        <v>794395.83972339402</v>
      </c>
      <c r="M26" s="160">
        <v>34.179782815099998</v>
      </c>
      <c r="N26" s="183"/>
      <c r="O26" s="160">
        <v>511587.81210579601</v>
      </c>
      <c r="P26" s="160">
        <v>21.962776258800002</v>
      </c>
      <c r="Q26" s="183"/>
      <c r="R26" s="160">
        <v>738046.08840026695</v>
      </c>
      <c r="S26" s="160">
        <v>31.8250753809</v>
      </c>
      <c r="T26" s="52"/>
      <c r="U26" s="160">
        <v>53348.144331616902</v>
      </c>
      <c r="V26" s="160">
        <v>2.3157145607</v>
      </c>
    </row>
    <row r="27" spans="1:22" ht="12.75" customHeight="1" x14ac:dyDescent="0.2">
      <c r="B27" s="13" t="s">
        <v>40</v>
      </c>
      <c r="C27" s="182"/>
      <c r="D27" s="160">
        <v>4873947.8104331996</v>
      </c>
      <c r="E27" s="183"/>
      <c r="F27" s="160">
        <v>412120.350295857</v>
      </c>
      <c r="G27" s="160">
        <v>8.8784563477000003</v>
      </c>
      <c r="H27" s="183"/>
      <c r="I27" s="160">
        <v>557364.66068386799</v>
      </c>
      <c r="J27" s="160">
        <v>12.0046117878</v>
      </c>
      <c r="K27" s="50"/>
      <c r="L27" s="160">
        <v>1369268.00348205</v>
      </c>
      <c r="M27" s="160">
        <v>29.185452232799999</v>
      </c>
      <c r="N27" s="183"/>
      <c r="O27" s="160">
        <v>1221660.70537591</v>
      </c>
      <c r="P27" s="160">
        <v>26.073427916299998</v>
      </c>
      <c r="Q27" s="183"/>
      <c r="R27" s="160">
        <v>1264773.20964061</v>
      </c>
      <c r="S27" s="160">
        <v>27.055018387600001</v>
      </c>
      <c r="T27" s="52"/>
      <c r="U27" s="160">
        <v>391180.35924436402</v>
      </c>
      <c r="V27" s="160">
        <v>8.3978852491999998</v>
      </c>
    </row>
    <row r="28" spans="1:22" ht="12.75" customHeight="1" x14ac:dyDescent="0.2">
      <c r="B28" s="13" t="s">
        <v>41</v>
      </c>
      <c r="C28" s="182"/>
      <c r="D28" s="160">
        <v>1368761.7985574501</v>
      </c>
      <c r="E28" s="183"/>
      <c r="F28" s="160">
        <v>154970.17703594401</v>
      </c>
      <c r="G28" s="160">
        <v>11.9929015623</v>
      </c>
      <c r="H28" s="183"/>
      <c r="I28" s="160">
        <v>237173.316358821</v>
      </c>
      <c r="J28" s="160">
        <v>18.165136681100002</v>
      </c>
      <c r="K28" s="50"/>
      <c r="L28" s="160">
        <v>406134.52566045802</v>
      </c>
      <c r="M28" s="160">
        <v>30.910417605799999</v>
      </c>
      <c r="N28" s="183"/>
      <c r="O28" s="160">
        <v>270458.18434573198</v>
      </c>
      <c r="P28" s="160">
        <v>20.726670358900002</v>
      </c>
      <c r="Q28" s="183"/>
      <c r="R28" s="160">
        <v>370418.70204125397</v>
      </c>
      <c r="S28" s="160">
        <v>28.290517105199999</v>
      </c>
      <c r="T28" s="52"/>
      <c r="U28" s="160">
        <v>26412.006985657499</v>
      </c>
      <c r="V28" s="160">
        <v>2.0294543543999999</v>
      </c>
    </row>
    <row r="29" spans="1:22" ht="12.75" customHeight="1" x14ac:dyDescent="0.2">
      <c r="B29" s="13" t="s">
        <v>42</v>
      </c>
      <c r="C29" s="182"/>
      <c r="D29" s="160">
        <v>610031.22610067902</v>
      </c>
      <c r="E29" s="183"/>
      <c r="F29" s="160">
        <v>49528.570795353997</v>
      </c>
      <c r="G29" s="160">
        <v>8.5146614586999991</v>
      </c>
      <c r="H29" s="183"/>
      <c r="I29" s="160">
        <v>86350.109120591398</v>
      </c>
      <c r="J29" s="160">
        <v>14.9844183511</v>
      </c>
      <c r="K29" s="50"/>
      <c r="L29" s="160">
        <v>154580.59540170201</v>
      </c>
      <c r="M29" s="160">
        <v>26.454007175899999</v>
      </c>
      <c r="N29" s="183"/>
      <c r="O29" s="160">
        <v>142866.38399355201</v>
      </c>
      <c r="P29" s="160">
        <v>24.395815800299999</v>
      </c>
      <c r="Q29" s="183"/>
      <c r="R29" s="160">
        <v>184121.83964016801</v>
      </c>
      <c r="S29" s="160">
        <v>31.127870320100001</v>
      </c>
      <c r="T29" s="52"/>
      <c r="U29" s="160">
        <v>31847.309080863</v>
      </c>
      <c r="V29" s="160">
        <v>5.5235742642999996</v>
      </c>
    </row>
    <row r="30" spans="1:22" ht="12.75" customHeight="1" x14ac:dyDescent="0.2">
      <c r="B30" s="13" t="s">
        <v>43</v>
      </c>
      <c r="C30" s="182"/>
      <c r="D30" s="160">
        <v>376533.335776983</v>
      </c>
      <c r="E30" s="183"/>
      <c r="F30" s="160">
        <v>42422.665239276903</v>
      </c>
      <c r="G30" s="160">
        <v>11.7075082727</v>
      </c>
      <c r="H30" s="183"/>
      <c r="I30" s="160">
        <v>67409.431782086904</v>
      </c>
      <c r="J30" s="160">
        <v>18.513212424500001</v>
      </c>
      <c r="K30" s="50"/>
      <c r="L30" s="160">
        <v>105406.51508042699</v>
      </c>
      <c r="M30" s="160">
        <v>29.103541503399999</v>
      </c>
      <c r="N30" s="183"/>
      <c r="O30" s="160">
        <v>77844.463279479896</v>
      </c>
      <c r="P30" s="160">
        <v>21.484435853299999</v>
      </c>
      <c r="Q30" s="183"/>
      <c r="R30" s="160">
        <v>103892.75221967199</v>
      </c>
      <c r="S30" s="160">
        <v>28.732137775799998</v>
      </c>
      <c r="T30" s="52"/>
      <c r="U30" s="160">
        <v>13491.836336316601</v>
      </c>
      <c r="V30" s="160">
        <v>3.7381923081999999</v>
      </c>
    </row>
    <row r="31" spans="1:22" ht="12.75" customHeight="1" x14ac:dyDescent="0.2">
      <c r="B31" s="13" t="s">
        <v>44</v>
      </c>
      <c r="C31" s="182"/>
      <c r="D31" s="160">
        <v>1738437.8778178</v>
      </c>
      <c r="E31" s="183"/>
      <c r="F31" s="160">
        <v>186173.916505217</v>
      </c>
      <c r="G31" s="160">
        <v>11.1601485585</v>
      </c>
      <c r="H31" s="183"/>
      <c r="I31" s="160">
        <v>313073.47999989201</v>
      </c>
      <c r="J31" s="160">
        <v>18.4357815573</v>
      </c>
      <c r="K31" s="50"/>
      <c r="L31" s="160">
        <v>505483.784030226</v>
      </c>
      <c r="M31" s="160">
        <v>30.154159206300001</v>
      </c>
      <c r="N31" s="183"/>
      <c r="O31" s="160">
        <v>385415.09436915698</v>
      </c>
      <c r="P31" s="160">
        <v>23.294611068199998</v>
      </c>
      <c r="Q31" s="183"/>
      <c r="R31" s="160">
        <v>490463.983508481</v>
      </c>
      <c r="S31" s="160">
        <v>29.752621814499999</v>
      </c>
      <c r="T31" s="52"/>
      <c r="U31" s="160">
        <v>43839.6061628893</v>
      </c>
      <c r="V31" s="160">
        <v>2.6465000964000001</v>
      </c>
    </row>
    <row r="32" spans="1:22" ht="12.75" customHeight="1" x14ac:dyDescent="0.2">
      <c r="B32" s="13" t="s">
        <v>45</v>
      </c>
      <c r="C32" s="182"/>
      <c r="D32" s="160">
        <v>1203423.9761956099</v>
      </c>
      <c r="E32" s="183"/>
      <c r="F32" s="160">
        <v>169556.579938835</v>
      </c>
      <c r="G32" s="160">
        <v>14.7826002715</v>
      </c>
      <c r="H32" s="183"/>
      <c r="I32" s="160">
        <v>216003.70643065899</v>
      </c>
      <c r="J32" s="160">
        <v>18.846100982799999</v>
      </c>
      <c r="K32" s="50"/>
      <c r="L32" s="160">
        <v>361150.12877101399</v>
      </c>
      <c r="M32" s="160">
        <v>31.914031371299998</v>
      </c>
      <c r="N32" s="183"/>
      <c r="O32" s="160">
        <v>234876.05624510601</v>
      </c>
      <c r="P32" s="160">
        <v>20.541889801</v>
      </c>
      <c r="Q32" s="183"/>
      <c r="R32" s="160">
        <v>248205.70108892399</v>
      </c>
      <c r="S32" s="160">
        <v>21.7839407847</v>
      </c>
      <c r="T32" s="52"/>
      <c r="U32" s="160">
        <v>43529.786666798798</v>
      </c>
      <c r="V32" s="160">
        <v>3.8164844565</v>
      </c>
    </row>
    <row r="33" spans="2:22" ht="12.75" customHeight="1" x14ac:dyDescent="0.2">
      <c r="B33" s="13" t="s">
        <v>46</v>
      </c>
      <c r="C33" s="182"/>
      <c r="D33" s="160">
        <v>1815906.8952740801</v>
      </c>
      <c r="E33" s="183"/>
      <c r="F33" s="160">
        <v>200991.82759397299</v>
      </c>
      <c r="G33" s="160">
        <v>11.5465889017</v>
      </c>
      <c r="H33" s="183"/>
      <c r="I33" s="160">
        <v>318328.88781104499</v>
      </c>
      <c r="J33" s="160">
        <v>18.107578484299999</v>
      </c>
      <c r="K33" s="50"/>
      <c r="L33" s="160">
        <v>608578.69777120405</v>
      </c>
      <c r="M33" s="160">
        <v>34.6086377751</v>
      </c>
      <c r="N33" s="183"/>
      <c r="O33" s="160">
        <v>372061.04624021298</v>
      </c>
      <c r="P33" s="160">
        <v>21.594297452900001</v>
      </c>
      <c r="Q33" s="183"/>
      <c r="R33" s="160">
        <v>379131.80284737301</v>
      </c>
      <c r="S33" s="160">
        <v>22.103431973599999</v>
      </c>
      <c r="T33" s="52"/>
      <c r="U33" s="160">
        <v>50542.429294098103</v>
      </c>
      <c r="V33" s="160">
        <v>2.9399437474000001</v>
      </c>
    </row>
    <row r="34" spans="2:22" ht="12.75" customHeight="1" x14ac:dyDescent="0.2">
      <c r="B34" s="13" t="s">
        <v>47</v>
      </c>
      <c r="C34" s="182"/>
      <c r="D34" s="160">
        <v>715683.99233961198</v>
      </c>
      <c r="E34" s="183"/>
      <c r="F34" s="160">
        <v>95455.953446681597</v>
      </c>
      <c r="G34" s="160">
        <v>14.128972130499999</v>
      </c>
      <c r="H34" s="183"/>
      <c r="I34" s="160">
        <v>140650.018268132</v>
      </c>
      <c r="J34" s="160">
        <v>20.546198280399999</v>
      </c>
      <c r="K34" s="50"/>
      <c r="L34" s="160">
        <v>235137.23843722901</v>
      </c>
      <c r="M34" s="160">
        <v>34.496050107599999</v>
      </c>
      <c r="N34" s="183"/>
      <c r="O34" s="160">
        <v>145916.21332475601</v>
      </c>
      <c r="P34" s="160">
        <v>21.8645751936</v>
      </c>
      <c r="Q34" s="183"/>
      <c r="R34" s="160">
        <v>134029.15763692599</v>
      </c>
      <c r="S34" s="160">
        <v>20.2787653283</v>
      </c>
      <c r="T34" s="52"/>
      <c r="U34" s="160">
        <v>18682.967179311101</v>
      </c>
      <c r="V34" s="160">
        <v>2.8371032976000001</v>
      </c>
    </row>
    <row r="35" spans="2:22" ht="12.75" customHeight="1" x14ac:dyDescent="0.2">
      <c r="B35" s="13" t="s">
        <v>48</v>
      </c>
      <c r="C35" s="182"/>
      <c r="D35" s="160">
        <v>594621.99606358097</v>
      </c>
      <c r="E35" s="183"/>
      <c r="F35" s="160">
        <v>117298.01536305</v>
      </c>
      <c r="G35" s="160">
        <v>20.5538670603</v>
      </c>
      <c r="H35" s="183"/>
      <c r="I35" s="160">
        <v>134209.89005338401</v>
      </c>
      <c r="J35" s="160">
        <v>23.309060673099999</v>
      </c>
      <c r="K35" s="50"/>
      <c r="L35" s="160">
        <v>200272.919874563</v>
      </c>
      <c r="M35" s="160">
        <v>35.913832234099999</v>
      </c>
      <c r="N35" s="183"/>
      <c r="O35" s="160">
        <v>103182.081494502</v>
      </c>
      <c r="P35" s="160">
        <v>18.677667318499999</v>
      </c>
      <c r="Q35" s="183"/>
      <c r="R35" s="160">
        <v>50260.919445140004</v>
      </c>
      <c r="S35" s="160">
        <v>9.1312735486999994</v>
      </c>
      <c r="T35" s="54"/>
      <c r="U35" s="160">
        <v>44254.359938531503</v>
      </c>
      <c r="V35" s="160">
        <v>7.9584478961</v>
      </c>
    </row>
    <row r="36" spans="2:22" ht="12.75" customHeight="1" x14ac:dyDescent="0.2">
      <c r="B36" s="13" t="s">
        <v>49</v>
      </c>
      <c r="C36" s="182"/>
      <c r="D36" s="160">
        <v>798902.49386140495</v>
      </c>
      <c r="E36" s="183"/>
      <c r="F36" s="160">
        <v>61116.883029003198</v>
      </c>
      <c r="G36" s="160">
        <v>7.8951601498999997</v>
      </c>
      <c r="H36" s="183"/>
      <c r="I36" s="160">
        <v>109650.892214858</v>
      </c>
      <c r="J36" s="160">
        <v>14.069073532499999</v>
      </c>
      <c r="K36" s="50"/>
      <c r="L36" s="160">
        <v>264296.708496876</v>
      </c>
      <c r="M36" s="160">
        <v>33.920092052900003</v>
      </c>
      <c r="N36" s="183"/>
      <c r="O36" s="160">
        <v>179730.781982424</v>
      </c>
      <c r="P36" s="160">
        <v>23.195995700800001</v>
      </c>
      <c r="Q36" s="183"/>
      <c r="R36" s="160">
        <v>245408.246478924</v>
      </c>
      <c r="S36" s="160">
        <v>31.7340464583</v>
      </c>
      <c r="T36" s="52"/>
      <c r="U36" s="160">
        <v>9778.9384734445994</v>
      </c>
      <c r="V36" s="160">
        <v>1.2650371653000001</v>
      </c>
    </row>
    <row r="37" spans="2:22" ht="12.75" customHeight="1" x14ac:dyDescent="0.2">
      <c r="B37" s="13" t="s">
        <v>50</v>
      </c>
      <c r="C37" s="182"/>
      <c r="D37" s="160">
        <v>894882.02839481703</v>
      </c>
      <c r="E37" s="183"/>
      <c r="F37" s="160">
        <v>97248.680744929996</v>
      </c>
      <c r="G37" s="160">
        <v>11.119744011</v>
      </c>
      <c r="H37" s="183"/>
      <c r="I37" s="160">
        <v>121800.202074998</v>
      </c>
      <c r="J37" s="160">
        <v>14.1088797475</v>
      </c>
      <c r="K37" s="50"/>
      <c r="L37" s="160">
        <v>262062.233945135</v>
      </c>
      <c r="M37" s="160">
        <v>30.362764375299999</v>
      </c>
      <c r="N37" s="183"/>
      <c r="O37" s="160">
        <v>225445.74204908201</v>
      </c>
      <c r="P37" s="160">
        <v>26.030302232099999</v>
      </c>
      <c r="Q37" s="183"/>
      <c r="R37" s="160">
        <v>233624.74971044101</v>
      </c>
      <c r="S37" s="160">
        <v>26.969793127100001</v>
      </c>
      <c r="T37" s="52"/>
      <c r="U37" s="160">
        <v>30116.467285991701</v>
      </c>
      <c r="V37" s="160">
        <v>3.4761200095999998</v>
      </c>
    </row>
    <row r="38" spans="2:22" ht="12.75" customHeight="1" x14ac:dyDescent="0.2">
      <c r="B38" s="13" t="s">
        <v>51</v>
      </c>
      <c r="C38" s="182"/>
      <c r="D38" s="160">
        <v>919536.67017451499</v>
      </c>
      <c r="E38" s="183"/>
      <c r="F38" s="160">
        <v>113173.438256729</v>
      </c>
      <c r="G38" s="160">
        <v>12.733481553900001</v>
      </c>
      <c r="H38" s="183"/>
      <c r="I38" s="160">
        <v>142652.908536028</v>
      </c>
      <c r="J38" s="160">
        <v>16.003476150899999</v>
      </c>
      <c r="K38" s="50"/>
      <c r="L38" s="160">
        <v>257052.55296833601</v>
      </c>
      <c r="M38" s="160">
        <v>29.285550695000001</v>
      </c>
      <c r="N38" s="183"/>
      <c r="O38" s="160">
        <v>204495.83614496799</v>
      </c>
      <c r="P38" s="160">
        <v>23.2461564428</v>
      </c>
      <c r="Q38" s="52"/>
      <c r="R38" s="160">
        <v>265431.30361225299</v>
      </c>
      <c r="S38" s="160">
        <v>30.190586381399999</v>
      </c>
      <c r="T38" s="52"/>
      <c r="U38" s="160">
        <v>12483.8821986198</v>
      </c>
      <c r="V38" s="160">
        <v>1.4191053977999999</v>
      </c>
    </row>
    <row r="39" spans="2:22" ht="12.75" customHeight="1" x14ac:dyDescent="0.2">
      <c r="B39" s="13" t="s">
        <v>52</v>
      </c>
      <c r="C39" s="182"/>
      <c r="D39" s="160">
        <v>723495.24159213202</v>
      </c>
      <c r="E39" s="183"/>
      <c r="F39" s="160">
        <v>103217.51777196</v>
      </c>
      <c r="G39" s="160">
        <v>15.0955784162</v>
      </c>
      <c r="H39" s="183"/>
      <c r="I39" s="160">
        <v>119662.288282832</v>
      </c>
      <c r="J39" s="160">
        <v>17.519489433699999</v>
      </c>
      <c r="K39" s="50"/>
      <c r="L39" s="160">
        <v>206305.283547064</v>
      </c>
      <c r="M39" s="160">
        <v>29.650383096199999</v>
      </c>
      <c r="N39" s="183"/>
      <c r="O39" s="160">
        <v>164173.757257483</v>
      </c>
      <c r="P39" s="160">
        <v>23.435375515600001</v>
      </c>
      <c r="Q39" s="183"/>
      <c r="R39" s="160">
        <v>163109.099833694</v>
      </c>
      <c r="S39" s="160">
        <v>23.511652359700001</v>
      </c>
      <c r="T39" s="52"/>
      <c r="U39" s="160">
        <v>14675.912090051999</v>
      </c>
      <c r="V39" s="160">
        <v>2.1447532701999998</v>
      </c>
    </row>
    <row r="40" spans="2:22" ht="12.75" customHeight="1" x14ac:dyDescent="0.2">
      <c r="B40" s="13" t="s">
        <v>53</v>
      </c>
      <c r="C40" s="182"/>
      <c r="D40" s="160">
        <v>1089179.94614529</v>
      </c>
      <c r="E40" s="183"/>
      <c r="F40" s="160">
        <v>149534.565640366</v>
      </c>
      <c r="G40" s="160">
        <v>14.0353872816</v>
      </c>
      <c r="H40" s="183"/>
      <c r="I40" s="160">
        <v>141693.84412451199</v>
      </c>
      <c r="J40" s="160">
        <v>13.352887312</v>
      </c>
      <c r="K40" s="50"/>
      <c r="L40" s="160">
        <v>384416.832474211</v>
      </c>
      <c r="M40" s="160">
        <v>36.453799099400001</v>
      </c>
      <c r="N40" s="183"/>
      <c r="O40" s="160">
        <v>229113.27069844501</v>
      </c>
      <c r="P40" s="160">
        <v>21.810793431699999</v>
      </c>
      <c r="Q40" s="183"/>
      <c r="R40" s="160">
        <v>223507.057457494</v>
      </c>
      <c r="S40" s="160">
        <v>21.193456138999998</v>
      </c>
      <c r="T40" s="52"/>
      <c r="U40" s="160">
        <v>56359.812456328698</v>
      </c>
      <c r="V40" s="160">
        <v>5.3541625199</v>
      </c>
    </row>
    <row r="41" spans="2:22" ht="12.75" customHeight="1" x14ac:dyDescent="0.2">
      <c r="B41" s="13" t="s">
        <v>54</v>
      </c>
      <c r="C41" s="182"/>
      <c r="D41" s="160">
        <v>350536.38098277798</v>
      </c>
      <c r="E41" s="183"/>
      <c r="F41" s="160">
        <v>31442.3787082415</v>
      </c>
      <c r="G41" s="160">
        <v>9.2872541139999996</v>
      </c>
      <c r="H41" s="183"/>
      <c r="I41" s="160">
        <v>57844.027485710998</v>
      </c>
      <c r="J41" s="160">
        <v>17.0737410851</v>
      </c>
      <c r="K41" s="50"/>
      <c r="L41" s="160">
        <v>105146.911721752</v>
      </c>
      <c r="M41" s="160">
        <v>31.011912755400001</v>
      </c>
      <c r="N41" s="183"/>
      <c r="O41" s="160">
        <v>74232.491958270693</v>
      </c>
      <c r="P41" s="160">
        <v>21.905315992999999</v>
      </c>
      <c r="Q41" s="183"/>
      <c r="R41" s="160">
        <v>92764.312466978197</v>
      </c>
      <c r="S41" s="160">
        <v>27.416406719800001</v>
      </c>
      <c r="T41" s="52"/>
      <c r="U41" s="160">
        <v>10168.3627781999</v>
      </c>
      <c r="V41" s="160">
        <v>3.0201081739000002</v>
      </c>
    </row>
    <row r="42" spans="2:22" ht="12.75" customHeight="1" x14ac:dyDescent="0.2">
      <c r="B42" s="13" t="s">
        <v>55</v>
      </c>
      <c r="C42" s="182"/>
      <c r="D42" s="160">
        <v>2493851.99731659</v>
      </c>
      <c r="E42" s="183"/>
      <c r="F42" s="160">
        <v>292268.69279528101</v>
      </c>
      <c r="G42" s="160">
        <v>12.247342162600001</v>
      </c>
      <c r="H42" s="183"/>
      <c r="I42" s="160">
        <v>400450.25753133802</v>
      </c>
      <c r="J42" s="160">
        <v>16.8239516937</v>
      </c>
      <c r="K42" s="50"/>
      <c r="L42" s="160">
        <v>825794.34310690605</v>
      </c>
      <c r="M42" s="160">
        <v>34.225585814399999</v>
      </c>
      <c r="N42" s="183"/>
      <c r="O42" s="160">
        <v>508366.509837433</v>
      </c>
      <c r="P42" s="160">
        <v>21.0109198259</v>
      </c>
      <c r="Q42" s="183"/>
      <c r="R42" s="160">
        <v>566083.82156017295</v>
      </c>
      <c r="S42" s="160">
        <v>23.742710366099999</v>
      </c>
      <c r="T42" s="52"/>
      <c r="U42" s="160">
        <v>68407.337781651193</v>
      </c>
      <c r="V42" s="160">
        <v>2.8817118820999998</v>
      </c>
    </row>
    <row r="43" spans="2:22" ht="12.75" customHeight="1" x14ac:dyDescent="0.2">
      <c r="B43" s="13" t="s">
        <v>56</v>
      </c>
      <c r="C43" s="182"/>
      <c r="D43" s="160">
        <v>696285.83140589495</v>
      </c>
      <c r="E43" s="183"/>
      <c r="F43" s="160">
        <v>83193.056702079906</v>
      </c>
      <c r="G43" s="160">
        <v>12.449366427199999</v>
      </c>
      <c r="H43" s="183"/>
      <c r="I43" s="160">
        <v>120646.04085420701</v>
      </c>
      <c r="J43" s="160">
        <v>18.017112814099999</v>
      </c>
      <c r="K43" s="50"/>
      <c r="L43" s="160">
        <v>207966.58253305699</v>
      </c>
      <c r="M43" s="160">
        <v>31.099453047600001</v>
      </c>
      <c r="N43" s="183"/>
      <c r="O43" s="160">
        <v>150085.029382015</v>
      </c>
      <c r="P43" s="160">
        <v>22.600946058200002</v>
      </c>
      <c r="Q43" s="183"/>
      <c r="R43" s="160">
        <v>165601.96796726799</v>
      </c>
      <c r="S43" s="160">
        <v>24.969509842000001</v>
      </c>
      <c r="T43" s="52"/>
      <c r="U43" s="160">
        <v>22797.549731314801</v>
      </c>
      <c r="V43" s="160">
        <v>3.4364582282999998</v>
      </c>
    </row>
    <row r="44" spans="2:22" ht="12.75" customHeight="1" x14ac:dyDescent="0.2">
      <c r="B44" s="13" t="s">
        <v>57</v>
      </c>
      <c r="C44" s="182"/>
      <c r="D44" s="160">
        <v>479515.47820355999</v>
      </c>
      <c r="E44" s="183"/>
      <c r="F44" s="160">
        <v>58077.3480625804</v>
      </c>
      <c r="G44" s="160">
        <v>12.701220468000001</v>
      </c>
      <c r="H44" s="183"/>
      <c r="I44" s="160">
        <v>55837.964036824997</v>
      </c>
      <c r="J44" s="160">
        <v>12.2598442859</v>
      </c>
      <c r="K44" s="50"/>
      <c r="L44" s="160">
        <v>119163.04016531901</v>
      </c>
      <c r="M44" s="160">
        <v>26.139931798300001</v>
      </c>
      <c r="N44" s="183"/>
      <c r="O44" s="160">
        <v>96300.646960667</v>
      </c>
      <c r="P44" s="160">
        <v>21.004694109300001</v>
      </c>
      <c r="Q44" s="183"/>
      <c r="R44" s="160">
        <v>170173.143387399</v>
      </c>
      <c r="S44" s="160">
        <v>36.817484596500002</v>
      </c>
      <c r="T44" s="52"/>
      <c r="U44" s="160">
        <v>14247.992808257701</v>
      </c>
      <c r="V44" s="160">
        <v>3.1326975976</v>
      </c>
    </row>
    <row r="45" spans="2:22" ht="6" customHeight="1" x14ac:dyDescent="0.2">
      <c r="B45" s="14"/>
      <c r="C45" s="14"/>
      <c r="D45" s="4"/>
      <c r="E45" s="184"/>
      <c r="F45" s="4"/>
      <c r="G45" s="185"/>
      <c r="H45" s="185"/>
      <c r="I45" s="4"/>
      <c r="J45" s="185"/>
      <c r="K45" s="186"/>
      <c r="L45" s="4"/>
      <c r="M45" s="185"/>
      <c r="N45" s="187"/>
      <c r="O45" s="4"/>
      <c r="P45" s="185"/>
      <c r="Q45" s="185"/>
      <c r="R45" s="185"/>
      <c r="S45" s="185"/>
      <c r="T45" s="185"/>
      <c r="U45" s="185"/>
      <c r="V45" s="185"/>
    </row>
    <row r="46" spans="2:22" ht="6" customHeight="1" x14ac:dyDescent="0.2">
      <c r="B46" s="188"/>
      <c r="C46" s="189"/>
      <c r="D46" s="189"/>
      <c r="E46" s="189"/>
      <c r="F46" s="189"/>
      <c r="G46" s="190"/>
      <c r="H46" s="190"/>
      <c r="I46" s="190"/>
      <c r="J46" s="191"/>
      <c r="K46" s="191"/>
      <c r="L46" s="190"/>
      <c r="M46" s="191"/>
      <c r="N46" s="191"/>
      <c r="O46" s="188"/>
      <c r="P46" s="192"/>
      <c r="V46" s="1"/>
    </row>
    <row r="47" spans="2:22" s="89" customFormat="1" ht="11.25" customHeight="1" x14ac:dyDescent="0.2">
      <c r="B47" s="24" t="s">
        <v>9</v>
      </c>
    </row>
    <row r="48" spans="2:22" ht="12.75" customHeight="1" x14ac:dyDescent="0.2">
      <c r="V48" s="1"/>
    </row>
    <row r="49" spans="22:22" ht="12.75" customHeight="1" x14ac:dyDescent="0.2">
      <c r="V49" s="1"/>
    </row>
    <row r="50" spans="22:22" ht="12.75" customHeight="1" x14ac:dyDescent="0.2">
      <c r="V50" s="1"/>
    </row>
    <row r="51" spans="22:22" ht="12.75" customHeight="1" x14ac:dyDescent="0.2">
      <c r="V51" s="1"/>
    </row>
    <row r="52" spans="22:22" ht="12.75" customHeight="1" x14ac:dyDescent="0.2">
      <c r="V52" s="1"/>
    </row>
    <row r="53" spans="22:22" ht="12.75" customHeight="1" x14ac:dyDescent="0.2">
      <c r="V53" s="1"/>
    </row>
    <row r="54" spans="22:22" ht="12.75" customHeight="1" x14ac:dyDescent="0.2">
      <c r="V54" s="1"/>
    </row>
    <row r="55" spans="22:22" ht="12.75" customHeight="1" x14ac:dyDescent="0.2">
      <c r="V55" s="1"/>
    </row>
    <row r="56" spans="22:22" ht="12.75" customHeight="1" x14ac:dyDescent="0.2">
      <c r="V56" s="1"/>
    </row>
    <row r="57" spans="22:22" ht="12.75" customHeight="1" x14ac:dyDescent="0.2">
      <c r="V57" s="1"/>
    </row>
    <row r="58" spans="22:22" ht="12.75" customHeight="1" x14ac:dyDescent="0.2">
      <c r="V58" s="1"/>
    </row>
    <row r="59" spans="22:22" ht="12.75" customHeight="1" x14ac:dyDescent="0.2">
      <c r="V59" s="1"/>
    </row>
    <row r="60" spans="22:22" ht="12.75" customHeight="1" x14ac:dyDescent="0.2">
      <c r="V60" s="1"/>
    </row>
    <row r="61" spans="22:22" ht="12.75" customHeight="1" x14ac:dyDescent="0.2">
      <c r="V61" s="1"/>
    </row>
    <row r="62" spans="22:22" ht="12.75" customHeight="1" x14ac:dyDescent="0.2">
      <c r="V62" s="1"/>
    </row>
    <row r="63" spans="22:22" ht="12.75" customHeight="1" x14ac:dyDescent="0.2">
      <c r="V63" s="1"/>
    </row>
    <row r="64" spans="22:22" ht="12.75" customHeight="1" x14ac:dyDescent="0.2">
      <c r="V64" s="1"/>
    </row>
    <row r="65" spans="22:22" ht="12.75" customHeight="1" x14ac:dyDescent="0.2">
      <c r="V65" s="1"/>
    </row>
    <row r="66" spans="22:22" ht="12.75" customHeight="1" x14ac:dyDescent="0.2">
      <c r="V66" s="1"/>
    </row>
    <row r="67" spans="22:22" ht="12.75" customHeight="1" x14ac:dyDescent="0.2">
      <c r="V67" s="1"/>
    </row>
    <row r="68" spans="22:22" ht="12.75" customHeight="1" x14ac:dyDescent="0.2">
      <c r="V68" s="1"/>
    </row>
    <row r="69" spans="22:22" ht="12.75" customHeight="1" x14ac:dyDescent="0.2">
      <c r="V69" s="1"/>
    </row>
    <row r="70" spans="22:22" ht="12.75" customHeight="1" x14ac:dyDescent="0.2">
      <c r="V70" s="1"/>
    </row>
    <row r="71" spans="22:22" ht="12.75" customHeight="1" x14ac:dyDescent="0.2">
      <c r="V71" s="1"/>
    </row>
    <row r="72" spans="22:22" ht="12.75" customHeight="1" x14ac:dyDescent="0.2">
      <c r="V72" s="1"/>
    </row>
    <row r="73" spans="22:22" ht="12.75" customHeight="1" x14ac:dyDescent="0.2">
      <c r="V73" s="1"/>
    </row>
    <row r="74" spans="22:22" ht="12.75" customHeight="1" x14ac:dyDescent="0.2">
      <c r="V74" s="1"/>
    </row>
    <row r="75" spans="22:22" ht="12.75" customHeight="1" x14ac:dyDescent="0.2">
      <c r="V75" s="1"/>
    </row>
    <row r="76" spans="22:22" ht="12.75" customHeight="1" x14ac:dyDescent="0.2">
      <c r="V76" s="1"/>
    </row>
    <row r="77" spans="22:22" ht="12.75" customHeight="1" x14ac:dyDescent="0.2">
      <c r="V77" s="1"/>
    </row>
    <row r="78" spans="22:22" ht="12.75" customHeight="1" x14ac:dyDescent="0.2">
      <c r="V78" s="1"/>
    </row>
    <row r="79" spans="22:22" ht="12.75" customHeight="1" x14ac:dyDescent="0.2">
      <c r="V79" s="1"/>
    </row>
    <row r="80" spans="22:22" ht="12.75" customHeight="1" x14ac:dyDescent="0.2">
      <c r="V80" s="1"/>
    </row>
    <row r="81" spans="22:22" ht="12.75" customHeight="1" x14ac:dyDescent="0.2">
      <c r="V81" s="1"/>
    </row>
    <row r="82" spans="22:22" ht="12.75" customHeight="1" x14ac:dyDescent="0.2">
      <c r="V82" s="1"/>
    </row>
    <row r="83" spans="22:22" ht="12.75" customHeight="1" x14ac:dyDescent="0.2">
      <c r="V83" s="1"/>
    </row>
    <row r="84" spans="22:22" ht="12.75" customHeight="1" x14ac:dyDescent="0.2">
      <c r="V84" s="1"/>
    </row>
    <row r="85" spans="22:22" ht="12.75" customHeight="1" x14ac:dyDescent="0.2">
      <c r="V85" s="1"/>
    </row>
    <row r="86" spans="22:22" ht="12.75" customHeight="1" x14ac:dyDescent="0.2">
      <c r="V86" s="1"/>
    </row>
    <row r="87" spans="22:22" ht="12.75" customHeight="1" x14ac:dyDescent="0.2">
      <c r="V87" s="1"/>
    </row>
    <row r="88" spans="22:22" ht="12.75" customHeight="1" x14ac:dyDescent="0.2">
      <c r="V88" s="1"/>
    </row>
    <row r="89" spans="22:22" ht="12.75" customHeight="1" x14ac:dyDescent="0.2">
      <c r="V89" s="1"/>
    </row>
    <row r="90" spans="22:22" ht="12.75" customHeight="1" x14ac:dyDescent="0.2">
      <c r="V90" s="1"/>
    </row>
    <row r="91" spans="22:22" ht="12.75" customHeight="1" x14ac:dyDescent="0.2">
      <c r="V91" s="1"/>
    </row>
    <row r="92" spans="22:22" ht="12.75" customHeight="1" x14ac:dyDescent="0.2">
      <c r="V92" s="1"/>
    </row>
    <row r="93" spans="22:22" ht="12.75" customHeight="1" x14ac:dyDescent="0.2">
      <c r="V93" s="1"/>
    </row>
    <row r="94" spans="22:22" ht="12.75" customHeight="1" x14ac:dyDescent="0.2">
      <c r="V94" s="1"/>
    </row>
    <row r="95" spans="22:22" ht="12.75" customHeight="1" x14ac:dyDescent="0.2">
      <c r="V95" s="1"/>
    </row>
    <row r="96" spans="22:22" ht="12.75" customHeight="1" x14ac:dyDescent="0.2">
      <c r="V96" s="1"/>
    </row>
    <row r="97" spans="22:22" ht="12.75" customHeight="1" x14ac:dyDescent="0.2">
      <c r="V97" s="1"/>
    </row>
  </sheetData>
  <mergeCells count="11">
    <mergeCell ref="U8:V8"/>
    <mergeCell ref="B5:T5"/>
    <mergeCell ref="C6:O6"/>
    <mergeCell ref="B7:C9"/>
    <mergeCell ref="D7:D9"/>
    <mergeCell ref="F7:V7"/>
    <mergeCell ref="F8:G8"/>
    <mergeCell ref="I8:J8"/>
    <mergeCell ref="L8:M8"/>
    <mergeCell ref="O8:P8"/>
    <mergeCell ref="R8:S8"/>
  </mergeCells>
  <hyperlinks>
    <hyperlink ref="V1" location="Índice!A1" tooltip="Ir a ÍNDICE" display="INDICE" xr:uid="{CACF281C-AB34-48E8-A18F-E05A7346C14B}"/>
  </hyperlinks>
  <pageMargins left="0.70866141732283472" right="0.70866141732283472" top="0.59055118110236227" bottom="0.59055118110236227" header="0.23622047244094491" footer="0.23622047244094491"/>
  <pageSetup scale="55" orientation="landscape" r:id="rId1"/>
  <colBreaks count="1" manualBreakCount="1">
    <brk id="9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FD35B-6916-4073-9C91-456B9684BDF5}">
  <dimension ref="A1:AH40"/>
  <sheetViews>
    <sheetView showGridLines="0" zoomScaleNormal="100" workbookViewId="0"/>
  </sheetViews>
  <sheetFormatPr baseColWidth="10" defaultColWidth="11.42578125" defaultRowHeight="14.25" x14ac:dyDescent="0.2"/>
  <cols>
    <col min="1" max="1" width="1.7109375" style="5" customWidth="1"/>
    <col min="2" max="2" width="33.140625" customWidth="1"/>
    <col min="3" max="3" width="1.7109375" customWidth="1"/>
    <col min="4" max="4" width="19" customWidth="1"/>
    <col min="5" max="5" width="1.7109375" customWidth="1"/>
    <col min="6" max="6" width="14.140625" customWidth="1"/>
    <col min="8" max="8" width="1.7109375" customWidth="1"/>
    <col min="9" max="9" width="14.7109375" customWidth="1"/>
    <col min="11" max="11" width="1.7109375" customWidth="1"/>
    <col min="12" max="12" width="15.5703125" customWidth="1"/>
    <col min="14" max="14" width="1.7109375" customWidth="1"/>
    <col min="15" max="15" width="15.85546875" customWidth="1"/>
    <col min="16" max="16" width="11.42578125" customWidth="1"/>
    <col min="17" max="17" width="1.7109375" customWidth="1"/>
    <col min="18" max="18" width="17.5703125" customWidth="1"/>
    <col min="20" max="20" width="1.7109375" customWidth="1"/>
    <col min="21" max="21" width="14.42578125" customWidth="1"/>
  </cols>
  <sheetData>
    <row r="1" spans="1:34" s="69" customFormat="1" ht="14.1" customHeight="1" x14ac:dyDescent="0.2">
      <c r="A1" s="66"/>
      <c r="B1" s="484" t="s">
        <v>144</v>
      </c>
      <c r="C1" s="194"/>
      <c r="D1" s="195"/>
      <c r="E1" s="195"/>
      <c r="F1" s="195"/>
      <c r="G1" s="196"/>
      <c r="H1" s="196"/>
      <c r="I1" s="196"/>
      <c r="J1" s="196"/>
      <c r="K1" s="196"/>
      <c r="L1" s="196"/>
      <c r="M1" s="196"/>
      <c r="N1" s="196"/>
      <c r="O1" s="196"/>
      <c r="P1" s="196"/>
      <c r="Q1" s="196"/>
      <c r="R1" s="196"/>
      <c r="S1" s="196"/>
      <c r="T1" s="196"/>
      <c r="U1" s="196"/>
      <c r="V1" s="85" t="s">
        <v>118</v>
      </c>
      <c r="W1" s="68"/>
      <c r="X1" s="68"/>
      <c r="Y1" s="68"/>
      <c r="Z1" s="68"/>
      <c r="AA1" s="68"/>
      <c r="AC1" s="68"/>
      <c r="AD1" s="68"/>
      <c r="AE1" s="68"/>
      <c r="AF1" s="68"/>
      <c r="AG1" s="68"/>
      <c r="AH1" s="68"/>
    </row>
    <row r="2" spans="1:34" s="69" customFormat="1" ht="6.95" customHeight="1" x14ac:dyDescent="0.2">
      <c r="A2" s="66"/>
      <c r="B2" s="484"/>
      <c r="C2" s="194"/>
      <c r="D2" s="195"/>
      <c r="E2" s="195"/>
      <c r="F2" s="195"/>
      <c r="G2" s="196"/>
      <c r="H2" s="196"/>
      <c r="I2" s="196"/>
      <c r="J2" s="196"/>
      <c r="K2" s="196"/>
      <c r="L2" s="196"/>
      <c r="M2" s="196"/>
      <c r="N2" s="196"/>
      <c r="O2" s="196"/>
      <c r="P2" s="196"/>
      <c r="Q2" s="196"/>
      <c r="R2" s="196"/>
      <c r="S2" s="196"/>
      <c r="T2" s="196"/>
      <c r="U2" s="196"/>
      <c r="V2" s="196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</row>
    <row r="3" spans="1:34" s="69" customFormat="1" ht="14.1" customHeight="1" x14ac:dyDescent="0.2">
      <c r="A3" s="66"/>
      <c r="B3" s="484" t="s">
        <v>142</v>
      </c>
      <c r="C3" s="197"/>
      <c r="D3" s="197"/>
      <c r="E3" s="197"/>
      <c r="F3" s="197"/>
      <c r="G3" s="197"/>
      <c r="H3" s="196"/>
      <c r="I3" s="196"/>
      <c r="J3" s="196"/>
      <c r="K3" s="196"/>
      <c r="L3" s="196"/>
      <c r="M3" s="196"/>
      <c r="N3" s="196"/>
      <c r="O3" s="196"/>
      <c r="P3" s="196"/>
      <c r="Q3" s="196"/>
      <c r="R3" s="196"/>
      <c r="S3" s="196"/>
      <c r="T3" s="196"/>
      <c r="U3" s="196"/>
      <c r="V3" s="196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</row>
    <row r="4" spans="1:34" s="69" customFormat="1" ht="6.95" customHeight="1" x14ac:dyDescent="0.2">
      <c r="A4" s="66"/>
      <c r="B4" s="196"/>
      <c r="C4" s="194"/>
      <c r="D4" s="194"/>
      <c r="E4" s="194"/>
      <c r="F4" s="194"/>
      <c r="G4" s="196"/>
      <c r="H4" s="196"/>
      <c r="I4" s="196"/>
      <c r="J4" s="196"/>
      <c r="K4" s="196"/>
      <c r="L4" s="196"/>
      <c r="M4" s="196"/>
      <c r="N4" s="196"/>
      <c r="O4" s="196"/>
      <c r="P4" s="196"/>
      <c r="Q4" s="196"/>
      <c r="R4" s="196"/>
      <c r="S4" s="196"/>
      <c r="T4" s="196"/>
      <c r="U4" s="196"/>
      <c r="V4" s="196"/>
      <c r="W4" s="68"/>
      <c r="X4" s="68"/>
      <c r="Y4" s="68"/>
      <c r="Z4" s="68"/>
      <c r="AA4" s="68"/>
      <c r="AB4" s="68"/>
      <c r="AC4" s="68"/>
      <c r="AD4" s="68"/>
      <c r="AE4" s="68"/>
      <c r="AF4" s="68"/>
      <c r="AG4" s="68"/>
      <c r="AH4" s="68"/>
    </row>
    <row r="5" spans="1:34" s="69" customFormat="1" ht="20.100000000000001" customHeight="1" x14ac:dyDescent="0.2">
      <c r="A5" s="66"/>
      <c r="B5" s="543" t="s">
        <v>63</v>
      </c>
      <c r="C5" s="543"/>
      <c r="D5" s="543"/>
      <c r="E5" s="543"/>
      <c r="F5" s="543"/>
      <c r="G5" s="543"/>
      <c r="H5" s="543"/>
      <c r="I5" s="543"/>
      <c r="J5" s="543"/>
      <c r="K5" s="543"/>
      <c r="L5" s="543"/>
      <c r="M5" s="543"/>
      <c r="N5" s="543"/>
      <c r="O5" s="543"/>
      <c r="P5" s="543"/>
      <c r="Q5" s="543"/>
      <c r="R5" s="543"/>
      <c r="S5" s="543"/>
      <c r="T5" s="543"/>
      <c r="U5" s="70"/>
      <c r="V5" s="75" t="s">
        <v>91</v>
      </c>
      <c r="W5" s="68"/>
      <c r="X5" s="68"/>
      <c r="Y5" s="68"/>
      <c r="Z5" s="68"/>
      <c r="AA5" s="68"/>
      <c r="AB5" s="68"/>
      <c r="AC5" s="68"/>
      <c r="AD5" s="68"/>
      <c r="AE5" s="68"/>
      <c r="AF5" s="68"/>
      <c r="AG5" s="68"/>
      <c r="AH5" s="68"/>
    </row>
    <row r="6" spans="1:34" ht="6" customHeight="1" x14ac:dyDescent="0.2">
      <c r="A6" s="66"/>
      <c r="B6" s="198"/>
      <c r="C6" s="544"/>
      <c r="D6" s="544"/>
      <c r="E6" s="544"/>
      <c r="F6" s="545"/>
      <c r="G6" s="545"/>
      <c r="H6" s="545"/>
      <c r="I6" s="545"/>
      <c r="J6" s="545"/>
      <c r="K6" s="545"/>
      <c r="L6" s="545"/>
      <c r="M6" s="546"/>
      <c r="N6" s="546"/>
      <c r="O6" s="546"/>
      <c r="P6" s="546"/>
      <c r="Q6" s="546"/>
      <c r="R6" s="546"/>
      <c r="S6" s="199"/>
      <c r="T6" s="200"/>
      <c r="U6" s="200"/>
      <c r="V6" s="200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</row>
    <row r="7" spans="1:34" ht="15.75" customHeight="1" x14ac:dyDescent="0.2">
      <c r="A7" s="66"/>
      <c r="B7" s="547" t="s">
        <v>1</v>
      </c>
      <c r="C7" s="547"/>
      <c r="D7" s="550" t="s">
        <v>23</v>
      </c>
      <c r="E7" s="201"/>
      <c r="F7" s="542" t="s">
        <v>59</v>
      </c>
      <c r="G7" s="542"/>
      <c r="H7" s="542"/>
      <c r="I7" s="542"/>
      <c r="J7" s="542"/>
      <c r="K7" s="542"/>
      <c r="L7" s="542"/>
      <c r="M7" s="542"/>
      <c r="N7" s="542"/>
      <c r="O7" s="542"/>
      <c r="P7" s="542"/>
      <c r="Q7" s="542"/>
      <c r="R7" s="542"/>
      <c r="S7" s="542"/>
      <c r="T7" s="542"/>
      <c r="U7" s="542"/>
      <c r="V7" s="542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</row>
    <row r="8" spans="1:34" ht="27.75" customHeight="1" x14ac:dyDescent="0.2">
      <c r="A8" s="66"/>
      <c r="B8" s="548"/>
      <c r="C8" s="548"/>
      <c r="D8" s="551"/>
      <c r="E8" s="202"/>
      <c r="F8" s="553" t="s">
        <v>60</v>
      </c>
      <c r="G8" s="553"/>
      <c r="H8" s="202"/>
      <c r="I8" s="553" t="s">
        <v>61</v>
      </c>
      <c r="J8" s="553"/>
      <c r="K8" s="203"/>
      <c r="L8" s="553" t="s">
        <v>77</v>
      </c>
      <c r="M8" s="553"/>
      <c r="N8" s="203"/>
      <c r="O8" s="542" t="s">
        <v>78</v>
      </c>
      <c r="P8" s="542"/>
      <c r="Q8" s="203"/>
      <c r="R8" s="542" t="s">
        <v>62</v>
      </c>
      <c r="S8" s="542"/>
      <c r="T8" s="204"/>
      <c r="U8" s="542" t="s">
        <v>19</v>
      </c>
      <c r="V8" s="542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</row>
    <row r="9" spans="1:34" ht="15.75" customHeight="1" x14ac:dyDescent="0.2">
      <c r="A9" s="12"/>
      <c r="B9" s="549"/>
      <c r="C9" s="549"/>
      <c r="D9" s="552"/>
      <c r="E9" s="205"/>
      <c r="F9" s="64" t="s">
        <v>13</v>
      </c>
      <c r="G9" s="64" t="s">
        <v>14</v>
      </c>
      <c r="H9" s="205"/>
      <c r="I9" s="64" t="s">
        <v>13</v>
      </c>
      <c r="J9" s="64" t="s">
        <v>14</v>
      </c>
      <c r="K9" s="206"/>
      <c r="L9" s="64" t="s">
        <v>13</v>
      </c>
      <c r="M9" s="64" t="s">
        <v>14</v>
      </c>
      <c r="N9" s="206"/>
      <c r="O9" s="64" t="s">
        <v>13</v>
      </c>
      <c r="P9" s="64" t="s">
        <v>14</v>
      </c>
      <c r="Q9" s="206"/>
      <c r="R9" s="64" t="s">
        <v>13</v>
      </c>
      <c r="S9" s="64" t="s">
        <v>14</v>
      </c>
      <c r="T9" s="207"/>
      <c r="U9" s="64" t="s">
        <v>13</v>
      </c>
      <c r="V9" s="64" t="s">
        <v>14</v>
      </c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</row>
    <row r="10" spans="1:34" ht="6" customHeight="1" x14ac:dyDescent="0.2">
      <c r="A10" s="67"/>
      <c r="B10" s="208"/>
      <c r="C10" s="208"/>
      <c r="D10" s="209"/>
      <c r="E10" s="209"/>
      <c r="F10" s="209"/>
      <c r="G10" s="203"/>
      <c r="H10" s="203"/>
      <c r="I10" s="210"/>
      <c r="J10" s="211"/>
      <c r="K10" s="211"/>
      <c r="L10" s="211"/>
      <c r="M10" s="211"/>
      <c r="N10" s="211"/>
      <c r="O10" s="211"/>
      <c r="P10" s="211"/>
      <c r="Q10" s="211"/>
      <c r="R10" s="211"/>
      <c r="S10" s="211"/>
      <c r="T10" s="200"/>
      <c r="U10" s="200"/>
      <c r="V10" s="200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</row>
    <row r="11" spans="1:34" ht="15" x14ac:dyDescent="0.2">
      <c r="A11" s="17"/>
      <c r="B11" s="37" t="s">
        <v>5</v>
      </c>
      <c r="C11" s="212"/>
      <c r="D11" s="159">
        <v>35662946.186790802</v>
      </c>
      <c r="E11" s="213"/>
      <c r="F11" s="159">
        <v>3327332.1416610298</v>
      </c>
      <c r="G11" s="159">
        <v>9.4188725058999996</v>
      </c>
      <c r="H11" s="213"/>
      <c r="I11" s="159">
        <v>4942938.0999531597</v>
      </c>
      <c r="J11" s="159">
        <v>13.987480129</v>
      </c>
      <c r="K11" s="50"/>
      <c r="L11" s="159">
        <v>10359686.992363101</v>
      </c>
      <c r="M11" s="159">
        <v>29.294524253100001</v>
      </c>
      <c r="N11" s="213"/>
      <c r="O11" s="159">
        <v>7438712.3734211996</v>
      </c>
      <c r="P11" s="159">
        <v>21.042948173999999</v>
      </c>
      <c r="Q11" s="213"/>
      <c r="R11" s="159">
        <v>8889756.0095975399</v>
      </c>
      <c r="S11" s="159">
        <v>25.171172521399999</v>
      </c>
      <c r="T11" s="51"/>
      <c r="U11" s="159">
        <v>1352741.65647774</v>
      </c>
      <c r="V11" s="159">
        <v>3.8309594794000001</v>
      </c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ht="9" customHeight="1" x14ac:dyDescent="0.2">
      <c r="A12" s="11"/>
      <c r="B12" s="38"/>
      <c r="C12" s="212"/>
      <c r="D12" s="95"/>
      <c r="E12" s="213"/>
      <c r="F12" s="95"/>
      <c r="G12" s="96"/>
      <c r="H12" s="213"/>
      <c r="I12" s="95"/>
      <c r="J12" s="96"/>
      <c r="K12" s="50"/>
      <c r="L12" s="95"/>
      <c r="M12" s="96"/>
      <c r="N12" s="213"/>
      <c r="O12" s="95"/>
      <c r="P12" s="96"/>
      <c r="Q12" s="213"/>
      <c r="R12" s="95"/>
      <c r="S12" s="96"/>
      <c r="T12" s="50"/>
      <c r="U12" s="95"/>
      <c r="V12" s="96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</row>
    <row r="13" spans="1:34" ht="12.75" customHeight="1" x14ac:dyDescent="0.2">
      <c r="A13" s="11"/>
      <c r="B13" s="22" t="s">
        <v>6</v>
      </c>
      <c r="C13" s="214"/>
      <c r="D13" s="160">
        <v>7588550.2270174799</v>
      </c>
      <c r="E13" s="215"/>
      <c r="F13" s="160">
        <v>952103.07070911</v>
      </c>
      <c r="G13" s="160">
        <v>12.860194225000001</v>
      </c>
      <c r="H13" s="215"/>
      <c r="I13" s="160">
        <v>1283759.5634079301</v>
      </c>
      <c r="J13" s="160">
        <v>17.331678337500001</v>
      </c>
      <c r="K13" s="50"/>
      <c r="L13" s="160">
        <v>2343675.0348395202</v>
      </c>
      <c r="M13" s="160">
        <v>31.565066567999999</v>
      </c>
      <c r="N13" s="215"/>
      <c r="O13" s="160">
        <v>1364334.71286493</v>
      </c>
      <c r="P13" s="160">
        <v>18.300335967599999</v>
      </c>
      <c r="Q13" s="215"/>
      <c r="R13" s="160">
        <v>1753059.75181755</v>
      </c>
      <c r="S13" s="160">
        <v>23.569805716400001</v>
      </c>
      <c r="T13" s="52"/>
      <c r="U13" s="160">
        <v>115400.21401536401</v>
      </c>
      <c r="V13" s="160">
        <v>1.5525000098999999</v>
      </c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</row>
    <row r="14" spans="1:34" ht="12" customHeight="1" x14ac:dyDescent="0.2">
      <c r="A14" s="11"/>
      <c r="B14" s="22" t="s">
        <v>7</v>
      </c>
      <c r="C14" s="214"/>
      <c r="D14" s="160">
        <v>4880011.4888669197</v>
      </c>
      <c r="E14" s="215"/>
      <c r="F14" s="160">
        <v>522443.30154269701</v>
      </c>
      <c r="G14" s="160">
        <v>11.1500311729</v>
      </c>
      <c r="H14" s="215"/>
      <c r="I14" s="160">
        <v>840699.58958428504</v>
      </c>
      <c r="J14" s="160">
        <v>17.889949207800001</v>
      </c>
      <c r="K14" s="50"/>
      <c r="L14" s="160">
        <v>1593359.91748434</v>
      </c>
      <c r="M14" s="160">
        <v>33.331025652999998</v>
      </c>
      <c r="N14" s="215"/>
      <c r="O14" s="160">
        <v>884548.63793245202</v>
      </c>
      <c r="P14" s="160">
        <v>18.604792127300001</v>
      </c>
      <c r="Q14" s="215"/>
      <c r="R14" s="160">
        <v>1090780.16516354</v>
      </c>
      <c r="S14" s="160">
        <v>23.008262200099999</v>
      </c>
      <c r="T14" s="52"/>
      <c r="U14" s="160">
        <v>113705.717902391</v>
      </c>
      <c r="V14" s="160">
        <v>2.4179968862000001</v>
      </c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</row>
    <row r="15" spans="1:34" ht="15" x14ac:dyDescent="0.2">
      <c r="A15" s="12"/>
      <c r="B15" s="22" t="s">
        <v>8</v>
      </c>
      <c r="C15" s="214"/>
      <c r="D15" s="160">
        <v>5869884.8887314703</v>
      </c>
      <c r="E15" s="215"/>
      <c r="F15" s="160">
        <v>607185.98431240302</v>
      </c>
      <c r="G15" s="160">
        <v>10.702084881199999</v>
      </c>
      <c r="H15" s="215"/>
      <c r="I15" s="160">
        <v>976360.337760058</v>
      </c>
      <c r="J15" s="160">
        <v>17.196957611199998</v>
      </c>
      <c r="K15" s="50"/>
      <c r="L15" s="160">
        <v>1789284.50320839</v>
      </c>
      <c r="M15" s="160">
        <v>31.263490888100002</v>
      </c>
      <c r="N15" s="215"/>
      <c r="O15" s="160">
        <v>1222467.0963307</v>
      </c>
      <c r="P15" s="160">
        <v>21.331577217300001</v>
      </c>
      <c r="Q15" s="215"/>
      <c r="R15" s="160">
        <v>1291844.9144486501</v>
      </c>
      <c r="S15" s="160">
        <v>22.701429888100002</v>
      </c>
      <c r="T15" s="52"/>
      <c r="U15" s="160">
        <v>268357.87466428598</v>
      </c>
      <c r="V15" s="160">
        <v>4.7073391728000002</v>
      </c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</row>
    <row r="16" spans="1:34" ht="15" x14ac:dyDescent="0.2">
      <c r="A16" s="12"/>
      <c r="B16" s="22" t="s">
        <v>79</v>
      </c>
      <c r="C16" s="214"/>
      <c r="D16" s="160">
        <v>17733822.4099744</v>
      </c>
      <c r="E16" s="215"/>
      <c r="F16" s="160">
        <v>1380097.5546866499</v>
      </c>
      <c r="G16" s="160">
        <v>7.8410869085000003</v>
      </c>
      <c r="H16" s="215"/>
      <c r="I16" s="160">
        <v>1999762.8517329099</v>
      </c>
      <c r="J16" s="160">
        <v>11.3578341654</v>
      </c>
      <c r="K16" s="50"/>
      <c r="L16" s="160">
        <v>4869188.5120913303</v>
      </c>
      <c r="M16" s="160">
        <v>27.727278477599999</v>
      </c>
      <c r="N16" s="215"/>
      <c r="O16" s="160">
        <v>4145933.1673991601</v>
      </c>
      <c r="P16" s="160">
        <v>23.6176369123</v>
      </c>
      <c r="Q16" s="215"/>
      <c r="R16" s="160">
        <v>4962234.2619318301</v>
      </c>
      <c r="S16" s="160">
        <v>28.277241906099999</v>
      </c>
      <c r="T16" s="52"/>
      <c r="U16" s="160">
        <v>914771.35344697605</v>
      </c>
      <c r="V16" s="160">
        <v>5.2078068987000004</v>
      </c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1:34" ht="6" customHeight="1" x14ac:dyDescent="0.2">
      <c r="A17" s="12"/>
      <c r="B17" s="45"/>
      <c r="C17" s="45"/>
      <c r="D17" s="4"/>
      <c r="E17" s="216"/>
      <c r="F17" s="4"/>
      <c r="G17" s="217"/>
      <c r="H17" s="217"/>
      <c r="I17" s="4"/>
      <c r="J17" s="217"/>
      <c r="K17" s="218"/>
      <c r="L17" s="4"/>
      <c r="M17" s="217"/>
      <c r="N17" s="219"/>
      <c r="O17" s="219"/>
      <c r="P17" s="219"/>
      <c r="Q17" s="219"/>
      <c r="R17" s="4"/>
      <c r="S17" s="217"/>
      <c r="T17" s="198"/>
      <c r="U17" s="198"/>
      <c r="V17" s="49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</row>
    <row r="18" spans="1:34" ht="6" customHeight="1" x14ac:dyDescent="0.2">
      <c r="A18" s="21"/>
      <c r="B18" s="220"/>
      <c r="C18" s="221"/>
      <c r="D18" s="221"/>
      <c r="E18" s="221"/>
      <c r="F18" s="221"/>
      <c r="G18" s="222"/>
      <c r="H18" s="222"/>
      <c r="I18" s="222"/>
      <c r="J18" s="223"/>
      <c r="K18" s="223"/>
      <c r="L18" s="222"/>
      <c r="M18" s="223"/>
      <c r="N18" s="223"/>
      <c r="O18" s="223"/>
      <c r="P18" s="223"/>
      <c r="Q18" s="223"/>
      <c r="R18" s="220"/>
      <c r="S18" s="224"/>
      <c r="T18" s="200"/>
      <c r="U18" s="200"/>
      <c r="V18" s="4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</row>
    <row r="19" spans="1:34" s="89" customFormat="1" ht="11.25" customHeight="1" x14ac:dyDescent="0.2">
      <c r="B19" s="24" t="s">
        <v>9</v>
      </c>
    </row>
    <row r="20" spans="1:34" x14ac:dyDescent="0.2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</row>
    <row r="21" spans="1:34" x14ac:dyDescent="0.2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</row>
    <row r="22" spans="1:34" x14ac:dyDescent="0.2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</row>
    <row r="23" spans="1:34" x14ac:dyDescent="0.2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</row>
    <row r="24" spans="1:34" x14ac:dyDescent="0.2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</row>
    <row r="25" spans="1:34" x14ac:dyDescent="0.2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</row>
    <row r="26" spans="1:34" x14ac:dyDescent="0.2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</row>
    <row r="27" spans="1:34" x14ac:dyDescent="0.2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</row>
    <row r="28" spans="1:34" x14ac:dyDescent="0.2"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</row>
    <row r="29" spans="1:34" x14ac:dyDescent="0.2"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</row>
    <row r="30" spans="1:34" x14ac:dyDescent="0.2"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</row>
    <row r="31" spans="1:34" x14ac:dyDescent="0.2"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</row>
    <row r="32" spans="1:34" x14ac:dyDescent="0.2"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</row>
    <row r="33" spans="2:34" x14ac:dyDescent="0.2"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</row>
    <row r="34" spans="2:34" x14ac:dyDescent="0.2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</row>
    <row r="35" spans="2:34" x14ac:dyDescent="0.2"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</row>
    <row r="36" spans="2:34" x14ac:dyDescent="0.2"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</row>
    <row r="37" spans="2:34" x14ac:dyDescent="0.2"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</row>
    <row r="38" spans="2:34" x14ac:dyDescent="0.2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</row>
    <row r="39" spans="2:34" x14ac:dyDescent="0.2"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</sheetData>
  <mergeCells count="11">
    <mergeCell ref="U8:V8"/>
    <mergeCell ref="B5:T5"/>
    <mergeCell ref="C6:R6"/>
    <mergeCell ref="B7:C9"/>
    <mergeCell ref="D7:D9"/>
    <mergeCell ref="F7:V7"/>
    <mergeCell ref="F8:G8"/>
    <mergeCell ref="I8:J8"/>
    <mergeCell ref="L8:M8"/>
    <mergeCell ref="O8:P8"/>
    <mergeCell ref="R8:S8"/>
  </mergeCells>
  <hyperlinks>
    <hyperlink ref="V1" location="Índice!A1" tooltip="Ir a ÍNDICE" display="INDICE" xr:uid="{1F6B6AB9-C247-4114-AFC5-CFD3CE5BB312}"/>
  </hyperlink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D19B99-2EBE-4502-BEE3-36860090E285}">
  <dimension ref="A1:DB645"/>
  <sheetViews>
    <sheetView showGridLines="0" zoomScaleNormal="100" workbookViewId="0"/>
  </sheetViews>
  <sheetFormatPr baseColWidth="10" defaultColWidth="11.42578125" defaultRowHeight="14.25" x14ac:dyDescent="0.2"/>
  <cols>
    <col min="1" max="1" width="1.7109375" style="5" customWidth="1"/>
    <col min="2" max="2" width="29.5703125" customWidth="1"/>
    <col min="3" max="3" width="1.7109375" customWidth="1"/>
    <col min="4" max="4" width="20" customWidth="1"/>
    <col min="5" max="5" width="1.7109375" customWidth="1"/>
    <col min="6" max="6" width="14.42578125" customWidth="1"/>
    <col min="8" max="8" width="1.7109375" customWidth="1"/>
    <col min="9" max="9" width="18.140625" customWidth="1"/>
    <col min="11" max="11" width="1.7109375" customWidth="1"/>
    <col min="12" max="12" width="17.140625" customWidth="1"/>
    <col min="14" max="14" width="1.7109375" customWidth="1"/>
    <col min="15" max="15" width="16.5703125" customWidth="1"/>
    <col min="17" max="17" width="1.7109375" customWidth="1"/>
    <col min="18" max="18" width="16.85546875" customWidth="1"/>
    <col min="19" max="19" width="11.42578125" customWidth="1"/>
    <col min="20" max="20" width="1.7109375" customWidth="1"/>
    <col min="21" max="21" width="16.28515625" customWidth="1"/>
    <col min="22" max="22" width="11.42578125" customWidth="1"/>
    <col min="23" max="23" width="1.7109375" customWidth="1"/>
    <col min="24" max="24" width="16.5703125" customWidth="1"/>
    <col min="26" max="26" width="1.7109375" customWidth="1"/>
    <col min="27" max="27" width="16.85546875" customWidth="1"/>
    <col min="29" max="106" width="11.42578125" style="3"/>
  </cols>
  <sheetData>
    <row r="1" spans="1:106" s="69" customFormat="1" ht="14.1" customHeight="1" x14ac:dyDescent="0.2">
      <c r="A1" s="66"/>
      <c r="B1" s="484" t="s">
        <v>144</v>
      </c>
      <c r="C1" s="225"/>
      <c r="D1" s="226"/>
      <c r="E1" s="226"/>
      <c r="F1" s="226"/>
      <c r="G1" s="227"/>
      <c r="H1" s="227"/>
      <c r="I1" s="227"/>
      <c r="J1" s="227"/>
      <c r="K1" s="227"/>
      <c r="L1" s="227"/>
      <c r="M1" s="227"/>
      <c r="N1" s="227"/>
      <c r="O1" s="227"/>
      <c r="P1" s="227"/>
      <c r="Q1" s="227"/>
      <c r="R1" s="227"/>
      <c r="S1" s="227"/>
      <c r="T1" s="227"/>
      <c r="U1" s="227"/>
      <c r="V1" s="227"/>
      <c r="W1" s="227"/>
      <c r="X1" s="227"/>
      <c r="Y1" s="227"/>
      <c r="Z1" s="227"/>
      <c r="AA1" s="227"/>
      <c r="AB1" s="85" t="s">
        <v>118</v>
      </c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  <c r="AO1" s="68"/>
      <c r="AP1" s="68"/>
      <c r="AQ1" s="68"/>
      <c r="AR1" s="68"/>
      <c r="AS1" s="68"/>
      <c r="AT1" s="68"/>
      <c r="AU1" s="68"/>
      <c r="AV1" s="68"/>
      <c r="AW1" s="68"/>
      <c r="AX1" s="68"/>
      <c r="AY1" s="68"/>
      <c r="AZ1" s="68"/>
      <c r="BA1" s="68"/>
      <c r="BB1" s="68"/>
      <c r="BC1" s="68"/>
      <c r="BD1" s="68"/>
      <c r="BE1" s="68"/>
      <c r="BF1" s="68"/>
      <c r="BG1" s="68"/>
      <c r="BH1" s="68"/>
      <c r="BI1" s="68"/>
      <c r="BJ1" s="68"/>
      <c r="BK1" s="68"/>
      <c r="BL1" s="68"/>
      <c r="BM1" s="68"/>
      <c r="BN1" s="68"/>
      <c r="BO1" s="68"/>
      <c r="BP1" s="68"/>
      <c r="BQ1" s="68"/>
      <c r="BR1" s="68"/>
      <c r="BS1" s="68"/>
      <c r="BT1" s="68"/>
      <c r="BU1" s="68"/>
      <c r="BV1" s="68"/>
      <c r="BW1" s="68"/>
      <c r="BX1" s="68"/>
      <c r="BY1" s="68"/>
      <c r="BZ1" s="68"/>
      <c r="CA1" s="68"/>
      <c r="CB1" s="68"/>
      <c r="CC1" s="68"/>
      <c r="CD1" s="68"/>
      <c r="CE1" s="68"/>
      <c r="CF1" s="68"/>
      <c r="CG1" s="68"/>
      <c r="CH1" s="68"/>
      <c r="CI1" s="68"/>
      <c r="CJ1" s="68"/>
      <c r="CK1" s="68"/>
      <c r="CL1" s="68"/>
      <c r="CM1" s="68"/>
      <c r="CN1" s="68"/>
      <c r="CO1" s="68"/>
      <c r="CP1" s="68"/>
      <c r="CQ1" s="68"/>
      <c r="CR1" s="68"/>
      <c r="CS1" s="68"/>
      <c r="CT1" s="68"/>
      <c r="CU1" s="68"/>
      <c r="CV1" s="68"/>
      <c r="CW1" s="68"/>
      <c r="CX1" s="68"/>
      <c r="CY1" s="68"/>
      <c r="CZ1" s="68"/>
      <c r="DA1" s="68"/>
      <c r="DB1" s="68"/>
    </row>
    <row r="2" spans="1:106" s="69" customFormat="1" ht="6.95" customHeight="1" x14ac:dyDescent="0.2">
      <c r="A2" s="66"/>
      <c r="B2" s="484"/>
      <c r="C2" s="225"/>
      <c r="D2" s="226"/>
      <c r="E2" s="226"/>
      <c r="F2" s="226"/>
      <c r="G2" s="227"/>
      <c r="H2" s="227"/>
      <c r="I2" s="227"/>
      <c r="J2" s="227"/>
      <c r="K2" s="227"/>
      <c r="L2" s="227"/>
      <c r="M2" s="227"/>
      <c r="N2" s="227"/>
      <c r="O2" s="227"/>
      <c r="P2" s="227"/>
      <c r="Q2" s="227"/>
      <c r="R2" s="227"/>
      <c r="S2" s="227"/>
      <c r="T2" s="227"/>
      <c r="U2" s="227"/>
      <c r="V2" s="227"/>
      <c r="W2" s="227"/>
      <c r="X2" s="227"/>
      <c r="Y2" s="227"/>
      <c r="Z2" s="227"/>
      <c r="AA2" s="227"/>
      <c r="AB2" s="227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8"/>
      <c r="AP2" s="68"/>
      <c r="AQ2" s="68"/>
      <c r="AR2" s="68"/>
      <c r="AS2" s="68"/>
      <c r="AT2" s="68"/>
      <c r="AU2" s="68"/>
      <c r="AV2" s="68"/>
      <c r="AW2" s="68"/>
      <c r="AX2" s="68"/>
      <c r="AY2" s="68"/>
      <c r="AZ2" s="68"/>
      <c r="BA2" s="68"/>
      <c r="BB2" s="68"/>
      <c r="BC2" s="68"/>
      <c r="BD2" s="68"/>
      <c r="BE2" s="68"/>
      <c r="BF2" s="68"/>
      <c r="BG2" s="68"/>
      <c r="BH2" s="68"/>
      <c r="BI2" s="68"/>
      <c r="BJ2" s="68"/>
      <c r="BK2" s="68"/>
      <c r="BL2" s="68"/>
      <c r="BM2" s="68"/>
      <c r="BN2" s="68"/>
      <c r="BO2" s="68"/>
      <c r="BP2" s="68"/>
      <c r="BQ2" s="68"/>
      <c r="BR2" s="68"/>
      <c r="BS2" s="68"/>
      <c r="BT2" s="68"/>
      <c r="BU2" s="68"/>
      <c r="BV2" s="68"/>
      <c r="BW2" s="68"/>
      <c r="BX2" s="68"/>
      <c r="BY2" s="68"/>
      <c r="BZ2" s="68"/>
      <c r="CA2" s="68"/>
      <c r="CB2" s="68"/>
      <c r="CC2" s="68"/>
      <c r="CD2" s="68"/>
      <c r="CE2" s="68"/>
      <c r="CF2" s="68"/>
      <c r="CG2" s="68"/>
      <c r="CH2" s="68"/>
      <c r="CI2" s="68"/>
      <c r="CJ2" s="68"/>
      <c r="CK2" s="68"/>
      <c r="CL2" s="68"/>
      <c r="CM2" s="68"/>
      <c r="CN2" s="68"/>
      <c r="CO2" s="68"/>
      <c r="CP2" s="68"/>
      <c r="CQ2" s="68"/>
      <c r="CR2" s="68"/>
      <c r="CS2" s="68"/>
      <c r="CT2" s="68"/>
      <c r="CU2" s="68"/>
      <c r="CV2" s="68"/>
      <c r="CW2" s="68"/>
      <c r="CX2" s="68"/>
      <c r="CY2" s="68"/>
      <c r="CZ2" s="68"/>
      <c r="DA2" s="68"/>
      <c r="DB2" s="68"/>
    </row>
    <row r="3" spans="1:106" s="69" customFormat="1" ht="14.1" customHeight="1" x14ac:dyDescent="0.2">
      <c r="A3" s="66"/>
      <c r="B3" s="484" t="s">
        <v>142</v>
      </c>
      <c r="C3" s="228"/>
      <c r="D3" s="228"/>
      <c r="E3" s="228"/>
      <c r="F3" s="228"/>
      <c r="G3" s="228"/>
      <c r="H3" s="227"/>
      <c r="I3" s="227"/>
      <c r="J3" s="227"/>
      <c r="K3" s="227"/>
      <c r="L3" s="227"/>
      <c r="M3" s="227"/>
      <c r="N3" s="227"/>
      <c r="O3" s="227"/>
      <c r="P3" s="227"/>
      <c r="Q3" s="227"/>
      <c r="R3" s="227"/>
      <c r="S3" s="227"/>
      <c r="T3" s="227"/>
      <c r="U3" s="227"/>
      <c r="V3" s="227"/>
      <c r="W3" s="227"/>
      <c r="X3" s="227"/>
      <c r="Y3" s="227"/>
      <c r="Z3" s="227"/>
      <c r="AA3" s="227"/>
      <c r="AB3" s="227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  <c r="AO3" s="68"/>
      <c r="AP3" s="68"/>
      <c r="AQ3" s="68"/>
      <c r="AR3" s="68"/>
      <c r="AS3" s="68"/>
      <c r="AT3" s="68"/>
      <c r="AU3" s="68"/>
      <c r="AV3" s="68"/>
      <c r="AW3" s="68"/>
      <c r="AX3" s="68"/>
      <c r="AY3" s="68"/>
      <c r="AZ3" s="68"/>
      <c r="BA3" s="68"/>
      <c r="BB3" s="68"/>
      <c r="BC3" s="68"/>
      <c r="BD3" s="68"/>
      <c r="BE3" s="68"/>
      <c r="BF3" s="68"/>
      <c r="BG3" s="68"/>
      <c r="BH3" s="68"/>
      <c r="BI3" s="68"/>
      <c r="BJ3" s="68"/>
      <c r="BK3" s="68"/>
      <c r="BL3" s="68"/>
      <c r="BM3" s="68"/>
      <c r="BN3" s="68"/>
      <c r="BO3" s="68"/>
      <c r="BP3" s="68"/>
      <c r="BQ3" s="68"/>
      <c r="BR3" s="68"/>
      <c r="BS3" s="68"/>
      <c r="BT3" s="68"/>
      <c r="BU3" s="68"/>
      <c r="BV3" s="68"/>
      <c r="BW3" s="68"/>
      <c r="BX3" s="68"/>
      <c r="BY3" s="68"/>
      <c r="BZ3" s="68"/>
      <c r="CA3" s="68"/>
      <c r="CB3" s="68"/>
      <c r="CC3" s="68"/>
      <c r="CD3" s="68"/>
      <c r="CE3" s="68"/>
      <c r="CF3" s="68"/>
      <c r="CG3" s="68"/>
      <c r="CH3" s="68"/>
      <c r="CI3" s="68"/>
      <c r="CJ3" s="68"/>
      <c r="CK3" s="68"/>
      <c r="CL3" s="68"/>
      <c r="CM3" s="68"/>
      <c r="CN3" s="68"/>
      <c r="CO3" s="68"/>
      <c r="CP3" s="68"/>
      <c r="CQ3" s="68"/>
      <c r="CR3" s="68"/>
      <c r="CS3" s="68"/>
      <c r="CT3" s="68"/>
      <c r="CU3" s="68"/>
      <c r="CV3" s="68"/>
      <c r="CW3" s="68"/>
      <c r="CX3" s="68"/>
      <c r="CY3" s="68"/>
      <c r="CZ3" s="68"/>
      <c r="DA3" s="68"/>
      <c r="DB3" s="68"/>
    </row>
    <row r="4" spans="1:106" s="69" customFormat="1" ht="6.95" customHeight="1" x14ac:dyDescent="0.2">
      <c r="A4" s="66"/>
      <c r="B4" s="227"/>
      <c r="C4" s="225"/>
      <c r="D4" s="225"/>
      <c r="E4" s="225"/>
      <c r="F4" s="225"/>
      <c r="G4" s="227"/>
      <c r="H4" s="227"/>
      <c r="I4" s="227"/>
      <c r="J4" s="227"/>
      <c r="K4" s="227"/>
      <c r="L4" s="227"/>
      <c r="M4" s="227"/>
      <c r="N4" s="227"/>
      <c r="O4" s="227"/>
      <c r="P4" s="227"/>
      <c r="Q4" s="227"/>
      <c r="R4" s="227"/>
      <c r="S4" s="227"/>
      <c r="T4" s="227"/>
      <c r="U4" s="227"/>
      <c r="V4" s="227"/>
      <c r="W4" s="227"/>
      <c r="X4" s="227"/>
      <c r="Y4" s="227"/>
      <c r="Z4" s="227"/>
      <c r="AA4" s="227"/>
      <c r="AB4" s="227"/>
      <c r="AC4" s="68"/>
      <c r="AD4" s="68"/>
      <c r="AE4" s="68"/>
      <c r="AF4" s="68"/>
      <c r="AG4" s="68"/>
      <c r="AH4" s="68"/>
      <c r="AI4" s="68"/>
      <c r="AJ4" s="68"/>
      <c r="AK4" s="68"/>
      <c r="AL4" s="68"/>
      <c r="AM4" s="68"/>
      <c r="AN4" s="68"/>
      <c r="AO4" s="68"/>
      <c r="AP4" s="68"/>
      <c r="AQ4" s="68"/>
      <c r="AR4" s="68"/>
      <c r="AS4" s="68"/>
      <c r="AT4" s="68"/>
      <c r="AU4" s="68"/>
      <c r="AV4" s="68"/>
      <c r="AW4" s="68"/>
      <c r="AX4" s="68"/>
      <c r="AY4" s="68"/>
      <c r="AZ4" s="68"/>
      <c r="BA4" s="68"/>
      <c r="BB4" s="68"/>
      <c r="BC4" s="68"/>
      <c r="BD4" s="68"/>
      <c r="BE4" s="68"/>
      <c r="BF4" s="68"/>
      <c r="BG4" s="68"/>
      <c r="BH4" s="68"/>
      <c r="BI4" s="68"/>
      <c r="BJ4" s="68"/>
      <c r="BK4" s="68"/>
      <c r="BL4" s="68"/>
      <c r="BM4" s="68"/>
      <c r="BN4" s="68"/>
      <c r="BO4" s="68"/>
      <c r="BP4" s="68"/>
      <c r="BQ4" s="68"/>
      <c r="BR4" s="68"/>
      <c r="BS4" s="68"/>
      <c r="BT4" s="68"/>
      <c r="BU4" s="68"/>
      <c r="BV4" s="68"/>
      <c r="BW4" s="68"/>
      <c r="BX4" s="68"/>
      <c r="BY4" s="68"/>
      <c r="BZ4" s="68"/>
      <c r="CA4" s="68"/>
      <c r="CB4" s="68"/>
      <c r="CC4" s="68"/>
      <c r="CD4" s="68"/>
      <c r="CE4" s="68"/>
      <c r="CF4" s="68"/>
      <c r="CG4" s="68"/>
      <c r="CH4" s="68"/>
      <c r="CI4" s="68"/>
      <c r="CJ4" s="68"/>
      <c r="CK4" s="68"/>
      <c r="CL4" s="68"/>
      <c r="CM4" s="68"/>
      <c r="CN4" s="68"/>
      <c r="CO4" s="68"/>
      <c r="CP4" s="68"/>
      <c r="CQ4" s="68"/>
      <c r="CR4" s="68"/>
      <c r="CS4" s="68"/>
      <c r="CT4" s="68"/>
      <c r="CU4" s="68"/>
      <c r="CV4" s="68"/>
      <c r="CW4" s="68"/>
      <c r="CX4" s="68"/>
      <c r="CY4" s="68"/>
      <c r="CZ4" s="68"/>
      <c r="DA4" s="68"/>
      <c r="DB4" s="68"/>
    </row>
    <row r="5" spans="1:106" s="69" customFormat="1" ht="20.100000000000001" customHeight="1" x14ac:dyDescent="0.2">
      <c r="A5" s="66"/>
      <c r="B5" s="555" t="s">
        <v>64</v>
      </c>
      <c r="C5" s="555"/>
      <c r="D5" s="555"/>
      <c r="E5" s="555"/>
      <c r="F5" s="555"/>
      <c r="G5" s="555"/>
      <c r="H5" s="555"/>
      <c r="I5" s="555"/>
      <c r="J5" s="555"/>
      <c r="K5" s="555"/>
      <c r="L5" s="555"/>
      <c r="M5" s="555"/>
      <c r="N5" s="555"/>
      <c r="O5" s="555"/>
      <c r="P5" s="555"/>
      <c r="Q5" s="555"/>
      <c r="R5" s="555"/>
      <c r="S5" s="555"/>
      <c r="T5" s="555"/>
      <c r="U5" s="555"/>
      <c r="V5" s="555"/>
      <c r="W5" s="555"/>
      <c r="X5" s="555"/>
      <c r="Y5" s="555"/>
      <c r="Z5" s="555"/>
      <c r="AA5" s="227"/>
      <c r="AB5" s="75" t="s">
        <v>92</v>
      </c>
      <c r="AC5" s="68"/>
      <c r="AD5" s="68"/>
      <c r="AE5" s="68"/>
      <c r="AF5" s="68"/>
      <c r="AG5" s="68"/>
      <c r="AH5" s="68"/>
      <c r="AI5" s="68"/>
      <c r="AJ5" s="68"/>
      <c r="AK5" s="68"/>
      <c r="AL5" s="68"/>
      <c r="AM5" s="68"/>
      <c r="AN5" s="68"/>
      <c r="AO5" s="68"/>
      <c r="AP5" s="68"/>
      <c r="AQ5" s="68"/>
      <c r="AR5" s="68"/>
      <c r="AS5" s="68"/>
      <c r="AT5" s="68"/>
      <c r="AU5" s="68"/>
      <c r="AV5" s="68"/>
      <c r="AW5" s="68"/>
      <c r="AX5" s="68"/>
      <c r="AY5" s="68"/>
      <c r="AZ5" s="68"/>
      <c r="BA5" s="68"/>
      <c r="BB5" s="68"/>
      <c r="BC5" s="68"/>
      <c r="BD5" s="68"/>
      <c r="BE5" s="68"/>
      <c r="BF5" s="68"/>
      <c r="BG5" s="68"/>
      <c r="BH5" s="68"/>
      <c r="BI5" s="68"/>
      <c r="BJ5" s="68"/>
      <c r="BK5" s="68"/>
      <c r="BL5" s="68"/>
      <c r="BM5" s="68"/>
      <c r="BN5" s="68"/>
      <c r="BO5" s="68"/>
      <c r="BP5" s="68"/>
      <c r="BQ5" s="68"/>
      <c r="BR5" s="68"/>
      <c r="BS5" s="68"/>
      <c r="BT5" s="68"/>
      <c r="BU5" s="68"/>
      <c r="BV5" s="68"/>
      <c r="BW5" s="68"/>
      <c r="BX5" s="68"/>
      <c r="BY5" s="68"/>
      <c r="BZ5" s="68"/>
      <c r="CA5" s="68"/>
      <c r="CB5" s="68"/>
      <c r="CC5" s="68"/>
      <c r="CD5" s="68"/>
      <c r="CE5" s="68"/>
      <c r="CF5" s="68"/>
      <c r="CG5" s="68"/>
      <c r="CH5" s="68"/>
      <c r="CI5" s="68"/>
      <c r="CJ5" s="68"/>
      <c r="CK5" s="68"/>
      <c r="CL5" s="68"/>
      <c r="CM5" s="68"/>
      <c r="CN5" s="68"/>
      <c r="CO5" s="68"/>
      <c r="CP5" s="68"/>
      <c r="CQ5" s="68"/>
      <c r="CR5" s="68"/>
      <c r="CS5" s="68"/>
      <c r="CT5" s="68"/>
      <c r="CU5" s="68"/>
      <c r="CV5" s="68"/>
      <c r="CW5" s="68"/>
      <c r="CX5" s="68"/>
      <c r="CY5" s="68"/>
      <c r="CZ5" s="68"/>
      <c r="DA5" s="68"/>
      <c r="DB5" s="68"/>
    </row>
    <row r="6" spans="1:106" ht="6" customHeight="1" x14ac:dyDescent="0.2">
      <c r="A6" s="66"/>
      <c r="B6" s="229"/>
      <c r="C6" s="556"/>
      <c r="D6" s="556"/>
      <c r="E6" s="556"/>
      <c r="F6" s="557"/>
      <c r="G6" s="557"/>
      <c r="H6" s="557"/>
      <c r="I6" s="557"/>
      <c r="J6" s="557"/>
      <c r="K6" s="557"/>
      <c r="L6" s="557"/>
      <c r="M6" s="558"/>
      <c r="N6" s="558"/>
      <c r="O6" s="558"/>
      <c r="P6" s="230"/>
      <c r="Q6" s="231"/>
      <c r="R6" s="231"/>
      <c r="S6" s="231"/>
      <c r="T6" s="231"/>
      <c r="U6" s="231"/>
      <c r="V6" s="231"/>
      <c r="W6" s="231"/>
      <c r="X6" s="231"/>
      <c r="Y6" s="231"/>
      <c r="Z6" s="231"/>
      <c r="AA6" s="231"/>
      <c r="AB6" s="231"/>
    </row>
    <row r="7" spans="1:106" ht="12.75" x14ac:dyDescent="0.2">
      <c r="A7" s="66"/>
      <c r="B7" s="535" t="s">
        <v>22</v>
      </c>
      <c r="C7" s="535"/>
      <c r="D7" s="559" t="s">
        <v>23</v>
      </c>
      <c r="E7" s="232"/>
      <c r="F7" s="554" t="s">
        <v>65</v>
      </c>
      <c r="G7" s="554"/>
      <c r="H7" s="554"/>
      <c r="I7" s="554"/>
      <c r="J7" s="554"/>
      <c r="K7" s="554"/>
      <c r="L7" s="554"/>
      <c r="M7" s="554"/>
      <c r="N7" s="554"/>
      <c r="O7" s="554"/>
      <c r="P7" s="554"/>
      <c r="Q7" s="554"/>
      <c r="R7" s="554"/>
      <c r="S7" s="554"/>
      <c r="T7" s="554"/>
      <c r="U7" s="554"/>
      <c r="V7" s="554"/>
      <c r="W7" s="554"/>
      <c r="X7" s="554"/>
      <c r="Y7" s="554"/>
      <c r="Z7" s="554"/>
      <c r="AA7" s="554"/>
      <c r="AB7" s="554"/>
    </row>
    <row r="8" spans="1:106" ht="21" customHeight="1" x14ac:dyDescent="0.2">
      <c r="A8" s="66"/>
      <c r="B8" s="536"/>
      <c r="C8" s="536"/>
      <c r="D8" s="560"/>
      <c r="E8" s="233"/>
      <c r="F8" s="554" t="s">
        <v>66</v>
      </c>
      <c r="G8" s="554"/>
      <c r="H8" s="232"/>
      <c r="I8" s="554" t="s">
        <v>67</v>
      </c>
      <c r="J8" s="554"/>
      <c r="K8" s="234"/>
      <c r="L8" s="554" t="s">
        <v>68</v>
      </c>
      <c r="M8" s="554"/>
      <c r="N8" s="234"/>
      <c r="O8" s="554" t="s">
        <v>80</v>
      </c>
      <c r="P8" s="554"/>
      <c r="Q8" s="235"/>
      <c r="R8" s="554" t="s">
        <v>81</v>
      </c>
      <c r="S8" s="554"/>
      <c r="T8" s="234"/>
      <c r="U8" s="554" t="s">
        <v>82</v>
      </c>
      <c r="V8" s="554"/>
      <c r="W8" s="235"/>
      <c r="X8" s="554" t="s">
        <v>83</v>
      </c>
      <c r="Y8" s="554"/>
      <c r="Z8" s="236"/>
      <c r="AA8" s="554" t="s">
        <v>19</v>
      </c>
      <c r="AB8" s="554"/>
    </row>
    <row r="9" spans="1:106" ht="15" x14ac:dyDescent="0.2">
      <c r="A9" s="12"/>
      <c r="B9" s="537"/>
      <c r="C9" s="537"/>
      <c r="D9" s="561"/>
      <c r="E9" s="237"/>
      <c r="F9" s="65" t="s">
        <v>13</v>
      </c>
      <c r="G9" s="65" t="s">
        <v>14</v>
      </c>
      <c r="H9" s="237"/>
      <c r="I9" s="65" t="s">
        <v>13</v>
      </c>
      <c r="J9" s="65" t="s">
        <v>14</v>
      </c>
      <c r="K9" s="238"/>
      <c r="L9" s="65" t="s">
        <v>13</v>
      </c>
      <c r="M9" s="65" t="s">
        <v>14</v>
      </c>
      <c r="N9" s="238"/>
      <c r="O9" s="65" t="s">
        <v>13</v>
      </c>
      <c r="P9" s="65" t="s">
        <v>14</v>
      </c>
      <c r="Q9" s="239"/>
      <c r="R9" s="65" t="s">
        <v>13</v>
      </c>
      <c r="S9" s="65" t="s">
        <v>14</v>
      </c>
      <c r="T9" s="239"/>
      <c r="U9" s="65" t="s">
        <v>13</v>
      </c>
      <c r="V9" s="65" t="s">
        <v>14</v>
      </c>
      <c r="W9" s="239"/>
      <c r="X9" s="65" t="s">
        <v>13</v>
      </c>
      <c r="Y9" s="65" t="s">
        <v>14</v>
      </c>
      <c r="Z9" s="239"/>
      <c r="AA9" s="65" t="s">
        <v>13</v>
      </c>
      <c r="AB9" s="65" t="s">
        <v>14</v>
      </c>
    </row>
    <row r="10" spans="1:106" ht="6" customHeight="1" x14ac:dyDescent="0.2">
      <c r="A10" s="67"/>
      <c r="B10" s="240"/>
      <c r="C10" s="240"/>
      <c r="D10" s="241"/>
      <c r="E10" s="241"/>
      <c r="F10" s="241"/>
      <c r="G10" s="242"/>
      <c r="H10" s="242"/>
      <c r="I10" s="243"/>
      <c r="J10" s="244"/>
      <c r="K10" s="244"/>
      <c r="L10" s="244"/>
      <c r="M10" s="244"/>
      <c r="N10" s="244"/>
      <c r="O10" s="244"/>
      <c r="P10" s="244"/>
      <c r="Q10" s="231"/>
      <c r="R10" s="231"/>
      <c r="S10" s="231"/>
      <c r="T10" s="231"/>
      <c r="U10" s="231"/>
      <c r="V10" s="231"/>
      <c r="W10" s="231"/>
      <c r="X10" s="231"/>
      <c r="Y10" s="231"/>
      <c r="Z10" s="231"/>
      <c r="AA10" s="231"/>
      <c r="AB10" s="231"/>
    </row>
    <row r="11" spans="1:106" ht="15" x14ac:dyDescent="0.2">
      <c r="A11" s="17"/>
      <c r="B11" s="37" t="s">
        <v>5</v>
      </c>
      <c r="C11" s="245"/>
      <c r="D11" s="159">
        <v>35662946.186790802</v>
      </c>
      <c r="E11" s="246"/>
      <c r="F11" s="159">
        <v>4454185.2579531502</v>
      </c>
      <c r="G11" s="159">
        <v>12.605175966499999</v>
      </c>
      <c r="H11" s="246"/>
      <c r="I11" s="159">
        <v>4957669.0963505097</v>
      </c>
      <c r="J11" s="159">
        <v>14.046844846899999</v>
      </c>
      <c r="K11" s="50"/>
      <c r="L11" s="159">
        <v>6392550.09332594</v>
      </c>
      <c r="M11" s="159">
        <v>18.095648409999999</v>
      </c>
      <c r="N11" s="246"/>
      <c r="O11" s="159">
        <v>4573518.8816222399</v>
      </c>
      <c r="P11" s="159">
        <v>12.9524866171</v>
      </c>
      <c r="Q11" s="246"/>
      <c r="R11" s="159">
        <v>4608531.7027488304</v>
      </c>
      <c r="S11" s="159">
        <v>13.044837708699999</v>
      </c>
      <c r="T11" s="51"/>
      <c r="U11" s="159">
        <v>4035181.1273463401</v>
      </c>
      <c r="V11" s="159">
        <v>11.4177878326</v>
      </c>
      <c r="W11" s="3"/>
      <c r="X11" s="159">
        <v>6199138.0417556996</v>
      </c>
      <c r="Y11" s="159">
        <v>17.527950382099998</v>
      </c>
      <c r="Z11" s="3"/>
      <c r="AA11" s="159">
        <v>1264598.3402414201</v>
      </c>
      <c r="AB11" s="159">
        <v>3.5848261055999999</v>
      </c>
    </row>
    <row r="12" spans="1:106" ht="6" customHeight="1" x14ac:dyDescent="0.2">
      <c r="A12" s="11"/>
      <c r="B12" s="38"/>
      <c r="C12" s="245"/>
      <c r="D12" s="95"/>
      <c r="E12" s="246"/>
      <c r="F12" s="95"/>
      <c r="G12" s="96"/>
      <c r="H12" s="246"/>
      <c r="I12" s="95"/>
      <c r="J12" s="96"/>
      <c r="K12" s="50"/>
      <c r="L12" s="95"/>
      <c r="M12" s="96"/>
      <c r="N12" s="246"/>
      <c r="O12" s="95"/>
      <c r="P12" s="96"/>
      <c r="Q12" s="246"/>
      <c r="R12" s="95"/>
      <c r="S12" s="96"/>
      <c r="T12" s="50"/>
      <c r="U12" s="95"/>
      <c r="V12" s="96"/>
      <c r="W12" s="3"/>
      <c r="X12" s="95"/>
      <c r="Y12" s="96"/>
      <c r="Z12" s="3"/>
      <c r="AA12" s="95"/>
      <c r="AB12" s="96"/>
    </row>
    <row r="13" spans="1:106" ht="13.5" customHeight="1" x14ac:dyDescent="0.2">
      <c r="A13" s="11"/>
      <c r="B13" s="44" t="s">
        <v>26</v>
      </c>
      <c r="C13" s="247"/>
      <c r="D13" s="160">
        <v>401693.89670143899</v>
      </c>
      <c r="E13" s="248"/>
      <c r="F13" s="160">
        <v>22662.928478467598</v>
      </c>
      <c r="G13" s="160">
        <v>5.8645137909000002</v>
      </c>
      <c r="H13" s="248"/>
      <c r="I13" s="160">
        <v>139430.461189472</v>
      </c>
      <c r="J13" s="160">
        <v>35.550548070700003</v>
      </c>
      <c r="K13" s="50"/>
      <c r="L13" s="160">
        <v>87820.566617131801</v>
      </c>
      <c r="M13" s="160">
        <v>22.646067484700001</v>
      </c>
      <c r="N13" s="248"/>
      <c r="O13" s="160">
        <v>56489.535376162603</v>
      </c>
      <c r="P13" s="160">
        <v>14.577701642899999</v>
      </c>
      <c r="Q13" s="248"/>
      <c r="R13" s="160">
        <v>50098.617206558898</v>
      </c>
      <c r="S13" s="160">
        <v>12.952439375399999</v>
      </c>
      <c r="T13" s="52"/>
      <c r="U13" s="160">
        <v>29827.331445796299</v>
      </c>
      <c r="V13" s="160">
        <v>7.7063112739999999</v>
      </c>
      <c r="W13" s="3"/>
      <c r="X13" s="160">
        <v>30137.676504930401</v>
      </c>
      <c r="Y13" s="160">
        <v>7.7659557423000001</v>
      </c>
      <c r="Z13" s="3"/>
      <c r="AA13" s="160">
        <v>30379.927480815601</v>
      </c>
      <c r="AB13" s="160">
        <v>7.8632526509999998</v>
      </c>
    </row>
    <row r="14" spans="1:106" ht="15" x14ac:dyDescent="0.2">
      <c r="A14" s="11"/>
      <c r="B14" s="13" t="s">
        <v>27</v>
      </c>
      <c r="C14" s="247"/>
      <c r="D14" s="160">
        <v>1194812.8712261601</v>
      </c>
      <c r="E14" s="248"/>
      <c r="F14" s="160">
        <v>95476.316075775103</v>
      </c>
      <c r="G14" s="160">
        <v>8.3379517495000002</v>
      </c>
      <c r="H14" s="248"/>
      <c r="I14" s="160">
        <v>82443.924502572205</v>
      </c>
      <c r="J14" s="160">
        <v>7.1739983112000001</v>
      </c>
      <c r="K14" s="50"/>
      <c r="L14" s="160">
        <v>157823.26312905399</v>
      </c>
      <c r="M14" s="160">
        <v>13.720509795</v>
      </c>
      <c r="N14" s="248"/>
      <c r="O14" s="160">
        <v>226114.30954359999</v>
      </c>
      <c r="P14" s="160">
        <v>19.6669211641</v>
      </c>
      <c r="Q14" s="248"/>
      <c r="R14" s="160">
        <v>255631.664501494</v>
      </c>
      <c r="S14" s="160">
        <v>22.4121009327</v>
      </c>
      <c r="T14" s="52"/>
      <c r="U14" s="160">
        <v>242638.37247307599</v>
      </c>
      <c r="V14" s="160">
        <v>21.015033860399999</v>
      </c>
      <c r="W14" s="3"/>
      <c r="X14" s="160">
        <v>251580.139417506</v>
      </c>
      <c r="Y14" s="160">
        <v>21.718128158700001</v>
      </c>
      <c r="Z14" s="3"/>
      <c r="AA14" s="160">
        <v>20401.8930083536</v>
      </c>
      <c r="AB14" s="160">
        <v>1.7816908241</v>
      </c>
    </row>
    <row r="15" spans="1:106" ht="15" x14ac:dyDescent="0.2">
      <c r="A15" s="12"/>
      <c r="B15" s="13" t="s">
        <v>28</v>
      </c>
      <c r="C15" s="247"/>
      <c r="D15" s="160">
        <v>256444.37902674099</v>
      </c>
      <c r="E15" s="248"/>
      <c r="F15" s="160">
        <v>21399.246275319201</v>
      </c>
      <c r="G15" s="160">
        <v>8.7468761377999993</v>
      </c>
      <c r="H15" s="248"/>
      <c r="I15" s="160">
        <v>13327.252259287399</v>
      </c>
      <c r="J15" s="160">
        <v>5.4983806718999997</v>
      </c>
      <c r="K15" s="50"/>
      <c r="L15" s="160">
        <v>14366.9969422913</v>
      </c>
      <c r="M15" s="160">
        <v>5.9834038220999997</v>
      </c>
      <c r="N15" s="248"/>
      <c r="O15" s="160">
        <v>42351.712691320303</v>
      </c>
      <c r="P15" s="160">
        <v>17.349116652199999</v>
      </c>
      <c r="Q15" s="248"/>
      <c r="R15" s="160">
        <v>70375.027466158703</v>
      </c>
      <c r="S15" s="160">
        <v>28.339356155299999</v>
      </c>
      <c r="T15" s="52"/>
      <c r="U15" s="160">
        <v>41321.517548412099</v>
      </c>
      <c r="V15" s="160">
        <v>16.8553155456</v>
      </c>
      <c r="W15" s="3"/>
      <c r="X15" s="160">
        <v>63509.864733946102</v>
      </c>
      <c r="Y15" s="160">
        <v>26.609195351499999</v>
      </c>
      <c r="Z15" s="3"/>
      <c r="AA15" s="160">
        <v>18548.9335709548</v>
      </c>
      <c r="AB15" s="160">
        <v>7.6526492663000001</v>
      </c>
    </row>
    <row r="16" spans="1:106" ht="15" x14ac:dyDescent="0.2">
      <c r="A16" s="12"/>
      <c r="B16" s="13" t="s">
        <v>29</v>
      </c>
      <c r="C16" s="247"/>
      <c r="D16" s="160">
        <v>273665.04189377202</v>
      </c>
      <c r="E16" s="248"/>
      <c r="F16" s="160">
        <v>21709.006947019199</v>
      </c>
      <c r="G16" s="160">
        <v>8.3866800029000004</v>
      </c>
      <c r="H16" s="248"/>
      <c r="I16" s="160">
        <v>22072.7280612758</v>
      </c>
      <c r="J16" s="160">
        <v>8.4777059459000004</v>
      </c>
      <c r="K16" s="50"/>
      <c r="L16" s="160">
        <v>31143.842604460799</v>
      </c>
      <c r="M16" s="160">
        <v>12.055280745699999</v>
      </c>
      <c r="N16" s="248"/>
      <c r="O16" s="160">
        <v>36559.074647228801</v>
      </c>
      <c r="P16" s="160">
        <v>14.094662356900001</v>
      </c>
      <c r="Q16" s="248"/>
      <c r="R16" s="160">
        <v>32837.2175784793</v>
      </c>
      <c r="S16" s="160">
        <v>12.701687785300001</v>
      </c>
      <c r="T16" s="52"/>
      <c r="U16" s="160">
        <v>36051.1501533505</v>
      </c>
      <c r="V16" s="160">
        <v>13.858848113800001</v>
      </c>
      <c r="W16" s="3"/>
      <c r="X16" s="160">
        <v>92658.765172020197</v>
      </c>
      <c r="Y16" s="160">
        <v>34.9254587633</v>
      </c>
      <c r="Z16" s="3"/>
      <c r="AA16" s="160">
        <v>21825.960567489401</v>
      </c>
      <c r="AB16" s="160">
        <v>8.4084208418999999</v>
      </c>
    </row>
    <row r="17" spans="1:28" ht="15" x14ac:dyDescent="0.2">
      <c r="A17" s="12"/>
      <c r="B17" s="13" t="s">
        <v>30</v>
      </c>
      <c r="C17" s="247"/>
      <c r="D17" s="128">
        <v>939555.89204201801</v>
      </c>
      <c r="E17" s="248"/>
      <c r="F17" s="128">
        <v>42401.617472614103</v>
      </c>
      <c r="G17" s="128">
        <v>4.6611776765000004</v>
      </c>
      <c r="H17" s="248"/>
      <c r="I17" s="128">
        <v>88294.764586612393</v>
      </c>
      <c r="J17" s="128">
        <v>9.7104391790999998</v>
      </c>
      <c r="K17" s="50"/>
      <c r="L17" s="128">
        <v>243733.493738394</v>
      </c>
      <c r="M17" s="128">
        <v>26.698306799600001</v>
      </c>
      <c r="N17" s="248"/>
      <c r="O17" s="128">
        <v>192896.720296844</v>
      </c>
      <c r="P17" s="128">
        <v>21.2778671045</v>
      </c>
      <c r="Q17" s="248"/>
      <c r="R17" s="128">
        <v>113782.777544428</v>
      </c>
      <c r="S17" s="128">
        <v>12.546383713099999</v>
      </c>
      <c r="T17" s="53"/>
      <c r="U17" s="128">
        <v>135144.81882405901</v>
      </c>
      <c r="V17" s="128">
        <v>14.8579471388</v>
      </c>
      <c r="W17" s="3"/>
      <c r="X17" s="128">
        <v>140446.5066168</v>
      </c>
      <c r="Y17" s="128">
        <v>15.322237037100001</v>
      </c>
      <c r="Z17" s="3"/>
      <c r="AA17" s="128">
        <v>79471.510402611602</v>
      </c>
      <c r="AB17" s="128">
        <v>8.7627865772</v>
      </c>
    </row>
    <row r="18" spans="1:28" ht="15" x14ac:dyDescent="0.2">
      <c r="A18" s="21"/>
      <c r="B18" s="13" t="s">
        <v>31</v>
      </c>
      <c r="C18" s="247"/>
      <c r="D18" s="128">
        <v>243697.01868438401</v>
      </c>
      <c r="E18" s="248"/>
      <c r="F18" s="128">
        <v>22391.7988768711</v>
      </c>
      <c r="G18" s="128">
        <v>9.7554606864999993</v>
      </c>
      <c r="H18" s="248"/>
      <c r="I18" s="128">
        <v>38309.729449668899</v>
      </c>
      <c r="J18" s="128">
        <v>16.5623715674</v>
      </c>
      <c r="K18" s="50"/>
      <c r="L18" s="128">
        <v>56569.941336536103</v>
      </c>
      <c r="M18" s="128">
        <v>24.4006244433</v>
      </c>
      <c r="N18" s="248"/>
      <c r="O18" s="128">
        <v>56010.293735609499</v>
      </c>
      <c r="P18" s="128">
        <v>23.8405293022</v>
      </c>
      <c r="Q18" s="248"/>
      <c r="R18" s="128">
        <v>29830.611314890699</v>
      </c>
      <c r="S18" s="128">
        <v>12.861843775700001</v>
      </c>
      <c r="T18" s="53"/>
      <c r="U18" s="128">
        <v>28716.002919469502</v>
      </c>
      <c r="V18" s="128">
        <v>12.4256947248</v>
      </c>
      <c r="W18" s="3"/>
      <c r="X18" s="128">
        <v>28000.715317771199</v>
      </c>
      <c r="Y18" s="128">
        <v>12.0895520088</v>
      </c>
      <c r="Z18" s="3"/>
      <c r="AA18" s="128">
        <v>6601.9775885879999</v>
      </c>
      <c r="AB18" s="128">
        <v>2.8678974353000002</v>
      </c>
    </row>
    <row r="19" spans="1:28" ht="15" x14ac:dyDescent="0.2">
      <c r="A19" s="21"/>
      <c r="B19" s="13" t="s">
        <v>32</v>
      </c>
      <c r="C19" s="247"/>
      <c r="D19" s="160">
        <v>1515154.20276339</v>
      </c>
      <c r="E19" s="248"/>
      <c r="F19" s="160">
        <v>181342.760805222</v>
      </c>
      <c r="G19" s="160">
        <v>12.776730778399999</v>
      </c>
      <c r="H19" s="248"/>
      <c r="I19" s="160">
        <v>143550.714748286</v>
      </c>
      <c r="J19" s="160">
        <v>10.012372280299999</v>
      </c>
      <c r="K19" s="50"/>
      <c r="L19" s="160">
        <v>175414.00428202501</v>
      </c>
      <c r="M19" s="160">
        <v>12.220594630900001</v>
      </c>
      <c r="N19" s="248"/>
      <c r="O19" s="160">
        <v>138330.232845063</v>
      </c>
      <c r="P19" s="160">
        <v>9.6968615019000008</v>
      </c>
      <c r="Q19" s="248"/>
      <c r="R19" s="160">
        <v>293206.49472829502</v>
      </c>
      <c r="S19" s="160">
        <v>20.464101333799999</v>
      </c>
      <c r="T19" s="52"/>
      <c r="U19" s="160">
        <v>174472.715374288</v>
      </c>
      <c r="V19" s="160">
        <v>12.167954013899999</v>
      </c>
      <c r="W19" s="3"/>
      <c r="X19" s="160">
        <v>495239.94082625402</v>
      </c>
      <c r="Y19" s="160">
        <v>34.251286926500001</v>
      </c>
      <c r="Z19" s="3"/>
      <c r="AA19" s="160">
        <v>35166.3476498663</v>
      </c>
      <c r="AB19" s="160">
        <v>2.4750573230000001</v>
      </c>
    </row>
    <row r="20" spans="1:28" ht="15" x14ac:dyDescent="0.2">
      <c r="B20" s="13" t="s">
        <v>33</v>
      </c>
      <c r="C20" s="247"/>
      <c r="D20" s="160">
        <v>1177493.9072535899</v>
      </c>
      <c r="E20" s="248"/>
      <c r="F20" s="160">
        <v>47533.366234863999</v>
      </c>
      <c r="G20" s="160">
        <v>4.1651001639</v>
      </c>
      <c r="H20" s="248"/>
      <c r="I20" s="160">
        <v>60236.513411147404</v>
      </c>
      <c r="J20" s="160">
        <v>5.2701338758</v>
      </c>
      <c r="K20" s="50"/>
      <c r="L20" s="160">
        <v>268752.88777218398</v>
      </c>
      <c r="M20" s="160">
        <v>23.337362223300001</v>
      </c>
      <c r="N20" s="248"/>
      <c r="O20" s="160">
        <v>225305.86742397799</v>
      </c>
      <c r="P20" s="160">
        <v>19.630052798200001</v>
      </c>
      <c r="Q20" s="248"/>
      <c r="R20" s="160">
        <v>264728.58291607001</v>
      </c>
      <c r="S20" s="160">
        <v>23.0916951518</v>
      </c>
      <c r="T20" s="52"/>
      <c r="U20" s="160">
        <v>167947.047275363</v>
      </c>
      <c r="V20" s="160">
        <v>14.6847248419</v>
      </c>
      <c r="W20" s="3"/>
      <c r="X20" s="160">
        <v>191415.098850512</v>
      </c>
      <c r="Y20" s="160">
        <v>16.765440528399999</v>
      </c>
      <c r="Z20" s="3"/>
      <c r="AA20" s="160">
        <v>71726.200949648599</v>
      </c>
      <c r="AB20" s="160">
        <v>6.2822146308000004</v>
      </c>
    </row>
    <row r="21" spans="1:28" ht="15" x14ac:dyDescent="0.2">
      <c r="B21" s="13" t="s">
        <v>34</v>
      </c>
      <c r="C21" s="247"/>
      <c r="D21" s="160">
        <v>2802756.3492487799</v>
      </c>
      <c r="E21" s="248"/>
      <c r="F21" s="160">
        <v>914885.95255324501</v>
      </c>
      <c r="G21" s="160">
        <v>33.478038588099999</v>
      </c>
      <c r="H21" s="248"/>
      <c r="I21" s="160">
        <v>580356.78023661894</v>
      </c>
      <c r="J21" s="160">
        <v>21.271276396699999</v>
      </c>
      <c r="K21" s="50"/>
      <c r="L21" s="160">
        <v>451482.157083333</v>
      </c>
      <c r="M21" s="160">
        <v>16.561636782200001</v>
      </c>
      <c r="N21" s="248"/>
      <c r="O21" s="160">
        <v>305086.45148891601</v>
      </c>
      <c r="P21" s="160">
        <v>11.1931427898</v>
      </c>
      <c r="Q21" s="248"/>
      <c r="R21" s="160">
        <v>292253.52118624101</v>
      </c>
      <c r="S21" s="160">
        <v>10.713727520999999</v>
      </c>
      <c r="T21" s="52"/>
      <c r="U21" s="160">
        <v>199846.73755068201</v>
      </c>
      <c r="V21" s="160">
        <v>7.3204293375000002</v>
      </c>
      <c r="W21" s="3"/>
      <c r="X21" s="160">
        <v>127531.02470219501</v>
      </c>
      <c r="Y21" s="160">
        <v>4.6822710250000004</v>
      </c>
      <c r="Z21" s="3"/>
      <c r="AA21" s="160">
        <v>198219.46076447601</v>
      </c>
      <c r="AB21" s="160">
        <v>7.2572819115999998</v>
      </c>
    </row>
    <row r="22" spans="1:28" ht="15" x14ac:dyDescent="0.2">
      <c r="B22" s="13" t="s">
        <v>35</v>
      </c>
      <c r="C22" s="247"/>
      <c r="D22" s="160">
        <v>519941.24414162798</v>
      </c>
      <c r="E22" s="248"/>
      <c r="F22" s="160">
        <v>21260.353897147601</v>
      </c>
      <c r="G22" s="160">
        <v>4.2558891496999998</v>
      </c>
      <c r="H22" s="248"/>
      <c r="I22" s="160">
        <v>44808.438966036301</v>
      </c>
      <c r="J22" s="160">
        <v>8.9525566302000001</v>
      </c>
      <c r="K22" s="50"/>
      <c r="L22" s="160">
        <v>80586.803180589603</v>
      </c>
      <c r="M22" s="160">
        <v>16.068411362999999</v>
      </c>
      <c r="N22" s="248"/>
      <c r="O22" s="160">
        <v>86708.081955227404</v>
      </c>
      <c r="P22" s="160">
        <v>17.322218257300001</v>
      </c>
      <c r="Q22" s="248"/>
      <c r="R22" s="160">
        <v>104204.725259778</v>
      </c>
      <c r="S22" s="160">
        <v>20.746603350699999</v>
      </c>
      <c r="T22" s="52"/>
      <c r="U22" s="160">
        <v>51143.096822290703</v>
      </c>
      <c r="V22" s="160">
        <v>10.1779910432</v>
      </c>
      <c r="W22" s="3"/>
      <c r="X22" s="160">
        <v>144104.850064834</v>
      </c>
      <c r="Y22" s="160">
        <v>28.463801434499999</v>
      </c>
      <c r="Z22" s="3"/>
      <c r="AA22" s="160">
        <v>39021.075336521899</v>
      </c>
      <c r="AB22" s="160">
        <v>7.7750459638000002</v>
      </c>
    </row>
    <row r="23" spans="1:28" ht="15" x14ac:dyDescent="0.2">
      <c r="B23" s="13" t="s">
        <v>36</v>
      </c>
      <c r="C23" s="247"/>
      <c r="D23" s="160">
        <v>1650893.0803463401</v>
      </c>
      <c r="E23" s="248"/>
      <c r="F23" s="160">
        <v>207564.733915758</v>
      </c>
      <c r="G23" s="160">
        <v>13.0354132831</v>
      </c>
      <c r="H23" s="248"/>
      <c r="I23" s="160">
        <v>401838.133125377</v>
      </c>
      <c r="J23" s="160">
        <v>25.047714811900001</v>
      </c>
      <c r="K23" s="50"/>
      <c r="L23" s="160">
        <v>328673.98001153901</v>
      </c>
      <c r="M23" s="160">
        <v>20.628482354500001</v>
      </c>
      <c r="N23" s="248"/>
      <c r="O23" s="160">
        <v>226990.58965625701</v>
      </c>
      <c r="P23" s="160">
        <v>14.245444323599999</v>
      </c>
      <c r="Q23" s="248"/>
      <c r="R23" s="160">
        <v>176428.66547247901</v>
      </c>
      <c r="S23" s="160">
        <v>11.0882886803</v>
      </c>
      <c r="T23" s="52"/>
      <c r="U23" s="160">
        <v>210550.88534037399</v>
      </c>
      <c r="V23" s="160">
        <v>13.250508201000001</v>
      </c>
      <c r="W23" s="3"/>
      <c r="X23" s="160">
        <v>198167.92020884401</v>
      </c>
      <c r="Y23" s="160">
        <v>12.464768985599999</v>
      </c>
      <c r="Z23" s="3"/>
      <c r="AA23" s="160">
        <v>64095.385407303402</v>
      </c>
      <c r="AB23" s="160">
        <v>4.0266108128999996</v>
      </c>
    </row>
    <row r="24" spans="1:28" ht="15" x14ac:dyDescent="0.2">
      <c r="B24" s="13" t="s">
        <v>37</v>
      </c>
      <c r="C24" s="247"/>
      <c r="D24" s="160">
        <v>985997.54227468802</v>
      </c>
      <c r="E24" s="248"/>
      <c r="F24" s="160">
        <v>110208.517464994</v>
      </c>
      <c r="G24" s="160">
        <v>11.6601770374</v>
      </c>
      <c r="H24" s="248"/>
      <c r="I24" s="160">
        <v>101387.71939993399</v>
      </c>
      <c r="J24" s="160">
        <v>10.7433550694</v>
      </c>
      <c r="K24" s="50"/>
      <c r="L24" s="160">
        <v>186528.063818814</v>
      </c>
      <c r="M24" s="160">
        <v>19.648291859299999</v>
      </c>
      <c r="N24" s="248"/>
      <c r="O24" s="160">
        <v>139996.63258469399</v>
      </c>
      <c r="P24" s="160">
        <v>14.766808706200001</v>
      </c>
      <c r="Q24" s="248"/>
      <c r="R24" s="160">
        <v>108504.30463646101</v>
      </c>
      <c r="S24" s="160">
        <v>11.3897593459</v>
      </c>
      <c r="T24" s="52"/>
      <c r="U24" s="160">
        <v>142179.89386651601</v>
      </c>
      <c r="V24" s="160">
        <v>15.007453720699999</v>
      </c>
      <c r="W24" s="3"/>
      <c r="X24" s="160">
        <v>213886.627397731</v>
      </c>
      <c r="Y24" s="160">
        <v>22.565607344899998</v>
      </c>
      <c r="Z24" s="3"/>
      <c r="AA24" s="160">
        <v>62381.669598992703</v>
      </c>
      <c r="AB24" s="160">
        <v>6.6433160937000002</v>
      </c>
    </row>
    <row r="25" spans="1:28" ht="15" x14ac:dyDescent="0.2">
      <c r="B25" s="13" t="s">
        <v>38</v>
      </c>
      <c r="C25" s="247"/>
      <c r="D25" s="160">
        <v>896937.23275720899</v>
      </c>
      <c r="E25" s="248"/>
      <c r="F25" s="160">
        <v>119363.85566874</v>
      </c>
      <c r="G25" s="160">
        <v>13.853189240300001</v>
      </c>
      <c r="H25" s="248"/>
      <c r="I25" s="160">
        <v>150777.995877459</v>
      </c>
      <c r="J25" s="160">
        <v>17.6256678363</v>
      </c>
      <c r="K25" s="50"/>
      <c r="L25" s="160">
        <v>189061.041170982</v>
      </c>
      <c r="M25" s="160">
        <v>21.936649325099999</v>
      </c>
      <c r="N25" s="248"/>
      <c r="O25" s="160">
        <v>94804.053725599093</v>
      </c>
      <c r="P25" s="160">
        <v>10.9589431791</v>
      </c>
      <c r="Q25" s="248"/>
      <c r="R25" s="160">
        <v>99263.393675438201</v>
      </c>
      <c r="S25" s="160">
        <v>11.418245750600001</v>
      </c>
      <c r="T25" s="52"/>
      <c r="U25" s="160">
        <v>105529.667778627</v>
      </c>
      <c r="V25" s="160">
        <v>12.239207438399999</v>
      </c>
      <c r="W25" s="3"/>
      <c r="X25" s="160">
        <v>193146.86391022301</v>
      </c>
      <c r="Y25" s="160">
        <v>22.255650330600002</v>
      </c>
      <c r="Z25" s="3"/>
      <c r="AA25" s="160">
        <v>26114.0901898589</v>
      </c>
      <c r="AB25" s="160">
        <v>3.0392868846000001</v>
      </c>
    </row>
    <row r="26" spans="1:28" ht="15" x14ac:dyDescent="0.2">
      <c r="B26" s="13" t="s">
        <v>39</v>
      </c>
      <c r="C26" s="247"/>
      <c r="D26" s="160">
        <v>2397392.87652244</v>
      </c>
      <c r="E26" s="248"/>
      <c r="F26" s="160">
        <v>441646.31330588198</v>
      </c>
      <c r="G26" s="160">
        <v>18.9726626002</v>
      </c>
      <c r="H26" s="248"/>
      <c r="I26" s="160">
        <v>736582.40930849803</v>
      </c>
      <c r="J26" s="160">
        <v>31.817783229500002</v>
      </c>
      <c r="K26" s="50"/>
      <c r="L26" s="160">
        <v>454320.05051776598</v>
      </c>
      <c r="M26" s="160">
        <v>19.634453109799999</v>
      </c>
      <c r="N26" s="248"/>
      <c r="O26" s="160">
        <v>312898.52844414703</v>
      </c>
      <c r="P26" s="160">
        <v>13.429723797899999</v>
      </c>
      <c r="Q26" s="248"/>
      <c r="R26" s="160">
        <v>241629.73105353999</v>
      </c>
      <c r="S26" s="160">
        <v>10.4181847503</v>
      </c>
      <c r="T26" s="52"/>
      <c r="U26" s="160">
        <v>218484.58763384499</v>
      </c>
      <c r="V26" s="160">
        <v>9.4414620085000003</v>
      </c>
      <c r="W26" s="3"/>
      <c r="X26" s="160">
        <v>190140.120430351</v>
      </c>
      <c r="Y26" s="160">
        <v>8.2330673687000004</v>
      </c>
      <c r="Z26" s="3"/>
      <c r="AA26" s="160">
        <v>33136.1512173304</v>
      </c>
      <c r="AB26" s="160">
        <v>1.4397423810000001</v>
      </c>
    </row>
    <row r="27" spans="1:28" ht="15" x14ac:dyDescent="0.2">
      <c r="B27" s="13" t="s">
        <v>40</v>
      </c>
      <c r="C27" s="247"/>
      <c r="D27" s="160">
        <v>4873947.8104331996</v>
      </c>
      <c r="E27" s="248"/>
      <c r="F27" s="160">
        <v>832214.02838179597</v>
      </c>
      <c r="G27" s="160">
        <v>17.848636481100002</v>
      </c>
      <c r="H27" s="248"/>
      <c r="I27" s="160">
        <v>596595.41698138101</v>
      </c>
      <c r="J27" s="160">
        <v>12.928659201</v>
      </c>
      <c r="K27" s="50"/>
      <c r="L27" s="160">
        <v>1236692.9348450999</v>
      </c>
      <c r="M27" s="160">
        <v>26.5774123347</v>
      </c>
      <c r="N27" s="248"/>
      <c r="O27" s="160">
        <v>609373.11146058503</v>
      </c>
      <c r="P27" s="160">
        <v>13.1003124811</v>
      </c>
      <c r="Q27" s="248"/>
      <c r="R27" s="160">
        <v>669411.38607750903</v>
      </c>
      <c r="S27" s="160">
        <v>14.3361587189</v>
      </c>
      <c r="T27" s="52"/>
      <c r="U27" s="160">
        <v>524080.30266495002</v>
      </c>
      <c r="V27" s="160">
        <v>11.1709840747</v>
      </c>
      <c r="W27" s="3"/>
      <c r="X27" s="160">
        <v>525589.25894491596</v>
      </c>
      <c r="Y27" s="160">
        <v>11.124896549500001</v>
      </c>
      <c r="Z27" s="3"/>
      <c r="AA27" s="160">
        <v>338898.92742979398</v>
      </c>
      <c r="AB27" s="160">
        <v>7.3378543223000001</v>
      </c>
    </row>
    <row r="28" spans="1:28" ht="15" x14ac:dyDescent="0.2">
      <c r="B28" s="13" t="s">
        <v>41</v>
      </c>
      <c r="C28" s="247"/>
      <c r="D28" s="160">
        <v>1368761.7985574501</v>
      </c>
      <c r="E28" s="248"/>
      <c r="F28" s="160">
        <v>204754.81378422299</v>
      </c>
      <c r="G28" s="160">
        <v>15.6900755129</v>
      </c>
      <c r="H28" s="248"/>
      <c r="I28" s="160">
        <v>204911.422325639</v>
      </c>
      <c r="J28" s="160">
        <v>15.852620399199999</v>
      </c>
      <c r="K28" s="50"/>
      <c r="L28" s="160">
        <v>263252.91499540501</v>
      </c>
      <c r="M28" s="160">
        <v>20.2246201976</v>
      </c>
      <c r="N28" s="248"/>
      <c r="O28" s="160">
        <v>218823.84886106401</v>
      </c>
      <c r="P28" s="160">
        <v>16.742672299999999</v>
      </c>
      <c r="Q28" s="248"/>
      <c r="R28" s="160">
        <v>157147.18726458799</v>
      </c>
      <c r="S28" s="160">
        <v>11.9283751018</v>
      </c>
      <c r="T28" s="52"/>
      <c r="U28" s="160">
        <v>176329.44503814299</v>
      </c>
      <c r="V28" s="160">
        <v>13.45822128</v>
      </c>
      <c r="W28" s="3"/>
      <c r="X28" s="160">
        <v>222965.87318612501</v>
      </c>
      <c r="Y28" s="160">
        <v>17.165273388900001</v>
      </c>
      <c r="Z28" s="3"/>
      <c r="AA28" s="160">
        <v>45096.877630502699</v>
      </c>
      <c r="AB28" s="160">
        <v>3.4850043714000001</v>
      </c>
    </row>
    <row r="29" spans="1:28" ht="15" x14ac:dyDescent="0.2">
      <c r="B29" s="13" t="s">
        <v>42</v>
      </c>
      <c r="C29" s="247"/>
      <c r="D29" s="160">
        <v>610031.22610067902</v>
      </c>
      <c r="E29" s="248"/>
      <c r="F29" s="160">
        <v>59631.0008494016</v>
      </c>
      <c r="G29" s="160">
        <v>10.278667733100001</v>
      </c>
      <c r="H29" s="248"/>
      <c r="I29" s="160">
        <v>65127.373475744003</v>
      </c>
      <c r="J29" s="160">
        <v>11.168085898099999</v>
      </c>
      <c r="K29" s="50"/>
      <c r="L29" s="160">
        <v>84238.571776904195</v>
      </c>
      <c r="M29" s="160">
        <v>14.3584721845</v>
      </c>
      <c r="N29" s="248"/>
      <c r="O29" s="160">
        <v>63431.057601519897</v>
      </c>
      <c r="P29" s="160">
        <v>10.846446311599999</v>
      </c>
      <c r="Q29" s="248"/>
      <c r="R29" s="160">
        <v>109343.87696592</v>
      </c>
      <c r="S29" s="160">
        <v>18.970552866399998</v>
      </c>
      <c r="T29" s="52"/>
      <c r="U29" s="160">
        <v>98904.628346345795</v>
      </c>
      <c r="V29" s="160">
        <v>17.116768237399999</v>
      </c>
      <c r="W29" s="3"/>
      <c r="X29" s="160">
        <v>138687.84254594901</v>
      </c>
      <c r="Y29" s="160">
        <v>23.517713175099999</v>
      </c>
      <c r="Z29" s="3"/>
      <c r="AA29" s="160">
        <v>40282.383939826403</v>
      </c>
      <c r="AB29" s="160">
        <v>6.9499422439999998</v>
      </c>
    </row>
    <row r="30" spans="1:28" ht="15" x14ac:dyDescent="0.2">
      <c r="B30" s="13" t="s">
        <v>43</v>
      </c>
      <c r="C30" s="247"/>
      <c r="D30" s="160">
        <v>376533.335776983</v>
      </c>
      <c r="E30" s="248"/>
      <c r="F30" s="160">
        <v>35478.0473600037</v>
      </c>
      <c r="G30" s="160">
        <v>9.8191274026999995</v>
      </c>
      <c r="H30" s="248"/>
      <c r="I30" s="160">
        <v>56691.572257547297</v>
      </c>
      <c r="J30" s="160">
        <v>15.5585468418</v>
      </c>
      <c r="K30" s="50"/>
      <c r="L30" s="160">
        <v>74423.069127477502</v>
      </c>
      <c r="M30" s="160">
        <v>20.746515638999998</v>
      </c>
      <c r="N30" s="248"/>
      <c r="O30" s="160">
        <v>68755.584634638304</v>
      </c>
      <c r="P30" s="160">
        <v>18.949094109600001</v>
      </c>
      <c r="Q30" s="248"/>
      <c r="R30" s="160">
        <v>42123.523311039498</v>
      </c>
      <c r="S30" s="160">
        <v>11.6079877569</v>
      </c>
      <c r="T30" s="52"/>
      <c r="U30" s="160">
        <v>43249.546577554298</v>
      </c>
      <c r="V30" s="160">
        <v>11.9264500117</v>
      </c>
      <c r="W30" s="3"/>
      <c r="X30" s="160">
        <v>82410.017335834898</v>
      </c>
      <c r="Y30" s="160">
        <v>22.761057792399999</v>
      </c>
      <c r="Z30" s="3"/>
      <c r="AA30" s="160">
        <v>13193.280600423701</v>
      </c>
      <c r="AB30" s="160">
        <v>3.6614567015000001</v>
      </c>
    </row>
    <row r="31" spans="1:28" ht="15" x14ac:dyDescent="0.2">
      <c r="B31" s="13" t="s">
        <v>44</v>
      </c>
      <c r="C31" s="247"/>
      <c r="D31" s="160">
        <v>1738437.8778178</v>
      </c>
      <c r="E31" s="248"/>
      <c r="F31" s="160">
        <v>108041.191676371</v>
      </c>
      <c r="G31" s="160">
        <v>6.5119750547999997</v>
      </c>
      <c r="H31" s="248"/>
      <c r="I31" s="160">
        <v>438485.60714142601</v>
      </c>
      <c r="J31" s="160">
        <v>26.0419392061</v>
      </c>
      <c r="K31" s="50"/>
      <c r="L31" s="160">
        <v>647482.48079674703</v>
      </c>
      <c r="M31" s="160">
        <v>38.424266996</v>
      </c>
      <c r="N31" s="248"/>
      <c r="O31" s="160">
        <v>285840.58606191602</v>
      </c>
      <c r="P31" s="160">
        <v>17.193601686600001</v>
      </c>
      <c r="Q31" s="248"/>
      <c r="R31" s="160">
        <v>132315.06062841401</v>
      </c>
      <c r="S31" s="160">
        <v>7.9965584251999999</v>
      </c>
      <c r="T31" s="52"/>
      <c r="U31" s="160">
        <v>125728.388505671</v>
      </c>
      <c r="V31" s="160">
        <v>7.5209086410000001</v>
      </c>
      <c r="W31" s="3"/>
      <c r="X31" s="160">
        <v>153270.977886915</v>
      </c>
      <c r="Y31" s="160">
        <v>9.2283819191000003</v>
      </c>
      <c r="Z31" s="3"/>
      <c r="AA31" s="160">
        <v>27000.790176811999</v>
      </c>
      <c r="AB31" s="160">
        <v>1.6219671180999999</v>
      </c>
    </row>
    <row r="32" spans="1:28" ht="15" x14ac:dyDescent="0.2">
      <c r="B32" s="13" t="s">
        <v>45</v>
      </c>
      <c r="C32" s="247"/>
      <c r="D32" s="160">
        <v>1203423.9761956099</v>
      </c>
      <c r="E32" s="248"/>
      <c r="F32" s="160">
        <v>81399.430612804194</v>
      </c>
      <c r="G32" s="160">
        <v>7.2392588716999997</v>
      </c>
      <c r="H32" s="248"/>
      <c r="I32" s="160">
        <v>73367.323653288899</v>
      </c>
      <c r="J32" s="160">
        <v>6.5093296914999996</v>
      </c>
      <c r="K32" s="50"/>
      <c r="L32" s="160">
        <v>100120.381883721</v>
      </c>
      <c r="M32" s="160">
        <v>8.8517160287000003</v>
      </c>
      <c r="N32" s="248"/>
      <c r="O32" s="160">
        <v>112413.056286202</v>
      </c>
      <c r="P32" s="160">
        <v>9.8479395992000001</v>
      </c>
      <c r="Q32" s="248"/>
      <c r="R32" s="160">
        <v>184253.717550929</v>
      </c>
      <c r="S32" s="160">
        <v>16.1606154569</v>
      </c>
      <c r="T32" s="52"/>
      <c r="U32" s="160">
        <v>212525.65646942399</v>
      </c>
      <c r="V32" s="160">
        <v>18.5431788201</v>
      </c>
      <c r="W32" s="3"/>
      <c r="X32" s="160">
        <v>496271.19948675</v>
      </c>
      <c r="Y32" s="160">
        <v>43.359804657799998</v>
      </c>
      <c r="Z32" s="3"/>
      <c r="AA32" s="160">
        <v>34049.496607571396</v>
      </c>
      <c r="AB32" s="160">
        <v>3.0422476129999998</v>
      </c>
    </row>
    <row r="33" spans="1:28" ht="15" x14ac:dyDescent="0.2">
      <c r="B33" s="13" t="s">
        <v>46</v>
      </c>
      <c r="C33" s="247"/>
      <c r="D33" s="160">
        <v>1815906.8952740801</v>
      </c>
      <c r="E33" s="248"/>
      <c r="F33" s="160">
        <v>356803.56986234698</v>
      </c>
      <c r="G33" s="160">
        <v>20.463074832</v>
      </c>
      <c r="H33" s="248"/>
      <c r="I33" s="160">
        <v>292174.79877827503</v>
      </c>
      <c r="J33" s="160">
        <v>16.741957943799999</v>
      </c>
      <c r="K33" s="50"/>
      <c r="L33" s="160">
        <v>226849.79383264299</v>
      </c>
      <c r="M33" s="160">
        <v>13.1525546171</v>
      </c>
      <c r="N33" s="248"/>
      <c r="O33" s="160">
        <v>193020.45497234599</v>
      </c>
      <c r="P33" s="160">
        <v>11.159398721200001</v>
      </c>
      <c r="Q33" s="248"/>
      <c r="R33" s="160">
        <v>281919.52213723602</v>
      </c>
      <c r="S33" s="160">
        <v>16.245562316099999</v>
      </c>
      <c r="T33" s="52"/>
      <c r="U33" s="160">
        <v>186942.49741283801</v>
      </c>
      <c r="V33" s="160">
        <v>10.8503005728</v>
      </c>
      <c r="W33" s="3"/>
      <c r="X33" s="160">
        <v>380887.33259442198</v>
      </c>
      <c r="Y33" s="160">
        <v>22.020439548599999</v>
      </c>
      <c r="Z33" s="3"/>
      <c r="AA33" s="160">
        <v>51488.0712785055</v>
      </c>
      <c r="AB33" s="160">
        <v>2.9803562639000001</v>
      </c>
    </row>
    <row r="34" spans="1:28" ht="15" x14ac:dyDescent="0.2">
      <c r="B34" s="13" t="s">
        <v>47</v>
      </c>
      <c r="C34" s="247"/>
      <c r="D34" s="160">
        <v>715683.99233961198</v>
      </c>
      <c r="E34" s="248"/>
      <c r="F34" s="160">
        <v>92300.4924335221</v>
      </c>
      <c r="G34" s="160">
        <v>13.6040423734</v>
      </c>
      <c r="H34" s="248"/>
      <c r="I34" s="160">
        <v>136691.827205529</v>
      </c>
      <c r="J34" s="160">
        <v>20.333569133499999</v>
      </c>
      <c r="K34" s="50"/>
      <c r="L34" s="160">
        <v>152808.57756498901</v>
      </c>
      <c r="M34" s="160">
        <v>22.8950532084</v>
      </c>
      <c r="N34" s="248"/>
      <c r="O34" s="160">
        <v>91711.707427424495</v>
      </c>
      <c r="P34" s="160">
        <v>13.579122229599999</v>
      </c>
      <c r="Q34" s="248"/>
      <c r="R34" s="160">
        <v>101366.222158264</v>
      </c>
      <c r="S34" s="160">
        <v>14.970982281</v>
      </c>
      <c r="T34" s="52"/>
      <c r="U34" s="160">
        <v>93270.988195770697</v>
      </c>
      <c r="V34" s="160">
        <v>13.929663571800001</v>
      </c>
      <c r="W34" s="3"/>
      <c r="X34" s="160">
        <v>96522.118745261105</v>
      </c>
      <c r="Y34" s="160">
        <v>14.415737958799999</v>
      </c>
      <c r="Z34" s="3"/>
      <c r="AA34" s="160">
        <v>19446.7920563474</v>
      </c>
      <c r="AB34" s="160">
        <v>2.9073937285000002</v>
      </c>
    </row>
    <row r="35" spans="1:28" ht="15" x14ac:dyDescent="0.2">
      <c r="B35" s="13" t="s">
        <v>48</v>
      </c>
      <c r="C35" s="247"/>
      <c r="D35" s="160">
        <v>594621.99606358097</v>
      </c>
      <c r="E35" s="248"/>
      <c r="F35" s="160">
        <v>74812.458839237705</v>
      </c>
      <c r="G35" s="160">
        <v>13.129307949299999</v>
      </c>
      <c r="H35" s="248"/>
      <c r="I35" s="160">
        <v>109347.82610164001</v>
      </c>
      <c r="J35" s="160">
        <v>19.012374116299998</v>
      </c>
      <c r="K35" s="50"/>
      <c r="L35" s="160">
        <v>105747.860557672</v>
      </c>
      <c r="M35" s="160">
        <v>18.552842516999998</v>
      </c>
      <c r="N35" s="248"/>
      <c r="O35" s="160">
        <v>114495.022168999</v>
      </c>
      <c r="P35" s="160">
        <v>20.5396463688</v>
      </c>
      <c r="Q35" s="248"/>
      <c r="R35" s="160">
        <v>69330.331812356002</v>
      </c>
      <c r="S35" s="160">
        <v>12.415225403499999</v>
      </c>
      <c r="T35" s="54"/>
      <c r="U35" s="160">
        <v>68061.438563612799</v>
      </c>
      <c r="V35" s="160">
        <v>12.275654379300001</v>
      </c>
      <c r="W35" s="3"/>
      <c r="X35" s="160">
        <v>81519.591142540696</v>
      </c>
      <c r="Y35" s="160">
        <v>14.717560971599999</v>
      </c>
      <c r="Z35" s="3"/>
      <c r="AA35" s="160">
        <v>38750.255942925098</v>
      </c>
      <c r="AB35" s="160">
        <v>6.9409088620999997</v>
      </c>
    </row>
    <row r="36" spans="1:28" ht="15" x14ac:dyDescent="0.2">
      <c r="B36" s="13" t="s">
        <v>49</v>
      </c>
      <c r="C36" s="247"/>
      <c r="D36" s="160">
        <v>798902.49386140495</v>
      </c>
      <c r="E36" s="248"/>
      <c r="F36" s="160">
        <v>49189.818019239603</v>
      </c>
      <c r="G36" s="160">
        <v>6.3666613675999999</v>
      </c>
      <c r="H36" s="248"/>
      <c r="I36" s="160">
        <v>186168.867785743</v>
      </c>
      <c r="J36" s="160">
        <v>23.925830843500002</v>
      </c>
      <c r="K36" s="50"/>
      <c r="L36" s="160">
        <v>158504.68809220701</v>
      </c>
      <c r="M36" s="160">
        <v>20.4651463734</v>
      </c>
      <c r="N36" s="248"/>
      <c r="O36" s="160">
        <v>96786.946606944897</v>
      </c>
      <c r="P36" s="160">
        <v>12.4918003318</v>
      </c>
      <c r="Q36" s="248"/>
      <c r="R36" s="160">
        <v>79600.976482309401</v>
      </c>
      <c r="S36" s="160">
        <v>10.276586397699999</v>
      </c>
      <c r="T36" s="52"/>
      <c r="U36" s="160">
        <v>80701.603694299294</v>
      </c>
      <c r="V36" s="160">
        <v>10.418865010799999</v>
      </c>
      <c r="W36" s="3"/>
      <c r="X36" s="160">
        <v>211659.891515859</v>
      </c>
      <c r="Y36" s="160">
        <v>27.168487049599999</v>
      </c>
      <c r="Z36" s="3"/>
      <c r="AA36" s="160">
        <v>15497.7285415264</v>
      </c>
      <c r="AB36" s="160">
        <v>2.0030122844</v>
      </c>
    </row>
    <row r="37" spans="1:28" ht="15" x14ac:dyDescent="0.2">
      <c r="B37" s="13" t="s">
        <v>50</v>
      </c>
      <c r="C37" s="247"/>
      <c r="D37" s="160">
        <v>894882.02839481703</v>
      </c>
      <c r="E37" s="248"/>
      <c r="F37" s="160">
        <v>41322.451257899003</v>
      </c>
      <c r="G37" s="160">
        <v>4.7711249039999997</v>
      </c>
      <c r="H37" s="248"/>
      <c r="I37" s="160">
        <v>66540.703939718194</v>
      </c>
      <c r="J37" s="160">
        <v>7.7527249909</v>
      </c>
      <c r="K37" s="50"/>
      <c r="L37" s="160">
        <v>188399.93154314501</v>
      </c>
      <c r="M37" s="160">
        <v>21.6941118393</v>
      </c>
      <c r="N37" s="248"/>
      <c r="O37" s="160">
        <v>211957.68983539101</v>
      </c>
      <c r="P37" s="160">
        <v>24.480465586400001</v>
      </c>
      <c r="Q37" s="248"/>
      <c r="R37" s="160">
        <v>112425.57526858999</v>
      </c>
      <c r="S37" s="160">
        <v>12.942359294099999</v>
      </c>
      <c r="T37" s="52"/>
      <c r="U37" s="160">
        <v>113769.776105023</v>
      </c>
      <c r="V37" s="160">
        <v>13.171132034099999</v>
      </c>
      <c r="W37" s="3"/>
      <c r="X37" s="160">
        <v>225902.68501537101</v>
      </c>
      <c r="Y37" s="160">
        <v>26.0036683714</v>
      </c>
      <c r="Z37" s="3"/>
      <c r="AA37" s="160">
        <v>23811.385347067499</v>
      </c>
      <c r="AB37" s="160">
        <v>2.7337335246999999</v>
      </c>
    </row>
    <row r="38" spans="1:28" ht="15" x14ac:dyDescent="0.2">
      <c r="B38" s="13" t="s">
        <v>51</v>
      </c>
      <c r="C38" s="247"/>
      <c r="D38" s="160">
        <v>919536.67017451499</v>
      </c>
      <c r="E38" s="248"/>
      <c r="F38" s="160">
        <v>84813.103877347399</v>
      </c>
      <c r="G38" s="160">
        <v>9.5433422486000001</v>
      </c>
      <c r="H38" s="248"/>
      <c r="I38" s="160">
        <v>90745.121729578896</v>
      </c>
      <c r="J38" s="160">
        <v>10.2754681231</v>
      </c>
      <c r="K38" s="50"/>
      <c r="L38" s="160">
        <v>124137.746491214</v>
      </c>
      <c r="M38" s="160">
        <v>14.092814621300001</v>
      </c>
      <c r="N38" s="248"/>
      <c r="O38" s="160">
        <v>146101.173268543</v>
      </c>
      <c r="P38" s="160">
        <v>16.5998124565</v>
      </c>
      <c r="Q38" s="52"/>
      <c r="R38" s="160">
        <v>170063.61068781899</v>
      </c>
      <c r="S38" s="160">
        <v>19.2420005958</v>
      </c>
      <c r="T38" s="52"/>
      <c r="U38" s="160">
        <v>142540.87903733199</v>
      </c>
      <c r="V38" s="160">
        <v>16.215398369100001</v>
      </c>
      <c r="W38" s="3"/>
      <c r="X38" s="160">
        <v>249063.016538936</v>
      </c>
      <c r="Y38" s="160">
        <v>28.217815385600002</v>
      </c>
      <c r="Z38" s="3"/>
      <c r="AA38" s="160">
        <v>7794.8324303177997</v>
      </c>
      <c r="AB38" s="160">
        <v>0.88797780540000004</v>
      </c>
    </row>
    <row r="39" spans="1:28" ht="15" x14ac:dyDescent="0.2">
      <c r="B39" s="13" t="s">
        <v>52</v>
      </c>
      <c r="C39" s="247"/>
      <c r="D39" s="160">
        <v>723495.24159213202</v>
      </c>
      <c r="E39" s="248"/>
      <c r="F39" s="160">
        <v>91459.778309707603</v>
      </c>
      <c r="G39" s="160">
        <v>13.2721348607</v>
      </c>
      <c r="H39" s="248"/>
      <c r="I39" s="160">
        <v>70423.162376291599</v>
      </c>
      <c r="J39" s="160">
        <v>10.2237201095</v>
      </c>
      <c r="K39" s="50"/>
      <c r="L39" s="160">
        <v>109109.690691462</v>
      </c>
      <c r="M39" s="160">
        <v>15.8017909341</v>
      </c>
      <c r="N39" s="248"/>
      <c r="O39" s="160">
        <v>67282.767358116806</v>
      </c>
      <c r="P39" s="160">
        <v>9.7560715403000007</v>
      </c>
      <c r="Q39" s="248"/>
      <c r="R39" s="160">
        <v>71611.272710618199</v>
      </c>
      <c r="S39" s="160">
        <v>10.439232350199999</v>
      </c>
      <c r="T39" s="52"/>
      <c r="U39" s="160">
        <v>94690.066864421606</v>
      </c>
      <c r="V39" s="160">
        <v>13.7635580638</v>
      </c>
      <c r="W39" s="3"/>
      <c r="X39" s="160">
        <v>256433.83788321001</v>
      </c>
      <c r="Y39" s="160">
        <v>36.789757747000003</v>
      </c>
      <c r="Z39" s="3"/>
      <c r="AA39" s="160">
        <v>18700.468741230601</v>
      </c>
      <c r="AB39" s="160">
        <v>2.7301001762000001</v>
      </c>
    </row>
    <row r="40" spans="1:28" ht="15" x14ac:dyDescent="0.2">
      <c r="B40" s="13" t="s">
        <v>53</v>
      </c>
      <c r="C40" s="247"/>
      <c r="D40" s="160">
        <v>1089179.94614529</v>
      </c>
      <c r="E40" s="248"/>
      <c r="F40" s="160">
        <v>83896.992111357395</v>
      </c>
      <c r="G40" s="160">
        <v>7.8692715960999999</v>
      </c>
      <c r="H40" s="248"/>
      <c r="I40" s="160">
        <v>107449.843446827</v>
      </c>
      <c r="J40" s="160">
        <v>10.1738545947</v>
      </c>
      <c r="K40" s="50"/>
      <c r="L40" s="160">
        <v>210479.37645040601</v>
      </c>
      <c r="M40" s="160">
        <v>19.958990395600001</v>
      </c>
      <c r="N40" s="248"/>
      <c r="O40" s="160">
        <v>159211.99566198199</v>
      </c>
      <c r="P40" s="160">
        <v>15.097769638700001</v>
      </c>
      <c r="Q40" s="248"/>
      <c r="R40" s="160">
        <v>232081.576663391</v>
      </c>
      <c r="S40" s="160">
        <v>22.028464818500002</v>
      </c>
      <c r="T40" s="52"/>
      <c r="U40" s="160">
        <v>155547.10146813199</v>
      </c>
      <c r="V40" s="160">
        <v>14.7463190649</v>
      </c>
      <c r="W40" s="3"/>
      <c r="X40" s="160">
        <v>222071.64165283801</v>
      </c>
      <c r="Y40" s="160">
        <v>21.068157115399998</v>
      </c>
      <c r="Z40" s="3"/>
      <c r="AA40" s="160">
        <v>36859.448387034099</v>
      </c>
      <c r="AB40" s="160">
        <v>3.5023283116999999</v>
      </c>
    </row>
    <row r="41" spans="1:28" ht="15" x14ac:dyDescent="0.2">
      <c r="B41" s="13" t="s">
        <v>54</v>
      </c>
      <c r="C41" s="247"/>
      <c r="D41" s="160">
        <v>350536.38098277798</v>
      </c>
      <c r="E41" s="248"/>
      <c r="F41" s="160">
        <v>49092.384492056197</v>
      </c>
      <c r="G41" s="160">
        <v>14.5546851813</v>
      </c>
      <c r="H41" s="248"/>
      <c r="I41" s="160">
        <v>42684.423444147302</v>
      </c>
      <c r="J41" s="160">
        <v>12.690381347700001</v>
      </c>
      <c r="K41" s="50"/>
      <c r="L41" s="160">
        <v>62928.311478306197</v>
      </c>
      <c r="M41" s="160">
        <v>18.444341418400001</v>
      </c>
      <c r="N41" s="248"/>
      <c r="O41" s="160">
        <v>42824.570911420204</v>
      </c>
      <c r="P41" s="160">
        <v>12.586526237399999</v>
      </c>
      <c r="Q41" s="248"/>
      <c r="R41" s="160">
        <v>46456.140998087401</v>
      </c>
      <c r="S41" s="160">
        <v>13.7815327419</v>
      </c>
      <c r="T41" s="52"/>
      <c r="U41" s="160">
        <v>56366.500025318499</v>
      </c>
      <c r="V41" s="160">
        <v>16.6617085526</v>
      </c>
      <c r="W41" s="3"/>
      <c r="X41" s="160">
        <v>71983.476222874102</v>
      </c>
      <c r="Y41" s="160">
        <v>21.300748481799999</v>
      </c>
      <c r="Z41" s="3"/>
      <c r="AA41" s="160">
        <v>3252.4879753296</v>
      </c>
      <c r="AB41" s="160">
        <v>0.96862827220000003</v>
      </c>
    </row>
    <row r="42" spans="1:28" ht="15" x14ac:dyDescent="0.2">
      <c r="B42" s="13" t="s">
        <v>55</v>
      </c>
      <c r="C42" s="247"/>
      <c r="D42" s="160">
        <v>2493851.99731659</v>
      </c>
      <c r="E42" s="248"/>
      <c r="F42" s="160">
        <v>363024.60813657998</v>
      </c>
      <c r="G42" s="160">
        <v>15.1753455729</v>
      </c>
      <c r="H42" s="248"/>
      <c r="I42" s="160">
        <v>285081.903050241</v>
      </c>
      <c r="J42" s="160">
        <v>12.002717196900001</v>
      </c>
      <c r="K42" s="50"/>
      <c r="L42" s="160">
        <v>351504.01735196001</v>
      </c>
      <c r="M42" s="160">
        <v>14.646214322500001</v>
      </c>
      <c r="N42" s="248"/>
      <c r="O42" s="160">
        <v>253130.70388648499</v>
      </c>
      <c r="P42" s="160">
        <v>10.5867108984</v>
      </c>
      <c r="Q42" s="248"/>
      <c r="R42" s="160">
        <v>365807.98167239199</v>
      </c>
      <c r="S42" s="160">
        <v>15.3421301209</v>
      </c>
      <c r="T42" s="52"/>
      <c r="U42" s="160">
        <v>339116.20400945301</v>
      </c>
      <c r="V42" s="160">
        <v>14.149655128199999</v>
      </c>
      <c r="W42" s="3"/>
      <c r="X42" s="160">
        <v>731754.63170024101</v>
      </c>
      <c r="Y42" s="160">
        <v>30.485421975800001</v>
      </c>
      <c r="Z42" s="3"/>
      <c r="AA42" s="160">
        <v>33320.168863635299</v>
      </c>
      <c r="AB42" s="160">
        <v>1.4043113805</v>
      </c>
    </row>
    <row r="43" spans="1:28" ht="15" x14ac:dyDescent="0.2">
      <c r="B43" s="46" t="s">
        <v>56</v>
      </c>
      <c r="C43" s="247"/>
      <c r="D43" s="160">
        <v>696285.83140589495</v>
      </c>
      <c r="E43" s="248"/>
      <c r="F43" s="160">
        <v>22359.514661830101</v>
      </c>
      <c r="G43" s="160">
        <v>3.3816027387999998</v>
      </c>
      <c r="H43" s="248"/>
      <c r="I43" s="160">
        <v>34252.430911305899</v>
      </c>
      <c r="J43" s="160">
        <v>5.1488379632000001</v>
      </c>
      <c r="K43" s="50"/>
      <c r="L43" s="160">
        <v>60149.041497935097</v>
      </c>
      <c r="M43" s="160">
        <v>8.9914400173000004</v>
      </c>
      <c r="N43" s="248"/>
      <c r="O43" s="160">
        <v>125991.97246815699</v>
      </c>
      <c r="P43" s="160">
        <v>19.005005135899999</v>
      </c>
      <c r="Q43" s="248"/>
      <c r="R43" s="160">
        <v>103206.427332611</v>
      </c>
      <c r="S43" s="160">
        <v>15.530405178000001</v>
      </c>
      <c r="T43" s="52"/>
      <c r="U43" s="160">
        <v>124155.4169364</v>
      </c>
      <c r="V43" s="160">
        <v>18.701479432700001</v>
      </c>
      <c r="W43" s="3"/>
      <c r="X43" s="160">
        <v>255974.890548556</v>
      </c>
      <c r="Y43" s="160">
        <v>38.061639534500003</v>
      </c>
      <c r="Z43" s="3"/>
      <c r="AA43" s="160">
        <v>27271.196849174099</v>
      </c>
      <c r="AB43" s="160">
        <v>4.1192544678000003</v>
      </c>
    </row>
    <row r="44" spans="1:28" ht="15" x14ac:dyDescent="0.2">
      <c r="B44" s="46" t="s">
        <v>57</v>
      </c>
      <c r="C44" s="247"/>
      <c r="D44" s="160">
        <v>479515.47820355999</v>
      </c>
      <c r="E44" s="248"/>
      <c r="F44" s="160">
        <v>44692.371064343599</v>
      </c>
      <c r="G44" s="160">
        <v>9.8319474378000002</v>
      </c>
      <c r="H44" s="248"/>
      <c r="I44" s="160">
        <v>60402.4495430686</v>
      </c>
      <c r="J44" s="160">
        <v>13.321883247300001</v>
      </c>
      <c r="K44" s="50"/>
      <c r="L44" s="160">
        <v>102775.26236945701</v>
      </c>
      <c r="M44" s="160">
        <v>22.435425516599999</v>
      </c>
      <c r="N44" s="248"/>
      <c r="O44" s="160">
        <v>64106.314533882403</v>
      </c>
      <c r="P44" s="160">
        <v>13.9881371701</v>
      </c>
      <c r="Q44" s="248"/>
      <c r="R44" s="160">
        <v>59196.5928393133</v>
      </c>
      <c r="S44" s="160">
        <v>12.9589513175</v>
      </c>
      <c r="T44" s="52"/>
      <c r="U44" s="160">
        <v>65186.794322295602</v>
      </c>
      <c r="V44" s="160">
        <v>14.161107486900001</v>
      </c>
      <c r="W44" s="3"/>
      <c r="X44" s="160">
        <v>112354.06643519</v>
      </c>
      <c r="Y44" s="160">
        <v>24.350470301000001</v>
      </c>
      <c r="Z44" s="3"/>
      <c r="AA44" s="160">
        <v>9642.0801364997005</v>
      </c>
      <c r="AB44" s="160">
        <v>2.1206605689</v>
      </c>
    </row>
    <row r="45" spans="1:28" ht="6" customHeight="1" x14ac:dyDescent="0.2">
      <c r="B45" s="32"/>
      <c r="C45" s="14"/>
      <c r="D45" s="4"/>
      <c r="E45" s="249"/>
      <c r="F45" s="4"/>
      <c r="G45" s="250"/>
      <c r="H45" s="250"/>
      <c r="I45" s="4"/>
      <c r="J45" s="250"/>
      <c r="K45" s="251"/>
      <c r="L45" s="4"/>
      <c r="M45" s="250"/>
      <c r="N45" s="252"/>
      <c r="O45" s="4"/>
      <c r="P45" s="250"/>
      <c r="Q45" s="250"/>
      <c r="R45" s="250"/>
      <c r="S45" s="250"/>
      <c r="T45" s="250"/>
      <c r="U45" s="250"/>
      <c r="V45" s="250"/>
      <c r="W45" s="250"/>
      <c r="X45" s="250"/>
      <c r="Y45" s="250"/>
      <c r="Z45" s="250"/>
      <c r="AA45" s="250"/>
      <c r="AB45" s="250"/>
    </row>
    <row r="46" spans="1:28" ht="6" customHeight="1" x14ac:dyDescent="0.2">
      <c r="B46" s="253"/>
      <c r="C46" s="254"/>
      <c r="D46" s="254"/>
      <c r="E46" s="254"/>
      <c r="F46" s="254"/>
      <c r="G46" s="255"/>
      <c r="H46" s="255"/>
      <c r="I46" s="255"/>
      <c r="J46" s="256"/>
      <c r="K46" s="256"/>
      <c r="L46" s="255"/>
      <c r="M46" s="256"/>
      <c r="N46" s="256"/>
      <c r="O46" s="253"/>
      <c r="P46" s="257"/>
      <c r="Q46" s="231"/>
      <c r="R46" s="231"/>
      <c r="S46" s="231"/>
      <c r="T46" s="231"/>
      <c r="U46" s="231"/>
      <c r="V46" s="231"/>
      <c r="W46" s="231"/>
      <c r="X46" s="231"/>
      <c r="Y46" s="43"/>
      <c r="Z46" s="231"/>
      <c r="AA46" s="231"/>
      <c r="AB46" s="231"/>
    </row>
    <row r="47" spans="1:28" s="89" customFormat="1" ht="11.25" customHeight="1" x14ac:dyDescent="0.2">
      <c r="B47" s="24" t="s">
        <v>9</v>
      </c>
    </row>
    <row r="48" spans="1:28" s="3" customFormat="1" x14ac:dyDescent="0.2">
      <c r="A48" s="5"/>
    </row>
    <row r="49" spans="1:1" s="3" customFormat="1" x14ac:dyDescent="0.2">
      <c r="A49" s="5"/>
    </row>
    <row r="50" spans="1:1" s="3" customFormat="1" x14ac:dyDescent="0.2">
      <c r="A50" s="5"/>
    </row>
    <row r="51" spans="1:1" s="3" customFormat="1" x14ac:dyDescent="0.2">
      <c r="A51" s="5"/>
    </row>
    <row r="52" spans="1:1" s="3" customFormat="1" x14ac:dyDescent="0.2">
      <c r="A52" s="5"/>
    </row>
    <row r="53" spans="1:1" s="3" customFormat="1" x14ac:dyDescent="0.2">
      <c r="A53" s="5"/>
    </row>
    <row r="54" spans="1:1" s="3" customFormat="1" x14ac:dyDescent="0.2">
      <c r="A54" s="5"/>
    </row>
    <row r="55" spans="1:1" s="3" customFormat="1" x14ac:dyDescent="0.2">
      <c r="A55" s="5"/>
    </row>
    <row r="56" spans="1:1" s="3" customFormat="1" x14ac:dyDescent="0.2">
      <c r="A56" s="5"/>
    </row>
    <row r="57" spans="1:1" s="3" customFormat="1" x14ac:dyDescent="0.2">
      <c r="A57" s="5"/>
    </row>
    <row r="58" spans="1:1" s="3" customFormat="1" x14ac:dyDescent="0.2">
      <c r="A58" s="5"/>
    </row>
    <row r="59" spans="1:1" s="3" customFormat="1" x14ac:dyDescent="0.2">
      <c r="A59" s="5"/>
    </row>
    <row r="60" spans="1:1" s="3" customFormat="1" x14ac:dyDescent="0.2">
      <c r="A60" s="5"/>
    </row>
    <row r="61" spans="1:1" s="3" customFormat="1" x14ac:dyDescent="0.2">
      <c r="A61" s="5"/>
    </row>
    <row r="62" spans="1:1" s="3" customFormat="1" x14ac:dyDescent="0.2">
      <c r="A62" s="5"/>
    </row>
    <row r="63" spans="1:1" s="3" customFormat="1" x14ac:dyDescent="0.2">
      <c r="A63" s="5"/>
    </row>
    <row r="64" spans="1:1" s="3" customFormat="1" x14ac:dyDescent="0.2">
      <c r="A64" s="5"/>
    </row>
    <row r="65" spans="1:1" s="3" customFormat="1" x14ac:dyDescent="0.2">
      <c r="A65" s="5"/>
    </row>
    <row r="66" spans="1:1" s="3" customFormat="1" x14ac:dyDescent="0.2">
      <c r="A66" s="5"/>
    </row>
    <row r="67" spans="1:1" s="3" customFormat="1" x14ac:dyDescent="0.2">
      <c r="A67" s="5"/>
    </row>
    <row r="68" spans="1:1" s="3" customFormat="1" x14ac:dyDescent="0.2">
      <c r="A68" s="5"/>
    </row>
    <row r="69" spans="1:1" s="3" customFormat="1" x14ac:dyDescent="0.2">
      <c r="A69" s="5"/>
    </row>
    <row r="70" spans="1:1" s="3" customFormat="1" x14ac:dyDescent="0.2">
      <c r="A70" s="5"/>
    </row>
    <row r="71" spans="1:1" s="3" customFormat="1" x14ac:dyDescent="0.2">
      <c r="A71" s="5"/>
    </row>
    <row r="72" spans="1:1" s="3" customFormat="1" x14ac:dyDescent="0.2">
      <c r="A72" s="5"/>
    </row>
    <row r="73" spans="1:1" s="3" customFormat="1" x14ac:dyDescent="0.2">
      <c r="A73" s="5"/>
    </row>
    <row r="74" spans="1:1" s="3" customFormat="1" x14ac:dyDescent="0.2">
      <c r="A74" s="5"/>
    </row>
    <row r="75" spans="1:1" s="3" customFormat="1" x14ac:dyDescent="0.2">
      <c r="A75" s="5"/>
    </row>
    <row r="76" spans="1:1" s="3" customFormat="1" x14ac:dyDescent="0.2">
      <c r="A76" s="5"/>
    </row>
    <row r="77" spans="1:1" s="3" customFormat="1" x14ac:dyDescent="0.2">
      <c r="A77" s="5"/>
    </row>
    <row r="78" spans="1:1" s="3" customFormat="1" x14ac:dyDescent="0.2">
      <c r="A78" s="5"/>
    </row>
    <row r="79" spans="1:1" s="3" customFormat="1" x14ac:dyDescent="0.2">
      <c r="A79" s="5"/>
    </row>
    <row r="80" spans="1:1" s="3" customFormat="1" x14ac:dyDescent="0.2">
      <c r="A80" s="5"/>
    </row>
    <row r="81" spans="1:1" s="3" customFormat="1" x14ac:dyDescent="0.2">
      <c r="A81" s="5"/>
    </row>
    <row r="82" spans="1:1" s="3" customFormat="1" x14ac:dyDescent="0.2">
      <c r="A82" s="5"/>
    </row>
    <row r="83" spans="1:1" s="3" customFormat="1" x14ac:dyDescent="0.2">
      <c r="A83" s="5"/>
    </row>
    <row r="84" spans="1:1" s="3" customFormat="1" x14ac:dyDescent="0.2">
      <c r="A84" s="5"/>
    </row>
    <row r="85" spans="1:1" s="3" customFormat="1" x14ac:dyDescent="0.2">
      <c r="A85" s="5"/>
    </row>
    <row r="86" spans="1:1" s="3" customFormat="1" x14ac:dyDescent="0.2">
      <c r="A86" s="5"/>
    </row>
    <row r="87" spans="1:1" s="3" customFormat="1" x14ac:dyDescent="0.2">
      <c r="A87" s="5"/>
    </row>
    <row r="88" spans="1:1" s="3" customFormat="1" x14ac:dyDescent="0.2">
      <c r="A88" s="5"/>
    </row>
    <row r="89" spans="1:1" s="3" customFormat="1" x14ac:dyDescent="0.2">
      <c r="A89" s="5"/>
    </row>
    <row r="90" spans="1:1" s="3" customFormat="1" x14ac:dyDescent="0.2">
      <c r="A90" s="5"/>
    </row>
    <row r="91" spans="1:1" s="3" customFormat="1" x14ac:dyDescent="0.2">
      <c r="A91" s="5"/>
    </row>
    <row r="92" spans="1:1" s="3" customFormat="1" x14ac:dyDescent="0.2">
      <c r="A92" s="5"/>
    </row>
    <row r="93" spans="1:1" s="3" customFormat="1" x14ac:dyDescent="0.2">
      <c r="A93" s="5"/>
    </row>
    <row r="94" spans="1:1" s="3" customFormat="1" x14ac:dyDescent="0.2">
      <c r="A94" s="5"/>
    </row>
    <row r="95" spans="1:1" s="3" customFormat="1" x14ac:dyDescent="0.2">
      <c r="A95" s="5"/>
    </row>
    <row r="96" spans="1:1" s="3" customFormat="1" x14ac:dyDescent="0.2">
      <c r="A96" s="5"/>
    </row>
    <row r="97" spans="1:1" s="3" customFormat="1" x14ac:dyDescent="0.2">
      <c r="A97" s="5"/>
    </row>
    <row r="98" spans="1:1" s="3" customFormat="1" x14ac:dyDescent="0.2">
      <c r="A98" s="5"/>
    </row>
    <row r="99" spans="1:1" s="3" customFormat="1" x14ac:dyDescent="0.2">
      <c r="A99" s="5"/>
    </row>
    <row r="100" spans="1:1" s="3" customFormat="1" x14ac:dyDescent="0.2">
      <c r="A100" s="5"/>
    </row>
    <row r="101" spans="1:1" s="3" customFormat="1" x14ac:dyDescent="0.2">
      <c r="A101" s="5"/>
    </row>
    <row r="102" spans="1:1" s="3" customFormat="1" x14ac:dyDescent="0.2">
      <c r="A102" s="5"/>
    </row>
    <row r="103" spans="1:1" s="3" customFormat="1" x14ac:dyDescent="0.2">
      <c r="A103" s="5"/>
    </row>
    <row r="104" spans="1:1" s="3" customFormat="1" x14ac:dyDescent="0.2">
      <c r="A104" s="5"/>
    </row>
    <row r="105" spans="1:1" s="3" customFormat="1" x14ac:dyDescent="0.2">
      <c r="A105" s="5"/>
    </row>
    <row r="106" spans="1:1" s="3" customFormat="1" x14ac:dyDescent="0.2">
      <c r="A106" s="5"/>
    </row>
    <row r="107" spans="1:1" s="3" customFormat="1" x14ac:dyDescent="0.2">
      <c r="A107" s="5"/>
    </row>
    <row r="108" spans="1:1" s="3" customFormat="1" x14ac:dyDescent="0.2">
      <c r="A108" s="5"/>
    </row>
    <row r="109" spans="1:1" s="3" customFormat="1" x14ac:dyDescent="0.2">
      <c r="A109" s="5"/>
    </row>
    <row r="110" spans="1:1" s="3" customFormat="1" x14ac:dyDescent="0.2">
      <c r="A110" s="5"/>
    </row>
    <row r="111" spans="1:1" s="3" customFormat="1" x14ac:dyDescent="0.2">
      <c r="A111" s="5"/>
    </row>
    <row r="112" spans="1:1" s="3" customFormat="1" x14ac:dyDescent="0.2">
      <c r="A112" s="5"/>
    </row>
    <row r="113" spans="1:1" s="3" customFormat="1" x14ac:dyDescent="0.2">
      <c r="A113" s="5"/>
    </row>
    <row r="114" spans="1:1" s="3" customFormat="1" x14ac:dyDescent="0.2">
      <c r="A114" s="5"/>
    </row>
    <row r="115" spans="1:1" s="3" customFormat="1" x14ac:dyDescent="0.2">
      <c r="A115" s="5"/>
    </row>
    <row r="116" spans="1:1" s="3" customFormat="1" x14ac:dyDescent="0.2">
      <c r="A116" s="5"/>
    </row>
    <row r="117" spans="1:1" s="3" customFormat="1" x14ac:dyDescent="0.2">
      <c r="A117" s="5"/>
    </row>
    <row r="118" spans="1:1" s="3" customFormat="1" x14ac:dyDescent="0.2">
      <c r="A118" s="5"/>
    </row>
    <row r="119" spans="1:1" s="3" customFormat="1" x14ac:dyDescent="0.2">
      <c r="A119" s="5"/>
    </row>
    <row r="120" spans="1:1" s="3" customFormat="1" x14ac:dyDescent="0.2">
      <c r="A120" s="5"/>
    </row>
    <row r="121" spans="1:1" s="3" customFormat="1" x14ac:dyDescent="0.2">
      <c r="A121" s="5"/>
    </row>
    <row r="122" spans="1:1" s="3" customFormat="1" x14ac:dyDescent="0.2">
      <c r="A122" s="5"/>
    </row>
    <row r="123" spans="1:1" s="3" customFormat="1" x14ac:dyDescent="0.2">
      <c r="A123" s="5"/>
    </row>
    <row r="124" spans="1:1" s="3" customFormat="1" x14ac:dyDescent="0.2">
      <c r="A124" s="5"/>
    </row>
    <row r="125" spans="1:1" s="3" customFormat="1" x14ac:dyDescent="0.2">
      <c r="A125" s="5"/>
    </row>
    <row r="126" spans="1:1" s="3" customFormat="1" x14ac:dyDescent="0.2">
      <c r="A126" s="5"/>
    </row>
    <row r="127" spans="1:1" s="3" customFormat="1" x14ac:dyDescent="0.2">
      <c r="A127" s="5"/>
    </row>
    <row r="128" spans="1:1" s="3" customFormat="1" x14ac:dyDescent="0.2">
      <c r="A128" s="5"/>
    </row>
    <row r="129" spans="1:1" s="3" customFormat="1" x14ac:dyDescent="0.2">
      <c r="A129" s="5"/>
    </row>
    <row r="130" spans="1:1" s="3" customFormat="1" x14ac:dyDescent="0.2">
      <c r="A130" s="5"/>
    </row>
    <row r="131" spans="1:1" s="3" customFormat="1" x14ac:dyDescent="0.2">
      <c r="A131" s="5"/>
    </row>
    <row r="132" spans="1:1" s="3" customFormat="1" x14ac:dyDescent="0.2">
      <c r="A132" s="5"/>
    </row>
    <row r="133" spans="1:1" s="3" customFormat="1" x14ac:dyDescent="0.2">
      <c r="A133" s="5"/>
    </row>
    <row r="134" spans="1:1" s="3" customFormat="1" x14ac:dyDescent="0.2">
      <c r="A134" s="5"/>
    </row>
    <row r="135" spans="1:1" s="3" customFormat="1" x14ac:dyDescent="0.2">
      <c r="A135" s="5"/>
    </row>
    <row r="136" spans="1:1" s="3" customFormat="1" x14ac:dyDescent="0.2">
      <c r="A136" s="5"/>
    </row>
    <row r="137" spans="1:1" s="3" customFormat="1" x14ac:dyDescent="0.2">
      <c r="A137" s="5"/>
    </row>
    <row r="138" spans="1:1" s="3" customFormat="1" x14ac:dyDescent="0.2">
      <c r="A138" s="5"/>
    </row>
    <row r="139" spans="1:1" s="3" customFormat="1" x14ac:dyDescent="0.2">
      <c r="A139" s="5"/>
    </row>
    <row r="140" spans="1:1" s="3" customFormat="1" x14ac:dyDescent="0.2">
      <c r="A140" s="5"/>
    </row>
    <row r="141" spans="1:1" s="3" customFormat="1" x14ac:dyDescent="0.2">
      <c r="A141" s="5"/>
    </row>
    <row r="142" spans="1:1" s="3" customFormat="1" x14ac:dyDescent="0.2">
      <c r="A142" s="5"/>
    </row>
    <row r="143" spans="1:1" s="3" customFormat="1" x14ac:dyDescent="0.2">
      <c r="A143" s="5"/>
    </row>
    <row r="144" spans="1:1" s="3" customFormat="1" x14ac:dyDescent="0.2">
      <c r="A144" s="5"/>
    </row>
    <row r="145" spans="1:1" s="3" customFormat="1" x14ac:dyDescent="0.2">
      <c r="A145" s="5"/>
    </row>
    <row r="146" spans="1:1" s="3" customFormat="1" x14ac:dyDescent="0.2">
      <c r="A146" s="5"/>
    </row>
    <row r="147" spans="1:1" s="3" customFormat="1" x14ac:dyDescent="0.2">
      <c r="A147" s="5"/>
    </row>
    <row r="148" spans="1:1" s="3" customFormat="1" x14ac:dyDescent="0.2">
      <c r="A148" s="5"/>
    </row>
    <row r="149" spans="1:1" s="3" customFormat="1" x14ac:dyDescent="0.2">
      <c r="A149" s="5"/>
    </row>
    <row r="150" spans="1:1" s="3" customFormat="1" x14ac:dyDescent="0.2">
      <c r="A150" s="5"/>
    </row>
    <row r="151" spans="1:1" s="3" customFormat="1" x14ac:dyDescent="0.2">
      <c r="A151" s="5"/>
    </row>
    <row r="152" spans="1:1" s="3" customFormat="1" x14ac:dyDescent="0.2">
      <c r="A152" s="5"/>
    </row>
    <row r="153" spans="1:1" s="3" customFormat="1" x14ac:dyDescent="0.2">
      <c r="A153" s="5"/>
    </row>
    <row r="154" spans="1:1" s="3" customFormat="1" x14ac:dyDescent="0.2">
      <c r="A154" s="5"/>
    </row>
    <row r="155" spans="1:1" s="3" customFormat="1" x14ac:dyDescent="0.2">
      <c r="A155" s="5"/>
    </row>
    <row r="156" spans="1:1" s="3" customFormat="1" x14ac:dyDescent="0.2">
      <c r="A156" s="5"/>
    </row>
    <row r="157" spans="1:1" s="3" customFormat="1" x14ac:dyDescent="0.2">
      <c r="A157" s="5"/>
    </row>
    <row r="158" spans="1:1" s="3" customFormat="1" x14ac:dyDescent="0.2">
      <c r="A158" s="5"/>
    </row>
    <row r="159" spans="1:1" s="3" customFormat="1" x14ac:dyDescent="0.2">
      <c r="A159" s="5"/>
    </row>
    <row r="160" spans="1:1" s="3" customFormat="1" x14ac:dyDescent="0.2">
      <c r="A160" s="5"/>
    </row>
    <row r="161" spans="1:1" s="3" customFormat="1" x14ac:dyDescent="0.2">
      <c r="A161" s="5"/>
    </row>
    <row r="162" spans="1:1" s="3" customFormat="1" x14ac:dyDescent="0.2">
      <c r="A162" s="5"/>
    </row>
    <row r="163" spans="1:1" s="3" customFormat="1" x14ac:dyDescent="0.2">
      <c r="A163" s="5"/>
    </row>
    <row r="164" spans="1:1" s="3" customFormat="1" x14ac:dyDescent="0.2">
      <c r="A164" s="5"/>
    </row>
    <row r="165" spans="1:1" s="3" customFormat="1" x14ac:dyDescent="0.2">
      <c r="A165" s="5"/>
    </row>
    <row r="166" spans="1:1" s="3" customFormat="1" x14ac:dyDescent="0.2">
      <c r="A166" s="5"/>
    </row>
    <row r="167" spans="1:1" s="3" customFormat="1" x14ac:dyDescent="0.2">
      <c r="A167" s="5"/>
    </row>
    <row r="168" spans="1:1" s="3" customFormat="1" x14ac:dyDescent="0.2">
      <c r="A168" s="5"/>
    </row>
    <row r="169" spans="1:1" s="3" customFormat="1" x14ac:dyDescent="0.2">
      <c r="A169" s="5"/>
    </row>
    <row r="170" spans="1:1" s="3" customFormat="1" x14ac:dyDescent="0.2">
      <c r="A170" s="5"/>
    </row>
    <row r="171" spans="1:1" s="3" customFormat="1" x14ac:dyDescent="0.2">
      <c r="A171" s="5"/>
    </row>
    <row r="172" spans="1:1" s="3" customFormat="1" x14ac:dyDescent="0.2">
      <c r="A172" s="5"/>
    </row>
    <row r="173" spans="1:1" s="3" customFormat="1" x14ac:dyDescent="0.2">
      <c r="A173" s="5"/>
    </row>
    <row r="174" spans="1:1" s="3" customFormat="1" x14ac:dyDescent="0.2">
      <c r="A174" s="5"/>
    </row>
    <row r="175" spans="1:1" s="3" customFormat="1" x14ac:dyDescent="0.2">
      <c r="A175" s="5"/>
    </row>
    <row r="176" spans="1:1" s="3" customFormat="1" x14ac:dyDescent="0.2">
      <c r="A176" s="5"/>
    </row>
    <row r="177" spans="1:1" s="3" customFormat="1" x14ac:dyDescent="0.2">
      <c r="A177" s="5"/>
    </row>
    <row r="178" spans="1:1" s="3" customFormat="1" x14ac:dyDescent="0.2">
      <c r="A178" s="5"/>
    </row>
    <row r="179" spans="1:1" s="3" customFormat="1" x14ac:dyDescent="0.2">
      <c r="A179" s="5"/>
    </row>
    <row r="180" spans="1:1" s="3" customFormat="1" x14ac:dyDescent="0.2">
      <c r="A180" s="5"/>
    </row>
    <row r="181" spans="1:1" s="3" customFormat="1" x14ac:dyDescent="0.2">
      <c r="A181" s="5"/>
    </row>
    <row r="182" spans="1:1" s="3" customFormat="1" x14ac:dyDescent="0.2">
      <c r="A182" s="5"/>
    </row>
    <row r="183" spans="1:1" s="3" customFormat="1" x14ac:dyDescent="0.2">
      <c r="A183" s="5"/>
    </row>
    <row r="184" spans="1:1" s="3" customFormat="1" x14ac:dyDescent="0.2">
      <c r="A184" s="5"/>
    </row>
    <row r="185" spans="1:1" s="3" customFormat="1" x14ac:dyDescent="0.2">
      <c r="A185" s="5"/>
    </row>
    <row r="186" spans="1:1" s="3" customFormat="1" x14ac:dyDescent="0.2">
      <c r="A186" s="5"/>
    </row>
    <row r="187" spans="1:1" s="3" customFormat="1" x14ac:dyDescent="0.2">
      <c r="A187" s="5"/>
    </row>
    <row r="188" spans="1:1" s="3" customFormat="1" x14ac:dyDescent="0.2">
      <c r="A188" s="5"/>
    </row>
    <row r="189" spans="1:1" s="3" customFormat="1" x14ac:dyDescent="0.2">
      <c r="A189" s="5"/>
    </row>
    <row r="190" spans="1:1" s="3" customFormat="1" x14ac:dyDescent="0.2">
      <c r="A190" s="5"/>
    </row>
    <row r="191" spans="1:1" s="3" customFormat="1" x14ac:dyDescent="0.2">
      <c r="A191" s="5"/>
    </row>
    <row r="192" spans="1:1" s="3" customFormat="1" x14ac:dyDescent="0.2">
      <c r="A192" s="5"/>
    </row>
    <row r="193" spans="1:1" s="3" customFormat="1" x14ac:dyDescent="0.2">
      <c r="A193" s="5"/>
    </row>
    <row r="194" spans="1:1" s="3" customFormat="1" x14ac:dyDescent="0.2">
      <c r="A194" s="5"/>
    </row>
    <row r="195" spans="1:1" s="3" customFormat="1" x14ac:dyDescent="0.2">
      <c r="A195" s="5"/>
    </row>
    <row r="196" spans="1:1" s="3" customFormat="1" x14ac:dyDescent="0.2">
      <c r="A196" s="5"/>
    </row>
    <row r="197" spans="1:1" s="3" customFormat="1" x14ac:dyDescent="0.2">
      <c r="A197" s="5"/>
    </row>
    <row r="198" spans="1:1" s="3" customFormat="1" x14ac:dyDescent="0.2">
      <c r="A198" s="5"/>
    </row>
    <row r="199" spans="1:1" s="3" customFormat="1" x14ac:dyDescent="0.2">
      <c r="A199" s="5"/>
    </row>
    <row r="200" spans="1:1" s="3" customFormat="1" x14ac:dyDescent="0.2">
      <c r="A200" s="5"/>
    </row>
    <row r="201" spans="1:1" s="3" customFormat="1" x14ac:dyDescent="0.2">
      <c r="A201" s="5"/>
    </row>
    <row r="202" spans="1:1" s="3" customFormat="1" x14ac:dyDescent="0.2">
      <c r="A202" s="5"/>
    </row>
    <row r="203" spans="1:1" s="3" customFormat="1" x14ac:dyDescent="0.2">
      <c r="A203" s="5"/>
    </row>
    <row r="204" spans="1:1" s="3" customFormat="1" x14ac:dyDescent="0.2">
      <c r="A204" s="5"/>
    </row>
    <row r="205" spans="1:1" s="3" customFormat="1" x14ac:dyDescent="0.2">
      <c r="A205" s="5"/>
    </row>
    <row r="206" spans="1:1" s="3" customFormat="1" x14ac:dyDescent="0.2">
      <c r="A206" s="5"/>
    </row>
    <row r="207" spans="1:1" s="3" customFormat="1" x14ac:dyDescent="0.2">
      <c r="A207" s="5"/>
    </row>
    <row r="208" spans="1:1" s="3" customFormat="1" x14ac:dyDescent="0.2">
      <c r="A208" s="5"/>
    </row>
    <row r="209" spans="1:1" s="3" customFormat="1" x14ac:dyDescent="0.2">
      <c r="A209" s="5"/>
    </row>
    <row r="210" spans="1:1" s="3" customFormat="1" x14ac:dyDescent="0.2">
      <c r="A210" s="5"/>
    </row>
    <row r="211" spans="1:1" s="3" customFormat="1" x14ac:dyDescent="0.2">
      <c r="A211" s="5"/>
    </row>
    <row r="212" spans="1:1" s="3" customFormat="1" x14ac:dyDescent="0.2">
      <c r="A212" s="5"/>
    </row>
    <row r="213" spans="1:1" s="3" customFormat="1" x14ac:dyDescent="0.2">
      <c r="A213" s="5"/>
    </row>
    <row r="214" spans="1:1" s="3" customFormat="1" x14ac:dyDescent="0.2">
      <c r="A214" s="5"/>
    </row>
    <row r="215" spans="1:1" s="3" customFormat="1" x14ac:dyDescent="0.2">
      <c r="A215" s="5"/>
    </row>
    <row r="216" spans="1:1" s="3" customFormat="1" x14ac:dyDescent="0.2">
      <c r="A216" s="5"/>
    </row>
    <row r="217" spans="1:1" s="3" customFormat="1" x14ac:dyDescent="0.2">
      <c r="A217" s="5"/>
    </row>
    <row r="218" spans="1:1" s="3" customFormat="1" x14ac:dyDescent="0.2">
      <c r="A218" s="5"/>
    </row>
    <row r="219" spans="1:1" s="3" customFormat="1" x14ac:dyDescent="0.2">
      <c r="A219" s="5"/>
    </row>
    <row r="220" spans="1:1" s="3" customFormat="1" x14ac:dyDescent="0.2">
      <c r="A220" s="5"/>
    </row>
    <row r="221" spans="1:1" s="3" customFormat="1" x14ac:dyDescent="0.2">
      <c r="A221" s="5"/>
    </row>
    <row r="222" spans="1:1" s="3" customFormat="1" x14ac:dyDescent="0.2">
      <c r="A222" s="5"/>
    </row>
    <row r="223" spans="1:1" s="3" customFormat="1" x14ac:dyDescent="0.2">
      <c r="A223" s="5"/>
    </row>
    <row r="224" spans="1:1" s="3" customFormat="1" x14ac:dyDescent="0.2">
      <c r="A224" s="5"/>
    </row>
    <row r="225" spans="1:1" s="3" customFormat="1" x14ac:dyDescent="0.2">
      <c r="A225" s="5"/>
    </row>
    <row r="226" spans="1:1" s="3" customFormat="1" x14ac:dyDescent="0.2">
      <c r="A226" s="5"/>
    </row>
    <row r="227" spans="1:1" s="3" customFormat="1" x14ac:dyDescent="0.2">
      <c r="A227" s="5"/>
    </row>
    <row r="228" spans="1:1" s="3" customFormat="1" x14ac:dyDescent="0.2">
      <c r="A228" s="5"/>
    </row>
    <row r="229" spans="1:1" s="3" customFormat="1" x14ac:dyDescent="0.2">
      <c r="A229" s="5"/>
    </row>
    <row r="230" spans="1:1" s="3" customFormat="1" x14ac:dyDescent="0.2">
      <c r="A230" s="5"/>
    </row>
    <row r="231" spans="1:1" s="3" customFormat="1" x14ac:dyDescent="0.2">
      <c r="A231" s="5"/>
    </row>
    <row r="232" spans="1:1" s="3" customFormat="1" x14ac:dyDescent="0.2">
      <c r="A232" s="5"/>
    </row>
    <row r="233" spans="1:1" s="3" customFormat="1" x14ac:dyDescent="0.2">
      <c r="A233" s="5"/>
    </row>
    <row r="234" spans="1:1" s="3" customFormat="1" x14ac:dyDescent="0.2">
      <c r="A234" s="5"/>
    </row>
    <row r="235" spans="1:1" s="3" customFormat="1" x14ac:dyDescent="0.2">
      <c r="A235" s="5"/>
    </row>
    <row r="236" spans="1:1" s="3" customFormat="1" x14ac:dyDescent="0.2">
      <c r="A236" s="5"/>
    </row>
    <row r="237" spans="1:1" s="3" customFormat="1" x14ac:dyDescent="0.2">
      <c r="A237" s="5"/>
    </row>
    <row r="238" spans="1:1" s="3" customFormat="1" x14ac:dyDescent="0.2">
      <c r="A238" s="5"/>
    </row>
    <row r="239" spans="1:1" s="3" customFormat="1" x14ac:dyDescent="0.2">
      <c r="A239" s="5"/>
    </row>
    <row r="240" spans="1:1" s="3" customFormat="1" x14ac:dyDescent="0.2">
      <c r="A240" s="5"/>
    </row>
    <row r="241" spans="1:1" s="3" customFormat="1" x14ac:dyDescent="0.2">
      <c r="A241" s="5"/>
    </row>
    <row r="242" spans="1:1" s="3" customFormat="1" x14ac:dyDescent="0.2">
      <c r="A242" s="5"/>
    </row>
    <row r="243" spans="1:1" s="3" customFormat="1" x14ac:dyDescent="0.2">
      <c r="A243" s="5"/>
    </row>
    <row r="244" spans="1:1" s="3" customFormat="1" x14ac:dyDescent="0.2">
      <c r="A244" s="5"/>
    </row>
    <row r="245" spans="1:1" s="3" customFormat="1" x14ac:dyDescent="0.2">
      <c r="A245" s="5"/>
    </row>
    <row r="246" spans="1:1" s="3" customFormat="1" x14ac:dyDescent="0.2">
      <c r="A246" s="5"/>
    </row>
    <row r="247" spans="1:1" s="3" customFormat="1" x14ac:dyDescent="0.2">
      <c r="A247" s="5"/>
    </row>
    <row r="248" spans="1:1" s="3" customFormat="1" x14ac:dyDescent="0.2">
      <c r="A248" s="5"/>
    </row>
    <row r="249" spans="1:1" s="3" customFormat="1" x14ac:dyDescent="0.2">
      <c r="A249" s="5"/>
    </row>
    <row r="250" spans="1:1" s="3" customFormat="1" x14ac:dyDescent="0.2">
      <c r="A250" s="5"/>
    </row>
    <row r="251" spans="1:1" s="3" customFormat="1" x14ac:dyDescent="0.2">
      <c r="A251" s="5"/>
    </row>
    <row r="252" spans="1:1" s="3" customFormat="1" x14ac:dyDescent="0.2">
      <c r="A252" s="5"/>
    </row>
    <row r="253" spans="1:1" s="3" customFormat="1" x14ac:dyDescent="0.2">
      <c r="A253" s="5"/>
    </row>
    <row r="254" spans="1:1" s="3" customFormat="1" x14ac:dyDescent="0.2">
      <c r="A254" s="5"/>
    </row>
    <row r="255" spans="1:1" s="3" customFormat="1" x14ac:dyDescent="0.2">
      <c r="A255" s="5"/>
    </row>
    <row r="256" spans="1:1" s="3" customFormat="1" x14ac:dyDescent="0.2">
      <c r="A256" s="5"/>
    </row>
    <row r="257" spans="1:1" s="3" customFormat="1" x14ac:dyDescent="0.2">
      <c r="A257" s="5"/>
    </row>
    <row r="258" spans="1:1" s="3" customFormat="1" x14ac:dyDescent="0.2">
      <c r="A258" s="5"/>
    </row>
    <row r="259" spans="1:1" s="3" customFormat="1" x14ac:dyDescent="0.2">
      <c r="A259" s="5"/>
    </row>
    <row r="260" spans="1:1" s="3" customFormat="1" x14ac:dyDescent="0.2">
      <c r="A260" s="5"/>
    </row>
    <row r="261" spans="1:1" s="3" customFormat="1" x14ac:dyDescent="0.2">
      <c r="A261" s="5"/>
    </row>
    <row r="262" spans="1:1" s="3" customFormat="1" x14ac:dyDescent="0.2">
      <c r="A262" s="5"/>
    </row>
    <row r="263" spans="1:1" s="3" customFormat="1" x14ac:dyDescent="0.2">
      <c r="A263" s="5"/>
    </row>
    <row r="264" spans="1:1" s="3" customFormat="1" x14ac:dyDescent="0.2">
      <c r="A264" s="5"/>
    </row>
    <row r="265" spans="1:1" s="3" customFormat="1" x14ac:dyDescent="0.2">
      <c r="A265" s="5"/>
    </row>
    <row r="266" spans="1:1" s="3" customFormat="1" x14ac:dyDescent="0.2">
      <c r="A266" s="5"/>
    </row>
    <row r="267" spans="1:1" s="3" customFormat="1" x14ac:dyDescent="0.2">
      <c r="A267" s="5"/>
    </row>
    <row r="268" spans="1:1" s="3" customFormat="1" x14ac:dyDescent="0.2">
      <c r="A268" s="5"/>
    </row>
    <row r="269" spans="1:1" s="3" customFormat="1" x14ac:dyDescent="0.2">
      <c r="A269" s="5"/>
    </row>
    <row r="270" spans="1:1" s="3" customFormat="1" x14ac:dyDescent="0.2">
      <c r="A270" s="5"/>
    </row>
    <row r="271" spans="1:1" s="3" customFormat="1" x14ac:dyDescent="0.2">
      <c r="A271" s="5"/>
    </row>
    <row r="272" spans="1:1" s="3" customFormat="1" x14ac:dyDescent="0.2">
      <c r="A272" s="5"/>
    </row>
    <row r="273" spans="1:1" s="3" customFormat="1" x14ac:dyDescent="0.2">
      <c r="A273" s="5"/>
    </row>
    <row r="274" spans="1:1" s="3" customFormat="1" x14ac:dyDescent="0.2">
      <c r="A274" s="5"/>
    </row>
    <row r="275" spans="1:1" s="3" customFormat="1" x14ac:dyDescent="0.2">
      <c r="A275" s="5"/>
    </row>
    <row r="276" spans="1:1" s="3" customFormat="1" x14ac:dyDescent="0.2">
      <c r="A276" s="5"/>
    </row>
    <row r="277" spans="1:1" s="3" customFormat="1" x14ac:dyDescent="0.2">
      <c r="A277" s="5"/>
    </row>
    <row r="278" spans="1:1" s="3" customFormat="1" x14ac:dyDescent="0.2">
      <c r="A278" s="5"/>
    </row>
    <row r="279" spans="1:1" s="3" customFormat="1" x14ac:dyDescent="0.2">
      <c r="A279" s="5"/>
    </row>
    <row r="280" spans="1:1" s="3" customFormat="1" x14ac:dyDescent="0.2">
      <c r="A280" s="5"/>
    </row>
    <row r="281" spans="1:1" s="3" customFormat="1" x14ac:dyDescent="0.2">
      <c r="A281" s="5"/>
    </row>
    <row r="282" spans="1:1" s="3" customFormat="1" x14ac:dyDescent="0.2">
      <c r="A282" s="5"/>
    </row>
    <row r="283" spans="1:1" s="3" customFormat="1" x14ac:dyDescent="0.2">
      <c r="A283" s="5"/>
    </row>
    <row r="284" spans="1:1" s="3" customFormat="1" x14ac:dyDescent="0.2">
      <c r="A284" s="5"/>
    </row>
    <row r="285" spans="1:1" s="3" customFormat="1" x14ac:dyDescent="0.2">
      <c r="A285" s="5"/>
    </row>
    <row r="286" spans="1:1" s="3" customFormat="1" x14ac:dyDescent="0.2">
      <c r="A286" s="5"/>
    </row>
    <row r="287" spans="1:1" s="3" customFormat="1" x14ac:dyDescent="0.2">
      <c r="A287" s="5"/>
    </row>
    <row r="288" spans="1:1" s="3" customFormat="1" x14ac:dyDescent="0.2">
      <c r="A288" s="5"/>
    </row>
    <row r="289" spans="1:1" s="3" customFormat="1" x14ac:dyDescent="0.2">
      <c r="A289" s="5"/>
    </row>
    <row r="290" spans="1:1" s="3" customFormat="1" x14ac:dyDescent="0.2">
      <c r="A290" s="5"/>
    </row>
    <row r="291" spans="1:1" s="3" customFormat="1" x14ac:dyDescent="0.2">
      <c r="A291" s="5"/>
    </row>
    <row r="292" spans="1:1" s="3" customFormat="1" x14ac:dyDescent="0.2">
      <c r="A292" s="5"/>
    </row>
    <row r="293" spans="1:1" s="3" customFormat="1" x14ac:dyDescent="0.2">
      <c r="A293" s="5"/>
    </row>
    <row r="294" spans="1:1" s="3" customFormat="1" x14ac:dyDescent="0.2">
      <c r="A294" s="5"/>
    </row>
    <row r="295" spans="1:1" s="3" customFormat="1" x14ac:dyDescent="0.2">
      <c r="A295" s="5"/>
    </row>
    <row r="296" spans="1:1" s="3" customFormat="1" x14ac:dyDescent="0.2">
      <c r="A296" s="5"/>
    </row>
    <row r="297" spans="1:1" s="3" customFormat="1" x14ac:dyDescent="0.2">
      <c r="A297" s="5"/>
    </row>
    <row r="298" spans="1:1" s="3" customFormat="1" x14ac:dyDescent="0.2">
      <c r="A298" s="5"/>
    </row>
    <row r="299" spans="1:1" s="3" customFormat="1" x14ac:dyDescent="0.2">
      <c r="A299" s="5"/>
    </row>
    <row r="300" spans="1:1" s="3" customFormat="1" x14ac:dyDescent="0.2">
      <c r="A300" s="5"/>
    </row>
    <row r="301" spans="1:1" s="3" customFormat="1" x14ac:dyDescent="0.2">
      <c r="A301" s="5"/>
    </row>
    <row r="302" spans="1:1" s="3" customFormat="1" x14ac:dyDescent="0.2">
      <c r="A302" s="5"/>
    </row>
    <row r="303" spans="1:1" s="3" customFormat="1" x14ac:dyDescent="0.2">
      <c r="A303" s="5"/>
    </row>
    <row r="304" spans="1:1" s="3" customFormat="1" x14ac:dyDescent="0.2">
      <c r="A304" s="5"/>
    </row>
    <row r="305" spans="1:1" s="3" customFormat="1" x14ac:dyDescent="0.2">
      <c r="A305" s="5"/>
    </row>
    <row r="306" spans="1:1" s="3" customFormat="1" x14ac:dyDescent="0.2">
      <c r="A306" s="5"/>
    </row>
    <row r="307" spans="1:1" s="3" customFormat="1" x14ac:dyDescent="0.2">
      <c r="A307" s="5"/>
    </row>
    <row r="308" spans="1:1" s="3" customFormat="1" x14ac:dyDescent="0.2">
      <c r="A308" s="5"/>
    </row>
    <row r="309" spans="1:1" s="3" customFormat="1" x14ac:dyDescent="0.2">
      <c r="A309" s="5"/>
    </row>
    <row r="310" spans="1:1" s="3" customFormat="1" x14ac:dyDescent="0.2">
      <c r="A310" s="5"/>
    </row>
    <row r="311" spans="1:1" s="3" customFormat="1" x14ac:dyDescent="0.2">
      <c r="A311" s="5"/>
    </row>
    <row r="312" spans="1:1" s="3" customFormat="1" x14ac:dyDescent="0.2">
      <c r="A312" s="5"/>
    </row>
    <row r="313" spans="1:1" s="3" customFormat="1" x14ac:dyDescent="0.2">
      <c r="A313" s="5"/>
    </row>
    <row r="314" spans="1:1" s="3" customFormat="1" x14ac:dyDescent="0.2">
      <c r="A314" s="5"/>
    </row>
    <row r="315" spans="1:1" s="3" customFormat="1" x14ac:dyDescent="0.2">
      <c r="A315" s="5"/>
    </row>
    <row r="316" spans="1:1" s="3" customFormat="1" x14ac:dyDescent="0.2">
      <c r="A316" s="5"/>
    </row>
    <row r="317" spans="1:1" s="3" customFormat="1" x14ac:dyDescent="0.2">
      <c r="A317" s="5"/>
    </row>
    <row r="318" spans="1:1" s="3" customFormat="1" x14ac:dyDescent="0.2">
      <c r="A318" s="5"/>
    </row>
    <row r="319" spans="1:1" s="3" customFormat="1" x14ac:dyDescent="0.2">
      <c r="A319" s="5"/>
    </row>
    <row r="320" spans="1:1" s="3" customFormat="1" x14ac:dyDescent="0.2">
      <c r="A320" s="5"/>
    </row>
    <row r="321" spans="1:1" s="3" customFormat="1" x14ac:dyDescent="0.2">
      <c r="A321" s="5"/>
    </row>
    <row r="322" spans="1:1" s="3" customFormat="1" x14ac:dyDescent="0.2">
      <c r="A322" s="5"/>
    </row>
    <row r="323" spans="1:1" s="3" customFormat="1" x14ac:dyDescent="0.2">
      <c r="A323" s="5"/>
    </row>
    <row r="324" spans="1:1" s="3" customFormat="1" x14ac:dyDescent="0.2">
      <c r="A324" s="5"/>
    </row>
    <row r="325" spans="1:1" s="3" customFormat="1" x14ac:dyDescent="0.2">
      <c r="A325" s="5"/>
    </row>
    <row r="326" spans="1:1" s="3" customFormat="1" x14ac:dyDescent="0.2">
      <c r="A326" s="5"/>
    </row>
    <row r="327" spans="1:1" s="3" customFormat="1" x14ac:dyDescent="0.2">
      <c r="A327" s="5"/>
    </row>
    <row r="328" spans="1:1" s="3" customFormat="1" x14ac:dyDescent="0.2">
      <c r="A328" s="5"/>
    </row>
    <row r="329" spans="1:1" s="3" customFormat="1" x14ac:dyDescent="0.2">
      <c r="A329" s="5"/>
    </row>
    <row r="330" spans="1:1" s="3" customFormat="1" x14ac:dyDescent="0.2">
      <c r="A330" s="5"/>
    </row>
    <row r="331" spans="1:1" s="3" customFormat="1" x14ac:dyDescent="0.2">
      <c r="A331" s="5"/>
    </row>
    <row r="332" spans="1:1" s="3" customFormat="1" x14ac:dyDescent="0.2">
      <c r="A332" s="5"/>
    </row>
    <row r="333" spans="1:1" s="3" customFormat="1" x14ac:dyDescent="0.2">
      <c r="A333" s="5"/>
    </row>
    <row r="334" spans="1:1" s="3" customFormat="1" x14ac:dyDescent="0.2">
      <c r="A334" s="5"/>
    </row>
    <row r="335" spans="1:1" s="3" customFormat="1" x14ac:dyDescent="0.2">
      <c r="A335" s="5"/>
    </row>
    <row r="336" spans="1:1" s="3" customFormat="1" x14ac:dyDescent="0.2">
      <c r="A336" s="5"/>
    </row>
    <row r="337" spans="1:1" s="3" customFormat="1" x14ac:dyDescent="0.2">
      <c r="A337" s="5"/>
    </row>
    <row r="338" spans="1:1" s="3" customFormat="1" x14ac:dyDescent="0.2">
      <c r="A338" s="5"/>
    </row>
    <row r="339" spans="1:1" s="3" customFormat="1" x14ac:dyDescent="0.2">
      <c r="A339" s="5"/>
    </row>
    <row r="340" spans="1:1" s="3" customFormat="1" x14ac:dyDescent="0.2">
      <c r="A340" s="5"/>
    </row>
    <row r="341" spans="1:1" s="3" customFormat="1" x14ac:dyDescent="0.2">
      <c r="A341" s="5"/>
    </row>
    <row r="342" spans="1:1" s="3" customFormat="1" x14ac:dyDescent="0.2">
      <c r="A342" s="5"/>
    </row>
    <row r="343" spans="1:1" s="3" customFormat="1" x14ac:dyDescent="0.2">
      <c r="A343" s="5"/>
    </row>
    <row r="344" spans="1:1" s="3" customFormat="1" x14ac:dyDescent="0.2">
      <c r="A344" s="5"/>
    </row>
    <row r="345" spans="1:1" s="3" customFormat="1" x14ac:dyDescent="0.2">
      <c r="A345" s="5"/>
    </row>
    <row r="346" spans="1:1" s="3" customFormat="1" x14ac:dyDescent="0.2">
      <c r="A346" s="5"/>
    </row>
    <row r="347" spans="1:1" s="3" customFormat="1" x14ac:dyDescent="0.2">
      <c r="A347" s="5"/>
    </row>
    <row r="348" spans="1:1" s="3" customFormat="1" x14ac:dyDescent="0.2">
      <c r="A348" s="5"/>
    </row>
    <row r="349" spans="1:1" s="3" customFormat="1" x14ac:dyDescent="0.2">
      <c r="A349" s="5"/>
    </row>
    <row r="350" spans="1:1" s="3" customFormat="1" x14ac:dyDescent="0.2">
      <c r="A350" s="5"/>
    </row>
    <row r="351" spans="1:1" s="3" customFormat="1" x14ac:dyDescent="0.2">
      <c r="A351" s="5"/>
    </row>
    <row r="352" spans="1:1" s="3" customFormat="1" x14ac:dyDescent="0.2">
      <c r="A352" s="5"/>
    </row>
    <row r="353" spans="1:1" s="3" customFormat="1" x14ac:dyDescent="0.2">
      <c r="A353" s="5"/>
    </row>
    <row r="354" spans="1:1" s="3" customFormat="1" x14ac:dyDescent="0.2">
      <c r="A354" s="5"/>
    </row>
    <row r="355" spans="1:1" s="3" customFormat="1" x14ac:dyDescent="0.2">
      <c r="A355" s="5"/>
    </row>
    <row r="356" spans="1:1" s="3" customFormat="1" x14ac:dyDescent="0.2">
      <c r="A356" s="5"/>
    </row>
    <row r="357" spans="1:1" s="3" customFormat="1" x14ac:dyDescent="0.2">
      <c r="A357" s="5"/>
    </row>
    <row r="358" spans="1:1" s="3" customFormat="1" x14ac:dyDescent="0.2">
      <c r="A358" s="5"/>
    </row>
    <row r="359" spans="1:1" s="3" customFormat="1" x14ac:dyDescent="0.2">
      <c r="A359" s="5"/>
    </row>
    <row r="360" spans="1:1" s="3" customFormat="1" x14ac:dyDescent="0.2">
      <c r="A360" s="5"/>
    </row>
    <row r="361" spans="1:1" s="3" customFormat="1" x14ac:dyDescent="0.2">
      <c r="A361" s="5"/>
    </row>
    <row r="362" spans="1:1" s="3" customFormat="1" x14ac:dyDescent="0.2">
      <c r="A362" s="5"/>
    </row>
    <row r="363" spans="1:1" s="3" customFormat="1" x14ac:dyDescent="0.2">
      <c r="A363" s="5"/>
    </row>
    <row r="364" spans="1:1" s="3" customFormat="1" x14ac:dyDescent="0.2">
      <c r="A364" s="5"/>
    </row>
    <row r="365" spans="1:1" s="3" customFormat="1" x14ac:dyDescent="0.2">
      <c r="A365" s="5"/>
    </row>
    <row r="366" spans="1:1" s="3" customFormat="1" x14ac:dyDescent="0.2">
      <c r="A366" s="5"/>
    </row>
    <row r="367" spans="1:1" s="3" customFormat="1" x14ac:dyDescent="0.2">
      <c r="A367" s="5"/>
    </row>
    <row r="368" spans="1:1" s="3" customFormat="1" x14ac:dyDescent="0.2">
      <c r="A368" s="5"/>
    </row>
    <row r="369" spans="1:1" s="3" customFormat="1" x14ac:dyDescent="0.2">
      <c r="A369" s="5"/>
    </row>
    <row r="370" spans="1:1" s="3" customFormat="1" x14ac:dyDescent="0.2">
      <c r="A370" s="5"/>
    </row>
    <row r="371" spans="1:1" s="3" customFormat="1" x14ac:dyDescent="0.2">
      <c r="A371" s="5"/>
    </row>
    <row r="372" spans="1:1" s="3" customFormat="1" x14ac:dyDescent="0.2">
      <c r="A372" s="5"/>
    </row>
    <row r="373" spans="1:1" s="3" customFormat="1" x14ac:dyDescent="0.2">
      <c r="A373" s="5"/>
    </row>
    <row r="374" spans="1:1" s="3" customFormat="1" x14ac:dyDescent="0.2">
      <c r="A374" s="5"/>
    </row>
    <row r="375" spans="1:1" s="3" customFormat="1" x14ac:dyDescent="0.2">
      <c r="A375" s="5"/>
    </row>
    <row r="376" spans="1:1" s="3" customFormat="1" x14ac:dyDescent="0.2">
      <c r="A376" s="5"/>
    </row>
    <row r="377" spans="1:1" s="3" customFormat="1" x14ac:dyDescent="0.2">
      <c r="A377" s="5"/>
    </row>
    <row r="378" spans="1:1" s="3" customFormat="1" x14ac:dyDescent="0.2">
      <c r="A378" s="5"/>
    </row>
    <row r="379" spans="1:1" s="3" customFormat="1" x14ac:dyDescent="0.2">
      <c r="A379" s="5"/>
    </row>
    <row r="380" spans="1:1" s="3" customFormat="1" x14ac:dyDescent="0.2">
      <c r="A380" s="5"/>
    </row>
    <row r="381" spans="1:1" s="3" customFormat="1" x14ac:dyDescent="0.2">
      <c r="A381" s="5"/>
    </row>
    <row r="382" spans="1:1" s="3" customFormat="1" x14ac:dyDescent="0.2">
      <c r="A382" s="5"/>
    </row>
    <row r="383" spans="1:1" s="3" customFormat="1" x14ac:dyDescent="0.2">
      <c r="A383" s="5"/>
    </row>
    <row r="384" spans="1:1" s="3" customFormat="1" x14ac:dyDescent="0.2">
      <c r="A384" s="5"/>
    </row>
    <row r="385" spans="1:1" s="3" customFormat="1" x14ac:dyDescent="0.2">
      <c r="A385" s="5"/>
    </row>
    <row r="386" spans="1:1" s="3" customFormat="1" x14ac:dyDescent="0.2">
      <c r="A386" s="5"/>
    </row>
    <row r="387" spans="1:1" s="3" customFormat="1" x14ac:dyDescent="0.2">
      <c r="A387" s="5"/>
    </row>
    <row r="388" spans="1:1" s="3" customFormat="1" x14ac:dyDescent="0.2">
      <c r="A388" s="5"/>
    </row>
    <row r="389" spans="1:1" s="3" customFormat="1" x14ac:dyDescent="0.2">
      <c r="A389" s="5"/>
    </row>
    <row r="390" spans="1:1" s="3" customFormat="1" x14ac:dyDescent="0.2">
      <c r="A390" s="5"/>
    </row>
    <row r="391" spans="1:1" s="3" customFormat="1" x14ac:dyDescent="0.2">
      <c r="A391" s="5"/>
    </row>
    <row r="392" spans="1:1" s="3" customFormat="1" x14ac:dyDescent="0.2">
      <c r="A392" s="5"/>
    </row>
    <row r="393" spans="1:1" s="3" customFormat="1" x14ac:dyDescent="0.2">
      <c r="A393" s="5"/>
    </row>
    <row r="394" spans="1:1" s="3" customFormat="1" x14ac:dyDescent="0.2">
      <c r="A394" s="5"/>
    </row>
    <row r="395" spans="1:1" s="3" customFormat="1" x14ac:dyDescent="0.2">
      <c r="A395" s="5"/>
    </row>
    <row r="396" spans="1:1" s="3" customFormat="1" x14ac:dyDescent="0.2">
      <c r="A396" s="5"/>
    </row>
    <row r="397" spans="1:1" s="3" customFormat="1" x14ac:dyDescent="0.2">
      <c r="A397" s="5"/>
    </row>
    <row r="398" spans="1:1" s="3" customFormat="1" x14ac:dyDescent="0.2">
      <c r="A398" s="5"/>
    </row>
    <row r="399" spans="1:1" s="3" customFormat="1" x14ac:dyDescent="0.2">
      <c r="A399" s="5"/>
    </row>
    <row r="400" spans="1:1" s="3" customFormat="1" x14ac:dyDescent="0.2">
      <c r="A400" s="5"/>
    </row>
    <row r="401" spans="1:1" s="3" customFormat="1" x14ac:dyDescent="0.2">
      <c r="A401" s="5"/>
    </row>
    <row r="402" spans="1:1" s="3" customFormat="1" x14ac:dyDescent="0.2">
      <c r="A402" s="5"/>
    </row>
    <row r="403" spans="1:1" s="3" customFormat="1" x14ac:dyDescent="0.2">
      <c r="A403" s="5"/>
    </row>
    <row r="404" spans="1:1" s="3" customFormat="1" x14ac:dyDescent="0.2">
      <c r="A404" s="5"/>
    </row>
    <row r="405" spans="1:1" s="3" customFormat="1" x14ac:dyDescent="0.2">
      <c r="A405" s="5"/>
    </row>
    <row r="406" spans="1:1" s="3" customFormat="1" x14ac:dyDescent="0.2">
      <c r="A406" s="5"/>
    </row>
    <row r="407" spans="1:1" s="3" customFormat="1" x14ac:dyDescent="0.2">
      <c r="A407" s="5"/>
    </row>
    <row r="408" spans="1:1" s="3" customFormat="1" x14ac:dyDescent="0.2">
      <c r="A408" s="5"/>
    </row>
    <row r="409" spans="1:1" s="3" customFormat="1" x14ac:dyDescent="0.2">
      <c r="A409" s="5"/>
    </row>
    <row r="410" spans="1:1" s="3" customFormat="1" x14ac:dyDescent="0.2">
      <c r="A410" s="5"/>
    </row>
    <row r="411" spans="1:1" s="3" customFormat="1" x14ac:dyDescent="0.2">
      <c r="A411" s="5"/>
    </row>
    <row r="412" spans="1:1" s="3" customFormat="1" x14ac:dyDescent="0.2">
      <c r="A412" s="5"/>
    </row>
    <row r="413" spans="1:1" s="3" customFormat="1" x14ac:dyDescent="0.2">
      <c r="A413" s="5"/>
    </row>
    <row r="414" spans="1:1" s="3" customFormat="1" x14ac:dyDescent="0.2">
      <c r="A414" s="5"/>
    </row>
    <row r="415" spans="1:1" s="3" customFormat="1" x14ac:dyDescent="0.2">
      <c r="A415" s="5"/>
    </row>
    <row r="416" spans="1:1" s="3" customFormat="1" x14ac:dyDescent="0.2">
      <c r="A416" s="5"/>
    </row>
    <row r="417" spans="1:1" s="3" customFormat="1" x14ac:dyDescent="0.2">
      <c r="A417" s="5"/>
    </row>
    <row r="418" spans="1:1" s="3" customFormat="1" x14ac:dyDescent="0.2">
      <c r="A418" s="5"/>
    </row>
    <row r="419" spans="1:1" s="3" customFormat="1" x14ac:dyDescent="0.2">
      <c r="A419" s="5"/>
    </row>
    <row r="420" spans="1:1" s="3" customFormat="1" x14ac:dyDescent="0.2">
      <c r="A420" s="5"/>
    </row>
    <row r="421" spans="1:1" s="3" customFormat="1" x14ac:dyDescent="0.2">
      <c r="A421" s="5"/>
    </row>
    <row r="422" spans="1:1" s="3" customFormat="1" x14ac:dyDescent="0.2">
      <c r="A422" s="5"/>
    </row>
    <row r="423" spans="1:1" s="3" customFormat="1" x14ac:dyDescent="0.2">
      <c r="A423" s="5"/>
    </row>
    <row r="424" spans="1:1" s="3" customFormat="1" x14ac:dyDescent="0.2">
      <c r="A424" s="5"/>
    </row>
    <row r="425" spans="1:1" s="3" customFormat="1" x14ac:dyDescent="0.2">
      <c r="A425" s="5"/>
    </row>
    <row r="426" spans="1:1" s="3" customFormat="1" x14ac:dyDescent="0.2">
      <c r="A426" s="5"/>
    </row>
    <row r="427" spans="1:1" s="3" customFormat="1" x14ac:dyDescent="0.2">
      <c r="A427" s="5"/>
    </row>
    <row r="428" spans="1:1" s="3" customFormat="1" x14ac:dyDescent="0.2">
      <c r="A428" s="5"/>
    </row>
    <row r="429" spans="1:1" s="3" customFormat="1" x14ac:dyDescent="0.2">
      <c r="A429" s="5"/>
    </row>
    <row r="430" spans="1:1" s="3" customFormat="1" x14ac:dyDescent="0.2">
      <c r="A430" s="5"/>
    </row>
    <row r="431" spans="1:1" s="3" customFormat="1" x14ac:dyDescent="0.2">
      <c r="A431" s="5"/>
    </row>
    <row r="432" spans="1:1" s="3" customFormat="1" x14ac:dyDescent="0.2">
      <c r="A432" s="5"/>
    </row>
    <row r="433" spans="1:1" s="3" customFormat="1" x14ac:dyDescent="0.2">
      <c r="A433" s="5"/>
    </row>
    <row r="434" spans="1:1" s="3" customFormat="1" x14ac:dyDescent="0.2">
      <c r="A434" s="5"/>
    </row>
    <row r="435" spans="1:1" s="3" customFormat="1" x14ac:dyDescent="0.2">
      <c r="A435" s="5"/>
    </row>
    <row r="436" spans="1:1" s="3" customFormat="1" x14ac:dyDescent="0.2">
      <c r="A436" s="5"/>
    </row>
    <row r="437" spans="1:1" s="3" customFormat="1" x14ac:dyDescent="0.2">
      <c r="A437" s="5"/>
    </row>
    <row r="438" spans="1:1" s="3" customFormat="1" x14ac:dyDescent="0.2">
      <c r="A438" s="5"/>
    </row>
    <row r="439" spans="1:1" s="3" customFormat="1" x14ac:dyDescent="0.2">
      <c r="A439" s="5"/>
    </row>
    <row r="440" spans="1:1" s="3" customFormat="1" x14ac:dyDescent="0.2">
      <c r="A440" s="5"/>
    </row>
    <row r="441" spans="1:1" s="3" customFormat="1" x14ac:dyDescent="0.2">
      <c r="A441" s="5"/>
    </row>
    <row r="442" spans="1:1" s="3" customFormat="1" x14ac:dyDescent="0.2">
      <c r="A442" s="5"/>
    </row>
    <row r="443" spans="1:1" s="3" customFormat="1" x14ac:dyDescent="0.2">
      <c r="A443" s="5"/>
    </row>
    <row r="444" spans="1:1" s="3" customFormat="1" x14ac:dyDescent="0.2">
      <c r="A444" s="5"/>
    </row>
    <row r="445" spans="1:1" s="3" customFormat="1" x14ac:dyDescent="0.2">
      <c r="A445" s="5"/>
    </row>
    <row r="446" spans="1:1" s="3" customFormat="1" x14ac:dyDescent="0.2">
      <c r="A446" s="5"/>
    </row>
    <row r="447" spans="1:1" s="3" customFormat="1" x14ac:dyDescent="0.2">
      <c r="A447" s="5"/>
    </row>
    <row r="448" spans="1:1" s="3" customFormat="1" x14ac:dyDescent="0.2">
      <c r="A448" s="5"/>
    </row>
    <row r="449" spans="1:1" s="3" customFormat="1" x14ac:dyDescent="0.2">
      <c r="A449" s="5"/>
    </row>
    <row r="450" spans="1:1" s="3" customFormat="1" x14ac:dyDescent="0.2">
      <c r="A450" s="5"/>
    </row>
    <row r="451" spans="1:1" s="3" customFormat="1" x14ac:dyDescent="0.2">
      <c r="A451" s="5"/>
    </row>
    <row r="452" spans="1:1" s="3" customFormat="1" x14ac:dyDescent="0.2">
      <c r="A452" s="5"/>
    </row>
    <row r="453" spans="1:1" s="3" customFormat="1" x14ac:dyDescent="0.2">
      <c r="A453" s="5"/>
    </row>
    <row r="454" spans="1:1" s="3" customFormat="1" x14ac:dyDescent="0.2">
      <c r="A454" s="5"/>
    </row>
    <row r="455" spans="1:1" s="3" customFormat="1" x14ac:dyDescent="0.2">
      <c r="A455" s="5"/>
    </row>
    <row r="456" spans="1:1" s="3" customFormat="1" x14ac:dyDescent="0.2">
      <c r="A456" s="5"/>
    </row>
    <row r="457" spans="1:1" s="3" customFormat="1" x14ac:dyDescent="0.2">
      <c r="A457" s="5"/>
    </row>
    <row r="458" spans="1:1" s="3" customFormat="1" x14ac:dyDescent="0.2">
      <c r="A458" s="5"/>
    </row>
    <row r="459" spans="1:1" s="3" customFormat="1" x14ac:dyDescent="0.2">
      <c r="A459" s="5"/>
    </row>
    <row r="460" spans="1:1" s="3" customFormat="1" x14ac:dyDescent="0.2">
      <c r="A460" s="5"/>
    </row>
    <row r="461" spans="1:1" s="3" customFormat="1" x14ac:dyDescent="0.2">
      <c r="A461" s="5"/>
    </row>
    <row r="462" spans="1:1" s="3" customFormat="1" x14ac:dyDescent="0.2">
      <c r="A462" s="5"/>
    </row>
    <row r="463" spans="1:1" s="3" customFormat="1" x14ac:dyDescent="0.2">
      <c r="A463" s="5"/>
    </row>
    <row r="464" spans="1:1" s="3" customFormat="1" x14ac:dyDescent="0.2">
      <c r="A464" s="5"/>
    </row>
    <row r="465" spans="1:1" s="3" customFormat="1" x14ac:dyDescent="0.2">
      <c r="A465" s="5"/>
    </row>
    <row r="466" spans="1:1" s="3" customFormat="1" x14ac:dyDescent="0.2">
      <c r="A466" s="5"/>
    </row>
    <row r="467" spans="1:1" s="3" customFormat="1" x14ac:dyDescent="0.2">
      <c r="A467" s="5"/>
    </row>
    <row r="468" spans="1:1" s="3" customFormat="1" x14ac:dyDescent="0.2">
      <c r="A468" s="5"/>
    </row>
    <row r="469" spans="1:1" s="3" customFormat="1" x14ac:dyDescent="0.2">
      <c r="A469" s="5"/>
    </row>
    <row r="470" spans="1:1" s="3" customFormat="1" x14ac:dyDescent="0.2">
      <c r="A470" s="5"/>
    </row>
    <row r="471" spans="1:1" s="3" customFormat="1" x14ac:dyDescent="0.2">
      <c r="A471" s="5"/>
    </row>
    <row r="472" spans="1:1" s="3" customFormat="1" x14ac:dyDescent="0.2">
      <c r="A472" s="5"/>
    </row>
    <row r="473" spans="1:1" s="3" customFormat="1" x14ac:dyDescent="0.2">
      <c r="A473" s="5"/>
    </row>
    <row r="474" spans="1:1" s="3" customFormat="1" x14ac:dyDescent="0.2">
      <c r="A474" s="5"/>
    </row>
    <row r="475" spans="1:1" s="3" customFormat="1" x14ac:dyDescent="0.2">
      <c r="A475" s="5"/>
    </row>
    <row r="476" spans="1:1" s="3" customFormat="1" x14ac:dyDescent="0.2">
      <c r="A476" s="5"/>
    </row>
    <row r="477" spans="1:1" s="3" customFormat="1" x14ac:dyDescent="0.2">
      <c r="A477" s="5"/>
    </row>
    <row r="478" spans="1:1" s="3" customFormat="1" x14ac:dyDescent="0.2">
      <c r="A478" s="5"/>
    </row>
    <row r="479" spans="1:1" s="3" customFormat="1" x14ac:dyDescent="0.2">
      <c r="A479" s="5"/>
    </row>
    <row r="480" spans="1:1" s="3" customFormat="1" x14ac:dyDescent="0.2">
      <c r="A480" s="5"/>
    </row>
    <row r="481" spans="1:1" s="3" customFormat="1" x14ac:dyDescent="0.2">
      <c r="A481" s="5"/>
    </row>
    <row r="482" spans="1:1" s="3" customFormat="1" x14ac:dyDescent="0.2">
      <c r="A482" s="5"/>
    </row>
    <row r="483" spans="1:1" s="3" customFormat="1" x14ac:dyDescent="0.2">
      <c r="A483" s="5"/>
    </row>
    <row r="484" spans="1:1" s="3" customFormat="1" x14ac:dyDescent="0.2">
      <c r="A484" s="5"/>
    </row>
    <row r="485" spans="1:1" s="3" customFormat="1" x14ac:dyDescent="0.2">
      <c r="A485" s="5"/>
    </row>
    <row r="486" spans="1:1" s="3" customFormat="1" x14ac:dyDescent="0.2">
      <c r="A486" s="5"/>
    </row>
    <row r="487" spans="1:1" s="3" customFormat="1" x14ac:dyDescent="0.2">
      <c r="A487" s="5"/>
    </row>
    <row r="488" spans="1:1" s="3" customFormat="1" x14ac:dyDescent="0.2">
      <c r="A488" s="5"/>
    </row>
    <row r="489" spans="1:1" s="3" customFormat="1" x14ac:dyDescent="0.2">
      <c r="A489" s="5"/>
    </row>
    <row r="490" spans="1:1" s="3" customFormat="1" x14ac:dyDescent="0.2">
      <c r="A490" s="5"/>
    </row>
    <row r="491" spans="1:1" s="3" customFormat="1" x14ac:dyDescent="0.2">
      <c r="A491" s="5"/>
    </row>
    <row r="492" spans="1:1" s="3" customFormat="1" x14ac:dyDescent="0.2">
      <c r="A492" s="5"/>
    </row>
    <row r="493" spans="1:1" s="3" customFormat="1" x14ac:dyDescent="0.2">
      <c r="A493" s="5"/>
    </row>
    <row r="494" spans="1:1" s="3" customFormat="1" x14ac:dyDescent="0.2">
      <c r="A494" s="5"/>
    </row>
    <row r="495" spans="1:1" s="3" customFormat="1" x14ac:dyDescent="0.2">
      <c r="A495" s="5"/>
    </row>
    <row r="496" spans="1:1" s="3" customFormat="1" x14ac:dyDescent="0.2">
      <c r="A496" s="5"/>
    </row>
    <row r="497" spans="1:1" s="3" customFormat="1" x14ac:dyDescent="0.2">
      <c r="A497" s="5"/>
    </row>
    <row r="498" spans="1:1" s="3" customFormat="1" x14ac:dyDescent="0.2">
      <c r="A498" s="5"/>
    </row>
    <row r="499" spans="1:1" s="3" customFormat="1" x14ac:dyDescent="0.2">
      <c r="A499" s="5"/>
    </row>
    <row r="500" spans="1:1" s="3" customFormat="1" x14ac:dyDescent="0.2">
      <c r="A500" s="5"/>
    </row>
    <row r="501" spans="1:1" s="3" customFormat="1" x14ac:dyDescent="0.2">
      <c r="A501" s="5"/>
    </row>
    <row r="502" spans="1:1" s="3" customFormat="1" x14ac:dyDescent="0.2">
      <c r="A502" s="5"/>
    </row>
    <row r="503" spans="1:1" s="3" customFormat="1" x14ac:dyDescent="0.2">
      <c r="A503" s="5"/>
    </row>
    <row r="504" spans="1:1" s="3" customFormat="1" x14ac:dyDescent="0.2">
      <c r="A504" s="5"/>
    </row>
    <row r="505" spans="1:1" s="3" customFormat="1" x14ac:dyDescent="0.2">
      <c r="A505" s="5"/>
    </row>
    <row r="506" spans="1:1" s="3" customFormat="1" x14ac:dyDescent="0.2">
      <c r="A506" s="5"/>
    </row>
    <row r="507" spans="1:1" s="3" customFormat="1" x14ac:dyDescent="0.2">
      <c r="A507" s="5"/>
    </row>
    <row r="508" spans="1:1" s="3" customFormat="1" x14ac:dyDescent="0.2">
      <c r="A508" s="5"/>
    </row>
    <row r="509" spans="1:1" s="3" customFormat="1" x14ac:dyDescent="0.2">
      <c r="A509" s="5"/>
    </row>
    <row r="510" spans="1:1" s="3" customFormat="1" x14ac:dyDescent="0.2">
      <c r="A510" s="5"/>
    </row>
    <row r="511" spans="1:1" s="3" customFormat="1" x14ac:dyDescent="0.2">
      <c r="A511" s="5"/>
    </row>
    <row r="512" spans="1:1" s="3" customFormat="1" x14ac:dyDescent="0.2">
      <c r="A512" s="5"/>
    </row>
    <row r="513" spans="1:1" s="3" customFormat="1" x14ac:dyDescent="0.2">
      <c r="A513" s="5"/>
    </row>
    <row r="514" spans="1:1" s="3" customFormat="1" x14ac:dyDescent="0.2">
      <c r="A514" s="5"/>
    </row>
    <row r="515" spans="1:1" s="3" customFormat="1" x14ac:dyDescent="0.2">
      <c r="A515" s="5"/>
    </row>
    <row r="516" spans="1:1" s="3" customFormat="1" x14ac:dyDescent="0.2">
      <c r="A516" s="5"/>
    </row>
    <row r="517" spans="1:1" s="3" customFormat="1" x14ac:dyDescent="0.2">
      <c r="A517" s="5"/>
    </row>
    <row r="518" spans="1:1" s="3" customFormat="1" x14ac:dyDescent="0.2">
      <c r="A518" s="5"/>
    </row>
    <row r="519" spans="1:1" s="3" customFormat="1" x14ac:dyDescent="0.2">
      <c r="A519" s="5"/>
    </row>
    <row r="520" spans="1:1" s="3" customFormat="1" x14ac:dyDescent="0.2">
      <c r="A520" s="5"/>
    </row>
    <row r="521" spans="1:1" s="3" customFormat="1" x14ac:dyDescent="0.2">
      <c r="A521" s="5"/>
    </row>
    <row r="522" spans="1:1" s="3" customFormat="1" x14ac:dyDescent="0.2">
      <c r="A522" s="5"/>
    </row>
    <row r="523" spans="1:1" s="3" customFormat="1" x14ac:dyDescent="0.2">
      <c r="A523" s="5"/>
    </row>
    <row r="524" spans="1:1" s="3" customFormat="1" x14ac:dyDescent="0.2">
      <c r="A524" s="5"/>
    </row>
    <row r="525" spans="1:1" s="3" customFormat="1" x14ac:dyDescent="0.2">
      <c r="A525" s="5"/>
    </row>
    <row r="526" spans="1:1" s="3" customFormat="1" x14ac:dyDescent="0.2">
      <c r="A526" s="5"/>
    </row>
    <row r="527" spans="1:1" s="3" customFormat="1" x14ac:dyDescent="0.2">
      <c r="A527" s="5"/>
    </row>
    <row r="528" spans="1:1" s="3" customFormat="1" x14ac:dyDescent="0.2">
      <c r="A528" s="5"/>
    </row>
    <row r="529" spans="1:1" s="3" customFormat="1" x14ac:dyDescent="0.2">
      <c r="A529" s="5"/>
    </row>
    <row r="530" spans="1:1" s="3" customFormat="1" x14ac:dyDescent="0.2">
      <c r="A530" s="5"/>
    </row>
    <row r="531" spans="1:1" s="3" customFormat="1" x14ac:dyDescent="0.2">
      <c r="A531" s="5"/>
    </row>
    <row r="532" spans="1:1" s="3" customFormat="1" x14ac:dyDescent="0.2">
      <c r="A532" s="5"/>
    </row>
    <row r="533" spans="1:1" s="3" customFormat="1" x14ac:dyDescent="0.2">
      <c r="A533" s="5"/>
    </row>
    <row r="534" spans="1:1" s="3" customFormat="1" x14ac:dyDescent="0.2">
      <c r="A534" s="5"/>
    </row>
    <row r="535" spans="1:1" s="3" customFormat="1" x14ac:dyDescent="0.2">
      <c r="A535" s="5"/>
    </row>
    <row r="536" spans="1:1" s="3" customFormat="1" x14ac:dyDescent="0.2">
      <c r="A536" s="5"/>
    </row>
    <row r="537" spans="1:1" s="3" customFormat="1" x14ac:dyDescent="0.2">
      <c r="A537" s="5"/>
    </row>
    <row r="538" spans="1:1" s="3" customFormat="1" x14ac:dyDescent="0.2">
      <c r="A538" s="5"/>
    </row>
    <row r="539" spans="1:1" s="3" customFormat="1" x14ac:dyDescent="0.2">
      <c r="A539" s="5"/>
    </row>
    <row r="540" spans="1:1" s="3" customFormat="1" x14ac:dyDescent="0.2">
      <c r="A540" s="5"/>
    </row>
    <row r="541" spans="1:1" s="3" customFormat="1" x14ac:dyDescent="0.2">
      <c r="A541" s="5"/>
    </row>
    <row r="542" spans="1:1" s="3" customFormat="1" x14ac:dyDescent="0.2">
      <c r="A542" s="5"/>
    </row>
    <row r="543" spans="1:1" s="3" customFormat="1" x14ac:dyDescent="0.2">
      <c r="A543" s="5"/>
    </row>
    <row r="544" spans="1:1" s="3" customFormat="1" x14ac:dyDescent="0.2">
      <c r="A544" s="5"/>
    </row>
    <row r="545" spans="1:1" s="3" customFormat="1" x14ac:dyDescent="0.2">
      <c r="A545" s="5"/>
    </row>
    <row r="546" spans="1:1" s="3" customFormat="1" x14ac:dyDescent="0.2">
      <c r="A546" s="5"/>
    </row>
    <row r="547" spans="1:1" s="3" customFormat="1" x14ac:dyDescent="0.2">
      <c r="A547" s="5"/>
    </row>
    <row r="548" spans="1:1" s="3" customFormat="1" x14ac:dyDescent="0.2">
      <c r="A548" s="5"/>
    </row>
    <row r="549" spans="1:1" s="3" customFormat="1" x14ac:dyDescent="0.2">
      <c r="A549" s="5"/>
    </row>
    <row r="550" spans="1:1" s="3" customFormat="1" x14ac:dyDescent="0.2">
      <c r="A550" s="5"/>
    </row>
    <row r="551" spans="1:1" s="3" customFormat="1" x14ac:dyDescent="0.2">
      <c r="A551" s="5"/>
    </row>
    <row r="552" spans="1:1" s="3" customFormat="1" x14ac:dyDescent="0.2">
      <c r="A552" s="5"/>
    </row>
    <row r="553" spans="1:1" s="3" customFormat="1" x14ac:dyDescent="0.2">
      <c r="A553" s="5"/>
    </row>
    <row r="554" spans="1:1" s="3" customFormat="1" x14ac:dyDescent="0.2">
      <c r="A554" s="5"/>
    </row>
    <row r="555" spans="1:1" s="3" customFormat="1" x14ac:dyDescent="0.2">
      <c r="A555" s="5"/>
    </row>
    <row r="556" spans="1:1" s="3" customFormat="1" x14ac:dyDescent="0.2">
      <c r="A556" s="5"/>
    </row>
    <row r="557" spans="1:1" s="3" customFormat="1" x14ac:dyDescent="0.2">
      <c r="A557" s="5"/>
    </row>
    <row r="558" spans="1:1" s="3" customFormat="1" x14ac:dyDescent="0.2">
      <c r="A558" s="5"/>
    </row>
    <row r="559" spans="1:1" s="3" customFormat="1" x14ac:dyDescent="0.2">
      <c r="A559" s="5"/>
    </row>
    <row r="560" spans="1:1" s="3" customFormat="1" x14ac:dyDescent="0.2">
      <c r="A560" s="5"/>
    </row>
    <row r="561" spans="1:1" s="3" customFormat="1" x14ac:dyDescent="0.2">
      <c r="A561" s="5"/>
    </row>
    <row r="562" spans="1:1" s="3" customFormat="1" x14ac:dyDescent="0.2">
      <c r="A562" s="5"/>
    </row>
    <row r="563" spans="1:1" s="3" customFormat="1" x14ac:dyDescent="0.2">
      <c r="A563" s="5"/>
    </row>
    <row r="564" spans="1:1" s="3" customFormat="1" x14ac:dyDescent="0.2">
      <c r="A564" s="5"/>
    </row>
    <row r="565" spans="1:1" s="3" customFormat="1" x14ac:dyDescent="0.2">
      <c r="A565" s="5"/>
    </row>
    <row r="566" spans="1:1" s="3" customFormat="1" x14ac:dyDescent="0.2">
      <c r="A566" s="5"/>
    </row>
    <row r="567" spans="1:1" s="3" customFormat="1" x14ac:dyDescent="0.2">
      <c r="A567" s="5"/>
    </row>
    <row r="568" spans="1:1" s="3" customFormat="1" x14ac:dyDescent="0.2">
      <c r="A568" s="5"/>
    </row>
    <row r="569" spans="1:1" s="3" customFormat="1" x14ac:dyDescent="0.2">
      <c r="A569" s="5"/>
    </row>
    <row r="570" spans="1:1" s="3" customFormat="1" x14ac:dyDescent="0.2">
      <c r="A570" s="5"/>
    </row>
    <row r="571" spans="1:1" s="3" customFormat="1" x14ac:dyDescent="0.2">
      <c r="A571" s="5"/>
    </row>
    <row r="572" spans="1:1" s="3" customFormat="1" x14ac:dyDescent="0.2">
      <c r="A572" s="5"/>
    </row>
    <row r="573" spans="1:1" s="3" customFormat="1" x14ac:dyDescent="0.2">
      <c r="A573" s="5"/>
    </row>
    <row r="574" spans="1:1" s="3" customFormat="1" x14ac:dyDescent="0.2">
      <c r="A574" s="5"/>
    </row>
    <row r="575" spans="1:1" s="3" customFormat="1" x14ac:dyDescent="0.2">
      <c r="A575" s="5"/>
    </row>
    <row r="576" spans="1:1" s="3" customFormat="1" x14ac:dyDescent="0.2">
      <c r="A576" s="5"/>
    </row>
    <row r="577" spans="1:1" s="3" customFormat="1" x14ac:dyDescent="0.2">
      <c r="A577" s="5"/>
    </row>
    <row r="578" spans="1:1" s="3" customFormat="1" x14ac:dyDescent="0.2">
      <c r="A578" s="5"/>
    </row>
    <row r="579" spans="1:1" s="3" customFormat="1" x14ac:dyDescent="0.2">
      <c r="A579" s="5"/>
    </row>
    <row r="580" spans="1:1" s="3" customFormat="1" x14ac:dyDescent="0.2">
      <c r="A580" s="5"/>
    </row>
    <row r="581" spans="1:1" s="3" customFormat="1" x14ac:dyDescent="0.2">
      <c r="A581" s="5"/>
    </row>
    <row r="582" spans="1:1" s="3" customFormat="1" x14ac:dyDescent="0.2">
      <c r="A582" s="5"/>
    </row>
    <row r="583" spans="1:1" s="3" customFormat="1" x14ac:dyDescent="0.2">
      <c r="A583" s="5"/>
    </row>
    <row r="584" spans="1:1" s="3" customFormat="1" x14ac:dyDescent="0.2">
      <c r="A584" s="5"/>
    </row>
    <row r="585" spans="1:1" s="3" customFormat="1" x14ac:dyDescent="0.2">
      <c r="A585" s="5"/>
    </row>
    <row r="586" spans="1:1" s="3" customFormat="1" x14ac:dyDescent="0.2">
      <c r="A586" s="5"/>
    </row>
    <row r="587" spans="1:1" s="3" customFormat="1" x14ac:dyDescent="0.2">
      <c r="A587" s="5"/>
    </row>
    <row r="588" spans="1:1" s="3" customFormat="1" x14ac:dyDescent="0.2">
      <c r="A588" s="5"/>
    </row>
    <row r="589" spans="1:1" s="3" customFormat="1" x14ac:dyDescent="0.2">
      <c r="A589" s="5"/>
    </row>
    <row r="590" spans="1:1" s="3" customFormat="1" x14ac:dyDescent="0.2">
      <c r="A590" s="5"/>
    </row>
    <row r="591" spans="1:1" s="3" customFormat="1" x14ac:dyDescent="0.2">
      <c r="A591" s="5"/>
    </row>
    <row r="592" spans="1:1" s="3" customFormat="1" x14ac:dyDescent="0.2">
      <c r="A592" s="5"/>
    </row>
    <row r="593" spans="1:1" s="3" customFormat="1" x14ac:dyDescent="0.2">
      <c r="A593" s="5"/>
    </row>
    <row r="594" spans="1:1" s="3" customFormat="1" x14ac:dyDescent="0.2">
      <c r="A594" s="5"/>
    </row>
    <row r="595" spans="1:1" s="3" customFormat="1" x14ac:dyDescent="0.2">
      <c r="A595" s="5"/>
    </row>
    <row r="596" spans="1:1" s="3" customFormat="1" x14ac:dyDescent="0.2">
      <c r="A596" s="5"/>
    </row>
    <row r="597" spans="1:1" s="3" customFormat="1" x14ac:dyDescent="0.2">
      <c r="A597" s="5"/>
    </row>
    <row r="598" spans="1:1" s="3" customFormat="1" x14ac:dyDescent="0.2">
      <c r="A598" s="5"/>
    </row>
    <row r="599" spans="1:1" s="3" customFormat="1" x14ac:dyDescent="0.2">
      <c r="A599" s="5"/>
    </row>
    <row r="600" spans="1:1" s="3" customFormat="1" x14ac:dyDescent="0.2">
      <c r="A600" s="5"/>
    </row>
    <row r="601" spans="1:1" s="3" customFormat="1" x14ac:dyDescent="0.2">
      <c r="A601" s="5"/>
    </row>
    <row r="602" spans="1:1" s="3" customFormat="1" x14ac:dyDescent="0.2">
      <c r="A602" s="5"/>
    </row>
    <row r="603" spans="1:1" s="3" customFormat="1" x14ac:dyDescent="0.2">
      <c r="A603" s="5"/>
    </row>
    <row r="604" spans="1:1" s="3" customFormat="1" x14ac:dyDescent="0.2">
      <c r="A604" s="5"/>
    </row>
    <row r="605" spans="1:1" s="3" customFormat="1" x14ac:dyDescent="0.2">
      <c r="A605" s="5"/>
    </row>
    <row r="606" spans="1:1" s="3" customFormat="1" x14ac:dyDescent="0.2">
      <c r="A606" s="5"/>
    </row>
    <row r="607" spans="1:1" s="3" customFormat="1" x14ac:dyDescent="0.2">
      <c r="A607" s="5"/>
    </row>
    <row r="608" spans="1:1" s="3" customFormat="1" x14ac:dyDescent="0.2">
      <c r="A608" s="5"/>
    </row>
    <row r="609" spans="1:1" s="3" customFormat="1" x14ac:dyDescent="0.2">
      <c r="A609" s="5"/>
    </row>
    <row r="610" spans="1:1" s="3" customFormat="1" x14ac:dyDescent="0.2">
      <c r="A610" s="5"/>
    </row>
    <row r="611" spans="1:1" s="3" customFormat="1" x14ac:dyDescent="0.2">
      <c r="A611" s="5"/>
    </row>
    <row r="612" spans="1:1" s="3" customFormat="1" x14ac:dyDescent="0.2">
      <c r="A612" s="5"/>
    </row>
    <row r="613" spans="1:1" s="3" customFormat="1" x14ac:dyDescent="0.2">
      <c r="A613" s="5"/>
    </row>
    <row r="614" spans="1:1" s="3" customFormat="1" x14ac:dyDescent="0.2">
      <c r="A614" s="5"/>
    </row>
    <row r="615" spans="1:1" s="3" customFormat="1" x14ac:dyDescent="0.2">
      <c r="A615" s="5"/>
    </row>
    <row r="616" spans="1:1" s="3" customFormat="1" x14ac:dyDescent="0.2">
      <c r="A616" s="5"/>
    </row>
    <row r="617" spans="1:1" s="3" customFormat="1" x14ac:dyDescent="0.2">
      <c r="A617" s="5"/>
    </row>
    <row r="618" spans="1:1" s="3" customFormat="1" x14ac:dyDescent="0.2">
      <c r="A618" s="5"/>
    </row>
    <row r="619" spans="1:1" s="3" customFormat="1" x14ac:dyDescent="0.2">
      <c r="A619" s="5"/>
    </row>
    <row r="620" spans="1:1" s="3" customFormat="1" x14ac:dyDescent="0.2">
      <c r="A620" s="5"/>
    </row>
    <row r="621" spans="1:1" s="3" customFormat="1" x14ac:dyDescent="0.2">
      <c r="A621" s="5"/>
    </row>
    <row r="622" spans="1:1" s="3" customFormat="1" x14ac:dyDescent="0.2">
      <c r="A622" s="5"/>
    </row>
    <row r="623" spans="1:1" s="3" customFormat="1" x14ac:dyDescent="0.2">
      <c r="A623" s="5"/>
    </row>
    <row r="624" spans="1:1" s="3" customFormat="1" x14ac:dyDescent="0.2">
      <c r="A624" s="5"/>
    </row>
    <row r="625" spans="1:1" s="3" customFormat="1" x14ac:dyDescent="0.2">
      <c r="A625" s="5"/>
    </row>
    <row r="626" spans="1:1" s="3" customFormat="1" x14ac:dyDescent="0.2">
      <c r="A626" s="5"/>
    </row>
    <row r="627" spans="1:1" s="3" customFormat="1" x14ac:dyDescent="0.2">
      <c r="A627" s="5"/>
    </row>
    <row r="628" spans="1:1" s="3" customFormat="1" x14ac:dyDescent="0.2">
      <c r="A628" s="5"/>
    </row>
    <row r="629" spans="1:1" s="3" customFormat="1" x14ac:dyDescent="0.2">
      <c r="A629" s="5"/>
    </row>
    <row r="630" spans="1:1" s="3" customFormat="1" x14ac:dyDescent="0.2">
      <c r="A630" s="5"/>
    </row>
    <row r="631" spans="1:1" s="3" customFormat="1" x14ac:dyDescent="0.2">
      <c r="A631" s="5"/>
    </row>
    <row r="632" spans="1:1" s="3" customFormat="1" x14ac:dyDescent="0.2">
      <c r="A632" s="5"/>
    </row>
    <row r="633" spans="1:1" s="3" customFormat="1" x14ac:dyDescent="0.2">
      <c r="A633" s="5"/>
    </row>
    <row r="634" spans="1:1" s="3" customFormat="1" x14ac:dyDescent="0.2">
      <c r="A634" s="5"/>
    </row>
    <row r="635" spans="1:1" s="3" customFormat="1" x14ac:dyDescent="0.2">
      <c r="A635" s="5"/>
    </row>
    <row r="636" spans="1:1" s="3" customFormat="1" x14ac:dyDescent="0.2">
      <c r="A636" s="5"/>
    </row>
    <row r="637" spans="1:1" s="3" customFormat="1" x14ac:dyDescent="0.2">
      <c r="A637" s="5"/>
    </row>
    <row r="638" spans="1:1" s="3" customFormat="1" x14ac:dyDescent="0.2">
      <c r="A638" s="5"/>
    </row>
    <row r="639" spans="1:1" s="3" customFormat="1" x14ac:dyDescent="0.2">
      <c r="A639" s="5"/>
    </row>
    <row r="640" spans="1:1" s="3" customFormat="1" x14ac:dyDescent="0.2">
      <c r="A640" s="5"/>
    </row>
    <row r="641" spans="1:1" s="3" customFormat="1" x14ac:dyDescent="0.2">
      <c r="A641" s="5"/>
    </row>
    <row r="642" spans="1:1" s="3" customFormat="1" x14ac:dyDescent="0.2">
      <c r="A642" s="5"/>
    </row>
    <row r="643" spans="1:1" s="3" customFormat="1" x14ac:dyDescent="0.2">
      <c r="A643" s="5"/>
    </row>
    <row r="644" spans="1:1" s="3" customFormat="1" x14ac:dyDescent="0.2">
      <c r="A644" s="5"/>
    </row>
    <row r="645" spans="1:1" s="3" customFormat="1" x14ac:dyDescent="0.2">
      <c r="A645" s="5"/>
    </row>
  </sheetData>
  <mergeCells count="13">
    <mergeCell ref="U8:V8"/>
    <mergeCell ref="X8:Y8"/>
    <mergeCell ref="AA8:AB8"/>
    <mergeCell ref="B5:Z5"/>
    <mergeCell ref="C6:O6"/>
    <mergeCell ref="B7:C9"/>
    <mergeCell ref="D7:D9"/>
    <mergeCell ref="F7:AB7"/>
    <mergeCell ref="F8:G8"/>
    <mergeCell ref="I8:J8"/>
    <mergeCell ref="L8:M8"/>
    <mergeCell ref="O8:P8"/>
    <mergeCell ref="R8:S8"/>
  </mergeCells>
  <hyperlinks>
    <hyperlink ref="AB1" location="Índice!A1" tooltip="Ir a ÍNDICE" display="INDICE" xr:uid="{D446AFDD-7B43-43EC-9CC2-C80FFC7D67C1}"/>
  </hyperlink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A69C3-18F6-4B40-8AAE-C086AE9D400B}">
  <sheetPr>
    <pageSetUpPr fitToPage="1"/>
  </sheetPr>
  <dimension ref="A1:AG69"/>
  <sheetViews>
    <sheetView showGridLines="0" zoomScaleNormal="100" workbookViewId="0"/>
  </sheetViews>
  <sheetFormatPr baseColWidth="10" defaultColWidth="11.42578125" defaultRowHeight="12.75" customHeight="1" x14ac:dyDescent="0.2"/>
  <cols>
    <col min="1" max="1" width="1.7109375" style="5" customWidth="1"/>
    <col min="2" max="2" width="27.85546875" style="264" customWidth="1"/>
    <col min="3" max="3" width="1.7109375" style="292" customWidth="1" collapsed="1"/>
    <col min="4" max="4" width="18.7109375" style="292" customWidth="1" collapsed="1"/>
    <col min="5" max="5" width="1.7109375" style="292" customWidth="1"/>
    <col min="6" max="6" width="14.85546875" style="292" customWidth="1" collapsed="1"/>
    <col min="7" max="7" width="11.42578125" style="264" customWidth="1" collapsed="1"/>
    <col min="8" max="8" width="1.7109375" style="264" customWidth="1" collapsed="1"/>
    <col min="9" max="9" width="16.42578125" style="264" customWidth="1" collapsed="1"/>
    <col min="10" max="10" width="11.42578125" style="264" customWidth="1" collapsed="1"/>
    <col min="11" max="11" width="1.7109375" style="264" customWidth="1" collapsed="1"/>
    <col min="12" max="12" width="16.28515625" style="264" customWidth="1" collapsed="1"/>
    <col min="13" max="13" width="11.42578125" style="264" customWidth="1" collapsed="1"/>
    <col min="14" max="14" width="1.7109375" style="264" customWidth="1" collapsed="1"/>
    <col min="15" max="15" width="17.28515625" style="264" customWidth="1" collapsed="1"/>
    <col min="16" max="16" width="10.85546875" style="264" customWidth="1" collapsed="1"/>
    <col min="17" max="17" width="1.7109375" style="264" customWidth="1" collapsed="1"/>
    <col min="18" max="18" width="16.42578125" style="264" customWidth="1" collapsed="1"/>
    <col min="19" max="19" width="11.42578125" style="264"/>
    <col min="20" max="20" width="1.7109375" style="264" customWidth="1"/>
    <col min="21" max="21" width="18.5703125" style="264" customWidth="1"/>
    <col min="22" max="22" width="11.42578125" style="264"/>
    <col min="23" max="23" width="1.7109375" style="264" customWidth="1"/>
    <col min="24" max="24" width="18.140625" style="264" customWidth="1"/>
    <col min="25" max="25" width="11.42578125" style="264"/>
    <col min="26" max="26" width="1.7109375" style="264" customWidth="1"/>
    <col min="27" max="27" width="17.140625" style="264" customWidth="1"/>
    <col min="28" max="30" width="11.42578125" style="264"/>
    <col min="31" max="31" width="11.42578125" style="264" collapsed="1"/>
    <col min="32" max="33" width="11.42578125" style="264"/>
    <col min="34" max="16384" width="11.42578125" style="264" collapsed="1"/>
  </cols>
  <sheetData>
    <row r="1" spans="1:28" s="260" customFormat="1" ht="14.1" customHeight="1" x14ac:dyDescent="0.2">
      <c r="A1" s="66"/>
      <c r="B1" s="484" t="s">
        <v>144</v>
      </c>
      <c r="C1" s="258"/>
      <c r="D1" s="259"/>
      <c r="E1" s="259"/>
      <c r="F1" s="259"/>
      <c r="AB1" s="85" t="s">
        <v>118</v>
      </c>
    </row>
    <row r="2" spans="1:28" s="260" customFormat="1" ht="6.95" customHeight="1" x14ac:dyDescent="0.2">
      <c r="A2" s="66"/>
      <c r="B2" s="484"/>
      <c r="C2" s="258"/>
      <c r="D2" s="259"/>
      <c r="E2" s="259"/>
      <c r="F2" s="259"/>
    </row>
    <row r="3" spans="1:28" s="260" customFormat="1" ht="14.1" customHeight="1" x14ac:dyDescent="0.2">
      <c r="A3" s="66"/>
      <c r="B3" s="484" t="s">
        <v>142</v>
      </c>
      <c r="C3" s="261"/>
      <c r="D3" s="261"/>
      <c r="E3" s="261"/>
      <c r="F3" s="261"/>
      <c r="G3" s="261"/>
    </row>
    <row r="4" spans="1:28" s="260" customFormat="1" ht="6.95" customHeight="1" x14ac:dyDescent="0.2">
      <c r="A4" s="66"/>
      <c r="C4" s="258"/>
      <c r="D4" s="258"/>
      <c r="E4" s="258"/>
      <c r="F4" s="258"/>
    </row>
    <row r="5" spans="1:28" s="260" customFormat="1" ht="20.100000000000001" customHeight="1" x14ac:dyDescent="0.2">
      <c r="A5" s="66"/>
      <c r="B5" s="563" t="s">
        <v>69</v>
      </c>
      <c r="C5" s="563"/>
      <c r="D5" s="563"/>
      <c r="E5" s="563"/>
      <c r="F5" s="563"/>
      <c r="G5" s="563"/>
      <c r="H5" s="563"/>
      <c r="I5" s="563"/>
      <c r="J5" s="563"/>
      <c r="K5" s="563"/>
      <c r="L5" s="563"/>
      <c r="M5" s="563"/>
      <c r="N5" s="563"/>
      <c r="O5" s="563"/>
      <c r="P5" s="563"/>
      <c r="Q5" s="563"/>
      <c r="R5" s="563"/>
      <c r="AB5" s="75" t="s">
        <v>93</v>
      </c>
    </row>
    <row r="6" spans="1:28" ht="6" customHeight="1" x14ac:dyDescent="0.2">
      <c r="A6" s="66"/>
      <c r="B6" s="262"/>
      <c r="C6" s="564"/>
      <c r="D6" s="564"/>
      <c r="E6" s="564"/>
      <c r="F6" s="565"/>
      <c r="G6" s="565"/>
      <c r="H6" s="565"/>
      <c r="I6" s="565"/>
      <c r="J6" s="565"/>
      <c r="K6" s="565"/>
      <c r="L6" s="565"/>
      <c r="M6" s="566"/>
      <c r="N6" s="566"/>
      <c r="O6" s="566"/>
      <c r="P6" s="263"/>
    </row>
    <row r="7" spans="1:28" ht="15" customHeight="1" x14ac:dyDescent="0.2">
      <c r="A7" s="66"/>
      <c r="B7" s="535" t="s">
        <v>1</v>
      </c>
      <c r="C7" s="535"/>
      <c r="D7" s="567" t="s">
        <v>23</v>
      </c>
      <c r="E7" s="265"/>
      <c r="F7" s="562" t="s">
        <v>65</v>
      </c>
      <c r="G7" s="562"/>
      <c r="H7" s="562"/>
      <c r="I7" s="562"/>
      <c r="J7" s="562"/>
      <c r="K7" s="562"/>
      <c r="L7" s="562"/>
      <c r="M7" s="562"/>
      <c r="N7" s="562"/>
      <c r="O7" s="562"/>
      <c r="P7" s="562"/>
      <c r="Q7" s="562"/>
      <c r="R7" s="562"/>
      <c r="S7" s="562"/>
      <c r="T7" s="562"/>
      <c r="U7" s="562"/>
      <c r="V7" s="562"/>
      <c r="W7" s="562"/>
      <c r="X7" s="562"/>
      <c r="Y7" s="562"/>
      <c r="Z7" s="562"/>
      <c r="AA7" s="562"/>
      <c r="AB7" s="562"/>
    </row>
    <row r="8" spans="1:28" ht="27" customHeight="1" x14ac:dyDescent="0.2">
      <c r="A8" s="66"/>
      <c r="B8" s="536"/>
      <c r="C8" s="536"/>
      <c r="D8" s="568"/>
      <c r="E8" s="266"/>
      <c r="F8" s="562" t="s">
        <v>66</v>
      </c>
      <c r="G8" s="562"/>
      <c r="H8" s="265"/>
      <c r="I8" s="562" t="s">
        <v>67</v>
      </c>
      <c r="J8" s="562"/>
      <c r="K8" s="267"/>
      <c r="L8" s="562" t="s">
        <v>68</v>
      </c>
      <c r="M8" s="562"/>
      <c r="N8" s="267"/>
      <c r="O8" s="562" t="s">
        <v>80</v>
      </c>
      <c r="P8" s="562"/>
      <c r="Q8" s="268"/>
      <c r="R8" s="562" t="s">
        <v>81</v>
      </c>
      <c r="S8" s="562"/>
      <c r="T8" s="267"/>
      <c r="U8" s="562" t="s">
        <v>82</v>
      </c>
      <c r="V8" s="562"/>
      <c r="W8" s="268"/>
      <c r="X8" s="562" t="s">
        <v>83</v>
      </c>
      <c r="Y8" s="562"/>
      <c r="Z8" s="269"/>
      <c r="AA8" s="562" t="s">
        <v>19</v>
      </c>
      <c r="AB8" s="562"/>
    </row>
    <row r="9" spans="1:28" ht="15" customHeight="1" x14ac:dyDescent="0.2">
      <c r="A9" s="12"/>
      <c r="B9" s="537"/>
      <c r="C9" s="537"/>
      <c r="D9" s="569"/>
      <c r="E9" s="270"/>
      <c r="F9" s="65" t="s">
        <v>13</v>
      </c>
      <c r="G9" s="65" t="s">
        <v>14</v>
      </c>
      <c r="H9" s="270"/>
      <c r="I9" s="65" t="s">
        <v>13</v>
      </c>
      <c r="J9" s="65" t="s">
        <v>14</v>
      </c>
      <c r="K9" s="271"/>
      <c r="L9" s="65" t="s">
        <v>13</v>
      </c>
      <c r="M9" s="65" t="s">
        <v>14</v>
      </c>
      <c r="N9" s="271"/>
      <c r="O9" s="65" t="s">
        <v>13</v>
      </c>
      <c r="P9" s="65" t="s">
        <v>14</v>
      </c>
      <c r="Q9" s="272"/>
      <c r="R9" s="65" t="s">
        <v>13</v>
      </c>
      <c r="S9" s="65" t="s">
        <v>14</v>
      </c>
      <c r="T9" s="272"/>
      <c r="U9" s="65" t="s">
        <v>13</v>
      </c>
      <c r="V9" s="65" t="s">
        <v>14</v>
      </c>
      <c r="W9" s="272"/>
      <c r="X9" s="65" t="s">
        <v>13</v>
      </c>
      <c r="Y9" s="65" t="s">
        <v>14</v>
      </c>
      <c r="Z9" s="272"/>
      <c r="AA9" s="65" t="s">
        <v>13</v>
      </c>
      <c r="AB9" s="65" t="s">
        <v>14</v>
      </c>
    </row>
    <row r="10" spans="1:28" ht="6" customHeight="1" x14ac:dyDescent="0.2">
      <c r="A10" s="67"/>
      <c r="B10" s="273"/>
      <c r="C10" s="273"/>
      <c r="D10" s="274"/>
      <c r="E10" s="274"/>
      <c r="F10" s="274"/>
      <c r="G10" s="275"/>
      <c r="H10" s="275"/>
      <c r="I10" s="276"/>
      <c r="J10" s="277"/>
      <c r="K10" s="277"/>
      <c r="L10" s="277"/>
      <c r="M10" s="277"/>
      <c r="N10" s="277"/>
      <c r="O10" s="277"/>
      <c r="P10" s="277"/>
    </row>
    <row r="11" spans="1:28" s="280" customFormat="1" ht="15" x14ac:dyDescent="0.2">
      <c r="A11" s="17"/>
      <c r="B11" s="10" t="s">
        <v>5</v>
      </c>
      <c r="C11" s="278"/>
      <c r="D11" s="159">
        <v>35662946.186790802</v>
      </c>
      <c r="E11" s="279"/>
      <c r="F11" s="159">
        <v>4454185.2579531502</v>
      </c>
      <c r="G11" s="159">
        <v>12.605175966499999</v>
      </c>
      <c r="H11" s="279"/>
      <c r="I11" s="159">
        <v>4957669.0963505097</v>
      </c>
      <c r="J11" s="159">
        <v>14.046844846899999</v>
      </c>
      <c r="K11" s="50"/>
      <c r="L11" s="159">
        <v>6392550.09332594</v>
      </c>
      <c r="M11" s="159">
        <v>18.095648409999999</v>
      </c>
      <c r="N11" s="279"/>
      <c r="O11" s="159">
        <v>4573518.8816222399</v>
      </c>
      <c r="P11" s="159">
        <v>12.9524866171</v>
      </c>
      <c r="Q11" s="279"/>
      <c r="R11" s="159">
        <v>4608531.7027488304</v>
      </c>
      <c r="S11" s="159">
        <v>13.044837708699999</v>
      </c>
      <c r="T11" s="51"/>
      <c r="U11" s="159">
        <v>4035181.1273463401</v>
      </c>
      <c r="V11" s="159">
        <v>11.4177878326</v>
      </c>
      <c r="X11" s="159">
        <v>6199138.0417556996</v>
      </c>
      <c r="Y11" s="159">
        <v>17.527950382099998</v>
      </c>
      <c r="AA11" s="159">
        <v>1264598.3402414201</v>
      </c>
      <c r="AB11" s="159">
        <v>3.5848261055999999</v>
      </c>
    </row>
    <row r="12" spans="1:28" ht="6" customHeight="1" x14ac:dyDescent="0.2">
      <c r="A12" s="11"/>
      <c r="B12" s="13"/>
      <c r="C12" s="281"/>
      <c r="D12" s="95"/>
      <c r="E12" s="279"/>
      <c r="F12" s="95"/>
      <c r="G12" s="96"/>
      <c r="H12" s="279"/>
      <c r="I12" s="95"/>
      <c r="J12" s="96"/>
      <c r="K12" s="50"/>
      <c r="L12" s="95"/>
      <c r="M12" s="96"/>
      <c r="N12" s="279"/>
      <c r="O12" s="95"/>
      <c r="P12" s="96"/>
      <c r="Q12" s="279"/>
      <c r="R12" s="95"/>
      <c r="S12" s="96"/>
      <c r="T12" s="50"/>
      <c r="U12" s="95"/>
      <c r="V12" s="96"/>
      <c r="X12" s="95"/>
      <c r="Y12" s="96"/>
      <c r="AA12" s="95"/>
      <c r="AB12" s="96"/>
    </row>
    <row r="13" spans="1:28" ht="12.75" customHeight="1" x14ac:dyDescent="0.2">
      <c r="A13" s="11"/>
      <c r="B13" s="22" t="s">
        <v>6</v>
      </c>
      <c r="C13" s="281"/>
      <c r="D13" s="160">
        <v>7588550.2270174799</v>
      </c>
      <c r="E13" s="282"/>
      <c r="F13" s="160">
        <v>688135.12633208802</v>
      </c>
      <c r="G13" s="160">
        <v>9.2721601986</v>
      </c>
      <c r="H13" s="282"/>
      <c r="I13" s="160">
        <v>550032.40217517805</v>
      </c>
      <c r="J13" s="160">
        <v>7.4403286301999998</v>
      </c>
      <c r="K13" s="50"/>
      <c r="L13" s="160">
        <v>805315.08218875504</v>
      </c>
      <c r="M13" s="160">
        <v>10.8953335956</v>
      </c>
      <c r="N13" s="282"/>
      <c r="O13" s="160">
        <v>610306.73025565303</v>
      </c>
      <c r="P13" s="160">
        <v>8.2160981431</v>
      </c>
      <c r="Q13" s="282"/>
      <c r="R13" s="160">
        <v>825873.95228478895</v>
      </c>
      <c r="S13" s="160">
        <v>11.125739514599999</v>
      </c>
      <c r="T13" s="52"/>
      <c r="U13" s="160">
        <v>1056069.63115061</v>
      </c>
      <c r="V13" s="160">
        <v>14.2285219556</v>
      </c>
      <c r="X13" s="160">
        <v>3169049.85274023</v>
      </c>
      <c r="Y13" s="160">
        <v>42.6142506447</v>
      </c>
      <c r="AA13" s="160">
        <v>189130.89613577101</v>
      </c>
      <c r="AB13" s="160">
        <v>2.5594614010000001</v>
      </c>
    </row>
    <row r="14" spans="1:28" ht="12.75" customHeight="1" x14ac:dyDescent="0.2">
      <c r="A14" s="11"/>
      <c r="B14" s="22" t="s">
        <v>7</v>
      </c>
      <c r="C14" s="281"/>
      <c r="D14" s="160">
        <v>4880011.4888669197</v>
      </c>
      <c r="E14" s="282"/>
      <c r="F14" s="160">
        <v>557817.23697559605</v>
      </c>
      <c r="G14" s="160">
        <v>11.7928241332</v>
      </c>
      <c r="H14" s="282"/>
      <c r="I14" s="160">
        <v>623758.43504429504</v>
      </c>
      <c r="J14" s="160">
        <v>13.2379422122</v>
      </c>
      <c r="K14" s="50"/>
      <c r="L14" s="160">
        <v>676078.97242343705</v>
      </c>
      <c r="M14" s="160">
        <v>14.294150269399999</v>
      </c>
      <c r="N14" s="282"/>
      <c r="O14" s="160">
        <v>520443.28850551898</v>
      </c>
      <c r="P14" s="160">
        <v>11.0578178807</v>
      </c>
      <c r="Q14" s="282"/>
      <c r="R14" s="160">
        <v>644959.67362578097</v>
      </c>
      <c r="S14" s="160">
        <v>13.6567359677</v>
      </c>
      <c r="T14" s="52"/>
      <c r="U14" s="160">
        <v>751565.10108884005</v>
      </c>
      <c r="V14" s="160">
        <v>15.823464038499999</v>
      </c>
      <c r="X14" s="160">
        <v>1220713.7095238001</v>
      </c>
      <c r="Y14" s="160">
        <v>25.780861069499998</v>
      </c>
      <c r="AA14" s="160">
        <v>128592.838646704</v>
      </c>
      <c r="AB14" s="160">
        <v>2.7477298992999999</v>
      </c>
    </row>
    <row r="15" spans="1:28" ht="12.75" customHeight="1" x14ac:dyDescent="0.2">
      <c r="A15" s="12"/>
      <c r="B15" s="22" t="s">
        <v>8</v>
      </c>
      <c r="C15" s="281"/>
      <c r="D15" s="160">
        <v>5869884.8887314703</v>
      </c>
      <c r="E15" s="282"/>
      <c r="F15" s="160">
        <v>716677.83939808898</v>
      </c>
      <c r="G15" s="160">
        <v>12.5431283954</v>
      </c>
      <c r="H15" s="282"/>
      <c r="I15" s="160">
        <v>910587.92210648104</v>
      </c>
      <c r="J15" s="160">
        <v>16.0947403037</v>
      </c>
      <c r="K15" s="50"/>
      <c r="L15" s="160">
        <v>1055422.3069400999</v>
      </c>
      <c r="M15" s="160">
        <v>18.4763107715</v>
      </c>
      <c r="N15" s="282"/>
      <c r="O15" s="160">
        <v>806676.34577073797</v>
      </c>
      <c r="P15" s="160">
        <v>14.124494116599999</v>
      </c>
      <c r="Q15" s="282"/>
      <c r="R15" s="160">
        <v>968549.04203643894</v>
      </c>
      <c r="S15" s="160">
        <v>16.9795789627</v>
      </c>
      <c r="T15" s="52"/>
      <c r="U15" s="160">
        <v>736369.32726511103</v>
      </c>
      <c r="V15" s="160">
        <v>12.9088786282</v>
      </c>
      <c r="X15" s="160">
        <v>863268.609530168</v>
      </c>
      <c r="Y15" s="160">
        <v>15.157846925499999</v>
      </c>
      <c r="AA15" s="160">
        <v>147648.74031636899</v>
      </c>
      <c r="AB15" s="160">
        <v>2.6092721315</v>
      </c>
    </row>
    <row r="16" spans="1:28" ht="12.75" customHeight="1" x14ac:dyDescent="0.2">
      <c r="A16" s="12"/>
      <c r="B16" s="22" t="s">
        <v>79</v>
      </c>
      <c r="C16" s="281"/>
      <c r="D16" s="160">
        <v>17733822.4099744</v>
      </c>
      <c r="E16" s="282"/>
      <c r="F16" s="160">
        <v>2644591.2939108098</v>
      </c>
      <c r="G16" s="160">
        <v>15.045262639300001</v>
      </c>
      <c r="H16" s="282"/>
      <c r="I16" s="160">
        <v>3032713.68672769</v>
      </c>
      <c r="J16" s="160">
        <v>17.251264718600002</v>
      </c>
      <c r="K16" s="50"/>
      <c r="L16" s="160">
        <v>4021333.15833314</v>
      </c>
      <c r="M16" s="160">
        <v>22.865153830400001</v>
      </c>
      <c r="N16" s="282"/>
      <c r="O16" s="160">
        <v>2758211.7488988</v>
      </c>
      <c r="P16" s="160">
        <v>15.712093655</v>
      </c>
      <c r="Q16" s="282"/>
      <c r="R16" s="160">
        <v>2312750.2914535799</v>
      </c>
      <c r="S16" s="160">
        <v>13.1739567433</v>
      </c>
      <c r="T16" s="52"/>
      <c r="U16" s="160">
        <v>1616518.1615456999</v>
      </c>
      <c r="V16" s="160">
        <v>9.2130625650999995</v>
      </c>
      <c r="X16" s="160">
        <v>1115609.9144798899</v>
      </c>
      <c r="Y16" s="160">
        <v>6.3576468589999999</v>
      </c>
      <c r="AA16" s="160">
        <v>853779.55190055899</v>
      </c>
      <c r="AB16" s="160">
        <v>4.8600317786999998</v>
      </c>
    </row>
    <row r="17" spans="1:28" ht="6" customHeight="1" x14ac:dyDescent="0.2">
      <c r="A17" s="12"/>
      <c r="B17" s="14"/>
      <c r="C17" s="14"/>
      <c r="D17" s="4"/>
      <c r="E17" s="283"/>
      <c r="F17" s="4"/>
      <c r="G17" s="284"/>
      <c r="H17" s="284"/>
      <c r="I17" s="4"/>
      <c r="J17" s="284"/>
      <c r="K17" s="285"/>
      <c r="L17" s="4"/>
      <c r="M17" s="284"/>
      <c r="N17" s="286"/>
      <c r="O17" s="4"/>
      <c r="P17" s="284"/>
      <c r="Q17" s="284"/>
      <c r="R17" s="284"/>
      <c r="S17" s="284"/>
      <c r="T17" s="284"/>
      <c r="U17" s="284"/>
      <c r="V17" s="284"/>
      <c r="W17" s="262"/>
      <c r="X17" s="262"/>
      <c r="Y17" s="262"/>
      <c r="Z17" s="262"/>
      <c r="AA17" s="262"/>
      <c r="AB17" s="262"/>
    </row>
    <row r="18" spans="1:28" ht="6" customHeight="1" x14ac:dyDescent="0.2">
      <c r="A18" s="21"/>
      <c r="B18" s="287"/>
      <c r="C18" s="288"/>
      <c r="D18" s="288"/>
      <c r="E18" s="288"/>
      <c r="F18" s="288"/>
      <c r="G18" s="289"/>
      <c r="H18" s="289"/>
      <c r="I18" s="289"/>
      <c r="J18" s="290"/>
      <c r="K18" s="290"/>
      <c r="L18" s="289"/>
      <c r="M18" s="290"/>
      <c r="N18" s="290"/>
      <c r="O18" s="287"/>
      <c r="P18" s="291"/>
      <c r="S18" s="1"/>
    </row>
    <row r="19" spans="1:28" s="89" customFormat="1" ht="11.25" customHeight="1" x14ac:dyDescent="0.2">
      <c r="B19" s="24" t="s">
        <v>9</v>
      </c>
    </row>
    <row r="20" spans="1:28" ht="12.75" customHeight="1" x14ac:dyDescent="0.2">
      <c r="S20" s="1"/>
    </row>
    <row r="21" spans="1:28" ht="12.75" customHeight="1" x14ac:dyDescent="0.2">
      <c r="S21" s="1"/>
    </row>
    <row r="22" spans="1:28" ht="12.75" customHeight="1" x14ac:dyDescent="0.2">
      <c r="S22" s="1"/>
    </row>
    <row r="23" spans="1:28" ht="12.75" customHeight="1" x14ac:dyDescent="0.2">
      <c r="S23" s="1"/>
    </row>
    <row r="24" spans="1:28" ht="12.75" customHeight="1" x14ac:dyDescent="0.2">
      <c r="S24" s="1"/>
    </row>
    <row r="25" spans="1:28" ht="12.75" customHeight="1" x14ac:dyDescent="0.2">
      <c r="S25" s="1"/>
    </row>
    <row r="26" spans="1:28" ht="12.75" customHeight="1" x14ac:dyDescent="0.2">
      <c r="S26" s="1"/>
    </row>
    <row r="27" spans="1:28" ht="12.75" customHeight="1" x14ac:dyDescent="0.2">
      <c r="S27" s="1"/>
    </row>
    <row r="28" spans="1:28" ht="12.75" customHeight="1" x14ac:dyDescent="0.2">
      <c r="S28" s="1"/>
    </row>
    <row r="29" spans="1:28" ht="12.75" customHeight="1" x14ac:dyDescent="0.2">
      <c r="S29" s="1"/>
    </row>
    <row r="30" spans="1:28" ht="12.75" customHeight="1" x14ac:dyDescent="0.2">
      <c r="S30" s="1"/>
    </row>
    <row r="31" spans="1:28" ht="12.75" customHeight="1" x14ac:dyDescent="0.2">
      <c r="S31" s="1"/>
    </row>
    <row r="32" spans="1:28" ht="12.75" customHeight="1" x14ac:dyDescent="0.2">
      <c r="S32" s="1"/>
    </row>
    <row r="33" spans="19:19" ht="12.75" customHeight="1" x14ac:dyDescent="0.2">
      <c r="S33" s="1"/>
    </row>
    <row r="34" spans="19:19" ht="12.75" customHeight="1" x14ac:dyDescent="0.2">
      <c r="S34" s="1"/>
    </row>
    <row r="35" spans="19:19" ht="12.75" customHeight="1" x14ac:dyDescent="0.2">
      <c r="S35" s="1"/>
    </row>
    <row r="36" spans="19:19" ht="12.75" customHeight="1" x14ac:dyDescent="0.2">
      <c r="S36" s="1"/>
    </row>
    <row r="37" spans="19:19" ht="12.75" customHeight="1" x14ac:dyDescent="0.2">
      <c r="S37" s="1"/>
    </row>
    <row r="38" spans="19:19" ht="12.75" customHeight="1" x14ac:dyDescent="0.2">
      <c r="S38" s="1"/>
    </row>
    <row r="39" spans="19:19" ht="12.75" customHeight="1" x14ac:dyDescent="0.2">
      <c r="S39" s="1"/>
    </row>
    <row r="40" spans="19:19" ht="12.75" customHeight="1" x14ac:dyDescent="0.2">
      <c r="S40" s="1"/>
    </row>
    <row r="41" spans="19:19" ht="12.75" customHeight="1" x14ac:dyDescent="0.2">
      <c r="S41" s="1"/>
    </row>
    <row r="42" spans="19:19" ht="12.75" customHeight="1" x14ac:dyDescent="0.2">
      <c r="S42" s="1"/>
    </row>
    <row r="43" spans="19:19" ht="12.75" customHeight="1" x14ac:dyDescent="0.2">
      <c r="S43" s="1"/>
    </row>
    <row r="44" spans="19:19" ht="12.75" customHeight="1" x14ac:dyDescent="0.2">
      <c r="S44" s="1"/>
    </row>
    <row r="45" spans="19:19" ht="12.75" customHeight="1" x14ac:dyDescent="0.2">
      <c r="S45" s="1"/>
    </row>
    <row r="46" spans="19:19" ht="12.75" customHeight="1" x14ac:dyDescent="0.2">
      <c r="S46" s="1"/>
    </row>
    <row r="47" spans="19:19" ht="12.75" customHeight="1" x14ac:dyDescent="0.2">
      <c r="S47" s="1"/>
    </row>
    <row r="48" spans="19:19" ht="12.75" customHeight="1" x14ac:dyDescent="0.2">
      <c r="S48" s="1"/>
    </row>
    <row r="49" spans="19:19" ht="12.75" customHeight="1" x14ac:dyDescent="0.2">
      <c r="S49" s="1"/>
    </row>
    <row r="50" spans="19:19" ht="12.75" customHeight="1" x14ac:dyDescent="0.2">
      <c r="S50" s="1"/>
    </row>
    <row r="51" spans="19:19" ht="12.75" customHeight="1" x14ac:dyDescent="0.2">
      <c r="S51" s="1"/>
    </row>
    <row r="52" spans="19:19" ht="12.75" customHeight="1" x14ac:dyDescent="0.2">
      <c r="S52" s="1"/>
    </row>
    <row r="53" spans="19:19" ht="12.75" customHeight="1" x14ac:dyDescent="0.2">
      <c r="S53" s="1"/>
    </row>
    <row r="54" spans="19:19" ht="12.75" customHeight="1" x14ac:dyDescent="0.2">
      <c r="S54" s="1"/>
    </row>
    <row r="55" spans="19:19" ht="12.75" customHeight="1" x14ac:dyDescent="0.2">
      <c r="S55" s="1"/>
    </row>
    <row r="56" spans="19:19" ht="12.75" customHeight="1" x14ac:dyDescent="0.2">
      <c r="S56" s="1"/>
    </row>
    <row r="57" spans="19:19" ht="12.75" customHeight="1" x14ac:dyDescent="0.2">
      <c r="S57" s="1"/>
    </row>
    <row r="58" spans="19:19" ht="12.75" customHeight="1" x14ac:dyDescent="0.2">
      <c r="S58" s="1"/>
    </row>
    <row r="59" spans="19:19" ht="12.75" customHeight="1" x14ac:dyDescent="0.2">
      <c r="S59" s="1"/>
    </row>
    <row r="60" spans="19:19" ht="12.75" customHeight="1" x14ac:dyDescent="0.2">
      <c r="S60" s="1"/>
    </row>
    <row r="61" spans="19:19" ht="12.75" customHeight="1" x14ac:dyDescent="0.2">
      <c r="S61" s="1"/>
    </row>
    <row r="62" spans="19:19" ht="12.75" customHeight="1" x14ac:dyDescent="0.2">
      <c r="S62" s="1"/>
    </row>
    <row r="63" spans="19:19" ht="12.75" customHeight="1" x14ac:dyDescent="0.2">
      <c r="S63" s="1"/>
    </row>
    <row r="64" spans="19:19" ht="12.75" customHeight="1" x14ac:dyDescent="0.2">
      <c r="S64" s="1"/>
    </row>
    <row r="65" spans="19:19" ht="12.75" customHeight="1" x14ac:dyDescent="0.2">
      <c r="S65" s="1"/>
    </row>
    <row r="66" spans="19:19" ht="12.75" customHeight="1" x14ac:dyDescent="0.2">
      <c r="S66" s="1"/>
    </row>
    <row r="67" spans="19:19" ht="12.75" customHeight="1" x14ac:dyDescent="0.2">
      <c r="S67" s="1"/>
    </row>
    <row r="68" spans="19:19" ht="12.75" customHeight="1" x14ac:dyDescent="0.2">
      <c r="S68" s="1"/>
    </row>
    <row r="69" spans="19:19" ht="12.75" customHeight="1" x14ac:dyDescent="0.2">
      <c r="S69" s="1"/>
    </row>
  </sheetData>
  <mergeCells count="13">
    <mergeCell ref="U8:V8"/>
    <mergeCell ref="X8:Y8"/>
    <mergeCell ref="AA8:AB8"/>
    <mergeCell ref="B5:R5"/>
    <mergeCell ref="C6:O6"/>
    <mergeCell ref="B7:C9"/>
    <mergeCell ref="D7:D9"/>
    <mergeCell ref="F7:AB7"/>
    <mergeCell ref="F8:G8"/>
    <mergeCell ref="I8:J8"/>
    <mergeCell ref="L8:M8"/>
    <mergeCell ref="O8:P8"/>
    <mergeCell ref="R8:S8"/>
  </mergeCells>
  <hyperlinks>
    <hyperlink ref="AB1" location="Índice!A1" tooltip="Ir a ÍNDICE" display="INDICE" xr:uid="{131D119D-9E7E-4850-A3CD-8854087EAABD}"/>
  </hyperlinks>
  <pageMargins left="0.70866141732283472" right="0.70866141732283472" top="0.59055118110236227" bottom="0.59055118110236227" header="0.23622047244094491" footer="0.23622047244094491"/>
  <pageSetup scale="43" orientation="landscape" r:id="rId1"/>
  <colBreaks count="1" manualBreakCount="1">
    <brk id="9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89334-78E5-497B-B49A-E956A97E598C}">
  <sheetPr>
    <pageSetUpPr fitToPage="1"/>
  </sheetPr>
  <dimension ref="A1:AG96"/>
  <sheetViews>
    <sheetView showGridLines="0" zoomScaleNormal="100" zoomScaleSheetLayoutView="40" workbookViewId="0"/>
  </sheetViews>
  <sheetFormatPr baseColWidth="10" defaultColWidth="11.42578125" defaultRowHeight="12.75" customHeight="1" x14ac:dyDescent="0.2"/>
  <cols>
    <col min="1" max="1" width="1.7109375" style="5" customWidth="1"/>
    <col min="2" max="2" width="31" style="299" customWidth="1"/>
    <col min="3" max="3" width="1.7109375" style="327" customWidth="1" collapsed="1"/>
    <col min="4" max="4" width="18.7109375" style="327" customWidth="1" collapsed="1"/>
    <col min="5" max="5" width="1.7109375" style="327" customWidth="1"/>
    <col min="6" max="6" width="14.7109375" style="327" customWidth="1" collapsed="1"/>
    <col min="7" max="7" width="12.7109375" style="299" customWidth="1" collapsed="1"/>
    <col min="8" max="8" width="1.7109375" style="299" customWidth="1" collapsed="1"/>
    <col min="9" max="9" width="16.7109375" style="299" customWidth="1" collapsed="1"/>
    <col min="10" max="10" width="12.7109375" style="299" customWidth="1" collapsed="1"/>
    <col min="11" max="11" width="1.7109375" style="299" customWidth="1" collapsed="1"/>
    <col min="12" max="12" width="16.28515625" style="299" customWidth="1" collapsed="1"/>
    <col min="13" max="13" width="12.7109375" style="299" customWidth="1" collapsed="1"/>
    <col min="14" max="14" width="1.7109375" style="299" customWidth="1" collapsed="1"/>
    <col min="15" max="15" width="17.140625" style="299" customWidth="1" collapsed="1"/>
    <col min="16" max="16" width="12.7109375" style="299" customWidth="1" collapsed="1"/>
    <col min="17" max="17" width="1.7109375" style="299" customWidth="1" collapsed="1"/>
    <col min="18" max="18" width="18" style="299" customWidth="1" collapsed="1"/>
    <col min="19" max="19" width="11.42578125" style="299"/>
    <col min="20" max="20" width="1.7109375" style="299" customWidth="1"/>
    <col min="21" max="21" width="16.140625" style="299" customWidth="1"/>
    <col min="22" max="33" width="11.42578125" style="299"/>
    <col min="34" max="16384" width="11.42578125" style="299" collapsed="1"/>
  </cols>
  <sheetData>
    <row r="1" spans="1:22" s="295" customFormat="1" ht="14.1" customHeight="1" x14ac:dyDescent="0.2">
      <c r="A1" s="66"/>
      <c r="B1" s="484" t="s">
        <v>144</v>
      </c>
      <c r="C1" s="293"/>
      <c r="D1" s="294"/>
      <c r="E1" s="294"/>
      <c r="F1" s="294"/>
      <c r="V1" s="85" t="s">
        <v>118</v>
      </c>
    </row>
    <row r="2" spans="1:22" s="295" customFormat="1" ht="6.95" customHeight="1" x14ac:dyDescent="0.2">
      <c r="A2" s="66"/>
      <c r="B2" s="484"/>
      <c r="C2" s="293"/>
      <c r="D2" s="294"/>
      <c r="E2" s="294"/>
      <c r="F2" s="294"/>
    </row>
    <row r="3" spans="1:22" s="295" customFormat="1" ht="14.1" customHeight="1" x14ac:dyDescent="0.2">
      <c r="A3" s="66"/>
      <c r="B3" s="484" t="s">
        <v>142</v>
      </c>
      <c r="C3" s="296"/>
      <c r="D3" s="296"/>
      <c r="E3" s="296"/>
      <c r="F3" s="296"/>
      <c r="G3" s="296"/>
    </row>
    <row r="4" spans="1:22" s="295" customFormat="1" ht="6.95" customHeight="1" x14ac:dyDescent="0.2">
      <c r="A4" s="66"/>
      <c r="C4" s="293"/>
      <c r="D4" s="293"/>
      <c r="E4" s="293"/>
      <c r="F4" s="293"/>
    </row>
    <row r="5" spans="1:22" s="295" customFormat="1" ht="20.100000000000001" customHeight="1" x14ac:dyDescent="0.2">
      <c r="A5" s="66"/>
      <c r="B5" s="571" t="s">
        <v>70</v>
      </c>
      <c r="C5" s="571"/>
      <c r="D5" s="571"/>
      <c r="E5" s="571"/>
      <c r="F5" s="571"/>
      <c r="G5" s="571"/>
      <c r="H5" s="571"/>
      <c r="I5" s="571"/>
      <c r="J5" s="571"/>
      <c r="K5" s="571"/>
      <c r="L5" s="571"/>
      <c r="M5" s="571"/>
      <c r="N5" s="571"/>
      <c r="O5" s="571"/>
      <c r="P5" s="571"/>
      <c r="Q5" s="571"/>
      <c r="R5" s="571"/>
      <c r="V5" s="75" t="s">
        <v>94</v>
      </c>
    </row>
    <row r="6" spans="1:22" ht="6" customHeight="1" x14ac:dyDescent="0.2">
      <c r="A6" s="66"/>
      <c r="B6" s="297"/>
      <c r="C6" s="572"/>
      <c r="D6" s="572"/>
      <c r="E6" s="572"/>
      <c r="F6" s="573"/>
      <c r="G6" s="573"/>
      <c r="H6" s="573"/>
      <c r="I6" s="573"/>
      <c r="J6" s="573"/>
      <c r="K6" s="573"/>
      <c r="L6" s="573"/>
      <c r="M6" s="574"/>
      <c r="N6" s="574"/>
      <c r="O6" s="574"/>
      <c r="P6" s="298"/>
    </row>
    <row r="7" spans="1:22" ht="15" customHeight="1" x14ac:dyDescent="0.2">
      <c r="A7" s="66"/>
      <c r="B7" s="535" t="s">
        <v>22</v>
      </c>
      <c r="C7" s="535"/>
      <c r="D7" s="575" t="s">
        <v>23</v>
      </c>
      <c r="E7" s="300"/>
      <c r="F7" s="570" t="s">
        <v>71</v>
      </c>
      <c r="G7" s="570"/>
      <c r="H7" s="570"/>
      <c r="I7" s="570"/>
      <c r="J7" s="570"/>
      <c r="K7" s="570"/>
      <c r="L7" s="570"/>
      <c r="M7" s="570"/>
      <c r="N7" s="570"/>
      <c r="O7" s="570"/>
      <c r="P7" s="570"/>
      <c r="Q7" s="570"/>
      <c r="R7" s="570"/>
      <c r="S7" s="570"/>
      <c r="T7" s="570"/>
      <c r="U7" s="570"/>
      <c r="V7" s="570"/>
    </row>
    <row r="8" spans="1:22" ht="27" customHeight="1" x14ac:dyDescent="0.2">
      <c r="A8" s="66"/>
      <c r="B8" s="536"/>
      <c r="C8" s="536"/>
      <c r="D8" s="576"/>
      <c r="E8" s="301"/>
      <c r="F8" s="570" t="s">
        <v>84</v>
      </c>
      <c r="G8" s="570"/>
      <c r="H8" s="300"/>
      <c r="I8" s="570" t="s">
        <v>72</v>
      </c>
      <c r="J8" s="570"/>
      <c r="K8" s="302"/>
      <c r="L8" s="570" t="s">
        <v>85</v>
      </c>
      <c r="M8" s="570"/>
      <c r="N8" s="302"/>
      <c r="O8" s="570" t="s">
        <v>86</v>
      </c>
      <c r="P8" s="570"/>
      <c r="Q8" s="303"/>
      <c r="R8" s="570" t="s">
        <v>73</v>
      </c>
      <c r="S8" s="570"/>
      <c r="T8" s="304"/>
      <c r="U8" s="570" t="s">
        <v>19</v>
      </c>
      <c r="V8" s="570"/>
    </row>
    <row r="9" spans="1:22" ht="15" customHeight="1" x14ac:dyDescent="0.2">
      <c r="A9" s="12"/>
      <c r="B9" s="537"/>
      <c r="C9" s="537"/>
      <c r="D9" s="577"/>
      <c r="E9" s="305"/>
      <c r="F9" s="65" t="s">
        <v>13</v>
      </c>
      <c r="G9" s="65" t="s">
        <v>14</v>
      </c>
      <c r="H9" s="305"/>
      <c r="I9" s="65" t="s">
        <v>13</v>
      </c>
      <c r="J9" s="65" t="s">
        <v>14</v>
      </c>
      <c r="K9" s="306"/>
      <c r="L9" s="65" t="s">
        <v>13</v>
      </c>
      <c r="M9" s="65" t="s">
        <v>14</v>
      </c>
      <c r="N9" s="306"/>
      <c r="O9" s="65" t="s">
        <v>13</v>
      </c>
      <c r="P9" s="65" t="s">
        <v>14</v>
      </c>
      <c r="Q9" s="307"/>
      <c r="R9" s="65" t="s">
        <v>13</v>
      </c>
      <c r="S9" s="65" t="s">
        <v>14</v>
      </c>
      <c r="T9" s="307"/>
      <c r="U9" s="65" t="s">
        <v>13</v>
      </c>
      <c r="V9" s="65" t="s">
        <v>14</v>
      </c>
    </row>
    <row r="10" spans="1:22" ht="6" customHeight="1" x14ac:dyDescent="0.2">
      <c r="A10" s="67"/>
      <c r="B10" s="308"/>
      <c r="C10" s="308"/>
      <c r="D10" s="309"/>
      <c r="E10" s="309"/>
      <c r="F10" s="309"/>
      <c r="G10" s="310"/>
      <c r="H10" s="310"/>
      <c r="I10" s="311"/>
      <c r="J10" s="312"/>
      <c r="K10" s="312"/>
      <c r="L10" s="312"/>
      <c r="M10" s="312"/>
      <c r="N10" s="312"/>
      <c r="O10" s="312"/>
      <c r="P10" s="312"/>
    </row>
    <row r="11" spans="1:22" s="315" customFormat="1" ht="15" x14ac:dyDescent="0.2">
      <c r="A11" s="17"/>
      <c r="B11" s="10" t="s">
        <v>5</v>
      </c>
      <c r="C11" s="313"/>
      <c r="D11" s="159">
        <v>35662946.186790802</v>
      </c>
      <c r="E11" s="314"/>
      <c r="F11" s="159">
        <v>6649930.85719564</v>
      </c>
      <c r="G11" s="159">
        <v>18.795764806699999</v>
      </c>
      <c r="H11" s="314"/>
      <c r="I11" s="159">
        <v>9658422.5148300603</v>
      </c>
      <c r="J11" s="159">
        <v>27.315457037400002</v>
      </c>
      <c r="K11" s="50"/>
      <c r="L11" s="159">
        <v>7908457.1360499496</v>
      </c>
      <c r="M11" s="159">
        <v>22.358465649399999</v>
      </c>
      <c r="N11" s="314"/>
      <c r="O11" s="159">
        <v>5437859.8608332602</v>
      </c>
      <c r="P11" s="159">
        <v>15.398004117099999</v>
      </c>
      <c r="Q11" s="314"/>
      <c r="R11" s="159">
        <v>5295388.97947363</v>
      </c>
      <c r="S11" s="159">
        <v>14.992164770600001</v>
      </c>
      <c r="T11" s="51"/>
      <c r="U11" s="159">
        <v>1275177.2912556501</v>
      </c>
      <c r="V11" s="159">
        <v>3.6137856713000001</v>
      </c>
    </row>
    <row r="12" spans="1:22" s="315" customFormat="1" ht="6" customHeight="1" x14ac:dyDescent="0.2">
      <c r="A12" s="11"/>
      <c r="B12" s="41"/>
      <c r="C12" s="313"/>
      <c r="D12" s="95"/>
      <c r="E12" s="314"/>
      <c r="F12" s="95"/>
      <c r="G12" s="96"/>
      <c r="H12" s="314"/>
      <c r="I12" s="95"/>
      <c r="J12" s="96"/>
      <c r="K12" s="50"/>
      <c r="L12" s="95"/>
      <c r="M12" s="96"/>
      <c r="N12" s="314"/>
      <c r="O12" s="95"/>
      <c r="P12" s="96"/>
      <c r="Q12" s="314"/>
      <c r="R12" s="95"/>
      <c r="S12" s="96"/>
      <c r="T12" s="50"/>
      <c r="U12" s="95"/>
      <c r="V12" s="96"/>
    </row>
    <row r="13" spans="1:22" ht="12.75" customHeight="1" x14ac:dyDescent="0.2">
      <c r="A13" s="11"/>
      <c r="B13" s="13" t="s">
        <v>26</v>
      </c>
      <c r="C13" s="316"/>
      <c r="D13" s="160">
        <v>401693.89670143899</v>
      </c>
      <c r="E13" s="317"/>
      <c r="F13" s="160">
        <v>19308.131638507701</v>
      </c>
      <c r="G13" s="160">
        <v>4.9862058734000003</v>
      </c>
      <c r="H13" s="317"/>
      <c r="I13" s="160">
        <v>98442.878252841401</v>
      </c>
      <c r="J13" s="160">
        <v>24.976464227899999</v>
      </c>
      <c r="K13" s="50"/>
      <c r="L13" s="160">
        <v>117590.086763901</v>
      </c>
      <c r="M13" s="160">
        <v>30.286114827999999</v>
      </c>
      <c r="N13" s="317"/>
      <c r="O13" s="160">
        <v>80983.809580665198</v>
      </c>
      <c r="P13" s="160">
        <v>20.992158658099999</v>
      </c>
      <c r="Q13" s="317"/>
      <c r="R13" s="160">
        <v>84018.136243217901</v>
      </c>
      <c r="S13" s="160">
        <v>21.711019353899999</v>
      </c>
      <c r="T13" s="52"/>
      <c r="U13" s="160">
        <v>34125.457525993501</v>
      </c>
      <c r="V13" s="160">
        <v>8.8378364708999992</v>
      </c>
    </row>
    <row r="14" spans="1:22" ht="12.75" customHeight="1" x14ac:dyDescent="0.2">
      <c r="A14" s="11"/>
      <c r="B14" s="13" t="s">
        <v>27</v>
      </c>
      <c r="C14" s="316"/>
      <c r="D14" s="160">
        <v>1194812.8712261601</v>
      </c>
      <c r="E14" s="317"/>
      <c r="F14" s="160">
        <v>175705.29959672599</v>
      </c>
      <c r="G14" s="160">
        <v>15.249081895</v>
      </c>
      <c r="H14" s="317"/>
      <c r="I14" s="160">
        <v>334756.32932299998</v>
      </c>
      <c r="J14" s="160">
        <v>28.973898676400001</v>
      </c>
      <c r="K14" s="50"/>
      <c r="L14" s="160">
        <v>370457.92660503701</v>
      </c>
      <c r="M14" s="160">
        <v>31.994433835799999</v>
      </c>
      <c r="N14" s="317"/>
      <c r="O14" s="160">
        <v>225087.23429701099</v>
      </c>
      <c r="P14" s="160">
        <v>19.5558190482</v>
      </c>
      <c r="Q14" s="317"/>
      <c r="R14" s="160">
        <v>148623.737003563</v>
      </c>
      <c r="S14" s="160">
        <v>12.9408195219</v>
      </c>
      <c r="T14" s="52"/>
      <c r="U14" s="160">
        <v>26473.654295182601</v>
      </c>
      <c r="V14" s="160">
        <v>2.3115198287999998</v>
      </c>
    </row>
    <row r="15" spans="1:22" ht="12.75" customHeight="1" x14ac:dyDescent="0.2">
      <c r="A15" s="12"/>
      <c r="B15" s="13" t="s">
        <v>28</v>
      </c>
      <c r="C15" s="316"/>
      <c r="D15" s="160">
        <v>256444.37902674099</v>
      </c>
      <c r="E15" s="317"/>
      <c r="F15" s="160">
        <v>85205.7293256415</v>
      </c>
      <c r="G15" s="160">
        <v>33.972210860399997</v>
      </c>
      <c r="H15" s="317"/>
      <c r="I15" s="160">
        <v>70470.636086545099</v>
      </c>
      <c r="J15" s="160">
        <v>29.053680346299998</v>
      </c>
      <c r="K15" s="50"/>
      <c r="L15" s="160">
        <v>56105.232474833101</v>
      </c>
      <c r="M15" s="160">
        <v>22.929089084200001</v>
      </c>
      <c r="N15" s="317"/>
      <c r="O15" s="160">
        <v>26072.414149473301</v>
      </c>
      <c r="P15" s="160">
        <v>10.908637344100001</v>
      </c>
      <c r="Q15" s="317"/>
      <c r="R15" s="160">
        <v>18300.2466939265</v>
      </c>
      <c r="S15" s="160">
        <v>7.6631721898</v>
      </c>
      <c r="T15" s="52"/>
      <c r="U15" s="160">
        <v>19427.8569144217</v>
      </c>
      <c r="V15" s="160">
        <v>7.9732027734999997</v>
      </c>
    </row>
    <row r="16" spans="1:22" ht="12.75" customHeight="1" x14ac:dyDescent="0.2">
      <c r="A16" s="12"/>
      <c r="B16" s="13" t="s">
        <v>29</v>
      </c>
      <c r="C16" s="316"/>
      <c r="D16" s="160">
        <v>273665.04189377202</v>
      </c>
      <c r="E16" s="317"/>
      <c r="F16" s="160">
        <v>84973.462576668899</v>
      </c>
      <c r="G16" s="160">
        <v>32.121936728999998</v>
      </c>
      <c r="H16" s="317"/>
      <c r="I16" s="160">
        <v>75116.806851840302</v>
      </c>
      <c r="J16" s="160">
        <v>28.5465347584</v>
      </c>
      <c r="K16" s="50"/>
      <c r="L16" s="160">
        <v>47514.535991611898</v>
      </c>
      <c r="M16" s="160">
        <v>18.149008332800001</v>
      </c>
      <c r="N16" s="317"/>
      <c r="O16" s="160">
        <v>28117.053827505701</v>
      </c>
      <c r="P16" s="160">
        <v>10.7929029204</v>
      </c>
      <c r="Q16" s="317"/>
      <c r="R16" s="160">
        <v>26425.649199927899</v>
      </c>
      <c r="S16" s="160">
        <v>10.2450377701</v>
      </c>
      <c r="T16" s="52"/>
      <c r="U16" s="160">
        <v>26427.0858336786</v>
      </c>
      <c r="V16" s="160">
        <v>10.209379547699999</v>
      </c>
    </row>
    <row r="17" spans="1:22" ht="12.75" customHeight="1" x14ac:dyDescent="0.2">
      <c r="A17" s="12"/>
      <c r="B17" s="13" t="s">
        <v>30</v>
      </c>
      <c r="C17" s="316"/>
      <c r="D17" s="128">
        <v>939555.89204201801</v>
      </c>
      <c r="E17" s="317"/>
      <c r="F17" s="128">
        <v>68061.3171052822</v>
      </c>
      <c r="G17" s="128">
        <v>7.4549861363999996</v>
      </c>
      <c r="H17" s="317"/>
      <c r="I17" s="128">
        <v>203166.65806716701</v>
      </c>
      <c r="J17" s="128">
        <v>22.209934860899999</v>
      </c>
      <c r="K17" s="50"/>
      <c r="L17" s="128">
        <v>251652.34247929699</v>
      </c>
      <c r="M17" s="128">
        <v>27.697631257600001</v>
      </c>
      <c r="N17" s="317"/>
      <c r="O17" s="128">
        <v>217451.637004922</v>
      </c>
      <c r="P17" s="128">
        <v>23.862964211600001</v>
      </c>
      <c r="Q17" s="317"/>
      <c r="R17" s="128">
        <v>171178.906023419</v>
      </c>
      <c r="S17" s="128">
        <v>18.799777325099999</v>
      </c>
      <c r="T17" s="53"/>
      <c r="U17" s="128">
        <v>99786.45003439</v>
      </c>
      <c r="V17" s="128">
        <v>10.974700604800001</v>
      </c>
    </row>
    <row r="18" spans="1:22" ht="12.75" customHeight="1" x14ac:dyDescent="0.2">
      <c r="A18" s="21"/>
      <c r="B18" s="13" t="s">
        <v>31</v>
      </c>
      <c r="C18" s="316"/>
      <c r="D18" s="128">
        <v>243697.01868438401</v>
      </c>
      <c r="E18" s="317"/>
      <c r="F18" s="128">
        <v>31673.330959855699</v>
      </c>
      <c r="G18" s="128">
        <v>13.748144566400001</v>
      </c>
      <c r="H18" s="317"/>
      <c r="I18" s="128">
        <v>54241.535336515597</v>
      </c>
      <c r="J18" s="128">
        <v>23.348599268000001</v>
      </c>
      <c r="K18" s="50"/>
      <c r="L18" s="128">
        <v>71234.888486930402</v>
      </c>
      <c r="M18" s="128">
        <v>30.221679810400001</v>
      </c>
      <c r="N18" s="317"/>
      <c r="O18" s="128">
        <v>52635.812963564</v>
      </c>
      <c r="P18" s="128">
        <v>22.526598675199999</v>
      </c>
      <c r="Q18" s="317"/>
      <c r="R18" s="128">
        <v>41482.9625750341</v>
      </c>
      <c r="S18" s="128">
        <v>17.973472068</v>
      </c>
      <c r="T18" s="53"/>
      <c r="U18" s="128">
        <v>9491.3110020494005</v>
      </c>
      <c r="V18" s="128">
        <v>4.1208977811</v>
      </c>
    </row>
    <row r="19" spans="1:22" ht="12.75" customHeight="1" x14ac:dyDescent="0.2">
      <c r="A19" s="21"/>
      <c r="B19" s="13" t="s">
        <v>32</v>
      </c>
      <c r="C19" s="316"/>
      <c r="D19" s="160">
        <v>1515154.20276339</v>
      </c>
      <c r="E19" s="317"/>
      <c r="F19" s="160">
        <v>486406.60256114299</v>
      </c>
      <c r="G19" s="160">
        <v>33.732552535300002</v>
      </c>
      <c r="H19" s="317"/>
      <c r="I19" s="160">
        <v>447592.77554538799</v>
      </c>
      <c r="J19" s="160">
        <v>30.635137755599999</v>
      </c>
      <c r="K19" s="50"/>
      <c r="L19" s="160">
        <v>292732.92820210301</v>
      </c>
      <c r="M19" s="160">
        <v>20.282562747499998</v>
      </c>
      <c r="N19" s="317"/>
      <c r="O19" s="160">
        <v>179210.40638056101</v>
      </c>
      <c r="P19" s="160">
        <v>12.466380560899999</v>
      </c>
      <c r="Q19" s="317"/>
      <c r="R19" s="160">
        <v>157972.25911129601</v>
      </c>
      <c r="S19" s="160">
        <v>11.104675017</v>
      </c>
      <c r="T19" s="52"/>
      <c r="U19" s="160">
        <v>20580.580435764001</v>
      </c>
      <c r="V19" s="160">
        <v>1.4427560921</v>
      </c>
    </row>
    <row r="20" spans="1:22" ht="12.75" customHeight="1" x14ac:dyDescent="0.2">
      <c r="B20" s="13" t="s">
        <v>33</v>
      </c>
      <c r="C20" s="316"/>
      <c r="D20" s="160">
        <v>1177493.9072535899</v>
      </c>
      <c r="E20" s="317"/>
      <c r="F20" s="160">
        <v>203296.494513677</v>
      </c>
      <c r="G20" s="160">
        <v>17.653670267799999</v>
      </c>
      <c r="H20" s="317"/>
      <c r="I20" s="160">
        <v>289956.796169426</v>
      </c>
      <c r="J20" s="160">
        <v>25.244338019000001</v>
      </c>
      <c r="K20" s="50"/>
      <c r="L20" s="160">
        <v>314951.95115744002</v>
      </c>
      <c r="M20" s="160">
        <v>27.453753217300001</v>
      </c>
      <c r="N20" s="317"/>
      <c r="O20" s="160">
        <v>192906.51637725701</v>
      </c>
      <c r="P20" s="160">
        <v>16.8934044917</v>
      </c>
      <c r="Q20" s="317"/>
      <c r="R20" s="160">
        <v>174001.82147543001</v>
      </c>
      <c r="S20" s="160">
        <v>15.2213725123</v>
      </c>
      <c r="T20" s="52"/>
      <c r="U20" s="160">
        <v>101116.776246144</v>
      </c>
      <c r="V20" s="160">
        <v>8.8617595326000007</v>
      </c>
    </row>
    <row r="21" spans="1:22" ht="12.75" customHeight="1" x14ac:dyDescent="0.2">
      <c r="B21" s="13" t="s">
        <v>34</v>
      </c>
      <c r="C21" s="316"/>
      <c r="D21" s="160">
        <v>2802756.3492487799</v>
      </c>
      <c r="E21" s="317"/>
      <c r="F21" s="160">
        <v>636474.36764142802</v>
      </c>
      <c r="G21" s="160">
        <v>23.2861143925</v>
      </c>
      <c r="H21" s="317"/>
      <c r="I21" s="160">
        <v>972527.39811164502</v>
      </c>
      <c r="J21" s="160">
        <v>35.596971303499998</v>
      </c>
      <c r="K21" s="50"/>
      <c r="L21" s="160">
        <v>492145.17560267699</v>
      </c>
      <c r="M21" s="160">
        <v>18.0298634169</v>
      </c>
      <c r="N21" s="317"/>
      <c r="O21" s="160">
        <v>350305.44350489398</v>
      </c>
      <c r="P21" s="160">
        <v>12.837954589200001</v>
      </c>
      <c r="Q21" s="317"/>
      <c r="R21" s="160">
        <v>368313.404402485</v>
      </c>
      <c r="S21" s="160">
        <v>13.5150497335</v>
      </c>
      <c r="T21" s="52"/>
      <c r="U21" s="160">
        <v>204057.96600884301</v>
      </c>
      <c r="V21" s="160">
        <v>7.4714799230000004</v>
      </c>
    </row>
    <row r="22" spans="1:22" ht="12.75" customHeight="1" x14ac:dyDescent="0.2">
      <c r="B22" s="13" t="s">
        <v>35</v>
      </c>
      <c r="C22" s="316"/>
      <c r="D22" s="160">
        <v>519941.24414162798</v>
      </c>
      <c r="E22" s="317"/>
      <c r="F22" s="160">
        <v>52813.665581515597</v>
      </c>
      <c r="G22" s="160">
        <v>10.558137722</v>
      </c>
      <c r="H22" s="317"/>
      <c r="I22" s="160">
        <v>120438.104461122</v>
      </c>
      <c r="J22" s="160">
        <v>23.845800576799999</v>
      </c>
      <c r="K22" s="50"/>
      <c r="L22" s="160">
        <v>137531.12263682601</v>
      </c>
      <c r="M22" s="160">
        <v>27.313938167100002</v>
      </c>
      <c r="N22" s="317"/>
      <c r="O22" s="160">
        <v>96235.418991740502</v>
      </c>
      <c r="P22" s="160">
        <v>19.146014810800001</v>
      </c>
      <c r="Q22" s="317"/>
      <c r="R22" s="160">
        <v>109288.743202938</v>
      </c>
      <c r="S22" s="160">
        <v>21.735835581100002</v>
      </c>
      <c r="T22" s="52"/>
      <c r="U22" s="160">
        <v>45439.7669033985</v>
      </c>
      <c r="V22" s="160">
        <v>9.0525760134999995</v>
      </c>
    </row>
    <row r="23" spans="1:22" ht="12.75" customHeight="1" x14ac:dyDescent="0.2">
      <c r="B23" s="13" t="s">
        <v>36</v>
      </c>
      <c r="C23" s="316"/>
      <c r="D23" s="160">
        <v>1650893.0803463401</v>
      </c>
      <c r="E23" s="317"/>
      <c r="F23" s="160">
        <v>191242.83821522401</v>
      </c>
      <c r="G23" s="160">
        <v>12.0026205951</v>
      </c>
      <c r="H23" s="317"/>
      <c r="I23" s="160">
        <v>421728.43633188697</v>
      </c>
      <c r="J23" s="160">
        <v>26.329362554599999</v>
      </c>
      <c r="K23" s="50"/>
      <c r="L23" s="160">
        <v>422377.69043799897</v>
      </c>
      <c r="M23" s="160">
        <v>26.498289575699999</v>
      </c>
      <c r="N23" s="317"/>
      <c r="O23" s="160">
        <v>310373.03557276301</v>
      </c>
      <c r="P23" s="160">
        <v>19.407460563299999</v>
      </c>
      <c r="Q23" s="317"/>
      <c r="R23" s="160">
        <v>373291.37368259003</v>
      </c>
      <c r="S23" s="160">
        <v>23.377214358300002</v>
      </c>
      <c r="T23" s="52"/>
      <c r="U23" s="160">
        <v>52333.707215473703</v>
      </c>
      <c r="V23" s="160">
        <v>3.3025788599000001</v>
      </c>
    </row>
    <row r="24" spans="1:22" ht="12.75" customHeight="1" x14ac:dyDescent="0.2">
      <c r="B24" s="13" t="s">
        <v>37</v>
      </c>
      <c r="C24" s="316"/>
      <c r="D24" s="160">
        <v>985997.54227468802</v>
      </c>
      <c r="E24" s="317"/>
      <c r="F24" s="160">
        <v>250821.25692509301</v>
      </c>
      <c r="G24" s="160">
        <v>26.3044155742</v>
      </c>
      <c r="H24" s="317"/>
      <c r="I24" s="160">
        <v>277368.99882542202</v>
      </c>
      <c r="J24" s="160">
        <v>29.381500812799999</v>
      </c>
      <c r="K24" s="50"/>
      <c r="L24" s="160">
        <v>240158.69043892701</v>
      </c>
      <c r="M24" s="160">
        <v>25.0333489215</v>
      </c>
      <c r="N24" s="317"/>
      <c r="O24" s="160">
        <v>139578.94169382099</v>
      </c>
      <c r="P24" s="160">
        <v>14.8001300565</v>
      </c>
      <c r="Q24" s="317"/>
      <c r="R24" s="160">
        <v>89757.638407656297</v>
      </c>
      <c r="S24" s="160">
        <v>9.5400643267999996</v>
      </c>
      <c r="T24" s="52"/>
      <c r="U24" s="160">
        <v>52304.163211721403</v>
      </c>
      <c r="V24" s="160">
        <v>5.5738840590000001</v>
      </c>
    </row>
    <row r="25" spans="1:22" ht="12.75" customHeight="1" x14ac:dyDescent="0.2">
      <c r="B25" s="13" t="s">
        <v>38</v>
      </c>
      <c r="C25" s="316"/>
      <c r="D25" s="160">
        <v>896937.23275720899</v>
      </c>
      <c r="E25" s="317"/>
      <c r="F25" s="160">
        <v>209421.580926525</v>
      </c>
      <c r="G25" s="160">
        <v>24.275606171900002</v>
      </c>
      <c r="H25" s="317"/>
      <c r="I25" s="160">
        <v>237079.25671267501</v>
      </c>
      <c r="J25" s="160">
        <v>27.529169437699998</v>
      </c>
      <c r="K25" s="50"/>
      <c r="L25" s="160">
        <v>210962.285749353</v>
      </c>
      <c r="M25" s="160">
        <v>24.297792283100001</v>
      </c>
      <c r="N25" s="317"/>
      <c r="O25" s="160">
        <v>133447.74053206199</v>
      </c>
      <c r="P25" s="160">
        <v>15.335178261099999</v>
      </c>
      <c r="Q25" s="317"/>
      <c r="R25" s="160">
        <v>133528.87381405901</v>
      </c>
      <c r="S25" s="160">
        <v>15.438523786299999</v>
      </c>
      <c r="T25" s="52"/>
      <c r="U25" s="160">
        <v>30006.8856384559</v>
      </c>
      <c r="V25" s="160">
        <v>3.4923366619</v>
      </c>
    </row>
    <row r="26" spans="1:22" ht="12.75" customHeight="1" x14ac:dyDescent="0.2">
      <c r="B26" s="13" t="s">
        <v>39</v>
      </c>
      <c r="C26" s="316"/>
      <c r="D26" s="160">
        <v>2397392.87652244</v>
      </c>
      <c r="E26" s="317"/>
      <c r="F26" s="160">
        <v>317046.91271482198</v>
      </c>
      <c r="G26" s="160">
        <v>13.6089715159</v>
      </c>
      <c r="H26" s="317"/>
      <c r="I26" s="160">
        <v>808865.26263770496</v>
      </c>
      <c r="J26" s="160">
        <v>34.762677468299998</v>
      </c>
      <c r="K26" s="50"/>
      <c r="L26" s="160">
        <v>517087.56671067397</v>
      </c>
      <c r="M26" s="160">
        <v>22.2347798622</v>
      </c>
      <c r="N26" s="317"/>
      <c r="O26" s="160">
        <v>454342.65773875703</v>
      </c>
      <c r="P26" s="160">
        <v>19.642928939899999</v>
      </c>
      <c r="Q26" s="317"/>
      <c r="R26" s="160">
        <v>437896.51273853699</v>
      </c>
      <c r="S26" s="160">
        <v>18.934421945899999</v>
      </c>
      <c r="T26" s="52"/>
      <c r="U26" s="160">
        <v>44384.236303726</v>
      </c>
      <c r="V26" s="160">
        <v>1.9298824295999999</v>
      </c>
    </row>
    <row r="27" spans="1:22" ht="12.75" customHeight="1" x14ac:dyDescent="0.2">
      <c r="B27" s="13" t="s">
        <v>40</v>
      </c>
      <c r="C27" s="316"/>
      <c r="D27" s="160">
        <v>4873947.8104331996</v>
      </c>
      <c r="E27" s="317"/>
      <c r="F27" s="160">
        <v>940082.22195958695</v>
      </c>
      <c r="G27" s="160">
        <v>20.038439110500001</v>
      </c>
      <c r="H27" s="317"/>
      <c r="I27" s="160">
        <v>1256776.3431955499</v>
      </c>
      <c r="J27" s="160">
        <v>26.959580619099999</v>
      </c>
      <c r="K27" s="50"/>
      <c r="L27" s="160">
        <v>1162873.2719853499</v>
      </c>
      <c r="M27" s="160">
        <v>24.751497201100001</v>
      </c>
      <c r="N27" s="317"/>
      <c r="O27" s="160">
        <v>666267.92132375506</v>
      </c>
      <c r="P27" s="160">
        <v>14.2740860828</v>
      </c>
      <c r="Q27" s="317"/>
      <c r="R27" s="160">
        <v>827852.72820279398</v>
      </c>
      <c r="S27" s="160">
        <v>17.674015845300001</v>
      </c>
      <c r="T27" s="52"/>
      <c r="U27" s="160">
        <v>326132.37886966602</v>
      </c>
      <c r="V27" s="160">
        <v>7.0335960610999999</v>
      </c>
    </row>
    <row r="28" spans="1:22" ht="12.75" customHeight="1" x14ac:dyDescent="0.2">
      <c r="B28" s="13" t="s">
        <v>41</v>
      </c>
      <c r="C28" s="316"/>
      <c r="D28" s="160">
        <v>1368761.7985574501</v>
      </c>
      <c r="E28" s="317"/>
      <c r="F28" s="160">
        <v>225260.743612002</v>
      </c>
      <c r="G28" s="160">
        <v>17.363378431699999</v>
      </c>
      <c r="H28" s="317"/>
      <c r="I28" s="160">
        <v>345494.30621537002</v>
      </c>
      <c r="J28" s="160">
        <v>26.354872013800001</v>
      </c>
      <c r="K28" s="50"/>
      <c r="L28" s="160">
        <v>253095.45897778499</v>
      </c>
      <c r="M28" s="160">
        <v>19.345308023299999</v>
      </c>
      <c r="N28" s="317"/>
      <c r="O28" s="160">
        <v>250241.84196702001</v>
      </c>
      <c r="P28" s="160">
        <v>19.207988763399999</v>
      </c>
      <c r="Q28" s="317"/>
      <c r="R28" s="160">
        <v>350570.84392759501</v>
      </c>
      <c r="S28" s="160">
        <v>26.688110043199998</v>
      </c>
      <c r="T28" s="52"/>
      <c r="U28" s="160">
        <v>40453.885271323103</v>
      </c>
      <c r="V28" s="160">
        <v>3.1366947804</v>
      </c>
    </row>
    <row r="29" spans="1:22" ht="12.75" customHeight="1" x14ac:dyDescent="0.2">
      <c r="B29" s="13" t="s">
        <v>42</v>
      </c>
      <c r="C29" s="316"/>
      <c r="D29" s="160">
        <v>610031.22610067902</v>
      </c>
      <c r="E29" s="317"/>
      <c r="F29" s="160">
        <v>120775.691422604</v>
      </c>
      <c r="G29" s="160">
        <v>20.679029505599999</v>
      </c>
      <c r="H29" s="317"/>
      <c r="I29" s="160">
        <v>187535.435069573</v>
      </c>
      <c r="J29" s="160">
        <v>32.175365187300002</v>
      </c>
      <c r="K29" s="50"/>
      <c r="L29" s="160">
        <v>163359.58985099799</v>
      </c>
      <c r="M29" s="160">
        <v>27.7533393575</v>
      </c>
      <c r="N29" s="317"/>
      <c r="O29" s="160">
        <v>77498.756368039598</v>
      </c>
      <c r="P29" s="160">
        <v>13.2520903352</v>
      </c>
      <c r="Q29" s="317"/>
      <c r="R29" s="160">
        <v>63257.528978278198</v>
      </c>
      <c r="S29" s="160">
        <v>10.7695126613</v>
      </c>
      <c r="T29" s="52"/>
      <c r="U29" s="160">
        <v>29300.4455249971</v>
      </c>
      <c r="V29" s="160">
        <v>5.0571993470000001</v>
      </c>
    </row>
    <row r="30" spans="1:22" ht="12.75" customHeight="1" x14ac:dyDescent="0.2">
      <c r="B30" s="13" t="s">
        <v>43</v>
      </c>
      <c r="C30" s="316"/>
      <c r="D30" s="160">
        <v>376533.335776983</v>
      </c>
      <c r="E30" s="317"/>
      <c r="F30" s="160">
        <v>61174.093548584598</v>
      </c>
      <c r="G30" s="160">
        <v>16.7718840613</v>
      </c>
      <c r="H30" s="317"/>
      <c r="I30" s="160">
        <v>100566.99279081399</v>
      </c>
      <c r="J30" s="160">
        <v>27.516691139999999</v>
      </c>
      <c r="K30" s="50"/>
      <c r="L30" s="160">
        <v>94474.598747414697</v>
      </c>
      <c r="M30" s="160">
        <v>26.004235840500002</v>
      </c>
      <c r="N30" s="317"/>
      <c r="O30" s="160">
        <v>72179.393582075107</v>
      </c>
      <c r="P30" s="160">
        <v>19.899201328099998</v>
      </c>
      <c r="Q30" s="317"/>
      <c r="R30" s="160">
        <v>59833.250352266303</v>
      </c>
      <c r="S30" s="160">
        <v>16.6222677851</v>
      </c>
      <c r="T30" s="52"/>
      <c r="U30" s="160">
        <v>12697.666629716599</v>
      </c>
      <c r="V30" s="160">
        <v>3.5248439233000002</v>
      </c>
    </row>
    <row r="31" spans="1:22" ht="12.75" customHeight="1" x14ac:dyDescent="0.2">
      <c r="B31" s="13" t="s">
        <v>44</v>
      </c>
      <c r="C31" s="316"/>
      <c r="D31" s="160">
        <v>1738437.8778178</v>
      </c>
      <c r="E31" s="317"/>
      <c r="F31" s="160">
        <v>253230.395520096</v>
      </c>
      <c r="G31" s="160">
        <v>15.0160222472</v>
      </c>
      <c r="H31" s="317"/>
      <c r="I31" s="160">
        <v>487127.32780160097</v>
      </c>
      <c r="J31" s="160">
        <v>28.734063839600001</v>
      </c>
      <c r="K31" s="50"/>
      <c r="L31" s="160">
        <v>459028.20644263702</v>
      </c>
      <c r="M31" s="160">
        <v>27.412823442000001</v>
      </c>
      <c r="N31" s="317"/>
      <c r="O31" s="160">
        <v>353368.61571657797</v>
      </c>
      <c r="P31" s="160">
        <v>21.365468587900001</v>
      </c>
      <c r="Q31" s="317"/>
      <c r="R31" s="160">
        <v>300697.018861274</v>
      </c>
      <c r="S31" s="160">
        <v>18.217118246599998</v>
      </c>
      <c r="T31" s="52"/>
      <c r="U31" s="160">
        <v>28116.425004646699</v>
      </c>
      <c r="V31" s="160">
        <v>1.6946976187</v>
      </c>
    </row>
    <row r="32" spans="1:22" ht="12.75" customHeight="1" x14ac:dyDescent="0.2">
      <c r="B32" s="13" t="s">
        <v>45</v>
      </c>
      <c r="C32" s="316"/>
      <c r="D32" s="160">
        <v>1203423.9761956099</v>
      </c>
      <c r="E32" s="317"/>
      <c r="F32" s="160">
        <v>283080.11936228699</v>
      </c>
      <c r="G32" s="160">
        <v>24.3952125428</v>
      </c>
      <c r="H32" s="317"/>
      <c r="I32" s="160">
        <v>349678.505221584</v>
      </c>
      <c r="J32" s="160">
        <v>30.554097684399999</v>
      </c>
      <c r="K32" s="50"/>
      <c r="L32" s="160">
        <v>275815.12663813698</v>
      </c>
      <c r="M32" s="160">
        <v>23.926533296100001</v>
      </c>
      <c r="N32" s="317"/>
      <c r="O32" s="160">
        <v>175046.09579526601</v>
      </c>
      <c r="P32" s="160">
        <v>15.432968476499999</v>
      </c>
      <c r="Q32" s="317"/>
      <c r="R32" s="160">
        <v>153235.35237675</v>
      </c>
      <c r="S32" s="160">
        <v>13.564803033700001</v>
      </c>
      <c r="T32" s="52"/>
      <c r="U32" s="160">
        <v>21641.4259606868</v>
      </c>
      <c r="V32" s="160">
        <v>1.9355123078000001</v>
      </c>
    </row>
    <row r="33" spans="2:22" ht="12.75" customHeight="1" x14ac:dyDescent="0.2">
      <c r="B33" s="13" t="s">
        <v>46</v>
      </c>
      <c r="C33" s="316"/>
      <c r="D33" s="160">
        <v>1815906.8952740801</v>
      </c>
      <c r="E33" s="317"/>
      <c r="F33" s="160">
        <v>463492.17325276998</v>
      </c>
      <c r="G33" s="160">
        <v>26.5545699523</v>
      </c>
      <c r="H33" s="317"/>
      <c r="I33" s="160">
        <v>512713.87933130801</v>
      </c>
      <c r="J33" s="160">
        <v>29.3038588969</v>
      </c>
      <c r="K33" s="50"/>
      <c r="L33" s="160">
        <v>382604.03528222302</v>
      </c>
      <c r="M33" s="160">
        <v>21.835871511699999</v>
      </c>
      <c r="N33" s="317"/>
      <c r="O33" s="160">
        <v>260133.53042015701</v>
      </c>
      <c r="P33" s="160">
        <v>15.0118776011</v>
      </c>
      <c r="Q33" s="317"/>
      <c r="R33" s="160">
        <v>253636.35705686599</v>
      </c>
      <c r="S33" s="160">
        <v>14.694090879199999</v>
      </c>
      <c r="T33" s="52"/>
      <c r="U33" s="160">
        <v>37778.820003347901</v>
      </c>
      <c r="V33" s="160">
        <v>2.1894288906999999</v>
      </c>
    </row>
    <row r="34" spans="2:22" ht="12.75" customHeight="1" x14ac:dyDescent="0.2">
      <c r="B34" s="13" t="s">
        <v>47</v>
      </c>
      <c r="C34" s="316"/>
      <c r="D34" s="160">
        <v>715683.99233961198</v>
      </c>
      <c r="E34" s="317"/>
      <c r="F34" s="160">
        <v>114488.210066966</v>
      </c>
      <c r="G34" s="160">
        <v>16.768775482799999</v>
      </c>
      <c r="H34" s="317"/>
      <c r="I34" s="160">
        <v>192502.648259454</v>
      </c>
      <c r="J34" s="160">
        <v>28.1025451382</v>
      </c>
      <c r="K34" s="50"/>
      <c r="L34" s="160">
        <v>196921.703906232</v>
      </c>
      <c r="M34" s="160">
        <v>28.716292527099998</v>
      </c>
      <c r="N34" s="317"/>
      <c r="O34" s="160">
        <v>112959.36828733901</v>
      </c>
      <c r="P34" s="160">
        <v>16.948944217299999</v>
      </c>
      <c r="Q34" s="317"/>
      <c r="R34" s="160">
        <v>120399.96773643899</v>
      </c>
      <c r="S34" s="160">
        <v>18.273368859400001</v>
      </c>
      <c r="T34" s="52"/>
      <c r="U34" s="160">
        <v>20703.618298458499</v>
      </c>
      <c r="V34" s="160">
        <v>3.0871399102999999</v>
      </c>
    </row>
    <row r="35" spans="2:22" ht="12.75" customHeight="1" x14ac:dyDescent="0.2">
      <c r="B35" s="13" t="s">
        <v>48</v>
      </c>
      <c r="C35" s="316"/>
      <c r="D35" s="160">
        <v>594621.99606358097</v>
      </c>
      <c r="E35" s="317"/>
      <c r="F35" s="160">
        <v>182781.365506817</v>
      </c>
      <c r="G35" s="160">
        <v>32.827995826699997</v>
      </c>
      <c r="H35" s="317"/>
      <c r="I35" s="160">
        <v>173313.02530342399</v>
      </c>
      <c r="J35" s="160">
        <v>29.909073989199999</v>
      </c>
      <c r="K35" s="50"/>
      <c r="L35" s="160">
        <v>133043.01285397701</v>
      </c>
      <c r="M35" s="160">
        <v>23.263239835899999</v>
      </c>
      <c r="N35" s="317"/>
      <c r="O35" s="160">
        <v>64090.608259004897</v>
      </c>
      <c r="P35" s="160">
        <v>11.4904286023</v>
      </c>
      <c r="Q35" s="317"/>
      <c r="R35" s="160">
        <v>49548.578674591903</v>
      </c>
      <c r="S35" s="160">
        <v>8.9440439918999992</v>
      </c>
      <c r="T35" s="54"/>
      <c r="U35" s="160">
        <v>38615.645554160197</v>
      </c>
      <c r="V35" s="160">
        <v>6.9208756277000001</v>
      </c>
    </row>
    <row r="36" spans="2:22" ht="12.75" customHeight="1" x14ac:dyDescent="0.2">
      <c r="B36" s="13" t="s">
        <v>49</v>
      </c>
      <c r="C36" s="316"/>
      <c r="D36" s="160">
        <v>798902.49386140495</v>
      </c>
      <c r="E36" s="317"/>
      <c r="F36" s="160">
        <v>102236.846423945</v>
      </c>
      <c r="G36" s="160">
        <v>13.135358435200001</v>
      </c>
      <c r="H36" s="317"/>
      <c r="I36" s="160">
        <v>212196.10885199599</v>
      </c>
      <c r="J36" s="160">
        <v>27.3342354738</v>
      </c>
      <c r="K36" s="50"/>
      <c r="L36" s="160">
        <v>236859.41485195499</v>
      </c>
      <c r="M36" s="160">
        <v>30.4356535085</v>
      </c>
      <c r="N36" s="317"/>
      <c r="O36" s="160">
        <v>141390.85562843099</v>
      </c>
      <c r="P36" s="160">
        <v>18.1948199594</v>
      </c>
      <c r="Q36" s="317"/>
      <c r="R36" s="160">
        <v>151049.971048076</v>
      </c>
      <c r="S36" s="160">
        <v>19.512312946000002</v>
      </c>
      <c r="T36" s="52"/>
      <c r="U36" s="160">
        <v>17615.226110427498</v>
      </c>
      <c r="V36" s="160">
        <v>2.2788783582000001</v>
      </c>
    </row>
    <row r="37" spans="2:22" ht="12.75" customHeight="1" x14ac:dyDescent="0.2">
      <c r="B37" s="13" t="s">
        <v>50</v>
      </c>
      <c r="C37" s="316"/>
      <c r="D37" s="160">
        <v>894882.02839481703</v>
      </c>
      <c r="E37" s="317"/>
      <c r="F37" s="160">
        <v>125678.724417352</v>
      </c>
      <c r="G37" s="160">
        <v>14.513019460500001</v>
      </c>
      <c r="H37" s="317"/>
      <c r="I37" s="160">
        <v>243258.31307181201</v>
      </c>
      <c r="J37" s="160">
        <v>28.0653919214</v>
      </c>
      <c r="K37" s="50"/>
      <c r="L37" s="160">
        <v>225861.73764913899</v>
      </c>
      <c r="M37" s="160">
        <v>26.014446192000001</v>
      </c>
      <c r="N37" s="317"/>
      <c r="O37" s="160">
        <v>191090.77822308199</v>
      </c>
      <c r="P37" s="160">
        <v>21.8933142351</v>
      </c>
      <c r="Q37" s="317"/>
      <c r="R37" s="160">
        <v>147771.51821926</v>
      </c>
      <c r="S37" s="160">
        <v>17.129886517500001</v>
      </c>
      <c r="T37" s="52"/>
      <c r="U37" s="160">
        <v>24740.151860850601</v>
      </c>
      <c r="V37" s="160">
        <v>2.8374615971999999</v>
      </c>
    </row>
    <row r="38" spans="2:22" ht="12.75" customHeight="1" x14ac:dyDescent="0.2">
      <c r="B38" s="13" t="s">
        <v>51</v>
      </c>
      <c r="C38" s="316"/>
      <c r="D38" s="160">
        <v>919536.67017451499</v>
      </c>
      <c r="E38" s="317"/>
      <c r="F38" s="160">
        <v>178037.596563292</v>
      </c>
      <c r="G38" s="160">
        <v>20.020435856500001</v>
      </c>
      <c r="H38" s="317"/>
      <c r="I38" s="160">
        <v>270705.89819945401</v>
      </c>
      <c r="J38" s="160">
        <v>30.300537342599998</v>
      </c>
      <c r="K38" s="50"/>
      <c r="L38" s="160">
        <v>195795.701916405</v>
      </c>
      <c r="M38" s="160">
        <v>22.1088744312</v>
      </c>
      <c r="N38" s="317"/>
      <c r="O38" s="160">
        <v>162435.16244370601</v>
      </c>
      <c r="P38" s="160">
        <v>18.5134583197</v>
      </c>
      <c r="Q38" s="52"/>
      <c r="R38" s="160">
        <v>169063.26307345001</v>
      </c>
      <c r="S38" s="160">
        <v>19.344311408300001</v>
      </c>
      <c r="T38" s="52"/>
      <c r="U38" s="160">
        <v>8840.3498892976004</v>
      </c>
      <c r="V38" s="160">
        <v>1.0081762694</v>
      </c>
    </row>
    <row r="39" spans="2:22" ht="12.75" customHeight="1" x14ac:dyDescent="0.2">
      <c r="B39" s="13" t="s">
        <v>52</v>
      </c>
      <c r="C39" s="316"/>
      <c r="D39" s="160">
        <v>723495.24159213202</v>
      </c>
      <c r="E39" s="317"/>
      <c r="F39" s="160">
        <v>167996.41434645001</v>
      </c>
      <c r="G39" s="160">
        <v>24.377461193999999</v>
      </c>
      <c r="H39" s="317"/>
      <c r="I39" s="160">
        <v>229150.383627059</v>
      </c>
      <c r="J39" s="160">
        <v>33.018799186400003</v>
      </c>
      <c r="K39" s="50"/>
      <c r="L39" s="160">
        <v>155998.26251767899</v>
      </c>
      <c r="M39" s="160">
        <v>22.3272886337</v>
      </c>
      <c r="N39" s="317"/>
      <c r="O39" s="160">
        <v>109472.698541095</v>
      </c>
      <c r="P39" s="160">
        <v>15.7415349971</v>
      </c>
      <c r="Q39" s="317"/>
      <c r="R39" s="160">
        <v>87719.600649512795</v>
      </c>
      <c r="S39" s="160">
        <v>12.742932009900001</v>
      </c>
      <c r="T39" s="52"/>
      <c r="U39" s="160">
        <v>10917.174060801201</v>
      </c>
      <c r="V39" s="160">
        <v>1.5961551994000001</v>
      </c>
    </row>
    <row r="40" spans="2:22" ht="12.75" customHeight="1" x14ac:dyDescent="0.2">
      <c r="B40" s="13" t="s">
        <v>53</v>
      </c>
      <c r="C40" s="316"/>
      <c r="D40" s="160">
        <v>1089179.94614529</v>
      </c>
      <c r="E40" s="317"/>
      <c r="F40" s="160">
        <v>217261.921193724</v>
      </c>
      <c r="G40" s="160">
        <v>20.489603885000001</v>
      </c>
      <c r="H40" s="317"/>
      <c r="I40" s="160">
        <v>338868.609164736</v>
      </c>
      <c r="J40" s="160">
        <v>31.6735023735</v>
      </c>
      <c r="K40" s="50"/>
      <c r="L40" s="160">
        <v>268163.088134886</v>
      </c>
      <c r="M40" s="160">
        <v>25.4870026404</v>
      </c>
      <c r="N40" s="317"/>
      <c r="O40" s="160">
        <v>161356.791494334</v>
      </c>
      <c r="P40" s="160">
        <v>15.3327947782</v>
      </c>
      <c r="Q40" s="317"/>
      <c r="R40" s="160">
        <v>156321.76303462</v>
      </c>
      <c r="S40" s="160">
        <v>14.9225118798</v>
      </c>
      <c r="T40" s="52"/>
      <c r="U40" s="160">
        <v>29325.322332382599</v>
      </c>
      <c r="V40" s="160">
        <v>2.7859753613999998</v>
      </c>
    </row>
    <row r="41" spans="2:22" ht="12.75" customHeight="1" x14ac:dyDescent="0.2">
      <c r="B41" s="13" t="s">
        <v>54</v>
      </c>
      <c r="C41" s="316"/>
      <c r="D41" s="160">
        <v>350536.38098277798</v>
      </c>
      <c r="E41" s="317"/>
      <c r="F41" s="160">
        <v>67356.752753933499</v>
      </c>
      <c r="G41" s="160">
        <v>19.878101746700001</v>
      </c>
      <c r="H41" s="317"/>
      <c r="I41" s="160">
        <v>85013.449094297699</v>
      </c>
      <c r="J41" s="160">
        <v>24.874284573899999</v>
      </c>
      <c r="K41" s="50"/>
      <c r="L41" s="160">
        <v>84403.469092779007</v>
      </c>
      <c r="M41" s="160">
        <v>24.964669543500001</v>
      </c>
      <c r="N41" s="317"/>
      <c r="O41" s="160">
        <v>55843.138331735398</v>
      </c>
      <c r="P41" s="160">
        <v>16.509143981400001</v>
      </c>
      <c r="Q41" s="317"/>
      <c r="R41" s="160">
        <v>74119.060495499594</v>
      </c>
      <c r="S41" s="160">
        <v>21.993572255699998</v>
      </c>
      <c r="T41" s="52"/>
      <c r="U41" s="160">
        <v>2959.6046878525999</v>
      </c>
      <c r="V41" s="160">
        <v>0.88134156239999994</v>
      </c>
    </row>
    <row r="42" spans="2:22" ht="12.75" customHeight="1" x14ac:dyDescent="0.2">
      <c r="B42" s="13" t="s">
        <v>55</v>
      </c>
      <c r="C42" s="316"/>
      <c r="D42" s="160">
        <v>2493851.99731659</v>
      </c>
      <c r="E42" s="317"/>
      <c r="F42" s="160">
        <v>754224.83972120599</v>
      </c>
      <c r="G42" s="160">
        <v>31.260297011999999</v>
      </c>
      <c r="H42" s="317"/>
      <c r="I42" s="160">
        <v>721811.05017840106</v>
      </c>
      <c r="J42" s="160">
        <v>29.990777338200001</v>
      </c>
      <c r="K42" s="50"/>
      <c r="L42" s="160">
        <v>465977.31542991003</v>
      </c>
      <c r="M42" s="160">
        <v>19.3702290582</v>
      </c>
      <c r="N42" s="317"/>
      <c r="O42" s="160">
        <v>381401.24208853598</v>
      </c>
      <c r="P42" s="160">
        <v>15.949308939</v>
      </c>
      <c r="Q42" s="317"/>
      <c r="R42" s="160">
        <v>273082.73953249602</v>
      </c>
      <c r="S42" s="160">
        <v>11.451668782300001</v>
      </c>
      <c r="T42" s="52"/>
      <c r="U42" s="160">
        <v>30890.6037837759</v>
      </c>
      <c r="V42" s="160">
        <v>1.2997433776</v>
      </c>
    </row>
    <row r="43" spans="2:22" ht="12.75" customHeight="1" x14ac:dyDescent="0.2">
      <c r="B43" s="13" t="s">
        <v>56</v>
      </c>
      <c r="C43" s="316"/>
      <c r="D43" s="160">
        <v>696285.83140589495</v>
      </c>
      <c r="E43" s="317"/>
      <c r="F43" s="160">
        <v>147600.153757886</v>
      </c>
      <c r="G43" s="160">
        <v>21.9127868689</v>
      </c>
      <c r="H43" s="317"/>
      <c r="I43" s="160">
        <v>213031.701908841</v>
      </c>
      <c r="J43" s="160">
        <v>31.6771692835</v>
      </c>
      <c r="K43" s="50"/>
      <c r="L43" s="160">
        <v>125187.87275152</v>
      </c>
      <c r="M43" s="160">
        <v>18.742443489900001</v>
      </c>
      <c r="N43" s="317"/>
      <c r="O43" s="160">
        <v>107299.12022742401</v>
      </c>
      <c r="P43" s="160">
        <v>16.1594667659</v>
      </c>
      <c r="Q43" s="317"/>
      <c r="R43" s="160">
        <v>103983.775360732</v>
      </c>
      <c r="S43" s="160">
        <v>15.863621093200001</v>
      </c>
      <c r="T43" s="52"/>
      <c r="U43" s="160">
        <v>42085.1163266441</v>
      </c>
      <c r="V43" s="160">
        <v>6.2999570336000001</v>
      </c>
    </row>
    <row r="44" spans="2:22" ht="12.75" customHeight="1" x14ac:dyDescent="0.2">
      <c r="B44" s="13" t="s">
        <v>57</v>
      </c>
      <c r="C44" s="316"/>
      <c r="D44" s="160">
        <v>479515.47820355999</v>
      </c>
      <c r="E44" s="317"/>
      <c r="F44" s="160">
        <v>47950.555656343298</v>
      </c>
      <c r="G44" s="160">
        <v>10.5466655882</v>
      </c>
      <c r="H44" s="317"/>
      <c r="I44" s="160">
        <v>91295.269448378094</v>
      </c>
      <c r="J44" s="160">
        <v>19.937742548999999</v>
      </c>
      <c r="K44" s="50"/>
      <c r="L44" s="160">
        <v>115692.385957796</v>
      </c>
      <c r="M44" s="160">
        <v>25.091410771100001</v>
      </c>
      <c r="N44" s="317"/>
      <c r="O44" s="160">
        <v>101766.657615435</v>
      </c>
      <c r="P44" s="160">
        <v>21.9877521859</v>
      </c>
      <c r="Q44" s="317"/>
      <c r="R44" s="160">
        <v>137931.45487529901</v>
      </c>
      <c r="S44" s="160">
        <v>29.998289348299998</v>
      </c>
      <c r="T44" s="52"/>
      <c r="U44" s="160">
        <v>12236.2739419545</v>
      </c>
      <c r="V44" s="160">
        <v>2.6904048819000002</v>
      </c>
    </row>
    <row r="45" spans="2:22" ht="6" customHeight="1" x14ac:dyDescent="0.2">
      <c r="B45" s="14"/>
      <c r="C45" s="14"/>
      <c r="D45" s="4"/>
      <c r="E45" s="318"/>
      <c r="F45" s="4"/>
      <c r="G45" s="319"/>
      <c r="H45" s="319"/>
      <c r="I45" s="4"/>
      <c r="J45" s="319"/>
      <c r="K45" s="320"/>
      <c r="L45" s="4"/>
      <c r="M45" s="319"/>
      <c r="N45" s="321"/>
      <c r="O45" s="4"/>
      <c r="P45" s="319"/>
      <c r="Q45" s="319"/>
      <c r="R45" s="319"/>
      <c r="S45" s="319"/>
      <c r="T45" s="319"/>
      <c r="U45" s="319"/>
      <c r="V45" s="319"/>
    </row>
    <row r="46" spans="2:22" ht="6" customHeight="1" x14ac:dyDescent="0.2">
      <c r="B46" s="322"/>
      <c r="C46" s="323"/>
      <c r="D46" s="323"/>
      <c r="E46" s="323"/>
      <c r="F46" s="323"/>
      <c r="G46" s="324"/>
      <c r="H46" s="324"/>
      <c r="I46" s="324"/>
      <c r="J46" s="325"/>
      <c r="K46" s="325"/>
      <c r="L46" s="324"/>
      <c r="M46" s="325"/>
      <c r="N46" s="325"/>
      <c r="O46" s="322"/>
      <c r="P46" s="326"/>
      <c r="S46" s="1"/>
    </row>
    <row r="47" spans="2:22" s="89" customFormat="1" ht="11.25" customHeight="1" x14ac:dyDescent="0.2">
      <c r="B47" s="24" t="s">
        <v>9</v>
      </c>
    </row>
    <row r="48" spans="2:22" ht="12.75" customHeight="1" x14ac:dyDescent="0.2">
      <c r="S48" s="1"/>
    </row>
    <row r="49" spans="19:19" ht="12.75" customHeight="1" x14ac:dyDescent="0.2">
      <c r="S49" s="1"/>
    </row>
    <row r="50" spans="19:19" ht="12.75" customHeight="1" x14ac:dyDescent="0.2">
      <c r="S50" s="1"/>
    </row>
    <row r="51" spans="19:19" ht="12.75" customHeight="1" x14ac:dyDescent="0.2">
      <c r="S51" s="1"/>
    </row>
    <row r="52" spans="19:19" ht="12.75" customHeight="1" x14ac:dyDescent="0.2">
      <c r="S52" s="1"/>
    </row>
    <row r="53" spans="19:19" ht="12.75" customHeight="1" x14ac:dyDescent="0.2">
      <c r="S53" s="1"/>
    </row>
    <row r="54" spans="19:19" ht="12.75" customHeight="1" x14ac:dyDescent="0.2">
      <c r="S54" s="1"/>
    </row>
    <row r="55" spans="19:19" ht="12.75" customHeight="1" x14ac:dyDescent="0.2">
      <c r="S55" s="1"/>
    </row>
    <row r="56" spans="19:19" ht="12.75" customHeight="1" x14ac:dyDescent="0.2">
      <c r="S56" s="1"/>
    </row>
    <row r="57" spans="19:19" ht="12.75" customHeight="1" x14ac:dyDescent="0.2">
      <c r="S57" s="1"/>
    </row>
    <row r="58" spans="19:19" ht="12.75" customHeight="1" x14ac:dyDescent="0.2">
      <c r="S58" s="1"/>
    </row>
    <row r="59" spans="19:19" ht="12.75" customHeight="1" x14ac:dyDescent="0.2">
      <c r="S59" s="1"/>
    </row>
    <row r="60" spans="19:19" ht="12.75" customHeight="1" x14ac:dyDescent="0.2">
      <c r="S60" s="1"/>
    </row>
    <row r="61" spans="19:19" ht="12.75" customHeight="1" x14ac:dyDescent="0.2">
      <c r="S61" s="1"/>
    </row>
    <row r="62" spans="19:19" ht="12.75" customHeight="1" x14ac:dyDescent="0.2">
      <c r="S62" s="1"/>
    </row>
    <row r="63" spans="19:19" ht="12.75" customHeight="1" x14ac:dyDescent="0.2">
      <c r="S63" s="1"/>
    </row>
    <row r="64" spans="19:19" ht="12.75" customHeight="1" x14ac:dyDescent="0.2">
      <c r="S64" s="1"/>
    </row>
    <row r="65" spans="19:19" ht="12.75" customHeight="1" x14ac:dyDescent="0.2">
      <c r="S65" s="1"/>
    </row>
    <row r="66" spans="19:19" ht="12.75" customHeight="1" x14ac:dyDescent="0.2">
      <c r="S66" s="1"/>
    </row>
    <row r="67" spans="19:19" ht="12.75" customHeight="1" x14ac:dyDescent="0.2">
      <c r="S67" s="1"/>
    </row>
    <row r="68" spans="19:19" ht="12.75" customHeight="1" x14ac:dyDescent="0.2">
      <c r="S68" s="1"/>
    </row>
    <row r="69" spans="19:19" ht="12.75" customHeight="1" x14ac:dyDescent="0.2">
      <c r="S69" s="1"/>
    </row>
    <row r="70" spans="19:19" ht="12.75" customHeight="1" x14ac:dyDescent="0.2">
      <c r="S70" s="1"/>
    </row>
    <row r="71" spans="19:19" ht="12.75" customHeight="1" x14ac:dyDescent="0.2">
      <c r="S71" s="1"/>
    </row>
    <row r="72" spans="19:19" ht="12.75" customHeight="1" x14ac:dyDescent="0.2">
      <c r="S72" s="1"/>
    </row>
    <row r="73" spans="19:19" ht="12.75" customHeight="1" x14ac:dyDescent="0.2">
      <c r="S73" s="1"/>
    </row>
    <row r="74" spans="19:19" ht="12.75" customHeight="1" x14ac:dyDescent="0.2">
      <c r="S74" s="1"/>
    </row>
    <row r="75" spans="19:19" ht="12.75" customHeight="1" x14ac:dyDescent="0.2">
      <c r="S75" s="1"/>
    </row>
    <row r="76" spans="19:19" ht="12.75" customHeight="1" x14ac:dyDescent="0.2">
      <c r="S76" s="1"/>
    </row>
    <row r="77" spans="19:19" ht="12.75" customHeight="1" x14ac:dyDescent="0.2">
      <c r="S77" s="1"/>
    </row>
    <row r="78" spans="19:19" ht="12.75" customHeight="1" x14ac:dyDescent="0.2">
      <c r="S78" s="1"/>
    </row>
    <row r="79" spans="19:19" ht="12.75" customHeight="1" x14ac:dyDescent="0.2">
      <c r="S79" s="1"/>
    </row>
    <row r="80" spans="19:19" ht="12.75" customHeight="1" x14ac:dyDescent="0.2">
      <c r="S80" s="1"/>
    </row>
    <row r="81" spans="19:19" ht="12.75" customHeight="1" x14ac:dyDescent="0.2">
      <c r="S81" s="1"/>
    </row>
    <row r="82" spans="19:19" ht="12.75" customHeight="1" x14ac:dyDescent="0.2">
      <c r="S82" s="1"/>
    </row>
    <row r="83" spans="19:19" ht="12.75" customHeight="1" x14ac:dyDescent="0.2">
      <c r="S83" s="1"/>
    </row>
    <row r="84" spans="19:19" ht="12.75" customHeight="1" x14ac:dyDescent="0.2">
      <c r="S84" s="1"/>
    </row>
    <row r="85" spans="19:19" ht="12.75" customHeight="1" x14ac:dyDescent="0.2">
      <c r="S85" s="1"/>
    </row>
    <row r="86" spans="19:19" ht="12.75" customHeight="1" x14ac:dyDescent="0.2">
      <c r="S86" s="1"/>
    </row>
    <row r="87" spans="19:19" ht="12.75" customHeight="1" x14ac:dyDescent="0.2">
      <c r="S87" s="1"/>
    </row>
    <row r="88" spans="19:19" ht="12.75" customHeight="1" x14ac:dyDescent="0.2">
      <c r="S88" s="1"/>
    </row>
    <row r="89" spans="19:19" ht="12.75" customHeight="1" x14ac:dyDescent="0.2">
      <c r="S89" s="1"/>
    </row>
    <row r="90" spans="19:19" ht="12.75" customHeight="1" x14ac:dyDescent="0.2">
      <c r="S90" s="1"/>
    </row>
    <row r="91" spans="19:19" ht="12.75" customHeight="1" x14ac:dyDescent="0.2">
      <c r="S91" s="1"/>
    </row>
    <row r="92" spans="19:19" ht="12.75" customHeight="1" x14ac:dyDescent="0.2">
      <c r="S92" s="1"/>
    </row>
    <row r="93" spans="19:19" ht="12.75" customHeight="1" x14ac:dyDescent="0.2">
      <c r="S93" s="1"/>
    </row>
    <row r="94" spans="19:19" ht="12.75" customHeight="1" x14ac:dyDescent="0.2">
      <c r="S94" s="1"/>
    </row>
    <row r="95" spans="19:19" ht="12.75" customHeight="1" x14ac:dyDescent="0.2">
      <c r="S95" s="1"/>
    </row>
    <row r="96" spans="19:19" ht="12.75" customHeight="1" x14ac:dyDescent="0.2">
      <c r="S96" s="1"/>
    </row>
  </sheetData>
  <mergeCells count="11">
    <mergeCell ref="U8:V8"/>
    <mergeCell ref="B5:R5"/>
    <mergeCell ref="C6:O6"/>
    <mergeCell ref="B7:C9"/>
    <mergeCell ref="D7:D9"/>
    <mergeCell ref="F7:V7"/>
    <mergeCell ref="F8:G8"/>
    <mergeCell ref="I8:J8"/>
    <mergeCell ref="L8:M8"/>
    <mergeCell ref="O8:P8"/>
    <mergeCell ref="R8:S8"/>
  </mergeCells>
  <hyperlinks>
    <hyperlink ref="V1" location="Índice!A1" tooltip="Ir a ÍNDICE" display="INDICE" xr:uid="{2EA9BEDD-9EC1-490F-B754-D22063EB5D8F}"/>
  </hyperlinks>
  <pageMargins left="0.70866141732283472" right="0.70866141732283472" top="0.59055118110236227" bottom="0.59055118110236227" header="0.23622047244094491" footer="0.23622047244094491"/>
  <pageSetup scale="53" orientation="landscape" r:id="rId1"/>
  <colBreaks count="1" manualBreakCount="1">
    <brk id="9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32DE3-0A4A-45FC-91C0-61E75C982A26}">
  <dimension ref="A1:DP78"/>
  <sheetViews>
    <sheetView showGridLines="0" zoomScaleNormal="100" workbookViewId="0"/>
  </sheetViews>
  <sheetFormatPr baseColWidth="10" defaultColWidth="11.42578125" defaultRowHeight="14.25" x14ac:dyDescent="0.2"/>
  <cols>
    <col min="1" max="1" width="1.7109375" style="5" customWidth="1"/>
    <col min="2" max="2" width="31" customWidth="1"/>
    <col min="3" max="3" width="1.7109375" customWidth="1"/>
    <col min="4" max="4" width="18.28515625" customWidth="1"/>
    <col min="5" max="5" width="1.7109375" customWidth="1"/>
    <col min="6" max="6" width="14.42578125" customWidth="1"/>
    <col min="8" max="8" width="1.7109375" customWidth="1"/>
    <col min="9" max="9" width="18" customWidth="1"/>
    <col min="11" max="11" width="1.7109375" customWidth="1"/>
    <col min="12" max="12" width="15.42578125" customWidth="1"/>
    <col min="14" max="14" width="1.7109375" customWidth="1"/>
    <col min="15" max="15" width="16.85546875" customWidth="1"/>
    <col min="17" max="17" width="1.7109375" customWidth="1"/>
    <col min="18" max="18" width="16.42578125" customWidth="1"/>
    <col min="20" max="20" width="1.7109375" customWidth="1"/>
    <col min="21" max="21" width="16.85546875" customWidth="1"/>
    <col min="23" max="120" width="11.42578125" style="3"/>
  </cols>
  <sheetData>
    <row r="1" spans="1:120" s="69" customFormat="1" ht="14.1" customHeight="1" x14ac:dyDescent="0.2">
      <c r="A1" s="66"/>
      <c r="B1" s="484" t="s">
        <v>144</v>
      </c>
      <c r="C1" s="459"/>
      <c r="D1" s="460"/>
      <c r="E1" s="460"/>
      <c r="F1" s="460"/>
      <c r="G1" s="461"/>
      <c r="H1" s="461"/>
      <c r="I1" s="461"/>
      <c r="J1" s="461"/>
      <c r="K1" s="461"/>
      <c r="L1" s="461"/>
      <c r="M1" s="461"/>
      <c r="N1" s="461"/>
      <c r="O1" s="461"/>
      <c r="P1" s="461"/>
      <c r="Q1" s="461"/>
      <c r="R1" s="461"/>
      <c r="S1" s="461"/>
      <c r="T1" s="461"/>
      <c r="U1" s="461"/>
      <c r="V1" s="85" t="s">
        <v>118</v>
      </c>
      <c r="W1" s="68"/>
      <c r="X1" s="68"/>
      <c r="Y1" s="68"/>
      <c r="Z1" s="68"/>
      <c r="AA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  <c r="AO1" s="68"/>
      <c r="AP1" s="68"/>
      <c r="AQ1" s="68"/>
      <c r="AR1" s="68"/>
      <c r="AS1" s="68"/>
      <c r="AT1" s="68"/>
      <c r="AU1" s="68"/>
      <c r="AV1" s="68"/>
      <c r="AW1" s="68"/>
      <c r="AX1" s="68"/>
      <c r="AY1" s="68"/>
      <c r="AZ1" s="68"/>
      <c r="BA1" s="68"/>
      <c r="BB1" s="68"/>
      <c r="BC1" s="68"/>
      <c r="BD1" s="68"/>
      <c r="BE1" s="68"/>
      <c r="BF1" s="68"/>
      <c r="BG1" s="68"/>
      <c r="BH1" s="68"/>
      <c r="BI1" s="68"/>
      <c r="BJ1" s="68"/>
      <c r="BK1" s="68"/>
      <c r="BL1" s="68"/>
      <c r="BM1" s="68"/>
      <c r="BN1" s="68"/>
      <c r="BO1" s="68"/>
      <c r="BP1" s="68"/>
      <c r="BQ1" s="68"/>
      <c r="BR1" s="68"/>
      <c r="BS1" s="68"/>
      <c r="BT1" s="68"/>
      <c r="BU1" s="68"/>
      <c r="BV1" s="68"/>
      <c r="BW1" s="68"/>
      <c r="BX1" s="68"/>
      <c r="BY1" s="68"/>
      <c r="BZ1" s="68"/>
      <c r="CA1" s="68"/>
      <c r="CB1" s="68"/>
      <c r="CC1" s="68"/>
      <c r="CD1" s="68"/>
      <c r="CE1" s="68"/>
      <c r="CF1" s="68"/>
      <c r="CG1" s="68"/>
      <c r="CH1" s="68"/>
      <c r="CI1" s="68"/>
      <c r="CJ1" s="68"/>
      <c r="CK1" s="68"/>
      <c r="CL1" s="68"/>
      <c r="CM1" s="68"/>
      <c r="CN1" s="68"/>
      <c r="CO1" s="68"/>
      <c r="CP1" s="68"/>
      <c r="CQ1" s="68"/>
      <c r="CR1" s="68"/>
      <c r="CS1" s="68"/>
      <c r="CT1" s="68"/>
      <c r="CU1" s="68"/>
      <c r="CV1" s="68"/>
      <c r="CW1" s="68"/>
      <c r="CX1" s="68"/>
      <c r="CY1" s="68"/>
      <c r="CZ1" s="68"/>
      <c r="DA1" s="68"/>
      <c r="DB1" s="68"/>
      <c r="DC1" s="68"/>
      <c r="DD1" s="68"/>
      <c r="DE1" s="68"/>
      <c r="DF1" s="68"/>
      <c r="DG1" s="68"/>
      <c r="DH1" s="68"/>
      <c r="DI1" s="68"/>
      <c r="DJ1" s="68"/>
      <c r="DK1" s="68"/>
      <c r="DL1" s="68"/>
      <c r="DM1" s="68"/>
      <c r="DN1" s="68"/>
      <c r="DO1" s="68"/>
      <c r="DP1" s="68"/>
    </row>
    <row r="2" spans="1:120" s="69" customFormat="1" ht="6.95" customHeight="1" x14ac:dyDescent="0.2">
      <c r="A2" s="66"/>
      <c r="B2" s="484"/>
      <c r="C2" s="459"/>
      <c r="D2" s="460"/>
      <c r="E2" s="460"/>
      <c r="F2" s="460"/>
      <c r="G2" s="461"/>
      <c r="H2" s="461"/>
      <c r="I2" s="461"/>
      <c r="J2" s="461"/>
      <c r="K2" s="461"/>
      <c r="L2" s="461"/>
      <c r="M2" s="461"/>
      <c r="N2" s="461"/>
      <c r="O2" s="461"/>
      <c r="P2" s="461"/>
      <c r="Q2" s="461"/>
      <c r="R2" s="461"/>
      <c r="S2" s="461"/>
      <c r="T2" s="461"/>
      <c r="U2" s="461"/>
      <c r="V2" s="461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8"/>
      <c r="AP2" s="68"/>
      <c r="AQ2" s="68"/>
      <c r="AR2" s="68"/>
      <c r="AS2" s="68"/>
      <c r="AT2" s="68"/>
      <c r="AU2" s="68"/>
      <c r="AV2" s="68"/>
      <c r="AW2" s="68"/>
      <c r="AX2" s="68"/>
      <c r="AY2" s="68"/>
      <c r="AZ2" s="68"/>
      <c r="BA2" s="68"/>
      <c r="BB2" s="68"/>
      <c r="BC2" s="68"/>
      <c r="BD2" s="68"/>
      <c r="BE2" s="68"/>
      <c r="BF2" s="68"/>
      <c r="BG2" s="68"/>
      <c r="BH2" s="68"/>
      <c r="BI2" s="68"/>
      <c r="BJ2" s="68"/>
      <c r="BK2" s="68"/>
      <c r="BL2" s="68"/>
      <c r="BM2" s="68"/>
      <c r="BN2" s="68"/>
      <c r="BO2" s="68"/>
      <c r="BP2" s="68"/>
      <c r="BQ2" s="68"/>
      <c r="BR2" s="68"/>
      <c r="BS2" s="68"/>
      <c r="BT2" s="68"/>
      <c r="BU2" s="68"/>
      <c r="BV2" s="68"/>
      <c r="BW2" s="68"/>
      <c r="BX2" s="68"/>
      <c r="BY2" s="68"/>
      <c r="BZ2" s="68"/>
      <c r="CA2" s="68"/>
      <c r="CB2" s="68"/>
      <c r="CC2" s="68"/>
      <c r="CD2" s="68"/>
      <c r="CE2" s="68"/>
      <c r="CF2" s="68"/>
      <c r="CG2" s="68"/>
      <c r="CH2" s="68"/>
      <c r="CI2" s="68"/>
      <c r="CJ2" s="68"/>
      <c r="CK2" s="68"/>
      <c r="CL2" s="68"/>
      <c r="CM2" s="68"/>
      <c r="CN2" s="68"/>
      <c r="CO2" s="68"/>
      <c r="CP2" s="68"/>
      <c r="CQ2" s="68"/>
      <c r="CR2" s="68"/>
      <c r="CS2" s="68"/>
      <c r="CT2" s="68"/>
      <c r="CU2" s="68"/>
      <c r="CV2" s="68"/>
      <c r="CW2" s="68"/>
      <c r="CX2" s="68"/>
      <c r="CY2" s="68"/>
      <c r="CZ2" s="68"/>
      <c r="DA2" s="68"/>
      <c r="DB2" s="68"/>
      <c r="DC2" s="68"/>
      <c r="DD2" s="68"/>
      <c r="DE2" s="68"/>
      <c r="DF2" s="68"/>
      <c r="DG2" s="68"/>
      <c r="DH2" s="68"/>
      <c r="DI2" s="68"/>
      <c r="DJ2" s="68"/>
      <c r="DK2" s="68"/>
      <c r="DL2" s="68"/>
      <c r="DM2" s="68"/>
      <c r="DN2" s="68"/>
      <c r="DO2" s="68"/>
      <c r="DP2" s="68"/>
    </row>
    <row r="3" spans="1:120" s="69" customFormat="1" ht="14.1" customHeight="1" x14ac:dyDescent="0.2">
      <c r="A3" s="66"/>
      <c r="B3" s="484" t="s">
        <v>142</v>
      </c>
      <c r="C3" s="462"/>
      <c r="D3" s="462"/>
      <c r="E3" s="462"/>
      <c r="F3" s="462"/>
      <c r="G3" s="462"/>
      <c r="H3" s="461"/>
      <c r="I3" s="461"/>
      <c r="J3" s="461"/>
      <c r="K3" s="461"/>
      <c r="L3" s="461"/>
      <c r="M3" s="461"/>
      <c r="N3" s="461"/>
      <c r="O3" s="461"/>
      <c r="P3" s="461"/>
      <c r="Q3" s="461"/>
      <c r="R3" s="461"/>
      <c r="S3" s="461"/>
      <c r="T3" s="461"/>
      <c r="U3" s="461"/>
      <c r="V3" s="461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  <c r="AO3" s="68"/>
      <c r="AP3" s="68"/>
      <c r="AQ3" s="68"/>
      <c r="AR3" s="68"/>
      <c r="AS3" s="68"/>
      <c r="AT3" s="68"/>
      <c r="AU3" s="68"/>
      <c r="AV3" s="68"/>
      <c r="AW3" s="68"/>
      <c r="AX3" s="68"/>
      <c r="AY3" s="68"/>
      <c r="AZ3" s="68"/>
      <c r="BA3" s="68"/>
      <c r="BB3" s="68"/>
      <c r="BC3" s="68"/>
      <c r="BD3" s="68"/>
      <c r="BE3" s="68"/>
      <c r="BF3" s="68"/>
      <c r="BG3" s="68"/>
      <c r="BH3" s="68"/>
      <c r="BI3" s="68"/>
      <c r="BJ3" s="68"/>
      <c r="BK3" s="68"/>
      <c r="BL3" s="68"/>
      <c r="BM3" s="68"/>
      <c r="BN3" s="68"/>
      <c r="BO3" s="68"/>
      <c r="BP3" s="68"/>
      <c r="BQ3" s="68"/>
      <c r="BR3" s="68"/>
      <c r="BS3" s="68"/>
      <c r="BT3" s="68"/>
      <c r="BU3" s="68"/>
      <c r="BV3" s="68"/>
      <c r="BW3" s="68"/>
      <c r="BX3" s="68"/>
      <c r="BY3" s="68"/>
      <c r="BZ3" s="68"/>
      <c r="CA3" s="68"/>
      <c r="CB3" s="68"/>
      <c r="CC3" s="68"/>
      <c r="CD3" s="68"/>
      <c r="CE3" s="68"/>
      <c r="CF3" s="68"/>
      <c r="CG3" s="68"/>
      <c r="CH3" s="68"/>
      <c r="CI3" s="68"/>
      <c r="CJ3" s="68"/>
      <c r="CK3" s="68"/>
      <c r="CL3" s="68"/>
      <c r="CM3" s="68"/>
      <c r="CN3" s="68"/>
      <c r="CO3" s="68"/>
      <c r="CP3" s="68"/>
      <c r="CQ3" s="68"/>
      <c r="CR3" s="68"/>
      <c r="CS3" s="68"/>
      <c r="CT3" s="68"/>
      <c r="CU3" s="68"/>
      <c r="CV3" s="68"/>
      <c r="CW3" s="68"/>
      <c r="CX3" s="68"/>
      <c r="CY3" s="68"/>
      <c r="CZ3" s="68"/>
      <c r="DA3" s="68"/>
      <c r="DB3" s="68"/>
      <c r="DC3" s="68"/>
      <c r="DD3" s="68"/>
      <c r="DE3" s="68"/>
      <c r="DF3" s="68"/>
      <c r="DG3" s="68"/>
      <c r="DH3" s="68"/>
      <c r="DI3" s="68"/>
      <c r="DJ3" s="68"/>
      <c r="DK3" s="68"/>
      <c r="DL3" s="68"/>
      <c r="DM3" s="68"/>
      <c r="DN3" s="68"/>
      <c r="DO3" s="68"/>
      <c r="DP3" s="68"/>
    </row>
    <row r="4" spans="1:120" s="69" customFormat="1" ht="6.95" customHeight="1" x14ac:dyDescent="0.2">
      <c r="A4" s="66"/>
      <c r="B4" s="461"/>
      <c r="C4" s="459"/>
      <c r="D4" s="459"/>
      <c r="E4" s="459"/>
      <c r="F4" s="459"/>
      <c r="G4" s="461"/>
      <c r="H4" s="461"/>
      <c r="I4" s="461"/>
      <c r="J4" s="461"/>
      <c r="K4" s="461"/>
      <c r="L4" s="461"/>
      <c r="M4" s="461"/>
      <c r="N4" s="461"/>
      <c r="O4" s="461"/>
      <c r="P4" s="461"/>
      <c r="Q4" s="461"/>
      <c r="R4" s="461"/>
      <c r="S4" s="461"/>
      <c r="T4" s="461"/>
      <c r="U4" s="461"/>
      <c r="V4" s="461"/>
      <c r="W4" s="68"/>
      <c r="X4" s="68"/>
      <c r="Y4" s="68"/>
      <c r="Z4" s="68"/>
      <c r="AA4" s="68"/>
      <c r="AB4" s="68"/>
      <c r="AC4" s="68"/>
      <c r="AD4" s="68"/>
      <c r="AE4" s="68"/>
      <c r="AF4" s="68"/>
      <c r="AG4" s="68"/>
      <c r="AH4" s="68"/>
      <c r="AI4" s="68"/>
      <c r="AJ4" s="68"/>
      <c r="AK4" s="68"/>
      <c r="AL4" s="68"/>
      <c r="AM4" s="68"/>
      <c r="AN4" s="68"/>
      <c r="AO4" s="68"/>
      <c r="AP4" s="68"/>
      <c r="AQ4" s="68"/>
      <c r="AR4" s="68"/>
      <c r="AS4" s="68"/>
      <c r="AT4" s="68"/>
      <c r="AU4" s="68"/>
      <c r="AV4" s="68"/>
      <c r="AW4" s="68"/>
      <c r="AX4" s="68"/>
      <c r="AY4" s="68"/>
      <c r="AZ4" s="68"/>
      <c r="BA4" s="68"/>
      <c r="BB4" s="68"/>
      <c r="BC4" s="68"/>
      <c r="BD4" s="68"/>
      <c r="BE4" s="68"/>
      <c r="BF4" s="68"/>
      <c r="BG4" s="68"/>
      <c r="BH4" s="68"/>
      <c r="BI4" s="68"/>
      <c r="BJ4" s="68"/>
      <c r="BK4" s="68"/>
      <c r="BL4" s="68"/>
      <c r="BM4" s="68"/>
      <c r="BN4" s="68"/>
      <c r="BO4" s="68"/>
      <c r="BP4" s="68"/>
      <c r="BQ4" s="68"/>
      <c r="BR4" s="68"/>
      <c r="BS4" s="68"/>
      <c r="BT4" s="68"/>
      <c r="BU4" s="68"/>
      <c r="BV4" s="68"/>
      <c r="BW4" s="68"/>
      <c r="BX4" s="68"/>
      <c r="BY4" s="68"/>
      <c r="BZ4" s="68"/>
      <c r="CA4" s="68"/>
      <c r="CB4" s="68"/>
      <c r="CC4" s="68"/>
      <c r="CD4" s="68"/>
      <c r="CE4" s="68"/>
      <c r="CF4" s="68"/>
      <c r="CG4" s="68"/>
      <c r="CH4" s="68"/>
      <c r="CI4" s="68"/>
      <c r="CJ4" s="68"/>
      <c r="CK4" s="68"/>
      <c r="CL4" s="68"/>
      <c r="CM4" s="68"/>
      <c r="CN4" s="68"/>
      <c r="CO4" s="68"/>
      <c r="CP4" s="68"/>
      <c r="CQ4" s="68"/>
      <c r="CR4" s="68"/>
      <c r="CS4" s="68"/>
      <c r="CT4" s="68"/>
      <c r="CU4" s="68"/>
      <c r="CV4" s="68"/>
      <c r="CW4" s="68"/>
      <c r="CX4" s="68"/>
      <c r="CY4" s="68"/>
      <c r="CZ4" s="68"/>
      <c r="DA4" s="68"/>
      <c r="DB4" s="68"/>
      <c r="DC4" s="68"/>
      <c r="DD4" s="68"/>
      <c r="DE4" s="68"/>
      <c r="DF4" s="68"/>
      <c r="DG4" s="68"/>
      <c r="DH4" s="68"/>
      <c r="DI4" s="68"/>
      <c r="DJ4" s="68"/>
      <c r="DK4" s="68"/>
      <c r="DL4" s="68"/>
      <c r="DM4" s="68"/>
      <c r="DN4" s="68"/>
      <c r="DO4" s="68"/>
      <c r="DP4" s="68"/>
    </row>
    <row r="5" spans="1:120" s="69" customFormat="1" ht="12" x14ac:dyDescent="0.2">
      <c r="A5" s="66"/>
      <c r="B5" s="579" t="s">
        <v>74</v>
      </c>
      <c r="C5" s="579"/>
      <c r="D5" s="579"/>
      <c r="E5" s="579"/>
      <c r="F5" s="579"/>
      <c r="G5" s="579"/>
      <c r="H5" s="579"/>
      <c r="I5" s="579"/>
      <c r="J5" s="579"/>
      <c r="K5" s="579"/>
      <c r="L5" s="579"/>
      <c r="M5" s="579"/>
      <c r="N5" s="579"/>
      <c r="O5" s="579"/>
      <c r="P5" s="463"/>
      <c r="Q5" s="464"/>
      <c r="R5" s="70"/>
      <c r="S5" s="461"/>
      <c r="T5" s="461"/>
      <c r="U5" s="461"/>
      <c r="V5" s="75" t="s">
        <v>95</v>
      </c>
      <c r="W5" s="68"/>
      <c r="X5" s="68"/>
      <c r="Y5" s="68"/>
      <c r="Z5" s="68"/>
      <c r="AA5" s="68"/>
      <c r="AB5" s="68"/>
      <c r="AC5" s="68"/>
      <c r="AD5" s="68"/>
      <c r="AE5" s="68"/>
      <c r="AF5" s="68"/>
      <c r="AG5" s="68"/>
      <c r="AH5" s="68"/>
      <c r="AI5" s="68"/>
      <c r="AJ5" s="68"/>
      <c r="AK5" s="68"/>
      <c r="AL5" s="68"/>
      <c r="AM5" s="68"/>
      <c r="AN5" s="68"/>
      <c r="AO5" s="68"/>
      <c r="AP5" s="68"/>
      <c r="AQ5" s="68"/>
      <c r="AR5" s="68"/>
      <c r="AS5" s="68"/>
      <c r="AT5" s="68"/>
      <c r="AU5" s="68"/>
      <c r="AV5" s="68"/>
      <c r="AW5" s="68"/>
      <c r="AX5" s="68"/>
      <c r="AY5" s="68"/>
      <c r="AZ5" s="68"/>
      <c r="BA5" s="68"/>
      <c r="BB5" s="68"/>
      <c r="BC5" s="68"/>
      <c r="BD5" s="68"/>
      <c r="BE5" s="68"/>
      <c r="BF5" s="68"/>
      <c r="BG5" s="68"/>
      <c r="BH5" s="68"/>
      <c r="BI5" s="68"/>
      <c r="BJ5" s="68"/>
      <c r="BK5" s="68"/>
      <c r="BL5" s="68"/>
      <c r="BM5" s="68"/>
      <c r="BN5" s="68"/>
      <c r="BO5" s="68"/>
      <c r="BP5" s="68"/>
      <c r="BQ5" s="68"/>
      <c r="BR5" s="68"/>
      <c r="BS5" s="68"/>
      <c r="BT5" s="68"/>
      <c r="BU5" s="68"/>
      <c r="BV5" s="68"/>
      <c r="BW5" s="68"/>
      <c r="BX5" s="68"/>
      <c r="BY5" s="68"/>
      <c r="BZ5" s="68"/>
      <c r="CA5" s="68"/>
      <c r="CB5" s="68"/>
      <c r="CC5" s="68"/>
      <c r="CD5" s="68"/>
      <c r="CE5" s="68"/>
      <c r="CF5" s="68"/>
      <c r="CG5" s="68"/>
      <c r="CH5" s="68"/>
      <c r="CI5" s="68"/>
      <c r="CJ5" s="68"/>
      <c r="CK5" s="68"/>
      <c r="CL5" s="68"/>
      <c r="CM5" s="68"/>
      <c r="CN5" s="68"/>
      <c r="CO5" s="68"/>
      <c r="CP5" s="68"/>
      <c r="CQ5" s="68"/>
      <c r="CR5" s="68"/>
      <c r="CS5" s="68"/>
      <c r="CT5" s="68"/>
      <c r="CU5" s="68"/>
      <c r="CV5" s="68"/>
      <c r="CW5" s="68"/>
      <c r="CX5" s="68"/>
      <c r="CY5" s="68"/>
      <c r="CZ5" s="68"/>
      <c r="DA5" s="68"/>
      <c r="DB5" s="68"/>
      <c r="DC5" s="68"/>
      <c r="DD5" s="68"/>
      <c r="DE5" s="68"/>
      <c r="DF5" s="68"/>
      <c r="DG5" s="68"/>
      <c r="DH5" s="68"/>
      <c r="DI5" s="68"/>
      <c r="DJ5" s="68"/>
      <c r="DK5" s="68"/>
      <c r="DL5" s="68"/>
      <c r="DM5" s="68"/>
      <c r="DN5" s="68"/>
      <c r="DO5" s="68"/>
      <c r="DP5" s="68"/>
    </row>
    <row r="6" spans="1:120" ht="6" customHeight="1" x14ac:dyDescent="0.2">
      <c r="A6" s="66"/>
      <c r="B6" s="465"/>
      <c r="C6" s="580"/>
      <c r="D6" s="580"/>
      <c r="E6" s="580"/>
      <c r="F6" s="581"/>
      <c r="G6" s="581"/>
      <c r="H6" s="581"/>
      <c r="I6" s="581"/>
      <c r="J6" s="581"/>
      <c r="K6" s="581"/>
      <c r="L6" s="581"/>
      <c r="M6" s="582"/>
      <c r="N6" s="582"/>
      <c r="O6" s="582"/>
      <c r="P6" s="466"/>
      <c r="Q6" s="467"/>
      <c r="R6" s="467"/>
      <c r="S6" s="467"/>
      <c r="T6" s="467"/>
      <c r="U6" s="467"/>
      <c r="V6" s="467"/>
    </row>
    <row r="7" spans="1:120" ht="12.75" x14ac:dyDescent="0.2">
      <c r="A7" s="66"/>
      <c r="B7" s="535" t="s">
        <v>1</v>
      </c>
      <c r="C7" s="535"/>
      <c r="D7" s="583" t="s">
        <v>23</v>
      </c>
      <c r="E7" s="468"/>
      <c r="F7" s="578" t="s">
        <v>71</v>
      </c>
      <c r="G7" s="578"/>
      <c r="H7" s="578"/>
      <c r="I7" s="578"/>
      <c r="J7" s="578"/>
      <c r="K7" s="578"/>
      <c r="L7" s="578"/>
      <c r="M7" s="578"/>
      <c r="N7" s="578"/>
      <c r="O7" s="578"/>
      <c r="P7" s="578"/>
      <c r="Q7" s="578"/>
      <c r="R7" s="578"/>
      <c r="S7" s="578"/>
      <c r="T7" s="578"/>
      <c r="U7" s="578"/>
      <c r="V7" s="578"/>
    </row>
    <row r="8" spans="1:120" ht="18" customHeight="1" x14ac:dyDescent="0.2">
      <c r="A8" s="66"/>
      <c r="B8" s="536"/>
      <c r="C8" s="536"/>
      <c r="D8" s="584"/>
      <c r="E8" s="469"/>
      <c r="F8" s="578" t="s">
        <v>84</v>
      </c>
      <c r="G8" s="578"/>
      <c r="H8" s="468"/>
      <c r="I8" s="578" t="s">
        <v>72</v>
      </c>
      <c r="J8" s="578"/>
      <c r="K8" s="470"/>
      <c r="L8" s="578" t="s">
        <v>85</v>
      </c>
      <c r="M8" s="578"/>
      <c r="N8" s="470"/>
      <c r="O8" s="578" t="s">
        <v>86</v>
      </c>
      <c r="P8" s="578"/>
      <c r="Q8" s="471"/>
      <c r="R8" s="578" t="s">
        <v>73</v>
      </c>
      <c r="S8" s="578"/>
      <c r="T8" s="472"/>
      <c r="U8" s="578" t="s">
        <v>19</v>
      </c>
      <c r="V8" s="578"/>
    </row>
    <row r="9" spans="1:120" ht="15" x14ac:dyDescent="0.2">
      <c r="A9" s="12"/>
      <c r="B9" s="537"/>
      <c r="C9" s="537"/>
      <c r="D9" s="585"/>
      <c r="E9" s="473"/>
      <c r="F9" s="63" t="s">
        <v>13</v>
      </c>
      <c r="G9" s="63" t="s">
        <v>14</v>
      </c>
      <c r="H9" s="473"/>
      <c r="I9" s="63" t="s">
        <v>13</v>
      </c>
      <c r="J9" s="63" t="s">
        <v>14</v>
      </c>
      <c r="K9" s="474"/>
      <c r="L9" s="63" t="s">
        <v>13</v>
      </c>
      <c r="M9" s="63" t="s">
        <v>14</v>
      </c>
      <c r="N9" s="474"/>
      <c r="O9" s="63" t="s">
        <v>13</v>
      </c>
      <c r="P9" s="63" t="s">
        <v>14</v>
      </c>
      <c r="Q9" s="475"/>
      <c r="R9" s="63" t="s">
        <v>13</v>
      </c>
      <c r="S9" s="63" t="s">
        <v>14</v>
      </c>
      <c r="T9" s="475"/>
      <c r="U9" s="63" t="s">
        <v>13</v>
      </c>
      <c r="V9" s="63" t="s">
        <v>14</v>
      </c>
    </row>
    <row r="10" spans="1:120" ht="6" customHeight="1" x14ac:dyDescent="0.2">
      <c r="A10" s="67"/>
      <c r="B10" s="476"/>
      <c r="C10" s="476"/>
      <c r="D10" s="477"/>
      <c r="E10" s="477"/>
      <c r="F10" s="477"/>
      <c r="G10" s="478"/>
      <c r="H10" s="478"/>
      <c r="I10" s="479"/>
      <c r="J10" s="480"/>
      <c r="K10" s="480"/>
      <c r="L10" s="480"/>
      <c r="M10" s="480"/>
      <c r="N10" s="480"/>
      <c r="O10" s="480"/>
      <c r="P10" s="480"/>
      <c r="Q10" s="467"/>
      <c r="R10" s="467"/>
      <c r="S10" s="467"/>
      <c r="T10" s="467"/>
      <c r="U10" s="467"/>
      <c r="V10" s="467"/>
    </row>
    <row r="11" spans="1:120" ht="15" x14ac:dyDescent="0.2">
      <c r="A11" s="17"/>
      <c r="B11" s="37" t="s">
        <v>5</v>
      </c>
      <c r="C11" s="481"/>
      <c r="D11" s="159">
        <v>35662946.186790802</v>
      </c>
      <c r="E11" s="482"/>
      <c r="F11" s="159">
        <v>6649930.85719564</v>
      </c>
      <c r="G11" s="159">
        <v>18.795764806699999</v>
      </c>
      <c r="H11" s="482"/>
      <c r="I11" s="159">
        <v>9658422.5148300603</v>
      </c>
      <c r="J11" s="159">
        <v>27.315457037400002</v>
      </c>
      <c r="K11" s="50"/>
      <c r="L11" s="159">
        <v>7908457.1360499496</v>
      </c>
      <c r="M11" s="159">
        <v>22.358465649399999</v>
      </c>
      <c r="N11" s="482"/>
      <c r="O11" s="159">
        <v>5437859.8608332602</v>
      </c>
      <c r="P11" s="159">
        <v>15.398004117099999</v>
      </c>
      <c r="Q11" s="482"/>
      <c r="R11" s="159">
        <v>5295388.97947363</v>
      </c>
      <c r="S11" s="159">
        <v>14.992164770600001</v>
      </c>
      <c r="T11" s="51"/>
      <c r="U11" s="159">
        <v>1275177.2912556501</v>
      </c>
      <c r="V11" s="159">
        <v>3.6137856713000001</v>
      </c>
    </row>
    <row r="12" spans="1:120" ht="6" customHeight="1" x14ac:dyDescent="0.2">
      <c r="A12" s="11"/>
      <c r="B12" s="3"/>
      <c r="C12" s="3"/>
      <c r="D12" s="95"/>
      <c r="E12" s="482"/>
      <c r="F12" s="95"/>
      <c r="G12" s="96"/>
      <c r="H12" s="482"/>
      <c r="I12" s="95"/>
      <c r="J12" s="96"/>
      <c r="K12" s="50"/>
      <c r="L12" s="95"/>
      <c r="M12" s="96"/>
      <c r="N12" s="482"/>
      <c r="O12" s="95"/>
      <c r="P12" s="96"/>
      <c r="Q12" s="482"/>
      <c r="R12" s="95"/>
      <c r="S12" s="96"/>
      <c r="T12" s="50"/>
      <c r="U12" s="95"/>
      <c r="V12" s="96"/>
    </row>
    <row r="13" spans="1:120" x14ac:dyDescent="0.2">
      <c r="A13" s="11"/>
      <c r="B13" s="22" t="s">
        <v>6</v>
      </c>
      <c r="C13" s="3"/>
      <c r="D13" s="160">
        <v>7588550.2270174799</v>
      </c>
      <c r="E13" s="483"/>
      <c r="F13" s="160">
        <v>1931948.22963739</v>
      </c>
      <c r="G13" s="160">
        <v>25.955843376299999</v>
      </c>
      <c r="H13" s="483"/>
      <c r="I13" s="160">
        <v>2158428.8210249501</v>
      </c>
      <c r="J13" s="160">
        <v>29.033452055000001</v>
      </c>
      <c r="K13" s="50"/>
      <c r="L13" s="160">
        <v>1622140.8312896199</v>
      </c>
      <c r="M13" s="160">
        <v>21.8261348184</v>
      </c>
      <c r="N13" s="483"/>
      <c r="O13" s="160">
        <v>993805.98215116898</v>
      </c>
      <c r="P13" s="160">
        <v>13.380141228699999</v>
      </c>
      <c r="Q13" s="483"/>
      <c r="R13" s="160">
        <v>913670.34971704101</v>
      </c>
      <c r="S13" s="160">
        <v>12.3061502959</v>
      </c>
      <c r="T13" s="52"/>
      <c r="U13" s="160">
        <v>167125.80167677699</v>
      </c>
      <c r="V13" s="160">
        <v>2.2582204329</v>
      </c>
    </row>
    <row r="14" spans="1:120" x14ac:dyDescent="0.2">
      <c r="A14" s="11"/>
      <c r="B14" s="22" t="s">
        <v>7</v>
      </c>
      <c r="C14" s="3"/>
      <c r="D14" s="160">
        <v>4880011.4888669197</v>
      </c>
      <c r="E14" s="483"/>
      <c r="F14" s="160">
        <v>1033875.46883064</v>
      </c>
      <c r="G14" s="160">
        <v>21.742289928000002</v>
      </c>
      <c r="H14" s="483"/>
      <c r="I14" s="160">
        <v>1397195.7279202801</v>
      </c>
      <c r="J14" s="160">
        <v>29.411140814100001</v>
      </c>
      <c r="K14" s="50"/>
      <c r="L14" s="160">
        <v>1063885.6884653801</v>
      </c>
      <c r="M14" s="160">
        <v>22.3785088357</v>
      </c>
      <c r="N14" s="483"/>
      <c r="O14" s="160">
        <v>735775.67855124804</v>
      </c>
      <c r="P14" s="160">
        <v>15.5515390398</v>
      </c>
      <c r="Q14" s="483"/>
      <c r="R14" s="160">
        <v>671142.06824028795</v>
      </c>
      <c r="S14" s="160">
        <v>14.2081090116</v>
      </c>
      <c r="T14" s="52"/>
      <c r="U14" s="160">
        <v>127102.941378356</v>
      </c>
      <c r="V14" s="160">
        <v>2.7127212867999999</v>
      </c>
    </row>
    <row r="15" spans="1:120" x14ac:dyDescent="0.2">
      <c r="A15" s="12"/>
      <c r="B15" s="22" t="s">
        <v>8</v>
      </c>
      <c r="C15" s="3"/>
      <c r="D15" s="160">
        <v>5869884.8887314703</v>
      </c>
      <c r="E15" s="483"/>
      <c r="F15" s="160">
        <v>1100774.3905078301</v>
      </c>
      <c r="G15" s="160">
        <v>19.224000820899999</v>
      </c>
      <c r="H15" s="483"/>
      <c r="I15" s="160">
        <v>1528355.3739487301</v>
      </c>
      <c r="J15" s="160">
        <v>26.8385465235</v>
      </c>
      <c r="K15" s="50"/>
      <c r="L15" s="160">
        <v>1358580.1589096801</v>
      </c>
      <c r="M15" s="160">
        <v>23.651462929299999</v>
      </c>
      <c r="N15" s="483"/>
      <c r="O15" s="160">
        <v>922200.18302681297</v>
      </c>
      <c r="P15" s="160">
        <v>16.208309847799999</v>
      </c>
      <c r="Q15" s="483"/>
      <c r="R15" s="160">
        <v>1029163.65096352</v>
      </c>
      <c r="S15" s="160">
        <v>18.034283584299999</v>
      </c>
      <c r="T15" s="52"/>
      <c r="U15" s="160">
        <v>136066.25011424001</v>
      </c>
      <c r="V15" s="160">
        <v>2.3947632675000001</v>
      </c>
    </row>
    <row r="16" spans="1:120" x14ac:dyDescent="0.2">
      <c r="A16" s="12"/>
      <c r="B16" s="22" t="s">
        <v>79</v>
      </c>
      <c r="C16" s="3"/>
      <c r="D16" s="160">
        <v>17733822.4099744</v>
      </c>
      <c r="E16" s="483"/>
      <c r="F16" s="160">
        <v>2757880.8118755599</v>
      </c>
      <c r="G16" s="160">
        <v>15.6870542418</v>
      </c>
      <c r="H16" s="483"/>
      <c r="I16" s="160">
        <v>4782342.3343780702</v>
      </c>
      <c r="J16" s="160">
        <v>27.183585992099999</v>
      </c>
      <c r="K16" s="50"/>
      <c r="L16" s="160">
        <v>4038612.2240892099</v>
      </c>
      <c r="M16" s="160">
        <v>22.982063864099999</v>
      </c>
      <c r="N16" s="483"/>
      <c r="O16" s="160">
        <v>2916901.86564739</v>
      </c>
      <c r="P16" s="160">
        <v>16.615866927100001</v>
      </c>
      <c r="Q16" s="483"/>
      <c r="R16" s="160">
        <v>2829579.9153363998</v>
      </c>
      <c r="S16" s="160">
        <v>16.120249277799999</v>
      </c>
      <c r="T16" s="52"/>
      <c r="U16" s="160">
        <v>895908.73987445899</v>
      </c>
      <c r="V16" s="160">
        <v>5.0995293176000001</v>
      </c>
    </row>
    <row r="17" spans="1:22" ht="6" customHeight="1" x14ac:dyDescent="0.2">
      <c r="A17" s="12"/>
      <c r="B17" s="47"/>
      <c r="C17" s="47"/>
      <c r="D17" s="47"/>
      <c r="E17" s="47"/>
      <c r="F17" s="47"/>
      <c r="G17" s="47"/>
      <c r="H17" s="47"/>
      <c r="I17" s="47"/>
      <c r="J17" s="47"/>
      <c r="K17" s="47"/>
      <c r="L17" s="47"/>
      <c r="M17" s="47"/>
      <c r="N17" s="47"/>
      <c r="O17" s="47"/>
      <c r="P17" s="47"/>
      <c r="Q17" s="47"/>
      <c r="R17" s="47"/>
      <c r="S17" s="47"/>
      <c r="T17" s="47"/>
      <c r="U17" s="47"/>
      <c r="V17" s="47"/>
    </row>
    <row r="18" spans="1:22" ht="6" customHeight="1" x14ac:dyDescent="0.2">
      <c r="A18" s="21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s="89" customFormat="1" ht="11.25" customHeight="1" x14ac:dyDescent="0.2">
      <c r="B19" s="24" t="s">
        <v>9</v>
      </c>
    </row>
    <row r="20" spans="1:22" x14ac:dyDescent="0.2"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</row>
    <row r="21" spans="1:22" x14ac:dyDescent="0.2"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"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2" x14ac:dyDescent="0.2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</row>
    <row r="26" spans="1:22" x14ac:dyDescent="0.2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2" x14ac:dyDescent="0.2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</row>
    <row r="28" spans="1:22" x14ac:dyDescent="0.2"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2" x14ac:dyDescent="0.2"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</row>
    <row r="30" spans="1:22" x14ac:dyDescent="0.2"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</row>
    <row r="31" spans="1:22" x14ac:dyDescent="0.2"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</row>
    <row r="32" spans="1:22" x14ac:dyDescent="0.2"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</row>
    <row r="33" spans="2:22" x14ac:dyDescent="0.2"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</row>
    <row r="34" spans="2:22" x14ac:dyDescent="0.2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</row>
    <row r="35" spans="2:22" x14ac:dyDescent="0.2"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2:22" x14ac:dyDescent="0.2"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2:22" x14ac:dyDescent="0.2"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2:22" x14ac:dyDescent="0.2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2:22" x14ac:dyDescent="0.2"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  <row r="40" spans="2:22" x14ac:dyDescent="0.2"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</row>
    <row r="41" spans="2:22" x14ac:dyDescent="0.2"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</row>
    <row r="42" spans="2:22" x14ac:dyDescent="0.2"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</row>
    <row r="43" spans="2:22" x14ac:dyDescent="0.2"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</row>
    <row r="44" spans="2:22" x14ac:dyDescent="0.2"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</row>
    <row r="45" spans="2:22" x14ac:dyDescent="0.2"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</row>
    <row r="46" spans="2:22" x14ac:dyDescent="0.2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</row>
    <row r="47" spans="2:22" x14ac:dyDescent="0.2"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</row>
    <row r="48" spans="2:22" x14ac:dyDescent="0.2"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</row>
    <row r="49" spans="2:22" x14ac:dyDescent="0.2"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</row>
    <row r="50" spans="2:22" x14ac:dyDescent="0.2"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</row>
    <row r="51" spans="2:22" x14ac:dyDescent="0.2"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</row>
    <row r="52" spans="2:22" x14ac:dyDescent="0.2"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</row>
    <row r="53" spans="2:22" x14ac:dyDescent="0.2"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</row>
    <row r="54" spans="2:22" x14ac:dyDescent="0.2"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</row>
    <row r="55" spans="2:22" x14ac:dyDescent="0.2"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</row>
    <row r="56" spans="2:22" x14ac:dyDescent="0.2"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</row>
    <row r="57" spans="2:22" x14ac:dyDescent="0.2"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</row>
    <row r="58" spans="2:22" x14ac:dyDescent="0.2"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</row>
    <row r="59" spans="2:22" x14ac:dyDescent="0.2"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</row>
    <row r="60" spans="2:22" x14ac:dyDescent="0.2"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</row>
    <row r="61" spans="2:22" x14ac:dyDescent="0.2"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</row>
    <row r="62" spans="2:22" x14ac:dyDescent="0.2"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</row>
    <row r="63" spans="2:22" x14ac:dyDescent="0.2"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</row>
    <row r="64" spans="2:22" x14ac:dyDescent="0.2"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</row>
    <row r="65" spans="2:22" x14ac:dyDescent="0.2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</row>
    <row r="66" spans="2:22" x14ac:dyDescent="0.2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</row>
    <row r="67" spans="2:22" x14ac:dyDescent="0.2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</row>
    <row r="68" spans="2:22" x14ac:dyDescent="0.2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</row>
    <row r="69" spans="2:22" x14ac:dyDescent="0.2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</row>
    <row r="70" spans="2:22" x14ac:dyDescent="0.2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</row>
    <row r="71" spans="2:22" x14ac:dyDescent="0.2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</row>
    <row r="72" spans="2:22" x14ac:dyDescent="0.2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</row>
    <row r="73" spans="2:22" x14ac:dyDescent="0.2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</row>
    <row r="74" spans="2:22" x14ac:dyDescent="0.2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</row>
    <row r="75" spans="2:22" x14ac:dyDescent="0.2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</row>
    <row r="76" spans="2:22" x14ac:dyDescent="0.2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</row>
    <row r="77" spans="2:22" x14ac:dyDescent="0.2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</row>
    <row r="78" spans="2:22" x14ac:dyDescent="0.2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</row>
  </sheetData>
  <mergeCells count="11">
    <mergeCell ref="U8:V8"/>
    <mergeCell ref="B5:O5"/>
    <mergeCell ref="C6:O6"/>
    <mergeCell ref="B7:C9"/>
    <mergeCell ref="D7:D9"/>
    <mergeCell ref="F7:V7"/>
    <mergeCell ref="F8:G8"/>
    <mergeCell ref="I8:J8"/>
    <mergeCell ref="L8:M8"/>
    <mergeCell ref="O8:P8"/>
    <mergeCell ref="R8:S8"/>
  </mergeCells>
  <hyperlinks>
    <hyperlink ref="V1" location="Índice!A1" tooltip="Ir a ÍNDICE" display="INDICE" xr:uid="{B139ABB0-DCDE-44DA-814A-DA07967871EA}"/>
  </hyperlink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55650-17F3-4D1D-A9A0-2D9ECD8A6E7C}">
  <dimension ref="A1:AN335"/>
  <sheetViews>
    <sheetView showGridLines="0" zoomScaleNormal="100" workbookViewId="0"/>
  </sheetViews>
  <sheetFormatPr baseColWidth="10" defaultColWidth="9.140625" defaultRowHeight="14.25" x14ac:dyDescent="0.2"/>
  <cols>
    <col min="1" max="1" width="1.7109375" style="5" customWidth="1"/>
    <col min="2" max="2" width="31.7109375" customWidth="1"/>
    <col min="3" max="3" width="1.7109375" customWidth="1"/>
    <col min="4" max="4" width="16.7109375" customWidth="1"/>
    <col min="5" max="5" width="1.7109375" customWidth="1"/>
    <col min="6" max="6" width="13.42578125" customWidth="1"/>
    <col min="8" max="8" width="1.7109375" customWidth="1"/>
    <col min="9" max="9" width="13.42578125" customWidth="1"/>
    <col min="10" max="10" width="12.7109375" style="3" customWidth="1"/>
    <col min="11" max="11" width="1.7109375" style="3" customWidth="1"/>
    <col min="12" max="12" width="13.42578125" style="3" customWidth="1"/>
    <col min="13" max="13" width="12.7109375" style="3" customWidth="1"/>
    <col min="14" max="14" width="1.7109375" style="3" customWidth="1"/>
    <col min="15" max="15" width="13.42578125" style="3" customWidth="1"/>
    <col min="16" max="16" width="12.7109375" style="3" customWidth="1"/>
  </cols>
  <sheetData>
    <row r="1" spans="1:40" s="69" customFormat="1" ht="14.1" customHeight="1" x14ac:dyDescent="0.2">
      <c r="A1" s="66"/>
      <c r="B1" s="484" t="s">
        <v>144</v>
      </c>
      <c r="C1" s="328"/>
      <c r="D1" s="328"/>
      <c r="E1" s="328"/>
      <c r="F1" s="328"/>
      <c r="G1" s="328"/>
      <c r="H1" s="328"/>
      <c r="I1" s="328"/>
      <c r="J1" s="328"/>
      <c r="K1" s="328"/>
      <c r="L1" s="328"/>
      <c r="M1" s="85"/>
      <c r="N1" s="328"/>
      <c r="O1" s="328"/>
      <c r="P1" s="85" t="s">
        <v>118</v>
      </c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F1" s="68"/>
      <c r="AG1" s="68"/>
      <c r="AH1" s="68"/>
      <c r="AI1" s="68"/>
      <c r="AJ1" s="68"/>
      <c r="AK1" s="68"/>
      <c r="AL1" s="68"/>
      <c r="AM1" s="68"/>
      <c r="AN1" s="68"/>
    </row>
    <row r="2" spans="1:40" s="69" customFormat="1" ht="6.95" customHeight="1" x14ac:dyDescent="0.2">
      <c r="A2" s="66"/>
      <c r="B2" s="484"/>
      <c r="C2" s="328"/>
      <c r="D2" s="328"/>
      <c r="E2" s="328"/>
      <c r="F2" s="328"/>
      <c r="G2" s="328"/>
      <c r="H2" s="328"/>
      <c r="I2" s="328"/>
      <c r="J2" s="328"/>
      <c r="K2" s="328"/>
      <c r="L2" s="328"/>
      <c r="M2" s="328"/>
      <c r="N2" s="328"/>
      <c r="O2" s="328"/>
      <c r="P2" s="32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</row>
    <row r="3" spans="1:40" s="69" customFormat="1" ht="14.1" customHeight="1" x14ac:dyDescent="0.2">
      <c r="A3" s="66"/>
      <c r="B3" s="484" t="s">
        <v>142</v>
      </c>
      <c r="C3" s="329"/>
      <c r="D3" s="329"/>
      <c r="E3" s="329"/>
      <c r="F3" s="329"/>
      <c r="G3" s="329"/>
      <c r="H3" s="328"/>
      <c r="I3" s="328"/>
      <c r="J3" s="328"/>
      <c r="K3" s="328"/>
      <c r="L3" s="328"/>
      <c r="M3" s="328"/>
      <c r="N3" s="328"/>
      <c r="O3" s="328"/>
      <c r="P3" s="328"/>
      <c r="Q3" s="68"/>
      <c r="R3" s="68"/>
      <c r="S3" s="68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</row>
    <row r="4" spans="1:40" s="69" customFormat="1" ht="6.95" customHeight="1" x14ac:dyDescent="0.2">
      <c r="A4" s="66"/>
      <c r="B4" s="328"/>
      <c r="C4" s="330"/>
      <c r="D4" s="328"/>
      <c r="E4" s="328"/>
      <c r="F4" s="328"/>
      <c r="G4" s="328"/>
      <c r="H4" s="328"/>
      <c r="I4" s="328"/>
      <c r="J4" s="328"/>
      <c r="K4" s="328"/>
      <c r="L4" s="328"/>
      <c r="M4" s="328"/>
      <c r="N4" s="328"/>
      <c r="O4" s="328"/>
      <c r="P4" s="328"/>
      <c r="Q4" s="68"/>
      <c r="R4" s="68"/>
      <c r="S4" s="68"/>
      <c r="T4" s="68"/>
      <c r="U4" s="68"/>
      <c r="V4" s="68"/>
      <c r="W4" s="68"/>
      <c r="X4" s="68"/>
      <c r="Y4" s="68"/>
      <c r="Z4" s="68"/>
      <c r="AA4" s="68"/>
      <c r="AB4" s="68"/>
      <c r="AC4" s="68"/>
      <c r="AD4" s="68"/>
      <c r="AE4" s="68"/>
      <c r="AF4" s="68"/>
      <c r="AG4" s="68"/>
      <c r="AH4" s="68"/>
      <c r="AI4" s="68"/>
      <c r="AJ4" s="68"/>
      <c r="AK4" s="68"/>
      <c r="AL4" s="68"/>
      <c r="AM4" s="68"/>
      <c r="AN4" s="68"/>
    </row>
    <row r="5" spans="1:40" s="69" customFormat="1" ht="30" customHeight="1" x14ac:dyDescent="0.2">
      <c r="A5" s="66"/>
      <c r="B5" s="588" t="s">
        <v>126</v>
      </c>
      <c r="C5" s="588"/>
      <c r="D5" s="588"/>
      <c r="E5" s="588"/>
      <c r="F5" s="588"/>
      <c r="G5" s="588"/>
      <c r="H5" s="588"/>
      <c r="I5" s="588"/>
      <c r="J5" s="588"/>
      <c r="K5" s="588"/>
      <c r="L5" s="588"/>
      <c r="M5" s="588"/>
      <c r="N5" s="588"/>
      <c r="O5" s="71"/>
      <c r="P5" s="75" t="s">
        <v>96</v>
      </c>
      <c r="Q5" s="68"/>
      <c r="R5" s="68"/>
      <c r="S5" s="68"/>
      <c r="T5" s="68"/>
      <c r="U5" s="68"/>
      <c r="V5" s="68"/>
      <c r="W5" s="68"/>
      <c r="X5" s="68"/>
      <c r="Y5" s="68"/>
      <c r="Z5" s="68"/>
      <c r="AA5" s="68"/>
      <c r="AB5" s="68"/>
      <c r="AC5" s="68"/>
      <c r="AD5" s="68"/>
      <c r="AE5" s="68"/>
      <c r="AF5" s="68"/>
      <c r="AG5" s="68"/>
      <c r="AH5" s="68"/>
      <c r="AI5" s="68"/>
      <c r="AJ5" s="68"/>
      <c r="AK5" s="68"/>
      <c r="AL5" s="68"/>
      <c r="AM5" s="68"/>
      <c r="AN5" s="68"/>
    </row>
    <row r="6" spans="1:40" ht="6" customHeight="1" x14ac:dyDescent="0.2">
      <c r="A6" s="66"/>
      <c r="B6" s="331"/>
      <c r="C6" s="332"/>
      <c r="D6" s="332"/>
      <c r="E6" s="332"/>
      <c r="F6" s="332"/>
      <c r="G6" s="332"/>
      <c r="H6" s="332"/>
      <c r="I6" s="332"/>
      <c r="J6" s="333"/>
      <c r="K6" s="332"/>
      <c r="L6" s="332"/>
      <c r="M6" s="333"/>
      <c r="N6" s="332"/>
      <c r="O6" s="332"/>
      <c r="P6" s="33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</row>
    <row r="7" spans="1:40" ht="16.5" customHeight="1" x14ac:dyDescent="0.2">
      <c r="A7" s="66"/>
      <c r="B7" s="589" t="s">
        <v>22</v>
      </c>
      <c r="C7" s="589"/>
      <c r="D7" s="592" t="s">
        <v>2</v>
      </c>
      <c r="E7" s="334"/>
      <c r="F7" s="595" t="s">
        <v>135</v>
      </c>
      <c r="G7" s="595"/>
      <c r="H7" s="335"/>
      <c r="I7" s="586" t="s">
        <v>136</v>
      </c>
      <c r="J7" s="586"/>
      <c r="K7" s="335"/>
      <c r="L7" s="586" t="s">
        <v>127</v>
      </c>
      <c r="M7" s="586"/>
      <c r="N7" s="335"/>
      <c r="O7" s="586" t="s">
        <v>117</v>
      </c>
      <c r="P7" s="586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</row>
    <row r="8" spans="1:40" ht="21.75" customHeight="1" x14ac:dyDescent="0.2">
      <c r="A8" s="66"/>
      <c r="B8" s="590"/>
      <c r="C8" s="590"/>
      <c r="D8" s="593"/>
      <c r="E8" s="336"/>
      <c r="F8" s="596"/>
      <c r="G8" s="596"/>
      <c r="H8" s="337"/>
      <c r="I8" s="587"/>
      <c r="J8" s="587"/>
      <c r="K8" s="337"/>
      <c r="L8" s="587"/>
      <c r="M8" s="587"/>
      <c r="N8" s="337"/>
      <c r="O8" s="587"/>
      <c r="P8" s="587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</row>
    <row r="9" spans="1:40" ht="15.75" customHeight="1" x14ac:dyDescent="0.2">
      <c r="A9" s="12"/>
      <c r="B9" s="591"/>
      <c r="C9" s="591"/>
      <c r="D9" s="594"/>
      <c r="E9" s="338"/>
      <c r="F9" s="110" t="s">
        <v>13</v>
      </c>
      <c r="G9" s="110" t="s">
        <v>14</v>
      </c>
      <c r="H9" s="339"/>
      <c r="I9" s="110" t="s">
        <v>13</v>
      </c>
      <c r="J9" s="110" t="s">
        <v>14</v>
      </c>
      <c r="K9" s="339"/>
      <c r="L9" s="110" t="s">
        <v>13</v>
      </c>
      <c r="M9" s="110" t="s">
        <v>14</v>
      </c>
      <c r="N9" s="339"/>
      <c r="O9" s="110" t="s">
        <v>13</v>
      </c>
      <c r="P9" s="110" t="s">
        <v>14</v>
      </c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</row>
    <row r="10" spans="1:40" ht="6" customHeight="1" x14ac:dyDescent="0.2">
      <c r="A10" s="67"/>
      <c r="B10" s="340"/>
      <c r="C10" s="341"/>
      <c r="D10" s="342"/>
      <c r="E10" s="342"/>
      <c r="F10" s="343"/>
      <c r="G10" s="344"/>
      <c r="H10" s="344"/>
      <c r="I10" s="344"/>
      <c r="J10" s="345"/>
      <c r="K10" s="344"/>
      <c r="L10" s="346"/>
      <c r="M10" s="345"/>
      <c r="N10" s="344"/>
      <c r="O10" s="344"/>
      <c r="P10" s="345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</row>
    <row r="11" spans="1:40" ht="15" x14ac:dyDescent="0.2">
      <c r="A11" s="17"/>
      <c r="B11" s="111" t="s">
        <v>5</v>
      </c>
      <c r="C11" s="347"/>
      <c r="D11" s="159">
        <v>35662946.186790802</v>
      </c>
      <c r="E11" s="348"/>
      <c r="F11" s="159">
        <v>1520277.1853650201</v>
      </c>
      <c r="G11" s="159">
        <v>4.3045008458999998</v>
      </c>
      <c r="H11" s="348"/>
      <c r="I11" s="159">
        <v>1425923.6762041</v>
      </c>
      <c r="J11" s="159">
        <v>4.0403220998</v>
      </c>
      <c r="K11" s="112"/>
      <c r="L11" s="159">
        <v>386672.97626044898</v>
      </c>
      <c r="M11" s="159">
        <v>1.0959012718000001</v>
      </c>
      <c r="N11" s="112"/>
      <c r="O11" s="159">
        <v>32480053.008581299</v>
      </c>
      <c r="P11" s="159">
        <v>91.330770404099994</v>
      </c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</row>
    <row r="12" spans="1:40" ht="6" customHeight="1" x14ac:dyDescent="0.2">
      <c r="A12" s="11"/>
      <c r="B12" s="113"/>
      <c r="C12" s="347"/>
      <c r="D12" s="95"/>
      <c r="E12" s="348"/>
      <c r="F12" s="95"/>
      <c r="G12" s="96"/>
      <c r="H12" s="348"/>
      <c r="I12" s="95"/>
      <c r="J12" s="96"/>
      <c r="K12" s="112"/>
      <c r="L12" s="95"/>
      <c r="M12" s="96"/>
      <c r="N12" s="112"/>
      <c r="O12" s="95"/>
      <c r="P12" s="96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</row>
    <row r="13" spans="1:40" ht="11.25" customHeight="1" x14ac:dyDescent="0.2">
      <c r="A13" s="11"/>
      <c r="B13" s="39" t="s">
        <v>26</v>
      </c>
      <c r="C13" s="349"/>
      <c r="D13" s="160">
        <v>401693.89670143899</v>
      </c>
      <c r="E13" s="350"/>
      <c r="F13" s="160">
        <v>25131.515011199499</v>
      </c>
      <c r="G13" s="160">
        <v>6.5007020249999998</v>
      </c>
      <c r="H13" s="350"/>
      <c r="I13" s="160">
        <v>11631.3282520291</v>
      </c>
      <c r="J13" s="160">
        <v>3.0056232325000001</v>
      </c>
      <c r="K13" s="112"/>
      <c r="L13" s="160">
        <v>5618.2939693813996</v>
      </c>
      <c r="M13" s="160">
        <v>1.4500792369</v>
      </c>
      <c r="N13" s="112"/>
      <c r="O13" s="160">
        <v>367435.21071718598</v>
      </c>
      <c r="P13" s="160">
        <v>92.310237012000002</v>
      </c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</row>
    <row r="14" spans="1:40" ht="15" x14ac:dyDescent="0.2">
      <c r="A14" s="11"/>
      <c r="B14" s="39" t="s">
        <v>27</v>
      </c>
      <c r="C14" s="349"/>
      <c r="D14" s="160">
        <v>1194812.8712261601</v>
      </c>
      <c r="E14" s="350"/>
      <c r="F14" s="160">
        <v>32797.323891809399</v>
      </c>
      <c r="G14" s="160">
        <v>2.8706008948999999</v>
      </c>
      <c r="H14" s="350"/>
      <c r="I14" s="160">
        <v>21441.0672757518</v>
      </c>
      <c r="J14" s="160">
        <v>1.8714230213</v>
      </c>
      <c r="K14" s="112"/>
      <c r="L14" s="160">
        <v>12136.0906319555</v>
      </c>
      <c r="M14" s="160">
        <v>1.0643982941000001</v>
      </c>
      <c r="N14" s="112"/>
      <c r="O14" s="160">
        <v>1145116.1344920699</v>
      </c>
      <c r="P14" s="160">
        <v>96.4419551103</v>
      </c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</row>
    <row r="15" spans="1:40" ht="15" x14ac:dyDescent="0.2">
      <c r="A15" s="12"/>
      <c r="B15" s="39" t="s">
        <v>28</v>
      </c>
      <c r="C15" s="349"/>
      <c r="D15" s="160">
        <v>256444.37902674099</v>
      </c>
      <c r="E15" s="350"/>
      <c r="F15" s="160">
        <v>9195.2347444017996</v>
      </c>
      <c r="G15" s="160">
        <v>3.7325017674000001</v>
      </c>
      <c r="H15" s="350"/>
      <c r="I15" s="160">
        <v>11946.288181743101</v>
      </c>
      <c r="J15" s="160">
        <v>4.9457134332999999</v>
      </c>
      <c r="K15" s="112"/>
      <c r="L15" s="160">
        <v>3152.8475886251999</v>
      </c>
      <c r="M15" s="160">
        <v>1.3032717920000001</v>
      </c>
      <c r="N15" s="112"/>
      <c r="O15" s="160">
        <v>236285.277221333</v>
      </c>
      <c r="P15" s="160">
        <v>93.222905798300005</v>
      </c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</row>
    <row r="16" spans="1:40" ht="15" x14ac:dyDescent="0.2">
      <c r="A16" s="12"/>
      <c r="B16" s="39" t="s">
        <v>29</v>
      </c>
      <c r="C16" s="349"/>
      <c r="D16" s="160">
        <v>273665.04189377202</v>
      </c>
      <c r="E16" s="350"/>
      <c r="F16" s="160">
        <v>7403.7475225237004</v>
      </c>
      <c r="G16" s="160">
        <v>2.8498947917000002</v>
      </c>
      <c r="H16" s="350"/>
      <c r="I16" s="160">
        <v>20389.213493995299</v>
      </c>
      <c r="J16" s="160">
        <v>7.7761268583999996</v>
      </c>
      <c r="K16" s="112"/>
      <c r="L16" s="160">
        <v>4310.0153317171998</v>
      </c>
      <c r="M16" s="160">
        <v>1.6595984555000001</v>
      </c>
      <c r="N16" s="112"/>
      <c r="O16" s="160">
        <v>245580.35988816799</v>
      </c>
      <c r="P16" s="160">
        <v>91.119605589700001</v>
      </c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</row>
    <row r="17" spans="1:40" ht="15" x14ac:dyDescent="0.2">
      <c r="A17" s="12"/>
      <c r="B17" s="39" t="s">
        <v>30</v>
      </c>
      <c r="C17" s="349"/>
      <c r="D17" s="128">
        <v>939555.89204201801</v>
      </c>
      <c r="E17" s="350"/>
      <c r="F17" s="128">
        <v>22736.025990456899</v>
      </c>
      <c r="G17" s="128">
        <v>2.5038216378999998</v>
      </c>
      <c r="H17" s="350"/>
      <c r="I17" s="128">
        <v>44203.920639720804</v>
      </c>
      <c r="J17" s="128">
        <v>4.8684752622999996</v>
      </c>
      <c r="K17" s="112"/>
      <c r="L17" s="128">
        <v>21672.315067838499</v>
      </c>
      <c r="M17" s="128">
        <v>2.3879441860999999</v>
      </c>
      <c r="N17" s="112"/>
      <c r="O17" s="128">
        <v>868813.71345005196</v>
      </c>
      <c r="P17" s="128">
        <v>93.435185877799995</v>
      </c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</row>
    <row r="18" spans="1:40" ht="15" x14ac:dyDescent="0.2">
      <c r="A18" s="21"/>
      <c r="B18" s="39" t="s">
        <v>31</v>
      </c>
      <c r="C18" s="349"/>
      <c r="D18" s="128">
        <v>243697.01868438401</v>
      </c>
      <c r="E18" s="350"/>
      <c r="F18" s="128">
        <v>9535.5333815086997</v>
      </c>
      <c r="G18" s="128">
        <v>4.1388296906999997</v>
      </c>
      <c r="H18" s="350"/>
      <c r="I18" s="128">
        <v>13237.990439233199</v>
      </c>
      <c r="J18" s="128">
        <v>5.6783231961</v>
      </c>
      <c r="K18" s="112"/>
      <c r="L18" s="128">
        <v>2559.1175240570001</v>
      </c>
      <c r="M18" s="128">
        <v>1.1096094844</v>
      </c>
      <c r="N18" s="112"/>
      <c r="O18" s="128">
        <v>222212.41154125601</v>
      </c>
      <c r="P18" s="128">
        <v>92.361217077800006</v>
      </c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</row>
    <row r="19" spans="1:40" ht="15" x14ac:dyDescent="0.2">
      <c r="A19" s="21"/>
      <c r="B19" s="39" t="s">
        <v>32</v>
      </c>
      <c r="C19" s="349"/>
      <c r="D19" s="160">
        <v>1515154.20276339</v>
      </c>
      <c r="E19" s="350"/>
      <c r="F19" s="160">
        <v>40610.334314199099</v>
      </c>
      <c r="G19" s="160">
        <v>2.8272448092000002</v>
      </c>
      <c r="H19" s="350"/>
      <c r="I19" s="160">
        <v>136119.22379647201</v>
      </c>
      <c r="J19" s="160">
        <v>9.4702815879000006</v>
      </c>
      <c r="K19" s="112"/>
      <c r="L19" s="160">
        <v>22486.065107903501</v>
      </c>
      <c r="M19" s="160">
        <v>1.5777422124</v>
      </c>
      <c r="N19" s="112"/>
      <c r="O19" s="160">
        <v>1341459.8961553599</v>
      </c>
      <c r="P19" s="160">
        <v>90.374761228099999</v>
      </c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</row>
    <row r="20" spans="1:40" ht="15" x14ac:dyDescent="0.2">
      <c r="B20" s="39" t="s">
        <v>33</v>
      </c>
      <c r="C20" s="349"/>
      <c r="D20" s="160">
        <v>1177493.9072535899</v>
      </c>
      <c r="E20" s="350"/>
      <c r="F20" s="160">
        <v>16871.317293076099</v>
      </c>
      <c r="G20" s="160">
        <v>1.476720177</v>
      </c>
      <c r="H20" s="350"/>
      <c r="I20" s="160">
        <v>36432.910447470997</v>
      </c>
      <c r="J20" s="160">
        <v>3.1895710722000001</v>
      </c>
      <c r="K20" s="112"/>
      <c r="L20" s="160">
        <v>19758.754306122999</v>
      </c>
      <c r="M20" s="160">
        <v>1.7287891583999999</v>
      </c>
      <c r="N20" s="112"/>
      <c r="O20" s="160">
        <v>1122592.73088578</v>
      </c>
      <c r="P20" s="160">
        <v>96.060462317000002</v>
      </c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</row>
    <row r="21" spans="1:40" ht="15" x14ac:dyDescent="0.2">
      <c r="B21" s="39" t="s">
        <v>34</v>
      </c>
      <c r="C21" s="349"/>
      <c r="D21" s="160">
        <v>2802756.3492487799</v>
      </c>
      <c r="E21" s="350"/>
      <c r="F21" s="160">
        <v>115045.742995244</v>
      </c>
      <c r="G21" s="160">
        <v>4.2206564806999998</v>
      </c>
      <c r="H21" s="350"/>
      <c r="I21" s="160">
        <v>45810.607998316998</v>
      </c>
      <c r="J21" s="160">
        <v>1.6823599345</v>
      </c>
      <c r="K21" s="112"/>
      <c r="L21" s="160">
        <v>14248.989752003999</v>
      </c>
      <c r="M21" s="160">
        <v>0.52403966589999995</v>
      </c>
      <c r="N21" s="112"/>
      <c r="O21" s="160">
        <v>2668915.34495913</v>
      </c>
      <c r="P21" s="160">
        <v>96.040725938400001</v>
      </c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</row>
    <row r="22" spans="1:40" ht="15" x14ac:dyDescent="0.2">
      <c r="B22" s="39" t="s">
        <v>35</v>
      </c>
      <c r="C22" s="349"/>
      <c r="D22" s="160">
        <v>519941.24414162798</v>
      </c>
      <c r="E22" s="350"/>
      <c r="F22" s="160">
        <v>26102.906934685601</v>
      </c>
      <c r="G22" s="160">
        <v>5.1865472676</v>
      </c>
      <c r="H22" s="350"/>
      <c r="I22" s="160">
        <v>26448.916712413102</v>
      </c>
      <c r="J22" s="160">
        <v>5.2771350014999996</v>
      </c>
      <c r="K22" s="112"/>
      <c r="L22" s="160">
        <v>6381.9742607177004</v>
      </c>
      <c r="M22" s="160">
        <v>1.2681735644000001</v>
      </c>
      <c r="N22" s="112"/>
      <c r="O22" s="160">
        <v>470751.423180888</v>
      </c>
      <c r="P22" s="160">
        <v>91.797478473400005</v>
      </c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</row>
    <row r="23" spans="1:40" ht="15" x14ac:dyDescent="0.2">
      <c r="B23" s="39" t="s">
        <v>36</v>
      </c>
      <c r="C23" s="349"/>
      <c r="D23" s="160">
        <v>1650893.0803463401</v>
      </c>
      <c r="E23" s="350"/>
      <c r="F23" s="160">
        <v>97809.339628856702</v>
      </c>
      <c r="G23" s="160">
        <v>6.1641416633999997</v>
      </c>
      <c r="H23" s="350"/>
      <c r="I23" s="160">
        <v>67107.348356666203</v>
      </c>
      <c r="J23" s="160">
        <v>4.2341471185000001</v>
      </c>
      <c r="K23" s="112"/>
      <c r="L23" s="160">
        <v>24490.923993120501</v>
      </c>
      <c r="M23" s="160">
        <v>1.5433684585</v>
      </c>
      <c r="N23" s="112"/>
      <c r="O23" s="160">
        <v>1496949.8973356399</v>
      </c>
      <c r="P23" s="160">
        <v>91.644911188699993</v>
      </c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</row>
    <row r="24" spans="1:40" ht="15" x14ac:dyDescent="0.2">
      <c r="B24" s="39" t="s">
        <v>37</v>
      </c>
      <c r="C24" s="349"/>
      <c r="D24" s="160">
        <v>985997.54227468802</v>
      </c>
      <c r="E24" s="350"/>
      <c r="F24" s="160">
        <v>41104.554522668201</v>
      </c>
      <c r="G24" s="160">
        <v>4.3649919352</v>
      </c>
      <c r="H24" s="350"/>
      <c r="I24" s="160">
        <v>79508.225369525593</v>
      </c>
      <c r="J24" s="160">
        <v>8.4765840192000006</v>
      </c>
      <c r="K24" s="112"/>
      <c r="L24" s="160">
        <v>10212.915395493101</v>
      </c>
      <c r="M24" s="160">
        <v>1.0843023212</v>
      </c>
      <c r="N24" s="112"/>
      <c r="O24" s="160">
        <v>877518.72076491697</v>
      </c>
      <c r="P24" s="160">
        <v>90.279464110099994</v>
      </c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</row>
    <row r="25" spans="1:40" ht="15" x14ac:dyDescent="0.2">
      <c r="B25" s="39" t="s">
        <v>38</v>
      </c>
      <c r="C25" s="349"/>
      <c r="D25" s="160">
        <v>896937.23275720899</v>
      </c>
      <c r="E25" s="350"/>
      <c r="F25" s="160">
        <v>64097.3351494819</v>
      </c>
      <c r="G25" s="160">
        <v>7.3898618646000003</v>
      </c>
      <c r="H25" s="350"/>
      <c r="I25" s="160">
        <v>29592.8190105791</v>
      </c>
      <c r="J25" s="160">
        <v>3.4399092958000002</v>
      </c>
      <c r="K25" s="112"/>
      <c r="L25" s="160">
        <v>9970.9326291694997</v>
      </c>
      <c r="M25" s="160">
        <v>1.1632772715999999</v>
      </c>
      <c r="N25" s="112"/>
      <c r="O25" s="160">
        <v>809203.76686751202</v>
      </c>
      <c r="P25" s="160">
        <v>91.595909975400005</v>
      </c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</row>
    <row r="26" spans="1:40" ht="15" x14ac:dyDescent="0.2">
      <c r="B26" s="39" t="s">
        <v>39</v>
      </c>
      <c r="C26" s="349"/>
      <c r="D26" s="160">
        <v>2397392.87652244</v>
      </c>
      <c r="E26" s="350"/>
      <c r="F26" s="160">
        <v>82089.961968469899</v>
      </c>
      <c r="G26" s="160">
        <v>3.5360592591</v>
      </c>
      <c r="H26" s="350"/>
      <c r="I26" s="160">
        <v>103426.416022098</v>
      </c>
      <c r="J26" s="160">
        <v>4.4655057021999998</v>
      </c>
      <c r="K26" s="112"/>
      <c r="L26" s="160">
        <v>36970.731019906299</v>
      </c>
      <c r="M26" s="160">
        <v>1.5981049612</v>
      </c>
      <c r="N26" s="112"/>
      <c r="O26" s="160">
        <v>2214820.9668840198</v>
      </c>
      <c r="P26" s="160">
        <v>93.500008014000002</v>
      </c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</row>
    <row r="27" spans="1:40" ht="15" x14ac:dyDescent="0.2">
      <c r="B27" s="39" t="s">
        <v>40</v>
      </c>
      <c r="C27" s="349"/>
      <c r="D27" s="160">
        <v>4873947.8104331996</v>
      </c>
      <c r="E27" s="350"/>
      <c r="F27" s="160">
        <v>330775.48262411699</v>
      </c>
      <c r="G27" s="160">
        <v>7.1071219296999999</v>
      </c>
      <c r="H27" s="350"/>
      <c r="I27" s="160">
        <v>178977.54912358901</v>
      </c>
      <c r="J27" s="160">
        <v>3.8723967631999998</v>
      </c>
      <c r="K27" s="112"/>
      <c r="L27" s="160">
        <v>57688.924138762799</v>
      </c>
      <c r="M27" s="160">
        <v>1.2483334928000001</v>
      </c>
      <c r="N27" s="112"/>
      <c r="O27" s="160">
        <v>4389552.3107666802</v>
      </c>
      <c r="P27" s="160">
        <v>91.0650864463</v>
      </c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</row>
    <row r="28" spans="1:40" ht="15" x14ac:dyDescent="0.2">
      <c r="B28" s="39" t="s">
        <v>41</v>
      </c>
      <c r="C28" s="349"/>
      <c r="D28" s="160">
        <v>1368761.7985574501</v>
      </c>
      <c r="E28" s="350"/>
      <c r="F28" s="160">
        <v>116533.665677736</v>
      </c>
      <c r="G28" s="160">
        <v>8.9683291307000008</v>
      </c>
      <c r="H28" s="350"/>
      <c r="I28" s="160">
        <v>88343.351500073797</v>
      </c>
      <c r="J28" s="160">
        <v>6.8112371342999998</v>
      </c>
      <c r="K28" s="112"/>
      <c r="L28" s="160">
        <v>22200.463338124999</v>
      </c>
      <c r="M28" s="160">
        <v>1.6993506490000001</v>
      </c>
      <c r="N28" s="112"/>
      <c r="O28" s="160">
        <v>1179712.5094940299</v>
      </c>
      <c r="P28" s="160">
        <v>88.206744420500002</v>
      </c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</row>
    <row r="29" spans="1:40" ht="15" x14ac:dyDescent="0.2">
      <c r="B29" s="39" t="s">
        <v>42</v>
      </c>
      <c r="C29" s="349"/>
      <c r="D29" s="160">
        <v>610031.22610067902</v>
      </c>
      <c r="E29" s="350"/>
      <c r="F29" s="160">
        <v>47475.981764754397</v>
      </c>
      <c r="G29" s="160">
        <v>8.0741919328999998</v>
      </c>
      <c r="H29" s="350"/>
      <c r="I29" s="160">
        <v>18766.5715417348</v>
      </c>
      <c r="J29" s="160">
        <v>3.2795330898000001</v>
      </c>
      <c r="K29" s="112"/>
      <c r="L29" s="160">
        <v>21653.396169820899</v>
      </c>
      <c r="M29" s="160">
        <v>3.7538353733999998</v>
      </c>
      <c r="N29" s="112"/>
      <c r="O29" s="160">
        <v>534127.16066646995</v>
      </c>
      <c r="P29" s="160">
        <v>88.821965744400003</v>
      </c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</row>
    <row r="30" spans="1:40" ht="15" x14ac:dyDescent="0.2">
      <c r="B30" s="39" t="s">
        <v>43</v>
      </c>
      <c r="C30" s="349"/>
      <c r="D30" s="160">
        <v>376533.335776983</v>
      </c>
      <c r="E30" s="350"/>
      <c r="F30" s="160">
        <v>16526.0090940505</v>
      </c>
      <c r="G30" s="160">
        <v>4.5842821976000003</v>
      </c>
      <c r="H30" s="350"/>
      <c r="I30" s="160">
        <v>24798.665275139701</v>
      </c>
      <c r="J30" s="160">
        <v>6.8782088594999999</v>
      </c>
      <c r="K30" s="112"/>
      <c r="L30" s="160">
        <v>7170.0921312642004</v>
      </c>
      <c r="M30" s="160">
        <v>1.9889548223</v>
      </c>
      <c r="N30" s="112"/>
      <c r="O30" s="160">
        <v>335913.35952917702</v>
      </c>
      <c r="P30" s="160">
        <v>90.232911294399997</v>
      </c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</row>
    <row r="31" spans="1:40" ht="15" x14ac:dyDescent="0.2">
      <c r="B31" s="39" t="s">
        <v>44</v>
      </c>
      <c r="C31" s="349"/>
      <c r="D31" s="160">
        <v>1738437.8778178</v>
      </c>
      <c r="E31" s="350"/>
      <c r="F31" s="160">
        <v>34981.780558245497</v>
      </c>
      <c r="G31" s="160">
        <v>2.0977304074999998</v>
      </c>
      <c r="H31" s="350"/>
      <c r="I31" s="160">
        <v>72189.043294444404</v>
      </c>
      <c r="J31" s="160">
        <v>4.3166756896000003</v>
      </c>
      <c r="K31" s="112"/>
      <c r="L31" s="160">
        <v>24940.353872704101</v>
      </c>
      <c r="M31" s="160">
        <v>1.4945077904999999</v>
      </c>
      <c r="N31" s="112"/>
      <c r="O31" s="160">
        <v>1635821.7193755</v>
      </c>
      <c r="P31" s="160">
        <v>95.282910859400005</v>
      </c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</row>
    <row r="32" spans="1:40" ht="15" x14ac:dyDescent="0.2">
      <c r="B32" s="39" t="s">
        <v>45</v>
      </c>
      <c r="C32" s="349"/>
      <c r="D32" s="160">
        <v>1203423.9761956099</v>
      </c>
      <c r="E32" s="350"/>
      <c r="F32" s="160">
        <v>88496.236004697203</v>
      </c>
      <c r="G32" s="160">
        <v>7.8042752378999998</v>
      </c>
      <c r="H32" s="350"/>
      <c r="I32" s="160">
        <v>80458.889681356406</v>
      </c>
      <c r="J32" s="160">
        <v>7.1229166915000004</v>
      </c>
      <c r="K32" s="112"/>
      <c r="L32" s="160">
        <v>12129.474671264899</v>
      </c>
      <c r="M32" s="160">
        <v>1.0840745093999999</v>
      </c>
      <c r="N32" s="112"/>
      <c r="O32" s="160">
        <v>1043635.66784566</v>
      </c>
      <c r="P32" s="160">
        <v>88.061892495600006</v>
      </c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</row>
    <row r="33" spans="2:40" ht="15" x14ac:dyDescent="0.2">
      <c r="B33" s="39" t="s">
        <v>46</v>
      </c>
      <c r="C33" s="349"/>
      <c r="D33" s="160">
        <v>1815906.8952740801</v>
      </c>
      <c r="E33" s="350"/>
      <c r="F33" s="160">
        <v>130419.94058592099</v>
      </c>
      <c r="G33" s="160">
        <v>7.5891932384</v>
      </c>
      <c r="H33" s="350"/>
      <c r="I33" s="160">
        <v>93009.765753079293</v>
      </c>
      <c r="J33" s="160">
        <v>5.4259199373999998</v>
      </c>
      <c r="K33" s="112"/>
      <c r="L33" s="160">
        <v>22245.379005286599</v>
      </c>
      <c r="M33" s="160">
        <v>1.2870795795000001</v>
      </c>
      <c r="N33" s="112"/>
      <c r="O33" s="160">
        <v>1607070.9432568799</v>
      </c>
      <c r="P33" s="160">
        <v>89.494876214499996</v>
      </c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</row>
    <row r="34" spans="2:40" ht="15" x14ac:dyDescent="0.2">
      <c r="B34" s="39" t="s">
        <v>47</v>
      </c>
      <c r="C34" s="349"/>
      <c r="D34" s="160">
        <v>715683.99233961198</v>
      </c>
      <c r="E34" s="350"/>
      <c r="F34" s="160">
        <v>45035.220789463201</v>
      </c>
      <c r="G34" s="160">
        <v>6.7779210744</v>
      </c>
      <c r="H34" s="350"/>
      <c r="I34" s="160">
        <v>26671.263117631101</v>
      </c>
      <c r="J34" s="160">
        <v>3.9761364279000002</v>
      </c>
      <c r="K34" s="112"/>
      <c r="L34" s="160">
        <v>15799.506435408601</v>
      </c>
      <c r="M34" s="160">
        <v>2.3687803549000002</v>
      </c>
      <c r="N34" s="112"/>
      <c r="O34" s="160">
        <v>641052.75219658599</v>
      </c>
      <c r="P34" s="160">
        <v>90.702343686299997</v>
      </c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</row>
    <row r="35" spans="2:40" ht="15" x14ac:dyDescent="0.2">
      <c r="B35" s="39" t="s">
        <v>48</v>
      </c>
      <c r="C35" s="349"/>
      <c r="D35" s="160">
        <v>594621.99606358097</v>
      </c>
      <c r="E35" s="350"/>
      <c r="F35" s="160">
        <v>12455.3393972588</v>
      </c>
      <c r="G35" s="160">
        <v>2.2372735546000002</v>
      </c>
      <c r="H35" s="350"/>
      <c r="I35" s="160">
        <v>19479.555227729201</v>
      </c>
      <c r="J35" s="160">
        <v>3.5209125877999998</v>
      </c>
      <c r="K35" s="112"/>
      <c r="L35" s="160">
        <v>9698.3882396118006</v>
      </c>
      <c r="M35" s="160">
        <v>1.7413019455000001</v>
      </c>
      <c r="N35" s="112"/>
      <c r="O35" s="160">
        <v>562922.45935309399</v>
      </c>
      <c r="P35" s="160">
        <v>95.294785932699995</v>
      </c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</row>
    <row r="36" spans="2:40" ht="15" x14ac:dyDescent="0.2">
      <c r="B36" s="39" t="s">
        <v>49</v>
      </c>
      <c r="C36" s="349"/>
      <c r="D36" s="160">
        <v>798902.49386140495</v>
      </c>
      <c r="E36" s="350"/>
      <c r="F36" s="160">
        <v>47619.009045777901</v>
      </c>
      <c r="G36" s="160">
        <v>6.1533858957999996</v>
      </c>
      <c r="H36" s="350"/>
      <c r="I36" s="160">
        <v>34057.760732155097</v>
      </c>
      <c r="J36" s="160">
        <v>4.3990695275</v>
      </c>
      <c r="K36" s="112"/>
      <c r="L36" s="160">
        <v>20706.020172928202</v>
      </c>
      <c r="M36" s="160">
        <v>2.6726281185</v>
      </c>
      <c r="N36" s="112"/>
      <c r="O36" s="160">
        <v>714794.56464217603</v>
      </c>
      <c r="P36" s="160">
        <v>90.4791507833</v>
      </c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</row>
    <row r="37" spans="2:40" ht="15" x14ac:dyDescent="0.2">
      <c r="B37" s="39" t="s">
        <v>50</v>
      </c>
      <c r="C37" s="349"/>
      <c r="D37" s="160">
        <v>894882.02839481703</v>
      </c>
      <c r="E37" s="350"/>
      <c r="F37" s="160">
        <v>23769.305353876302</v>
      </c>
      <c r="G37" s="160">
        <v>2.7531311595000001</v>
      </c>
      <c r="H37" s="350"/>
      <c r="I37" s="160">
        <v>44213.6355658307</v>
      </c>
      <c r="J37" s="160">
        <v>5.0848157099</v>
      </c>
      <c r="K37" s="112"/>
      <c r="L37" s="160">
        <v>11782.6533685991</v>
      </c>
      <c r="M37" s="160">
        <v>1.3672765049</v>
      </c>
      <c r="N37" s="112"/>
      <c r="O37" s="160">
        <v>831780.30087431299</v>
      </c>
      <c r="P37" s="160">
        <v>94.137212302099996</v>
      </c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</row>
    <row r="38" spans="2:40" ht="15" x14ac:dyDescent="0.2">
      <c r="B38" s="39" t="s">
        <v>51</v>
      </c>
      <c r="C38" s="349"/>
      <c r="D38" s="160">
        <v>919536.67017451499</v>
      </c>
      <c r="E38" s="350"/>
      <c r="F38" s="160">
        <v>24007.8939767472</v>
      </c>
      <c r="G38" s="160">
        <v>2.7312887511000001</v>
      </c>
      <c r="H38" s="350"/>
      <c r="I38" s="160">
        <v>43158.031848192601</v>
      </c>
      <c r="J38" s="160">
        <v>4.9211923282000001</v>
      </c>
      <c r="K38" s="112"/>
      <c r="L38" s="160">
        <v>7545.0082222717001</v>
      </c>
      <c r="M38" s="160">
        <v>0.86011975500000004</v>
      </c>
      <c r="N38" s="112"/>
      <c r="O38" s="160">
        <v>858793.86557710799</v>
      </c>
      <c r="P38" s="160">
        <v>94.180117233800004</v>
      </c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</row>
    <row r="39" spans="2:40" ht="15" x14ac:dyDescent="0.2">
      <c r="B39" s="39" t="s">
        <v>52</v>
      </c>
      <c r="C39" s="349"/>
      <c r="D39" s="160">
        <v>723495.24159213202</v>
      </c>
      <c r="E39" s="350"/>
      <c r="F39" s="160">
        <v>12735.467866950199</v>
      </c>
      <c r="G39" s="160">
        <v>1.8693015659000001</v>
      </c>
      <c r="H39" s="350"/>
      <c r="I39" s="160">
        <v>49819.674429523096</v>
      </c>
      <c r="J39" s="160">
        <v>7.2580686728000003</v>
      </c>
      <c r="K39" s="112"/>
      <c r="L39" s="160">
        <v>8137.6905819353997</v>
      </c>
      <c r="M39" s="160">
        <v>1.1896544761000001</v>
      </c>
      <c r="N39" s="112"/>
      <c r="O39" s="160">
        <v>664657.42189651297</v>
      </c>
      <c r="P39" s="160">
        <v>92.868917667100007</v>
      </c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</row>
    <row r="40" spans="2:40" ht="15" x14ac:dyDescent="0.2">
      <c r="B40" s="39" t="s">
        <v>53</v>
      </c>
      <c r="C40" s="349"/>
      <c r="D40" s="160">
        <v>1089179.94614529</v>
      </c>
      <c r="E40" s="350"/>
      <c r="F40" s="160">
        <v>41666.919119276099</v>
      </c>
      <c r="G40" s="160">
        <v>3.9648954390000002</v>
      </c>
      <c r="H40" s="350"/>
      <c r="I40" s="160">
        <v>41000.253281259204</v>
      </c>
      <c r="J40" s="160">
        <v>3.8980785638</v>
      </c>
      <c r="K40" s="112"/>
      <c r="L40" s="160">
        <v>9893.0269647951991</v>
      </c>
      <c r="M40" s="160">
        <v>0.9411733551</v>
      </c>
      <c r="N40" s="112"/>
      <c r="O40" s="160">
        <v>1016064.62321826</v>
      </c>
      <c r="P40" s="160">
        <v>93.969503370799998</v>
      </c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</row>
    <row r="41" spans="2:40" ht="15" x14ac:dyDescent="0.2">
      <c r="B41" s="39" t="s">
        <v>54</v>
      </c>
      <c r="C41" s="349"/>
      <c r="D41" s="160">
        <v>350536.38098277798</v>
      </c>
      <c r="E41" s="350"/>
      <c r="F41" s="160">
        <v>42784.262348141499</v>
      </c>
      <c r="G41" s="160">
        <v>12.6776564364</v>
      </c>
      <c r="H41" s="350"/>
      <c r="I41" s="160">
        <v>21348.1210089263</v>
      </c>
      <c r="J41" s="160">
        <v>6.3276219393000002</v>
      </c>
      <c r="K41" s="112"/>
      <c r="L41" s="160">
        <v>6772.1778829448003</v>
      </c>
      <c r="M41" s="160">
        <v>2.0111287387000001</v>
      </c>
      <c r="N41" s="112"/>
      <c r="O41" s="160">
        <v>287185.461785483</v>
      </c>
      <c r="P41" s="160">
        <v>83.124597341599994</v>
      </c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</row>
    <row r="42" spans="2:40" ht="15" x14ac:dyDescent="0.2">
      <c r="B42" s="39" t="s">
        <v>55</v>
      </c>
      <c r="C42" s="349"/>
      <c r="D42" s="160">
        <v>2493851.99731659</v>
      </c>
      <c r="E42" s="350"/>
      <c r="F42" s="160">
        <v>103641.893100673</v>
      </c>
      <c r="G42" s="160">
        <v>4.3379166797000002</v>
      </c>
      <c r="H42" s="350"/>
      <c r="I42" s="160">
        <v>113187.671444234</v>
      </c>
      <c r="J42" s="160">
        <v>4.7334798194000003</v>
      </c>
      <c r="K42" s="112"/>
      <c r="L42" s="160">
        <v>29609.9923223185</v>
      </c>
      <c r="M42" s="160">
        <v>1.2421137564</v>
      </c>
      <c r="N42" s="112"/>
      <c r="O42" s="160">
        <v>2288957.3880411698</v>
      </c>
      <c r="P42" s="160">
        <v>93.0331536865</v>
      </c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</row>
    <row r="43" spans="2:40" ht="15" x14ac:dyDescent="0.2">
      <c r="B43" s="39" t="s">
        <v>56</v>
      </c>
      <c r="C43" s="349"/>
      <c r="D43" s="160">
        <v>696285.83140589495</v>
      </c>
      <c r="E43" s="350"/>
      <c r="F43" s="160">
        <v>15515.423122951501</v>
      </c>
      <c r="G43" s="160">
        <v>2.3567967417000002</v>
      </c>
      <c r="H43" s="350"/>
      <c r="I43" s="160">
        <v>32941.9918183017</v>
      </c>
      <c r="J43" s="160">
        <v>4.9275688308000003</v>
      </c>
      <c r="K43" s="112"/>
      <c r="L43" s="160">
        <v>15647.0175861403</v>
      </c>
      <c r="M43" s="160">
        <v>2.3556827337000001</v>
      </c>
      <c r="N43" s="112"/>
      <c r="O43" s="160">
        <v>643602.25791563001</v>
      </c>
      <c r="P43" s="160">
        <v>93.639402897099998</v>
      </c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</row>
    <row r="44" spans="2:40" ht="15" x14ac:dyDescent="0.2">
      <c r="B44" s="48" t="s">
        <v>57</v>
      </c>
      <c r="C44" s="349"/>
      <c r="D44" s="160">
        <v>479515.47820355999</v>
      </c>
      <c r="E44" s="350"/>
      <c r="F44" s="160">
        <v>34977.609158810599</v>
      </c>
      <c r="G44" s="160">
        <v>7.6458657734999997</v>
      </c>
      <c r="H44" s="350"/>
      <c r="I44" s="160">
        <v>24761.648067635499</v>
      </c>
      <c r="J44" s="160">
        <v>5.4180304278999998</v>
      </c>
      <c r="K44" s="112"/>
      <c r="L44" s="160">
        <v>5972.5692216792004</v>
      </c>
      <c r="M44" s="160">
        <v>1.3147415453</v>
      </c>
      <c r="N44" s="112"/>
      <c r="O44" s="160">
        <v>423176.78624711098</v>
      </c>
      <c r="P44" s="160">
        <v>89.684192596800003</v>
      </c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</row>
    <row r="45" spans="2:40" ht="6" customHeight="1" x14ac:dyDescent="0.2">
      <c r="B45" s="40"/>
      <c r="C45" s="331"/>
      <c r="D45" s="4"/>
      <c r="E45" s="351"/>
      <c r="F45" s="4"/>
      <c r="G45" s="352"/>
      <c r="H45" s="352"/>
      <c r="I45" s="4"/>
      <c r="J45" s="352"/>
      <c r="K45" s="352"/>
      <c r="L45" s="4"/>
      <c r="M45" s="352"/>
      <c r="N45" s="352"/>
      <c r="O45" s="4"/>
      <c r="P45" s="352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</row>
    <row r="46" spans="2:40" ht="6" customHeight="1" x14ac:dyDescent="0.2">
      <c r="B46" s="353"/>
      <c r="C46" s="354"/>
      <c r="D46" s="355"/>
      <c r="E46" s="355"/>
      <c r="F46" s="355"/>
      <c r="G46" s="356"/>
      <c r="H46" s="356"/>
      <c r="I46" s="355"/>
      <c r="J46" s="356"/>
      <c r="K46" s="356"/>
      <c r="L46" s="355"/>
      <c r="M46" s="356"/>
      <c r="N46" s="356"/>
      <c r="O46" s="355"/>
      <c r="P46" s="356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</row>
    <row r="47" spans="2:40" s="89" customFormat="1" ht="11.25" customHeight="1" x14ac:dyDescent="0.2">
      <c r="B47" s="108" t="s">
        <v>134</v>
      </c>
      <c r="C47" s="109"/>
      <c r="D47" s="109"/>
      <c r="E47" s="109"/>
      <c r="F47" s="109"/>
      <c r="G47" s="109"/>
      <c r="H47" s="109"/>
      <c r="I47" s="109"/>
      <c r="J47" s="109"/>
      <c r="K47" s="109"/>
      <c r="L47" s="109"/>
      <c r="M47" s="109"/>
      <c r="N47" s="109"/>
      <c r="O47" s="109"/>
      <c r="P47" s="109"/>
    </row>
    <row r="48" spans="2:40" x14ac:dyDescent="0.2">
      <c r="B48" s="112"/>
      <c r="C48" s="112"/>
      <c r="D48" s="112"/>
      <c r="E48" s="112"/>
      <c r="F48" s="112"/>
      <c r="G48" s="112"/>
      <c r="H48" s="112"/>
      <c r="I48" s="112"/>
      <c r="J48" s="112"/>
      <c r="K48" s="112"/>
      <c r="L48" s="112"/>
      <c r="M48" s="112"/>
      <c r="N48" s="112"/>
      <c r="O48" s="112"/>
      <c r="P48" s="112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</row>
    <row r="49" spans="2:40" x14ac:dyDescent="0.2">
      <c r="B49" s="112"/>
      <c r="C49" s="112"/>
      <c r="D49" s="112"/>
      <c r="E49" s="112"/>
      <c r="F49" s="112"/>
      <c r="G49" s="112"/>
      <c r="H49" s="112"/>
      <c r="I49" s="112"/>
      <c r="J49" s="112"/>
      <c r="K49" s="112"/>
      <c r="L49" s="112"/>
      <c r="M49" s="112"/>
      <c r="N49" s="112"/>
      <c r="O49" s="112"/>
      <c r="P49" s="112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</row>
    <row r="50" spans="2:40" x14ac:dyDescent="0.2">
      <c r="B50" s="112"/>
      <c r="C50" s="112"/>
      <c r="D50" s="112"/>
      <c r="E50" s="112"/>
      <c r="F50" s="112"/>
      <c r="G50" s="112"/>
      <c r="H50" s="112"/>
      <c r="I50" s="112"/>
      <c r="J50" s="112"/>
      <c r="K50" s="112"/>
      <c r="L50" s="112"/>
      <c r="M50" s="112"/>
      <c r="N50" s="112"/>
      <c r="O50" s="112"/>
      <c r="P50" s="112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</row>
    <row r="51" spans="2:40" x14ac:dyDescent="0.2">
      <c r="B51" s="112"/>
      <c r="C51" s="112"/>
      <c r="D51" s="112"/>
      <c r="E51" s="112"/>
      <c r="F51" s="112"/>
      <c r="G51" s="112"/>
      <c r="H51" s="112"/>
      <c r="I51" s="112"/>
      <c r="J51" s="112"/>
      <c r="K51" s="112"/>
      <c r="L51" s="112"/>
      <c r="M51" s="112"/>
      <c r="N51" s="112"/>
      <c r="O51" s="112"/>
      <c r="P51" s="112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</row>
    <row r="52" spans="2:40" x14ac:dyDescent="0.2">
      <c r="B52" s="112"/>
      <c r="C52" s="112"/>
      <c r="D52" s="112"/>
      <c r="E52" s="112"/>
      <c r="F52" s="112"/>
      <c r="G52" s="112"/>
      <c r="H52" s="112"/>
      <c r="I52" s="112"/>
      <c r="J52" s="112"/>
      <c r="K52" s="112"/>
      <c r="L52" s="112"/>
      <c r="M52" s="112"/>
      <c r="N52" s="112"/>
      <c r="O52" s="112"/>
      <c r="P52" s="112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</row>
    <row r="53" spans="2:40" x14ac:dyDescent="0.2">
      <c r="B53" s="112"/>
      <c r="C53" s="112"/>
      <c r="D53" s="112"/>
      <c r="E53" s="112"/>
      <c r="F53" s="112"/>
      <c r="G53" s="112"/>
      <c r="H53" s="112"/>
      <c r="I53" s="112"/>
      <c r="J53" s="112"/>
      <c r="K53" s="112"/>
      <c r="L53" s="112"/>
      <c r="M53" s="112"/>
      <c r="N53" s="112"/>
      <c r="O53" s="112"/>
      <c r="P53" s="112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</row>
    <row r="54" spans="2:40" x14ac:dyDescent="0.2">
      <c r="B54" s="112"/>
      <c r="C54" s="112"/>
      <c r="D54" s="112"/>
      <c r="E54" s="112"/>
      <c r="F54" s="112"/>
      <c r="G54" s="112"/>
      <c r="H54" s="112"/>
      <c r="I54" s="112"/>
      <c r="J54" s="112"/>
      <c r="K54" s="112"/>
      <c r="L54" s="112"/>
      <c r="M54" s="112"/>
      <c r="N54" s="112"/>
      <c r="O54" s="112"/>
      <c r="P54" s="112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</row>
    <row r="55" spans="2:40" x14ac:dyDescent="0.2">
      <c r="B55" s="112"/>
      <c r="C55" s="112"/>
      <c r="D55" s="112"/>
      <c r="E55" s="112"/>
      <c r="F55" s="112"/>
      <c r="G55" s="112"/>
      <c r="H55" s="112"/>
      <c r="I55" s="112"/>
      <c r="J55" s="112"/>
      <c r="K55" s="112"/>
      <c r="L55" s="112"/>
      <c r="M55" s="112"/>
      <c r="N55" s="112"/>
      <c r="O55" s="112"/>
      <c r="P55" s="112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</row>
    <row r="56" spans="2:40" x14ac:dyDescent="0.2">
      <c r="B56" s="112"/>
      <c r="C56" s="112"/>
      <c r="D56" s="112"/>
      <c r="E56" s="112"/>
      <c r="F56" s="112"/>
      <c r="G56" s="112"/>
      <c r="H56" s="112"/>
      <c r="I56" s="112"/>
      <c r="J56" s="112"/>
      <c r="K56" s="112"/>
      <c r="L56" s="112"/>
      <c r="M56" s="112"/>
      <c r="N56" s="112"/>
      <c r="O56" s="112"/>
      <c r="P56" s="112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</row>
    <row r="57" spans="2:40" x14ac:dyDescent="0.2">
      <c r="B57" s="112"/>
      <c r="C57" s="112"/>
      <c r="D57" s="112"/>
      <c r="E57" s="112"/>
      <c r="F57" s="112"/>
      <c r="G57" s="112"/>
      <c r="H57" s="112"/>
      <c r="I57" s="112"/>
      <c r="J57" s="112"/>
      <c r="K57" s="112"/>
      <c r="L57" s="112"/>
      <c r="M57" s="112"/>
      <c r="N57" s="112"/>
      <c r="O57" s="112"/>
      <c r="P57" s="112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</row>
    <row r="58" spans="2:40" x14ac:dyDescent="0.2">
      <c r="B58" s="112"/>
      <c r="C58" s="112"/>
      <c r="D58" s="112"/>
      <c r="E58" s="112"/>
      <c r="F58" s="112"/>
      <c r="G58" s="112"/>
      <c r="H58" s="112"/>
      <c r="I58" s="112"/>
      <c r="J58" s="112"/>
      <c r="K58" s="112"/>
      <c r="L58" s="112"/>
      <c r="M58" s="112"/>
      <c r="N58" s="112"/>
      <c r="O58" s="112"/>
      <c r="P58" s="112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</row>
    <row r="59" spans="2:40" x14ac:dyDescent="0.2">
      <c r="B59" s="112"/>
      <c r="C59" s="112"/>
      <c r="D59" s="112"/>
      <c r="E59" s="112"/>
      <c r="F59" s="112"/>
      <c r="G59" s="112"/>
      <c r="H59" s="112"/>
      <c r="I59" s="112"/>
      <c r="J59" s="112"/>
      <c r="K59" s="112"/>
      <c r="L59" s="112"/>
      <c r="M59" s="112"/>
      <c r="N59" s="112"/>
      <c r="O59" s="112"/>
      <c r="P59" s="112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</row>
    <row r="60" spans="2:40" x14ac:dyDescent="0.2">
      <c r="B60" s="112"/>
      <c r="C60" s="112"/>
      <c r="D60" s="112"/>
      <c r="E60" s="112"/>
      <c r="F60" s="112"/>
      <c r="G60" s="112"/>
      <c r="H60" s="112"/>
      <c r="I60" s="112"/>
      <c r="J60" s="112"/>
      <c r="K60" s="112"/>
      <c r="L60" s="112"/>
      <c r="M60" s="112"/>
      <c r="N60" s="112"/>
      <c r="O60" s="112"/>
      <c r="P60" s="112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</row>
    <row r="61" spans="2:40" x14ac:dyDescent="0.2">
      <c r="B61" s="112"/>
      <c r="C61" s="112"/>
      <c r="D61" s="112"/>
      <c r="E61" s="112"/>
      <c r="F61" s="112"/>
      <c r="G61" s="112"/>
      <c r="H61" s="112"/>
      <c r="I61" s="112"/>
      <c r="J61" s="112"/>
      <c r="K61" s="112"/>
      <c r="L61" s="112"/>
      <c r="M61" s="112"/>
      <c r="N61" s="112"/>
      <c r="O61" s="112"/>
      <c r="P61" s="112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</row>
    <row r="62" spans="2:40" x14ac:dyDescent="0.2">
      <c r="B62" s="112"/>
      <c r="C62" s="112"/>
      <c r="D62" s="112"/>
      <c r="E62" s="112"/>
      <c r="F62" s="112"/>
      <c r="G62" s="112"/>
      <c r="H62" s="112"/>
      <c r="I62" s="112"/>
      <c r="J62" s="112"/>
      <c r="K62" s="112"/>
      <c r="L62" s="112"/>
      <c r="M62" s="112"/>
      <c r="N62" s="112"/>
      <c r="O62" s="112"/>
      <c r="P62" s="112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</row>
    <row r="63" spans="2:40" x14ac:dyDescent="0.2">
      <c r="B63" s="3"/>
      <c r="C63" s="3"/>
      <c r="D63" s="3"/>
      <c r="E63" s="3"/>
      <c r="F63" s="3"/>
      <c r="G63" s="3"/>
      <c r="H63" s="3"/>
      <c r="I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</row>
    <row r="64" spans="2:40" x14ac:dyDescent="0.2">
      <c r="B64" s="3"/>
      <c r="C64" s="3"/>
      <c r="D64" s="3"/>
      <c r="E64" s="3"/>
      <c r="F64" s="3"/>
      <c r="G64" s="3"/>
      <c r="H64" s="3"/>
      <c r="I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</row>
    <row r="65" spans="2:40" x14ac:dyDescent="0.2">
      <c r="B65" s="3"/>
      <c r="C65" s="3"/>
      <c r="D65" s="3"/>
      <c r="E65" s="3"/>
      <c r="F65" s="3"/>
      <c r="G65" s="3"/>
      <c r="H65" s="3"/>
      <c r="I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</row>
    <row r="66" spans="2:40" x14ac:dyDescent="0.2">
      <c r="B66" s="3"/>
      <c r="C66" s="3"/>
      <c r="D66" s="3"/>
      <c r="E66" s="3"/>
      <c r="F66" s="3"/>
      <c r="G66" s="3"/>
      <c r="H66" s="3"/>
      <c r="I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</row>
    <row r="67" spans="2:40" x14ac:dyDescent="0.2">
      <c r="B67" s="3"/>
      <c r="C67" s="3"/>
      <c r="D67" s="3"/>
      <c r="E67" s="3"/>
      <c r="F67" s="3"/>
      <c r="G67" s="3"/>
      <c r="H67" s="3"/>
      <c r="I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</row>
    <row r="68" spans="2:40" x14ac:dyDescent="0.2">
      <c r="B68" s="3"/>
      <c r="C68" s="3"/>
      <c r="D68" s="3"/>
      <c r="E68" s="3"/>
      <c r="F68" s="3"/>
      <c r="G68" s="3"/>
      <c r="H68" s="3"/>
      <c r="I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</row>
    <row r="69" spans="2:40" x14ac:dyDescent="0.2">
      <c r="B69" s="3"/>
      <c r="C69" s="3"/>
      <c r="D69" s="3"/>
      <c r="E69" s="3"/>
      <c r="F69" s="3"/>
      <c r="G69" s="3"/>
      <c r="H69" s="3"/>
      <c r="I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</row>
    <row r="70" spans="2:40" x14ac:dyDescent="0.2">
      <c r="B70" s="3"/>
      <c r="C70" s="3"/>
      <c r="D70" s="3"/>
      <c r="E70" s="3"/>
      <c r="F70" s="3"/>
      <c r="G70" s="3"/>
      <c r="H70" s="3"/>
      <c r="I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</row>
    <row r="71" spans="2:40" x14ac:dyDescent="0.2">
      <c r="B71" s="3"/>
      <c r="C71" s="3"/>
      <c r="D71" s="3"/>
      <c r="E71" s="3"/>
      <c r="F71" s="3"/>
      <c r="G71" s="3"/>
      <c r="H71" s="3"/>
      <c r="I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</row>
    <row r="72" spans="2:40" x14ac:dyDescent="0.2">
      <c r="B72" s="3"/>
      <c r="C72" s="3"/>
      <c r="D72" s="3"/>
      <c r="E72" s="3"/>
      <c r="F72" s="3"/>
      <c r="G72" s="3"/>
      <c r="H72" s="3"/>
      <c r="I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</row>
    <row r="73" spans="2:40" x14ac:dyDescent="0.2">
      <c r="B73" s="3"/>
      <c r="C73" s="3"/>
      <c r="D73" s="3"/>
      <c r="E73" s="3"/>
      <c r="F73" s="3"/>
      <c r="G73" s="3"/>
      <c r="H73" s="3"/>
      <c r="I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</row>
    <row r="74" spans="2:40" x14ac:dyDescent="0.2">
      <c r="B74" s="3"/>
      <c r="C74" s="3"/>
      <c r="D74" s="3"/>
      <c r="E74" s="3"/>
      <c r="F74" s="3"/>
      <c r="G74" s="3"/>
      <c r="H74" s="3"/>
      <c r="I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</row>
    <row r="75" spans="2:40" x14ac:dyDescent="0.2">
      <c r="B75" s="3"/>
      <c r="C75" s="3"/>
      <c r="D75" s="3"/>
      <c r="E75" s="3"/>
      <c r="F75" s="3"/>
      <c r="G75" s="3"/>
      <c r="H75" s="3"/>
      <c r="I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</row>
    <row r="76" spans="2:40" x14ac:dyDescent="0.2">
      <c r="B76" s="3"/>
      <c r="C76" s="3"/>
      <c r="D76" s="3"/>
      <c r="E76" s="3"/>
      <c r="F76" s="3"/>
      <c r="G76" s="3"/>
      <c r="H76" s="3"/>
      <c r="I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</row>
    <row r="77" spans="2:40" x14ac:dyDescent="0.2">
      <c r="B77" s="3"/>
      <c r="C77" s="3"/>
      <c r="D77" s="3"/>
      <c r="E77" s="3"/>
      <c r="F77" s="3"/>
      <c r="G77" s="3"/>
      <c r="H77" s="3"/>
      <c r="I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</row>
    <row r="78" spans="2:40" x14ac:dyDescent="0.2">
      <c r="B78" s="3"/>
      <c r="C78" s="3"/>
      <c r="D78" s="3"/>
      <c r="E78" s="3"/>
      <c r="F78" s="3"/>
      <c r="G78" s="3"/>
      <c r="H78" s="3"/>
      <c r="I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</row>
    <row r="79" spans="2:40" x14ac:dyDescent="0.2">
      <c r="B79" s="3"/>
      <c r="C79" s="3"/>
      <c r="D79" s="3"/>
      <c r="E79" s="3"/>
      <c r="F79" s="3"/>
      <c r="G79" s="3"/>
      <c r="H79" s="3"/>
      <c r="I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</row>
    <row r="80" spans="2:40" x14ac:dyDescent="0.2">
      <c r="B80" s="3"/>
      <c r="C80" s="3"/>
      <c r="D80" s="3"/>
      <c r="E80" s="3"/>
      <c r="F80" s="3"/>
      <c r="G80" s="3"/>
      <c r="H80" s="3"/>
      <c r="I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</row>
    <row r="81" spans="2:40" x14ac:dyDescent="0.2">
      <c r="B81" s="3"/>
      <c r="C81" s="3"/>
      <c r="D81" s="3"/>
      <c r="E81" s="3"/>
      <c r="F81" s="3"/>
      <c r="G81" s="3"/>
      <c r="H81" s="3"/>
      <c r="I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</row>
    <row r="82" spans="2:40" x14ac:dyDescent="0.2">
      <c r="B82" s="3"/>
      <c r="C82" s="3"/>
      <c r="D82" s="3"/>
      <c r="E82" s="3"/>
      <c r="F82" s="3"/>
      <c r="G82" s="3"/>
      <c r="H82" s="3"/>
      <c r="I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</row>
    <row r="83" spans="2:40" x14ac:dyDescent="0.2">
      <c r="B83" s="3"/>
      <c r="C83" s="3"/>
      <c r="D83" s="3"/>
      <c r="E83" s="3"/>
      <c r="F83" s="3"/>
      <c r="G83" s="3"/>
      <c r="H83" s="3"/>
      <c r="I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</row>
    <row r="84" spans="2:40" x14ac:dyDescent="0.2">
      <c r="B84" s="3"/>
      <c r="C84" s="3"/>
      <c r="D84" s="3"/>
      <c r="E84" s="3"/>
      <c r="F84" s="3"/>
      <c r="G84" s="3"/>
      <c r="H84" s="3"/>
      <c r="I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</row>
    <row r="85" spans="2:40" x14ac:dyDescent="0.2">
      <c r="B85" s="3"/>
      <c r="C85" s="3"/>
      <c r="D85" s="3"/>
      <c r="E85" s="3"/>
      <c r="F85" s="3"/>
      <c r="G85" s="3"/>
      <c r="H85" s="3"/>
      <c r="I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</row>
    <row r="86" spans="2:40" x14ac:dyDescent="0.2">
      <c r="B86" s="3"/>
      <c r="C86" s="3"/>
      <c r="D86" s="3"/>
      <c r="E86" s="3"/>
      <c r="F86" s="3"/>
      <c r="G86" s="3"/>
      <c r="H86" s="3"/>
      <c r="I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</row>
    <row r="87" spans="2:40" x14ac:dyDescent="0.2">
      <c r="B87" s="3"/>
      <c r="C87" s="3"/>
      <c r="D87" s="3"/>
      <c r="E87" s="3"/>
      <c r="F87" s="3"/>
      <c r="G87" s="3"/>
      <c r="H87" s="3"/>
      <c r="I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</row>
    <row r="88" spans="2:40" x14ac:dyDescent="0.2">
      <c r="B88" s="3"/>
      <c r="C88" s="3"/>
      <c r="D88" s="3"/>
      <c r="E88" s="3"/>
      <c r="F88" s="3"/>
      <c r="G88" s="3"/>
      <c r="H88" s="3"/>
      <c r="I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</row>
    <row r="89" spans="2:40" x14ac:dyDescent="0.2">
      <c r="B89" s="3"/>
      <c r="C89" s="3"/>
      <c r="D89" s="3"/>
      <c r="E89" s="3"/>
      <c r="F89" s="3"/>
      <c r="G89" s="3"/>
      <c r="H89" s="3"/>
      <c r="I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</row>
    <row r="90" spans="2:40" x14ac:dyDescent="0.2">
      <c r="B90" s="3"/>
      <c r="C90" s="3"/>
      <c r="D90" s="3"/>
      <c r="E90" s="3"/>
      <c r="F90" s="3"/>
      <c r="G90" s="3"/>
      <c r="H90" s="3"/>
      <c r="I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</row>
    <row r="91" spans="2:40" x14ac:dyDescent="0.2">
      <c r="B91" s="3"/>
      <c r="C91" s="3"/>
      <c r="D91" s="3"/>
      <c r="E91" s="3"/>
      <c r="F91" s="3"/>
      <c r="G91" s="3"/>
      <c r="H91" s="3"/>
      <c r="I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</row>
    <row r="92" spans="2:40" x14ac:dyDescent="0.2">
      <c r="B92" s="3"/>
      <c r="C92" s="3"/>
      <c r="D92" s="3"/>
      <c r="E92" s="3"/>
      <c r="F92" s="3"/>
      <c r="G92" s="3"/>
      <c r="H92" s="3"/>
      <c r="I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</row>
    <row r="93" spans="2:40" x14ac:dyDescent="0.2">
      <c r="B93" s="3"/>
      <c r="C93" s="3"/>
      <c r="D93" s="3"/>
      <c r="E93" s="3"/>
      <c r="F93" s="3"/>
      <c r="G93" s="3"/>
      <c r="H93" s="3"/>
      <c r="I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</row>
    <row r="94" spans="2:40" x14ac:dyDescent="0.2">
      <c r="B94" s="3"/>
      <c r="C94" s="3"/>
      <c r="D94" s="3"/>
      <c r="E94" s="3"/>
      <c r="F94" s="3"/>
      <c r="G94" s="3"/>
      <c r="H94" s="3"/>
      <c r="I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</row>
    <row r="95" spans="2:40" x14ac:dyDescent="0.2">
      <c r="B95" s="3"/>
      <c r="C95" s="3"/>
      <c r="D95" s="3"/>
      <c r="E95" s="3"/>
      <c r="F95" s="3"/>
      <c r="G95" s="3"/>
      <c r="H95" s="3"/>
      <c r="I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</row>
    <row r="96" spans="2:40" x14ac:dyDescent="0.2">
      <c r="B96" s="3"/>
      <c r="C96" s="3"/>
      <c r="D96" s="3"/>
      <c r="E96" s="3"/>
      <c r="F96" s="3"/>
      <c r="G96" s="3"/>
      <c r="H96" s="3"/>
      <c r="I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</row>
    <row r="97" spans="2:40" x14ac:dyDescent="0.2">
      <c r="B97" s="3"/>
      <c r="C97" s="3"/>
      <c r="D97" s="3"/>
      <c r="E97" s="3"/>
      <c r="F97" s="3"/>
      <c r="G97" s="3"/>
      <c r="H97" s="3"/>
      <c r="I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</row>
    <row r="98" spans="2:40" x14ac:dyDescent="0.2">
      <c r="B98" s="3"/>
      <c r="C98" s="3"/>
      <c r="D98" s="3"/>
      <c r="E98" s="3"/>
      <c r="F98" s="3"/>
      <c r="G98" s="3"/>
      <c r="H98" s="3"/>
      <c r="I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</row>
    <row r="99" spans="2:40" x14ac:dyDescent="0.2">
      <c r="B99" s="3"/>
      <c r="C99" s="3"/>
      <c r="D99" s="3"/>
      <c r="E99" s="3"/>
      <c r="F99" s="3"/>
      <c r="G99" s="3"/>
      <c r="H99" s="3"/>
      <c r="I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</row>
    <row r="100" spans="2:40" x14ac:dyDescent="0.2">
      <c r="B100" s="3"/>
      <c r="C100" s="3"/>
      <c r="D100" s="3"/>
      <c r="E100" s="3"/>
      <c r="F100" s="3"/>
      <c r="G100" s="3"/>
      <c r="H100" s="3"/>
      <c r="I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</row>
    <row r="101" spans="2:40" x14ac:dyDescent="0.2">
      <c r="B101" s="3"/>
      <c r="C101" s="3"/>
      <c r="D101" s="3"/>
      <c r="E101" s="3"/>
      <c r="F101" s="3"/>
      <c r="G101" s="3"/>
      <c r="H101" s="3"/>
      <c r="I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</row>
    <row r="102" spans="2:40" x14ac:dyDescent="0.2">
      <c r="B102" s="3"/>
      <c r="C102" s="3"/>
      <c r="D102" s="3"/>
      <c r="E102" s="3"/>
      <c r="F102" s="3"/>
      <c r="G102" s="3"/>
      <c r="H102" s="3"/>
      <c r="I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</row>
    <row r="103" spans="2:40" x14ac:dyDescent="0.2">
      <c r="B103" s="3"/>
      <c r="C103" s="3"/>
      <c r="D103" s="3"/>
      <c r="E103" s="3"/>
      <c r="F103" s="3"/>
      <c r="G103" s="3"/>
      <c r="H103" s="3"/>
      <c r="I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</row>
    <row r="104" spans="2:40" x14ac:dyDescent="0.2">
      <c r="B104" s="3"/>
      <c r="C104" s="3"/>
      <c r="D104" s="3"/>
      <c r="E104" s="3"/>
      <c r="F104" s="3"/>
      <c r="G104" s="3"/>
      <c r="H104" s="3"/>
      <c r="I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</row>
    <row r="105" spans="2:40" x14ac:dyDescent="0.2">
      <c r="B105" s="3"/>
      <c r="C105" s="3"/>
      <c r="D105" s="3"/>
      <c r="E105" s="3"/>
      <c r="F105" s="3"/>
      <c r="G105" s="3"/>
      <c r="H105" s="3"/>
      <c r="I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</row>
    <row r="106" spans="2:40" x14ac:dyDescent="0.2">
      <c r="B106" s="3"/>
      <c r="C106" s="3"/>
      <c r="D106" s="3"/>
      <c r="E106" s="3"/>
      <c r="F106" s="3"/>
      <c r="G106" s="3"/>
      <c r="H106" s="3"/>
      <c r="I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</row>
    <row r="107" spans="2:40" x14ac:dyDescent="0.2">
      <c r="B107" s="3"/>
      <c r="C107" s="3"/>
      <c r="D107" s="3"/>
      <c r="E107" s="3"/>
      <c r="F107" s="3"/>
      <c r="G107" s="3"/>
      <c r="H107" s="3"/>
      <c r="I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</row>
    <row r="108" spans="2:40" x14ac:dyDescent="0.2">
      <c r="B108" s="3"/>
      <c r="C108" s="3"/>
      <c r="D108" s="3"/>
      <c r="E108" s="3"/>
      <c r="F108" s="3"/>
      <c r="G108" s="3"/>
      <c r="H108" s="3"/>
      <c r="I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</row>
    <row r="109" spans="2:40" x14ac:dyDescent="0.2">
      <c r="B109" s="3"/>
      <c r="C109" s="3"/>
      <c r="D109" s="3"/>
      <c r="E109" s="3"/>
      <c r="F109" s="3"/>
      <c r="G109" s="3"/>
      <c r="H109" s="3"/>
      <c r="I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</row>
    <row r="110" spans="2:40" x14ac:dyDescent="0.2">
      <c r="B110" s="3"/>
      <c r="C110" s="3"/>
      <c r="D110" s="3"/>
      <c r="E110" s="3"/>
      <c r="F110" s="3"/>
      <c r="G110" s="3"/>
      <c r="H110" s="3"/>
      <c r="I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</row>
    <row r="111" spans="2:40" x14ac:dyDescent="0.2">
      <c r="B111" s="3"/>
      <c r="C111" s="3"/>
      <c r="D111" s="3"/>
      <c r="E111" s="3"/>
      <c r="F111" s="3"/>
      <c r="G111" s="3"/>
      <c r="H111" s="3"/>
      <c r="I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</row>
    <row r="112" spans="2:40" x14ac:dyDescent="0.2">
      <c r="B112" s="3"/>
      <c r="C112" s="3"/>
      <c r="D112" s="3"/>
      <c r="E112" s="3"/>
      <c r="F112" s="3"/>
      <c r="G112" s="3"/>
      <c r="H112" s="3"/>
      <c r="I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</row>
    <row r="113" spans="2:40" x14ac:dyDescent="0.2">
      <c r="B113" s="3"/>
      <c r="C113" s="3"/>
      <c r="D113" s="3"/>
      <c r="E113" s="3"/>
      <c r="F113" s="3"/>
      <c r="G113" s="3"/>
      <c r="H113" s="3"/>
      <c r="I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</row>
    <row r="114" spans="2:40" x14ac:dyDescent="0.2">
      <c r="B114" s="3"/>
      <c r="C114" s="3"/>
      <c r="D114" s="3"/>
      <c r="E114" s="3"/>
      <c r="F114" s="3"/>
      <c r="G114" s="3"/>
      <c r="H114" s="3"/>
      <c r="I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</row>
    <row r="115" spans="2:40" x14ac:dyDescent="0.2">
      <c r="B115" s="3"/>
      <c r="C115" s="3"/>
      <c r="D115" s="3"/>
      <c r="E115" s="3"/>
      <c r="F115" s="3"/>
      <c r="G115" s="3"/>
      <c r="H115" s="3"/>
      <c r="I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</row>
    <row r="116" spans="2:40" x14ac:dyDescent="0.2">
      <c r="B116" s="3"/>
      <c r="C116" s="3"/>
      <c r="D116" s="3"/>
      <c r="E116" s="3"/>
      <c r="F116" s="3"/>
      <c r="G116" s="3"/>
      <c r="H116" s="3"/>
      <c r="I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</row>
    <row r="117" spans="2:40" x14ac:dyDescent="0.2">
      <c r="B117" s="3"/>
      <c r="C117" s="3"/>
      <c r="D117" s="3"/>
      <c r="E117" s="3"/>
      <c r="F117" s="3"/>
      <c r="G117" s="3"/>
      <c r="H117" s="3"/>
      <c r="I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</row>
    <row r="118" spans="2:40" x14ac:dyDescent="0.2">
      <c r="B118" s="3"/>
      <c r="C118" s="3"/>
      <c r="D118" s="3"/>
      <c r="E118" s="3"/>
      <c r="F118" s="3"/>
      <c r="G118" s="3"/>
      <c r="H118" s="3"/>
      <c r="I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</row>
    <row r="119" spans="2:40" x14ac:dyDescent="0.2">
      <c r="B119" s="3"/>
      <c r="C119" s="3"/>
      <c r="D119" s="3"/>
      <c r="E119" s="3"/>
      <c r="F119" s="3"/>
      <c r="G119" s="3"/>
      <c r="H119" s="3"/>
      <c r="I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</row>
    <row r="120" spans="2:40" x14ac:dyDescent="0.2">
      <c r="B120" s="3"/>
      <c r="C120" s="3"/>
      <c r="D120" s="3"/>
      <c r="E120" s="3"/>
      <c r="F120" s="3"/>
      <c r="G120" s="3"/>
      <c r="H120" s="3"/>
      <c r="I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</row>
    <row r="121" spans="2:40" x14ac:dyDescent="0.2">
      <c r="B121" s="3"/>
      <c r="C121" s="3"/>
      <c r="D121" s="3"/>
      <c r="E121" s="3"/>
      <c r="F121" s="3"/>
      <c r="G121" s="3"/>
      <c r="H121" s="3"/>
      <c r="I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  <c r="AG121" s="3"/>
      <c r="AH121" s="3"/>
      <c r="AI121" s="3"/>
      <c r="AJ121" s="3"/>
      <c r="AK121" s="3"/>
      <c r="AL121" s="3"/>
      <c r="AM121" s="3"/>
      <c r="AN121" s="3"/>
    </row>
    <row r="122" spans="2:40" x14ac:dyDescent="0.2">
      <c r="B122" s="3"/>
      <c r="C122" s="3"/>
      <c r="D122" s="3"/>
      <c r="E122" s="3"/>
      <c r="F122" s="3"/>
      <c r="G122" s="3"/>
      <c r="H122" s="3"/>
      <c r="I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  <c r="AG122" s="3"/>
      <c r="AH122" s="3"/>
      <c r="AI122" s="3"/>
      <c r="AJ122" s="3"/>
      <c r="AK122" s="3"/>
      <c r="AL122" s="3"/>
      <c r="AM122" s="3"/>
      <c r="AN122" s="3"/>
    </row>
    <row r="123" spans="2:40" x14ac:dyDescent="0.2">
      <c r="B123" s="3"/>
      <c r="C123" s="3"/>
      <c r="D123" s="3"/>
      <c r="E123" s="3"/>
      <c r="F123" s="3"/>
      <c r="G123" s="3"/>
      <c r="H123" s="3"/>
      <c r="I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  <c r="AG123" s="3"/>
      <c r="AH123" s="3"/>
      <c r="AI123" s="3"/>
      <c r="AJ123" s="3"/>
      <c r="AK123" s="3"/>
      <c r="AL123" s="3"/>
      <c r="AM123" s="3"/>
      <c r="AN123" s="3"/>
    </row>
    <row r="124" spans="2:40" x14ac:dyDescent="0.2">
      <c r="B124" s="3"/>
      <c r="C124" s="3"/>
      <c r="D124" s="3"/>
      <c r="E124" s="3"/>
      <c r="F124" s="3"/>
      <c r="G124" s="3"/>
      <c r="H124" s="3"/>
      <c r="I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  <c r="AG124" s="3"/>
      <c r="AH124" s="3"/>
      <c r="AI124" s="3"/>
      <c r="AJ124" s="3"/>
      <c r="AK124" s="3"/>
      <c r="AL124" s="3"/>
      <c r="AM124" s="3"/>
      <c r="AN124" s="3"/>
    </row>
    <row r="125" spans="2:40" x14ac:dyDescent="0.2">
      <c r="B125" s="3"/>
      <c r="C125" s="3"/>
      <c r="D125" s="3"/>
      <c r="E125" s="3"/>
      <c r="F125" s="3"/>
      <c r="G125" s="3"/>
      <c r="H125" s="3"/>
      <c r="I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  <c r="AG125" s="3"/>
      <c r="AH125" s="3"/>
      <c r="AI125" s="3"/>
      <c r="AJ125" s="3"/>
      <c r="AK125" s="3"/>
      <c r="AL125" s="3"/>
      <c r="AM125" s="3"/>
      <c r="AN125" s="3"/>
    </row>
    <row r="126" spans="2:40" x14ac:dyDescent="0.2">
      <c r="B126" s="3"/>
      <c r="C126" s="3"/>
      <c r="D126" s="3"/>
      <c r="E126" s="3"/>
      <c r="F126" s="3"/>
      <c r="G126" s="3"/>
      <c r="H126" s="3"/>
      <c r="I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  <c r="AG126" s="3"/>
      <c r="AH126" s="3"/>
      <c r="AI126" s="3"/>
      <c r="AJ126" s="3"/>
      <c r="AK126" s="3"/>
      <c r="AL126" s="3"/>
      <c r="AM126" s="3"/>
      <c r="AN126" s="3"/>
    </row>
    <row r="127" spans="2:40" x14ac:dyDescent="0.2">
      <c r="B127" s="3"/>
      <c r="C127" s="3"/>
      <c r="D127" s="3"/>
      <c r="E127" s="3"/>
      <c r="F127" s="3"/>
      <c r="G127" s="3"/>
      <c r="H127" s="3"/>
      <c r="I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  <c r="AG127" s="3"/>
      <c r="AH127" s="3"/>
      <c r="AI127" s="3"/>
      <c r="AJ127" s="3"/>
      <c r="AK127" s="3"/>
      <c r="AL127" s="3"/>
      <c r="AM127" s="3"/>
      <c r="AN127" s="3"/>
    </row>
    <row r="128" spans="2:40" x14ac:dyDescent="0.2">
      <c r="B128" s="3"/>
      <c r="C128" s="3"/>
      <c r="D128" s="3"/>
      <c r="E128" s="3"/>
      <c r="F128" s="3"/>
      <c r="G128" s="3"/>
      <c r="H128" s="3"/>
      <c r="I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  <c r="AG128" s="3"/>
      <c r="AH128" s="3"/>
      <c r="AI128" s="3"/>
      <c r="AJ128" s="3"/>
      <c r="AK128" s="3"/>
      <c r="AL128" s="3"/>
      <c r="AM128" s="3"/>
      <c r="AN128" s="3"/>
    </row>
    <row r="129" spans="2:40" x14ac:dyDescent="0.2">
      <c r="B129" s="3"/>
      <c r="C129" s="3"/>
      <c r="D129" s="3"/>
      <c r="E129" s="3"/>
      <c r="F129" s="3"/>
      <c r="G129" s="3"/>
      <c r="H129" s="3"/>
      <c r="I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  <c r="AG129" s="3"/>
      <c r="AH129" s="3"/>
      <c r="AI129" s="3"/>
      <c r="AJ129" s="3"/>
      <c r="AK129" s="3"/>
      <c r="AL129" s="3"/>
      <c r="AM129" s="3"/>
      <c r="AN129" s="3"/>
    </row>
    <row r="130" spans="2:40" x14ac:dyDescent="0.2">
      <c r="B130" s="3"/>
      <c r="C130" s="3"/>
      <c r="D130" s="3"/>
      <c r="E130" s="3"/>
      <c r="F130" s="3"/>
      <c r="G130" s="3"/>
      <c r="H130" s="3"/>
      <c r="I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  <c r="AG130" s="3"/>
      <c r="AH130" s="3"/>
      <c r="AI130" s="3"/>
      <c r="AJ130" s="3"/>
      <c r="AK130" s="3"/>
      <c r="AL130" s="3"/>
      <c r="AM130" s="3"/>
      <c r="AN130" s="3"/>
    </row>
    <row r="131" spans="2:40" x14ac:dyDescent="0.2">
      <c r="B131" s="3"/>
      <c r="C131" s="3"/>
      <c r="D131" s="3"/>
      <c r="E131" s="3"/>
      <c r="F131" s="3"/>
      <c r="G131" s="3"/>
      <c r="H131" s="3"/>
      <c r="I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  <c r="AG131" s="3"/>
      <c r="AH131" s="3"/>
      <c r="AI131" s="3"/>
      <c r="AJ131" s="3"/>
      <c r="AK131" s="3"/>
      <c r="AL131" s="3"/>
      <c r="AM131" s="3"/>
      <c r="AN131" s="3"/>
    </row>
    <row r="132" spans="2:40" x14ac:dyDescent="0.2">
      <c r="B132" s="3"/>
      <c r="C132" s="3"/>
      <c r="D132" s="3"/>
      <c r="E132" s="3"/>
      <c r="F132" s="3"/>
      <c r="G132" s="3"/>
      <c r="H132" s="3"/>
      <c r="I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  <c r="AG132" s="3"/>
      <c r="AH132" s="3"/>
      <c r="AI132" s="3"/>
      <c r="AJ132" s="3"/>
      <c r="AK132" s="3"/>
      <c r="AL132" s="3"/>
      <c r="AM132" s="3"/>
      <c r="AN132" s="3"/>
    </row>
    <row r="133" spans="2:40" x14ac:dyDescent="0.2">
      <c r="B133" s="3"/>
      <c r="C133" s="3"/>
      <c r="D133" s="3"/>
      <c r="E133" s="3"/>
      <c r="F133" s="3"/>
      <c r="G133" s="3"/>
      <c r="H133" s="3"/>
      <c r="I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  <c r="AG133" s="3"/>
      <c r="AH133" s="3"/>
      <c r="AI133" s="3"/>
      <c r="AJ133" s="3"/>
      <c r="AK133" s="3"/>
      <c r="AL133" s="3"/>
      <c r="AM133" s="3"/>
      <c r="AN133" s="3"/>
    </row>
    <row r="134" spans="2:40" x14ac:dyDescent="0.2">
      <c r="B134" s="3"/>
      <c r="C134" s="3"/>
      <c r="D134" s="3"/>
      <c r="E134" s="3"/>
      <c r="F134" s="3"/>
      <c r="G134" s="3"/>
      <c r="H134" s="3"/>
      <c r="I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  <c r="AG134" s="3"/>
      <c r="AH134" s="3"/>
      <c r="AI134" s="3"/>
      <c r="AJ134" s="3"/>
      <c r="AK134" s="3"/>
      <c r="AL134" s="3"/>
      <c r="AM134" s="3"/>
      <c r="AN134" s="3"/>
    </row>
    <row r="135" spans="2:40" x14ac:dyDescent="0.2">
      <c r="B135" s="3"/>
      <c r="C135" s="3"/>
      <c r="D135" s="3"/>
      <c r="E135" s="3"/>
      <c r="F135" s="3"/>
      <c r="G135" s="3"/>
      <c r="H135" s="3"/>
      <c r="I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</row>
    <row r="136" spans="2:40" x14ac:dyDescent="0.2">
      <c r="B136" s="3"/>
      <c r="C136" s="3"/>
      <c r="D136" s="3"/>
      <c r="E136" s="3"/>
      <c r="F136" s="3"/>
      <c r="G136" s="3"/>
      <c r="H136" s="3"/>
      <c r="I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</row>
    <row r="137" spans="2:40" x14ac:dyDescent="0.2">
      <c r="B137" s="3"/>
      <c r="C137" s="3"/>
      <c r="D137" s="3"/>
      <c r="E137" s="3"/>
      <c r="F137" s="3"/>
      <c r="G137" s="3"/>
      <c r="H137" s="3"/>
      <c r="I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</row>
    <row r="138" spans="2:40" x14ac:dyDescent="0.2">
      <c r="B138" s="3"/>
      <c r="C138" s="3"/>
      <c r="D138" s="3"/>
      <c r="E138" s="3"/>
      <c r="F138" s="3"/>
      <c r="G138" s="3"/>
      <c r="H138" s="3"/>
      <c r="I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</row>
    <row r="139" spans="2:40" x14ac:dyDescent="0.2">
      <c r="B139" s="3"/>
      <c r="C139" s="3"/>
      <c r="D139" s="3"/>
      <c r="E139" s="3"/>
      <c r="F139" s="3"/>
      <c r="G139" s="3"/>
      <c r="H139" s="3"/>
      <c r="I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</row>
    <row r="140" spans="2:40" x14ac:dyDescent="0.2">
      <c r="B140" s="3"/>
      <c r="C140" s="3"/>
      <c r="D140" s="3"/>
      <c r="E140" s="3"/>
      <c r="F140" s="3"/>
      <c r="G140" s="3"/>
      <c r="H140" s="3"/>
      <c r="I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</row>
    <row r="141" spans="2:40" x14ac:dyDescent="0.2">
      <c r="B141" s="3"/>
      <c r="C141" s="3"/>
      <c r="D141" s="3"/>
      <c r="E141" s="3"/>
      <c r="F141" s="3"/>
      <c r="G141" s="3"/>
      <c r="H141" s="3"/>
      <c r="I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</row>
    <row r="142" spans="2:40" x14ac:dyDescent="0.2">
      <c r="B142" s="3"/>
      <c r="C142" s="3"/>
      <c r="D142" s="3"/>
      <c r="E142" s="3"/>
      <c r="F142" s="3"/>
      <c r="G142" s="3"/>
      <c r="H142" s="3"/>
      <c r="I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</row>
    <row r="143" spans="2:40" x14ac:dyDescent="0.2">
      <c r="B143" s="3"/>
      <c r="C143" s="3"/>
      <c r="D143" s="3"/>
      <c r="E143" s="3"/>
      <c r="F143" s="3"/>
      <c r="G143" s="3"/>
      <c r="H143" s="3"/>
      <c r="I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</row>
    <row r="144" spans="2:40" x14ac:dyDescent="0.2">
      <c r="B144" s="3"/>
      <c r="C144" s="3"/>
      <c r="D144" s="3"/>
      <c r="E144" s="3"/>
      <c r="F144" s="3"/>
      <c r="G144" s="3"/>
      <c r="H144" s="3"/>
      <c r="I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</row>
    <row r="145" spans="2:40" x14ac:dyDescent="0.2">
      <c r="B145" s="3"/>
      <c r="C145" s="3"/>
      <c r="D145" s="3"/>
      <c r="E145" s="3"/>
      <c r="F145" s="3"/>
      <c r="G145" s="3"/>
      <c r="H145" s="3"/>
      <c r="I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</row>
    <row r="146" spans="2:40" x14ac:dyDescent="0.2">
      <c r="B146" s="3"/>
      <c r="C146" s="3"/>
      <c r="D146" s="3"/>
      <c r="E146" s="3"/>
      <c r="F146" s="3"/>
      <c r="G146" s="3"/>
      <c r="H146" s="3"/>
      <c r="I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</row>
    <row r="147" spans="2:40" x14ac:dyDescent="0.2">
      <c r="B147" s="3"/>
      <c r="C147" s="3"/>
      <c r="D147" s="3"/>
      <c r="E147" s="3"/>
      <c r="F147" s="3"/>
      <c r="G147" s="3"/>
      <c r="H147" s="3"/>
      <c r="I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</row>
    <row r="148" spans="2:40" x14ac:dyDescent="0.2">
      <c r="B148" s="3"/>
      <c r="C148" s="3"/>
      <c r="D148" s="3"/>
      <c r="E148" s="3"/>
      <c r="F148" s="3"/>
      <c r="G148" s="3"/>
      <c r="H148" s="3"/>
      <c r="I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</row>
    <row r="149" spans="2:40" x14ac:dyDescent="0.2">
      <c r="B149" s="3"/>
      <c r="C149" s="3"/>
      <c r="D149" s="3"/>
      <c r="E149" s="3"/>
      <c r="F149" s="3"/>
      <c r="G149" s="3"/>
      <c r="H149" s="3"/>
      <c r="I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</row>
    <row r="150" spans="2:40" x14ac:dyDescent="0.2">
      <c r="B150" s="3"/>
      <c r="C150" s="3"/>
      <c r="D150" s="3"/>
      <c r="E150" s="3"/>
      <c r="F150" s="3"/>
      <c r="G150" s="3"/>
      <c r="H150" s="3"/>
      <c r="I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</row>
    <row r="151" spans="2:40" x14ac:dyDescent="0.2">
      <c r="B151" s="3"/>
      <c r="C151" s="3"/>
      <c r="D151" s="3"/>
      <c r="E151" s="3"/>
      <c r="F151" s="3"/>
      <c r="G151" s="3"/>
      <c r="H151" s="3"/>
      <c r="I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</row>
    <row r="152" spans="2:40" x14ac:dyDescent="0.2">
      <c r="B152" s="3"/>
      <c r="C152" s="3"/>
      <c r="D152" s="3"/>
      <c r="E152" s="3"/>
      <c r="F152" s="3"/>
      <c r="G152" s="3"/>
      <c r="H152" s="3"/>
      <c r="I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</row>
    <row r="153" spans="2:40" x14ac:dyDescent="0.2">
      <c r="B153" s="3"/>
      <c r="C153" s="3"/>
      <c r="D153" s="3"/>
      <c r="E153" s="3"/>
      <c r="F153" s="3"/>
      <c r="G153" s="3"/>
      <c r="H153" s="3"/>
      <c r="I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</row>
    <row r="154" spans="2:40" x14ac:dyDescent="0.2">
      <c r="B154" s="3"/>
      <c r="C154" s="3"/>
      <c r="D154" s="3"/>
      <c r="E154" s="3"/>
      <c r="F154" s="3"/>
      <c r="G154" s="3"/>
      <c r="H154" s="3"/>
      <c r="I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</row>
    <row r="155" spans="2:40" x14ac:dyDescent="0.2">
      <c r="B155" s="3"/>
      <c r="C155" s="3"/>
      <c r="D155" s="3"/>
      <c r="E155" s="3"/>
      <c r="F155" s="3"/>
      <c r="G155" s="3"/>
      <c r="H155" s="3"/>
      <c r="I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</row>
    <row r="156" spans="2:40" x14ac:dyDescent="0.2">
      <c r="B156" s="3"/>
      <c r="C156" s="3"/>
      <c r="D156" s="3"/>
      <c r="E156" s="3"/>
      <c r="F156" s="3"/>
      <c r="G156" s="3"/>
      <c r="H156" s="3"/>
      <c r="I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</row>
    <row r="157" spans="2:40" x14ac:dyDescent="0.2">
      <c r="B157" s="3"/>
      <c r="C157" s="3"/>
      <c r="D157" s="3"/>
      <c r="E157" s="3"/>
      <c r="F157" s="3"/>
      <c r="G157" s="3"/>
      <c r="H157" s="3"/>
      <c r="I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</row>
    <row r="158" spans="2:40" x14ac:dyDescent="0.2">
      <c r="B158" s="3"/>
      <c r="C158" s="3"/>
      <c r="D158" s="3"/>
      <c r="E158" s="3"/>
      <c r="F158" s="3"/>
      <c r="G158" s="3"/>
      <c r="H158" s="3"/>
      <c r="I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</row>
    <row r="159" spans="2:40" x14ac:dyDescent="0.2">
      <c r="B159" s="3"/>
      <c r="C159" s="3"/>
      <c r="D159" s="3"/>
      <c r="E159" s="3"/>
      <c r="F159" s="3"/>
      <c r="G159" s="3"/>
      <c r="H159" s="3"/>
      <c r="I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</row>
    <row r="160" spans="2:40" x14ac:dyDescent="0.2">
      <c r="B160" s="3"/>
      <c r="C160" s="3"/>
      <c r="D160" s="3"/>
      <c r="E160" s="3"/>
      <c r="F160" s="3"/>
      <c r="G160" s="3"/>
      <c r="H160" s="3"/>
      <c r="I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</row>
    <row r="161" spans="2:40" x14ac:dyDescent="0.2">
      <c r="B161" s="3"/>
      <c r="C161" s="3"/>
      <c r="D161" s="3"/>
      <c r="E161" s="3"/>
      <c r="F161" s="3"/>
      <c r="G161" s="3"/>
      <c r="H161" s="3"/>
      <c r="I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</row>
    <row r="162" spans="2:40" x14ac:dyDescent="0.2">
      <c r="B162" s="3"/>
      <c r="C162" s="3"/>
      <c r="D162" s="3"/>
      <c r="E162" s="3"/>
      <c r="F162" s="3"/>
      <c r="G162" s="3"/>
      <c r="H162" s="3"/>
      <c r="I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</row>
    <row r="163" spans="2:40" x14ac:dyDescent="0.2">
      <c r="B163" s="3"/>
      <c r="C163" s="3"/>
      <c r="D163" s="3"/>
      <c r="E163" s="3"/>
      <c r="F163" s="3"/>
      <c r="G163" s="3"/>
      <c r="H163" s="3"/>
      <c r="I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</row>
    <row r="164" spans="2:40" x14ac:dyDescent="0.2">
      <c r="B164" s="3"/>
      <c r="C164" s="3"/>
      <c r="D164" s="3"/>
      <c r="E164" s="3"/>
      <c r="F164" s="3"/>
      <c r="G164" s="3"/>
      <c r="H164" s="3"/>
      <c r="I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</row>
    <row r="165" spans="2:40" x14ac:dyDescent="0.2">
      <c r="B165" s="3"/>
      <c r="C165" s="3"/>
      <c r="D165" s="3"/>
      <c r="E165" s="3"/>
      <c r="F165" s="3"/>
      <c r="G165" s="3"/>
      <c r="H165" s="3"/>
      <c r="I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</row>
    <row r="166" spans="2:40" x14ac:dyDescent="0.2">
      <c r="B166" s="3"/>
      <c r="C166" s="3"/>
      <c r="D166" s="3"/>
      <c r="E166" s="3"/>
      <c r="F166" s="3"/>
      <c r="G166" s="3"/>
      <c r="H166" s="3"/>
      <c r="I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</row>
    <row r="167" spans="2:40" x14ac:dyDescent="0.2">
      <c r="B167" s="3"/>
      <c r="C167" s="3"/>
      <c r="D167" s="3"/>
      <c r="E167" s="3"/>
      <c r="F167" s="3"/>
      <c r="G167" s="3"/>
      <c r="H167" s="3"/>
      <c r="I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</row>
    <row r="168" spans="2:40" x14ac:dyDescent="0.2">
      <c r="B168" s="3"/>
      <c r="C168" s="3"/>
      <c r="D168" s="3"/>
      <c r="E168" s="3"/>
      <c r="F168" s="3"/>
      <c r="G168" s="3"/>
      <c r="H168" s="3"/>
      <c r="I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</row>
    <row r="169" spans="2:40" x14ac:dyDescent="0.2">
      <c r="B169" s="3"/>
      <c r="C169" s="3"/>
      <c r="D169" s="3"/>
      <c r="E169" s="3"/>
      <c r="F169" s="3"/>
      <c r="G169" s="3"/>
      <c r="H169" s="3"/>
      <c r="I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</row>
    <row r="170" spans="2:40" x14ac:dyDescent="0.2">
      <c r="B170" s="3"/>
      <c r="C170" s="3"/>
      <c r="D170" s="3"/>
      <c r="E170" s="3"/>
      <c r="F170" s="3"/>
      <c r="G170" s="3"/>
      <c r="H170" s="3"/>
      <c r="I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</row>
    <row r="171" spans="2:40" x14ac:dyDescent="0.2">
      <c r="B171" s="3"/>
      <c r="C171" s="3"/>
      <c r="D171" s="3"/>
      <c r="E171" s="3"/>
      <c r="F171" s="3"/>
      <c r="G171" s="3"/>
      <c r="H171" s="3"/>
      <c r="I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</row>
    <row r="172" spans="2:40" x14ac:dyDescent="0.2">
      <c r="B172" s="3"/>
      <c r="C172" s="3"/>
      <c r="D172" s="3"/>
      <c r="E172" s="3"/>
      <c r="F172" s="3"/>
      <c r="G172" s="3"/>
      <c r="H172" s="3"/>
      <c r="I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</row>
    <row r="173" spans="2:40" x14ac:dyDescent="0.2">
      <c r="B173" s="3"/>
      <c r="C173" s="3"/>
      <c r="D173" s="3"/>
      <c r="E173" s="3"/>
      <c r="F173" s="3"/>
      <c r="G173" s="3"/>
      <c r="H173" s="3"/>
      <c r="I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</row>
    <row r="174" spans="2:40" x14ac:dyDescent="0.2">
      <c r="B174" s="3"/>
      <c r="C174" s="3"/>
      <c r="D174" s="3"/>
      <c r="E174" s="3"/>
      <c r="F174" s="3"/>
      <c r="G174" s="3"/>
      <c r="H174" s="3"/>
      <c r="I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</row>
    <row r="175" spans="2:40" x14ac:dyDescent="0.2">
      <c r="B175" s="3"/>
      <c r="C175" s="3"/>
      <c r="D175" s="3"/>
      <c r="E175" s="3"/>
      <c r="F175" s="3"/>
      <c r="G175" s="3"/>
      <c r="H175" s="3"/>
      <c r="I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</row>
    <row r="176" spans="2:40" x14ac:dyDescent="0.2">
      <c r="B176" s="3"/>
      <c r="C176" s="3"/>
      <c r="D176" s="3"/>
      <c r="E176" s="3"/>
      <c r="F176" s="3"/>
      <c r="G176" s="3"/>
      <c r="H176" s="3"/>
      <c r="I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</row>
    <row r="177" spans="2:40" x14ac:dyDescent="0.2">
      <c r="B177" s="3"/>
      <c r="C177" s="3"/>
      <c r="D177" s="3"/>
      <c r="E177" s="3"/>
      <c r="F177" s="3"/>
      <c r="G177" s="3"/>
      <c r="H177" s="3"/>
      <c r="I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</row>
    <row r="178" spans="2:40" x14ac:dyDescent="0.2">
      <c r="B178" s="3"/>
      <c r="C178" s="3"/>
      <c r="D178" s="3"/>
      <c r="E178" s="3"/>
      <c r="F178" s="3"/>
      <c r="G178" s="3"/>
      <c r="H178" s="3"/>
      <c r="I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</row>
    <row r="179" spans="2:40" x14ac:dyDescent="0.2">
      <c r="B179" s="3"/>
      <c r="C179" s="3"/>
      <c r="D179" s="3"/>
      <c r="E179" s="3"/>
      <c r="F179" s="3"/>
      <c r="G179" s="3"/>
      <c r="H179" s="3"/>
      <c r="I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</row>
    <row r="180" spans="2:40" x14ac:dyDescent="0.2">
      <c r="B180" s="3"/>
      <c r="C180" s="3"/>
      <c r="D180" s="3"/>
      <c r="E180" s="3"/>
      <c r="F180" s="3"/>
      <c r="G180" s="3"/>
      <c r="H180" s="3"/>
      <c r="I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</row>
    <row r="181" spans="2:40" x14ac:dyDescent="0.2">
      <c r="B181" s="3"/>
      <c r="C181" s="3"/>
      <c r="D181" s="3"/>
      <c r="E181" s="3"/>
      <c r="F181" s="3"/>
      <c r="G181" s="3"/>
      <c r="H181" s="3"/>
      <c r="I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</row>
    <row r="182" spans="2:40" x14ac:dyDescent="0.2">
      <c r="B182" s="3"/>
      <c r="C182" s="3"/>
      <c r="D182" s="3"/>
      <c r="E182" s="3"/>
      <c r="F182" s="3"/>
      <c r="G182" s="3"/>
      <c r="H182" s="3"/>
      <c r="I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</row>
    <row r="183" spans="2:40" x14ac:dyDescent="0.2">
      <c r="B183" s="3"/>
      <c r="C183" s="3"/>
      <c r="D183" s="3"/>
      <c r="E183" s="3"/>
      <c r="F183" s="3"/>
      <c r="G183" s="3"/>
      <c r="H183" s="3"/>
      <c r="I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</row>
    <row r="184" spans="2:40" x14ac:dyDescent="0.2">
      <c r="B184" s="3"/>
      <c r="C184" s="3"/>
      <c r="D184" s="3"/>
      <c r="E184" s="3"/>
      <c r="F184" s="3"/>
      <c r="G184" s="3"/>
      <c r="H184" s="3"/>
      <c r="I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</row>
    <row r="185" spans="2:40" x14ac:dyDescent="0.2">
      <c r="B185" s="3"/>
      <c r="C185" s="3"/>
      <c r="D185" s="3"/>
      <c r="E185" s="3"/>
      <c r="F185" s="3"/>
      <c r="G185" s="3"/>
      <c r="H185" s="3"/>
      <c r="I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</row>
    <row r="186" spans="2:40" x14ac:dyDescent="0.2">
      <c r="B186" s="3"/>
      <c r="C186" s="3"/>
      <c r="D186" s="3"/>
      <c r="E186" s="3"/>
      <c r="F186" s="3"/>
      <c r="G186" s="3"/>
      <c r="H186" s="3"/>
      <c r="I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</row>
    <row r="187" spans="2:40" x14ac:dyDescent="0.2">
      <c r="B187" s="3"/>
      <c r="C187" s="3"/>
      <c r="D187" s="3"/>
      <c r="E187" s="3"/>
      <c r="F187" s="3"/>
      <c r="G187" s="3"/>
      <c r="H187" s="3"/>
      <c r="I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</row>
    <row r="188" spans="2:40" x14ac:dyDescent="0.2">
      <c r="B188" s="3"/>
      <c r="C188" s="3"/>
      <c r="D188" s="3"/>
      <c r="E188" s="3"/>
      <c r="F188" s="3"/>
      <c r="G188" s="3"/>
      <c r="H188" s="3"/>
      <c r="I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</row>
    <row r="189" spans="2:40" x14ac:dyDescent="0.2">
      <c r="B189" s="3"/>
      <c r="C189" s="3"/>
      <c r="D189" s="3"/>
      <c r="E189" s="3"/>
      <c r="F189" s="3"/>
      <c r="G189" s="3"/>
      <c r="H189" s="3"/>
      <c r="I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</row>
    <row r="190" spans="2:40" x14ac:dyDescent="0.2">
      <c r="B190" s="3"/>
      <c r="C190" s="3"/>
      <c r="D190" s="3"/>
      <c r="E190" s="3"/>
      <c r="F190" s="3"/>
      <c r="G190" s="3"/>
      <c r="H190" s="3"/>
      <c r="I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</row>
    <row r="191" spans="2:40" x14ac:dyDescent="0.2">
      <c r="B191" s="3"/>
      <c r="C191" s="3"/>
      <c r="D191" s="3"/>
      <c r="E191" s="3"/>
      <c r="F191" s="3"/>
      <c r="G191" s="3"/>
      <c r="H191" s="3"/>
      <c r="I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</row>
    <row r="192" spans="2:40" x14ac:dyDescent="0.2">
      <c r="B192" s="3"/>
      <c r="C192" s="3"/>
      <c r="D192" s="3"/>
      <c r="E192" s="3"/>
      <c r="F192" s="3"/>
      <c r="G192" s="3"/>
      <c r="H192" s="3"/>
      <c r="I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</row>
    <row r="193" spans="2:40" x14ac:dyDescent="0.2">
      <c r="B193" s="3"/>
      <c r="C193" s="3"/>
      <c r="D193" s="3"/>
      <c r="E193" s="3"/>
      <c r="F193" s="3"/>
      <c r="G193" s="3"/>
      <c r="H193" s="3"/>
      <c r="I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</row>
    <row r="194" spans="2:40" x14ac:dyDescent="0.2">
      <c r="B194" s="3"/>
      <c r="C194" s="3"/>
      <c r="D194" s="3"/>
      <c r="E194" s="3"/>
      <c r="F194" s="3"/>
      <c r="G194" s="3"/>
      <c r="H194" s="3"/>
      <c r="I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</row>
    <row r="195" spans="2:40" x14ac:dyDescent="0.2">
      <c r="B195" s="3"/>
      <c r="C195" s="3"/>
      <c r="D195" s="3"/>
      <c r="E195" s="3"/>
      <c r="F195" s="3"/>
      <c r="G195" s="3"/>
      <c r="H195" s="3"/>
      <c r="I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</row>
    <row r="196" spans="2:40" x14ac:dyDescent="0.2">
      <c r="B196" s="3"/>
      <c r="C196" s="3"/>
      <c r="D196" s="3"/>
      <c r="E196" s="3"/>
      <c r="F196" s="3"/>
      <c r="G196" s="3"/>
      <c r="H196" s="3"/>
      <c r="I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</row>
    <row r="197" spans="2:40" x14ac:dyDescent="0.2">
      <c r="B197" s="3"/>
      <c r="C197" s="3"/>
      <c r="D197" s="3"/>
      <c r="E197" s="3"/>
      <c r="F197" s="3"/>
      <c r="G197" s="3"/>
      <c r="H197" s="3"/>
      <c r="I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</row>
    <row r="198" spans="2:40" x14ac:dyDescent="0.2">
      <c r="B198" s="3"/>
      <c r="C198" s="3"/>
      <c r="D198" s="3"/>
      <c r="E198" s="3"/>
      <c r="F198" s="3"/>
      <c r="G198" s="3"/>
      <c r="H198" s="3"/>
      <c r="I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</row>
    <row r="199" spans="2:40" x14ac:dyDescent="0.2">
      <c r="B199" s="3"/>
      <c r="C199" s="3"/>
      <c r="D199" s="3"/>
      <c r="E199" s="3"/>
      <c r="F199" s="3"/>
      <c r="G199" s="3"/>
      <c r="H199" s="3"/>
      <c r="I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</row>
    <row r="200" spans="2:40" x14ac:dyDescent="0.2">
      <c r="B200" s="3"/>
      <c r="C200" s="3"/>
      <c r="D200" s="3"/>
      <c r="E200" s="3"/>
      <c r="F200" s="3"/>
      <c r="G200" s="3"/>
      <c r="H200" s="3"/>
      <c r="I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</row>
    <row r="201" spans="2:40" x14ac:dyDescent="0.2">
      <c r="B201" s="3"/>
      <c r="C201" s="3"/>
      <c r="D201" s="3"/>
      <c r="E201" s="3"/>
      <c r="F201" s="3"/>
      <c r="G201" s="3"/>
      <c r="H201" s="3"/>
      <c r="I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</row>
    <row r="202" spans="2:40" x14ac:dyDescent="0.2">
      <c r="B202" s="3"/>
      <c r="C202" s="3"/>
      <c r="D202" s="3"/>
      <c r="E202" s="3"/>
      <c r="F202" s="3"/>
      <c r="G202" s="3"/>
      <c r="H202" s="3"/>
      <c r="I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</row>
    <row r="203" spans="2:40" x14ac:dyDescent="0.2">
      <c r="B203" s="3"/>
      <c r="C203" s="3"/>
      <c r="D203" s="3"/>
      <c r="E203" s="3"/>
      <c r="F203" s="3"/>
      <c r="G203" s="3"/>
      <c r="H203" s="3"/>
      <c r="I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</row>
    <row r="204" spans="2:40" x14ac:dyDescent="0.2">
      <c r="B204" s="3"/>
      <c r="C204" s="3"/>
      <c r="D204" s="3"/>
      <c r="E204" s="3"/>
      <c r="F204" s="3"/>
      <c r="G204" s="3"/>
      <c r="H204" s="3"/>
      <c r="I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</row>
    <row r="205" spans="2:40" x14ac:dyDescent="0.2">
      <c r="B205" s="3"/>
      <c r="C205" s="3"/>
      <c r="D205" s="3"/>
      <c r="E205" s="3"/>
      <c r="F205" s="3"/>
      <c r="G205" s="3"/>
      <c r="H205" s="3"/>
      <c r="I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</row>
    <row r="206" spans="2:40" x14ac:dyDescent="0.2">
      <c r="B206" s="3"/>
      <c r="C206" s="3"/>
      <c r="D206" s="3"/>
      <c r="E206" s="3"/>
      <c r="F206" s="3"/>
      <c r="G206" s="3"/>
      <c r="H206" s="3"/>
      <c r="I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</row>
    <row r="207" spans="2:40" x14ac:dyDescent="0.2">
      <c r="B207" s="3"/>
      <c r="C207" s="3"/>
      <c r="D207" s="3"/>
      <c r="E207" s="3"/>
      <c r="F207" s="3"/>
      <c r="G207" s="3"/>
      <c r="H207" s="3"/>
      <c r="I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</row>
    <row r="208" spans="2:40" x14ac:dyDescent="0.2">
      <c r="B208" s="3"/>
      <c r="C208" s="3"/>
      <c r="D208" s="3"/>
      <c r="E208" s="3"/>
      <c r="F208" s="3"/>
      <c r="G208" s="3"/>
      <c r="H208" s="3"/>
      <c r="I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</row>
    <row r="209" spans="2:40" x14ac:dyDescent="0.2">
      <c r="B209" s="3"/>
      <c r="C209" s="3"/>
      <c r="D209" s="3"/>
      <c r="E209" s="3"/>
      <c r="F209" s="3"/>
      <c r="G209" s="3"/>
      <c r="H209" s="3"/>
      <c r="I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</row>
    <row r="210" spans="2:40" x14ac:dyDescent="0.2">
      <c r="B210" s="3"/>
      <c r="C210" s="3"/>
      <c r="D210" s="3"/>
      <c r="E210" s="3"/>
      <c r="F210" s="3"/>
      <c r="G210" s="3"/>
      <c r="H210" s="3"/>
      <c r="I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</row>
    <row r="211" spans="2:40" x14ac:dyDescent="0.2">
      <c r="B211" s="3"/>
      <c r="C211" s="3"/>
      <c r="D211" s="3"/>
      <c r="E211" s="3"/>
      <c r="F211" s="3"/>
      <c r="G211" s="3"/>
      <c r="H211" s="3"/>
      <c r="I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</row>
    <row r="212" spans="2:40" x14ac:dyDescent="0.2">
      <c r="B212" s="3"/>
      <c r="C212" s="3"/>
      <c r="D212" s="3"/>
      <c r="E212" s="3"/>
      <c r="F212" s="3"/>
      <c r="G212" s="3"/>
      <c r="H212" s="3"/>
      <c r="I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</row>
    <row r="213" spans="2:40" x14ac:dyDescent="0.2">
      <c r="B213" s="3"/>
      <c r="C213" s="3"/>
      <c r="D213" s="3"/>
      <c r="E213" s="3"/>
      <c r="F213" s="3"/>
      <c r="G213" s="3"/>
      <c r="H213" s="3"/>
      <c r="I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</row>
    <row r="214" spans="2:40" x14ac:dyDescent="0.2">
      <c r="B214" s="3"/>
      <c r="C214" s="3"/>
      <c r="D214" s="3"/>
      <c r="E214" s="3"/>
      <c r="F214" s="3"/>
      <c r="G214" s="3"/>
      <c r="H214" s="3"/>
      <c r="I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</row>
    <row r="215" spans="2:40" x14ac:dyDescent="0.2">
      <c r="B215" s="3"/>
      <c r="C215" s="3"/>
      <c r="D215" s="3"/>
      <c r="E215" s="3"/>
      <c r="F215" s="3"/>
      <c r="G215" s="3"/>
      <c r="H215" s="3"/>
      <c r="I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</row>
    <row r="216" spans="2:40" x14ac:dyDescent="0.2">
      <c r="B216" s="3"/>
      <c r="C216" s="3"/>
      <c r="D216" s="3"/>
      <c r="E216" s="3"/>
      <c r="F216" s="3"/>
      <c r="G216" s="3"/>
      <c r="H216" s="3"/>
      <c r="I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</row>
    <row r="217" spans="2:40" x14ac:dyDescent="0.2">
      <c r="B217" s="3"/>
      <c r="C217" s="3"/>
      <c r="D217" s="3"/>
      <c r="E217" s="3"/>
      <c r="F217" s="3"/>
      <c r="G217" s="3"/>
      <c r="H217" s="3"/>
      <c r="I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</row>
    <row r="218" spans="2:40" x14ac:dyDescent="0.2">
      <c r="B218" s="3"/>
      <c r="C218" s="3"/>
      <c r="D218" s="3"/>
      <c r="E218" s="3"/>
      <c r="F218" s="3"/>
      <c r="G218" s="3"/>
      <c r="H218" s="3"/>
      <c r="I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</row>
    <row r="219" spans="2:40" x14ac:dyDescent="0.2">
      <c r="B219" s="3"/>
      <c r="C219" s="3"/>
      <c r="D219" s="3"/>
      <c r="E219" s="3"/>
      <c r="F219" s="3"/>
      <c r="G219" s="3"/>
      <c r="H219" s="3"/>
      <c r="I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</row>
    <row r="220" spans="2:40" x14ac:dyDescent="0.2">
      <c r="B220" s="3"/>
      <c r="C220" s="3"/>
      <c r="D220" s="3"/>
      <c r="E220" s="3"/>
      <c r="F220" s="3"/>
      <c r="G220" s="3"/>
      <c r="H220" s="3"/>
      <c r="I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</row>
    <row r="221" spans="2:40" x14ac:dyDescent="0.2">
      <c r="B221" s="3"/>
      <c r="C221" s="3"/>
      <c r="D221" s="3"/>
      <c r="E221" s="3"/>
      <c r="F221" s="3"/>
      <c r="G221" s="3"/>
      <c r="H221" s="3"/>
      <c r="I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</row>
    <row r="222" spans="2:40" x14ac:dyDescent="0.2">
      <c r="B222" s="3"/>
      <c r="C222" s="3"/>
      <c r="D222" s="3"/>
      <c r="E222" s="3"/>
      <c r="F222" s="3"/>
      <c r="G222" s="3"/>
      <c r="H222" s="3"/>
      <c r="I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</row>
    <row r="223" spans="2:40" x14ac:dyDescent="0.2">
      <c r="B223" s="3"/>
      <c r="C223" s="3"/>
      <c r="D223" s="3"/>
      <c r="E223" s="3"/>
      <c r="F223" s="3"/>
      <c r="G223" s="3"/>
      <c r="H223" s="3"/>
      <c r="I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</row>
    <row r="224" spans="2:40" x14ac:dyDescent="0.2">
      <c r="B224" s="3"/>
      <c r="C224" s="3"/>
      <c r="D224" s="3"/>
      <c r="E224" s="3"/>
      <c r="F224" s="3"/>
      <c r="G224" s="3"/>
      <c r="H224" s="3"/>
      <c r="I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</row>
    <row r="225" spans="2:25" x14ac:dyDescent="0.2">
      <c r="B225" s="3"/>
      <c r="C225" s="3"/>
      <c r="D225" s="3"/>
      <c r="E225" s="3"/>
      <c r="F225" s="3"/>
      <c r="G225" s="3"/>
      <c r="H225" s="3"/>
      <c r="I225" s="3"/>
      <c r="Q225" s="3"/>
      <c r="R225" s="3"/>
      <c r="S225" s="3"/>
      <c r="T225" s="3"/>
      <c r="U225" s="3"/>
      <c r="V225" s="3"/>
      <c r="W225" s="3"/>
      <c r="X225" s="3"/>
      <c r="Y225" s="3"/>
    </row>
    <row r="226" spans="2:25" x14ac:dyDescent="0.2">
      <c r="B226" s="3"/>
      <c r="C226" s="3"/>
      <c r="D226" s="3"/>
      <c r="E226" s="3"/>
      <c r="F226" s="3"/>
      <c r="G226" s="3"/>
      <c r="H226" s="3"/>
      <c r="I226" s="3"/>
      <c r="Q226" s="3"/>
      <c r="R226" s="3"/>
      <c r="S226" s="3"/>
      <c r="T226" s="3"/>
      <c r="U226" s="3"/>
      <c r="V226" s="3"/>
      <c r="W226" s="3"/>
      <c r="X226" s="3"/>
      <c r="Y226" s="3"/>
    </row>
    <row r="227" spans="2:25" x14ac:dyDescent="0.2">
      <c r="B227" s="3"/>
      <c r="C227" s="3"/>
      <c r="D227" s="3"/>
      <c r="E227" s="3"/>
      <c r="F227" s="3"/>
      <c r="G227" s="3"/>
      <c r="H227" s="3"/>
      <c r="I227" s="3"/>
      <c r="Q227" s="3"/>
      <c r="R227" s="3"/>
      <c r="S227" s="3"/>
      <c r="T227" s="3"/>
      <c r="U227" s="3"/>
      <c r="V227" s="3"/>
      <c r="W227" s="3"/>
      <c r="X227" s="3"/>
      <c r="Y227" s="3"/>
    </row>
    <row r="228" spans="2:25" x14ac:dyDescent="0.2">
      <c r="B228" s="3"/>
      <c r="C228" s="3"/>
      <c r="D228" s="3"/>
      <c r="E228" s="3"/>
      <c r="F228" s="3"/>
      <c r="G228" s="3"/>
      <c r="H228" s="3"/>
      <c r="I228" s="3"/>
      <c r="Q228" s="3"/>
      <c r="R228" s="3"/>
      <c r="S228" s="3"/>
      <c r="T228" s="3"/>
      <c r="U228" s="3"/>
      <c r="V228" s="3"/>
      <c r="W228" s="3"/>
      <c r="X228" s="3"/>
      <c r="Y228" s="3"/>
    </row>
    <row r="229" spans="2:25" x14ac:dyDescent="0.2">
      <c r="B229" s="3"/>
      <c r="C229" s="3"/>
      <c r="D229" s="3"/>
      <c r="E229" s="3"/>
      <c r="F229" s="3"/>
      <c r="G229" s="3"/>
      <c r="H229" s="3"/>
      <c r="I229" s="3"/>
      <c r="Q229" s="3"/>
      <c r="R229" s="3"/>
      <c r="S229" s="3"/>
      <c r="T229" s="3"/>
      <c r="U229" s="3"/>
      <c r="V229" s="3"/>
      <c r="W229" s="3"/>
      <c r="X229" s="3"/>
      <c r="Y229" s="3"/>
    </row>
    <row r="230" spans="2:25" x14ac:dyDescent="0.2">
      <c r="B230" s="3"/>
      <c r="C230" s="3"/>
      <c r="D230" s="3"/>
      <c r="E230" s="3"/>
      <c r="F230" s="3"/>
      <c r="G230" s="3"/>
      <c r="H230" s="3"/>
      <c r="I230" s="3"/>
      <c r="Q230" s="3"/>
      <c r="R230" s="3"/>
      <c r="S230" s="3"/>
      <c r="T230" s="3"/>
      <c r="U230" s="3"/>
      <c r="V230" s="3"/>
      <c r="W230" s="3"/>
      <c r="X230" s="3"/>
      <c r="Y230" s="3"/>
    </row>
    <row r="231" spans="2:25" x14ac:dyDescent="0.2">
      <c r="B231" s="3"/>
      <c r="C231" s="3"/>
      <c r="D231" s="3"/>
      <c r="E231" s="3"/>
      <c r="F231" s="3"/>
      <c r="G231" s="3"/>
      <c r="H231" s="3"/>
      <c r="I231" s="3"/>
      <c r="Q231" s="3"/>
      <c r="R231" s="3"/>
      <c r="S231" s="3"/>
      <c r="T231" s="3"/>
      <c r="U231" s="3"/>
      <c r="V231" s="3"/>
      <c r="W231" s="3"/>
      <c r="X231" s="3"/>
      <c r="Y231" s="3"/>
    </row>
    <row r="232" spans="2:25" x14ac:dyDescent="0.2">
      <c r="B232" s="3"/>
      <c r="C232" s="3"/>
      <c r="D232" s="3"/>
      <c r="E232" s="3"/>
      <c r="F232" s="3"/>
      <c r="G232" s="3"/>
      <c r="H232" s="3"/>
      <c r="I232" s="3"/>
      <c r="Q232" s="3"/>
      <c r="R232" s="3"/>
      <c r="S232" s="3"/>
      <c r="T232" s="3"/>
      <c r="U232" s="3"/>
      <c r="V232" s="3"/>
      <c r="W232" s="3"/>
      <c r="X232" s="3"/>
      <c r="Y232" s="3"/>
    </row>
    <row r="233" spans="2:25" x14ac:dyDescent="0.2">
      <c r="B233" s="3"/>
      <c r="C233" s="3"/>
      <c r="D233" s="3"/>
      <c r="E233" s="3"/>
      <c r="F233" s="3"/>
      <c r="G233" s="3"/>
      <c r="H233" s="3"/>
      <c r="I233" s="3"/>
      <c r="Q233" s="3"/>
      <c r="R233" s="3"/>
      <c r="S233" s="3"/>
      <c r="T233" s="3"/>
      <c r="U233" s="3"/>
      <c r="V233" s="3"/>
      <c r="W233" s="3"/>
      <c r="X233" s="3"/>
      <c r="Y233" s="3"/>
    </row>
    <row r="234" spans="2:25" x14ac:dyDescent="0.2">
      <c r="B234" s="3"/>
      <c r="C234" s="3"/>
      <c r="D234" s="3"/>
      <c r="E234" s="3"/>
      <c r="F234" s="3"/>
      <c r="G234" s="3"/>
      <c r="H234" s="3"/>
      <c r="I234" s="3"/>
      <c r="Q234" s="3"/>
      <c r="R234" s="3"/>
      <c r="S234" s="3"/>
      <c r="T234" s="3"/>
      <c r="U234" s="3"/>
      <c r="V234" s="3"/>
      <c r="W234" s="3"/>
      <c r="X234" s="3"/>
      <c r="Y234" s="3"/>
    </row>
    <row r="235" spans="2:25" x14ac:dyDescent="0.2">
      <c r="B235" s="3"/>
      <c r="C235" s="3"/>
      <c r="D235" s="3"/>
      <c r="E235" s="3"/>
      <c r="F235" s="3"/>
      <c r="G235" s="3"/>
      <c r="H235" s="3"/>
      <c r="I235" s="3"/>
      <c r="Q235" s="3"/>
      <c r="R235" s="3"/>
      <c r="S235" s="3"/>
      <c r="T235" s="3"/>
      <c r="U235" s="3"/>
      <c r="V235" s="3"/>
      <c r="W235" s="3"/>
      <c r="X235" s="3"/>
      <c r="Y235" s="3"/>
    </row>
    <row r="236" spans="2:25" x14ac:dyDescent="0.2">
      <c r="B236" s="3"/>
      <c r="C236" s="3"/>
      <c r="D236" s="3"/>
      <c r="E236" s="3"/>
      <c r="F236" s="3"/>
      <c r="G236" s="3"/>
      <c r="H236" s="3"/>
      <c r="I236" s="3"/>
      <c r="Q236" s="3"/>
      <c r="R236" s="3"/>
      <c r="S236" s="3"/>
      <c r="T236" s="3"/>
      <c r="U236" s="3"/>
      <c r="V236" s="3"/>
      <c r="W236" s="3"/>
      <c r="X236" s="3"/>
      <c r="Y236" s="3"/>
    </row>
    <row r="237" spans="2:25" x14ac:dyDescent="0.2">
      <c r="B237" s="3"/>
      <c r="C237" s="3"/>
      <c r="D237" s="3"/>
      <c r="E237" s="3"/>
      <c r="F237" s="3"/>
      <c r="G237" s="3"/>
      <c r="H237" s="3"/>
      <c r="I237" s="3"/>
      <c r="Q237" s="3"/>
      <c r="R237" s="3"/>
      <c r="S237" s="3"/>
      <c r="T237" s="3"/>
      <c r="U237" s="3"/>
      <c r="V237" s="3"/>
      <c r="W237" s="3"/>
      <c r="X237" s="3"/>
      <c r="Y237" s="3"/>
    </row>
    <row r="238" spans="2:25" x14ac:dyDescent="0.2">
      <c r="B238" s="3"/>
      <c r="C238" s="3"/>
      <c r="D238" s="3"/>
      <c r="E238" s="3"/>
      <c r="F238" s="3"/>
      <c r="G238" s="3"/>
      <c r="H238" s="3"/>
      <c r="I238" s="3"/>
      <c r="Q238" s="3"/>
      <c r="R238" s="3"/>
      <c r="S238" s="3"/>
      <c r="T238" s="3"/>
      <c r="U238" s="3"/>
      <c r="V238" s="3"/>
      <c r="W238" s="3"/>
      <c r="X238" s="3"/>
      <c r="Y238" s="3"/>
    </row>
    <row r="239" spans="2:25" x14ac:dyDescent="0.2">
      <c r="B239" s="3"/>
      <c r="C239" s="3"/>
      <c r="D239" s="3"/>
      <c r="E239" s="3"/>
      <c r="F239" s="3"/>
      <c r="G239" s="3"/>
      <c r="H239" s="3"/>
      <c r="I239" s="3"/>
      <c r="Q239" s="3"/>
      <c r="R239" s="3"/>
      <c r="S239" s="3"/>
      <c r="T239" s="3"/>
      <c r="U239" s="3"/>
      <c r="V239" s="3"/>
      <c r="W239" s="3"/>
      <c r="X239" s="3"/>
      <c r="Y239" s="3"/>
    </row>
    <row r="240" spans="2:25" x14ac:dyDescent="0.2">
      <c r="B240" s="3"/>
      <c r="C240" s="3"/>
      <c r="D240" s="3"/>
      <c r="E240" s="3"/>
      <c r="F240" s="3"/>
      <c r="G240" s="3"/>
      <c r="H240" s="3"/>
      <c r="I240" s="3"/>
      <c r="Q240" s="3"/>
      <c r="R240" s="3"/>
      <c r="S240" s="3"/>
      <c r="T240" s="3"/>
      <c r="U240" s="3"/>
      <c r="V240" s="3"/>
      <c r="W240" s="3"/>
      <c r="X240" s="3"/>
      <c r="Y240" s="3"/>
    </row>
    <row r="241" spans="2:25" x14ac:dyDescent="0.2">
      <c r="B241" s="3"/>
      <c r="C241" s="3"/>
      <c r="D241" s="3"/>
      <c r="E241" s="3"/>
      <c r="F241" s="3"/>
      <c r="G241" s="3"/>
      <c r="H241" s="3"/>
      <c r="I241" s="3"/>
      <c r="Q241" s="3"/>
      <c r="R241" s="3"/>
      <c r="S241" s="3"/>
      <c r="T241" s="3"/>
      <c r="U241" s="3"/>
      <c r="V241" s="3"/>
      <c r="W241" s="3"/>
      <c r="X241" s="3"/>
      <c r="Y241" s="3"/>
    </row>
    <row r="242" spans="2:25" x14ac:dyDescent="0.2">
      <c r="B242" s="3"/>
      <c r="C242" s="3"/>
      <c r="D242" s="3"/>
      <c r="E242" s="3"/>
      <c r="F242" s="3"/>
      <c r="G242" s="3"/>
      <c r="H242" s="3"/>
      <c r="I242" s="3"/>
      <c r="Q242" s="3"/>
      <c r="R242" s="3"/>
      <c r="S242" s="3"/>
      <c r="T242" s="3"/>
      <c r="U242" s="3"/>
      <c r="V242" s="3"/>
      <c r="W242" s="3"/>
      <c r="X242" s="3"/>
      <c r="Y242" s="3"/>
    </row>
    <row r="243" spans="2:25" x14ac:dyDescent="0.2">
      <c r="B243" s="3"/>
      <c r="C243" s="3"/>
      <c r="D243" s="3"/>
      <c r="E243" s="3"/>
      <c r="F243" s="3"/>
      <c r="G243" s="3"/>
      <c r="H243" s="3"/>
      <c r="I243" s="3"/>
      <c r="Q243" s="3"/>
      <c r="R243" s="3"/>
      <c r="S243" s="3"/>
      <c r="T243" s="3"/>
      <c r="U243" s="3"/>
      <c r="V243" s="3"/>
      <c r="W243" s="3"/>
      <c r="X243" s="3"/>
      <c r="Y243" s="3"/>
    </row>
    <row r="244" spans="2:25" x14ac:dyDescent="0.2">
      <c r="B244" s="3"/>
      <c r="C244" s="3"/>
      <c r="D244" s="3"/>
      <c r="E244" s="3"/>
      <c r="F244" s="3"/>
      <c r="G244" s="3"/>
      <c r="H244" s="3"/>
      <c r="I244" s="3"/>
      <c r="Q244" s="3"/>
      <c r="R244" s="3"/>
      <c r="S244" s="3"/>
      <c r="T244" s="3"/>
      <c r="U244" s="3"/>
      <c r="V244" s="3"/>
      <c r="W244" s="3"/>
      <c r="X244" s="3"/>
      <c r="Y244" s="3"/>
    </row>
    <row r="245" spans="2:25" x14ac:dyDescent="0.2">
      <c r="B245" s="3"/>
      <c r="C245" s="3"/>
      <c r="D245" s="3"/>
      <c r="E245" s="3"/>
      <c r="F245" s="3"/>
      <c r="G245" s="3"/>
      <c r="H245" s="3"/>
      <c r="I245" s="3"/>
      <c r="Q245" s="3"/>
      <c r="R245" s="3"/>
      <c r="S245" s="3"/>
      <c r="T245" s="3"/>
      <c r="U245" s="3"/>
      <c r="V245" s="3"/>
      <c r="W245" s="3"/>
      <c r="X245" s="3"/>
      <c r="Y245" s="3"/>
    </row>
    <row r="246" spans="2:25" x14ac:dyDescent="0.2">
      <c r="B246" s="3"/>
      <c r="C246" s="3"/>
      <c r="D246" s="3"/>
      <c r="E246" s="3"/>
      <c r="F246" s="3"/>
      <c r="G246" s="3"/>
      <c r="H246" s="3"/>
      <c r="I246" s="3"/>
      <c r="Q246" s="3"/>
      <c r="R246" s="3"/>
      <c r="S246" s="3"/>
      <c r="T246" s="3"/>
      <c r="U246" s="3"/>
      <c r="V246" s="3"/>
      <c r="W246" s="3"/>
      <c r="X246" s="3"/>
      <c r="Y246" s="3"/>
    </row>
    <row r="247" spans="2:25" x14ac:dyDescent="0.2">
      <c r="B247" s="3"/>
      <c r="C247" s="3"/>
      <c r="D247" s="3"/>
      <c r="E247" s="3"/>
      <c r="F247" s="3"/>
      <c r="G247" s="3"/>
      <c r="H247" s="3"/>
      <c r="I247" s="3"/>
      <c r="Q247" s="3"/>
      <c r="R247" s="3"/>
      <c r="S247" s="3"/>
      <c r="T247" s="3"/>
      <c r="U247" s="3"/>
      <c r="V247" s="3"/>
      <c r="W247" s="3"/>
      <c r="X247" s="3"/>
      <c r="Y247" s="3"/>
    </row>
    <row r="248" spans="2:25" x14ac:dyDescent="0.2">
      <c r="B248" s="3"/>
      <c r="C248" s="3"/>
      <c r="D248" s="3"/>
      <c r="E248" s="3"/>
      <c r="F248" s="3"/>
      <c r="G248" s="3"/>
      <c r="H248" s="3"/>
      <c r="I248" s="3"/>
      <c r="Q248" s="3"/>
      <c r="R248" s="3"/>
      <c r="S248" s="3"/>
      <c r="T248" s="3"/>
      <c r="U248" s="3"/>
      <c r="V248" s="3"/>
      <c r="W248" s="3"/>
      <c r="X248" s="3"/>
      <c r="Y248" s="3"/>
    </row>
    <row r="249" spans="2:25" x14ac:dyDescent="0.2">
      <c r="B249" s="3"/>
      <c r="C249" s="3"/>
      <c r="D249" s="3"/>
      <c r="E249" s="3"/>
      <c r="F249" s="3"/>
      <c r="G249" s="3"/>
      <c r="H249" s="3"/>
      <c r="I249" s="3"/>
      <c r="Q249" s="3"/>
      <c r="R249" s="3"/>
      <c r="S249" s="3"/>
      <c r="T249" s="3"/>
      <c r="U249" s="3"/>
      <c r="V249" s="3"/>
      <c r="W249" s="3"/>
      <c r="X249" s="3"/>
      <c r="Y249" s="3"/>
    </row>
    <row r="250" spans="2:25" x14ac:dyDescent="0.2">
      <c r="B250" s="3"/>
      <c r="C250" s="3"/>
      <c r="D250" s="3"/>
      <c r="E250" s="3"/>
      <c r="F250" s="3"/>
      <c r="G250" s="3"/>
      <c r="H250" s="3"/>
      <c r="I250" s="3"/>
      <c r="Q250" s="3"/>
      <c r="R250" s="3"/>
      <c r="S250" s="3"/>
      <c r="T250" s="3"/>
      <c r="U250" s="3"/>
      <c r="V250" s="3"/>
      <c r="W250" s="3"/>
      <c r="X250" s="3"/>
      <c r="Y250" s="3"/>
    </row>
    <row r="251" spans="2:25" x14ac:dyDescent="0.2">
      <c r="B251" s="3"/>
      <c r="C251" s="3"/>
      <c r="D251" s="3"/>
      <c r="E251" s="3"/>
      <c r="F251" s="3"/>
      <c r="G251" s="3"/>
      <c r="H251" s="3"/>
      <c r="I251" s="3"/>
      <c r="Q251" s="3"/>
      <c r="R251" s="3"/>
      <c r="S251" s="3"/>
      <c r="T251" s="3"/>
      <c r="U251" s="3"/>
      <c r="V251" s="3"/>
      <c r="W251" s="3"/>
      <c r="X251" s="3"/>
      <c r="Y251" s="3"/>
    </row>
    <row r="252" spans="2:25" x14ac:dyDescent="0.2">
      <c r="B252" s="3"/>
      <c r="C252" s="3"/>
      <c r="D252" s="3"/>
      <c r="E252" s="3"/>
      <c r="F252" s="3"/>
      <c r="G252" s="3"/>
      <c r="H252" s="3"/>
      <c r="I252" s="3"/>
      <c r="Q252" s="3"/>
      <c r="R252" s="3"/>
      <c r="S252" s="3"/>
      <c r="T252" s="3"/>
      <c r="U252" s="3"/>
      <c r="V252" s="3"/>
      <c r="W252" s="3"/>
      <c r="X252" s="3"/>
      <c r="Y252" s="3"/>
    </row>
    <row r="253" spans="2:25" x14ac:dyDescent="0.2">
      <c r="B253" s="3"/>
      <c r="C253" s="3"/>
      <c r="D253" s="3"/>
      <c r="E253" s="3"/>
      <c r="F253" s="3"/>
      <c r="G253" s="3"/>
      <c r="H253" s="3"/>
      <c r="I253" s="3"/>
      <c r="Q253" s="3"/>
      <c r="R253" s="3"/>
      <c r="S253" s="3"/>
      <c r="T253" s="3"/>
      <c r="U253" s="3"/>
      <c r="V253" s="3"/>
      <c r="W253" s="3"/>
      <c r="X253" s="3"/>
      <c r="Y253" s="3"/>
    </row>
    <row r="254" spans="2:25" x14ac:dyDescent="0.2">
      <c r="B254" s="3"/>
      <c r="C254" s="3"/>
      <c r="D254" s="3"/>
      <c r="E254" s="3"/>
      <c r="F254" s="3"/>
      <c r="G254" s="3"/>
      <c r="H254" s="3"/>
      <c r="I254" s="3"/>
      <c r="Q254" s="3"/>
      <c r="R254" s="3"/>
      <c r="S254" s="3"/>
      <c r="T254" s="3"/>
      <c r="U254" s="3"/>
      <c r="V254" s="3"/>
      <c r="W254" s="3"/>
      <c r="X254" s="3"/>
      <c r="Y254" s="3"/>
    </row>
    <row r="255" spans="2:25" x14ac:dyDescent="0.2">
      <c r="B255" s="3"/>
      <c r="C255" s="3"/>
      <c r="D255" s="3"/>
      <c r="E255" s="3"/>
      <c r="F255" s="3"/>
      <c r="G255" s="3"/>
      <c r="H255" s="3"/>
      <c r="I255" s="3"/>
      <c r="Q255" s="3"/>
      <c r="R255" s="3"/>
      <c r="S255" s="3"/>
      <c r="T255" s="3"/>
      <c r="U255" s="3"/>
      <c r="V255" s="3"/>
      <c r="W255" s="3"/>
      <c r="X255" s="3"/>
      <c r="Y255" s="3"/>
    </row>
    <row r="256" spans="2:25" x14ac:dyDescent="0.2">
      <c r="B256" s="3"/>
      <c r="C256" s="3"/>
      <c r="D256" s="3"/>
      <c r="E256" s="3"/>
      <c r="F256" s="3"/>
      <c r="G256" s="3"/>
      <c r="H256" s="3"/>
      <c r="I256" s="3"/>
      <c r="Q256" s="3"/>
      <c r="R256" s="3"/>
      <c r="S256" s="3"/>
      <c r="T256" s="3"/>
      <c r="U256" s="3"/>
      <c r="V256" s="3"/>
      <c r="W256" s="3"/>
      <c r="X256" s="3"/>
      <c r="Y256" s="3"/>
    </row>
    <row r="257" spans="2:25" x14ac:dyDescent="0.2">
      <c r="B257" s="3"/>
      <c r="C257" s="3"/>
      <c r="D257" s="3"/>
      <c r="E257" s="3"/>
      <c r="F257" s="3"/>
      <c r="G257" s="3"/>
      <c r="H257" s="3"/>
      <c r="I257" s="3"/>
      <c r="Q257" s="3"/>
      <c r="R257" s="3"/>
      <c r="S257" s="3"/>
      <c r="T257" s="3"/>
      <c r="U257" s="3"/>
      <c r="V257" s="3"/>
      <c r="W257" s="3"/>
      <c r="X257" s="3"/>
      <c r="Y257" s="3"/>
    </row>
    <row r="258" spans="2:25" x14ac:dyDescent="0.2">
      <c r="B258" s="3"/>
      <c r="C258" s="3"/>
      <c r="D258" s="3"/>
      <c r="E258" s="3"/>
      <c r="F258" s="3"/>
      <c r="G258" s="3"/>
      <c r="H258" s="3"/>
      <c r="I258" s="3"/>
      <c r="Q258" s="3"/>
      <c r="R258" s="3"/>
      <c r="S258" s="3"/>
      <c r="T258" s="3"/>
      <c r="U258" s="3"/>
      <c r="V258" s="3"/>
      <c r="W258" s="3"/>
      <c r="X258" s="3"/>
      <c r="Y258" s="3"/>
    </row>
    <row r="259" spans="2:25" x14ac:dyDescent="0.2">
      <c r="B259" s="3"/>
      <c r="C259" s="3"/>
      <c r="D259" s="3"/>
      <c r="E259" s="3"/>
      <c r="F259" s="3"/>
      <c r="G259" s="3"/>
      <c r="H259" s="3"/>
      <c r="I259" s="3"/>
      <c r="Q259" s="3"/>
      <c r="R259" s="3"/>
      <c r="S259" s="3"/>
      <c r="T259" s="3"/>
      <c r="U259" s="3"/>
      <c r="V259" s="3"/>
      <c r="W259" s="3"/>
      <c r="X259" s="3"/>
      <c r="Y259" s="3"/>
    </row>
    <row r="260" spans="2:25" x14ac:dyDescent="0.2">
      <c r="B260" s="3"/>
      <c r="C260" s="3"/>
      <c r="D260" s="3"/>
      <c r="E260" s="3"/>
      <c r="F260" s="3"/>
      <c r="G260" s="3"/>
      <c r="H260" s="3"/>
      <c r="I260" s="3"/>
      <c r="Q260" s="3"/>
      <c r="R260" s="3"/>
      <c r="S260" s="3"/>
      <c r="T260" s="3"/>
      <c r="U260" s="3"/>
      <c r="V260" s="3"/>
      <c r="W260" s="3"/>
      <c r="X260" s="3"/>
      <c r="Y260" s="3"/>
    </row>
    <row r="261" spans="2:25" x14ac:dyDescent="0.2">
      <c r="B261" s="3"/>
      <c r="C261" s="3"/>
      <c r="D261" s="3"/>
      <c r="E261" s="3"/>
      <c r="F261" s="3"/>
      <c r="G261" s="3"/>
      <c r="H261" s="3"/>
      <c r="I261" s="3"/>
      <c r="Q261" s="3"/>
      <c r="R261" s="3"/>
      <c r="S261" s="3"/>
      <c r="T261" s="3"/>
      <c r="U261" s="3"/>
      <c r="V261" s="3"/>
      <c r="W261" s="3"/>
      <c r="X261" s="3"/>
      <c r="Y261" s="3"/>
    </row>
    <row r="262" spans="2:25" x14ac:dyDescent="0.2">
      <c r="B262" s="3"/>
      <c r="C262" s="3"/>
      <c r="D262" s="3"/>
      <c r="E262" s="3"/>
      <c r="F262" s="3"/>
      <c r="G262" s="3"/>
      <c r="H262" s="3"/>
      <c r="I262" s="3"/>
      <c r="Q262" s="3"/>
      <c r="R262" s="3"/>
      <c r="S262" s="3"/>
      <c r="T262" s="3"/>
      <c r="U262" s="3"/>
      <c r="V262" s="3"/>
      <c r="W262" s="3"/>
      <c r="X262" s="3"/>
      <c r="Y262" s="3"/>
    </row>
    <row r="263" spans="2:25" x14ac:dyDescent="0.2">
      <c r="B263" s="3"/>
      <c r="C263" s="3"/>
      <c r="D263" s="3"/>
      <c r="E263" s="3"/>
      <c r="F263" s="3"/>
      <c r="G263" s="3"/>
      <c r="H263" s="3"/>
      <c r="I263" s="3"/>
      <c r="Q263" s="3"/>
      <c r="R263" s="3"/>
      <c r="S263" s="3"/>
      <c r="T263" s="3"/>
      <c r="U263" s="3"/>
      <c r="V263" s="3"/>
      <c r="W263" s="3"/>
      <c r="X263" s="3"/>
      <c r="Y263" s="3"/>
    </row>
    <row r="264" spans="2:25" x14ac:dyDescent="0.2">
      <c r="B264" s="3"/>
      <c r="C264" s="3"/>
      <c r="D264" s="3"/>
      <c r="E264" s="3"/>
      <c r="F264" s="3"/>
      <c r="G264" s="3"/>
      <c r="H264" s="3"/>
      <c r="I264" s="3"/>
      <c r="Q264" s="3"/>
      <c r="R264" s="3"/>
      <c r="S264" s="3"/>
      <c r="T264" s="3"/>
      <c r="U264" s="3"/>
      <c r="V264" s="3"/>
      <c r="W264" s="3"/>
      <c r="X264" s="3"/>
      <c r="Y264" s="3"/>
    </row>
    <row r="265" spans="2:25" x14ac:dyDescent="0.2">
      <c r="B265" s="3"/>
      <c r="C265" s="3"/>
      <c r="D265" s="3"/>
      <c r="E265" s="3"/>
      <c r="F265" s="3"/>
      <c r="G265" s="3"/>
      <c r="H265" s="3"/>
      <c r="I265" s="3"/>
      <c r="Q265" s="3"/>
      <c r="R265" s="3"/>
      <c r="S265" s="3"/>
      <c r="T265" s="3"/>
      <c r="U265" s="3"/>
      <c r="V265" s="3"/>
      <c r="W265" s="3"/>
      <c r="X265" s="3"/>
      <c r="Y265" s="3"/>
    </row>
    <row r="266" spans="2:25" x14ac:dyDescent="0.2">
      <c r="B266" s="3"/>
      <c r="C266" s="3"/>
      <c r="D266" s="3"/>
      <c r="E266" s="3"/>
      <c r="F266" s="3"/>
      <c r="G266" s="3"/>
      <c r="H266" s="3"/>
      <c r="I266" s="3"/>
      <c r="Q266" s="3"/>
      <c r="R266" s="3"/>
      <c r="S266" s="3"/>
      <c r="T266" s="3"/>
      <c r="U266" s="3"/>
      <c r="V266" s="3"/>
      <c r="W266" s="3"/>
      <c r="X266" s="3"/>
      <c r="Y266" s="3"/>
    </row>
    <row r="267" spans="2:25" x14ac:dyDescent="0.2">
      <c r="B267" s="3"/>
      <c r="C267" s="3"/>
      <c r="D267" s="3"/>
      <c r="E267" s="3"/>
      <c r="F267" s="3"/>
      <c r="G267" s="3"/>
      <c r="H267" s="3"/>
      <c r="I267" s="3"/>
      <c r="Q267" s="3"/>
      <c r="R267" s="3"/>
      <c r="S267" s="3"/>
      <c r="T267" s="3"/>
      <c r="U267" s="3"/>
      <c r="V267" s="3"/>
      <c r="W267" s="3"/>
      <c r="X267" s="3"/>
      <c r="Y267" s="3"/>
    </row>
    <row r="268" spans="2:25" x14ac:dyDescent="0.2">
      <c r="B268" s="3"/>
      <c r="C268" s="3"/>
      <c r="D268" s="3"/>
      <c r="E268" s="3"/>
      <c r="F268" s="3"/>
      <c r="G268" s="3"/>
      <c r="H268" s="3"/>
      <c r="I268" s="3"/>
      <c r="Q268" s="3"/>
      <c r="R268" s="3"/>
      <c r="S268" s="3"/>
      <c r="T268" s="3"/>
      <c r="U268" s="3"/>
      <c r="V268" s="3"/>
      <c r="W268" s="3"/>
      <c r="X268" s="3"/>
      <c r="Y268" s="3"/>
    </row>
    <row r="269" spans="2:25" x14ac:dyDescent="0.2">
      <c r="B269" s="3"/>
      <c r="C269" s="3"/>
      <c r="D269" s="3"/>
      <c r="E269" s="3"/>
      <c r="F269" s="3"/>
      <c r="G269" s="3"/>
      <c r="H269" s="3"/>
      <c r="I269" s="3"/>
      <c r="Q269" s="3"/>
      <c r="R269" s="3"/>
      <c r="S269" s="3"/>
      <c r="T269" s="3"/>
      <c r="U269" s="3"/>
      <c r="V269" s="3"/>
      <c r="W269" s="3"/>
      <c r="X269" s="3"/>
      <c r="Y269" s="3"/>
    </row>
    <row r="270" spans="2:25" x14ac:dyDescent="0.2">
      <c r="B270" s="3"/>
      <c r="C270" s="3"/>
      <c r="D270" s="3"/>
      <c r="E270" s="3"/>
      <c r="F270" s="3"/>
      <c r="G270" s="3"/>
      <c r="H270" s="3"/>
      <c r="I270" s="3"/>
      <c r="Q270" s="3"/>
      <c r="R270" s="3"/>
      <c r="S270" s="3"/>
      <c r="T270" s="3"/>
      <c r="U270" s="3"/>
      <c r="V270" s="3"/>
      <c r="W270" s="3"/>
      <c r="X270" s="3"/>
      <c r="Y270" s="3"/>
    </row>
    <row r="271" spans="2:25" x14ac:dyDescent="0.2">
      <c r="B271" s="3"/>
      <c r="C271" s="3"/>
      <c r="D271" s="3"/>
      <c r="E271" s="3"/>
      <c r="F271" s="3"/>
      <c r="G271" s="3"/>
      <c r="H271" s="3"/>
      <c r="I271" s="3"/>
      <c r="Q271" s="3"/>
      <c r="R271" s="3"/>
      <c r="S271" s="3"/>
      <c r="T271" s="3"/>
      <c r="U271" s="3"/>
      <c r="V271" s="3"/>
      <c r="W271" s="3"/>
      <c r="X271" s="3"/>
      <c r="Y271" s="3"/>
    </row>
    <row r="272" spans="2:25" x14ac:dyDescent="0.2">
      <c r="B272" s="3"/>
      <c r="C272" s="3"/>
      <c r="D272" s="3"/>
      <c r="E272" s="3"/>
      <c r="F272" s="3"/>
      <c r="G272" s="3"/>
      <c r="H272" s="3"/>
      <c r="I272" s="3"/>
      <c r="Q272" s="3"/>
      <c r="R272" s="3"/>
      <c r="S272" s="3"/>
      <c r="T272" s="3"/>
      <c r="U272" s="3"/>
      <c r="V272" s="3"/>
      <c r="W272" s="3"/>
      <c r="X272" s="3"/>
      <c r="Y272" s="3"/>
    </row>
    <row r="273" spans="2:25" x14ac:dyDescent="0.2">
      <c r="B273" s="3"/>
      <c r="C273" s="3"/>
      <c r="D273" s="3"/>
      <c r="E273" s="3"/>
      <c r="F273" s="3"/>
      <c r="G273" s="3"/>
      <c r="H273" s="3"/>
      <c r="I273" s="3"/>
      <c r="Q273" s="3"/>
      <c r="R273" s="3"/>
      <c r="S273" s="3"/>
      <c r="T273" s="3"/>
      <c r="U273" s="3"/>
      <c r="V273" s="3"/>
      <c r="W273" s="3"/>
      <c r="X273" s="3"/>
      <c r="Y273" s="3"/>
    </row>
    <row r="274" spans="2:25" x14ac:dyDescent="0.2">
      <c r="B274" s="3"/>
      <c r="C274" s="3"/>
      <c r="D274" s="3"/>
      <c r="E274" s="3"/>
      <c r="F274" s="3"/>
      <c r="G274" s="3"/>
      <c r="H274" s="3"/>
      <c r="I274" s="3"/>
      <c r="Q274" s="3"/>
      <c r="R274" s="3"/>
      <c r="S274" s="3"/>
      <c r="T274" s="3"/>
      <c r="U274" s="3"/>
      <c r="V274" s="3"/>
      <c r="W274" s="3"/>
      <c r="X274" s="3"/>
      <c r="Y274" s="3"/>
    </row>
    <row r="275" spans="2:25" x14ac:dyDescent="0.2">
      <c r="B275" s="3"/>
      <c r="C275" s="3"/>
      <c r="D275" s="3"/>
      <c r="E275" s="3"/>
      <c r="F275" s="3"/>
      <c r="G275" s="3"/>
      <c r="H275" s="3"/>
      <c r="I275" s="3"/>
      <c r="Q275" s="3"/>
      <c r="R275" s="3"/>
      <c r="S275" s="3"/>
      <c r="T275" s="3"/>
      <c r="U275" s="3"/>
      <c r="V275" s="3"/>
      <c r="W275" s="3"/>
      <c r="X275" s="3"/>
      <c r="Y275" s="3"/>
    </row>
    <row r="276" spans="2:25" x14ac:dyDescent="0.2">
      <c r="B276" s="3"/>
      <c r="C276" s="3"/>
      <c r="D276" s="3"/>
      <c r="E276" s="3"/>
      <c r="F276" s="3"/>
      <c r="G276" s="3"/>
      <c r="H276" s="3"/>
      <c r="I276" s="3"/>
      <c r="Q276" s="3"/>
      <c r="R276" s="3"/>
      <c r="S276" s="3"/>
      <c r="T276" s="3"/>
      <c r="U276" s="3"/>
      <c r="V276" s="3"/>
      <c r="W276" s="3"/>
      <c r="X276" s="3"/>
      <c r="Y276" s="3"/>
    </row>
    <row r="277" spans="2:25" x14ac:dyDescent="0.2">
      <c r="B277" s="3"/>
      <c r="C277" s="3"/>
      <c r="D277" s="3"/>
      <c r="E277" s="3"/>
      <c r="F277" s="3"/>
      <c r="G277" s="3"/>
      <c r="H277" s="3"/>
      <c r="I277" s="3"/>
      <c r="Q277" s="3"/>
      <c r="R277" s="3"/>
      <c r="S277" s="3"/>
      <c r="T277" s="3"/>
      <c r="U277" s="3"/>
      <c r="V277" s="3"/>
      <c r="W277" s="3"/>
      <c r="X277" s="3"/>
      <c r="Y277" s="3"/>
    </row>
    <row r="278" spans="2:25" x14ac:dyDescent="0.2">
      <c r="B278" s="3"/>
      <c r="C278" s="3"/>
      <c r="D278" s="3"/>
      <c r="E278" s="3"/>
      <c r="F278" s="3"/>
      <c r="G278" s="3"/>
      <c r="H278" s="3"/>
      <c r="I278" s="3"/>
      <c r="Q278" s="3"/>
      <c r="R278" s="3"/>
      <c r="S278" s="3"/>
      <c r="T278" s="3"/>
      <c r="U278" s="3"/>
      <c r="V278" s="3"/>
      <c r="W278" s="3"/>
      <c r="X278" s="3"/>
      <c r="Y278" s="3"/>
    </row>
    <row r="279" spans="2:25" x14ac:dyDescent="0.2">
      <c r="B279" s="3"/>
      <c r="C279" s="3"/>
      <c r="D279" s="3"/>
      <c r="E279" s="3"/>
      <c r="F279" s="3"/>
      <c r="G279" s="3"/>
      <c r="H279" s="3"/>
      <c r="I279" s="3"/>
      <c r="Q279" s="3"/>
      <c r="R279" s="3"/>
      <c r="S279" s="3"/>
      <c r="T279" s="3"/>
      <c r="U279" s="3"/>
      <c r="V279" s="3"/>
      <c r="W279" s="3"/>
      <c r="X279" s="3"/>
      <c r="Y279" s="3"/>
    </row>
    <row r="280" spans="2:25" x14ac:dyDescent="0.2">
      <c r="B280" s="3"/>
      <c r="C280" s="3"/>
      <c r="D280" s="3"/>
      <c r="E280" s="3"/>
      <c r="F280" s="3"/>
      <c r="G280" s="3"/>
      <c r="H280" s="3"/>
      <c r="I280" s="3"/>
      <c r="Q280" s="3"/>
      <c r="R280" s="3"/>
      <c r="S280" s="3"/>
      <c r="T280" s="3"/>
      <c r="U280" s="3"/>
      <c r="V280" s="3"/>
      <c r="W280" s="3"/>
      <c r="X280" s="3"/>
      <c r="Y280" s="3"/>
    </row>
    <row r="281" spans="2:25" x14ac:dyDescent="0.2">
      <c r="B281" s="3"/>
      <c r="C281" s="3"/>
      <c r="D281" s="3"/>
      <c r="E281" s="3"/>
      <c r="F281" s="3"/>
      <c r="G281" s="3"/>
      <c r="H281" s="3"/>
      <c r="I281" s="3"/>
      <c r="Q281" s="3"/>
      <c r="R281" s="3"/>
      <c r="S281" s="3"/>
      <c r="T281" s="3"/>
      <c r="U281" s="3"/>
      <c r="V281" s="3"/>
      <c r="W281" s="3"/>
      <c r="X281" s="3"/>
      <c r="Y281" s="3"/>
    </row>
    <row r="282" spans="2:25" x14ac:dyDescent="0.2">
      <c r="B282" s="3"/>
      <c r="C282" s="3"/>
      <c r="D282" s="3"/>
      <c r="E282" s="3"/>
      <c r="F282" s="3"/>
      <c r="G282" s="3"/>
      <c r="H282" s="3"/>
      <c r="I282" s="3"/>
      <c r="Q282" s="3"/>
      <c r="R282" s="3"/>
      <c r="S282" s="3"/>
      <c r="T282" s="3"/>
      <c r="U282" s="3"/>
      <c r="V282" s="3"/>
      <c r="W282" s="3"/>
      <c r="X282" s="3"/>
      <c r="Y282" s="3"/>
    </row>
    <row r="283" spans="2:25" x14ac:dyDescent="0.2">
      <c r="B283" s="3"/>
      <c r="C283" s="3"/>
      <c r="D283" s="3"/>
      <c r="E283" s="3"/>
      <c r="F283" s="3"/>
      <c r="G283" s="3"/>
      <c r="H283" s="3"/>
      <c r="I283" s="3"/>
      <c r="Q283" s="3"/>
      <c r="R283" s="3"/>
      <c r="S283" s="3"/>
      <c r="T283" s="3"/>
      <c r="U283" s="3"/>
      <c r="V283" s="3"/>
      <c r="W283" s="3"/>
      <c r="X283" s="3"/>
      <c r="Y283" s="3"/>
    </row>
    <row r="284" spans="2:25" x14ac:dyDescent="0.2">
      <c r="B284" s="3"/>
      <c r="C284" s="3"/>
      <c r="D284" s="3"/>
      <c r="E284" s="3"/>
      <c r="F284" s="3"/>
      <c r="G284" s="3"/>
      <c r="H284" s="3"/>
      <c r="I284" s="3"/>
      <c r="Q284" s="3"/>
      <c r="R284" s="3"/>
      <c r="S284" s="3"/>
      <c r="T284" s="3"/>
      <c r="U284" s="3"/>
      <c r="V284" s="3"/>
      <c r="W284" s="3"/>
      <c r="X284" s="3"/>
      <c r="Y284" s="3"/>
    </row>
    <row r="285" spans="2:25" x14ac:dyDescent="0.2">
      <c r="B285" s="3"/>
      <c r="C285" s="3"/>
      <c r="D285" s="3"/>
      <c r="E285" s="3"/>
      <c r="F285" s="3"/>
      <c r="G285" s="3"/>
      <c r="H285" s="3"/>
      <c r="I285" s="3"/>
      <c r="Q285" s="3"/>
      <c r="R285" s="3"/>
      <c r="S285" s="3"/>
      <c r="T285" s="3"/>
      <c r="U285" s="3"/>
      <c r="V285" s="3"/>
      <c r="W285" s="3"/>
      <c r="X285" s="3"/>
      <c r="Y285" s="3"/>
    </row>
    <row r="286" spans="2:25" x14ac:dyDescent="0.2">
      <c r="B286" s="3"/>
      <c r="C286" s="3"/>
      <c r="D286" s="3"/>
      <c r="E286" s="3"/>
      <c r="F286" s="3"/>
      <c r="G286" s="3"/>
      <c r="H286" s="3"/>
      <c r="I286" s="3"/>
      <c r="Q286" s="3"/>
      <c r="R286" s="3"/>
      <c r="S286" s="3"/>
      <c r="T286" s="3"/>
      <c r="U286" s="3"/>
      <c r="V286" s="3"/>
      <c r="W286" s="3"/>
      <c r="X286" s="3"/>
      <c r="Y286" s="3"/>
    </row>
    <row r="287" spans="2:25" x14ac:dyDescent="0.2">
      <c r="B287" s="3"/>
      <c r="C287" s="3"/>
      <c r="D287" s="3"/>
      <c r="E287" s="3"/>
      <c r="F287" s="3"/>
      <c r="G287" s="3"/>
      <c r="H287" s="3"/>
      <c r="I287" s="3"/>
      <c r="Q287" s="3"/>
      <c r="R287" s="3"/>
      <c r="S287" s="3"/>
      <c r="T287" s="3"/>
      <c r="U287" s="3"/>
      <c r="V287" s="3"/>
      <c r="W287" s="3"/>
      <c r="X287" s="3"/>
      <c r="Y287" s="3"/>
    </row>
    <row r="288" spans="2:25" x14ac:dyDescent="0.2">
      <c r="B288" s="3"/>
      <c r="C288" s="3"/>
      <c r="D288" s="3"/>
      <c r="E288" s="3"/>
      <c r="F288" s="3"/>
      <c r="G288" s="3"/>
      <c r="H288" s="3"/>
      <c r="I288" s="3"/>
      <c r="Q288" s="3"/>
      <c r="R288" s="3"/>
      <c r="S288" s="3"/>
      <c r="T288" s="3"/>
      <c r="U288" s="3"/>
      <c r="V288" s="3"/>
      <c r="W288" s="3"/>
      <c r="X288" s="3"/>
      <c r="Y288" s="3"/>
    </row>
    <row r="289" spans="2:25" x14ac:dyDescent="0.2">
      <c r="B289" s="3"/>
      <c r="C289" s="3"/>
      <c r="D289" s="3"/>
      <c r="E289" s="3"/>
      <c r="F289" s="3"/>
      <c r="G289" s="3"/>
      <c r="H289" s="3"/>
      <c r="I289" s="3"/>
      <c r="Q289" s="3"/>
      <c r="R289" s="3"/>
      <c r="S289" s="3"/>
      <c r="T289" s="3"/>
      <c r="U289" s="3"/>
      <c r="V289" s="3"/>
      <c r="W289" s="3"/>
      <c r="X289" s="3"/>
      <c r="Y289" s="3"/>
    </row>
    <row r="290" spans="2:25" x14ac:dyDescent="0.2">
      <c r="B290" s="3"/>
      <c r="C290" s="3"/>
      <c r="D290" s="3"/>
      <c r="E290" s="3"/>
      <c r="F290" s="3"/>
      <c r="G290" s="3"/>
      <c r="H290" s="3"/>
      <c r="I290" s="3"/>
      <c r="Q290" s="3"/>
      <c r="R290" s="3"/>
      <c r="S290" s="3"/>
      <c r="T290" s="3"/>
      <c r="U290" s="3"/>
      <c r="V290" s="3"/>
      <c r="W290" s="3"/>
      <c r="X290" s="3"/>
      <c r="Y290" s="3"/>
    </row>
    <row r="291" spans="2:25" x14ac:dyDescent="0.2">
      <c r="B291" s="3"/>
      <c r="C291" s="3"/>
      <c r="D291" s="3"/>
      <c r="E291" s="3"/>
      <c r="F291" s="3"/>
      <c r="G291" s="3"/>
      <c r="H291" s="3"/>
      <c r="I291" s="3"/>
      <c r="Q291" s="3"/>
      <c r="R291" s="3"/>
      <c r="S291" s="3"/>
      <c r="T291" s="3"/>
      <c r="U291" s="3"/>
      <c r="V291" s="3"/>
      <c r="W291" s="3"/>
      <c r="X291" s="3"/>
      <c r="Y291" s="3"/>
    </row>
    <row r="292" spans="2:25" x14ac:dyDescent="0.2">
      <c r="B292" s="3"/>
      <c r="C292" s="3"/>
      <c r="D292" s="3"/>
      <c r="E292" s="3"/>
      <c r="F292" s="3"/>
      <c r="G292" s="3"/>
      <c r="H292" s="3"/>
      <c r="I292" s="3"/>
      <c r="Q292" s="3"/>
      <c r="R292" s="3"/>
      <c r="S292" s="3"/>
      <c r="T292" s="3"/>
      <c r="U292" s="3"/>
      <c r="V292" s="3"/>
      <c r="W292" s="3"/>
      <c r="X292" s="3"/>
      <c r="Y292" s="3"/>
    </row>
    <row r="293" spans="2:25" x14ac:dyDescent="0.2">
      <c r="B293" s="3"/>
      <c r="C293" s="3"/>
      <c r="D293" s="3"/>
      <c r="E293" s="3"/>
      <c r="F293" s="3"/>
      <c r="G293" s="3"/>
      <c r="H293" s="3"/>
      <c r="I293" s="3"/>
      <c r="Q293" s="3"/>
      <c r="R293" s="3"/>
      <c r="S293" s="3"/>
      <c r="T293" s="3"/>
      <c r="U293" s="3"/>
      <c r="V293" s="3"/>
      <c r="W293" s="3"/>
      <c r="X293" s="3"/>
      <c r="Y293" s="3"/>
    </row>
    <row r="294" spans="2:25" x14ac:dyDescent="0.2">
      <c r="B294" s="3"/>
      <c r="C294" s="3"/>
      <c r="D294" s="3"/>
      <c r="E294" s="3"/>
      <c r="F294" s="3"/>
      <c r="G294" s="3"/>
      <c r="H294" s="3"/>
      <c r="I294" s="3"/>
      <c r="Q294" s="3"/>
      <c r="R294" s="3"/>
      <c r="S294" s="3"/>
      <c r="T294" s="3"/>
      <c r="U294" s="3"/>
      <c r="V294" s="3"/>
      <c r="W294" s="3"/>
      <c r="X294" s="3"/>
      <c r="Y294" s="3"/>
    </row>
    <row r="295" spans="2:25" x14ac:dyDescent="0.2">
      <c r="B295" s="3"/>
      <c r="C295" s="3"/>
      <c r="D295" s="3"/>
      <c r="E295" s="3"/>
      <c r="F295" s="3"/>
      <c r="G295" s="3"/>
      <c r="H295" s="3"/>
      <c r="I295" s="3"/>
      <c r="Q295" s="3"/>
      <c r="R295" s="3"/>
      <c r="S295" s="3"/>
      <c r="T295" s="3"/>
      <c r="U295" s="3"/>
      <c r="V295" s="3"/>
      <c r="W295" s="3"/>
      <c r="X295" s="3"/>
      <c r="Y295" s="3"/>
    </row>
    <row r="296" spans="2:25" x14ac:dyDescent="0.2">
      <c r="B296" s="3"/>
      <c r="C296" s="3"/>
      <c r="D296" s="3"/>
      <c r="E296" s="3"/>
      <c r="F296" s="3"/>
      <c r="G296" s="3"/>
      <c r="H296" s="3"/>
      <c r="I296" s="3"/>
      <c r="Q296" s="3"/>
      <c r="R296" s="3"/>
      <c r="S296" s="3"/>
      <c r="T296" s="3"/>
      <c r="U296" s="3"/>
      <c r="V296" s="3"/>
      <c r="W296" s="3"/>
      <c r="X296" s="3"/>
      <c r="Y296" s="3"/>
    </row>
    <row r="297" spans="2:25" x14ac:dyDescent="0.2">
      <c r="B297" s="3"/>
      <c r="C297" s="3"/>
      <c r="D297" s="3"/>
      <c r="E297" s="3"/>
      <c r="F297" s="3"/>
      <c r="G297" s="3"/>
      <c r="H297" s="3"/>
      <c r="I297" s="3"/>
      <c r="Q297" s="3"/>
      <c r="R297" s="3"/>
      <c r="S297" s="3"/>
      <c r="T297" s="3"/>
      <c r="U297" s="3"/>
      <c r="V297" s="3"/>
      <c r="W297" s="3"/>
      <c r="X297" s="3"/>
      <c r="Y297" s="3"/>
    </row>
    <row r="298" spans="2:25" x14ac:dyDescent="0.2">
      <c r="B298" s="3"/>
      <c r="C298" s="3"/>
      <c r="D298" s="3"/>
      <c r="E298" s="3"/>
      <c r="F298" s="3"/>
      <c r="G298" s="3"/>
      <c r="H298" s="3"/>
      <c r="I298" s="3"/>
      <c r="Q298" s="3"/>
      <c r="R298" s="3"/>
      <c r="S298" s="3"/>
      <c r="T298" s="3"/>
      <c r="U298" s="3"/>
      <c r="V298" s="3"/>
      <c r="W298" s="3"/>
      <c r="X298" s="3"/>
      <c r="Y298" s="3"/>
    </row>
    <row r="299" spans="2:25" x14ac:dyDescent="0.2">
      <c r="B299" s="3"/>
      <c r="C299" s="3"/>
      <c r="D299" s="3"/>
      <c r="E299" s="3"/>
      <c r="F299" s="3"/>
      <c r="G299" s="3"/>
      <c r="H299" s="3"/>
      <c r="I299" s="3"/>
      <c r="Q299" s="3"/>
      <c r="R299" s="3"/>
      <c r="S299" s="3"/>
      <c r="T299" s="3"/>
      <c r="U299" s="3"/>
      <c r="V299" s="3"/>
      <c r="W299" s="3"/>
      <c r="X299" s="3"/>
      <c r="Y299" s="3"/>
    </row>
    <row r="300" spans="2:25" x14ac:dyDescent="0.2">
      <c r="B300" s="3"/>
      <c r="C300" s="3"/>
      <c r="D300" s="3"/>
      <c r="E300" s="3"/>
      <c r="F300" s="3"/>
      <c r="G300" s="3"/>
      <c r="H300" s="3"/>
      <c r="I300" s="3"/>
      <c r="Q300" s="3"/>
      <c r="R300" s="3"/>
      <c r="S300" s="3"/>
      <c r="T300" s="3"/>
      <c r="U300" s="3"/>
      <c r="V300" s="3"/>
      <c r="W300" s="3"/>
      <c r="X300" s="3"/>
      <c r="Y300" s="3"/>
    </row>
    <row r="301" spans="2:25" x14ac:dyDescent="0.2">
      <c r="B301" s="3"/>
      <c r="C301" s="3"/>
      <c r="D301" s="3"/>
      <c r="E301" s="3"/>
      <c r="F301" s="3"/>
      <c r="G301" s="3"/>
      <c r="H301" s="3"/>
      <c r="I301" s="3"/>
      <c r="Q301" s="3"/>
      <c r="R301" s="3"/>
      <c r="S301" s="3"/>
      <c r="T301" s="3"/>
      <c r="U301" s="3"/>
      <c r="V301" s="3"/>
      <c r="W301" s="3"/>
      <c r="X301" s="3"/>
      <c r="Y301" s="3"/>
    </row>
    <row r="302" spans="2:25" x14ac:dyDescent="0.2">
      <c r="B302" s="3"/>
      <c r="C302" s="3"/>
      <c r="D302" s="3"/>
      <c r="E302" s="3"/>
      <c r="F302" s="3"/>
      <c r="G302" s="3"/>
      <c r="H302" s="3"/>
      <c r="I302" s="3"/>
      <c r="Q302" s="3"/>
      <c r="R302" s="3"/>
      <c r="S302" s="3"/>
      <c r="T302" s="3"/>
      <c r="U302" s="3"/>
      <c r="V302" s="3"/>
      <c r="W302" s="3"/>
      <c r="X302" s="3"/>
      <c r="Y302" s="3"/>
    </row>
    <row r="303" spans="2:25" x14ac:dyDescent="0.2">
      <c r="B303" s="3"/>
      <c r="C303" s="3"/>
      <c r="D303" s="3"/>
      <c r="E303" s="3"/>
      <c r="F303" s="3"/>
      <c r="G303" s="3"/>
      <c r="H303" s="3"/>
      <c r="I303" s="3"/>
      <c r="Q303" s="3"/>
      <c r="R303" s="3"/>
      <c r="S303" s="3"/>
      <c r="T303" s="3"/>
      <c r="U303" s="3"/>
      <c r="V303" s="3"/>
      <c r="W303" s="3"/>
      <c r="X303" s="3"/>
      <c r="Y303" s="3"/>
    </row>
    <row r="304" spans="2:25" x14ac:dyDescent="0.2">
      <c r="B304" s="3"/>
      <c r="C304" s="3"/>
      <c r="D304" s="3"/>
      <c r="E304" s="3"/>
      <c r="F304" s="3"/>
      <c r="G304" s="3"/>
      <c r="H304" s="3"/>
      <c r="I304" s="3"/>
      <c r="Q304" s="3"/>
      <c r="R304" s="3"/>
      <c r="S304" s="3"/>
      <c r="T304" s="3"/>
      <c r="U304" s="3"/>
      <c r="V304" s="3"/>
      <c r="W304" s="3"/>
      <c r="X304" s="3"/>
      <c r="Y304" s="3"/>
    </row>
    <row r="305" spans="2:25" x14ac:dyDescent="0.2">
      <c r="B305" s="3"/>
      <c r="C305" s="3"/>
      <c r="D305" s="3"/>
      <c r="E305" s="3"/>
      <c r="F305" s="3"/>
      <c r="G305" s="3"/>
      <c r="H305" s="3"/>
      <c r="I305" s="3"/>
      <c r="Q305" s="3"/>
      <c r="R305" s="3"/>
      <c r="S305" s="3"/>
      <c r="T305" s="3"/>
      <c r="U305" s="3"/>
      <c r="V305" s="3"/>
      <c r="W305" s="3"/>
      <c r="X305" s="3"/>
      <c r="Y305" s="3"/>
    </row>
    <row r="306" spans="2:25" x14ac:dyDescent="0.2">
      <c r="B306" s="3"/>
      <c r="C306" s="3"/>
      <c r="D306" s="3"/>
      <c r="E306" s="3"/>
      <c r="F306" s="3"/>
      <c r="G306" s="3"/>
      <c r="H306" s="3"/>
      <c r="I306" s="3"/>
      <c r="Q306" s="3"/>
      <c r="R306" s="3"/>
      <c r="S306" s="3"/>
      <c r="T306" s="3"/>
      <c r="U306" s="3"/>
      <c r="V306" s="3"/>
      <c r="W306" s="3"/>
      <c r="X306" s="3"/>
      <c r="Y306" s="3"/>
    </row>
    <row r="307" spans="2:25" x14ac:dyDescent="0.2">
      <c r="B307" s="3"/>
      <c r="C307" s="3"/>
      <c r="D307" s="3"/>
      <c r="E307" s="3"/>
      <c r="F307" s="3"/>
      <c r="G307" s="3"/>
      <c r="H307" s="3"/>
      <c r="I307" s="3"/>
      <c r="Q307" s="3"/>
      <c r="R307" s="3"/>
      <c r="S307" s="3"/>
      <c r="T307" s="3"/>
      <c r="U307" s="3"/>
      <c r="V307" s="3"/>
      <c r="W307" s="3"/>
      <c r="X307" s="3"/>
      <c r="Y307" s="3"/>
    </row>
    <row r="308" spans="2:25" x14ac:dyDescent="0.2">
      <c r="B308" s="3"/>
      <c r="C308" s="3"/>
      <c r="D308" s="3"/>
      <c r="E308" s="3"/>
      <c r="F308" s="3"/>
      <c r="G308" s="3"/>
      <c r="H308" s="3"/>
      <c r="I308" s="3"/>
      <c r="Q308" s="3"/>
      <c r="R308" s="3"/>
      <c r="S308" s="3"/>
      <c r="T308" s="3"/>
      <c r="U308" s="3"/>
      <c r="V308" s="3"/>
      <c r="W308" s="3"/>
      <c r="X308" s="3"/>
      <c r="Y308" s="3"/>
    </row>
    <row r="309" spans="2:25" x14ac:dyDescent="0.2">
      <c r="B309" s="3"/>
      <c r="C309" s="3"/>
      <c r="D309" s="3"/>
      <c r="E309" s="3"/>
      <c r="F309" s="3"/>
      <c r="G309" s="3"/>
      <c r="H309" s="3"/>
      <c r="I309" s="3"/>
      <c r="Q309" s="3"/>
      <c r="R309" s="3"/>
      <c r="S309" s="3"/>
      <c r="T309" s="3"/>
      <c r="U309" s="3"/>
      <c r="V309" s="3"/>
      <c r="W309" s="3"/>
      <c r="X309" s="3"/>
      <c r="Y309" s="3"/>
    </row>
    <row r="310" spans="2:25" x14ac:dyDescent="0.2">
      <c r="B310" s="3"/>
      <c r="C310" s="3"/>
      <c r="D310" s="3"/>
      <c r="E310" s="3"/>
      <c r="F310" s="3"/>
      <c r="G310" s="3"/>
      <c r="H310" s="3"/>
      <c r="I310" s="3"/>
      <c r="Q310" s="3"/>
      <c r="R310" s="3"/>
      <c r="S310" s="3"/>
      <c r="T310" s="3"/>
      <c r="U310" s="3"/>
      <c r="V310" s="3"/>
      <c r="W310" s="3"/>
      <c r="X310" s="3"/>
      <c r="Y310" s="3"/>
    </row>
    <row r="311" spans="2:25" x14ac:dyDescent="0.2">
      <c r="B311" s="3"/>
      <c r="C311" s="3"/>
      <c r="D311" s="3"/>
      <c r="E311" s="3"/>
      <c r="F311" s="3"/>
      <c r="G311" s="3"/>
      <c r="H311" s="3"/>
      <c r="I311" s="3"/>
      <c r="Q311" s="3"/>
      <c r="R311" s="3"/>
      <c r="S311" s="3"/>
      <c r="T311" s="3"/>
      <c r="U311" s="3"/>
      <c r="V311" s="3"/>
      <c r="W311" s="3"/>
      <c r="X311" s="3"/>
      <c r="Y311" s="3"/>
    </row>
    <row r="312" spans="2:25" x14ac:dyDescent="0.2">
      <c r="B312" s="3"/>
      <c r="C312" s="3"/>
      <c r="D312" s="3"/>
      <c r="E312" s="3"/>
      <c r="F312" s="3"/>
      <c r="G312" s="3"/>
      <c r="H312" s="3"/>
      <c r="I312" s="3"/>
      <c r="Q312" s="3"/>
      <c r="R312" s="3"/>
      <c r="S312" s="3"/>
      <c r="T312" s="3"/>
      <c r="U312" s="3"/>
      <c r="V312" s="3"/>
      <c r="W312" s="3"/>
      <c r="X312" s="3"/>
      <c r="Y312" s="3"/>
    </row>
    <row r="313" spans="2:25" x14ac:dyDescent="0.2">
      <c r="B313" s="3"/>
      <c r="C313" s="3"/>
      <c r="D313" s="3"/>
      <c r="E313" s="3"/>
      <c r="F313" s="3"/>
      <c r="G313" s="3"/>
      <c r="H313" s="3"/>
      <c r="I313" s="3"/>
      <c r="Q313" s="3"/>
      <c r="R313" s="3"/>
      <c r="S313" s="3"/>
      <c r="T313" s="3"/>
      <c r="U313" s="3"/>
      <c r="V313" s="3"/>
      <c r="W313" s="3"/>
      <c r="X313" s="3"/>
      <c r="Y313" s="3"/>
    </row>
    <row r="314" spans="2:25" x14ac:dyDescent="0.2">
      <c r="B314" s="3"/>
      <c r="C314" s="3"/>
      <c r="D314" s="3"/>
      <c r="E314" s="3"/>
      <c r="F314" s="3"/>
      <c r="G314" s="3"/>
      <c r="H314" s="3"/>
      <c r="I314" s="3"/>
      <c r="Q314" s="3"/>
      <c r="R314" s="3"/>
      <c r="S314" s="3"/>
      <c r="T314" s="3"/>
      <c r="U314" s="3"/>
      <c r="V314" s="3"/>
      <c r="W314" s="3"/>
      <c r="X314" s="3"/>
      <c r="Y314" s="3"/>
    </row>
    <row r="315" spans="2:25" x14ac:dyDescent="0.2">
      <c r="B315" s="3"/>
      <c r="C315" s="3"/>
      <c r="D315" s="3"/>
      <c r="E315" s="3"/>
      <c r="F315" s="3"/>
      <c r="G315" s="3"/>
      <c r="H315" s="3"/>
      <c r="I315" s="3"/>
      <c r="Q315" s="3"/>
      <c r="R315" s="3"/>
      <c r="S315" s="3"/>
      <c r="T315" s="3"/>
      <c r="U315" s="3"/>
      <c r="V315" s="3"/>
      <c r="W315" s="3"/>
      <c r="X315" s="3"/>
      <c r="Y315" s="3"/>
    </row>
    <row r="316" spans="2:25" x14ac:dyDescent="0.2">
      <c r="B316" s="3"/>
      <c r="C316" s="3"/>
      <c r="D316" s="3"/>
      <c r="E316" s="3"/>
      <c r="F316" s="3"/>
      <c r="G316" s="3"/>
      <c r="H316" s="3"/>
      <c r="I316" s="3"/>
      <c r="Q316" s="3"/>
      <c r="R316" s="3"/>
      <c r="S316" s="3"/>
      <c r="T316" s="3"/>
      <c r="U316" s="3"/>
      <c r="V316" s="3"/>
      <c r="W316" s="3"/>
      <c r="X316" s="3"/>
      <c r="Y316" s="3"/>
    </row>
    <row r="317" spans="2:25" x14ac:dyDescent="0.2">
      <c r="B317" s="3"/>
      <c r="C317" s="3"/>
      <c r="D317" s="3"/>
      <c r="E317" s="3"/>
      <c r="F317" s="3"/>
      <c r="G317" s="3"/>
      <c r="H317" s="3"/>
      <c r="I317" s="3"/>
      <c r="Q317" s="3"/>
      <c r="R317" s="3"/>
      <c r="S317" s="3"/>
      <c r="T317" s="3"/>
      <c r="U317" s="3"/>
      <c r="V317" s="3"/>
      <c r="W317" s="3"/>
      <c r="X317" s="3"/>
      <c r="Y317" s="3"/>
    </row>
    <row r="318" spans="2:25" x14ac:dyDescent="0.2">
      <c r="B318" s="3"/>
      <c r="C318" s="3"/>
      <c r="D318" s="3"/>
      <c r="E318" s="3"/>
      <c r="F318" s="3"/>
      <c r="G318" s="3"/>
      <c r="H318" s="3"/>
      <c r="I318" s="3"/>
      <c r="Q318" s="3"/>
      <c r="R318" s="3"/>
      <c r="S318" s="3"/>
      <c r="T318" s="3"/>
      <c r="U318" s="3"/>
      <c r="V318" s="3"/>
      <c r="W318" s="3"/>
      <c r="X318" s="3"/>
      <c r="Y318" s="3"/>
    </row>
    <row r="319" spans="2:25" x14ac:dyDescent="0.2">
      <c r="B319" s="3"/>
      <c r="C319" s="3"/>
      <c r="D319" s="3"/>
      <c r="E319" s="3"/>
      <c r="F319" s="3"/>
      <c r="G319" s="3"/>
      <c r="H319" s="3"/>
      <c r="I319" s="3"/>
      <c r="Q319" s="3"/>
      <c r="R319" s="3"/>
      <c r="S319" s="3"/>
      <c r="T319" s="3"/>
      <c r="U319" s="3"/>
      <c r="V319" s="3"/>
      <c r="W319" s="3"/>
      <c r="X319" s="3"/>
      <c r="Y319" s="3"/>
    </row>
    <row r="320" spans="2:25" x14ac:dyDescent="0.2">
      <c r="B320" s="3"/>
      <c r="C320" s="3"/>
      <c r="D320" s="3"/>
      <c r="E320" s="3"/>
      <c r="F320" s="3"/>
      <c r="G320" s="3"/>
      <c r="H320" s="3"/>
      <c r="I320" s="3"/>
      <c r="Q320" s="3"/>
      <c r="R320" s="3"/>
      <c r="S320" s="3"/>
      <c r="T320" s="3"/>
      <c r="U320" s="3"/>
      <c r="V320" s="3"/>
      <c r="W320" s="3"/>
      <c r="X320" s="3"/>
      <c r="Y320" s="3"/>
    </row>
    <row r="321" spans="2:25" x14ac:dyDescent="0.2">
      <c r="B321" s="3"/>
      <c r="C321" s="3"/>
      <c r="D321" s="3"/>
      <c r="E321" s="3"/>
      <c r="F321" s="3"/>
      <c r="G321" s="3"/>
      <c r="H321" s="3"/>
      <c r="I321" s="3"/>
      <c r="Q321" s="3"/>
      <c r="R321" s="3"/>
      <c r="S321" s="3"/>
      <c r="T321" s="3"/>
      <c r="U321" s="3"/>
      <c r="V321" s="3"/>
      <c r="W321" s="3"/>
      <c r="X321" s="3"/>
      <c r="Y321" s="3"/>
    </row>
    <row r="322" spans="2:25" x14ac:dyDescent="0.2">
      <c r="B322" s="3"/>
      <c r="C322" s="3"/>
      <c r="D322" s="3"/>
      <c r="E322" s="3"/>
      <c r="F322" s="3"/>
      <c r="G322" s="3"/>
      <c r="H322" s="3"/>
      <c r="I322" s="3"/>
      <c r="Q322" s="3"/>
      <c r="R322" s="3"/>
      <c r="S322" s="3"/>
      <c r="T322" s="3"/>
      <c r="U322" s="3"/>
      <c r="V322" s="3"/>
      <c r="W322" s="3"/>
      <c r="X322" s="3"/>
      <c r="Y322" s="3"/>
    </row>
    <row r="323" spans="2:25" x14ac:dyDescent="0.2">
      <c r="B323" s="3"/>
      <c r="C323" s="3"/>
      <c r="D323" s="3"/>
      <c r="E323" s="3"/>
      <c r="F323" s="3"/>
      <c r="G323" s="3"/>
      <c r="H323" s="3"/>
      <c r="I323" s="3"/>
      <c r="Q323" s="3"/>
      <c r="R323" s="3"/>
      <c r="S323" s="3"/>
      <c r="T323" s="3"/>
      <c r="U323" s="3"/>
      <c r="V323" s="3"/>
      <c r="W323" s="3"/>
      <c r="X323" s="3"/>
      <c r="Y323" s="3"/>
    </row>
    <row r="324" spans="2:25" x14ac:dyDescent="0.2">
      <c r="B324" s="3"/>
      <c r="C324" s="3"/>
      <c r="D324" s="3"/>
      <c r="E324" s="3"/>
      <c r="F324" s="3"/>
      <c r="G324" s="3"/>
      <c r="H324" s="3"/>
      <c r="I324" s="3"/>
      <c r="Q324" s="3"/>
      <c r="R324" s="3"/>
      <c r="S324" s="3"/>
      <c r="T324" s="3"/>
      <c r="U324" s="3"/>
      <c r="V324" s="3"/>
      <c r="W324" s="3"/>
      <c r="X324" s="3"/>
      <c r="Y324" s="3"/>
    </row>
    <row r="325" spans="2:25" x14ac:dyDescent="0.2">
      <c r="B325" s="3"/>
      <c r="C325" s="3"/>
      <c r="D325" s="3"/>
      <c r="E325" s="3"/>
      <c r="F325" s="3"/>
      <c r="G325" s="3"/>
      <c r="H325" s="3"/>
      <c r="I325" s="3"/>
      <c r="Q325" s="3"/>
      <c r="R325" s="3"/>
      <c r="S325" s="3"/>
      <c r="T325" s="3"/>
      <c r="U325" s="3"/>
      <c r="V325" s="3"/>
      <c r="W325" s="3"/>
      <c r="X325" s="3"/>
      <c r="Y325" s="3"/>
    </row>
    <row r="326" spans="2:25" x14ac:dyDescent="0.2">
      <c r="B326" s="3"/>
      <c r="C326" s="3"/>
      <c r="D326" s="3"/>
      <c r="E326" s="3"/>
      <c r="F326" s="3"/>
      <c r="G326" s="3"/>
      <c r="H326" s="3"/>
      <c r="I326" s="3"/>
      <c r="Q326" s="3"/>
      <c r="R326" s="3"/>
      <c r="S326" s="3"/>
      <c r="T326" s="3"/>
      <c r="U326" s="3"/>
      <c r="V326" s="3"/>
      <c r="W326" s="3"/>
      <c r="X326" s="3"/>
      <c r="Y326" s="3"/>
    </row>
    <row r="327" spans="2:25" x14ac:dyDescent="0.2">
      <c r="B327" s="3"/>
      <c r="C327" s="3"/>
      <c r="D327" s="3"/>
      <c r="E327" s="3"/>
      <c r="F327" s="3"/>
      <c r="G327" s="3"/>
      <c r="H327" s="3"/>
      <c r="I327" s="3"/>
      <c r="Q327" s="3"/>
      <c r="R327" s="3"/>
      <c r="S327" s="3"/>
      <c r="T327" s="3"/>
      <c r="U327" s="3"/>
      <c r="V327" s="3"/>
      <c r="W327" s="3"/>
      <c r="X327" s="3"/>
      <c r="Y327" s="3"/>
    </row>
    <row r="328" spans="2:25" x14ac:dyDescent="0.2">
      <c r="B328" s="3"/>
      <c r="C328" s="3"/>
      <c r="D328" s="3"/>
      <c r="E328" s="3"/>
      <c r="F328" s="3"/>
      <c r="G328" s="3"/>
      <c r="H328" s="3"/>
      <c r="I328" s="3"/>
      <c r="Q328" s="3"/>
      <c r="R328" s="3"/>
      <c r="S328" s="3"/>
      <c r="T328" s="3"/>
      <c r="U328" s="3"/>
      <c r="V328" s="3"/>
      <c r="W328" s="3"/>
      <c r="X328" s="3"/>
      <c r="Y328" s="3"/>
    </row>
    <row r="329" spans="2:25" x14ac:dyDescent="0.2">
      <c r="B329" s="3"/>
      <c r="C329" s="3"/>
      <c r="D329" s="3"/>
      <c r="E329" s="3"/>
      <c r="F329" s="3"/>
      <c r="G329" s="3"/>
      <c r="H329" s="3"/>
      <c r="I329" s="3"/>
      <c r="Q329" s="3"/>
      <c r="R329" s="3"/>
      <c r="S329" s="3"/>
      <c r="T329" s="3"/>
      <c r="U329" s="3"/>
      <c r="V329" s="3"/>
      <c r="W329" s="3"/>
      <c r="X329" s="3"/>
      <c r="Y329" s="3"/>
    </row>
    <row r="330" spans="2:25" x14ac:dyDescent="0.2">
      <c r="B330" s="3"/>
      <c r="C330" s="3"/>
      <c r="D330" s="3"/>
      <c r="E330" s="3"/>
      <c r="F330" s="3"/>
      <c r="G330" s="3"/>
      <c r="H330" s="3"/>
      <c r="I330" s="3"/>
      <c r="Q330" s="3"/>
      <c r="R330" s="3"/>
      <c r="S330" s="3"/>
      <c r="T330" s="3"/>
      <c r="U330" s="3"/>
      <c r="V330" s="3"/>
      <c r="W330" s="3"/>
      <c r="X330" s="3"/>
      <c r="Y330" s="3"/>
    </row>
    <row r="331" spans="2:25" x14ac:dyDescent="0.2">
      <c r="B331" s="3"/>
      <c r="C331" s="3"/>
      <c r="D331" s="3"/>
      <c r="E331" s="3"/>
      <c r="F331" s="3"/>
      <c r="G331" s="3"/>
      <c r="H331" s="3"/>
      <c r="I331" s="3"/>
      <c r="Q331" s="3"/>
      <c r="R331" s="3"/>
      <c r="S331" s="3"/>
      <c r="T331" s="3"/>
      <c r="U331" s="3"/>
      <c r="V331" s="3"/>
      <c r="W331" s="3"/>
      <c r="X331" s="3"/>
      <c r="Y331" s="3"/>
    </row>
    <row r="332" spans="2:25" x14ac:dyDescent="0.2">
      <c r="B332" s="3"/>
      <c r="C332" s="3"/>
      <c r="D332" s="3"/>
      <c r="E332" s="3"/>
      <c r="F332" s="3"/>
      <c r="G332" s="3"/>
      <c r="H332" s="3"/>
      <c r="I332" s="3"/>
      <c r="Q332" s="3"/>
      <c r="R332" s="3"/>
      <c r="S332" s="3"/>
      <c r="T332" s="3"/>
      <c r="U332" s="3"/>
      <c r="V332" s="3"/>
      <c r="W332" s="3"/>
      <c r="X332" s="3"/>
      <c r="Y332" s="3"/>
    </row>
    <row r="333" spans="2:25" x14ac:dyDescent="0.2">
      <c r="B333" s="3"/>
      <c r="C333" s="3"/>
      <c r="D333" s="3"/>
      <c r="E333" s="3"/>
      <c r="F333" s="3"/>
      <c r="G333" s="3"/>
      <c r="H333" s="3"/>
      <c r="I333" s="3"/>
      <c r="Q333" s="3"/>
      <c r="R333" s="3"/>
      <c r="S333" s="3"/>
      <c r="T333" s="3"/>
      <c r="U333" s="3"/>
      <c r="V333" s="3"/>
      <c r="W333" s="3"/>
      <c r="X333" s="3"/>
      <c r="Y333" s="3"/>
    </row>
    <row r="334" spans="2:25" x14ac:dyDescent="0.2">
      <c r="B334" s="3"/>
      <c r="C334" s="3"/>
      <c r="D334" s="3"/>
      <c r="E334" s="3"/>
      <c r="F334" s="3"/>
      <c r="G334" s="3"/>
      <c r="H334" s="3"/>
      <c r="I334" s="3"/>
      <c r="Q334" s="3"/>
      <c r="R334" s="3"/>
      <c r="S334" s="3"/>
      <c r="T334" s="3"/>
      <c r="U334" s="3"/>
      <c r="V334" s="3"/>
      <c r="W334" s="3"/>
      <c r="X334" s="3"/>
      <c r="Y334" s="3"/>
    </row>
    <row r="335" spans="2:25" x14ac:dyDescent="0.2">
      <c r="B335" s="3"/>
      <c r="C335" s="3"/>
      <c r="D335" s="3"/>
      <c r="E335" s="3"/>
      <c r="F335" s="3"/>
      <c r="G335" s="3"/>
      <c r="H335" s="3"/>
      <c r="I335" s="3"/>
      <c r="Q335" s="3"/>
      <c r="R335" s="3"/>
      <c r="S335" s="3"/>
      <c r="T335" s="3"/>
      <c r="U335" s="3"/>
      <c r="V335" s="3"/>
      <c r="W335" s="3"/>
      <c r="X335" s="3"/>
      <c r="Y335" s="3"/>
    </row>
  </sheetData>
  <mergeCells count="7">
    <mergeCell ref="O7:P8"/>
    <mergeCell ref="B5:N5"/>
    <mergeCell ref="B7:C9"/>
    <mergeCell ref="D7:D9"/>
    <mergeCell ref="F7:G8"/>
    <mergeCell ref="I7:J8"/>
    <mergeCell ref="L7:M8"/>
  </mergeCells>
  <hyperlinks>
    <hyperlink ref="P1" location="Índice!A1" tooltip="Ir a ÍNDICE" display="INDICE" xr:uid="{58ED8FC3-0F66-43EC-BBCA-F9B4F9872FDD}"/>
  </hyperlink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CB6A2E-ECFF-4FE1-BFBA-C57F6DAE0D4E}">
  <sheetPr>
    <pageSetUpPr fitToPage="1"/>
  </sheetPr>
  <dimension ref="A1:AQ99"/>
  <sheetViews>
    <sheetView showGridLines="0" zoomScaleNormal="100" zoomScaleSheetLayoutView="50" workbookViewId="0"/>
  </sheetViews>
  <sheetFormatPr baseColWidth="10" defaultColWidth="11.42578125" defaultRowHeight="12.75" customHeight="1" x14ac:dyDescent="0.2"/>
  <cols>
    <col min="1" max="1" width="1.7109375" style="5" customWidth="1"/>
    <col min="2" max="2" width="24.28515625" style="402" customWidth="1"/>
    <col min="3" max="3" width="0.85546875" style="403" customWidth="1" collapsed="1"/>
    <col min="4" max="4" width="18.7109375" style="403" customWidth="1" collapsed="1"/>
    <col min="5" max="5" width="0.85546875" style="403" customWidth="1"/>
    <col min="6" max="6" width="10.7109375" style="403" customWidth="1" collapsed="1"/>
    <col min="7" max="7" width="10.7109375" style="402" customWidth="1" collapsed="1"/>
    <col min="8" max="8" width="0.85546875" style="402" customWidth="1" collapsed="1"/>
    <col min="9" max="10" width="10.7109375" style="402" customWidth="1" collapsed="1"/>
    <col min="11" max="11" width="0.85546875" style="402" customWidth="1" collapsed="1"/>
    <col min="12" max="13" width="10.7109375" style="402" customWidth="1" collapsed="1"/>
    <col min="14" max="14" width="0.85546875" style="402" customWidth="1" collapsed="1"/>
    <col min="15" max="16" width="10.7109375" style="402" customWidth="1" collapsed="1"/>
    <col min="17" max="17" width="0.85546875" style="402" customWidth="1" collapsed="1"/>
    <col min="18" max="18" width="10.7109375" style="402" customWidth="1" collapsed="1"/>
    <col min="19" max="19" width="10.7109375" style="402" customWidth="1"/>
    <col min="20" max="20" width="0.85546875" style="402" customWidth="1"/>
    <col min="21" max="22" width="10.7109375" style="402" customWidth="1"/>
    <col min="23" max="23" width="0.85546875" style="402" customWidth="1"/>
    <col min="24" max="25" width="10.7109375" style="402" customWidth="1"/>
    <col min="26" max="26" width="11.42578125" style="402"/>
    <col min="27" max="27" width="11.42578125" style="402" collapsed="1"/>
    <col min="28" max="29" width="11.42578125" style="402"/>
    <col min="30" max="30" width="11.42578125" style="402" collapsed="1"/>
    <col min="31" max="31" width="11.42578125" style="402"/>
    <col min="32" max="32" width="11.42578125" style="402" collapsed="1"/>
    <col min="33" max="35" width="11.42578125" style="402"/>
    <col min="36" max="36" width="11.42578125" style="402" collapsed="1"/>
    <col min="37" max="39" width="11.42578125" style="402"/>
    <col min="40" max="40" width="11.42578125" style="402" collapsed="1"/>
    <col min="41" max="43" width="11.42578125" style="402"/>
    <col min="44" max="16384" width="11.42578125" style="402" collapsed="1"/>
  </cols>
  <sheetData>
    <row r="1" spans="1:25" s="359" customFormat="1" ht="14.1" customHeight="1" x14ac:dyDescent="0.2">
      <c r="A1" s="66"/>
      <c r="B1" s="484" t="s">
        <v>144</v>
      </c>
      <c r="C1" s="357"/>
      <c r="D1" s="358"/>
      <c r="E1" s="358"/>
      <c r="F1" s="358"/>
      <c r="Y1" s="85" t="s">
        <v>118</v>
      </c>
    </row>
    <row r="2" spans="1:25" s="359" customFormat="1" ht="6.95" customHeight="1" x14ac:dyDescent="0.2">
      <c r="A2" s="66"/>
      <c r="B2" s="484"/>
      <c r="C2" s="357"/>
      <c r="D2" s="358"/>
      <c r="E2" s="358"/>
      <c r="F2" s="358"/>
    </row>
    <row r="3" spans="1:25" s="361" customFormat="1" ht="14.1" customHeight="1" x14ac:dyDescent="0.2">
      <c r="A3" s="98"/>
      <c r="B3" s="484" t="s">
        <v>142</v>
      </c>
      <c r="C3" s="360"/>
      <c r="D3" s="360"/>
      <c r="E3" s="360"/>
      <c r="F3" s="360"/>
      <c r="G3" s="360"/>
    </row>
    <row r="4" spans="1:25" s="361" customFormat="1" ht="6.95" customHeight="1" x14ac:dyDescent="0.2">
      <c r="A4" s="98"/>
      <c r="C4" s="362"/>
      <c r="D4" s="362"/>
      <c r="E4" s="362"/>
      <c r="F4" s="362"/>
    </row>
    <row r="5" spans="1:25" s="361" customFormat="1" ht="20.100000000000001" customHeight="1" x14ac:dyDescent="0.2">
      <c r="A5" s="98"/>
      <c r="B5" s="597" t="s">
        <v>111</v>
      </c>
      <c r="C5" s="597"/>
      <c r="D5" s="597"/>
      <c r="E5" s="597"/>
      <c r="F5" s="597"/>
      <c r="G5" s="597"/>
      <c r="H5" s="597"/>
      <c r="I5" s="597"/>
      <c r="J5" s="597"/>
      <c r="K5" s="597"/>
      <c r="L5" s="597"/>
      <c r="M5" s="597"/>
      <c r="N5" s="597"/>
      <c r="O5" s="597"/>
      <c r="P5" s="363"/>
      <c r="Q5" s="364"/>
      <c r="R5" s="114"/>
      <c r="Y5" s="75" t="s">
        <v>113</v>
      </c>
    </row>
    <row r="6" spans="1:25" s="367" customFormat="1" ht="6" customHeight="1" x14ac:dyDescent="0.2">
      <c r="A6" s="98"/>
      <c r="B6" s="365"/>
      <c r="C6" s="598"/>
      <c r="D6" s="598"/>
      <c r="E6" s="598"/>
      <c r="F6" s="599"/>
      <c r="G6" s="599"/>
      <c r="H6" s="599"/>
      <c r="I6" s="599"/>
      <c r="J6" s="599"/>
      <c r="K6" s="599"/>
      <c r="L6" s="599"/>
      <c r="M6" s="600"/>
      <c r="N6" s="600"/>
      <c r="O6" s="600"/>
      <c r="P6" s="366"/>
      <c r="W6" s="365"/>
    </row>
    <row r="7" spans="1:25" s="367" customFormat="1" ht="15" customHeight="1" x14ac:dyDescent="0.2">
      <c r="A7" s="98"/>
      <c r="B7" s="601" t="s">
        <v>22</v>
      </c>
      <c r="C7" s="601"/>
      <c r="D7" s="604" t="s">
        <v>23</v>
      </c>
      <c r="E7" s="368"/>
      <c r="F7" s="607" t="s">
        <v>137</v>
      </c>
      <c r="G7" s="607"/>
      <c r="H7" s="607"/>
      <c r="I7" s="607"/>
      <c r="J7" s="607"/>
      <c r="K7" s="607"/>
      <c r="L7" s="607"/>
      <c r="M7" s="607"/>
      <c r="N7" s="607"/>
      <c r="O7" s="607"/>
      <c r="P7" s="607"/>
      <c r="Q7" s="607"/>
      <c r="R7" s="607"/>
      <c r="S7" s="607"/>
      <c r="T7" s="607"/>
      <c r="U7" s="607"/>
      <c r="V7" s="607"/>
      <c r="W7" s="369"/>
      <c r="X7" s="604" t="s">
        <v>138</v>
      </c>
      <c r="Y7" s="604"/>
    </row>
    <row r="8" spans="1:25" s="367" customFormat="1" ht="36" customHeight="1" x14ac:dyDescent="0.2">
      <c r="A8" s="98"/>
      <c r="B8" s="602"/>
      <c r="C8" s="602"/>
      <c r="D8" s="605"/>
      <c r="E8" s="370"/>
      <c r="F8" s="607" t="s">
        <v>110</v>
      </c>
      <c r="G8" s="607"/>
      <c r="H8" s="368"/>
      <c r="I8" s="607" t="s">
        <v>109</v>
      </c>
      <c r="J8" s="607"/>
      <c r="K8" s="371"/>
      <c r="L8" s="607" t="s">
        <v>115</v>
      </c>
      <c r="M8" s="607"/>
      <c r="N8" s="371"/>
      <c r="O8" s="607" t="s">
        <v>116</v>
      </c>
      <c r="P8" s="607"/>
      <c r="Q8" s="372"/>
      <c r="R8" s="607" t="s">
        <v>108</v>
      </c>
      <c r="S8" s="607"/>
      <c r="T8" s="373"/>
      <c r="U8" s="607" t="s">
        <v>107</v>
      </c>
      <c r="V8" s="607"/>
      <c r="W8" s="374"/>
      <c r="X8" s="606"/>
      <c r="Y8" s="606"/>
    </row>
    <row r="9" spans="1:25" s="367" customFormat="1" ht="15" customHeight="1" x14ac:dyDescent="0.2">
      <c r="A9" s="99"/>
      <c r="B9" s="603"/>
      <c r="C9" s="603"/>
      <c r="D9" s="606"/>
      <c r="E9" s="375"/>
      <c r="F9" s="105" t="s">
        <v>13</v>
      </c>
      <c r="G9" s="105" t="s">
        <v>14</v>
      </c>
      <c r="H9" s="375"/>
      <c r="I9" s="105" t="s">
        <v>13</v>
      </c>
      <c r="J9" s="105" t="s">
        <v>14</v>
      </c>
      <c r="K9" s="376"/>
      <c r="L9" s="105" t="s">
        <v>13</v>
      </c>
      <c r="M9" s="105" t="s">
        <v>14</v>
      </c>
      <c r="N9" s="376"/>
      <c r="O9" s="105" t="s">
        <v>13</v>
      </c>
      <c r="P9" s="105" t="s">
        <v>14</v>
      </c>
      <c r="Q9" s="377"/>
      <c r="R9" s="105" t="s">
        <v>13</v>
      </c>
      <c r="S9" s="105" t="s">
        <v>14</v>
      </c>
      <c r="T9" s="377"/>
      <c r="U9" s="105" t="s">
        <v>13</v>
      </c>
      <c r="V9" s="105" t="s">
        <v>14</v>
      </c>
      <c r="W9" s="377"/>
      <c r="X9" s="105" t="s">
        <v>13</v>
      </c>
      <c r="Y9" s="105" t="s">
        <v>14</v>
      </c>
    </row>
    <row r="10" spans="1:25" s="367" customFormat="1" ht="6" customHeight="1" x14ac:dyDescent="0.2">
      <c r="A10" s="100"/>
      <c r="B10" s="378"/>
      <c r="C10" s="378"/>
      <c r="D10" s="379"/>
      <c r="E10" s="379"/>
      <c r="F10" s="379"/>
      <c r="G10" s="380"/>
      <c r="H10" s="380"/>
      <c r="I10" s="381"/>
      <c r="J10" s="382"/>
      <c r="K10" s="382"/>
      <c r="L10" s="382"/>
      <c r="M10" s="382"/>
      <c r="N10" s="382"/>
      <c r="O10" s="382"/>
      <c r="P10" s="382"/>
    </row>
    <row r="11" spans="1:25" s="385" customFormat="1" ht="12.75" customHeight="1" x14ac:dyDescent="0.2">
      <c r="A11" s="101"/>
      <c r="B11" s="106" t="s">
        <v>5</v>
      </c>
      <c r="C11" s="383"/>
      <c r="D11" s="159">
        <v>35662946.186790802</v>
      </c>
      <c r="E11" s="384"/>
      <c r="F11" s="159">
        <v>14653183.8071758</v>
      </c>
      <c r="G11" s="159">
        <v>41.3602254511</v>
      </c>
      <c r="H11" s="384"/>
      <c r="I11" s="159">
        <v>5868412.4659431204</v>
      </c>
      <c r="J11" s="159">
        <v>16.603801532599999</v>
      </c>
      <c r="K11" s="50"/>
      <c r="L11" s="159">
        <v>5364601.50191049</v>
      </c>
      <c r="M11" s="159">
        <v>15.185950066</v>
      </c>
      <c r="N11" s="384"/>
      <c r="O11" s="159">
        <v>15855322.7516324</v>
      </c>
      <c r="P11" s="159">
        <v>44.750215086600001</v>
      </c>
      <c r="Q11" s="384"/>
      <c r="R11" s="159">
        <v>3843510.4926221701</v>
      </c>
      <c r="S11" s="159">
        <v>10.879298330099999</v>
      </c>
      <c r="T11" s="51"/>
      <c r="U11" s="159">
        <v>2896364.3727774201</v>
      </c>
      <c r="V11" s="159">
        <v>8.2050191117000004</v>
      </c>
      <c r="X11" s="159">
        <v>13980858.6217684</v>
      </c>
      <c r="Y11" s="159">
        <v>39.514146868700003</v>
      </c>
    </row>
    <row r="12" spans="1:25" s="385" customFormat="1" ht="6" customHeight="1" x14ac:dyDescent="0.2">
      <c r="A12" s="102"/>
      <c r="B12" s="107"/>
      <c r="C12" s="383"/>
      <c r="D12" s="95"/>
      <c r="E12" s="384"/>
      <c r="F12" s="95"/>
      <c r="G12" s="96"/>
      <c r="H12" s="384"/>
      <c r="I12" s="95"/>
      <c r="J12" s="96"/>
      <c r="K12" s="50"/>
      <c r="L12" s="95"/>
      <c r="M12" s="96"/>
      <c r="N12" s="384"/>
      <c r="O12" s="95"/>
      <c r="P12" s="96"/>
      <c r="Q12" s="384"/>
      <c r="R12" s="95"/>
      <c r="S12" s="96"/>
      <c r="T12" s="50"/>
      <c r="U12" s="95"/>
      <c r="V12" s="96"/>
      <c r="X12" s="95"/>
      <c r="Y12" s="96"/>
    </row>
    <row r="13" spans="1:25" s="367" customFormat="1" ht="12.75" customHeight="1" x14ac:dyDescent="0.2">
      <c r="A13" s="102"/>
      <c r="B13" s="13" t="s">
        <v>26</v>
      </c>
      <c r="C13" s="386"/>
      <c r="D13" s="160">
        <v>401693.89670143899</v>
      </c>
      <c r="E13" s="387"/>
      <c r="F13" s="160">
        <v>108044.547316592</v>
      </c>
      <c r="G13" s="160">
        <v>27.5364762546</v>
      </c>
      <c r="H13" s="387"/>
      <c r="I13" s="160">
        <v>39084.9571628458</v>
      </c>
      <c r="J13" s="160">
        <v>9.9737885505000001</v>
      </c>
      <c r="K13" s="50"/>
      <c r="L13" s="160">
        <v>32072.0628192558</v>
      </c>
      <c r="M13" s="160">
        <v>8.2495088627000008</v>
      </c>
      <c r="N13" s="387"/>
      <c r="O13" s="160">
        <v>131642.52595527601</v>
      </c>
      <c r="P13" s="160">
        <v>33.521664203699999</v>
      </c>
      <c r="Q13" s="387"/>
      <c r="R13" s="160">
        <v>21286.911924182299</v>
      </c>
      <c r="S13" s="160">
        <v>5.4636484481999998</v>
      </c>
      <c r="T13" s="52"/>
      <c r="U13" s="160">
        <v>26998.271588481901</v>
      </c>
      <c r="V13" s="160">
        <v>6.9282539506000003</v>
      </c>
      <c r="X13" s="160">
        <v>220562.08836183499</v>
      </c>
      <c r="Y13" s="160">
        <v>56.689440309299997</v>
      </c>
    </row>
    <row r="14" spans="1:25" s="367" customFormat="1" ht="12.75" customHeight="1" x14ac:dyDescent="0.2">
      <c r="A14" s="102"/>
      <c r="B14" s="13" t="s">
        <v>27</v>
      </c>
      <c r="C14" s="386"/>
      <c r="D14" s="160">
        <v>1194812.8712261601</v>
      </c>
      <c r="E14" s="387"/>
      <c r="F14" s="160">
        <v>429972.63684445602</v>
      </c>
      <c r="G14" s="160">
        <v>36.970248158899999</v>
      </c>
      <c r="H14" s="387"/>
      <c r="I14" s="160">
        <v>249417.584610561</v>
      </c>
      <c r="J14" s="160">
        <v>21.6183003949</v>
      </c>
      <c r="K14" s="50"/>
      <c r="L14" s="160">
        <v>224367.399672878</v>
      </c>
      <c r="M14" s="160">
        <v>19.3977880626</v>
      </c>
      <c r="N14" s="387"/>
      <c r="O14" s="160">
        <v>374285.77406512998</v>
      </c>
      <c r="P14" s="160">
        <v>32.456944293699998</v>
      </c>
      <c r="Q14" s="387"/>
      <c r="R14" s="160">
        <v>150054.72385302701</v>
      </c>
      <c r="S14" s="160">
        <v>13.031491966999999</v>
      </c>
      <c r="T14" s="52"/>
      <c r="U14" s="160">
        <v>139578.412446359</v>
      </c>
      <c r="V14" s="160">
        <v>12.162187812599999</v>
      </c>
      <c r="X14" s="160">
        <v>584285.41577937698</v>
      </c>
      <c r="Y14" s="160">
        <v>50.411591262800002</v>
      </c>
    </row>
    <row r="15" spans="1:25" s="367" customFormat="1" ht="12.75" customHeight="1" x14ac:dyDescent="0.2">
      <c r="A15" s="99"/>
      <c r="B15" s="13" t="s">
        <v>28</v>
      </c>
      <c r="C15" s="386"/>
      <c r="D15" s="160">
        <v>256444.37902674099</v>
      </c>
      <c r="E15" s="387"/>
      <c r="F15" s="160">
        <v>94614.897149919096</v>
      </c>
      <c r="G15" s="160">
        <v>39.017366828999997</v>
      </c>
      <c r="H15" s="387"/>
      <c r="I15" s="160">
        <v>42587.474688224502</v>
      </c>
      <c r="J15" s="160">
        <v>17.298891558400001</v>
      </c>
      <c r="K15" s="50"/>
      <c r="L15" s="160">
        <v>28055.497393771999</v>
      </c>
      <c r="M15" s="160">
        <v>11.4646823887</v>
      </c>
      <c r="N15" s="387"/>
      <c r="O15" s="160">
        <v>100716.06127572501</v>
      </c>
      <c r="P15" s="160">
        <v>41.088554472200002</v>
      </c>
      <c r="Q15" s="387"/>
      <c r="R15" s="160">
        <v>24168.306948961999</v>
      </c>
      <c r="S15" s="160">
        <v>9.8098641612000002</v>
      </c>
      <c r="T15" s="52"/>
      <c r="U15" s="160">
        <v>21379.908102338599</v>
      </c>
      <c r="V15" s="160">
        <v>8.7820276153000005</v>
      </c>
      <c r="X15" s="160">
        <v>124290.827251847</v>
      </c>
      <c r="Y15" s="160">
        <v>49.8610470359</v>
      </c>
    </row>
    <row r="16" spans="1:25" s="367" customFormat="1" ht="12.75" customHeight="1" x14ac:dyDescent="0.2">
      <c r="A16" s="99"/>
      <c r="B16" s="13" t="s">
        <v>29</v>
      </c>
      <c r="C16" s="386"/>
      <c r="D16" s="160">
        <v>273665.04189377202</v>
      </c>
      <c r="E16" s="387"/>
      <c r="F16" s="160">
        <v>143730.36230595401</v>
      </c>
      <c r="G16" s="160">
        <v>54.202392557499998</v>
      </c>
      <c r="H16" s="387"/>
      <c r="I16" s="160">
        <v>91873.232273996895</v>
      </c>
      <c r="J16" s="160">
        <v>34.752811192199999</v>
      </c>
      <c r="K16" s="50"/>
      <c r="L16" s="160">
        <v>77006.565798668496</v>
      </c>
      <c r="M16" s="160">
        <v>29.125771472699999</v>
      </c>
      <c r="N16" s="387"/>
      <c r="O16" s="160">
        <v>178411.92090562001</v>
      </c>
      <c r="P16" s="160">
        <v>66.793264491499997</v>
      </c>
      <c r="Q16" s="387"/>
      <c r="R16" s="160">
        <v>61083.5041073873</v>
      </c>
      <c r="S16" s="160">
        <v>23.341992656399999</v>
      </c>
      <c r="T16" s="52"/>
      <c r="U16" s="160">
        <v>39406.377367986803</v>
      </c>
      <c r="V16" s="160">
        <v>15.075408830800001</v>
      </c>
      <c r="X16" s="160">
        <v>61773.518244778803</v>
      </c>
      <c r="Y16" s="160">
        <v>23.781248453100002</v>
      </c>
    </row>
    <row r="17" spans="1:25" s="367" customFormat="1" ht="12.75" customHeight="1" x14ac:dyDescent="0.2">
      <c r="A17" s="99"/>
      <c r="B17" s="13" t="s">
        <v>30</v>
      </c>
      <c r="C17" s="386"/>
      <c r="D17" s="128">
        <v>939555.89204201801</v>
      </c>
      <c r="E17" s="387"/>
      <c r="F17" s="128">
        <v>333519.43267521198</v>
      </c>
      <c r="G17" s="128">
        <v>36.3551769842</v>
      </c>
      <c r="H17" s="387"/>
      <c r="I17" s="128">
        <v>162230.74223944999</v>
      </c>
      <c r="J17" s="128">
        <v>17.7171885554</v>
      </c>
      <c r="K17" s="50"/>
      <c r="L17" s="128">
        <v>106233.304987386</v>
      </c>
      <c r="M17" s="128">
        <v>11.709373687999999</v>
      </c>
      <c r="N17" s="387"/>
      <c r="O17" s="128">
        <v>354909.60970630002</v>
      </c>
      <c r="P17" s="128">
        <v>38.773542940600002</v>
      </c>
      <c r="Q17" s="387"/>
      <c r="R17" s="128">
        <v>95731.589479900504</v>
      </c>
      <c r="S17" s="128">
        <v>10.5640712756</v>
      </c>
      <c r="T17" s="53"/>
      <c r="U17" s="128">
        <v>102138.983058964</v>
      </c>
      <c r="V17" s="128">
        <v>11.218020363300001</v>
      </c>
      <c r="X17" s="128">
        <v>436217.03140642401</v>
      </c>
      <c r="Y17" s="128">
        <v>47.751434417399999</v>
      </c>
    </row>
    <row r="18" spans="1:25" s="367" customFormat="1" ht="12.75" customHeight="1" x14ac:dyDescent="0.2">
      <c r="A18" s="103"/>
      <c r="B18" s="13" t="s">
        <v>31</v>
      </c>
      <c r="C18" s="386"/>
      <c r="D18" s="128">
        <v>243697.01868438401</v>
      </c>
      <c r="E18" s="387"/>
      <c r="F18" s="128">
        <v>75492.161749233695</v>
      </c>
      <c r="G18" s="128">
        <v>32.245422824400002</v>
      </c>
      <c r="H18" s="387"/>
      <c r="I18" s="128">
        <v>26011.060687302201</v>
      </c>
      <c r="J18" s="128">
        <v>11.206691300199999</v>
      </c>
      <c r="K18" s="50"/>
      <c r="L18" s="128">
        <v>22132.070325954599</v>
      </c>
      <c r="M18" s="128">
        <v>9.5827141077999993</v>
      </c>
      <c r="N18" s="387"/>
      <c r="O18" s="128">
        <v>97859.957929747397</v>
      </c>
      <c r="P18" s="128">
        <v>41.536186929400003</v>
      </c>
      <c r="Q18" s="387"/>
      <c r="R18" s="128">
        <v>16108.0565367945</v>
      </c>
      <c r="S18" s="128">
        <v>7.0008208038999999</v>
      </c>
      <c r="T18" s="53"/>
      <c r="U18" s="128">
        <v>21738.610653487201</v>
      </c>
      <c r="V18" s="128">
        <v>9.3745640282</v>
      </c>
      <c r="X18" s="128">
        <v>117199.418157611</v>
      </c>
      <c r="Y18" s="128">
        <v>49.951487533399998</v>
      </c>
    </row>
    <row r="19" spans="1:25" s="367" customFormat="1" ht="12.75" customHeight="1" x14ac:dyDescent="0.2">
      <c r="A19" s="103"/>
      <c r="B19" s="13" t="s">
        <v>32</v>
      </c>
      <c r="C19" s="386"/>
      <c r="D19" s="160">
        <v>1515154.20276339</v>
      </c>
      <c r="E19" s="387"/>
      <c r="F19" s="160">
        <v>826799.610109556</v>
      </c>
      <c r="G19" s="160">
        <v>56.150080317099999</v>
      </c>
      <c r="H19" s="387"/>
      <c r="I19" s="160">
        <v>415992.39259955799</v>
      </c>
      <c r="J19" s="160">
        <v>28.628350618700001</v>
      </c>
      <c r="K19" s="50"/>
      <c r="L19" s="160">
        <v>405821.92325204698</v>
      </c>
      <c r="M19" s="160">
        <v>28.139110133599999</v>
      </c>
      <c r="N19" s="387"/>
      <c r="O19" s="160">
        <v>894096.39301891404</v>
      </c>
      <c r="P19" s="160">
        <v>61.126577254300003</v>
      </c>
      <c r="Q19" s="387"/>
      <c r="R19" s="160">
        <v>353592.61924981198</v>
      </c>
      <c r="S19" s="160">
        <v>24.480727716400001</v>
      </c>
      <c r="T19" s="52"/>
      <c r="U19" s="160">
        <v>133140.87891899201</v>
      </c>
      <c r="V19" s="160">
        <v>9.3933056688000001</v>
      </c>
      <c r="X19" s="160">
        <v>355291.204725463</v>
      </c>
      <c r="Y19" s="160">
        <v>24.730735798800001</v>
      </c>
    </row>
    <row r="20" spans="1:25" s="367" customFormat="1" ht="12.75" customHeight="1" x14ac:dyDescent="0.2">
      <c r="A20" s="104"/>
      <c r="B20" s="13" t="s">
        <v>33</v>
      </c>
      <c r="C20" s="386"/>
      <c r="D20" s="160">
        <v>1177493.9072535899</v>
      </c>
      <c r="E20" s="387"/>
      <c r="F20" s="160">
        <v>392540.33588895103</v>
      </c>
      <c r="G20" s="160">
        <v>34.132539587899998</v>
      </c>
      <c r="H20" s="387"/>
      <c r="I20" s="160">
        <v>158213.96588061901</v>
      </c>
      <c r="J20" s="160">
        <v>13.7815718607</v>
      </c>
      <c r="K20" s="50"/>
      <c r="L20" s="160">
        <v>140930.965448142</v>
      </c>
      <c r="M20" s="160">
        <v>12.3198975294</v>
      </c>
      <c r="N20" s="387"/>
      <c r="O20" s="160">
        <v>331835.698416906</v>
      </c>
      <c r="P20" s="160">
        <v>28.8777226431</v>
      </c>
      <c r="Q20" s="387"/>
      <c r="R20" s="160">
        <v>92217.285392565507</v>
      </c>
      <c r="S20" s="160">
        <v>8.0474999184999998</v>
      </c>
      <c r="T20" s="52"/>
      <c r="U20" s="160">
        <v>79725.898448131993</v>
      </c>
      <c r="V20" s="160">
        <v>6.9792146705000002</v>
      </c>
      <c r="X20" s="160">
        <v>629358.76299376006</v>
      </c>
      <c r="Y20" s="160">
        <v>54.611539834299997</v>
      </c>
    </row>
    <row r="21" spans="1:25" s="367" customFormat="1" ht="12.75" customHeight="1" x14ac:dyDescent="0.2">
      <c r="A21" s="104"/>
      <c r="B21" s="13" t="s">
        <v>34</v>
      </c>
      <c r="C21" s="386"/>
      <c r="D21" s="160">
        <v>2802756.3492487799</v>
      </c>
      <c r="E21" s="387"/>
      <c r="F21" s="160">
        <v>859046.71858425497</v>
      </c>
      <c r="G21" s="160">
        <v>31.395316778800002</v>
      </c>
      <c r="H21" s="387"/>
      <c r="I21" s="160">
        <v>343975.83016155398</v>
      </c>
      <c r="J21" s="160">
        <v>12.616939673099999</v>
      </c>
      <c r="K21" s="50"/>
      <c r="L21" s="160">
        <v>322919.205958276</v>
      </c>
      <c r="M21" s="160">
        <v>11.8479586665</v>
      </c>
      <c r="N21" s="387"/>
      <c r="O21" s="160">
        <v>948549.42647813598</v>
      </c>
      <c r="P21" s="160">
        <v>34.599204352299999</v>
      </c>
      <c r="Q21" s="387"/>
      <c r="R21" s="160">
        <v>214039.76257169401</v>
      </c>
      <c r="S21" s="160">
        <v>7.8446982492000004</v>
      </c>
      <c r="T21" s="52"/>
      <c r="U21" s="160">
        <v>229105.10166160201</v>
      </c>
      <c r="V21" s="160">
        <v>8.4040780864000002</v>
      </c>
      <c r="X21" s="160">
        <v>1462872.0476857701</v>
      </c>
      <c r="Y21" s="160">
        <v>53.333049979800002</v>
      </c>
    </row>
    <row r="22" spans="1:25" s="367" customFormat="1" ht="12.75" customHeight="1" x14ac:dyDescent="0.2">
      <c r="A22" s="104"/>
      <c r="B22" s="13" t="s">
        <v>35</v>
      </c>
      <c r="C22" s="386"/>
      <c r="D22" s="160">
        <v>519941.24414162798</v>
      </c>
      <c r="E22" s="387"/>
      <c r="F22" s="160">
        <v>243528.24663516</v>
      </c>
      <c r="G22" s="160">
        <v>47.867882650600002</v>
      </c>
      <c r="H22" s="387"/>
      <c r="I22" s="160">
        <v>105969.83865628501</v>
      </c>
      <c r="J22" s="160">
        <v>20.965139066500001</v>
      </c>
      <c r="K22" s="50"/>
      <c r="L22" s="160">
        <v>77401.755911704604</v>
      </c>
      <c r="M22" s="160">
        <v>15.3796053662</v>
      </c>
      <c r="N22" s="387"/>
      <c r="O22" s="160">
        <v>217424.09590059699</v>
      </c>
      <c r="P22" s="160">
        <v>42.9863059268</v>
      </c>
      <c r="Q22" s="387"/>
      <c r="R22" s="160">
        <v>77427.546084874994</v>
      </c>
      <c r="S22" s="160">
        <v>15.350682361800001</v>
      </c>
      <c r="T22" s="52"/>
      <c r="U22" s="160">
        <v>47368.238902536898</v>
      </c>
      <c r="V22" s="160">
        <v>9.4924665187000006</v>
      </c>
      <c r="X22" s="160">
        <v>193977.34264732801</v>
      </c>
      <c r="Y22" s="160">
        <v>38.350835036699998</v>
      </c>
    </row>
    <row r="23" spans="1:25" s="367" customFormat="1" ht="12.75" customHeight="1" x14ac:dyDescent="0.2">
      <c r="A23" s="104"/>
      <c r="B23" s="13" t="s">
        <v>36</v>
      </c>
      <c r="C23" s="386"/>
      <c r="D23" s="160">
        <v>1650893.0803463401</v>
      </c>
      <c r="E23" s="387"/>
      <c r="F23" s="160">
        <v>661638.41352368996</v>
      </c>
      <c r="G23" s="160">
        <v>41.288694228700002</v>
      </c>
      <c r="H23" s="387"/>
      <c r="I23" s="160">
        <v>212149.95958689699</v>
      </c>
      <c r="J23" s="160">
        <v>13.3387827916</v>
      </c>
      <c r="K23" s="50"/>
      <c r="L23" s="160">
        <v>252476.23283545001</v>
      </c>
      <c r="M23" s="160">
        <v>15.8710442639</v>
      </c>
      <c r="N23" s="387"/>
      <c r="O23" s="160">
        <v>676993.57795662305</v>
      </c>
      <c r="P23" s="160">
        <v>42.3867638997</v>
      </c>
      <c r="Q23" s="387"/>
      <c r="R23" s="160">
        <v>128560.68771233399</v>
      </c>
      <c r="S23" s="160">
        <v>8.1131285504000008</v>
      </c>
      <c r="T23" s="52"/>
      <c r="U23" s="160">
        <v>136323.70624173299</v>
      </c>
      <c r="V23" s="160">
        <v>8.5571064120999996</v>
      </c>
      <c r="X23" s="160">
        <v>725964.20115692099</v>
      </c>
      <c r="Y23" s="160">
        <v>45.085188326900003</v>
      </c>
    </row>
    <row r="24" spans="1:25" s="367" customFormat="1" ht="12.75" customHeight="1" x14ac:dyDescent="0.2">
      <c r="A24" s="104"/>
      <c r="B24" s="13" t="s">
        <v>37</v>
      </c>
      <c r="C24" s="386"/>
      <c r="D24" s="160">
        <v>985997.54227468802</v>
      </c>
      <c r="E24" s="387"/>
      <c r="F24" s="160">
        <v>467457.26559525199</v>
      </c>
      <c r="G24" s="160">
        <v>49.063268095700003</v>
      </c>
      <c r="H24" s="387"/>
      <c r="I24" s="160">
        <v>209828.155953971</v>
      </c>
      <c r="J24" s="160">
        <v>22.173993254799999</v>
      </c>
      <c r="K24" s="50"/>
      <c r="L24" s="160">
        <v>232486.83824019201</v>
      </c>
      <c r="M24" s="160">
        <v>24.518355414199998</v>
      </c>
      <c r="N24" s="387"/>
      <c r="O24" s="160">
        <v>561243.71414181299</v>
      </c>
      <c r="P24" s="160">
        <v>58.9161542919</v>
      </c>
      <c r="Q24" s="387"/>
      <c r="R24" s="160">
        <v>140384.44377345499</v>
      </c>
      <c r="S24" s="160">
        <v>14.9242171457</v>
      </c>
      <c r="T24" s="52"/>
      <c r="U24" s="160">
        <v>69897.368654428705</v>
      </c>
      <c r="V24" s="160">
        <v>7.4228116651000002</v>
      </c>
      <c r="X24" s="160">
        <v>285407.67613773898</v>
      </c>
      <c r="Y24" s="160">
        <v>29.899064019400001</v>
      </c>
    </row>
    <row r="25" spans="1:25" s="367" customFormat="1" ht="12.75" customHeight="1" x14ac:dyDescent="0.2">
      <c r="A25" s="104"/>
      <c r="B25" s="13" t="s">
        <v>38</v>
      </c>
      <c r="C25" s="386"/>
      <c r="D25" s="160">
        <v>896937.23275720899</v>
      </c>
      <c r="E25" s="387"/>
      <c r="F25" s="160">
        <v>399150.59699321998</v>
      </c>
      <c r="G25" s="160">
        <v>45.806556616599998</v>
      </c>
      <c r="H25" s="387"/>
      <c r="I25" s="160">
        <v>147100.775664424</v>
      </c>
      <c r="J25" s="160">
        <v>17.016922337600001</v>
      </c>
      <c r="K25" s="50"/>
      <c r="L25" s="160">
        <v>140932.85946848101</v>
      </c>
      <c r="M25" s="160">
        <v>16.311962542700002</v>
      </c>
      <c r="N25" s="387"/>
      <c r="O25" s="160">
        <v>420518.38535629702</v>
      </c>
      <c r="P25" s="160">
        <v>48.1290968363</v>
      </c>
      <c r="Q25" s="387"/>
      <c r="R25" s="160">
        <v>92926.269818619898</v>
      </c>
      <c r="S25" s="160">
        <v>10.801706771299999</v>
      </c>
      <c r="T25" s="52"/>
      <c r="U25" s="160">
        <v>85534.046584772106</v>
      </c>
      <c r="V25" s="160">
        <v>9.9046690824999999</v>
      </c>
      <c r="X25" s="160">
        <v>331780.91817203502</v>
      </c>
      <c r="Y25" s="160">
        <v>38.221016910899998</v>
      </c>
    </row>
    <row r="26" spans="1:25" s="367" customFormat="1" ht="12.75" customHeight="1" x14ac:dyDescent="0.2">
      <c r="A26" s="104"/>
      <c r="B26" s="13" t="s">
        <v>39</v>
      </c>
      <c r="C26" s="386"/>
      <c r="D26" s="160">
        <v>2397392.87652244</v>
      </c>
      <c r="E26" s="387"/>
      <c r="F26" s="160">
        <v>682858.51060247095</v>
      </c>
      <c r="G26" s="160">
        <v>29.2761174326</v>
      </c>
      <c r="H26" s="387"/>
      <c r="I26" s="160">
        <v>261606.32444943799</v>
      </c>
      <c r="J26" s="160">
        <v>11.2770292013</v>
      </c>
      <c r="K26" s="50"/>
      <c r="L26" s="160">
        <v>260730.644101304</v>
      </c>
      <c r="M26" s="160">
        <v>11.202414672</v>
      </c>
      <c r="N26" s="387"/>
      <c r="O26" s="160">
        <v>943260.88309551799</v>
      </c>
      <c r="P26" s="160">
        <v>40.252000930900003</v>
      </c>
      <c r="Q26" s="387"/>
      <c r="R26" s="160">
        <v>164553.562820461</v>
      </c>
      <c r="S26" s="160">
        <v>7.0903391346999998</v>
      </c>
      <c r="T26" s="52"/>
      <c r="U26" s="160">
        <v>232231.679351261</v>
      </c>
      <c r="V26" s="160">
        <v>9.9738936805999998</v>
      </c>
      <c r="X26" s="160">
        <v>1187019.09065302</v>
      </c>
      <c r="Y26" s="160">
        <v>51.090678434200001</v>
      </c>
    </row>
    <row r="27" spans="1:25" s="367" customFormat="1" ht="12.75" customHeight="1" x14ac:dyDescent="0.2">
      <c r="A27" s="104"/>
      <c r="B27" s="13" t="s">
        <v>40</v>
      </c>
      <c r="C27" s="386"/>
      <c r="D27" s="160">
        <v>4873947.8104331996</v>
      </c>
      <c r="E27" s="387"/>
      <c r="F27" s="160">
        <v>1947183.8386558299</v>
      </c>
      <c r="G27" s="160">
        <v>41.098248111700002</v>
      </c>
      <c r="H27" s="387"/>
      <c r="I27" s="160">
        <v>641451.33457416703</v>
      </c>
      <c r="J27" s="160">
        <v>13.7201245927</v>
      </c>
      <c r="K27" s="50"/>
      <c r="L27" s="160">
        <v>655036.99916728702</v>
      </c>
      <c r="M27" s="160">
        <v>14.0989735264</v>
      </c>
      <c r="N27" s="387"/>
      <c r="O27" s="160">
        <v>1927455.4238068501</v>
      </c>
      <c r="P27" s="160">
        <v>40.652585019299998</v>
      </c>
      <c r="Q27" s="387"/>
      <c r="R27" s="160">
        <v>373699.28513699298</v>
      </c>
      <c r="S27" s="160">
        <v>7.9775318552999996</v>
      </c>
      <c r="T27" s="52"/>
      <c r="U27" s="160">
        <v>388120.73984309903</v>
      </c>
      <c r="V27" s="160">
        <v>8.3704085108000008</v>
      </c>
      <c r="X27" s="160">
        <v>2115602.8738256702</v>
      </c>
      <c r="Y27" s="160">
        <v>45.042516653200003</v>
      </c>
    </row>
    <row r="28" spans="1:25" s="367" customFormat="1" ht="12.75" customHeight="1" x14ac:dyDescent="0.2">
      <c r="A28" s="104"/>
      <c r="B28" s="13" t="s">
        <v>41</v>
      </c>
      <c r="C28" s="386"/>
      <c r="D28" s="160">
        <v>1368761.7985574501</v>
      </c>
      <c r="E28" s="387"/>
      <c r="F28" s="160">
        <v>571254.29956529301</v>
      </c>
      <c r="G28" s="160">
        <v>43.398323253999997</v>
      </c>
      <c r="H28" s="387"/>
      <c r="I28" s="160">
        <v>217900.04331997299</v>
      </c>
      <c r="J28" s="160">
        <v>16.566681821500001</v>
      </c>
      <c r="K28" s="50"/>
      <c r="L28" s="160">
        <v>230577.861372796</v>
      </c>
      <c r="M28" s="160">
        <v>17.612592045300001</v>
      </c>
      <c r="N28" s="387"/>
      <c r="O28" s="160">
        <v>660301.14744640002</v>
      </c>
      <c r="P28" s="160">
        <v>49.758045362099999</v>
      </c>
      <c r="Q28" s="387"/>
      <c r="R28" s="160">
        <v>127397.90737432901</v>
      </c>
      <c r="S28" s="160">
        <v>9.7862781039000009</v>
      </c>
      <c r="T28" s="52"/>
      <c r="U28" s="160">
        <v>143958.794072697</v>
      </c>
      <c r="V28" s="160">
        <v>11.1082715329</v>
      </c>
      <c r="X28" s="160">
        <v>507695.30085083301</v>
      </c>
      <c r="Y28" s="160">
        <v>38.516790524999998</v>
      </c>
    </row>
    <row r="29" spans="1:25" s="367" customFormat="1" ht="12.75" customHeight="1" x14ac:dyDescent="0.2">
      <c r="A29" s="104"/>
      <c r="B29" s="13" t="s">
        <v>42</v>
      </c>
      <c r="C29" s="386"/>
      <c r="D29" s="160">
        <v>610031.22610067902</v>
      </c>
      <c r="E29" s="387"/>
      <c r="F29" s="160">
        <v>299192.61117258098</v>
      </c>
      <c r="G29" s="160">
        <v>50.0530729392</v>
      </c>
      <c r="H29" s="387"/>
      <c r="I29" s="160">
        <v>100233.227334329</v>
      </c>
      <c r="J29" s="160">
        <v>17.074053643199999</v>
      </c>
      <c r="K29" s="50"/>
      <c r="L29" s="160">
        <v>100424.054006037</v>
      </c>
      <c r="M29" s="160">
        <v>17.1482729415</v>
      </c>
      <c r="N29" s="387"/>
      <c r="O29" s="160">
        <v>311245.18611061899</v>
      </c>
      <c r="P29" s="160">
        <v>52.668296065299998</v>
      </c>
      <c r="Q29" s="387"/>
      <c r="R29" s="160">
        <v>65637.055522679395</v>
      </c>
      <c r="S29" s="160">
        <v>11.152671146299999</v>
      </c>
      <c r="T29" s="52"/>
      <c r="U29" s="160">
        <v>44924.412615262801</v>
      </c>
      <c r="V29" s="160">
        <v>7.7206533925</v>
      </c>
      <c r="X29" s="160">
        <v>215439.468359508</v>
      </c>
      <c r="Y29" s="160">
        <v>37.0558874436</v>
      </c>
    </row>
    <row r="30" spans="1:25" s="367" customFormat="1" ht="12.75" customHeight="1" x14ac:dyDescent="0.2">
      <c r="A30" s="104"/>
      <c r="B30" s="13" t="s">
        <v>43</v>
      </c>
      <c r="C30" s="386"/>
      <c r="D30" s="160">
        <v>376533.335776983</v>
      </c>
      <c r="E30" s="387"/>
      <c r="F30" s="160">
        <v>140171.853693496</v>
      </c>
      <c r="G30" s="160">
        <v>38.359186644300003</v>
      </c>
      <c r="H30" s="387"/>
      <c r="I30" s="160">
        <v>63211.667049901298</v>
      </c>
      <c r="J30" s="160">
        <v>17.482901458499999</v>
      </c>
      <c r="K30" s="50"/>
      <c r="L30" s="160">
        <v>49415.012142455504</v>
      </c>
      <c r="M30" s="160">
        <v>13.6781772372</v>
      </c>
      <c r="N30" s="387"/>
      <c r="O30" s="160">
        <v>172584.89994436901</v>
      </c>
      <c r="P30" s="160">
        <v>47.116888193500003</v>
      </c>
      <c r="Q30" s="387"/>
      <c r="R30" s="160">
        <v>35823.250147332103</v>
      </c>
      <c r="S30" s="160">
        <v>9.9519858550000002</v>
      </c>
      <c r="T30" s="52"/>
      <c r="U30" s="160">
        <v>22770.823422591999</v>
      </c>
      <c r="V30" s="160">
        <v>6.2948379902999996</v>
      </c>
      <c r="X30" s="160">
        <v>156471.87578309301</v>
      </c>
      <c r="Y30" s="160">
        <v>42.993197110399997</v>
      </c>
    </row>
    <row r="31" spans="1:25" s="367" customFormat="1" ht="12.75" customHeight="1" x14ac:dyDescent="0.2">
      <c r="A31" s="104"/>
      <c r="B31" s="13" t="s">
        <v>44</v>
      </c>
      <c r="C31" s="386"/>
      <c r="D31" s="160">
        <v>1738437.8778178</v>
      </c>
      <c r="E31" s="387"/>
      <c r="F31" s="160">
        <v>617488.98475174198</v>
      </c>
      <c r="G31" s="160">
        <v>37.040094139600001</v>
      </c>
      <c r="H31" s="387"/>
      <c r="I31" s="160">
        <v>232929.757150252</v>
      </c>
      <c r="J31" s="160">
        <v>13.9310021977</v>
      </c>
      <c r="K31" s="50"/>
      <c r="L31" s="160">
        <v>170424.97588443401</v>
      </c>
      <c r="M31" s="160">
        <v>10.1667244316</v>
      </c>
      <c r="N31" s="387"/>
      <c r="O31" s="160">
        <v>660682.54423165799</v>
      </c>
      <c r="P31" s="160">
        <v>39.166731218800003</v>
      </c>
      <c r="Q31" s="387"/>
      <c r="R31" s="160">
        <v>108757.479423272</v>
      </c>
      <c r="S31" s="160">
        <v>6.5607399314999997</v>
      </c>
      <c r="T31" s="52"/>
      <c r="U31" s="160">
        <v>176478.81331107899</v>
      </c>
      <c r="V31" s="160">
        <v>10.573945105</v>
      </c>
      <c r="X31" s="160">
        <v>870576.89909826603</v>
      </c>
      <c r="Y31" s="160">
        <v>51.258774424199999</v>
      </c>
    </row>
    <row r="32" spans="1:25" s="367" customFormat="1" ht="12.75" customHeight="1" x14ac:dyDescent="0.2">
      <c r="A32" s="104"/>
      <c r="B32" s="13" t="s">
        <v>45</v>
      </c>
      <c r="C32" s="386"/>
      <c r="D32" s="160">
        <v>1203423.9761956099</v>
      </c>
      <c r="E32" s="387"/>
      <c r="F32" s="160">
        <v>664728.29647750803</v>
      </c>
      <c r="G32" s="160">
        <v>56.852247164799998</v>
      </c>
      <c r="H32" s="387"/>
      <c r="I32" s="160">
        <v>276046.23139907402</v>
      </c>
      <c r="J32" s="160">
        <v>24.3319547179</v>
      </c>
      <c r="K32" s="50"/>
      <c r="L32" s="160">
        <v>285219.15283343702</v>
      </c>
      <c r="M32" s="160">
        <v>24.779551727299999</v>
      </c>
      <c r="N32" s="387"/>
      <c r="O32" s="160">
        <v>647779.40355441405</v>
      </c>
      <c r="P32" s="160">
        <v>55.782114013300003</v>
      </c>
      <c r="Q32" s="387"/>
      <c r="R32" s="160">
        <v>202010.499685619</v>
      </c>
      <c r="S32" s="160">
        <v>17.829147227299998</v>
      </c>
      <c r="T32" s="52"/>
      <c r="U32" s="160">
        <v>64789.570857262799</v>
      </c>
      <c r="V32" s="160">
        <v>5.6740265076999998</v>
      </c>
      <c r="X32" s="160">
        <v>331558.50474900898</v>
      </c>
      <c r="Y32" s="160">
        <v>29.154693715400001</v>
      </c>
    </row>
    <row r="33" spans="1:25" s="367" customFormat="1" ht="12.75" customHeight="1" x14ac:dyDescent="0.2">
      <c r="A33" s="104"/>
      <c r="B33" s="13" t="s">
        <v>46</v>
      </c>
      <c r="C33" s="386"/>
      <c r="D33" s="160">
        <v>1815906.8952740801</v>
      </c>
      <c r="E33" s="387"/>
      <c r="F33" s="160">
        <v>891240.46371813095</v>
      </c>
      <c r="G33" s="160">
        <v>50.669888399199998</v>
      </c>
      <c r="H33" s="387"/>
      <c r="I33" s="160">
        <v>278450.73011116899</v>
      </c>
      <c r="J33" s="160">
        <v>16.118059873100002</v>
      </c>
      <c r="K33" s="50"/>
      <c r="L33" s="160">
        <v>252079.87784222601</v>
      </c>
      <c r="M33" s="160">
        <v>14.543950712499999</v>
      </c>
      <c r="N33" s="387"/>
      <c r="O33" s="160">
        <v>945590.53127912199</v>
      </c>
      <c r="P33" s="160">
        <v>54.014828427899999</v>
      </c>
      <c r="Q33" s="387"/>
      <c r="R33" s="160">
        <v>220735.78998089299</v>
      </c>
      <c r="S33" s="160">
        <v>12.866959916200001</v>
      </c>
      <c r="T33" s="52"/>
      <c r="U33" s="160">
        <v>154654.551075077</v>
      </c>
      <c r="V33" s="160">
        <v>8.9845791302000002</v>
      </c>
      <c r="X33" s="160">
        <v>615184.30259782495</v>
      </c>
      <c r="Y33" s="160">
        <v>35.127902890500003</v>
      </c>
    </row>
    <row r="34" spans="1:25" s="367" customFormat="1" ht="12.75" customHeight="1" x14ac:dyDescent="0.2">
      <c r="A34" s="104"/>
      <c r="B34" s="13" t="s">
        <v>47</v>
      </c>
      <c r="C34" s="386"/>
      <c r="D34" s="160">
        <v>715683.99233961198</v>
      </c>
      <c r="E34" s="387"/>
      <c r="F34" s="160">
        <v>239156.04782389599</v>
      </c>
      <c r="G34" s="160">
        <v>35.066531213499999</v>
      </c>
      <c r="H34" s="387"/>
      <c r="I34" s="160">
        <v>96755.839389215398</v>
      </c>
      <c r="J34" s="160">
        <v>14.2234609742</v>
      </c>
      <c r="K34" s="50"/>
      <c r="L34" s="160">
        <v>103576.742770269</v>
      </c>
      <c r="M34" s="160">
        <v>15.331868618</v>
      </c>
      <c r="N34" s="387"/>
      <c r="O34" s="160">
        <v>266740.71877344802</v>
      </c>
      <c r="P34" s="160">
        <v>38.822928340700003</v>
      </c>
      <c r="Q34" s="387"/>
      <c r="R34" s="160">
        <v>64165.365659665797</v>
      </c>
      <c r="S34" s="160">
        <v>9.4617566667999995</v>
      </c>
      <c r="T34" s="52"/>
      <c r="U34" s="160">
        <v>58727.347136810196</v>
      </c>
      <c r="V34" s="160">
        <v>8.6712520022999993</v>
      </c>
      <c r="X34" s="160">
        <v>353505.84714651603</v>
      </c>
      <c r="Y34" s="160">
        <v>51.525576638300002</v>
      </c>
    </row>
    <row r="35" spans="1:25" s="367" customFormat="1" ht="12.75" customHeight="1" x14ac:dyDescent="0.2">
      <c r="A35" s="104"/>
      <c r="B35" s="13" t="s">
        <v>48</v>
      </c>
      <c r="C35" s="386"/>
      <c r="D35" s="160">
        <v>594621.99606358097</v>
      </c>
      <c r="E35" s="387"/>
      <c r="F35" s="160">
        <v>273417.64026152302</v>
      </c>
      <c r="G35" s="160">
        <v>48.1749639174</v>
      </c>
      <c r="H35" s="387"/>
      <c r="I35" s="160">
        <v>138645.37282386699</v>
      </c>
      <c r="J35" s="160">
        <v>24.389512029399999</v>
      </c>
      <c r="K35" s="50"/>
      <c r="L35" s="160">
        <v>104958.87658849799</v>
      </c>
      <c r="M35" s="160">
        <v>18.956603969</v>
      </c>
      <c r="N35" s="387"/>
      <c r="O35" s="160">
        <v>337029.81729813199</v>
      </c>
      <c r="P35" s="160">
        <v>59.020974564699998</v>
      </c>
      <c r="Q35" s="387"/>
      <c r="R35" s="160">
        <v>78927.1405241756</v>
      </c>
      <c r="S35" s="160">
        <v>14.0400985353</v>
      </c>
      <c r="T35" s="54"/>
      <c r="U35" s="160">
        <v>68182.0225842199</v>
      </c>
      <c r="V35" s="160">
        <v>12.025209201599999</v>
      </c>
      <c r="X35" s="160">
        <v>193609.17504016901</v>
      </c>
      <c r="Y35" s="160">
        <v>33.616303183600003</v>
      </c>
    </row>
    <row r="36" spans="1:25" s="367" customFormat="1" ht="12.75" customHeight="1" x14ac:dyDescent="0.2">
      <c r="A36" s="104"/>
      <c r="B36" s="13" t="s">
        <v>49</v>
      </c>
      <c r="C36" s="386"/>
      <c r="D36" s="160">
        <v>798902.49386140495</v>
      </c>
      <c r="E36" s="387"/>
      <c r="F36" s="160">
        <v>307166.61432384001</v>
      </c>
      <c r="G36" s="160">
        <v>39.452300478799998</v>
      </c>
      <c r="H36" s="387"/>
      <c r="I36" s="160">
        <v>130647.105200597</v>
      </c>
      <c r="J36" s="160">
        <v>16.846433169000001</v>
      </c>
      <c r="K36" s="50"/>
      <c r="L36" s="160">
        <v>113218.96099234</v>
      </c>
      <c r="M36" s="160">
        <v>14.608607882299999</v>
      </c>
      <c r="N36" s="387"/>
      <c r="O36" s="160">
        <v>344982.050016389</v>
      </c>
      <c r="P36" s="160">
        <v>44.308449940199999</v>
      </c>
      <c r="Q36" s="387"/>
      <c r="R36" s="160">
        <v>93160.111599430194</v>
      </c>
      <c r="S36" s="160">
        <v>12.0080496729</v>
      </c>
      <c r="T36" s="52"/>
      <c r="U36" s="160">
        <v>56510.705926866998</v>
      </c>
      <c r="V36" s="160">
        <v>7.2875275297000002</v>
      </c>
      <c r="X36" s="160">
        <v>347708.77320844098</v>
      </c>
      <c r="Y36" s="160">
        <v>44.525692450100003</v>
      </c>
    </row>
    <row r="37" spans="1:25" s="367" customFormat="1" ht="12.75" customHeight="1" x14ac:dyDescent="0.2">
      <c r="A37" s="104"/>
      <c r="B37" s="13" t="s">
        <v>50</v>
      </c>
      <c r="C37" s="386"/>
      <c r="D37" s="160">
        <v>894882.02839481703</v>
      </c>
      <c r="E37" s="387"/>
      <c r="F37" s="160">
        <v>453759.43979600701</v>
      </c>
      <c r="G37" s="160">
        <v>52.109892820799999</v>
      </c>
      <c r="H37" s="387"/>
      <c r="I37" s="160">
        <v>198387.72813276699</v>
      </c>
      <c r="J37" s="160">
        <v>22.902927716600001</v>
      </c>
      <c r="K37" s="50"/>
      <c r="L37" s="160">
        <v>179007.19083727899</v>
      </c>
      <c r="M37" s="160">
        <v>20.701313601300001</v>
      </c>
      <c r="N37" s="387"/>
      <c r="O37" s="160">
        <v>479329.93429809599</v>
      </c>
      <c r="P37" s="160">
        <v>55.127070020399998</v>
      </c>
      <c r="Q37" s="387"/>
      <c r="R37" s="160">
        <v>133657.072536263</v>
      </c>
      <c r="S37" s="160">
        <v>15.4232429676</v>
      </c>
      <c r="T37" s="52"/>
      <c r="U37" s="160">
        <v>97866.5406863471</v>
      </c>
      <c r="V37" s="160">
        <v>11.306902279299999</v>
      </c>
      <c r="X37" s="160">
        <v>282612.35105889098</v>
      </c>
      <c r="Y37" s="160">
        <v>32.360930435500002</v>
      </c>
    </row>
    <row r="38" spans="1:25" s="367" customFormat="1" ht="12.75" customHeight="1" x14ac:dyDescent="0.2">
      <c r="A38" s="104"/>
      <c r="B38" s="13" t="s">
        <v>51</v>
      </c>
      <c r="C38" s="386"/>
      <c r="D38" s="160">
        <v>919536.67017451499</v>
      </c>
      <c r="E38" s="387"/>
      <c r="F38" s="160">
        <v>340702.15954506502</v>
      </c>
      <c r="G38" s="160">
        <v>38.423489884399999</v>
      </c>
      <c r="H38" s="387"/>
      <c r="I38" s="160">
        <v>160668.65980868501</v>
      </c>
      <c r="J38" s="160">
        <v>18.074560865700001</v>
      </c>
      <c r="K38" s="50"/>
      <c r="L38" s="160">
        <v>96145.931502761101</v>
      </c>
      <c r="M38" s="160">
        <v>10.8172159706</v>
      </c>
      <c r="N38" s="387"/>
      <c r="O38" s="160">
        <v>337636.34324246598</v>
      </c>
      <c r="P38" s="160">
        <v>38.022118159800002</v>
      </c>
      <c r="Q38" s="52"/>
      <c r="R38" s="160">
        <v>99127.384811542099</v>
      </c>
      <c r="S38" s="160">
        <v>11.2320594383</v>
      </c>
      <c r="T38" s="52"/>
      <c r="U38" s="160">
        <v>95367.858836175597</v>
      </c>
      <c r="V38" s="160">
        <v>10.7787880601</v>
      </c>
      <c r="X38" s="160">
        <v>434574.43411721999</v>
      </c>
      <c r="Y38" s="160">
        <v>48.770899304300002</v>
      </c>
    </row>
    <row r="39" spans="1:25" s="367" customFormat="1" ht="12.75" customHeight="1" x14ac:dyDescent="0.2">
      <c r="A39" s="104"/>
      <c r="B39" s="13" t="s">
        <v>52</v>
      </c>
      <c r="C39" s="386"/>
      <c r="D39" s="160">
        <v>723495.24159213202</v>
      </c>
      <c r="E39" s="387"/>
      <c r="F39" s="160">
        <v>542646.20166798099</v>
      </c>
      <c r="G39" s="160">
        <v>76.428914781399996</v>
      </c>
      <c r="H39" s="387"/>
      <c r="I39" s="160">
        <v>307840.97039937699</v>
      </c>
      <c r="J39" s="160">
        <v>44.0205335908</v>
      </c>
      <c r="K39" s="50"/>
      <c r="L39" s="160">
        <v>325083.809912269</v>
      </c>
      <c r="M39" s="160">
        <v>46.421113794299998</v>
      </c>
      <c r="N39" s="387"/>
      <c r="O39" s="160">
        <v>616465.17183054995</v>
      </c>
      <c r="P39" s="160">
        <v>86.631175675700007</v>
      </c>
      <c r="Q39" s="387"/>
      <c r="R39" s="160">
        <v>250234.40670501799</v>
      </c>
      <c r="S39" s="160">
        <v>35.9200657843</v>
      </c>
      <c r="T39" s="52"/>
      <c r="U39" s="160">
        <v>107578.07640709799</v>
      </c>
      <c r="V39" s="160">
        <v>15.469445525299999</v>
      </c>
      <c r="X39" s="160">
        <v>55935.241295275002</v>
      </c>
      <c r="Y39" s="160">
        <v>8.1400076642000005</v>
      </c>
    </row>
    <row r="40" spans="1:25" s="367" customFormat="1" ht="12.75" customHeight="1" x14ac:dyDescent="0.2">
      <c r="A40" s="104"/>
      <c r="B40" s="13" t="s">
        <v>53</v>
      </c>
      <c r="C40" s="386"/>
      <c r="D40" s="160">
        <v>1089179.94614529</v>
      </c>
      <c r="E40" s="387"/>
      <c r="F40" s="160">
        <v>515469.50290012202</v>
      </c>
      <c r="G40" s="160">
        <v>48.628143314799999</v>
      </c>
      <c r="H40" s="387"/>
      <c r="I40" s="160">
        <v>253380.43366329599</v>
      </c>
      <c r="J40" s="160">
        <v>23.8954747678</v>
      </c>
      <c r="K40" s="50"/>
      <c r="L40" s="160">
        <v>203519.044582717</v>
      </c>
      <c r="M40" s="160">
        <v>19.2504183195</v>
      </c>
      <c r="N40" s="387"/>
      <c r="O40" s="160">
        <v>502059.98081818997</v>
      </c>
      <c r="P40" s="160">
        <v>47.347830876800003</v>
      </c>
      <c r="Q40" s="387"/>
      <c r="R40" s="160">
        <v>182603.531312426</v>
      </c>
      <c r="S40" s="160">
        <v>17.195656898500001</v>
      </c>
      <c r="T40" s="52"/>
      <c r="U40" s="160">
        <v>110486.889073079</v>
      </c>
      <c r="V40" s="160">
        <v>10.428872779800001</v>
      </c>
      <c r="X40" s="160">
        <v>419039.37288107898</v>
      </c>
      <c r="Y40" s="160">
        <v>39.269479172899999</v>
      </c>
    </row>
    <row r="41" spans="1:25" s="367" customFormat="1" ht="12.75" customHeight="1" x14ac:dyDescent="0.2">
      <c r="A41" s="104"/>
      <c r="B41" s="13" t="s">
        <v>54</v>
      </c>
      <c r="C41" s="386"/>
      <c r="D41" s="160">
        <v>350536.38098277798</v>
      </c>
      <c r="E41" s="387"/>
      <c r="F41" s="160">
        <v>178770.90795339999</v>
      </c>
      <c r="G41" s="160">
        <v>52.165411064300002</v>
      </c>
      <c r="H41" s="387"/>
      <c r="I41" s="160">
        <v>50800.901635024398</v>
      </c>
      <c r="J41" s="160">
        <v>15.052082667000001</v>
      </c>
      <c r="K41" s="50"/>
      <c r="L41" s="160">
        <v>46223.152647519099</v>
      </c>
      <c r="M41" s="160">
        <v>13.6479499606</v>
      </c>
      <c r="N41" s="387"/>
      <c r="O41" s="160">
        <v>186870.86038903301</v>
      </c>
      <c r="P41" s="160">
        <v>54.570251673199998</v>
      </c>
      <c r="Q41" s="387"/>
      <c r="R41" s="160">
        <v>36121.081477218002</v>
      </c>
      <c r="S41" s="160">
        <v>10.7407047372</v>
      </c>
      <c r="T41" s="52"/>
      <c r="U41" s="160">
        <v>23483.852375883602</v>
      </c>
      <c r="V41" s="160">
        <v>6.9928937190999996</v>
      </c>
      <c r="X41" s="160">
        <v>113352.063857645</v>
      </c>
      <c r="Y41" s="160">
        <v>33.417399068400002</v>
      </c>
    </row>
    <row r="42" spans="1:25" s="367" customFormat="1" ht="12.75" customHeight="1" x14ac:dyDescent="0.2">
      <c r="A42" s="104"/>
      <c r="B42" s="13" t="s">
        <v>55</v>
      </c>
      <c r="C42" s="386"/>
      <c r="D42" s="160">
        <v>2493851.99731659</v>
      </c>
      <c r="E42" s="387"/>
      <c r="F42" s="160">
        <v>1254859.2807513101</v>
      </c>
      <c r="G42" s="160">
        <v>51.826428211299998</v>
      </c>
      <c r="H42" s="387"/>
      <c r="I42" s="160">
        <v>557628.88854626601</v>
      </c>
      <c r="J42" s="160">
        <v>23.293048014299998</v>
      </c>
      <c r="K42" s="50"/>
      <c r="L42" s="160">
        <v>476141.16420374898</v>
      </c>
      <c r="M42" s="160">
        <v>19.978268225800001</v>
      </c>
      <c r="N42" s="387"/>
      <c r="O42" s="160">
        <v>1387169.4566366801</v>
      </c>
      <c r="P42" s="160">
        <v>57.3117973572</v>
      </c>
      <c r="Q42" s="387"/>
      <c r="R42" s="160">
        <v>413271.48534673598</v>
      </c>
      <c r="S42" s="160">
        <v>17.359902317300001</v>
      </c>
      <c r="T42" s="52"/>
      <c r="U42" s="160">
        <v>151216.793305164</v>
      </c>
      <c r="V42" s="160">
        <v>6.3438769703000002</v>
      </c>
      <c r="X42" s="160">
        <v>745817.388115232</v>
      </c>
      <c r="Y42" s="160">
        <v>30.954728295199999</v>
      </c>
    </row>
    <row r="43" spans="1:25" s="367" customFormat="1" ht="12.75" customHeight="1" x14ac:dyDescent="0.2">
      <c r="A43" s="104"/>
      <c r="B43" s="13" t="s">
        <v>56</v>
      </c>
      <c r="C43" s="386"/>
      <c r="D43" s="160">
        <v>696285.83140589495</v>
      </c>
      <c r="E43" s="387"/>
      <c r="F43" s="160">
        <v>368184.64393830602</v>
      </c>
      <c r="G43" s="160">
        <v>54.822209608500003</v>
      </c>
      <c r="H43" s="387"/>
      <c r="I43" s="160">
        <v>140163.531562505</v>
      </c>
      <c r="J43" s="160">
        <v>20.925788951800001</v>
      </c>
      <c r="K43" s="50"/>
      <c r="L43" s="160">
        <v>102605.395652654</v>
      </c>
      <c r="M43" s="160">
        <v>15.401272502599999</v>
      </c>
      <c r="N43" s="387"/>
      <c r="O43" s="160">
        <v>541480.03113286605</v>
      </c>
      <c r="P43" s="160">
        <v>79.1394869521</v>
      </c>
      <c r="Q43" s="387"/>
      <c r="R43" s="160">
        <v>85290.351135160905</v>
      </c>
      <c r="S43" s="160">
        <v>12.828436352500001</v>
      </c>
      <c r="T43" s="52"/>
      <c r="U43" s="160">
        <v>87886.2577547853</v>
      </c>
      <c r="V43" s="160">
        <v>13.252376034899999</v>
      </c>
      <c r="X43" s="160">
        <v>125638.345803544</v>
      </c>
      <c r="Y43" s="160">
        <v>18.848621982600001</v>
      </c>
    </row>
    <row r="44" spans="1:25" s="367" customFormat="1" ht="12.75" customHeight="1" x14ac:dyDescent="0.2">
      <c r="A44" s="104"/>
      <c r="B44" s="46" t="s">
        <v>57</v>
      </c>
      <c r="C44" s="46"/>
      <c r="D44" s="160">
        <v>479515.47820355999</v>
      </c>
      <c r="E44" s="387"/>
      <c r="F44" s="160">
        <v>215317.065581615</v>
      </c>
      <c r="G44" s="160">
        <v>46.1448038622</v>
      </c>
      <c r="H44" s="387"/>
      <c r="I44" s="160">
        <v>80779.680181497999</v>
      </c>
      <c r="J44" s="160">
        <v>17.713737515399998</v>
      </c>
      <c r="K44" s="50"/>
      <c r="L44" s="160">
        <v>58133.580776066599</v>
      </c>
      <c r="M44" s="160">
        <v>12.6871802374</v>
      </c>
      <c r="N44" s="387"/>
      <c r="O44" s="160">
        <v>225368.25315945299</v>
      </c>
      <c r="P44" s="160">
        <v>48.530888977300002</v>
      </c>
      <c r="Q44" s="387"/>
      <c r="R44" s="160">
        <v>51592.367667801504</v>
      </c>
      <c r="S44" s="160">
        <v>11.297638898100001</v>
      </c>
      <c r="T44" s="52"/>
      <c r="U44" s="160">
        <v>37097.030489219098</v>
      </c>
      <c r="V44" s="160">
        <v>8.0834650335999996</v>
      </c>
      <c r="X44" s="160">
        <v>180547.667993234</v>
      </c>
      <c r="Y44" s="160">
        <v>39.126700212400003</v>
      </c>
    </row>
    <row r="45" spans="1:25" s="367" customFormat="1" ht="6" customHeight="1" x14ac:dyDescent="0.2">
      <c r="A45" s="104"/>
      <c r="B45" s="365"/>
      <c r="C45" s="388"/>
      <c r="D45" s="388"/>
      <c r="E45" s="388"/>
      <c r="F45" s="388"/>
      <c r="G45" s="389"/>
      <c r="H45" s="389"/>
      <c r="I45" s="389"/>
      <c r="J45" s="390"/>
      <c r="K45" s="390"/>
      <c r="L45" s="389"/>
      <c r="M45" s="390"/>
      <c r="N45" s="390"/>
      <c r="O45" s="365"/>
      <c r="P45" s="391"/>
      <c r="Q45" s="365"/>
      <c r="R45" s="365"/>
      <c r="S45" s="121"/>
      <c r="T45" s="365"/>
      <c r="U45" s="365"/>
      <c r="V45" s="365"/>
      <c r="W45" s="365"/>
      <c r="X45" s="365"/>
      <c r="Y45" s="365"/>
    </row>
    <row r="46" spans="1:25" s="367" customFormat="1" ht="6" customHeight="1" x14ac:dyDescent="0.2">
      <c r="A46" s="104"/>
      <c r="C46" s="392"/>
      <c r="D46" s="392"/>
      <c r="E46" s="392"/>
      <c r="F46" s="392"/>
      <c r="G46" s="393"/>
      <c r="H46" s="393"/>
      <c r="I46" s="393"/>
      <c r="J46" s="394"/>
      <c r="K46" s="394"/>
      <c r="L46" s="393"/>
      <c r="M46" s="394"/>
      <c r="N46" s="394"/>
      <c r="P46" s="395"/>
      <c r="S46" s="122"/>
    </row>
    <row r="47" spans="1:25" s="396" customFormat="1" ht="11.25" x14ac:dyDescent="0.2">
      <c r="A47" s="99"/>
      <c r="B47" s="50" t="s">
        <v>106</v>
      </c>
      <c r="C47" s="392"/>
      <c r="D47" s="392"/>
      <c r="E47" s="392"/>
      <c r="F47" s="392"/>
      <c r="G47" s="393"/>
      <c r="H47" s="393"/>
      <c r="I47" s="393"/>
      <c r="J47" s="394"/>
      <c r="K47" s="394"/>
      <c r="L47" s="393"/>
      <c r="M47" s="394"/>
      <c r="N47" s="394"/>
      <c r="P47" s="395"/>
      <c r="S47" s="88"/>
      <c r="X47" s="50"/>
      <c r="Y47" s="50"/>
    </row>
    <row r="48" spans="1:25" s="400" customFormat="1" ht="11.25" x14ac:dyDescent="0.2">
      <c r="A48" s="99"/>
      <c r="B48" s="50" t="s">
        <v>139</v>
      </c>
      <c r="C48" s="397"/>
      <c r="D48" s="397"/>
      <c r="E48" s="397"/>
      <c r="F48" s="397"/>
      <c r="G48" s="398"/>
      <c r="H48" s="398"/>
      <c r="I48" s="398"/>
      <c r="J48" s="399"/>
      <c r="K48" s="399"/>
      <c r="L48" s="398"/>
      <c r="M48" s="399"/>
      <c r="N48" s="399"/>
      <c r="P48" s="401"/>
      <c r="S48" s="88"/>
      <c r="X48" s="50"/>
      <c r="Y48" s="50"/>
    </row>
    <row r="49" spans="1:19" s="396" customFormat="1" ht="11.25" x14ac:dyDescent="0.2">
      <c r="A49" s="99"/>
      <c r="B49" s="58" t="s">
        <v>140</v>
      </c>
      <c r="C49" s="392"/>
      <c r="D49" s="392"/>
      <c r="E49" s="392"/>
      <c r="F49" s="392"/>
      <c r="G49" s="393"/>
      <c r="H49" s="393"/>
      <c r="I49" s="393"/>
      <c r="J49" s="394"/>
      <c r="K49" s="394"/>
      <c r="L49" s="393"/>
      <c r="M49" s="394"/>
      <c r="N49" s="394"/>
      <c r="P49" s="395"/>
      <c r="S49" s="88"/>
    </row>
    <row r="50" spans="1:19" s="89" customFormat="1" ht="11.25" customHeight="1" x14ac:dyDescent="0.2">
      <c r="B50" s="24" t="s">
        <v>9</v>
      </c>
    </row>
    <row r="51" spans="1:19" ht="12.75" customHeight="1" x14ac:dyDescent="0.2">
      <c r="S51" s="1"/>
    </row>
    <row r="52" spans="1:19" ht="12.75" customHeight="1" x14ac:dyDescent="0.2">
      <c r="S52" s="1"/>
    </row>
    <row r="53" spans="1:19" ht="12.75" customHeight="1" x14ac:dyDescent="0.2">
      <c r="S53" s="1"/>
    </row>
    <row r="54" spans="1:19" ht="12.75" customHeight="1" x14ac:dyDescent="0.2">
      <c r="S54" s="1"/>
    </row>
    <row r="55" spans="1:19" ht="12.75" customHeight="1" x14ac:dyDescent="0.2">
      <c r="S55" s="1"/>
    </row>
    <row r="56" spans="1:19" ht="12.75" customHeight="1" x14ac:dyDescent="0.2">
      <c r="S56" s="1"/>
    </row>
    <row r="57" spans="1:19" ht="12.75" customHeight="1" x14ac:dyDescent="0.2">
      <c r="S57" s="1"/>
    </row>
    <row r="58" spans="1:19" ht="12.75" customHeight="1" x14ac:dyDescent="0.2">
      <c r="S58" s="1"/>
    </row>
    <row r="59" spans="1:19" ht="12.75" customHeight="1" x14ac:dyDescent="0.2">
      <c r="S59" s="1"/>
    </row>
    <row r="60" spans="1:19" ht="12.75" customHeight="1" x14ac:dyDescent="0.2">
      <c r="S60" s="1"/>
    </row>
    <row r="61" spans="1:19" ht="12.75" customHeight="1" x14ac:dyDescent="0.2">
      <c r="S61" s="1"/>
    </row>
    <row r="62" spans="1:19" ht="12.75" customHeight="1" x14ac:dyDescent="0.2">
      <c r="S62" s="1"/>
    </row>
    <row r="63" spans="1:19" ht="12.75" customHeight="1" x14ac:dyDescent="0.2">
      <c r="S63" s="1"/>
    </row>
    <row r="64" spans="1:19" ht="12.75" customHeight="1" x14ac:dyDescent="0.2">
      <c r="S64" s="1"/>
    </row>
    <row r="65" spans="19:19" ht="12.75" customHeight="1" x14ac:dyDescent="0.2">
      <c r="S65" s="1"/>
    </row>
    <row r="66" spans="19:19" ht="12.75" customHeight="1" x14ac:dyDescent="0.2">
      <c r="S66" s="1"/>
    </row>
    <row r="67" spans="19:19" ht="12.75" customHeight="1" x14ac:dyDescent="0.2">
      <c r="S67" s="1"/>
    </row>
    <row r="68" spans="19:19" ht="12.75" customHeight="1" x14ac:dyDescent="0.2">
      <c r="S68" s="1"/>
    </row>
    <row r="69" spans="19:19" ht="12.75" customHeight="1" x14ac:dyDescent="0.2">
      <c r="S69" s="1"/>
    </row>
    <row r="70" spans="19:19" ht="12.75" customHeight="1" x14ac:dyDescent="0.2">
      <c r="S70" s="1"/>
    </row>
    <row r="71" spans="19:19" ht="12.75" customHeight="1" x14ac:dyDescent="0.2">
      <c r="S71" s="1"/>
    </row>
    <row r="72" spans="19:19" ht="12.75" customHeight="1" x14ac:dyDescent="0.2">
      <c r="S72" s="1"/>
    </row>
    <row r="73" spans="19:19" ht="12.75" customHeight="1" x14ac:dyDescent="0.2">
      <c r="S73" s="1"/>
    </row>
    <row r="74" spans="19:19" ht="12.75" customHeight="1" x14ac:dyDescent="0.2">
      <c r="S74" s="1"/>
    </row>
    <row r="75" spans="19:19" ht="12.75" customHeight="1" x14ac:dyDescent="0.2">
      <c r="S75" s="1"/>
    </row>
    <row r="76" spans="19:19" ht="12.75" customHeight="1" x14ac:dyDescent="0.2">
      <c r="S76" s="1"/>
    </row>
    <row r="77" spans="19:19" ht="12.75" customHeight="1" x14ac:dyDescent="0.2">
      <c r="S77" s="1"/>
    </row>
    <row r="78" spans="19:19" ht="12.75" customHeight="1" x14ac:dyDescent="0.2">
      <c r="S78" s="1"/>
    </row>
    <row r="79" spans="19:19" ht="12.75" customHeight="1" x14ac:dyDescent="0.2">
      <c r="S79" s="1"/>
    </row>
    <row r="80" spans="19:19" ht="12.75" customHeight="1" x14ac:dyDescent="0.2">
      <c r="S80" s="1"/>
    </row>
    <row r="81" spans="19:19" ht="12.75" customHeight="1" x14ac:dyDescent="0.2">
      <c r="S81" s="1"/>
    </row>
    <row r="82" spans="19:19" ht="12.75" customHeight="1" x14ac:dyDescent="0.2">
      <c r="S82" s="1"/>
    </row>
    <row r="83" spans="19:19" ht="12.75" customHeight="1" x14ac:dyDescent="0.2">
      <c r="S83" s="1"/>
    </row>
    <row r="84" spans="19:19" ht="12.75" customHeight="1" x14ac:dyDescent="0.2">
      <c r="S84" s="1"/>
    </row>
    <row r="85" spans="19:19" ht="12.75" customHeight="1" x14ac:dyDescent="0.2">
      <c r="S85" s="1"/>
    </row>
    <row r="86" spans="19:19" ht="12.75" customHeight="1" x14ac:dyDescent="0.2">
      <c r="S86" s="1"/>
    </row>
    <row r="87" spans="19:19" ht="12.75" customHeight="1" x14ac:dyDescent="0.2">
      <c r="S87" s="1"/>
    </row>
    <row r="88" spans="19:19" ht="12.75" customHeight="1" x14ac:dyDescent="0.2">
      <c r="S88" s="1"/>
    </row>
    <row r="89" spans="19:19" ht="12.75" customHeight="1" x14ac:dyDescent="0.2">
      <c r="S89" s="1"/>
    </row>
    <row r="90" spans="19:19" ht="12.75" customHeight="1" x14ac:dyDescent="0.2">
      <c r="S90" s="1"/>
    </row>
    <row r="91" spans="19:19" ht="12.75" customHeight="1" x14ac:dyDescent="0.2">
      <c r="S91" s="1"/>
    </row>
    <row r="92" spans="19:19" ht="12.75" customHeight="1" x14ac:dyDescent="0.2">
      <c r="S92" s="1"/>
    </row>
    <row r="93" spans="19:19" ht="12.75" customHeight="1" x14ac:dyDescent="0.2">
      <c r="S93" s="1"/>
    </row>
    <row r="94" spans="19:19" ht="12.75" customHeight="1" x14ac:dyDescent="0.2">
      <c r="S94" s="1"/>
    </row>
    <row r="95" spans="19:19" ht="12.75" customHeight="1" x14ac:dyDescent="0.2">
      <c r="S95" s="1"/>
    </row>
    <row r="96" spans="19:19" ht="12.75" customHeight="1" x14ac:dyDescent="0.2">
      <c r="S96" s="1"/>
    </row>
    <row r="97" spans="19:19" ht="12.75" customHeight="1" x14ac:dyDescent="0.2">
      <c r="S97" s="1"/>
    </row>
    <row r="98" spans="19:19" ht="12.75" customHeight="1" x14ac:dyDescent="0.2">
      <c r="S98" s="1"/>
    </row>
    <row r="99" spans="19:19" ht="12.75" customHeight="1" x14ac:dyDescent="0.2">
      <c r="S99" s="1"/>
    </row>
  </sheetData>
  <mergeCells count="12">
    <mergeCell ref="X7:Y8"/>
    <mergeCell ref="F8:G8"/>
    <mergeCell ref="I8:J8"/>
    <mergeCell ref="L8:M8"/>
    <mergeCell ref="O8:P8"/>
    <mergeCell ref="R8:S8"/>
    <mergeCell ref="U8:V8"/>
    <mergeCell ref="B5:O5"/>
    <mergeCell ref="C6:O6"/>
    <mergeCell ref="B7:C9"/>
    <mergeCell ref="D7:D9"/>
    <mergeCell ref="F7:V7"/>
  </mergeCells>
  <hyperlinks>
    <hyperlink ref="Y1" location="Índice!A1" tooltip="Ir a ÍNDICE" display="INDICE" xr:uid="{C94B28B1-37F6-4257-9ED9-B282BDF7E734}"/>
  </hyperlinks>
  <pageMargins left="0.70866141732283472" right="0.70866141732283472" top="0.59055118110236227" bottom="0.59055118110236227" header="0.23622047244094491" footer="0.23622047244094491"/>
  <pageSetup scale="56" orientation="landscape" r:id="rId1"/>
  <colBreaks count="1" manualBreakCount="1">
    <brk id="9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AB2ECA-AAE5-4F45-B0D1-12ABF7881B49}">
  <dimension ref="A1:AE54"/>
  <sheetViews>
    <sheetView showGridLines="0" zoomScaleNormal="100" workbookViewId="0"/>
  </sheetViews>
  <sheetFormatPr baseColWidth="10" defaultColWidth="11.42578125" defaultRowHeight="15" x14ac:dyDescent="0.2"/>
  <cols>
    <col min="1" max="1" width="1.7109375" style="5" customWidth="1"/>
    <col min="2" max="2" width="33.140625" customWidth="1"/>
    <col min="3" max="3" width="1.7109375" customWidth="1"/>
    <col min="4" max="4" width="19" customWidth="1"/>
    <col min="5" max="5" width="1.7109375" customWidth="1"/>
    <col min="6" max="6" width="14.140625" customWidth="1"/>
    <col min="8" max="8" width="1.7109375" customWidth="1"/>
    <col min="9" max="9" width="14.7109375" customWidth="1"/>
    <col min="11" max="11" width="1.7109375" customWidth="1"/>
    <col min="12" max="12" width="15.5703125" customWidth="1"/>
    <col min="14" max="14" width="1.7109375" customWidth="1"/>
    <col min="15" max="15" width="15.85546875" customWidth="1"/>
    <col min="16" max="16" width="11.42578125" customWidth="1"/>
    <col min="17" max="17" width="1.7109375" customWidth="1"/>
    <col min="18" max="18" width="17.5703125" customWidth="1"/>
    <col min="20" max="20" width="1.7109375" customWidth="1"/>
    <col min="21" max="21" width="14.42578125" customWidth="1"/>
    <col min="23" max="23" width="0.85546875" style="449" customWidth="1"/>
    <col min="24" max="25" width="10.7109375" style="449" customWidth="1"/>
  </cols>
  <sheetData>
    <row r="1" spans="1:31" s="69" customFormat="1" ht="14.1" customHeight="1" x14ac:dyDescent="0.2">
      <c r="A1" s="66"/>
      <c r="B1" s="484" t="s">
        <v>144</v>
      </c>
      <c r="C1" s="404"/>
      <c r="D1" s="405"/>
      <c r="E1" s="405"/>
      <c r="F1" s="405"/>
      <c r="G1" s="406"/>
      <c r="H1" s="406"/>
      <c r="I1" s="406"/>
      <c r="J1" s="406"/>
      <c r="K1" s="406"/>
      <c r="L1" s="406"/>
      <c r="M1" s="406"/>
      <c r="N1" s="406"/>
      <c r="O1" s="406"/>
      <c r="P1" s="406"/>
      <c r="Q1" s="406"/>
      <c r="R1" s="406"/>
      <c r="S1" s="406"/>
      <c r="T1" s="406"/>
      <c r="U1" s="406"/>
      <c r="V1" s="406"/>
      <c r="W1" s="406"/>
      <c r="X1" s="406"/>
      <c r="Y1" s="85" t="s">
        <v>118</v>
      </c>
      <c r="Z1" s="68"/>
      <c r="AA1" s="68"/>
      <c r="AB1" s="68"/>
      <c r="AC1" s="68"/>
      <c r="AD1" s="68"/>
      <c r="AE1" s="68"/>
    </row>
    <row r="2" spans="1:31" s="69" customFormat="1" ht="6.95" customHeight="1" x14ac:dyDescent="0.2">
      <c r="A2" s="66"/>
      <c r="B2" s="484"/>
      <c r="C2" s="404"/>
      <c r="D2" s="405"/>
      <c r="E2" s="405"/>
      <c r="F2" s="405"/>
      <c r="G2" s="406"/>
      <c r="H2" s="406"/>
      <c r="I2" s="406"/>
      <c r="J2" s="406"/>
      <c r="K2" s="406"/>
      <c r="L2" s="406"/>
      <c r="M2" s="406"/>
      <c r="N2" s="406"/>
      <c r="O2" s="406"/>
      <c r="P2" s="406"/>
      <c r="Q2" s="406"/>
      <c r="R2" s="406"/>
      <c r="S2" s="406"/>
      <c r="T2" s="406"/>
      <c r="U2" s="406"/>
      <c r="V2" s="406"/>
      <c r="W2" s="406"/>
      <c r="X2" s="406"/>
      <c r="Y2" s="406"/>
      <c r="Z2" s="68"/>
      <c r="AA2" s="68"/>
      <c r="AB2" s="68"/>
      <c r="AC2" s="68"/>
      <c r="AD2" s="68"/>
      <c r="AE2" s="68"/>
    </row>
    <row r="3" spans="1:31" s="69" customFormat="1" ht="14.1" customHeight="1" x14ac:dyDescent="0.2">
      <c r="A3" s="66"/>
      <c r="B3" s="484" t="s">
        <v>142</v>
      </c>
      <c r="C3" s="407"/>
      <c r="D3" s="407"/>
      <c r="E3" s="407"/>
      <c r="F3" s="407"/>
      <c r="G3" s="407"/>
      <c r="H3" s="406"/>
      <c r="I3" s="406"/>
      <c r="J3" s="406"/>
      <c r="K3" s="406"/>
      <c r="L3" s="406"/>
      <c r="M3" s="406"/>
      <c r="N3" s="406"/>
      <c r="O3" s="406"/>
      <c r="P3" s="406"/>
      <c r="Q3" s="406"/>
      <c r="R3" s="406"/>
      <c r="S3" s="406"/>
      <c r="T3" s="406"/>
      <c r="U3" s="406"/>
      <c r="V3" s="406"/>
      <c r="W3" s="406"/>
      <c r="X3" s="406"/>
      <c r="Y3" s="406"/>
      <c r="Z3" s="68"/>
      <c r="AA3" s="68"/>
      <c r="AB3" s="68"/>
      <c r="AC3" s="68"/>
      <c r="AD3" s="68"/>
      <c r="AE3" s="68"/>
    </row>
    <row r="4" spans="1:31" s="69" customFormat="1" ht="6.95" customHeight="1" x14ac:dyDescent="0.2">
      <c r="A4" s="66"/>
      <c r="B4" s="406"/>
      <c r="C4" s="404"/>
      <c r="D4" s="404"/>
      <c r="E4" s="404"/>
      <c r="F4" s="404"/>
      <c r="G4" s="406"/>
      <c r="H4" s="406"/>
      <c r="I4" s="406"/>
      <c r="J4" s="406"/>
      <c r="K4" s="406"/>
      <c r="L4" s="406"/>
      <c r="M4" s="406"/>
      <c r="N4" s="406"/>
      <c r="O4" s="406"/>
      <c r="P4" s="406"/>
      <c r="Q4" s="406"/>
      <c r="R4" s="406"/>
      <c r="S4" s="406"/>
      <c r="T4" s="406"/>
      <c r="U4" s="406"/>
      <c r="V4" s="406"/>
      <c r="W4" s="406"/>
      <c r="X4" s="406"/>
      <c r="Y4" s="406"/>
      <c r="Z4" s="68"/>
      <c r="AA4" s="68"/>
      <c r="AB4" s="68"/>
      <c r="AC4" s="68"/>
      <c r="AD4" s="68"/>
      <c r="AE4" s="68"/>
    </row>
    <row r="5" spans="1:31" s="69" customFormat="1" ht="20.100000000000001" customHeight="1" x14ac:dyDescent="0.2">
      <c r="A5" s="98"/>
      <c r="B5" s="611" t="s">
        <v>112</v>
      </c>
      <c r="C5" s="611"/>
      <c r="D5" s="611"/>
      <c r="E5" s="611"/>
      <c r="F5" s="611"/>
      <c r="G5" s="611"/>
      <c r="H5" s="611"/>
      <c r="I5" s="611"/>
      <c r="J5" s="611"/>
      <c r="K5" s="611"/>
      <c r="L5" s="611"/>
      <c r="M5" s="611"/>
      <c r="N5" s="611"/>
      <c r="O5" s="611"/>
      <c r="P5" s="611"/>
      <c r="Q5" s="611"/>
      <c r="R5" s="611"/>
      <c r="S5" s="408"/>
      <c r="T5" s="409"/>
      <c r="U5" s="114"/>
      <c r="V5" s="410"/>
      <c r="W5" s="410"/>
      <c r="X5" s="410"/>
      <c r="Y5" s="75" t="s">
        <v>114</v>
      </c>
      <c r="Z5" s="68"/>
      <c r="AA5" s="68"/>
      <c r="AB5" s="68"/>
      <c r="AC5" s="68"/>
      <c r="AD5" s="68"/>
      <c r="AE5" s="68"/>
    </row>
    <row r="6" spans="1:31" s="116" customFormat="1" ht="6" customHeight="1" x14ac:dyDescent="0.2">
      <c r="A6" s="98"/>
      <c r="B6" s="411"/>
      <c r="C6" s="612"/>
      <c r="D6" s="612"/>
      <c r="E6" s="612"/>
      <c r="F6" s="613"/>
      <c r="G6" s="613"/>
      <c r="H6" s="613"/>
      <c r="I6" s="613"/>
      <c r="J6" s="613"/>
      <c r="K6" s="613"/>
      <c r="L6" s="613"/>
      <c r="M6" s="614"/>
      <c r="N6" s="614"/>
      <c r="O6" s="614"/>
      <c r="P6" s="614"/>
      <c r="Q6" s="614"/>
      <c r="R6" s="614"/>
      <c r="S6" s="412"/>
      <c r="T6" s="413"/>
      <c r="U6" s="413"/>
      <c r="V6" s="413"/>
      <c r="W6" s="411"/>
      <c r="X6" s="413"/>
      <c r="Y6" s="413"/>
      <c r="Z6" s="115"/>
      <c r="AA6" s="115"/>
      <c r="AB6" s="115"/>
      <c r="AC6" s="115"/>
      <c r="AD6" s="115"/>
      <c r="AE6" s="115"/>
    </row>
    <row r="7" spans="1:31" s="116" customFormat="1" ht="15.75" customHeight="1" x14ac:dyDescent="0.2">
      <c r="A7" s="98"/>
      <c r="B7" s="615" t="s">
        <v>1</v>
      </c>
      <c r="C7" s="615"/>
      <c r="D7" s="608" t="s">
        <v>23</v>
      </c>
      <c r="E7" s="414"/>
      <c r="F7" s="610" t="s">
        <v>137</v>
      </c>
      <c r="G7" s="610"/>
      <c r="H7" s="610"/>
      <c r="I7" s="610"/>
      <c r="J7" s="610"/>
      <c r="K7" s="610"/>
      <c r="L7" s="610"/>
      <c r="M7" s="610"/>
      <c r="N7" s="610"/>
      <c r="O7" s="610"/>
      <c r="P7" s="610"/>
      <c r="Q7" s="610"/>
      <c r="R7" s="610"/>
      <c r="S7" s="610"/>
      <c r="T7" s="610"/>
      <c r="U7" s="610"/>
      <c r="V7" s="610"/>
      <c r="W7" s="415"/>
      <c r="X7" s="608" t="s">
        <v>138</v>
      </c>
      <c r="Y7" s="608"/>
      <c r="Z7" s="115"/>
      <c r="AA7" s="115"/>
      <c r="AB7" s="115"/>
      <c r="AC7" s="115"/>
      <c r="AD7" s="115"/>
      <c r="AE7" s="115"/>
    </row>
    <row r="8" spans="1:31" s="116" customFormat="1" ht="46.5" customHeight="1" x14ac:dyDescent="0.2">
      <c r="A8" s="98"/>
      <c r="B8" s="616"/>
      <c r="C8" s="616"/>
      <c r="D8" s="618"/>
      <c r="E8" s="416"/>
      <c r="F8" s="610" t="s">
        <v>110</v>
      </c>
      <c r="G8" s="610"/>
      <c r="H8" s="414"/>
      <c r="I8" s="610" t="s">
        <v>109</v>
      </c>
      <c r="J8" s="610"/>
      <c r="K8" s="417"/>
      <c r="L8" s="610" t="s">
        <v>115</v>
      </c>
      <c r="M8" s="610"/>
      <c r="N8" s="417"/>
      <c r="O8" s="610" t="s">
        <v>116</v>
      </c>
      <c r="P8" s="610"/>
      <c r="Q8" s="418"/>
      <c r="R8" s="610" t="s">
        <v>108</v>
      </c>
      <c r="S8" s="610"/>
      <c r="T8" s="419"/>
      <c r="U8" s="610" t="s">
        <v>107</v>
      </c>
      <c r="V8" s="610"/>
      <c r="W8" s="420"/>
      <c r="X8" s="609"/>
      <c r="Y8" s="609"/>
      <c r="Z8" s="115"/>
      <c r="AA8" s="115"/>
      <c r="AB8" s="115"/>
      <c r="AC8" s="115"/>
      <c r="AD8" s="115"/>
      <c r="AE8" s="115"/>
    </row>
    <row r="9" spans="1:31" s="116" customFormat="1" ht="15.75" customHeight="1" x14ac:dyDescent="0.2">
      <c r="A9" s="99"/>
      <c r="B9" s="617"/>
      <c r="C9" s="617"/>
      <c r="D9" s="609"/>
      <c r="E9" s="421"/>
      <c r="F9" s="105" t="s">
        <v>13</v>
      </c>
      <c r="G9" s="105" t="s">
        <v>14</v>
      </c>
      <c r="H9" s="421"/>
      <c r="I9" s="105" t="s">
        <v>13</v>
      </c>
      <c r="J9" s="105" t="s">
        <v>14</v>
      </c>
      <c r="K9" s="422"/>
      <c r="L9" s="105" t="s">
        <v>13</v>
      </c>
      <c r="M9" s="105" t="s">
        <v>14</v>
      </c>
      <c r="N9" s="422"/>
      <c r="O9" s="105" t="s">
        <v>13</v>
      </c>
      <c r="P9" s="105" t="s">
        <v>14</v>
      </c>
      <c r="Q9" s="423"/>
      <c r="R9" s="105" t="s">
        <v>13</v>
      </c>
      <c r="S9" s="105" t="s">
        <v>14</v>
      </c>
      <c r="T9" s="424"/>
      <c r="U9" s="105" t="s">
        <v>13</v>
      </c>
      <c r="V9" s="105" t="s">
        <v>14</v>
      </c>
      <c r="W9" s="423"/>
      <c r="X9" s="105" t="s">
        <v>13</v>
      </c>
      <c r="Y9" s="105" t="s">
        <v>14</v>
      </c>
      <c r="Z9" s="115"/>
      <c r="AA9" s="115"/>
      <c r="AB9" s="115"/>
      <c r="AC9" s="115"/>
      <c r="AD9" s="115"/>
      <c r="AE9" s="115"/>
    </row>
    <row r="10" spans="1:31" s="116" customFormat="1" ht="6" customHeight="1" x14ac:dyDescent="0.2">
      <c r="A10" s="100"/>
      <c r="B10" s="425"/>
      <c r="C10" s="425"/>
      <c r="D10" s="426"/>
      <c r="E10" s="426"/>
      <c r="F10" s="426"/>
      <c r="G10" s="427"/>
      <c r="H10" s="427"/>
      <c r="I10" s="428"/>
      <c r="J10" s="429"/>
      <c r="K10" s="429"/>
      <c r="L10" s="429"/>
      <c r="M10" s="429"/>
      <c r="N10" s="429"/>
      <c r="O10" s="429"/>
      <c r="P10" s="429"/>
      <c r="Q10" s="429"/>
      <c r="R10" s="429"/>
      <c r="S10" s="429"/>
      <c r="T10" s="413"/>
      <c r="U10" s="413"/>
      <c r="V10" s="413"/>
      <c r="W10" s="413"/>
      <c r="X10" s="413"/>
      <c r="Y10" s="413"/>
      <c r="Z10" s="115"/>
      <c r="AA10" s="115"/>
      <c r="AB10" s="115"/>
      <c r="AC10" s="115"/>
      <c r="AD10" s="115"/>
      <c r="AE10" s="115"/>
    </row>
    <row r="11" spans="1:31" s="116" customFormat="1" x14ac:dyDescent="0.2">
      <c r="A11" s="101"/>
      <c r="B11" s="111" t="s">
        <v>5</v>
      </c>
      <c r="C11" s="430"/>
      <c r="D11" s="159">
        <v>35662946.186790802</v>
      </c>
      <c r="E11" s="431"/>
      <c r="F11" s="159">
        <v>14653183.8071758</v>
      </c>
      <c r="G11" s="159">
        <v>41.3602254511</v>
      </c>
      <c r="H11" s="431"/>
      <c r="I11" s="159">
        <v>5868412.4659431204</v>
      </c>
      <c r="J11" s="159">
        <v>16.603801532599999</v>
      </c>
      <c r="K11" s="50"/>
      <c r="L11" s="159">
        <v>5364601.50191049</v>
      </c>
      <c r="M11" s="159">
        <v>15.185950066</v>
      </c>
      <c r="N11" s="431"/>
      <c r="O11" s="159">
        <v>15855322.7516324</v>
      </c>
      <c r="P11" s="159">
        <v>44.750215086600001</v>
      </c>
      <c r="Q11" s="431"/>
      <c r="R11" s="159">
        <v>3843510.4926221701</v>
      </c>
      <c r="S11" s="159">
        <v>10.879298330099999</v>
      </c>
      <c r="T11" s="51"/>
      <c r="U11" s="159">
        <v>2896364.3727774201</v>
      </c>
      <c r="V11" s="159">
        <v>8.2050191117000004</v>
      </c>
      <c r="W11" s="432"/>
      <c r="X11" s="159">
        <v>13980858.6217684</v>
      </c>
      <c r="Y11" s="159">
        <v>39.514146868700003</v>
      </c>
      <c r="Z11" s="115"/>
      <c r="AA11" s="115"/>
      <c r="AB11" s="115"/>
      <c r="AC11" s="115"/>
      <c r="AD11" s="115"/>
      <c r="AE11" s="115"/>
    </row>
    <row r="12" spans="1:31" s="116" customFormat="1" ht="9" customHeight="1" x14ac:dyDescent="0.2">
      <c r="A12" s="102"/>
      <c r="B12" s="117"/>
      <c r="C12" s="430"/>
      <c r="D12" s="95"/>
      <c r="E12" s="431"/>
      <c r="F12" s="95"/>
      <c r="G12" s="96"/>
      <c r="H12" s="431"/>
      <c r="I12" s="95"/>
      <c r="J12" s="96"/>
      <c r="K12" s="50"/>
      <c r="L12" s="95"/>
      <c r="M12" s="96"/>
      <c r="N12" s="431"/>
      <c r="O12" s="95"/>
      <c r="P12" s="96"/>
      <c r="Q12" s="431"/>
      <c r="R12" s="95"/>
      <c r="S12" s="96"/>
      <c r="T12" s="50"/>
      <c r="U12" s="95"/>
      <c r="V12" s="96"/>
      <c r="W12" s="432"/>
      <c r="X12" s="95"/>
      <c r="Y12" s="96"/>
      <c r="Z12" s="115"/>
      <c r="AA12" s="115"/>
      <c r="AB12" s="115"/>
      <c r="AC12" s="115"/>
      <c r="AD12" s="115"/>
      <c r="AE12" s="115"/>
    </row>
    <row r="13" spans="1:31" s="116" customFormat="1" ht="12.75" customHeight="1" x14ac:dyDescent="0.2">
      <c r="A13" s="102"/>
      <c r="B13" s="97" t="s">
        <v>6</v>
      </c>
      <c r="C13" s="433"/>
      <c r="D13" s="160">
        <v>7588550.2270174799</v>
      </c>
      <c r="E13" s="434"/>
      <c r="F13" s="160">
        <v>4023252.4611769398</v>
      </c>
      <c r="G13" s="160">
        <v>53.808330243599997</v>
      </c>
      <c r="H13" s="434"/>
      <c r="I13" s="160">
        <v>1903199.79258588</v>
      </c>
      <c r="J13" s="160">
        <v>25.662316055800002</v>
      </c>
      <c r="K13" s="50"/>
      <c r="L13" s="160">
        <v>1833518.6018492801</v>
      </c>
      <c r="M13" s="160">
        <v>24.798170365200001</v>
      </c>
      <c r="N13" s="434"/>
      <c r="O13" s="160">
        <v>4102000.34096662</v>
      </c>
      <c r="P13" s="160">
        <v>54.911179933900002</v>
      </c>
      <c r="Q13" s="434"/>
      <c r="R13" s="160">
        <v>1403136.7512793301</v>
      </c>
      <c r="S13" s="160">
        <v>18.934675227</v>
      </c>
      <c r="T13" s="52"/>
      <c r="U13" s="160">
        <v>542180.58407638595</v>
      </c>
      <c r="V13" s="160">
        <v>7.3390764263000001</v>
      </c>
      <c r="W13" s="413"/>
      <c r="X13" s="160">
        <v>2071242.3528942999</v>
      </c>
      <c r="Y13" s="160">
        <v>27.8254040956</v>
      </c>
      <c r="Z13" s="115"/>
      <c r="AA13" s="115"/>
      <c r="AB13" s="115"/>
      <c r="AC13" s="115"/>
      <c r="AD13" s="115"/>
      <c r="AE13" s="115"/>
    </row>
    <row r="14" spans="1:31" s="116" customFormat="1" ht="12" customHeight="1" x14ac:dyDescent="0.2">
      <c r="A14" s="102"/>
      <c r="B14" s="97" t="s">
        <v>7</v>
      </c>
      <c r="C14" s="433"/>
      <c r="D14" s="160">
        <v>4880011.4888669197</v>
      </c>
      <c r="E14" s="434"/>
      <c r="F14" s="160">
        <v>2349030.1807629201</v>
      </c>
      <c r="G14" s="160">
        <v>49.065337810800003</v>
      </c>
      <c r="H14" s="434"/>
      <c r="I14" s="160">
        <v>934416.75778846501</v>
      </c>
      <c r="J14" s="160">
        <v>19.7666479301</v>
      </c>
      <c r="K14" s="50"/>
      <c r="L14" s="160">
        <v>872225.67024543998</v>
      </c>
      <c r="M14" s="160">
        <v>18.4803433338</v>
      </c>
      <c r="N14" s="434"/>
      <c r="O14" s="160">
        <v>2577355.6837371001</v>
      </c>
      <c r="P14" s="160">
        <v>53.923448172299999</v>
      </c>
      <c r="Q14" s="434"/>
      <c r="R14" s="160">
        <v>629247.30862127803</v>
      </c>
      <c r="S14" s="160">
        <v>13.2934052317</v>
      </c>
      <c r="T14" s="52"/>
      <c r="U14" s="160">
        <v>450227.59798071702</v>
      </c>
      <c r="V14" s="160">
        <v>9.5550511072000006</v>
      </c>
      <c r="W14" s="413"/>
      <c r="X14" s="160">
        <v>1548695.73842351</v>
      </c>
      <c r="Y14" s="160">
        <v>32.441936039399998</v>
      </c>
      <c r="Z14" s="115"/>
      <c r="AA14" s="115"/>
      <c r="AB14" s="115"/>
      <c r="AC14" s="115"/>
      <c r="AD14" s="115"/>
      <c r="AE14" s="115"/>
    </row>
    <row r="15" spans="1:31" s="116" customFormat="1" x14ac:dyDescent="0.2">
      <c r="A15" s="99"/>
      <c r="B15" s="97" t="s">
        <v>8</v>
      </c>
      <c r="C15" s="433"/>
      <c r="D15" s="160">
        <v>5869884.8887314703</v>
      </c>
      <c r="E15" s="434"/>
      <c r="F15" s="160">
        <v>2350020.8997550998</v>
      </c>
      <c r="G15" s="160">
        <v>40.9193095778</v>
      </c>
      <c r="H15" s="434"/>
      <c r="I15" s="160">
        <v>888307.61734291795</v>
      </c>
      <c r="J15" s="160">
        <v>15.599190906400001</v>
      </c>
      <c r="K15" s="50"/>
      <c r="L15" s="160">
        <v>795067.11291670206</v>
      </c>
      <c r="M15" s="160">
        <v>13.914168115100001</v>
      </c>
      <c r="N15" s="434"/>
      <c r="O15" s="160">
        <v>2686733.87797873</v>
      </c>
      <c r="P15" s="160">
        <v>46.653054687199997</v>
      </c>
      <c r="Q15" s="434"/>
      <c r="R15" s="160">
        <v>568722.34961287503</v>
      </c>
      <c r="S15" s="160">
        <v>10.009951925399999</v>
      </c>
      <c r="T15" s="52"/>
      <c r="U15" s="160">
        <v>509228.81847141602</v>
      </c>
      <c r="V15" s="160">
        <v>8.9640751663000007</v>
      </c>
      <c r="W15" s="413"/>
      <c r="X15" s="160">
        <v>2354041.4153217399</v>
      </c>
      <c r="Y15" s="160">
        <v>41.026784745</v>
      </c>
      <c r="Z15" s="115"/>
      <c r="AA15" s="115"/>
      <c r="AB15" s="115"/>
      <c r="AC15" s="115"/>
      <c r="AD15" s="115"/>
      <c r="AE15" s="115"/>
    </row>
    <row r="16" spans="1:31" s="116" customFormat="1" x14ac:dyDescent="0.2">
      <c r="A16" s="99"/>
      <c r="B16" s="97" t="s">
        <v>79</v>
      </c>
      <c r="C16" s="433"/>
      <c r="D16" s="160">
        <v>17733822.4099744</v>
      </c>
      <c r="E16" s="434"/>
      <c r="F16" s="160">
        <v>6192477.4159597699</v>
      </c>
      <c r="G16" s="160">
        <v>35.207882990000002</v>
      </c>
      <c r="H16" s="434"/>
      <c r="I16" s="160">
        <v>2282362.94718841</v>
      </c>
      <c r="J16" s="160">
        <v>12.9872809476</v>
      </c>
      <c r="K16" s="50"/>
      <c r="L16" s="160">
        <v>2006462.4466523901</v>
      </c>
      <c r="M16" s="160">
        <v>11.42729647</v>
      </c>
      <c r="N16" s="434"/>
      <c r="O16" s="160">
        <v>6762182.4613902802</v>
      </c>
      <c r="P16" s="160">
        <v>38.4428641744</v>
      </c>
      <c r="Q16" s="434"/>
      <c r="R16" s="160">
        <v>1351738.1652555801</v>
      </c>
      <c r="S16" s="160">
        <v>7.6977146588999998</v>
      </c>
      <c r="T16" s="52"/>
      <c r="U16" s="160">
        <v>1489621.6614903701</v>
      </c>
      <c r="V16" s="160">
        <v>8.4807107773000006</v>
      </c>
      <c r="W16" s="413"/>
      <c r="X16" s="160">
        <v>8236765.7349849502</v>
      </c>
      <c r="Y16" s="160">
        <v>46.797341971999998</v>
      </c>
      <c r="Z16" s="115"/>
      <c r="AA16" s="115"/>
      <c r="AB16" s="115"/>
      <c r="AC16" s="115"/>
      <c r="AD16" s="115"/>
      <c r="AE16" s="115"/>
    </row>
    <row r="17" spans="1:31" s="116" customFormat="1" ht="6" customHeight="1" x14ac:dyDescent="0.2">
      <c r="A17" s="99"/>
      <c r="B17" s="45"/>
      <c r="C17" s="45"/>
      <c r="D17" s="57"/>
      <c r="E17" s="435"/>
      <c r="F17" s="57"/>
      <c r="G17" s="436"/>
      <c r="H17" s="436"/>
      <c r="I17" s="57"/>
      <c r="J17" s="436"/>
      <c r="K17" s="437"/>
      <c r="L17" s="57"/>
      <c r="M17" s="436"/>
      <c r="N17" s="438"/>
      <c r="O17" s="438"/>
      <c r="P17" s="438"/>
      <c r="Q17" s="438"/>
      <c r="R17" s="57"/>
      <c r="S17" s="436"/>
      <c r="T17" s="411"/>
      <c r="U17" s="411"/>
      <c r="V17" s="118"/>
      <c r="W17" s="411"/>
      <c r="X17" s="61"/>
      <c r="Y17" s="61"/>
      <c r="Z17" s="115"/>
      <c r="AA17" s="115"/>
      <c r="AB17" s="115"/>
      <c r="AC17" s="115"/>
      <c r="AD17" s="115"/>
      <c r="AE17" s="115"/>
    </row>
    <row r="18" spans="1:31" s="116" customFormat="1" ht="6" customHeight="1" x14ac:dyDescent="0.2">
      <c r="A18" s="103"/>
      <c r="B18" s="413"/>
      <c r="C18" s="439"/>
      <c r="D18" s="439"/>
      <c r="E18" s="439"/>
      <c r="F18" s="439"/>
      <c r="G18" s="440"/>
      <c r="H18" s="440"/>
      <c r="I18" s="440"/>
      <c r="J18" s="441"/>
      <c r="K18" s="441"/>
      <c r="L18" s="440"/>
      <c r="M18" s="441"/>
      <c r="N18" s="441"/>
      <c r="O18" s="441"/>
      <c r="P18" s="441"/>
      <c r="Q18" s="441"/>
      <c r="R18" s="413"/>
      <c r="S18" s="442"/>
      <c r="T18" s="413"/>
      <c r="U18" s="413"/>
      <c r="V18" s="119"/>
      <c r="W18" s="413"/>
      <c r="X18" s="53"/>
      <c r="Y18" s="53"/>
      <c r="Z18" s="115"/>
      <c r="AA18" s="115"/>
      <c r="AB18" s="115"/>
      <c r="AC18" s="115"/>
      <c r="AD18" s="115"/>
      <c r="AE18" s="115"/>
    </row>
    <row r="19" spans="1:31" s="87" customFormat="1" ht="11.25" x14ac:dyDescent="0.2">
      <c r="A19" s="120"/>
      <c r="B19" s="50" t="s">
        <v>106</v>
      </c>
      <c r="C19" s="439"/>
      <c r="D19" s="439"/>
      <c r="E19" s="439"/>
      <c r="F19" s="439"/>
      <c r="G19" s="440"/>
      <c r="H19" s="440"/>
      <c r="I19" s="440"/>
      <c r="J19" s="441"/>
      <c r="K19" s="441"/>
      <c r="L19" s="440"/>
      <c r="M19" s="441"/>
      <c r="N19" s="441"/>
      <c r="O19" s="441"/>
      <c r="P19" s="441"/>
      <c r="Q19" s="441"/>
      <c r="R19" s="443"/>
      <c r="S19" s="442"/>
      <c r="T19" s="443"/>
      <c r="U19" s="443"/>
      <c r="V19" s="86"/>
      <c r="W19" s="443"/>
      <c r="X19" s="52"/>
      <c r="Y19" s="52"/>
      <c r="Z19" s="50"/>
      <c r="AA19" s="50"/>
      <c r="AB19" s="50"/>
      <c r="AC19" s="50"/>
      <c r="AD19" s="50"/>
      <c r="AE19" s="50"/>
    </row>
    <row r="20" spans="1:31" s="447" customFormat="1" ht="11.25" x14ac:dyDescent="0.2">
      <c r="A20" s="99"/>
      <c r="B20" s="50" t="s">
        <v>139</v>
      </c>
      <c r="C20" s="444"/>
      <c r="D20" s="444"/>
      <c r="E20" s="444"/>
      <c r="F20" s="444"/>
      <c r="G20" s="445"/>
      <c r="H20" s="445"/>
      <c r="I20" s="445"/>
      <c r="J20" s="446"/>
      <c r="K20" s="446"/>
      <c r="L20" s="445"/>
      <c r="M20" s="446"/>
      <c r="N20" s="446"/>
      <c r="P20" s="448"/>
      <c r="S20" s="88"/>
      <c r="X20" s="50"/>
      <c r="Y20" s="50"/>
    </row>
    <row r="21" spans="1:31" s="443" customFormat="1" ht="11.25" x14ac:dyDescent="0.2">
      <c r="A21" s="99"/>
      <c r="B21" s="58" t="s">
        <v>140</v>
      </c>
      <c r="C21" s="439"/>
      <c r="D21" s="439"/>
      <c r="E21" s="439"/>
      <c r="F21" s="439"/>
      <c r="G21" s="440"/>
      <c r="H21" s="440"/>
      <c r="I21" s="440"/>
      <c r="J21" s="441"/>
      <c r="K21" s="441"/>
      <c r="L21" s="440"/>
      <c r="M21" s="441"/>
      <c r="N21" s="441"/>
      <c r="P21" s="442"/>
      <c r="S21" s="88"/>
    </row>
    <row r="22" spans="1:31" s="89" customFormat="1" ht="11.25" customHeight="1" x14ac:dyDescent="0.2">
      <c r="B22" s="24" t="s">
        <v>9</v>
      </c>
    </row>
    <row r="23" spans="1:31" x14ac:dyDescent="0.2"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X23" s="52"/>
      <c r="Y23" s="52"/>
      <c r="Z23" s="3"/>
      <c r="AA23" s="3"/>
      <c r="AB23" s="3"/>
      <c r="AC23" s="3"/>
      <c r="AD23" s="3"/>
      <c r="AE23" s="3"/>
    </row>
    <row r="24" spans="1:31" x14ac:dyDescent="0.2"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X24" s="52"/>
      <c r="Y24" s="52"/>
      <c r="Z24" s="3"/>
      <c r="AA24" s="3"/>
      <c r="AB24" s="3"/>
      <c r="AC24" s="3"/>
      <c r="AD24" s="3"/>
      <c r="AE24" s="3"/>
    </row>
    <row r="25" spans="1:31" x14ac:dyDescent="0.2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X25" s="52"/>
      <c r="Y25" s="52"/>
      <c r="Z25" s="3"/>
      <c r="AA25" s="3"/>
      <c r="AB25" s="3"/>
      <c r="AC25" s="3"/>
      <c r="AD25" s="3"/>
      <c r="AE25" s="3"/>
    </row>
    <row r="26" spans="1:31" x14ac:dyDescent="0.2"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X26" s="52"/>
      <c r="Y26" s="52"/>
      <c r="Z26" s="3"/>
      <c r="AA26" s="3"/>
      <c r="AB26" s="3"/>
      <c r="AC26" s="3"/>
      <c r="AD26" s="3"/>
      <c r="AE26" s="3"/>
    </row>
    <row r="27" spans="1:31" x14ac:dyDescent="0.2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X27" s="52"/>
      <c r="Y27" s="52"/>
      <c r="Z27" s="3"/>
      <c r="AA27" s="3"/>
      <c r="AB27" s="3"/>
      <c r="AC27" s="3"/>
      <c r="AD27" s="3"/>
      <c r="AE27" s="3"/>
    </row>
    <row r="28" spans="1:31" x14ac:dyDescent="0.2"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X28" s="52"/>
      <c r="Y28" s="52"/>
      <c r="Z28" s="3"/>
      <c r="AA28" s="3"/>
      <c r="AB28" s="3"/>
      <c r="AC28" s="3"/>
      <c r="AD28" s="3"/>
      <c r="AE28" s="3"/>
    </row>
    <row r="29" spans="1:31" x14ac:dyDescent="0.2"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X29" s="54"/>
      <c r="Y29" s="54"/>
      <c r="Z29" s="3"/>
      <c r="AA29" s="3"/>
      <c r="AB29" s="3"/>
      <c r="AC29" s="3"/>
      <c r="AD29" s="3"/>
      <c r="AE29" s="3"/>
    </row>
    <row r="30" spans="1:31" x14ac:dyDescent="0.2"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X30" s="52"/>
      <c r="Y30" s="52"/>
      <c r="Z30" s="3"/>
      <c r="AA30" s="3"/>
      <c r="AB30" s="3"/>
      <c r="AC30" s="3"/>
      <c r="AD30" s="3"/>
      <c r="AE30" s="3"/>
    </row>
    <row r="31" spans="1:31" x14ac:dyDescent="0.2"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X31" s="52"/>
      <c r="Y31" s="52"/>
      <c r="Z31" s="3"/>
      <c r="AA31" s="3"/>
      <c r="AB31" s="3"/>
      <c r="AC31" s="3"/>
      <c r="AD31" s="3"/>
      <c r="AE31" s="3"/>
    </row>
    <row r="32" spans="1:31" x14ac:dyDescent="0.2"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X32" s="52"/>
      <c r="Y32" s="52"/>
      <c r="Z32" s="3"/>
      <c r="AA32" s="3"/>
      <c r="AB32" s="3"/>
      <c r="AC32" s="3"/>
      <c r="AD32" s="3"/>
      <c r="AE32" s="3"/>
    </row>
    <row r="33" spans="2:31" x14ac:dyDescent="0.2"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X33" s="52"/>
      <c r="Y33" s="52"/>
      <c r="Z33" s="3"/>
      <c r="AA33" s="3"/>
      <c r="AB33" s="3"/>
      <c r="AC33" s="3"/>
      <c r="AD33" s="3"/>
      <c r="AE33" s="3"/>
    </row>
    <row r="34" spans="2:31" x14ac:dyDescent="0.2"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X34" s="52"/>
      <c r="Y34" s="52"/>
      <c r="Z34" s="3"/>
      <c r="AA34" s="3"/>
      <c r="AB34" s="3"/>
      <c r="AC34" s="3"/>
      <c r="AD34" s="3"/>
      <c r="AE34" s="3"/>
    </row>
    <row r="35" spans="2:31" x14ac:dyDescent="0.2"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X35" s="52"/>
      <c r="Y35" s="52"/>
      <c r="Z35" s="3"/>
      <c r="AA35" s="3"/>
      <c r="AB35" s="3"/>
      <c r="AC35" s="3"/>
      <c r="AD35" s="3"/>
      <c r="AE35" s="3"/>
    </row>
    <row r="36" spans="2:31" x14ac:dyDescent="0.2"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450"/>
      <c r="X36" s="59"/>
      <c r="Y36" s="59"/>
      <c r="Z36" s="2"/>
      <c r="AA36" s="3"/>
      <c r="AB36" s="3"/>
      <c r="AC36" s="3"/>
      <c r="AD36" s="3"/>
      <c r="AE36" s="3"/>
    </row>
    <row r="37" spans="2:31" x14ac:dyDescent="0.2"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450"/>
      <c r="X37" s="59"/>
      <c r="Y37" s="59"/>
      <c r="Z37" s="2"/>
      <c r="AA37" s="3"/>
      <c r="AB37" s="3"/>
      <c r="AC37" s="3"/>
      <c r="AD37" s="3"/>
      <c r="AE37" s="3"/>
    </row>
    <row r="38" spans="2:31" x14ac:dyDescent="0.2"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450"/>
      <c r="X38" s="59"/>
      <c r="Y38" s="59"/>
      <c r="Z38" s="2"/>
      <c r="AA38" s="3"/>
      <c r="AB38" s="3"/>
      <c r="AC38" s="3"/>
      <c r="AD38" s="3"/>
      <c r="AE38" s="3"/>
    </row>
    <row r="39" spans="2:31" x14ac:dyDescent="0.2"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450"/>
      <c r="X39" s="450"/>
      <c r="Y39" s="450"/>
      <c r="Z39" s="2"/>
      <c r="AA39" s="3"/>
      <c r="AB39" s="3"/>
      <c r="AC39" s="3"/>
      <c r="AD39" s="3"/>
      <c r="AE39" s="3"/>
    </row>
    <row r="40" spans="2:31" x14ac:dyDescent="0.2"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450"/>
      <c r="X40" s="450"/>
      <c r="Y40" s="450"/>
      <c r="Z40" s="2"/>
      <c r="AA40" s="3"/>
      <c r="AB40" s="3"/>
      <c r="AC40" s="3"/>
      <c r="AD40" s="3"/>
      <c r="AE40" s="3"/>
    </row>
    <row r="41" spans="2:31" x14ac:dyDescent="0.2"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450"/>
      <c r="X41" s="60"/>
      <c r="Y41" s="60"/>
      <c r="Z41" s="2"/>
      <c r="AA41" s="3"/>
      <c r="AB41" s="3"/>
      <c r="AC41" s="3"/>
      <c r="AD41" s="3"/>
      <c r="AE41" s="3"/>
    </row>
    <row r="42" spans="2:31" x14ac:dyDescent="0.2"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450"/>
      <c r="X42" s="450"/>
      <c r="Y42" s="450"/>
      <c r="Z42" s="2"/>
      <c r="AA42" s="3"/>
      <c r="AB42" s="3"/>
      <c r="AC42" s="3"/>
      <c r="AD42" s="3"/>
      <c r="AE42" s="3"/>
    </row>
    <row r="43" spans="2:31" ht="14.25" x14ac:dyDescent="0.2"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60"/>
      <c r="X43" s="2"/>
      <c r="Y43" s="2"/>
      <c r="Z43" s="2"/>
      <c r="AA43" s="3"/>
      <c r="AB43" s="3"/>
      <c r="AC43" s="3"/>
      <c r="AD43" s="3"/>
      <c r="AE43" s="3"/>
    </row>
    <row r="44" spans="2:31" x14ac:dyDescent="0.2"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2"/>
      <c r="X44" s="451"/>
      <c r="Y44" s="451"/>
      <c r="Z44" s="2"/>
      <c r="AA44" s="3"/>
      <c r="AB44" s="3"/>
      <c r="AC44" s="3"/>
      <c r="AD44" s="3"/>
      <c r="AE44" s="3"/>
    </row>
    <row r="45" spans="2:31" x14ac:dyDescent="0.2"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452"/>
      <c r="X45" s="452"/>
      <c r="Y45" s="452"/>
      <c r="Z45" s="3"/>
      <c r="AA45" s="3"/>
      <c r="AB45" s="3"/>
      <c r="AC45" s="3"/>
      <c r="AD45" s="3"/>
      <c r="AE45" s="3"/>
    </row>
    <row r="46" spans="2:31" x14ac:dyDescent="0.2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452"/>
      <c r="X46" s="452"/>
      <c r="Y46" s="452"/>
      <c r="Z46" s="3"/>
      <c r="AA46" s="3"/>
      <c r="AB46" s="3"/>
      <c r="AC46" s="3"/>
      <c r="AD46" s="3"/>
      <c r="AE46" s="3"/>
    </row>
    <row r="47" spans="2:31" x14ac:dyDescent="0.2">
      <c r="W47" s="452"/>
      <c r="X47" s="453"/>
      <c r="Y47" s="453"/>
      <c r="Z47" s="3"/>
      <c r="AA47" s="3"/>
      <c r="AB47" s="3"/>
      <c r="AC47" s="3"/>
      <c r="AD47" s="3"/>
      <c r="AE47" s="3"/>
    </row>
    <row r="48" spans="2:31" x14ac:dyDescent="0.2">
      <c r="W48" s="453"/>
      <c r="Z48" s="3"/>
      <c r="AA48" s="3"/>
      <c r="AB48" s="3"/>
      <c r="AC48" s="3"/>
      <c r="AD48" s="3"/>
      <c r="AE48" s="3"/>
    </row>
    <row r="49" spans="26:31" x14ac:dyDescent="0.2">
      <c r="Z49" s="3"/>
      <c r="AA49" s="3"/>
      <c r="AB49" s="3"/>
      <c r="AC49" s="3"/>
      <c r="AD49" s="3"/>
      <c r="AE49" s="3"/>
    </row>
    <row r="50" spans="26:31" x14ac:dyDescent="0.2">
      <c r="Z50" s="3"/>
      <c r="AA50" s="3"/>
      <c r="AB50" s="3"/>
      <c r="AC50" s="3"/>
      <c r="AD50" s="3"/>
      <c r="AE50" s="3"/>
    </row>
    <row r="51" spans="26:31" x14ac:dyDescent="0.2">
      <c r="Z51" s="3"/>
      <c r="AA51" s="3"/>
      <c r="AB51" s="3"/>
      <c r="AC51" s="3"/>
      <c r="AD51" s="3"/>
      <c r="AE51" s="3"/>
    </row>
    <row r="52" spans="26:31" x14ac:dyDescent="0.2">
      <c r="Z52" s="3"/>
      <c r="AA52" s="3"/>
      <c r="AB52" s="3"/>
      <c r="AC52" s="3"/>
      <c r="AD52" s="3"/>
      <c r="AE52" s="3"/>
    </row>
    <row r="53" spans="26:31" x14ac:dyDescent="0.2">
      <c r="Z53" s="3"/>
      <c r="AA53" s="3"/>
      <c r="AB53" s="3"/>
      <c r="AC53" s="3"/>
      <c r="AD53" s="3"/>
      <c r="AE53" s="3"/>
    </row>
    <row r="54" spans="26:31" x14ac:dyDescent="0.2">
      <c r="Z54" s="3"/>
      <c r="AA54" s="3"/>
      <c r="AB54" s="3"/>
      <c r="AC54" s="3"/>
      <c r="AD54" s="3"/>
      <c r="AE54" s="3"/>
    </row>
  </sheetData>
  <mergeCells count="12">
    <mergeCell ref="B5:R5"/>
    <mergeCell ref="C6:R6"/>
    <mergeCell ref="B7:C9"/>
    <mergeCell ref="D7:D9"/>
    <mergeCell ref="F7:V7"/>
    <mergeCell ref="X7:Y8"/>
    <mergeCell ref="F8:G8"/>
    <mergeCell ref="I8:J8"/>
    <mergeCell ref="L8:M8"/>
    <mergeCell ref="O8:P8"/>
    <mergeCell ref="R8:S8"/>
    <mergeCell ref="U8:V8"/>
  </mergeCells>
  <hyperlinks>
    <hyperlink ref="Y1" location="Índice!A1" tooltip="Ir a ÍNDICE" display="INDICE" xr:uid="{546339BD-CDE6-4673-B3C4-6AD2643738FE}"/>
  </hyperlinks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79DD17FF0D63874BBC9730A271367D92" ma:contentTypeVersion="2" ma:contentTypeDescription="Crear nuevo documento." ma:contentTypeScope="" ma:versionID="9ace95b72e23775feccc1952b6288c4d">
  <xsd:schema xmlns:xsd="http://www.w3.org/2001/XMLSchema" xmlns:xs="http://www.w3.org/2001/XMLSchema" xmlns:p="http://schemas.microsoft.com/office/2006/metadata/properties" xmlns:ns2="e829ce69-67eb-47dd-9407-4f8adfa19fc2" targetNamespace="http://schemas.microsoft.com/office/2006/metadata/properties" ma:root="true" ma:fieldsID="f0fa613857d2432827017075419e7e72" ns2:_="">
    <xsd:import namespace="e829ce69-67eb-47dd-9407-4f8adfa19fc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829ce69-67eb-47dd-9407-4f8adfa19fc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57E91EB-6FAA-485E-994C-07E25722B36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829ce69-67eb-47dd-9407-4f8adfa19fc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158CE33-D221-496E-94AD-07C2EB33CC1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52BCF33-5307-49D3-8A81-EC3B2FB5C484}">
  <ds:schemaRefs>
    <ds:schemaRef ds:uri="http://schemas.openxmlformats.org/package/2006/metadata/core-properties"/>
    <ds:schemaRef ds:uri="http://schemas.microsoft.com/office/2006/documentManagement/types"/>
    <ds:schemaRef ds:uri="http://purl.org/dc/elements/1.1/"/>
    <ds:schemaRef ds:uri="http://purl.org/dc/dcmitype/"/>
    <ds:schemaRef ds:uri="e829ce69-67eb-47dd-9407-4f8adfa19fc2"/>
    <ds:schemaRef ds:uri="http://purl.org/dc/terms/"/>
    <ds:schemaRef ds:uri="http://schemas.microsoft.com/office/infopath/2007/PartnerControls"/>
    <ds:schemaRef ds:uri="http://schemas.microsoft.com/office/2006/metadata/properties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11</vt:i4>
      </vt:variant>
    </vt:vector>
  </HeadingPairs>
  <TitlesOfParts>
    <vt:vector size="24" baseType="lpstr">
      <vt:lpstr>Índice</vt:lpstr>
      <vt:lpstr>Cuadro 1.1</vt:lpstr>
      <vt:lpstr>Cuadro 1.2</vt:lpstr>
      <vt:lpstr>Cuadro 1.3</vt:lpstr>
      <vt:lpstr>Cuadro 1.4</vt:lpstr>
      <vt:lpstr>Cuadro 1.5</vt:lpstr>
      <vt:lpstr>Cuadro 1.6</vt:lpstr>
      <vt:lpstr>Cuadro 1.7</vt:lpstr>
      <vt:lpstr>Cuadro 1.8</vt:lpstr>
      <vt:lpstr>Cuadro 1.9</vt:lpstr>
      <vt:lpstr>Cuadro 1.10</vt:lpstr>
      <vt:lpstr>Cuadro 1.11</vt:lpstr>
      <vt:lpstr>Cuadro 1.12</vt:lpstr>
      <vt:lpstr>'Cuadro 1.1'!Área_de_impresión</vt:lpstr>
      <vt:lpstr>'Cuadro 1.10'!Área_de_impresión</vt:lpstr>
      <vt:lpstr>'Cuadro 1.11'!Área_de_impresión</vt:lpstr>
      <vt:lpstr>'Cuadro 1.12'!Área_de_impresión</vt:lpstr>
      <vt:lpstr>'Cuadro 1.2'!Área_de_impresión</vt:lpstr>
      <vt:lpstr>'Cuadro 1.4'!Área_de_impresión</vt:lpstr>
      <vt:lpstr>'Cuadro 1.5'!Área_de_impresión</vt:lpstr>
      <vt:lpstr>'Cuadro 1.6'!Área_de_impresión</vt:lpstr>
      <vt:lpstr>'Cuadro 1.7'!Área_de_impresión</vt:lpstr>
      <vt:lpstr>'Cuadro 1.8'!Área_de_impresión</vt:lpstr>
      <vt:lpstr>'Cuadro 1.9'!Área_de_impresión</vt:lpstr>
    </vt:vector>
  </TitlesOfParts>
  <Manager/>
  <Company>INEGI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Encuesta Nacional de Vivienda. ENVI2020</dc:title>
  <dc:subject>Tabulados básicos</dc:subject>
  <dc:creator>INEGI</dc:creator>
  <cp:keywords>Tabulados de hogares y viviendas</cp:keywords>
  <dc:description>2021</dc:description>
  <cp:lastModifiedBy>INEGI</cp:lastModifiedBy>
  <cp:revision/>
  <dcterms:created xsi:type="dcterms:W3CDTF">2019-05-08T14:05:56Z</dcterms:created>
  <dcterms:modified xsi:type="dcterms:W3CDTF">2021-08-19T16:01:27Z</dcterms:modified>
  <cp:category>ENVI2020; ENIGH 2018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0x01010079DD17FF0D63874BBC9730A271367D92</vt:lpwstr>
  </property>
</Properties>
</file>