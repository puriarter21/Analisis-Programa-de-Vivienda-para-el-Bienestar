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guillermo.reyes\Downloads\Tabulados_ENVI2020\Tabulados_ENVI2020_20210811\"/>
    </mc:Choice>
  </mc:AlternateContent>
  <xr:revisionPtr revIDLastSave="0" documentId="13_ncr:1_{D91640DD-F64D-4AF5-A29D-27E4A7C7B54F}" xr6:coauthVersionLast="47" xr6:coauthVersionMax="47" xr10:uidLastSave="{00000000-0000-0000-0000-000000000000}"/>
  <bookViews>
    <workbookView xWindow="20370" yWindow="-120" windowWidth="29040" windowHeight="15840" tabRatio="801" xr2:uid="{00000000-000D-0000-FFFF-FFFF00000000}"/>
  </bookViews>
  <sheets>
    <sheet name="Índice" sheetId="77" r:id="rId1"/>
    <sheet name="Cuadro 4.1" sheetId="101" r:id="rId2"/>
    <sheet name="Cuadro 4.2" sheetId="102" r:id="rId3"/>
    <sheet name="Cuadro 4.3" sheetId="103" r:id="rId4"/>
    <sheet name="Cuadro 4.4" sheetId="104" r:id="rId5"/>
    <sheet name="Cuadro 4.5" sheetId="105" r:id="rId6"/>
    <sheet name="Cuadro 4.6" sheetId="106" r:id="rId7"/>
    <sheet name="Cuadro 4.7" sheetId="107" r:id="rId8"/>
    <sheet name="Cuadro 4.8" sheetId="108" r:id="rId9"/>
    <sheet name="Cuadro 4.9" sheetId="109" r:id="rId10"/>
    <sheet name="Cuadro 4.10" sheetId="110" r:id="rId11"/>
    <sheet name="Cuadro 4.11" sheetId="111" r:id="rId12"/>
    <sheet name="Cuadro 4.12" sheetId="112" r:id="rId13"/>
    <sheet name="Cuadro 4.13" sheetId="113" r:id="rId14"/>
    <sheet name="Cuadro 4.14" sheetId="115" r:id="rId15"/>
    <sheet name="Cuadro 4.15" sheetId="117" r:id="rId16"/>
    <sheet name="Cuadro 4.16" sheetId="118" r:id="rId17"/>
    <sheet name="Cuadro 4.17" sheetId="119" r:id="rId18"/>
    <sheet name="Cuadro 4.18" sheetId="120" r:id="rId19"/>
  </sheets>
  <externalReferences>
    <externalReference r:id="rId20"/>
  </externalReferences>
  <definedNames>
    <definedName name="\p">#N/A</definedName>
    <definedName name="\s">#N/A</definedName>
    <definedName name="_xlnm._FilterDatabase" localSheetId="10" hidden="1">'Cuadro 4.10'!$D$9:$F$43</definedName>
    <definedName name="_xlnm._FilterDatabase" localSheetId="11" hidden="1">'Cuadro 4.11'!$D$11:$J$45</definedName>
    <definedName name="_xlnm._FilterDatabase" localSheetId="12" hidden="1">'Cuadro 4.12'!$D$11:$P$45</definedName>
    <definedName name="_xlnm._FilterDatabase" localSheetId="13" hidden="1">'Cuadro 4.13'!#REF!</definedName>
    <definedName name="_xlnm._FilterDatabase" localSheetId="14" hidden="1">'Cuadro 4.14'!#REF!</definedName>
    <definedName name="_xlnm._FilterDatabase" localSheetId="5" hidden="1">'Cuadro 4.5'!#REF!</definedName>
    <definedName name="_xlnm._FilterDatabase" localSheetId="6" hidden="1">'Cuadro 4.6'!$D$11:$P$45</definedName>
    <definedName name="_xlnm._FilterDatabase" localSheetId="7" hidden="1">'Cuadro 4.7'!$D$11:$P$45</definedName>
    <definedName name="_xlnm._FilterDatabase" localSheetId="8" hidden="1">'Cuadro 4.8'!$D$11:$P$45</definedName>
    <definedName name="_xlnm._FilterDatabase" localSheetId="9" hidden="1">'Cuadro 4.9'!$D$11:$J$45</definedName>
    <definedName name="A_impresión_IM" localSheetId="1">#REF!</definedName>
    <definedName name="A_impresión_IM" localSheetId="10">#REF!</definedName>
    <definedName name="A_impresión_IM" localSheetId="11">#REF!</definedName>
    <definedName name="A_impresión_IM" localSheetId="12">#REF!</definedName>
    <definedName name="A_impresión_IM" localSheetId="13">#REF!</definedName>
    <definedName name="A_impresión_IM" localSheetId="14">#REF!</definedName>
    <definedName name="A_impresión_IM" localSheetId="16">#REF!</definedName>
    <definedName name="A_impresión_IM" localSheetId="18">#REF!</definedName>
    <definedName name="A_impresión_IM" localSheetId="2">#REF!</definedName>
    <definedName name="A_impresión_IM" localSheetId="3">#REF!</definedName>
    <definedName name="A_impresión_IM" localSheetId="4">#REF!</definedName>
    <definedName name="A_impresión_IM" localSheetId="5">#REF!</definedName>
    <definedName name="A_impresión_IM" localSheetId="6">#REF!</definedName>
    <definedName name="A_impresión_IM" localSheetId="7">#REF!</definedName>
    <definedName name="A_impresión_IM" localSheetId="8">#REF!</definedName>
    <definedName name="A_impresión_IM" localSheetId="9">#REF!</definedName>
    <definedName name="A_impresión_IM" localSheetId="0">#REF!</definedName>
    <definedName name="A_impresión_IM">#REF!</definedName>
    <definedName name="Cuadro_2.1" localSheetId="10">#REF!</definedName>
    <definedName name="Cuadro_2.1" localSheetId="11">#REF!</definedName>
    <definedName name="Cuadro_2.1" localSheetId="12">#REF!</definedName>
    <definedName name="Cuadro_2.1" localSheetId="13">#REF!</definedName>
    <definedName name="Cuadro_2.1" localSheetId="14">#REF!</definedName>
    <definedName name="Cuadro_2.1" localSheetId="16">#REF!</definedName>
    <definedName name="Cuadro_2.1" localSheetId="18">#REF!</definedName>
    <definedName name="Cuadro_2.1" localSheetId="2">#REF!</definedName>
    <definedName name="Cuadro_2.1" localSheetId="4">#REF!</definedName>
    <definedName name="Cuadro_2.1" localSheetId="5">#REF!</definedName>
    <definedName name="Cuadro_2.1" localSheetId="6">#REF!</definedName>
    <definedName name="Cuadro_2.1" localSheetId="7">#REF!</definedName>
    <definedName name="Cuadro_2.1" localSheetId="8">#REF!</definedName>
    <definedName name="Cuadro_2.1" localSheetId="9">#REF!</definedName>
    <definedName name="Cuadro_2.1" localSheetId="0">#REF!</definedName>
    <definedName name="Cuadro_2.1">#REF!</definedName>
    <definedName name="Cuadro_2.2" localSheetId="10">#REF!</definedName>
    <definedName name="Cuadro_2.2" localSheetId="11">#REF!</definedName>
    <definedName name="Cuadro_2.2" localSheetId="12">#REF!</definedName>
    <definedName name="Cuadro_2.2" localSheetId="13">#REF!</definedName>
    <definedName name="Cuadro_2.2" localSheetId="14">#REF!</definedName>
    <definedName name="Cuadro_2.2" localSheetId="16">#REF!</definedName>
    <definedName name="Cuadro_2.2" localSheetId="18">#REF!</definedName>
    <definedName name="Cuadro_2.2" localSheetId="2">#REF!</definedName>
    <definedName name="Cuadro_2.2" localSheetId="4">#REF!</definedName>
    <definedName name="Cuadro_2.2" localSheetId="5">#REF!</definedName>
    <definedName name="Cuadro_2.2" localSheetId="6">#REF!</definedName>
    <definedName name="Cuadro_2.2" localSheetId="7">#REF!</definedName>
    <definedName name="Cuadro_2.2" localSheetId="8">#REF!</definedName>
    <definedName name="Cuadro_2.2" localSheetId="9">#REF!</definedName>
    <definedName name="Cuadro_2.2" localSheetId="0">#REF!</definedName>
    <definedName name="Cuadro_2.2">#REF!</definedName>
    <definedName name="Cuadro_2.3" localSheetId="10">#REF!</definedName>
    <definedName name="Cuadro_2.3" localSheetId="11">#REF!</definedName>
    <definedName name="Cuadro_2.3" localSheetId="12">#REF!</definedName>
    <definedName name="Cuadro_2.3" localSheetId="13">#REF!</definedName>
    <definedName name="Cuadro_2.3" localSheetId="14">#REF!</definedName>
    <definedName name="Cuadro_2.3" localSheetId="16">#REF!</definedName>
    <definedName name="Cuadro_2.3" localSheetId="18">#REF!</definedName>
    <definedName name="Cuadro_2.3" localSheetId="2">#REF!</definedName>
    <definedName name="Cuadro_2.3" localSheetId="4">#REF!</definedName>
    <definedName name="Cuadro_2.3" localSheetId="5">#REF!</definedName>
    <definedName name="Cuadro_2.3" localSheetId="6">#REF!</definedName>
    <definedName name="Cuadro_2.3" localSheetId="7">#REF!</definedName>
    <definedName name="Cuadro_2.3" localSheetId="8">#REF!</definedName>
    <definedName name="Cuadro_2.3" localSheetId="9">#REF!</definedName>
    <definedName name="Cuadro_2.3" localSheetId="0">#REF!</definedName>
    <definedName name="Cuadro_2.3">#REF!</definedName>
    <definedName name="Ir_a_inicio">'[1]Cuadro 1'!#REF!</definedName>
    <definedName name="paso" localSheetId="1">#REF!</definedName>
    <definedName name="paso" localSheetId="10">#REF!</definedName>
    <definedName name="paso" localSheetId="11">#REF!</definedName>
    <definedName name="paso" localSheetId="12">#REF!</definedName>
    <definedName name="paso" localSheetId="13">#REF!</definedName>
    <definedName name="paso" localSheetId="14">#REF!</definedName>
    <definedName name="paso" localSheetId="16">#REF!</definedName>
    <definedName name="paso" localSheetId="18">#REF!</definedName>
    <definedName name="paso" localSheetId="2">#REF!</definedName>
    <definedName name="paso" localSheetId="3">#REF!</definedName>
    <definedName name="paso" localSheetId="4">#REF!</definedName>
    <definedName name="paso" localSheetId="5">#REF!</definedName>
    <definedName name="paso" localSheetId="6">#REF!</definedName>
    <definedName name="paso" localSheetId="7">#REF!</definedName>
    <definedName name="paso" localSheetId="8">#REF!</definedName>
    <definedName name="paso" localSheetId="9">#REF!</definedName>
    <definedName name="paso" localSheetId="0">#REF!</definedName>
    <definedName name="paso">#REF!</definedName>
    <definedName name="prueba" localSheetId="1">#REF!</definedName>
    <definedName name="prueba" localSheetId="10">#REF!</definedName>
    <definedName name="prueba" localSheetId="11">#REF!</definedName>
    <definedName name="prueba" localSheetId="12">#REF!</definedName>
    <definedName name="prueba" localSheetId="13">#REF!</definedName>
    <definedName name="prueba" localSheetId="14">#REF!</definedName>
    <definedName name="prueba" localSheetId="16">#REF!</definedName>
    <definedName name="prueba" localSheetId="18">#REF!</definedName>
    <definedName name="prueba" localSheetId="2">#REF!</definedName>
    <definedName name="prueba" localSheetId="3">#REF!</definedName>
    <definedName name="prueba" localSheetId="4">#REF!</definedName>
    <definedName name="prueba" localSheetId="5">#REF!</definedName>
    <definedName name="prueba" localSheetId="6">#REF!</definedName>
    <definedName name="prueba" localSheetId="7">#REF!</definedName>
    <definedName name="prueba" localSheetId="8">#REF!</definedName>
    <definedName name="prueba" localSheetId="9">#REF!</definedName>
    <definedName name="prueba" localSheetId="0">#REF!</definedName>
    <definedName name="prueba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7" i="77" l="1"/>
</calcChain>
</file>

<file path=xl/sharedStrings.xml><?xml version="1.0" encoding="utf-8"?>
<sst xmlns="http://schemas.openxmlformats.org/spreadsheetml/2006/main" count="911" uniqueCount="203">
  <si>
    <t>Absolutos</t>
  </si>
  <si>
    <t>Relativos</t>
  </si>
  <si>
    <t xml:space="preserve">Estados Unidos Mexicanos </t>
  </si>
  <si>
    <t>Aguascalientes</t>
  </si>
  <si>
    <t>Baja California</t>
  </si>
  <si>
    <t>Baja California Sur</t>
  </si>
  <si>
    <t>Campeche</t>
  </si>
  <si>
    <t>Coahuila de Zaragoza</t>
  </si>
  <si>
    <t>Colima</t>
  </si>
  <si>
    <t>Chiapas</t>
  </si>
  <si>
    <t>Chihuahua</t>
  </si>
  <si>
    <t>Ciudad de México</t>
  </si>
  <si>
    <t>Durango</t>
  </si>
  <si>
    <t>Guanajuato</t>
  </si>
  <si>
    <t>Guerrero</t>
  </si>
  <si>
    <t>Hidalgo</t>
  </si>
  <si>
    <t>Jalisco</t>
  </si>
  <si>
    <t>México</t>
  </si>
  <si>
    <t>Michoacán de Ocampo</t>
  </si>
  <si>
    <t>Morelos</t>
  </si>
  <si>
    <t>Nayarit</t>
  </si>
  <si>
    <t>Nuevo León</t>
  </si>
  <si>
    <t>Oaxaca</t>
  </si>
  <si>
    <t>Puebla</t>
  </si>
  <si>
    <t>Querétaro</t>
  </si>
  <si>
    <t>Quintana Roo</t>
  </si>
  <si>
    <t>San Luis Potosí</t>
  </si>
  <si>
    <t>Sinaloa</t>
  </si>
  <si>
    <t>Sonora</t>
  </si>
  <si>
    <t>Tabasco</t>
  </si>
  <si>
    <t>Tamaulipas</t>
  </si>
  <si>
    <t>Tlaxcala</t>
  </si>
  <si>
    <t>Veracruz de Ignacio de la Llave</t>
  </si>
  <si>
    <t>Yucatán</t>
  </si>
  <si>
    <t>Zacatecas</t>
  </si>
  <si>
    <t xml:space="preserve">Estados Unidos Mexicanos                                    </t>
  </si>
  <si>
    <t>1 a 2 499 habitantes</t>
  </si>
  <si>
    <t xml:space="preserve">De 2 500 a 14 999 habitantes </t>
  </si>
  <si>
    <t xml:space="preserve">De 15 000 a 99 999 habitantes </t>
  </si>
  <si>
    <t>No especificado</t>
  </si>
  <si>
    <t>Forma de adquisición</t>
  </si>
  <si>
    <t>Se compró nueva</t>
  </si>
  <si>
    <t>Se compró usada</t>
  </si>
  <si>
    <t>Se obtuvo de otra manera</t>
  </si>
  <si>
    <t>Subsidios federal, estatal o municipal</t>
  </si>
  <si>
    <t>Tamaño de localidad y tipo de acción en la vivienda</t>
  </si>
  <si>
    <t>Materiales</t>
  </si>
  <si>
    <t>Sueldos y salarios</t>
  </si>
  <si>
    <t>Licencias</t>
  </si>
  <si>
    <t>Construcción</t>
  </si>
  <si>
    <t>Ampliación</t>
  </si>
  <si>
    <t>Renovación, rehabilitación o reforzamiento de la parte estructural</t>
  </si>
  <si>
    <t>Reparación menor o mantenimiento</t>
  </si>
  <si>
    <t>Remodelación</t>
  </si>
  <si>
    <t>100 000 y más habitantes</t>
  </si>
  <si>
    <t>Tamaño de localidad</t>
  </si>
  <si>
    <t>100 000  o más habitantes</t>
  </si>
  <si>
    <r>
      <t>Fuente:</t>
    </r>
    <r>
      <rPr>
        <b/>
        <sz val="8"/>
        <color rgb="FF000000"/>
        <rFont val="Arial"/>
        <family val="2"/>
      </rPr>
      <t xml:space="preserve"> INEGI.</t>
    </r>
    <r>
      <rPr>
        <sz val="8"/>
        <color rgb="FF000000"/>
        <rFont val="Arial"/>
        <family val="2"/>
      </rPr>
      <t xml:space="preserve"> Encuesta Nacional de Vivienda 2020.</t>
    </r>
  </si>
  <si>
    <t>Total de hogares</t>
  </si>
  <si>
    <t>Sí</t>
  </si>
  <si>
    <t>No</t>
  </si>
  <si>
    <t>Está habitada</t>
  </si>
  <si>
    <t>Otra</t>
  </si>
  <si>
    <r>
      <t>Hasta 45 m</t>
    </r>
    <r>
      <rPr>
        <b/>
        <vertAlign val="superscript"/>
        <sz val="8"/>
        <color theme="1"/>
        <rFont val="Arial"/>
        <family val="2"/>
      </rPr>
      <t>2</t>
    </r>
  </si>
  <si>
    <r>
      <t>De 46 a 75 m</t>
    </r>
    <r>
      <rPr>
        <b/>
        <vertAlign val="superscript"/>
        <sz val="8"/>
        <color theme="1"/>
        <rFont val="Arial"/>
        <family val="2"/>
      </rPr>
      <t>2</t>
    </r>
  </si>
  <si>
    <r>
      <t>De 76 a 100 m</t>
    </r>
    <r>
      <rPr>
        <b/>
        <vertAlign val="superscript"/>
        <sz val="8"/>
        <color theme="1"/>
        <rFont val="Arial"/>
        <family val="2"/>
      </rPr>
      <t>2</t>
    </r>
  </si>
  <si>
    <r>
      <t>De 101 a 150 m</t>
    </r>
    <r>
      <rPr>
        <b/>
        <vertAlign val="superscript"/>
        <sz val="8"/>
        <color theme="1"/>
        <rFont val="Arial"/>
        <family val="2"/>
      </rPr>
      <t>2</t>
    </r>
  </si>
  <si>
    <r>
      <t>Más de 150 m</t>
    </r>
    <r>
      <rPr>
        <b/>
        <vertAlign val="superscript"/>
        <sz val="8"/>
        <color theme="1"/>
        <rFont val="Arial"/>
        <family val="2"/>
      </rPr>
      <t>2</t>
    </r>
  </si>
  <si>
    <t>Tipo de vivienda</t>
  </si>
  <si>
    <r>
      <rPr>
        <vertAlign val="superscript"/>
        <sz val="8"/>
        <rFont val="Arial"/>
        <family val="2"/>
      </rPr>
      <t>2</t>
    </r>
    <r>
      <rPr>
        <sz val="8"/>
        <rFont val="Arial"/>
        <family val="2"/>
      </rPr>
      <t xml:space="preserve"> Incluye viviendas que están en proceso de venta o renta, las usan para vacaciones o deshabitadas.</t>
    </r>
  </si>
  <si>
    <r>
      <rPr>
        <vertAlign val="superscript"/>
        <sz val="8"/>
        <rFont val="Arial"/>
        <family val="2"/>
      </rPr>
      <t>3</t>
    </r>
    <r>
      <rPr>
        <sz val="8"/>
        <rFont val="Arial"/>
        <family val="2"/>
      </rPr>
      <t xml:space="preserve"> Incluye viviendas en proceso de construcción o que son inadecuadas para habitarse.</t>
    </r>
  </si>
  <si>
    <r>
      <rPr>
        <vertAlign val="superscript"/>
        <sz val="8"/>
        <rFont val="Arial"/>
        <family val="2"/>
      </rPr>
      <t>4</t>
    </r>
    <r>
      <rPr>
        <sz val="8"/>
        <rFont val="Arial"/>
        <family val="2"/>
      </rPr>
      <t xml:space="preserve"> Incluye viviendas que se usan con fines distintos a los de habitación (bodega, negocio, etcétera).</t>
    </r>
  </si>
  <si>
    <r>
      <t>Casa independiente</t>
    </r>
    <r>
      <rPr>
        <b/>
        <vertAlign val="superscript"/>
        <sz val="8"/>
        <rFont val="Arial"/>
        <family val="2"/>
      </rPr>
      <t>2</t>
    </r>
  </si>
  <si>
    <t>Uso de la vivienda</t>
  </si>
  <si>
    <r>
      <rPr>
        <vertAlign val="superscript"/>
        <sz val="8"/>
        <rFont val="Arial"/>
        <family val="2"/>
      </rPr>
      <t xml:space="preserve">2 </t>
    </r>
    <r>
      <rPr>
        <sz val="8"/>
        <rFont val="Arial"/>
        <family val="2"/>
      </rPr>
      <t>La suma puede ser mayor al total de viviendas porque se pudo responder más de una razón para adquirir la vivienda.</t>
    </r>
  </si>
  <si>
    <t>Metros de construcción (m2) de la vivienda</t>
  </si>
  <si>
    <t>Entidad federativa</t>
  </si>
  <si>
    <r>
      <rPr>
        <vertAlign val="superscript"/>
        <sz val="8"/>
        <rFont val="Arial"/>
        <family val="2"/>
      </rPr>
      <t>3</t>
    </r>
    <r>
      <rPr>
        <sz val="8"/>
        <rFont val="Arial"/>
        <family val="2"/>
      </rPr>
      <t xml:space="preserve"> Incluye: "Por las características de la vivienda (tamaño, dimensión o tipo)", "Por las vías de acceso y cercanía a los servicios" y "Seguridad de la zona".</t>
    </r>
  </si>
  <si>
    <r>
      <rPr>
        <vertAlign val="superscript"/>
        <sz val="8"/>
        <rFont val="Arial"/>
        <family val="2"/>
      </rPr>
      <t>4</t>
    </r>
    <r>
      <rPr>
        <sz val="8"/>
        <rFont val="Arial"/>
        <family val="2"/>
      </rPr>
      <t xml:space="preserve"> Incluye:  "Por inversión", "Para aprovechar un crédito" y "Es la que pudo comprar (con crédito, subsidio o recursos propios)".</t>
    </r>
  </si>
  <si>
    <r>
      <rPr>
        <vertAlign val="superscript"/>
        <sz val="8"/>
        <rFont val="Arial"/>
        <family val="2"/>
      </rPr>
      <t>5</t>
    </r>
    <r>
      <rPr>
        <sz val="8"/>
        <rFont val="Arial"/>
        <family val="2"/>
      </rPr>
      <t xml:space="preserve"> Incluye: "Fue herencia (la vivienda o el terreno)" y "Por motivos personales (independizarse, creció en ese lugar, cercanía a la familia, etcétera)".</t>
    </r>
  </si>
  <si>
    <r>
      <rPr>
        <vertAlign val="superscript"/>
        <sz val="8"/>
        <rFont val="Arial"/>
        <family val="2"/>
      </rPr>
      <t>2</t>
    </r>
    <r>
      <rPr>
        <sz val="8"/>
        <rFont val="Arial"/>
        <family val="2"/>
      </rPr>
      <t xml:space="preserve"> Incluye vivienda en coto o unidad habitacional. </t>
    </r>
  </si>
  <si>
    <r>
      <rPr>
        <vertAlign val="superscript"/>
        <sz val="8"/>
        <rFont val="Arial"/>
        <family val="2"/>
      </rPr>
      <t>3</t>
    </r>
    <r>
      <rPr>
        <sz val="8"/>
        <rFont val="Arial"/>
        <family val="2"/>
      </rPr>
      <t xml:space="preserve"> Incluye vivienda en edificio, vivienda en vecindad, vivienda en cuarto de azotea y local no construido para habitación.</t>
    </r>
  </si>
  <si>
    <t>Promedio de cuartos por vivienda</t>
  </si>
  <si>
    <t>Una vivienda secundaria</t>
  </si>
  <si>
    <t>Dos o más viviendas secundarias</t>
  </si>
  <si>
    <t>Total de hogares con viviendas secundarias</t>
  </si>
  <si>
    <r>
      <t>Total de viviendas secundarias con más gastos durante 2020</t>
    </r>
    <r>
      <rPr>
        <b/>
        <vertAlign val="superscript"/>
        <sz val="8"/>
        <color theme="1"/>
        <rFont val="Arial"/>
        <family val="2"/>
      </rPr>
      <t>1</t>
    </r>
  </si>
  <si>
    <t>Total de hogares que realizaron alguna construcción, ampliación, renovación, reparación o remodelación en la vivienda secundaria con más gastos durante 2020</t>
  </si>
  <si>
    <t>Total de hogares que realizaron alguna construcción, ampliación, renovación, reparación o remodelación en la vivienda secundaria con más gastos durante 2019</t>
  </si>
  <si>
    <t>Total de viviendas secundarias por entidad federativa</t>
  </si>
  <si>
    <t>Total de viviendas secundarias</t>
  </si>
  <si>
    <t>Total de viviendas secundarias con gastos en construcción, ampliación, renovación, rehabilitación o reforzamiento durante 2019</t>
  </si>
  <si>
    <t>Total de viviendas secundarias con gastos en construcción, ampliación, renovación, rehabilitación o reforzamiento durante 2020</t>
  </si>
  <si>
    <r>
      <rPr>
        <vertAlign val="superscript"/>
        <sz val="8"/>
        <rFont val="Arial"/>
        <family val="2"/>
      </rPr>
      <t>1</t>
    </r>
    <r>
      <rPr>
        <sz val="8"/>
        <rFont val="Arial"/>
        <family val="2"/>
      </rPr>
      <t xml:space="preserve"> Cuando hay más de una vivienda secundaria por hogar, corresponde exclusivamente a las viviendas con más gastos de compra, construcción o mantenimiento durante 2020.</t>
    </r>
  </si>
  <si>
    <t>Condición de tenencia de viviendas secundarias propias</t>
  </si>
  <si>
    <t xml:space="preserve"> Tipo de gasto
</t>
  </si>
  <si>
    <t>Gasto de los hogares que reportaron algún gasto en construcción, ampliación, renovación, reparación o remodelación a la vivienda secundaria con más gastos durante 2019</t>
  </si>
  <si>
    <t>Tipo de acción en vivienda</t>
  </si>
  <si>
    <t>Gasto de los hogares que reportaron algún gasto en construcción, ampliación, renovación, reparación o remodelación a la vivienda secundaria con más gastos durante 2020</t>
  </si>
  <si>
    <t>Cuadro 4.1</t>
  </si>
  <si>
    <t>Cuadro 4.2</t>
  </si>
  <si>
    <t>Hogares por entidad federativa, según condición de tenencia de viviendas secundarias propias</t>
  </si>
  <si>
    <t>Cuadro 4.3</t>
  </si>
  <si>
    <t>Hogares con viviendas secundarias por tamaño de localidad, según número de viviendas secundarias propias</t>
  </si>
  <si>
    <t>Hogares con viviendas secundarias por entidad federativa, según número de viviendas secundarias propias</t>
  </si>
  <si>
    <t>Cuadro 4.4</t>
  </si>
  <si>
    <t>Cuadro 4.5</t>
  </si>
  <si>
    <t>Cuadro 4.6</t>
  </si>
  <si>
    <r>
      <t>Total de viviendas secundarias con más gastos durante 2020</t>
    </r>
    <r>
      <rPr>
        <b/>
        <vertAlign val="superscript"/>
        <sz val="8"/>
        <rFont val="Arial"/>
        <family val="2"/>
      </rPr>
      <t>1</t>
    </r>
  </si>
  <si>
    <r>
      <t>Está deshabitada</t>
    </r>
    <r>
      <rPr>
        <b/>
        <vertAlign val="superscript"/>
        <sz val="8"/>
        <rFont val="Arial"/>
        <family val="2"/>
      </rPr>
      <t>2</t>
    </r>
  </si>
  <si>
    <r>
      <t>Está en proceso de construcción</t>
    </r>
    <r>
      <rPr>
        <b/>
        <vertAlign val="superscript"/>
        <sz val="8"/>
        <rFont val="Arial"/>
        <family val="2"/>
      </rPr>
      <t>3</t>
    </r>
  </si>
  <si>
    <r>
      <t>Otra situación</t>
    </r>
    <r>
      <rPr>
        <b/>
        <vertAlign val="superscript"/>
        <sz val="8"/>
        <rFont val="Arial"/>
        <family val="2"/>
      </rPr>
      <t>4</t>
    </r>
  </si>
  <si>
    <t>Cuadro 4.7</t>
  </si>
  <si>
    <t>Cuadro 4.8</t>
  </si>
  <si>
    <t>Cuadro 4.9</t>
  </si>
  <si>
    <t>Cuadro 4.10</t>
  </si>
  <si>
    <t>Cuadro 4.11</t>
  </si>
  <si>
    <t>Cuadro 4.12</t>
  </si>
  <si>
    <t>Cuadro 4.13</t>
  </si>
  <si>
    <t>Cuadro 4.14</t>
  </si>
  <si>
    <t>Cuadro 4.15</t>
  </si>
  <si>
    <t>Cuadro 4.16</t>
  </si>
  <si>
    <t>Cuadro 4.17</t>
  </si>
  <si>
    <t>Cuadro 4.18</t>
  </si>
  <si>
    <r>
      <t>Razones de adquisición</t>
    </r>
    <r>
      <rPr>
        <b/>
        <vertAlign val="superscript"/>
        <sz val="8"/>
        <rFont val="Arial"/>
        <family val="2"/>
      </rPr>
      <t>2</t>
    </r>
  </si>
  <si>
    <r>
      <t>Infraestructura de la vivienda y localidad</t>
    </r>
    <r>
      <rPr>
        <b/>
        <vertAlign val="superscript"/>
        <sz val="8"/>
        <rFont val="Arial"/>
        <family val="2"/>
      </rPr>
      <t>3</t>
    </r>
  </si>
  <si>
    <r>
      <t>Económicas</t>
    </r>
    <r>
      <rPr>
        <b/>
        <vertAlign val="superscript"/>
        <sz val="8"/>
        <rFont val="Arial"/>
        <family val="2"/>
      </rPr>
      <t>4</t>
    </r>
  </si>
  <si>
    <r>
      <t>Personales</t>
    </r>
    <r>
      <rPr>
        <b/>
        <vertAlign val="superscript"/>
        <sz val="8"/>
        <rFont val="Arial"/>
        <family val="2"/>
      </rPr>
      <t>5</t>
    </r>
  </si>
  <si>
    <r>
      <t>Se construyó</t>
    </r>
    <r>
      <rPr>
        <b/>
        <vertAlign val="superscript"/>
        <sz val="8"/>
        <rFont val="Arial"/>
        <family val="2"/>
      </rPr>
      <t>2</t>
    </r>
  </si>
  <si>
    <r>
      <rPr>
        <vertAlign val="superscript"/>
        <sz val="8"/>
        <rFont val="Arial"/>
        <family val="2"/>
      </rPr>
      <t>2</t>
    </r>
    <r>
      <rPr>
        <sz val="8"/>
        <rFont val="Arial"/>
        <family val="2"/>
      </rPr>
      <t xml:space="preserve"> Incluye las viviendas que las construyó un(a) albañil o trabajador(a) por su cuenta, un(a) ingeniero(a) o arquitecto(a), una empresa constructora, o alguna persona del hogar.</t>
    </r>
  </si>
  <si>
    <r>
      <t>Otro</t>
    </r>
    <r>
      <rPr>
        <b/>
        <vertAlign val="superscript"/>
        <sz val="8"/>
        <rFont val="Arial"/>
        <family val="2"/>
      </rPr>
      <t>3</t>
    </r>
  </si>
  <si>
    <r>
      <t>Total de hogares con viviendas secundarias que tuvieron gastos en construcción, ampliación, renovación, rehabilitación o reforzamiento durante 2019</t>
    </r>
    <r>
      <rPr>
        <b/>
        <vertAlign val="superscript"/>
        <sz val="8"/>
        <rFont val="Arial"/>
        <family val="2"/>
      </rPr>
      <t>1</t>
    </r>
  </si>
  <si>
    <r>
      <rPr>
        <vertAlign val="superscript"/>
        <sz val="8"/>
        <rFont val="Arial"/>
        <family val="2"/>
      </rPr>
      <t>1</t>
    </r>
    <r>
      <rPr>
        <sz val="8"/>
        <rFont val="Arial"/>
        <family val="2"/>
      </rPr>
      <t xml:space="preserve"> Excluye a los hogares que reportaron sí haber realizado alguna construcción, ampliación, renovación, reparación o mantenimiento durante 2019, pero que no gastaron o no especificaron monto.</t>
    </r>
  </si>
  <si>
    <r>
      <t>Total de hogares con viviendas secundarias que tuvieron gastos en construcción, ampliación, renovación, rehabilitación o reforzamiento durante 2020</t>
    </r>
    <r>
      <rPr>
        <b/>
        <vertAlign val="superscript"/>
        <sz val="8"/>
        <rFont val="Arial"/>
        <family val="2"/>
      </rPr>
      <t>1</t>
    </r>
  </si>
  <si>
    <r>
      <rPr>
        <vertAlign val="superscript"/>
        <sz val="8"/>
        <rFont val="Arial"/>
        <family val="2"/>
      </rPr>
      <t>1</t>
    </r>
    <r>
      <rPr>
        <sz val="8"/>
        <rFont val="Arial"/>
        <family val="2"/>
      </rPr>
      <t xml:space="preserve"> Excluye a los hogares que reportaron sí haber realizado alguna construcción, ampliación, renovación, reparación o mantenimiento durante 2020, pero que no gastaron o no especificaron monto.</t>
    </r>
  </si>
  <si>
    <r>
      <t>Tipo de gasto</t>
    </r>
    <r>
      <rPr>
        <b/>
        <vertAlign val="superscript"/>
        <sz val="8"/>
        <rFont val="Arial"/>
        <family val="2"/>
      </rPr>
      <t>1</t>
    </r>
  </si>
  <si>
    <r>
      <t>Hogares que no reportaron gastos</t>
    </r>
    <r>
      <rPr>
        <b/>
        <vertAlign val="superscript"/>
        <sz val="8"/>
        <rFont val="Arial"/>
        <family val="2"/>
      </rPr>
      <t>2</t>
    </r>
  </si>
  <si>
    <r>
      <t>Reparación menor o mantenimiento</t>
    </r>
    <r>
      <rPr>
        <vertAlign val="superscript"/>
        <sz val="8"/>
        <rFont val="Arial"/>
        <family val="2"/>
      </rPr>
      <t>3</t>
    </r>
  </si>
  <si>
    <r>
      <t>Remodelación</t>
    </r>
    <r>
      <rPr>
        <vertAlign val="superscript"/>
        <sz val="8"/>
        <rFont val="Arial"/>
        <family val="2"/>
      </rPr>
      <t>4</t>
    </r>
  </si>
  <si>
    <r>
      <rPr>
        <vertAlign val="superscript"/>
        <sz val="8"/>
        <rFont val="Arial"/>
        <family val="2"/>
      </rPr>
      <t>1</t>
    </r>
    <r>
      <rPr>
        <sz val="8"/>
        <rFont val="Arial"/>
        <family val="2"/>
      </rPr>
      <t xml:space="preserve"> La suma puede ser superior al total de hogares porque se pudo escoger más de una opción.</t>
    </r>
  </si>
  <si>
    <r>
      <rPr>
        <vertAlign val="superscript"/>
        <sz val="8"/>
        <rFont val="Arial"/>
        <family val="2"/>
      </rPr>
      <t>2</t>
    </r>
    <r>
      <rPr>
        <sz val="8"/>
        <rFont val="Arial"/>
        <family val="2"/>
      </rPr>
      <t xml:space="preserve"> Incluye los hogares que realizaron alguna construcción, ampliación, renovación, reparación o remodelación en la vivienda durante 2019, pero no especificaron el monto gastado.</t>
    </r>
  </si>
  <si>
    <r>
      <rPr>
        <vertAlign val="superscript"/>
        <sz val="8"/>
        <rFont val="Arial"/>
        <family val="2"/>
      </rPr>
      <t xml:space="preserve">3 </t>
    </r>
    <r>
      <rPr>
        <sz val="8"/>
        <rFont val="Arial"/>
        <family val="2"/>
      </rPr>
      <t>Solo reportan gastos de materiales, sueldos y salarios. No se incluyen en gastos por licencias.</t>
    </r>
  </si>
  <si>
    <r>
      <rPr>
        <vertAlign val="superscript"/>
        <sz val="8"/>
        <rFont val="Arial"/>
        <family val="2"/>
      </rPr>
      <t xml:space="preserve">4 </t>
    </r>
    <r>
      <rPr>
        <sz val="8"/>
        <rFont val="Arial"/>
        <family val="2"/>
      </rPr>
      <t>Solo reportan gastos de materiales, sueldos y salarios. No se incluyen en gastos por licencias.</t>
    </r>
  </si>
  <si>
    <r>
      <rPr>
        <vertAlign val="superscript"/>
        <sz val="8"/>
        <rFont val="Arial"/>
        <family val="2"/>
      </rPr>
      <t>2</t>
    </r>
    <r>
      <rPr>
        <sz val="8"/>
        <rFont val="Arial"/>
        <family val="2"/>
      </rPr>
      <t xml:space="preserve"> Incluye los hogares que realizaron alguna construcción, ampliación, renovación, reparación o remodelación en la vivienda durante 2020, pero no especificaron el monto gastado.</t>
    </r>
  </si>
  <si>
    <r>
      <t xml:space="preserve">Viviendas secundarias con </t>
    </r>
    <r>
      <rPr>
        <b/>
        <i/>
        <sz val="9"/>
        <rFont val="Arial"/>
        <family val="2"/>
      </rPr>
      <t>más gastos</t>
    </r>
    <r>
      <rPr>
        <b/>
        <sz val="9"/>
        <rFont val="Arial"/>
        <family val="2"/>
      </rPr>
      <t xml:space="preserve"> durante 2020 por entidad federativa, según metros de construcción de la vivienda</t>
    </r>
  </si>
  <si>
    <t>Encuesta Nacional de Vivienda (ENVI) 2020</t>
  </si>
  <si>
    <t>TABULADOS BÁSICOS</t>
  </si>
  <si>
    <t>Nivel de confianza del 90%</t>
  </si>
  <si>
    <t>Tema</t>
  </si>
  <si>
    <t>ID Cuadro</t>
  </si>
  <si>
    <t>Título</t>
  </si>
  <si>
    <t>ÍNDICE</t>
  </si>
  <si>
    <r>
      <t xml:space="preserve">Viviendas secundarias con </t>
    </r>
    <r>
      <rPr>
        <b/>
        <i/>
        <sz val="9"/>
        <rFont val="Arial"/>
        <family val="2"/>
      </rPr>
      <t>más gastos</t>
    </r>
    <r>
      <rPr>
        <b/>
        <sz val="9"/>
        <rFont val="Arial"/>
        <family val="2"/>
      </rPr>
      <t xml:space="preserve"> durante 2020 por entidad federativa, según promedio de cuartos de la vivienda</t>
    </r>
  </si>
  <si>
    <r>
      <t xml:space="preserve">Viviendas secundarias con </t>
    </r>
    <r>
      <rPr>
        <b/>
        <i/>
        <sz val="9"/>
        <rFont val="Arial"/>
        <family val="2"/>
      </rPr>
      <t>más gastos</t>
    </r>
    <r>
      <rPr>
        <b/>
        <sz val="9"/>
        <rFont val="Arial"/>
        <family val="2"/>
      </rPr>
      <t xml:space="preserve"> durante 2020 por entidad federativa, según razones para la adquisición de la vivienda</t>
    </r>
  </si>
  <si>
    <r>
      <t xml:space="preserve">Viviendas secundarias con </t>
    </r>
    <r>
      <rPr>
        <b/>
        <i/>
        <sz val="9"/>
        <rFont val="Arial"/>
        <family val="2"/>
      </rPr>
      <t>más gastos</t>
    </r>
    <r>
      <rPr>
        <b/>
        <sz val="9"/>
        <rFont val="Arial"/>
        <family val="2"/>
      </rPr>
      <t xml:space="preserve"> durante 2020 por entidad federativa,  según forma de adquisición</t>
    </r>
  </si>
  <si>
    <r>
      <t xml:space="preserve">Viviendas secundarias con </t>
    </r>
    <r>
      <rPr>
        <b/>
        <i/>
        <sz val="9"/>
        <rFont val="Arial"/>
        <family val="2"/>
      </rPr>
      <t>más gastos</t>
    </r>
    <r>
      <rPr>
        <b/>
        <sz val="9"/>
        <rFont val="Arial"/>
        <family val="2"/>
      </rPr>
      <t xml:space="preserve"> durante 2020 por entidad federativa según tipo de vivienda</t>
    </r>
  </si>
  <si>
    <r>
      <t xml:space="preserve">Viviendas secundarias con </t>
    </r>
    <r>
      <rPr>
        <b/>
        <i/>
        <sz val="9"/>
        <rFont val="Arial"/>
        <family val="2"/>
      </rPr>
      <t>más gastos</t>
    </r>
    <r>
      <rPr>
        <b/>
        <sz val="9"/>
        <rFont val="Arial"/>
        <family val="2"/>
      </rPr>
      <t xml:space="preserve"> durante 2020 por entidad federativa, según uso de la vivienda</t>
    </r>
  </si>
  <si>
    <r>
      <t xml:space="preserve">Hogares que realizaron alguna construcción, ampliación, renovación, reparación o remodelación en la vivienda secundaria con </t>
    </r>
    <r>
      <rPr>
        <b/>
        <i/>
        <sz val="9"/>
        <rFont val="Arial"/>
        <family val="2"/>
      </rPr>
      <t>más gastos</t>
    </r>
    <r>
      <rPr>
        <b/>
        <sz val="9"/>
        <rFont val="Arial"/>
        <family val="2"/>
      </rPr>
      <t xml:space="preserve"> durante 2019 por tamaño de localidad y tipo de acción en la vivienda, según tipo de gasto</t>
    </r>
  </si>
  <si>
    <t>Hogares que reportaron algún gasto en construcción, ampliación, renovación, reparación o remodelación a la vivienda secundaria con más gastos durante 2019, Gasto y Promedio del gasto en acciones a la vivienda por tipo de acción, según tipo de gasto</t>
  </si>
  <si>
    <r>
      <t xml:space="preserve">Hogares que realizaron alguna construcción, ampliación, renovación, reparación o remodelación en la vivienda secundaria con </t>
    </r>
    <r>
      <rPr>
        <b/>
        <i/>
        <sz val="9"/>
        <rFont val="Arial"/>
        <family val="2"/>
      </rPr>
      <t>más gastos</t>
    </r>
    <r>
      <rPr>
        <b/>
        <sz val="9"/>
        <rFont val="Arial"/>
        <family val="2"/>
      </rPr>
      <t xml:space="preserve"> durante 2020 por tamaño de localidad y tipo de acción en la vivienda, según tipo de gasto 2020</t>
    </r>
  </si>
  <si>
    <t>Hogares que reportaron algún gasto en construcción, ampliación, renovación, reparación o remodelación a la vivienda secundaria con más gastos durante 2020, Gasto y Promedio del gasto en acciones a la vivienda por tipo de acción, según tipo de gasto</t>
  </si>
  <si>
    <t>Hogares por tamaño de localidad, según condición de tenencia de viviendas secundarias propias</t>
  </si>
  <si>
    <t>Viviendas secundarias con más gastos durante 2020 por entidad federativa, según uso de la vivienda</t>
  </si>
  <si>
    <t>Viviendas secundarias con más gastos durante 2020 por entidad federativa, según razones para la adquisición de la vivienda</t>
  </si>
  <si>
    <t>Viviendas secundarias con más gastos durante 2020 por entidad federativa,  según forma de adquisición</t>
  </si>
  <si>
    <t>Viviendas secundarias con más gastos durante 2020 por entidad federativa según tipo de vivienda</t>
  </si>
  <si>
    <t>Viviendas secundarias con más gastos durante 2020 por entidad federativa, según promedio de cuartos de la vivienda</t>
  </si>
  <si>
    <t>Viviendas secundarias con más gastos durante 2020 por entidad federativa, según metros de construcción de la vivienda</t>
  </si>
  <si>
    <t>Hogares que realizaron alguna construcción, ampliación, renovación, reparación o remodelación en la vivienda secundaria con más gastos durante 2019 por tamaño de localidad y tipo de acción en la vivienda, según tipo de gasto</t>
  </si>
  <si>
    <t>Hogares que realizaron alguna construcción, ampliación, renovación, reparación o remodelación en la vivienda secundaria con más gastos durante 2020 por tamaño de localidad y tipo de acción en la vivienda, según tipo de gasto 2020</t>
  </si>
  <si>
    <t>Hogares con viviendas secundarias que tuvieron gastos en construcción, ampliación, renovación, rehabilitación o reforzamiento durante 2019 y número de viviendas secundarias por entidad federativa, según gasto realizado y su promedio</t>
  </si>
  <si>
    <t>Hogares con viviendas secundarias que tuvieron gastos en construcción, ampliación, renovación, rehabilitación o reforzamiento durante 2020 y número de viviendas secundarias por entidad federativa, según gasto realizado y su promedio</t>
  </si>
  <si>
    <t>Tema 4. Gastos en las viviendas secundarias</t>
  </si>
  <si>
    <t>Crédito de INFONAVIT</t>
  </si>
  <si>
    <t>Viviendas secundarias con más gastos durante 2020 sin financiamiento</t>
  </si>
  <si>
    <r>
      <t>Fuente de financiamiento</t>
    </r>
    <r>
      <rPr>
        <b/>
        <vertAlign val="superscript"/>
        <sz val="8"/>
        <rFont val="Arial"/>
        <family val="2"/>
      </rPr>
      <t>2</t>
    </r>
  </si>
  <si>
    <r>
      <t>Crédito de una institución financiera privada</t>
    </r>
    <r>
      <rPr>
        <b/>
        <vertAlign val="superscript"/>
        <sz val="8"/>
        <rFont val="Arial"/>
        <family val="2"/>
      </rPr>
      <t>3</t>
    </r>
  </si>
  <si>
    <r>
      <t>Préstamos informales o recursos propios</t>
    </r>
    <r>
      <rPr>
        <b/>
        <vertAlign val="superscript"/>
        <sz val="8"/>
        <rFont val="Arial"/>
        <family val="2"/>
      </rPr>
      <t>4</t>
    </r>
  </si>
  <si>
    <r>
      <rPr>
        <vertAlign val="superscript"/>
        <sz val="8"/>
        <rFont val="Arial"/>
        <family val="2"/>
      </rPr>
      <t>2</t>
    </r>
    <r>
      <rPr>
        <sz val="8"/>
        <rFont val="Arial"/>
        <family val="2"/>
      </rPr>
      <t xml:space="preserve"> La suma puede superior al total de viviendas secundarias porque una vivienda pudo tener más de una fuente de financiamiento.</t>
    </r>
  </si>
  <si>
    <r>
      <rPr>
        <vertAlign val="superscript"/>
        <sz val="8"/>
        <rFont val="Arial"/>
        <family val="2"/>
      </rPr>
      <t>3</t>
    </r>
    <r>
      <rPr>
        <sz val="8"/>
        <rFont val="Arial"/>
        <family val="2"/>
      </rPr>
      <t xml:space="preserve"> Incluye créditos una institución financiera privada (banco, sofol, caja de ahorro) y créditos de alguna organización no lucrativa.</t>
    </r>
  </si>
  <si>
    <r>
      <rPr>
        <vertAlign val="superscript"/>
        <sz val="8"/>
        <rFont val="Arial"/>
        <family val="2"/>
      </rPr>
      <t>4</t>
    </r>
    <r>
      <rPr>
        <sz val="8"/>
        <rFont val="Arial"/>
        <family val="2"/>
      </rPr>
      <t xml:space="preserve"> Incluye préstamos de un familiar, amigo u otra persona, así como sus propios recursos.</t>
    </r>
  </si>
  <si>
    <r>
      <t>Fuente:</t>
    </r>
    <r>
      <rPr>
        <b/>
        <sz val="8"/>
        <rFont val="Arial"/>
        <family val="2"/>
      </rPr>
      <t xml:space="preserve"> INEGI.</t>
    </r>
    <r>
      <rPr>
        <sz val="8"/>
        <rFont val="Arial"/>
        <family val="2"/>
      </rPr>
      <t xml:space="preserve"> Encuesta Nacional de Vivienda 2020.</t>
    </r>
  </si>
  <si>
    <r>
      <t xml:space="preserve">Gasto en las viviendas secundarias durante 2019
</t>
    </r>
    <r>
      <rPr>
        <sz val="8"/>
        <rFont val="Arial"/>
        <family val="2"/>
      </rPr>
      <t>Pesos</t>
    </r>
  </si>
  <si>
    <r>
      <t xml:space="preserve">Promedio de gasto por hogar en las viviendas secundarias durante 2019
</t>
    </r>
    <r>
      <rPr>
        <sz val="8"/>
        <rFont val="Arial"/>
        <family val="2"/>
      </rPr>
      <t>Pesos</t>
    </r>
  </si>
  <si>
    <r>
      <t xml:space="preserve">Gasto en las viviendas secundarias durante 2020
</t>
    </r>
    <r>
      <rPr>
        <sz val="8"/>
        <rFont val="Arial"/>
        <family val="2"/>
      </rPr>
      <t>Pesos</t>
    </r>
  </si>
  <si>
    <r>
      <t xml:space="preserve">Promedio de gasto por hogar en las viviendas secundarias durante 2020
</t>
    </r>
    <r>
      <rPr>
        <sz val="8"/>
        <rFont val="Arial"/>
        <family val="2"/>
      </rPr>
      <t>Pesos</t>
    </r>
  </si>
  <si>
    <r>
      <t>Total de hogares que reportaron algún gasto en construcción, ampliación, renovación, reparación o remodelación en la vivienda secundaria con más gastos durante 2019</t>
    </r>
    <r>
      <rPr>
        <b/>
        <vertAlign val="superscript"/>
        <sz val="8"/>
        <rFont val="Arial"/>
        <family val="2"/>
      </rPr>
      <t>1</t>
    </r>
  </si>
  <si>
    <r>
      <t xml:space="preserve">Total
</t>
    </r>
    <r>
      <rPr>
        <sz val="8"/>
        <rFont val="Arial"/>
        <family val="2"/>
      </rPr>
      <t>(Pesos)</t>
    </r>
  </si>
  <si>
    <r>
      <t xml:space="preserve">Promedio
</t>
    </r>
    <r>
      <rPr>
        <sz val="8"/>
        <rFont val="Arial"/>
        <family val="2"/>
      </rPr>
      <t xml:space="preserve">(Pesos) </t>
    </r>
  </si>
  <si>
    <r>
      <t xml:space="preserve">Promedio
</t>
    </r>
    <r>
      <rPr>
        <sz val="8"/>
        <rFont val="Arial"/>
        <family val="2"/>
      </rPr>
      <t>(Pesos)</t>
    </r>
  </si>
  <si>
    <r>
      <t>Reparación menor o mantenimiento</t>
    </r>
    <r>
      <rPr>
        <vertAlign val="superscript"/>
        <sz val="8"/>
        <rFont val="Arial"/>
        <family val="2"/>
      </rPr>
      <t>2</t>
    </r>
  </si>
  <si>
    <r>
      <t>Remodelación</t>
    </r>
    <r>
      <rPr>
        <vertAlign val="superscript"/>
        <sz val="8"/>
        <rFont val="Arial"/>
        <family val="2"/>
      </rPr>
      <t>3</t>
    </r>
  </si>
  <si>
    <r>
      <rPr>
        <vertAlign val="superscript"/>
        <sz val="8"/>
        <rFont val="Arial"/>
        <family val="2"/>
      </rPr>
      <t xml:space="preserve">1 </t>
    </r>
    <r>
      <rPr>
        <sz val="8"/>
        <rFont val="Arial"/>
        <family val="2"/>
      </rPr>
      <t>La suma puede ser superior al total de hogares porque un hogar pudo realizar más de una acción en la vivienda secundaria durante 2019.</t>
    </r>
  </si>
  <si>
    <r>
      <rPr>
        <vertAlign val="superscript"/>
        <sz val="8"/>
        <rFont val="Arial"/>
        <family val="2"/>
      </rPr>
      <t xml:space="preserve">2 </t>
    </r>
    <r>
      <rPr>
        <sz val="8"/>
        <rFont val="Arial"/>
        <family val="2"/>
      </rPr>
      <t>Solo reportan gastos de materiales, sueldos y salarios. No se incluyen en gastos por licencias.</t>
    </r>
  </si>
  <si>
    <r>
      <t>Total de hogares que reportaron algún gasto en construcción, ampliación, renovación, reparación o remodelación en la vivienda secundaria con más gastos durante 2020</t>
    </r>
    <r>
      <rPr>
        <b/>
        <vertAlign val="superscript"/>
        <sz val="8"/>
        <rFont val="Arial"/>
        <family val="2"/>
      </rPr>
      <t>1</t>
    </r>
  </si>
  <si>
    <r>
      <rPr>
        <vertAlign val="superscript"/>
        <sz val="8"/>
        <rFont val="Arial"/>
        <family val="2"/>
      </rPr>
      <t xml:space="preserve">1 </t>
    </r>
    <r>
      <rPr>
        <sz val="8"/>
        <rFont val="Arial"/>
        <family val="2"/>
      </rPr>
      <t>La suma puede ser superior al total de hogares porque un hogar pudo realizar más de una acción en la vivienda secundaria durante 2020.</t>
    </r>
  </si>
  <si>
    <t>Crédito de FOVISSSTE y otras instituciones públicas</t>
  </si>
  <si>
    <r>
      <t xml:space="preserve">Viviendas secundarias con </t>
    </r>
    <r>
      <rPr>
        <b/>
        <i/>
        <sz val="9"/>
        <rFont val="Arial"/>
        <family val="2"/>
      </rPr>
      <t>más gastos</t>
    </r>
    <r>
      <rPr>
        <b/>
        <sz val="9"/>
        <rFont val="Arial"/>
        <family val="2"/>
      </rPr>
      <t xml:space="preserve"> durante 2020 por entidad federativa, según fuente de financiamiento para la adquisición</t>
    </r>
  </si>
  <si>
    <t>Agosto 2021</t>
  </si>
  <si>
    <t>Límite superior.</t>
  </si>
  <si>
    <t>Viviendas secundarias con más gastos durante 2020 por entidad federativa, según fuente de financiamiento para la adquisición</t>
  </si>
  <si>
    <t>NA</t>
  </si>
  <si>
    <t>INEGI. Encuesta Nacional de Vivienda. ENVI 2020. Tabulados básicos.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</si>
</sst>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-* #,##0.00_-;\-* #,##0.00_-;_-* &quot;-&quot;??_-;_-@_-"/>
    <numFmt numFmtId="164" formatCode="_(* #,##0.00_);_(* \(#,##0.00\);_(* &quot;-&quot;??_);_(@_)"/>
    <numFmt numFmtId="165" formatCode="0.0"/>
    <numFmt numFmtId="166" formatCode="#\ ###\ ##0"/>
    <numFmt numFmtId="167" formatCode="\ ###\ ###\ ##0"/>
    <numFmt numFmtId="168" formatCode="\ ###\ ###\ ##0.0"/>
    <numFmt numFmtId="169" formatCode="###\ ###\ ###\ ##0.0"/>
  </numFmts>
  <fonts count="73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rgb="FF000080"/>
      <name val="Arial"/>
      <family val="2"/>
    </font>
    <font>
      <sz val="9"/>
      <color rgb="FF000080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u/>
      <sz val="11"/>
      <color theme="10"/>
      <name val="Calibri"/>
      <family val="2"/>
    </font>
    <font>
      <b/>
      <sz val="9"/>
      <name val="Arial"/>
      <family val="2"/>
    </font>
    <font>
      <sz val="10"/>
      <color theme="1"/>
      <name val="Arial"/>
      <family val="2"/>
    </font>
    <font>
      <vertAlign val="superscript"/>
      <sz val="8"/>
      <name val="Arial"/>
      <family val="2"/>
    </font>
    <font>
      <b/>
      <sz val="10"/>
      <name val="Arial"/>
      <family val="2"/>
    </font>
    <font>
      <sz val="11"/>
      <color indexed="8"/>
      <name val="Calibri"/>
      <family val="2"/>
      <scheme val="minor"/>
    </font>
    <font>
      <b/>
      <sz val="8"/>
      <color indexed="8"/>
      <name val="Arial"/>
      <family val="2"/>
    </font>
    <font>
      <b/>
      <vertAlign val="superscript"/>
      <sz val="8"/>
      <color theme="1"/>
      <name val="Arial"/>
      <family val="2"/>
    </font>
    <font>
      <sz val="11"/>
      <color rgb="FF000000"/>
      <name val="Calibri"/>
      <family val="2"/>
    </font>
    <font>
      <b/>
      <sz val="8"/>
      <color rgb="FF000000"/>
      <name val="Arial"/>
      <family val="2"/>
    </font>
    <font>
      <sz val="11"/>
      <color indexed="8"/>
      <name val="Arial"/>
      <family val="2"/>
    </font>
    <font>
      <b/>
      <sz val="10"/>
      <color indexed="8"/>
      <name val="Arial"/>
      <family val="2"/>
    </font>
    <font>
      <sz val="8"/>
      <color indexed="8"/>
      <name val="Arial"/>
      <family val="2"/>
    </font>
    <font>
      <sz val="8"/>
      <color rgb="FF000000"/>
      <name val="Arial"/>
      <family val="2"/>
    </font>
    <font>
      <b/>
      <vertAlign val="superscript"/>
      <sz val="8"/>
      <name val="Arial"/>
      <family val="2"/>
    </font>
    <font>
      <sz val="11"/>
      <name val="Arial"/>
      <family val="2"/>
    </font>
    <font>
      <sz val="11"/>
      <name val="Calibri"/>
      <family val="2"/>
      <scheme val="minor"/>
    </font>
    <font>
      <sz val="11"/>
      <name val="Calibri"/>
      <family val="2"/>
    </font>
    <font>
      <sz val="9"/>
      <name val="Arial"/>
      <family val="2"/>
    </font>
    <font>
      <u/>
      <sz val="10"/>
      <color theme="10"/>
      <name val="Arial"/>
      <family val="2"/>
    </font>
    <font>
      <sz val="11"/>
      <color theme="1"/>
      <name val="Arial"/>
      <family val="2"/>
    </font>
    <font>
      <sz val="9"/>
      <color theme="1"/>
      <name val="Arial"/>
      <family val="2"/>
    </font>
    <font>
      <sz val="9"/>
      <color rgb="FFFF0000"/>
      <name val="Arial"/>
      <family val="2"/>
    </font>
    <font>
      <b/>
      <i/>
      <sz val="9"/>
      <name val="Arial"/>
      <family val="2"/>
    </font>
    <font>
      <u/>
      <sz val="9"/>
      <name val="Arial"/>
      <family val="2"/>
    </font>
    <font>
      <b/>
      <sz val="9"/>
      <color theme="1"/>
      <name val="Arial"/>
      <family val="2"/>
    </font>
    <font>
      <sz val="9"/>
      <color indexed="8"/>
      <name val="Arial"/>
      <family val="2"/>
    </font>
    <font>
      <b/>
      <sz val="9"/>
      <color indexed="8"/>
      <name val="Arial"/>
      <family val="2"/>
    </font>
    <font>
      <sz val="11"/>
      <color rgb="FF000080"/>
      <name val="Arial"/>
      <family val="2"/>
    </font>
    <font>
      <b/>
      <i/>
      <sz val="12"/>
      <color rgb="FF000080"/>
      <name val="Arial"/>
      <family val="2"/>
    </font>
    <font>
      <b/>
      <sz val="11"/>
      <color theme="0"/>
      <name val="Arial"/>
      <family val="2"/>
    </font>
    <font>
      <u/>
      <sz val="11"/>
      <color theme="10"/>
      <name val="Calibri"/>
      <family val="2"/>
      <scheme val="minor"/>
    </font>
    <font>
      <b/>
      <sz val="11"/>
      <color theme="10"/>
      <name val="Arial"/>
      <family val="2"/>
    </font>
    <font>
      <sz val="11"/>
      <color theme="10"/>
      <name val="Arial"/>
      <family val="2"/>
    </font>
    <font>
      <u/>
      <sz val="11"/>
      <color theme="10"/>
      <name val="Arial"/>
      <family val="2"/>
    </font>
    <font>
      <u/>
      <sz val="9"/>
      <color rgb="FF003399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rgb="FFFFFFFF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6E6E6D"/>
        <bgColor indexed="64"/>
      </patternFill>
    </fill>
    <fill>
      <patternFill patternType="solid">
        <fgColor rgb="FF337AB7"/>
        <bgColor indexed="64"/>
      </patternFill>
    </fill>
    <fill>
      <patternFill patternType="solid">
        <fgColor theme="0" tint="-0.14999847407452621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9"/>
      </left>
      <right style="thin">
        <color indexed="9"/>
      </right>
      <top/>
      <bottom/>
      <diagonal/>
    </border>
    <border>
      <left/>
      <right/>
      <top/>
      <bottom style="thin">
        <color rgb="FF000000"/>
      </bottom>
      <diagonal/>
    </border>
    <border>
      <left style="medium">
        <color rgb="FF337AB7"/>
      </left>
      <right style="thin">
        <color rgb="FF337AB7"/>
      </right>
      <top style="medium">
        <color rgb="FF337AB7"/>
      </top>
      <bottom/>
      <diagonal/>
    </border>
    <border>
      <left style="thin">
        <color rgb="FF337AB7"/>
      </left>
      <right style="thin">
        <color rgb="FF337AB7"/>
      </right>
      <top style="medium">
        <color rgb="FF337AB7"/>
      </top>
      <bottom/>
      <diagonal/>
    </border>
    <border>
      <left style="thin">
        <color rgb="FF337AB7"/>
      </left>
      <right style="medium">
        <color rgb="FF337AB7"/>
      </right>
      <top style="medium">
        <color rgb="FF337AB7"/>
      </top>
      <bottom/>
      <diagonal/>
    </border>
    <border>
      <left style="medium">
        <color rgb="FF0070C0"/>
      </left>
      <right style="thin">
        <color rgb="FF0070C0"/>
      </right>
      <top style="medium">
        <color rgb="FF0070C0"/>
      </top>
      <bottom/>
      <diagonal/>
    </border>
    <border>
      <left/>
      <right style="thin">
        <color rgb="FF337AB7"/>
      </right>
      <top style="medium">
        <color rgb="FF0070C0"/>
      </top>
      <bottom style="thin">
        <color rgb="FF337AB7"/>
      </bottom>
      <diagonal/>
    </border>
    <border>
      <left style="thin">
        <color rgb="FF337AB7"/>
      </left>
      <right/>
      <top style="medium">
        <color rgb="FF0070C0"/>
      </top>
      <bottom style="thin">
        <color rgb="FF337AB7"/>
      </bottom>
      <diagonal/>
    </border>
    <border>
      <left/>
      <right/>
      <top style="medium">
        <color rgb="FF0070C0"/>
      </top>
      <bottom style="thin">
        <color rgb="FF337AB7"/>
      </bottom>
      <diagonal/>
    </border>
    <border>
      <left/>
      <right style="medium">
        <color rgb="FF0070C0"/>
      </right>
      <top style="medium">
        <color rgb="FF0070C0"/>
      </top>
      <bottom style="thin">
        <color rgb="FF337AB7"/>
      </bottom>
      <diagonal/>
    </border>
    <border>
      <left style="medium">
        <color rgb="FF0070C0"/>
      </left>
      <right style="thin">
        <color rgb="FF0070C0"/>
      </right>
      <top/>
      <bottom/>
      <diagonal/>
    </border>
    <border>
      <left/>
      <right/>
      <top style="thin">
        <color rgb="FF337AB7"/>
      </top>
      <bottom style="thin">
        <color rgb="FF337AB7"/>
      </bottom>
      <diagonal/>
    </border>
    <border>
      <left style="thin">
        <color rgb="FF337AB7"/>
      </left>
      <right/>
      <top style="thin">
        <color rgb="FF337AB7"/>
      </top>
      <bottom style="thin">
        <color rgb="FF337AB7"/>
      </bottom>
      <diagonal/>
    </border>
    <border>
      <left/>
      <right style="medium">
        <color rgb="FF0070C0"/>
      </right>
      <top style="thin">
        <color rgb="FF337AB7"/>
      </top>
      <bottom style="thin">
        <color rgb="FF337AB7"/>
      </bottom>
      <diagonal/>
    </border>
    <border>
      <left style="medium">
        <color rgb="FF0070C0"/>
      </left>
      <right style="thin">
        <color rgb="FF0070C0"/>
      </right>
      <top/>
      <bottom style="medium">
        <color rgb="FF0070C0"/>
      </bottom>
      <diagonal/>
    </border>
    <border>
      <left/>
      <right/>
      <top style="thin">
        <color rgb="FF337AB7"/>
      </top>
      <bottom style="medium">
        <color rgb="FF0070C0"/>
      </bottom>
      <diagonal/>
    </border>
    <border>
      <left style="thin">
        <color rgb="FF337AB7"/>
      </left>
      <right/>
      <top style="thin">
        <color rgb="FF337AB7"/>
      </top>
      <bottom style="medium">
        <color rgb="FF0070C0"/>
      </bottom>
      <diagonal/>
    </border>
    <border>
      <left/>
      <right style="medium">
        <color rgb="FF0070C0"/>
      </right>
      <top style="thin">
        <color rgb="FF337AB7"/>
      </top>
      <bottom style="medium">
        <color rgb="FF0070C0"/>
      </bottom>
      <diagonal/>
    </border>
  </borders>
  <cellStyleXfs count="115">
    <xf numFmtId="0" fontId="0" fillId="0" borderId="0"/>
    <xf numFmtId="0" fontId="29" fillId="0" borderId="0"/>
    <xf numFmtId="0" fontId="30" fillId="0" borderId="0"/>
    <xf numFmtId="0" fontId="29" fillId="0" borderId="0"/>
    <xf numFmtId="0" fontId="29" fillId="0" borderId="0"/>
    <xf numFmtId="0" fontId="29" fillId="0" borderId="0"/>
    <xf numFmtId="0" fontId="37" fillId="0" borderId="0" applyNumberFormat="0" applyFill="0" applyBorder="0" applyAlignment="0" applyProtection="0">
      <alignment vertical="top"/>
      <protection locked="0"/>
    </xf>
    <xf numFmtId="164" fontId="29" fillId="0" borderId="0" applyFont="0" applyFill="0" applyBorder="0" applyAlignment="0" applyProtection="0"/>
    <xf numFmtId="0" fontId="29" fillId="0" borderId="0"/>
    <xf numFmtId="43" fontId="29" fillId="0" borderId="0" applyFont="0" applyFill="0" applyBorder="0" applyAlignment="0" applyProtection="0"/>
    <xf numFmtId="0" fontId="29" fillId="0" borderId="0"/>
    <xf numFmtId="0" fontId="42" fillId="0" borderId="0"/>
    <xf numFmtId="0" fontId="28" fillId="0" borderId="0"/>
    <xf numFmtId="0" fontId="39" fillId="0" borderId="0"/>
    <xf numFmtId="0" fontId="30" fillId="0" borderId="0"/>
    <xf numFmtId="0" fontId="30" fillId="0" borderId="0"/>
    <xf numFmtId="0" fontId="27" fillId="0" borderId="0"/>
    <xf numFmtId="43" fontId="42" fillId="0" borderId="0" applyFont="0" applyFill="0" applyBorder="0" applyAlignment="0" applyProtection="0"/>
    <xf numFmtId="0" fontId="27" fillId="0" borderId="0"/>
    <xf numFmtId="0" fontId="27" fillId="0" borderId="0"/>
    <xf numFmtId="0" fontId="26" fillId="0" borderId="0"/>
    <xf numFmtId="0" fontId="26" fillId="0" borderId="0"/>
    <xf numFmtId="0" fontId="26" fillId="0" borderId="0"/>
    <xf numFmtId="164" fontId="26" fillId="0" borderId="0" applyFont="0" applyFill="0" applyBorder="0" applyAlignment="0" applyProtection="0"/>
    <xf numFmtId="0" fontId="26" fillId="0" borderId="0"/>
    <xf numFmtId="0" fontId="26" fillId="0" borderId="0"/>
    <xf numFmtId="164" fontId="26" fillId="0" borderId="0" applyFont="0" applyFill="0" applyBorder="0" applyAlignment="0" applyProtection="0"/>
    <xf numFmtId="0" fontId="39" fillId="0" borderId="0"/>
    <xf numFmtId="0" fontId="25" fillId="0" borderId="0"/>
    <xf numFmtId="0" fontId="30" fillId="0" borderId="0"/>
    <xf numFmtId="0" fontId="56" fillId="0" borderId="0" applyNumberFormat="0" applyFill="0" applyBorder="0" applyAlignment="0" applyProtection="0"/>
    <xf numFmtId="0" fontId="24" fillId="0" borderId="0"/>
    <xf numFmtId="0" fontId="68" fillId="0" borderId="0" applyNumberFormat="0" applyFill="0" applyBorder="0" applyAlignment="0" applyProtection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42" fillId="0" borderId="0"/>
    <xf numFmtId="0" fontId="23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0" fillId="0" borderId="0"/>
    <xf numFmtId="0" fontId="19" fillId="0" borderId="0"/>
    <xf numFmtId="0" fontId="18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4" fillId="0" borderId="0"/>
    <xf numFmtId="0" fontId="14" fillId="0" borderId="0"/>
    <xf numFmtId="164" fontId="14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9" fillId="0" borderId="0"/>
    <xf numFmtId="0" fontId="9" fillId="0" borderId="0"/>
    <xf numFmtId="164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8" fillId="0" borderId="0"/>
    <xf numFmtId="0" fontId="8" fillId="0" borderId="0"/>
    <xf numFmtId="0" fontId="8" fillId="0" borderId="0"/>
    <xf numFmtId="0" fontId="7" fillId="0" borderId="0"/>
    <xf numFmtId="0" fontId="7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5" fillId="0" borderId="0"/>
    <xf numFmtId="0" fontId="5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746">
    <xf numFmtId="0" fontId="0" fillId="0" borderId="0" xfId="0"/>
    <xf numFmtId="0" fontId="0" fillId="2" borderId="0" xfId="0" applyFill="1"/>
    <xf numFmtId="0" fontId="30" fillId="2" borderId="0" xfId="0" applyFont="1" applyFill="1"/>
    <xf numFmtId="0" fontId="39" fillId="2" borderId="0" xfId="13" applyFill="1"/>
    <xf numFmtId="0" fontId="35" fillId="2" borderId="0" xfId="2" applyFont="1" applyFill="1"/>
    <xf numFmtId="0" fontId="35" fillId="2" borderId="0" xfId="2" applyFont="1" applyFill="1" applyAlignment="1">
      <alignment horizontal="left" vertical="center"/>
    </xf>
    <xf numFmtId="0" fontId="35" fillId="2" borderId="3" xfId="2" applyFont="1" applyFill="1" applyBorder="1"/>
    <xf numFmtId="0" fontId="36" fillId="2" borderId="1" xfId="2" applyFont="1" applyFill="1" applyBorder="1" applyAlignment="1">
      <alignment vertical="center"/>
    </xf>
    <xf numFmtId="0" fontId="36" fillId="2" borderId="0" xfId="2" applyFont="1" applyFill="1"/>
    <xf numFmtId="0" fontId="38" fillId="2" borderId="0" xfId="14" applyFont="1" applyFill="1" applyAlignment="1">
      <alignment horizontal="left" vertical="center"/>
    </xf>
    <xf numFmtId="0" fontId="45" fillId="6" borderId="0" xfId="0" applyFont="1" applyFill="1" applyAlignment="1">
      <alignment vertical="center"/>
    </xf>
    <xf numFmtId="0" fontId="35" fillId="2" borderId="1" xfId="2" applyFont="1" applyFill="1" applyBorder="1" applyAlignment="1">
      <alignment horizontal="left" indent="1"/>
    </xf>
    <xf numFmtId="2" fontId="35" fillId="2" borderId="1" xfId="2" applyNumberFormat="1" applyFont="1" applyFill="1" applyBorder="1" applyAlignment="1">
      <alignment horizontal="right" vertical="center"/>
    </xf>
    <xf numFmtId="0" fontId="47" fillId="0" borderId="0" xfId="11" applyFont="1"/>
    <xf numFmtId="0" fontId="49" fillId="0" borderId="0" xfId="11" applyFont="1" applyAlignment="1">
      <alignment vertical="center" readingOrder="1"/>
    </xf>
    <xf numFmtId="0" fontId="47" fillId="4" borderId="5" xfId="11" applyFont="1" applyFill="1" applyBorder="1"/>
    <xf numFmtId="0" fontId="47" fillId="4" borderId="1" xfId="11" applyFont="1" applyFill="1" applyBorder="1"/>
    <xf numFmtId="0" fontId="49" fillId="4" borderId="1" xfId="11" applyFont="1" applyFill="1" applyBorder="1" applyAlignment="1">
      <alignment horizontal="right"/>
    </xf>
    <xf numFmtId="0" fontId="49" fillId="4" borderId="0" xfId="11" applyFont="1" applyFill="1"/>
    <xf numFmtId="0" fontId="47" fillId="4" borderId="0" xfId="11" applyFont="1" applyFill="1"/>
    <xf numFmtId="0" fontId="35" fillId="2" borderId="0" xfId="2" applyFont="1" applyFill="1" applyAlignment="1">
      <alignment horizontal="left" vertical="top" justifyLastLine="1"/>
    </xf>
    <xf numFmtId="0" fontId="39" fillId="2" borderId="0" xfId="27" applyFill="1"/>
    <xf numFmtId="0" fontId="33" fillId="2" borderId="0" xfId="27" applyFont="1" applyFill="1"/>
    <xf numFmtId="0" fontId="35" fillId="5" borderId="0" xfId="2" applyFont="1" applyFill="1" applyAlignment="1">
      <alignment vertical="center"/>
    </xf>
    <xf numFmtId="0" fontId="35" fillId="2" borderId="0" xfId="2" applyFont="1" applyFill="1" applyAlignment="1">
      <alignment horizontal="left" indent="1"/>
    </xf>
    <xf numFmtId="0" fontId="36" fillId="2" borderId="0" xfId="14" applyFont="1" applyFill="1" applyAlignment="1">
      <alignment horizontal="left" vertical="center"/>
    </xf>
    <xf numFmtId="0" fontId="36" fillId="0" borderId="3" xfId="11" applyFont="1" applyBorder="1" applyAlignment="1">
      <alignment horizontal="center" vertical="center" wrapText="1"/>
    </xf>
    <xf numFmtId="0" fontId="35" fillId="0" borderId="0" xfId="11" applyFont="1" applyAlignment="1">
      <alignment vertical="center" readingOrder="1"/>
    </xf>
    <xf numFmtId="0" fontId="52" fillId="4" borderId="5" xfId="11" applyFont="1" applyFill="1" applyBorder="1"/>
    <xf numFmtId="0" fontId="52" fillId="4" borderId="1" xfId="11" applyFont="1" applyFill="1" applyBorder="1"/>
    <xf numFmtId="0" fontId="35" fillId="4" borderId="1" xfId="11" applyFont="1" applyFill="1" applyBorder="1" applyAlignment="1">
      <alignment horizontal="right"/>
    </xf>
    <xf numFmtId="0" fontId="54" fillId="6" borderId="0" xfId="0" applyFont="1" applyFill="1" applyAlignment="1">
      <alignment vertical="center"/>
    </xf>
    <xf numFmtId="0" fontId="36" fillId="6" borderId="2" xfId="0" applyFont="1" applyFill="1" applyBorder="1" applyAlignment="1">
      <alignment vertical="center" wrapText="1"/>
    </xf>
    <xf numFmtId="0" fontId="30" fillId="2" borderId="0" xfId="13" applyFont="1" applyFill="1"/>
    <xf numFmtId="0" fontId="30" fillId="2" borderId="3" xfId="13" applyFont="1" applyFill="1" applyBorder="1"/>
    <xf numFmtId="0" fontId="30" fillId="2" borderId="1" xfId="13" applyFont="1" applyFill="1" applyBorder="1"/>
    <xf numFmtId="0" fontId="36" fillId="2" borderId="4" xfId="11" applyFont="1" applyFill="1" applyBorder="1" applyAlignment="1" applyProtection="1">
      <alignment vertical="center" wrapText="1" readingOrder="1"/>
      <protection locked="0"/>
    </xf>
    <xf numFmtId="0" fontId="35" fillId="2" borderId="0" xfId="13" applyFont="1" applyFill="1"/>
    <xf numFmtId="0" fontId="35" fillId="2" borderId="1" xfId="13" applyFont="1" applyFill="1" applyBorder="1"/>
    <xf numFmtId="0" fontId="30" fillId="2" borderId="0" xfId="27" applyFont="1" applyFill="1"/>
    <xf numFmtId="0" fontId="30" fillId="2" borderId="3" xfId="27" applyFont="1" applyFill="1" applyBorder="1"/>
    <xf numFmtId="0" fontId="30" fillId="2" borderId="2" xfId="27" applyFont="1" applyFill="1" applyBorder="1"/>
    <xf numFmtId="0" fontId="35" fillId="2" borderId="2" xfId="27" applyFont="1" applyFill="1" applyBorder="1" applyAlignment="1">
      <alignment horizontal="center" vertical="center"/>
    </xf>
    <xf numFmtId="0" fontId="36" fillId="2" borderId="0" xfId="11" applyFont="1" applyFill="1" applyAlignment="1" applyProtection="1">
      <alignment vertical="center" wrapText="1" readingOrder="1"/>
      <protection locked="0"/>
    </xf>
    <xf numFmtId="0" fontId="35" fillId="2" borderId="0" xfId="27" applyFont="1" applyFill="1"/>
    <xf numFmtId="0" fontId="35" fillId="2" borderId="1" xfId="27" applyFont="1" applyFill="1" applyBorder="1"/>
    <xf numFmtId="0" fontId="30" fillId="2" borderId="3" xfId="0" applyFont="1" applyFill="1" applyBorder="1"/>
    <xf numFmtId="0" fontId="30" fillId="2" borderId="1" xfId="0" applyFont="1" applyFill="1" applyBorder="1"/>
    <xf numFmtId="0" fontId="58" fillId="2" borderId="0" xfId="27" applyFont="1" applyFill="1"/>
    <xf numFmtId="0" fontId="55" fillId="2" borderId="0" xfId="2" applyFont="1" applyFill="1"/>
    <xf numFmtId="0" fontId="55" fillId="2" borderId="0" xfId="2" applyFont="1" applyFill="1" applyAlignment="1">
      <alignment horizontal="left" vertical="center"/>
    </xf>
    <xf numFmtId="0" fontId="55" fillId="0" borderId="0" xfId="0" applyFont="1"/>
    <xf numFmtId="0" fontId="58" fillId="2" borderId="0" xfId="13" applyFont="1" applyFill="1"/>
    <xf numFmtId="0" fontId="59" fillId="2" borderId="0" xfId="13" applyFont="1" applyFill="1"/>
    <xf numFmtId="0" fontId="55" fillId="2" borderId="0" xfId="0" applyFont="1" applyFill="1"/>
    <xf numFmtId="0" fontId="55" fillId="2" borderId="0" xfId="13" applyFont="1" applyFill="1"/>
    <xf numFmtId="0" fontId="55" fillId="2" borderId="0" xfId="27" applyFont="1" applyFill="1"/>
    <xf numFmtId="0" fontId="61" fillId="2" borderId="0" xfId="6" applyNumberFormat="1" applyFont="1" applyFill="1" applyBorder="1" applyAlignment="1" applyProtection="1">
      <alignment horizontal="right" vertical="center"/>
    </xf>
    <xf numFmtId="0" fontId="63" fillId="0" borderId="0" xfId="11" applyFont="1"/>
    <xf numFmtId="0" fontId="57" fillId="0" borderId="0" xfId="31" applyFont="1"/>
    <xf numFmtId="0" fontId="65" fillId="0" borderId="0" xfId="31" applyFont="1"/>
    <xf numFmtId="0" fontId="67" fillId="0" borderId="0" xfId="31" applyFont="1" applyFill="1" applyAlignment="1">
      <alignment horizontal="center" vertical="center"/>
    </xf>
    <xf numFmtId="0" fontId="67" fillId="0" borderId="0" xfId="31" applyFont="1" applyFill="1" applyAlignment="1">
      <alignment vertical="center"/>
    </xf>
    <xf numFmtId="0" fontId="57" fillId="0" borderId="0" xfId="31" applyFont="1" applyFill="1"/>
    <xf numFmtId="17" fontId="31" fillId="0" borderId="0" xfId="31" quotePrefix="1" applyNumberFormat="1" applyFont="1"/>
    <xf numFmtId="0" fontId="39" fillId="0" borderId="0" xfId="31" applyFont="1"/>
    <xf numFmtId="0" fontId="67" fillId="8" borderId="6" xfId="31" applyFont="1" applyFill="1" applyBorder="1" applyAlignment="1">
      <alignment horizontal="center" vertical="center"/>
    </xf>
    <xf numFmtId="0" fontId="67" fillId="8" borderId="7" xfId="31" applyFont="1" applyFill="1" applyBorder="1" applyAlignment="1">
      <alignment horizontal="center" vertical="center"/>
    </xf>
    <xf numFmtId="0" fontId="71" fillId="0" borderId="10" xfId="30" applyFont="1" applyBorder="1" applyAlignment="1" applyProtection="1">
      <alignment horizontal="center" vertical="center"/>
    </xf>
    <xf numFmtId="0" fontId="71" fillId="0" borderId="15" xfId="30" applyFont="1" applyBorder="1" applyAlignment="1" applyProtection="1">
      <alignment horizontal="center" vertical="center"/>
    </xf>
    <xf numFmtId="0" fontId="71" fillId="0" borderId="19" xfId="30" applyFont="1" applyBorder="1" applyAlignment="1" applyProtection="1">
      <alignment horizontal="center" vertical="center"/>
    </xf>
    <xf numFmtId="0" fontId="55" fillId="2" borderId="0" xfId="0" applyFont="1" applyFill="1" applyAlignment="1">
      <alignment horizontal="right"/>
    </xf>
    <xf numFmtId="0" fontId="72" fillId="2" borderId="0" xfId="32" applyFont="1" applyFill="1" applyAlignment="1" applyProtection="1">
      <alignment horizontal="right"/>
    </xf>
    <xf numFmtId="0" fontId="36" fillId="6" borderId="1" xfId="0" applyFont="1" applyFill="1" applyBorder="1" applyAlignment="1">
      <alignment horizontal="right" vertical="center"/>
    </xf>
    <xf numFmtId="0" fontId="30" fillId="2" borderId="1" xfId="27" applyFont="1" applyFill="1" applyBorder="1" applyAlignment="1">
      <alignment horizontal="right"/>
    </xf>
    <xf numFmtId="0" fontId="35" fillId="2" borderId="1" xfId="27" applyFont="1" applyFill="1" applyBorder="1" applyAlignment="1">
      <alignment horizontal="right" vertical="center"/>
    </xf>
    <xf numFmtId="0" fontId="36" fillId="2" borderId="1" xfId="27" applyFont="1" applyFill="1" applyBorder="1" applyAlignment="1">
      <alignment horizontal="right" vertical="center"/>
    </xf>
    <xf numFmtId="0" fontId="36" fillId="2" borderId="0" xfId="13" applyFont="1" applyFill="1"/>
    <xf numFmtId="0" fontId="34" fillId="2" borderId="0" xfId="27" applyFont="1" applyFill="1"/>
    <xf numFmtId="0" fontId="36" fillId="2" borderId="0" xfId="0" applyFont="1" applyFill="1"/>
    <xf numFmtId="0" fontId="36" fillId="0" borderId="0" xfId="0" applyFont="1"/>
    <xf numFmtId="0" fontId="35" fillId="2" borderId="0" xfId="0" applyFont="1" applyFill="1"/>
    <xf numFmtId="0" fontId="35" fillId="0" borderId="0" xfId="0" applyFont="1"/>
    <xf numFmtId="167" fontId="36" fillId="2" borderId="0" xfId="2" applyNumberFormat="1" applyFont="1" applyFill="1"/>
    <xf numFmtId="167" fontId="34" fillId="2" borderId="0" xfId="27" applyNumberFormat="1" applyFont="1" applyFill="1"/>
    <xf numFmtId="167" fontId="36" fillId="0" borderId="0" xfId="2" applyNumberFormat="1" applyFont="1" applyAlignment="1">
      <alignment horizontal="right" vertical="center"/>
    </xf>
    <xf numFmtId="167" fontId="33" fillId="2" borderId="0" xfId="27" applyNumberFormat="1" applyFont="1" applyFill="1"/>
    <xf numFmtId="167" fontId="36" fillId="2" borderId="0" xfId="2" applyNumberFormat="1" applyFont="1" applyFill="1" applyAlignment="1">
      <alignment horizontal="right" vertical="center"/>
    </xf>
    <xf numFmtId="167" fontId="36" fillId="2" borderId="0" xfId="13" applyNumberFormat="1" applyFont="1" applyFill="1"/>
    <xf numFmtId="167" fontId="35" fillId="2" borderId="0" xfId="2" applyNumberFormat="1" applyFont="1" applyFill="1" applyAlignment="1">
      <alignment horizontal="right" vertical="center"/>
    </xf>
    <xf numFmtId="167" fontId="35" fillId="2" borderId="0" xfId="13" applyNumberFormat="1" applyFont="1" applyFill="1"/>
    <xf numFmtId="167" fontId="36" fillId="2" borderId="4" xfId="11" applyNumberFormat="1" applyFont="1" applyFill="1" applyBorder="1" applyAlignment="1" applyProtection="1">
      <alignment vertical="center" wrapText="1" readingOrder="1"/>
      <protection locked="0"/>
    </xf>
    <xf numFmtId="167" fontId="34" fillId="2" borderId="0" xfId="13" applyNumberFormat="1" applyFont="1" applyFill="1"/>
    <xf numFmtId="167" fontId="33" fillId="2" borderId="0" xfId="13" applyNumberFormat="1" applyFont="1" applyFill="1"/>
    <xf numFmtId="167" fontId="36" fillId="6" borderId="0" xfId="0" applyNumberFormat="1" applyFont="1" applyFill="1"/>
    <xf numFmtId="167" fontId="35" fillId="6" borderId="0" xfId="0" applyNumberFormat="1" applyFont="1" applyFill="1" applyAlignment="1">
      <alignment horizontal="left" indent="1"/>
    </xf>
    <xf numFmtId="167" fontId="46" fillId="6" borderId="0" xfId="0" applyNumberFormat="1" applyFont="1" applyFill="1"/>
    <xf numFmtId="167" fontId="36" fillId="0" borderId="4" xfId="11" applyNumberFormat="1" applyFont="1" applyBorder="1" applyAlignment="1" applyProtection="1">
      <alignment vertical="center" wrapText="1" readingOrder="1"/>
      <protection locked="0"/>
    </xf>
    <xf numFmtId="167" fontId="43" fillId="0" borderId="0" xfId="11" applyNumberFormat="1" applyFont="1" applyAlignment="1">
      <alignment vertical="center" readingOrder="1"/>
    </xf>
    <xf numFmtId="167" fontId="49" fillId="0" borderId="0" xfId="11" applyNumberFormat="1" applyFont="1" applyAlignment="1">
      <alignment vertical="center" readingOrder="1"/>
    </xf>
    <xf numFmtId="167" fontId="36" fillId="0" borderId="0" xfId="17" applyNumberFormat="1" applyFont="1" applyAlignment="1">
      <alignment horizontal="right" vertical="center" readingOrder="1"/>
    </xf>
    <xf numFmtId="167" fontId="36" fillId="0" borderId="0" xfId="17" applyNumberFormat="1" applyFont="1" applyFill="1" applyAlignment="1">
      <alignment horizontal="right" vertical="center" readingOrder="1"/>
    </xf>
    <xf numFmtId="167" fontId="43" fillId="0" borderId="4" xfId="11" applyNumberFormat="1" applyFont="1" applyBorder="1" applyAlignment="1" applyProtection="1">
      <alignment vertical="center" wrapText="1" readingOrder="1"/>
      <protection locked="0"/>
    </xf>
    <xf numFmtId="167" fontId="43" fillId="0" borderId="0" xfId="11" applyNumberFormat="1" applyFont="1"/>
    <xf numFmtId="167" fontId="49" fillId="0" borderId="0" xfId="11" applyNumberFormat="1" applyFont="1"/>
    <xf numFmtId="168" fontId="35" fillId="4" borderId="1" xfId="11" applyNumberFormat="1" applyFont="1" applyFill="1" applyBorder="1" applyAlignment="1">
      <alignment horizontal="right"/>
    </xf>
    <xf numFmtId="168" fontId="36" fillId="0" borderId="0" xfId="17" applyNumberFormat="1" applyFont="1" applyFill="1" applyAlignment="1">
      <alignment horizontal="right" vertical="center" readingOrder="1"/>
    </xf>
    <xf numFmtId="168" fontId="36" fillId="0" borderId="0" xfId="17" applyNumberFormat="1" applyFont="1" applyBorder="1" applyAlignment="1">
      <alignment horizontal="right" vertical="center" readingOrder="1"/>
    </xf>
    <xf numFmtId="168" fontId="36" fillId="0" borderId="0" xfId="2" applyNumberFormat="1" applyFont="1" applyAlignment="1">
      <alignment horizontal="right" vertical="center"/>
    </xf>
    <xf numFmtId="0" fontId="50" fillId="6" borderId="0" xfId="0" applyFont="1" applyFill="1" applyAlignment="1">
      <alignment horizontal="left" vertical="top"/>
    </xf>
    <xf numFmtId="167" fontId="35" fillId="0" borderId="0" xfId="17" applyNumberFormat="1" applyFont="1" applyAlignment="1">
      <alignment horizontal="right" vertical="center" readingOrder="1"/>
    </xf>
    <xf numFmtId="167" fontId="35" fillId="0" borderId="0" xfId="17" applyNumberFormat="1" applyFont="1" applyFill="1" applyAlignment="1">
      <alignment horizontal="right" vertical="center" readingOrder="1"/>
    </xf>
    <xf numFmtId="167" fontId="49" fillId="0" borderId="0" xfId="17" applyNumberFormat="1" applyFont="1" applyAlignment="1">
      <alignment horizontal="right" vertical="center" readingOrder="1"/>
    </xf>
    <xf numFmtId="167" fontId="49" fillId="0" borderId="0" xfId="17" applyNumberFormat="1" applyFont="1" applyFill="1" applyAlignment="1">
      <alignment horizontal="right" vertical="center" readingOrder="1"/>
    </xf>
    <xf numFmtId="167" fontId="36" fillId="0" borderId="0" xfId="11" applyNumberFormat="1" applyFont="1" applyAlignment="1">
      <alignment horizontal="right" vertical="center" readingOrder="1"/>
    </xf>
    <xf numFmtId="167" fontId="35" fillId="0" borderId="0" xfId="11" applyNumberFormat="1" applyFont="1" applyAlignment="1">
      <alignment horizontal="right" vertical="center" readingOrder="1"/>
    </xf>
    <xf numFmtId="168" fontId="35" fillId="0" borderId="0" xfId="11" applyNumberFormat="1" applyFont="1" applyAlignment="1">
      <alignment horizontal="right" vertical="center" readingOrder="1"/>
    </xf>
    <xf numFmtId="0" fontId="35" fillId="2" borderId="0" xfId="2" applyFont="1" applyFill="1" applyAlignment="1">
      <alignment horizontal="right" vertical="center"/>
    </xf>
    <xf numFmtId="0" fontId="30" fillId="2" borderId="0" xfId="13" applyFont="1" applyFill="1" applyAlignment="1">
      <alignment horizontal="right"/>
    </xf>
    <xf numFmtId="167" fontId="36" fillId="2" borderId="0" xfId="13" applyNumberFormat="1" applyFont="1" applyFill="1" applyAlignment="1">
      <alignment horizontal="right"/>
    </xf>
    <xf numFmtId="168" fontId="35" fillId="2" borderId="0" xfId="13" applyNumberFormat="1" applyFont="1" applyFill="1" applyAlignment="1">
      <alignment horizontal="right"/>
    </xf>
    <xf numFmtId="167" fontId="35" fillId="2" borderId="0" xfId="13" applyNumberFormat="1" applyFont="1" applyFill="1" applyAlignment="1">
      <alignment horizontal="right"/>
    </xf>
    <xf numFmtId="0" fontId="30" fillId="2" borderId="1" xfId="13" applyFont="1" applyFill="1" applyBorder="1" applyAlignment="1">
      <alignment horizontal="right"/>
    </xf>
    <xf numFmtId="0" fontId="35" fillId="2" borderId="0" xfId="2" applyFont="1" applyFill="1" applyAlignment="1">
      <alignment horizontal="right"/>
    </xf>
    <xf numFmtId="0" fontId="30" fillId="2" borderId="0" xfId="27" applyFont="1" applyFill="1" applyAlignment="1">
      <alignment horizontal="right"/>
    </xf>
    <xf numFmtId="167" fontId="36" fillId="2" borderId="0" xfId="2" applyNumberFormat="1" applyFont="1" applyFill="1" applyAlignment="1">
      <alignment horizontal="right"/>
    </xf>
    <xf numFmtId="167" fontId="36" fillId="0" borderId="0" xfId="27" applyNumberFormat="1" applyFont="1" applyAlignment="1">
      <alignment horizontal="right"/>
    </xf>
    <xf numFmtId="167" fontId="36" fillId="2" borderId="0" xfId="27" applyNumberFormat="1" applyFont="1" applyFill="1" applyAlignment="1">
      <alignment horizontal="right"/>
    </xf>
    <xf numFmtId="167" fontId="35" fillId="0" borderId="0" xfId="27" applyNumberFormat="1" applyFont="1" applyAlignment="1">
      <alignment horizontal="right"/>
    </xf>
    <xf numFmtId="167" fontId="35" fillId="2" borderId="0" xfId="27" applyNumberFormat="1" applyFont="1" applyFill="1" applyAlignment="1">
      <alignment horizontal="right"/>
    </xf>
    <xf numFmtId="0" fontId="35" fillId="2" borderId="1" xfId="27" applyFont="1" applyFill="1" applyBorder="1" applyAlignment="1">
      <alignment horizontal="right"/>
    </xf>
    <xf numFmtId="0" fontId="30" fillId="2" borderId="0" xfId="0" applyFont="1" applyFill="1" applyAlignment="1">
      <alignment horizontal="right"/>
    </xf>
    <xf numFmtId="0" fontId="35" fillId="2" borderId="1" xfId="13" applyFont="1" applyFill="1" applyBorder="1" applyAlignment="1">
      <alignment horizontal="right"/>
    </xf>
    <xf numFmtId="167" fontId="43" fillId="0" borderId="0" xfId="11" applyNumberFormat="1" applyFont="1" applyAlignment="1">
      <alignment horizontal="right" vertical="center"/>
    </xf>
    <xf numFmtId="167" fontId="49" fillId="0" borderId="0" xfId="11" applyNumberFormat="1" applyFont="1" applyAlignment="1">
      <alignment horizontal="right" vertical="center"/>
    </xf>
    <xf numFmtId="167" fontId="49" fillId="0" borderId="0" xfId="17" applyNumberFormat="1" applyFont="1" applyAlignment="1">
      <alignment horizontal="right" vertical="center"/>
    </xf>
    <xf numFmtId="167" fontId="49" fillId="0" borderId="0" xfId="17" applyNumberFormat="1" applyFont="1" applyFill="1" applyAlignment="1">
      <alignment horizontal="right" vertical="center"/>
    </xf>
    <xf numFmtId="167" fontId="36" fillId="0" borderId="0" xfId="11" applyNumberFormat="1" applyFont="1" applyAlignment="1">
      <alignment horizontal="right" vertical="center"/>
    </xf>
    <xf numFmtId="0" fontId="49" fillId="4" borderId="1" xfId="11" applyFont="1" applyFill="1" applyBorder="1" applyAlignment="1">
      <alignment horizontal="right" vertical="center"/>
    </xf>
    <xf numFmtId="167" fontId="35" fillId="0" borderId="0" xfId="17" applyNumberFormat="1" applyFont="1" applyAlignment="1">
      <alignment horizontal="right" vertical="center"/>
    </xf>
    <xf numFmtId="167" fontId="35" fillId="0" borderId="0" xfId="17" applyNumberFormat="1" applyFont="1" applyFill="1" applyAlignment="1">
      <alignment horizontal="right" vertical="center"/>
    </xf>
    <xf numFmtId="167" fontId="35" fillId="9" borderId="0" xfId="13" applyNumberFormat="1" applyFont="1" applyFill="1" applyAlignment="1">
      <alignment horizontal="right"/>
    </xf>
    <xf numFmtId="168" fontId="35" fillId="9" borderId="0" xfId="13" applyNumberFormat="1" applyFont="1" applyFill="1" applyAlignment="1">
      <alignment horizontal="right"/>
    </xf>
    <xf numFmtId="167" fontId="35" fillId="9" borderId="0" xfId="27" applyNumberFormat="1" applyFont="1" applyFill="1" applyAlignment="1">
      <alignment horizontal="right"/>
    </xf>
    <xf numFmtId="168" fontId="35" fillId="9" borderId="0" xfId="2" applyNumberFormat="1" applyFont="1" applyFill="1" applyAlignment="1">
      <alignment horizontal="right" vertical="center"/>
    </xf>
    <xf numFmtId="166" fontId="35" fillId="2" borderId="0" xfId="2" applyNumberFormat="1" applyFont="1" applyFill="1" applyAlignment="1">
      <alignment horizontal="right"/>
    </xf>
    <xf numFmtId="0" fontId="35" fillId="6" borderId="0" xfId="0" applyFont="1" applyFill="1" applyAlignment="1">
      <alignment horizontal="left" vertical="top"/>
    </xf>
    <xf numFmtId="0" fontId="52" fillId="0" borderId="0" xfId="11" applyFont="1"/>
    <xf numFmtId="169" fontId="36" fillId="0" borderId="0" xfId="11" applyNumberFormat="1" applyFont="1" applyAlignment="1">
      <alignment horizontal="right" vertical="center" readingOrder="1"/>
    </xf>
    <xf numFmtId="169" fontId="35" fillId="0" borderId="0" xfId="17" applyNumberFormat="1" applyFont="1" applyFill="1" applyAlignment="1">
      <alignment horizontal="right" vertical="center"/>
    </xf>
    <xf numFmtId="169" fontId="35" fillId="0" borderId="0" xfId="11" applyNumberFormat="1" applyFont="1" applyAlignment="1">
      <alignment horizontal="right" vertical="center" readingOrder="1"/>
    </xf>
    <xf numFmtId="169" fontId="35" fillId="0" borderId="0" xfId="17" applyNumberFormat="1" applyFont="1" applyBorder="1" applyAlignment="1">
      <alignment horizontal="right" vertical="center"/>
    </xf>
    <xf numFmtId="169" fontId="35" fillId="0" borderId="0" xfId="17" applyNumberFormat="1" applyFont="1" applyAlignment="1">
      <alignment horizontal="right" vertical="center"/>
    </xf>
    <xf numFmtId="0" fontId="36" fillId="0" borderId="3" xfId="11" applyFont="1" applyBorder="1" applyAlignment="1">
      <alignment horizontal="left" vertical="center" wrapText="1"/>
    </xf>
    <xf numFmtId="0" fontId="36" fillId="0" borderId="1" xfId="11" applyFont="1" applyBorder="1" applyAlignment="1">
      <alignment horizontal="left" vertical="center" wrapText="1"/>
    </xf>
    <xf numFmtId="0" fontId="36" fillId="0" borderId="3" xfId="11" applyFont="1" applyBorder="1" applyAlignment="1">
      <alignment horizontal="right" vertical="center" wrapText="1"/>
    </xf>
    <xf numFmtId="0" fontId="36" fillId="0" borderId="1" xfId="11" applyFont="1" applyBorder="1" applyAlignment="1">
      <alignment horizontal="right" vertical="center" wrapText="1"/>
    </xf>
    <xf numFmtId="0" fontId="41" fillId="0" borderId="0" xfId="11" applyFont="1" applyAlignment="1">
      <alignment vertical="top"/>
    </xf>
    <xf numFmtId="0" fontId="41" fillId="0" borderId="0" xfId="11" applyFont="1" applyAlignment="1">
      <alignment vertical="top" wrapText="1"/>
    </xf>
    <xf numFmtId="0" fontId="35" fillId="0" borderId="0" xfId="11" applyFont="1" applyAlignment="1">
      <alignment horizontal="right" vertical="top"/>
    </xf>
    <xf numFmtId="0" fontId="36" fillId="0" borderId="0" xfId="11" applyFont="1" applyAlignment="1">
      <alignment horizontal="left" vertical="center" wrapText="1"/>
    </xf>
    <xf numFmtId="0" fontId="36" fillId="0" borderId="0" xfId="11" applyFont="1" applyAlignment="1">
      <alignment horizontal="right" vertical="center" wrapText="1"/>
    </xf>
    <xf numFmtId="0" fontId="35" fillId="4" borderId="0" xfId="11" applyFont="1" applyFill="1"/>
    <xf numFmtId="0" fontId="35" fillId="4" borderId="0" xfId="11" applyFont="1" applyFill="1" applyAlignment="1">
      <alignment horizontal="right" vertical="center"/>
    </xf>
    <xf numFmtId="167" fontId="36" fillId="0" borderId="0" xfId="11" applyNumberFormat="1" applyFont="1" applyAlignment="1" applyProtection="1">
      <alignment vertical="center" wrapText="1" readingOrder="1"/>
      <protection locked="0"/>
    </xf>
    <xf numFmtId="167" fontId="35" fillId="0" borderId="0" xfId="11" applyNumberFormat="1" applyFont="1" applyAlignment="1" applyProtection="1">
      <alignment vertical="center" wrapText="1" readingOrder="1"/>
      <protection locked="0"/>
    </xf>
    <xf numFmtId="167" fontId="49" fillId="0" borderId="0" xfId="11" applyNumberFormat="1" applyFont="1" applyAlignment="1" applyProtection="1">
      <alignment vertical="center" wrapText="1" readingOrder="1"/>
      <protection locked="0"/>
    </xf>
    <xf numFmtId="0" fontId="49" fillId="4" borderId="0" xfId="11" applyFont="1" applyFill="1" applyAlignment="1">
      <alignment horizontal="right"/>
    </xf>
    <xf numFmtId="169" fontId="36" fillId="0" borderId="0" xfId="11" applyNumberFormat="1" applyFont="1" applyAlignment="1">
      <alignment horizontal="right" vertical="center"/>
    </xf>
    <xf numFmtId="169" fontId="35" fillId="0" borderId="0" xfId="17" applyNumberFormat="1" applyFont="1" applyFill="1" applyAlignment="1">
      <alignment horizontal="right" vertical="center" readingOrder="1"/>
    </xf>
    <xf numFmtId="169" fontId="35" fillId="0" borderId="0" xfId="17" applyNumberFormat="1" applyFont="1" applyBorder="1" applyAlignment="1">
      <alignment horizontal="right" vertical="center" readingOrder="1"/>
    </xf>
    <xf numFmtId="169" fontId="35" fillId="0" borderId="0" xfId="17" applyNumberFormat="1" applyFont="1" applyAlignment="1">
      <alignment horizontal="right" vertical="center" readingOrder="1"/>
    </xf>
    <xf numFmtId="169" fontId="49" fillId="0" borderId="0" xfId="17" applyNumberFormat="1" applyFont="1" applyFill="1" applyAlignment="1">
      <alignment horizontal="right" vertical="center" readingOrder="1"/>
    </xf>
    <xf numFmtId="169" fontId="49" fillId="0" borderId="0" xfId="17" applyNumberFormat="1" applyFont="1" applyBorder="1" applyAlignment="1">
      <alignment horizontal="right" vertical="center" readingOrder="1"/>
    </xf>
    <xf numFmtId="169" fontId="49" fillId="0" borderId="0" xfId="17" applyNumberFormat="1" applyFont="1" applyAlignment="1">
      <alignment horizontal="right" vertical="center" readingOrder="1"/>
    </xf>
    <xf numFmtId="0" fontId="36" fillId="0" borderId="3" xfId="11" applyFont="1" applyBorder="1" applyAlignment="1">
      <alignment horizontal="left" vertical="center" wrapText="1"/>
    </xf>
    <xf numFmtId="0" fontId="36" fillId="0" borderId="1" xfId="11" applyFont="1" applyBorder="1" applyAlignment="1">
      <alignment horizontal="left" vertical="center" wrapText="1"/>
    </xf>
    <xf numFmtId="0" fontId="36" fillId="0" borderId="3" xfId="11" applyFont="1" applyBorder="1" applyAlignment="1">
      <alignment horizontal="right" vertical="center" wrapText="1"/>
    </xf>
    <xf numFmtId="0" fontId="36" fillId="0" borderId="1" xfId="11" applyFont="1" applyBorder="1" applyAlignment="1">
      <alignment horizontal="right" vertical="center" wrapText="1"/>
    </xf>
    <xf numFmtId="0" fontId="36" fillId="0" borderId="0" xfId="11" applyFont="1" applyAlignment="1">
      <alignment horizontal="left" vertical="center" wrapText="1"/>
    </xf>
    <xf numFmtId="0" fontId="36" fillId="0" borderId="0" xfId="11" applyFont="1" applyAlignment="1">
      <alignment horizontal="right" vertical="center" wrapText="1"/>
    </xf>
    <xf numFmtId="0" fontId="32" fillId="0" borderId="0" xfId="54" applyFont="1"/>
    <xf numFmtId="0" fontId="38" fillId="0" borderId="0" xfId="11" applyFont="1" applyAlignment="1">
      <alignment vertical="top" wrapText="1"/>
    </xf>
    <xf numFmtId="0" fontId="35" fillId="4" borderId="0" xfId="11" applyFont="1" applyFill="1" applyAlignment="1">
      <alignment horizontal="right"/>
    </xf>
    <xf numFmtId="167" fontId="35" fillId="2" borderId="0" xfId="11" applyNumberFormat="1" applyFont="1" applyFill="1" applyAlignment="1">
      <alignment horizontal="left" indent="1" readingOrder="1"/>
    </xf>
    <xf numFmtId="167" fontId="35" fillId="2" borderId="0" xfId="0" applyNumberFormat="1" applyFont="1" applyFill="1"/>
    <xf numFmtId="167" fontId="35" fillId="0" borderId="0" xfId="11" applyNumberFormat="1" applyFont="1" applyAlignment="1">
      <alignment horizontal="left" indent="1" readingOrder="1"/>
    </xf>
    <xf numFmtId="0" fontId="43" fillId="0" borderId="3" xfId="11" applyFont="1" applyBorder="1" applyAlignment="1">
      <alignment horizontal="left" vertical="center" wrapText="1"/>
    </xf>
    <xf numFmtId="0" fontId="43" fillId="0" borderId="1" xfId="11" applyFont="1" applyBorder="1" applyAlignment="1">
      <alignment horizontal="left" vertical="center" wrapText="1"/>
    </xf>
    <xf numFmtId="0" fontId="43" fillId="0" borderId="3" xfId="11" applyFont="1" applyBorder="1" applyAlignment="1">
      <alignment horizontal="right" vertical="center" wrapText="1"/>
    </xf>
    <xf numFmtId="0" fontId="43" fillId="0" borderId="1" xfId="11" applyFont="1" applyBorder="1" applyAlignment="1">
      <alignment horizontal="right" vertical="center" wrapText="1"/>
    </xf>
    <xf numFmtId="0" fontId="34" fillId="0" borderId="3" xfId="11" applyFont="1" applyBorder="1" applyAlignment="1">
      <alignment horizontal="right" vertical="center" wrapText="1"/>
    </xf>
    <xf numFmtId="0" fontId="34" fillId="0" borderId="1" xfId="11" applyFont="1" applyBorder="1" applyAlignment="1">
      <alignment horizontal="right" vertical="center" wrapText="1"/>
    </xf>
    <xf numFmtId="0" fontId="32" fillId="0" borderId="0" xfId="55" applyFont="1"/>
    <xf numFmtId="0" fontId="36" fillId="0" borderId="3" xfId="11" applyFont="1" applyBorder="1" applyAlignment="1">
      <alignment horizontal="left" vertical="center" wrapText="1"/>
    </xf>
    <xf numFmtId="0" fontId="36" fillId="0" borderId="1" xfId="11" applyFont="1" applyBorder="1" applyAlignment="1">
      <alignment horizontal="left" vertical="center" wrapText="1"/>
    </xf>
    <xf numFmtId="0" fontId="36" fillId="0" borderId="3" xfId="11" applyFont="1" applyBorder="1" applyAlignment="1">
      <alignment horizontal="right" vertical="center" wrapText="1"/>
    </xf>
    <xf numFmtId="0" fontId="36" fillId="0" borderId="1" xfId="11" applyFont="1" applyBorder="1" applyAlignment="1">
      <alignment horizontal="right" vertical="center" wrapText="1"/>
    </xf>
    <xf numFmtId="0" fontId="38" fillId="0" borderId="0" xfId="11" applyFont="1" applyAlignment="1">
      <alignment horizontal="left" vertical="top" wrapText="1"/>
    </xf>
    <xf numFmtId="0" fontId="32" fillId="0" borderId="0" xfId="56" applyFont="1"/>
    <xf numFmtId="0" fontId="64" fillId="0" borderId="0" xfId="11" applyFont="1" applyAlignment="1">
      <alignment horizontal="left" vertical="top" wrapText="1"/>
    </xf>
    <xf numFmtId="0" fontId="48" fillId="0" borderId="0" xfId="11" applyFont="1" applyAlignment="1">
      <alignment vertical="top"/>
    </xf>
    <xf numFmtId="0" fontId="48" fillId="0" borderId="0" xfId="11" applyFont="1" applyAlignment="1">
      <alignment vertical="top" wrapText="1"/>
    </xf>
    <xf numFmtId="167" fontId="43" fillId="0" borderId="0" xfId="11" applyNumberFormat="1" applyFont="1" applyAlignment="1" applyProtection="1">
      <alignment vertical="center" wrapText="1" readingOrder="1"/>
      <protection locked="0"/>
    </xf>
    <xf numFmtId="169" fontId="49" fillId="0" borderId="0" xfId="17" applyNumberFormat="1" applyFont="1" applyFill="1" applyAlignment="1">
      <alignment horizontal="right" vertical="center"/>
    </xf>
    <xf numFmtId="169" fontId="49" fillId="0" borderId="0" xfId="11" applyNumberFormat="1" applyFont="1" applyAlignment="1">
      <alignment horizontal="right" vertical="center"/>
    </xf>
    <xf numFmtId="169" fontId="43" fillId="0" borderId="0" xfId="11" applyNumberFormat="1" applyFont="1" applyAlignment="1">
      <alignment horizontal="right" vertical="center"/>
    </xf>
    <xf numFmtId="169" fontId="49" fillId="0" borderId="0" xfId="17" applyNumberFormat="1" applyFont="1" applyBorder="1" applyAlignment="1">
      <alignment horizontal="right" vertical="center"/>
    </xf>
    <xf numFmtId="169" fontId="49" fillId="0" borderId="0" xfId="17" applyNumberFormat="1" applyFont="1" applyAlignment="1">
      <alignment horizontal="right" vertical="center"/>
    </xf>
    <xf numFmtId="0" fontId="46" fillId="6" borderId="3" xfId="0" applyFont="1" applyFill="1" applyBorder="1" applyAlignment="1">
      <alignment horizontal="left" vertical="center" wrapText="1"/>
    </xf>
    <xf numFmtId="0" fontId="46" fillId="6" borderId="1" xfId="0" applyFont="1" applyFill="1" applyBorder="1" applyAlignment="1">
      <alignment horizontal="left" vertical="center" wrapText="1"/>
    </xf>
    <xf numFmtId="0" fontId="32" fillId="0" borderId="0" xfId="57" applyFont="1"/>
    <xf numFmtId="0" fontId="32" fillId="0" borderId="0" xfId="58" applyFont="1"/>
    <xf numFmtId="0" fontId="58" fillId="0" borderId="0" xfId="58" applyFont="1"/>
    <xf numFmtId="0" fontId="58" fillId="0" borderId="0" xfId="58" applyFont="1" applyAlignment="1">
      <alignment horizontal="left"/>
    </xf>
    <xf numFmtId="0" fontId="62" fillId="2" borderId="0" xfId="59" applyFont="1" applyFill="1" applyAlignment="1">
      <alignment vertical="top"/>
    </xf>
    <xf numFmtId="0" fontId="16" fillId="0" borderId="1" xfId="58" applyBorder="1"/>
    <xf numFmtId="0" fontId="16" fillId="0" borderId="0" xfId="58" applyAlignment="1">
      <alignment horizontal="left"/>
    </xf>
    <xf numFmtId="0" fontId="16" fillId="0" borderId="0" xfId="58"/>
    <xf numFmtId="0" fontId="46" fillId="6" borderId="0" xfId="0" applyFont="1" applyFill="1" applyAlignment="1">
      <alignment horizontal="left" vertical="center" wrapText="1"/>
    </xf>
    <xf numFmtId="0" fontId="34" fillId="0" borderId="0" xfId="58" applyFont="1" applyAlignment="1">
      <alignment horizontal="left" vertical="center" wrapText="1"/>
    </xf>
    <xf numFmtId="167" fontId="34" fillId="0" borderId="0" xfId="58" applyNumberFormat="1" applyFont="1" applyAlignment="1">
      <alignment horizontal="right" vertical="center"/>
    </xf>
    <xf numFmtId="167" fontId="34" fillId="0" borderId="0" xfId="58" applyNumberFormat="1" applyFont="1"/>
    <xf numFmtId="167" fontId="33" fillId="0" borderId="0" xfId="58" applyNumberFormat="1" applyFont="1" applyAlignment="1">
      <alignment horizontal="right" vertical="center"/>
    </xf>
    <xf numFmtId="167" fontId="35" fillId="0" borderId="0" xfId="58" applyNumberFormat="1" applyFont="1" applyAlignment="1">
      <alignment horizontal="right" vertical="center"/>
    </xf>
    <xf numFmtId="167" fontId="33" fillId="0" borderId="0" xfId="58" applyNumberFormat="1" applyFont="1"/>
    <xf numFmtId="0" fontId="16" fillId="0" borderId="1" xfId="58" applyBorder="1" applyAlignment="1">
      <alignment horizontal="left"/>
    </xf>
    <xf numFmtId="166" fontId="35" fillId="0" borderId="1" xfId="58" applyNumberFormat="1" applyFont="1" applyBorder="1"/>
    <xf numFmtId="0" fontId="35" fillId="6" borderId="0" xfId="0" applyFont="1" applyFill="1" applyAlignment="1">
      <alignment horizontal="left" indent="1"/>
    </xf>
    <xf numFmtId="166" fontId="35" fillId="0" borderId="0" xfId="58" applyNumberFormat="1" applyFont="1"/>
    <xf numFmtId="169" fontId="35" fillId="0" borderId="0" xfId="58" applyNumberFormat="1" applyFont="1" applyAlignment="1">
      <alignment horizontal="right" vertical="center"/>
    </xf>
    <xf numFmtId="169" fontId="34" fillId="0" borderId="0" xfId="58" applyNumberFormat="1" applyFont="1" applyAlignment="1">
      <alignment horizontal="right" vertical="center"/>
    </xf>
    <xf numFmtId="0" fontId="32" fillId="0" borderId="0" xfId="61" applyFont="1"/>
    <xf numFmtId="0" fontId="58" fillId="0" borderId="0" xfId="61" applyFont="1"/>
    <xf numFmtId="0" fontId="58" fillId="0" borderId="0" xfId="61" applyFont="1" applyAlignment="1">
      <alignment horizontal="center"/>
    </xf>
    <xf numFmtId="0" fontId="58" fillId="0" borderId="0" xfId="61" applyFont="1" applyAlignment="1">
      <alignment horizontal="left"/>
    </xf>
    <xf numFmtId="0" fontId="55" fillId="2" borderId="0" xfId="61" applyFont="1" applyFill="1"/>
    <xf numFmtId="0" fontId="53" fillId="0" borderId="1" xfId="61" applyFont="1" applyBorder="1"/>
    <xf numFmtId="0" fontId="53" fillId="0" borderId="0" xfId="61" applyFont="1" applyAlignment="1">
      <alignment horizontal="left"/>
    </xf>
    <xf numFmtId="0" fontId="53" fillId="0" borderId="0" xfId="61" applyFont="1" applyAlignment="1">
      <alignment horizontal="center"/>
    </xf>
    <xf numFmtId="0" fontId="53" fillId="0" borderId="0" xfId="61" applyFont="1"/>
    <xf numFmtId="0" fontId="15" fillId="0" borderId="0" xfId="61"/>
    <xf numFmtId="0" fontId="36" fillId="2" borderId="3" xfId="61" applyFont="1" applyFill="1" applyBorder="1" applyAlignment="1">
      <alignment horizontal="center" vertical="center" wrapText="1"/>
    </xf>
    <xf numFmtId="0" fontId="36" fillId="2" borderId="0" xfId="61" applyFont="1" applyFill="1" applyAlignment="1">
      <alignment horizontal="center" vertical="center" wrapText="1"/>
    </xf>
    <xf numFmtId="0" fontId="35" fillId="2" borderId="0" xfId="13" applyFont="1" applyFill="1" applyAlignment="1">
      <alignment vertical="center"/>
    </xf>
    <xf numFmtId="0" fontId="36" fillId="2" borderId="0" xfId="13" applyFont="1" applyFill="1" applyAlignment="1">
      <alignment vertical="center"/>
    </xf>
    <xf numFmtId="0" fontId="36" fillId="2" borderId="1" xfId="61" applyFont="1" applyFill="1" applyBorder="1" applyAlignment="1">
      <alignment horizontal="center" vertical="center" wrapText="1"/>
    </xf>
    <xf numFmtId="0" fontId="36" fillId="2" borderId="1" xfId="61" applyFont="1" applyFill="1" applyBorder="1" applyAlignment="1">
      <alignment horizontal="right" vertical="center" wrapText="1"/>
    </xf>
    <xf numFmtId="0" fontId="36" fillId="0" borderId="0" xfId="61" applyFont="1" applyAlignment="1">
      <alignment horizontal="left" vertical="center" wrapText="1"/>
    </xf>
    <xf numFmtId="0" fontId="36" fillId="0" borderId="0" xfId="61" applyFont="1" applyAlignment="1">
      <alignment horizontal="right" vertical="center" wrapText="1"/>
    </xf>
    <xf numFmtId="0" fontId="53" fillId="0" borderId="0" xfId="61" applyFont="1" applyAlignment="1">
      <alignment horizontal="right" vertical="center"/>
    </xf>
    <xf numFmtId="167" fontId="36" fillId="0" borderId="0" xfId="61" applyNumberFormat="1" applyFont="1"/>
    <xf numFmtId="167" fontId="36" fillId="2" borderId="0" xfId="62" applyNumberFormat="1" applyFont="1" applyFill="1" applyAlignment="1">
      <alignment horizontal="right" vertical="center"/>
    </xf>
    <xf numFmtId="167" fontId="34" fillId="0" borderId="0" xfId="61" applyNumberFormat="1" applyFont="1"/>
    <xf numFmtId="167" fontId="36" fillId="0" borderId="0" xfId="0" applyNumberFormat="1" applyFont="1"/>
    <xf numFmtId="167" fontId="35" fillId="0" borderId="0" xfId="61" applyNumberFormat="1" applyFont="1"/>
    <xf numFmtId="167" fontId="35" fillId="2" borderId="0" xfId="62" applyNumberFormat="1" applyFont="1" applyFill="1" applyAlignment="1">
      <alignment horizontal="right" vertical="center"/>
    </xf>
    <xf numFmtId="168" fontId="35" fillId="2" borderId="0" xfId="62" applyNumberFormat="1" applyFont="1" applyFill="1" applyAlignment="1">
      <alignment horizontal="right" vertical="center"/>
    </xf>
    <xf numFmtId="167" fontId="33" fillId="0" borderId="0" xfId="61" applyNumberFormat="1" applyFont="1"/>
    <xf numFmtId="167" fontId="35" fillId="0" borderId="0" xfId="61" applyNumberFormat="1" applyFont="1" applyAlignment="1">
      <alignment horizontal="left"/>
    </xf>
    <xf numFmtId="167" fontId="35" fillId="3" borderId="0" xfId="61" applyNumberFormat="1" applyFont="1" applyFill="1" applyAlignment="1">
      <alignment horizontal="right" vertical="center"/>
    </xf>
    <xf numFmtId="167" fontId="35" fillId="2" borderId="0" xfId="63" applyNumberFormat="1" applyFont="1" applyFill="1" applyAlignment="1">
      <alignment horizontal="right" vertical="center"/>
    </xf>
    <xf numFmtId="0" fontId="53" fillId="0" borderId="5" xfId="61" applyFont="1" applyBorder="1"/>
    <xf numFmtId="0" fontId="53" fillId="0" borderId="1" xfId="61" applyFont="1" applyBorder="1" applyAlignment="1">
      <alignment horizontal="left"/>
    </xf>
    <xf numFmtId="166" fontId="35" fillId="2" borderId="1" xfId="2" applyNumberFormat="1" applyFont="1" applyFill="1" applyBorder="1" applyAlignment="1">
      <alignment horizontal="right" vertical="center"/>
    </xf>
    <xf numFmtId="166" fontId="35" fillId="2" borderId="1" xfId="62" applyNumberFormat="1" applyFont="1" applyFill="1" applyBorder="1" applyAlignment="1">
      <alignment horizontal="right" vertical="center"/>
    </xf>
    <xf numFmtId="165" fontId="35" fillId="2" borderId="1" xfId="62" applyNumberFormat="1" applyFont="1" applyFill="1" applyBorder="1" applyAlignment="1">
      <alignment horizontal="right" vertical="center"/>
    </xf>
    <xf numFmtId="165" fontId="35" fillId="3" borderId="1" xfId="61" applyNumberFormat="1" applyFont="1" applyFill="1" applyBorder="1" applyAlignment="1">
      <alignment horizontal="right" vertical="center"/>
    </xf>
    <xf numFmtId="165" fontId="35" fillId="2" borderId="1" xfId="63" applyNumberFormat="1" applyFont="1" applyFill="1" applyBorder="1" applyAlignment="1">
      <alignment horizontal="right" vertical="center"/>
    </xf>
    <xf numFmtId="166" fontId="35" fillId="2" borderId="0" xfId="62" applyNumberFormat="1" applyFont="1" applyFill="1"/>
    <xf numFmtId="165" fontId="35" fillId="2" borderId="0" xfId="62" applyNumberFormat="1" applyFont="1" applyFill="1"/>
    <xf numFmtId="165" fontId="35" fillId="3" borderId="0" xfId="61" applyNumberFormat="1" applyFont="1" applyFill="1"/>
    <xf numFmtId="165" fontId="35" fillId="2" borderId="0" xfId="63" applyNumberFormat="1" applyFont="1" applyFill="1"/>
    <xf numFmtId="0" fontId="35" fillId="6" borderId="0" xfId="0" applyFont="1" applyFill="1" applyAlignment="1">
      <alignment horizontal="left"/>
    </xf>
    <xf numFmtId="0" fontId="15" fillId="0" borderId="0" xfId="61" applyAlignment="1">
      <alignment horizontal="left"/>
    </xf>
    <xf numFmtId="0" fontId="15" fillId="0" borderId="0" xfId="61" applyAlignment="1">
      <alignment horizontal="center"/>
    </xf>
    <xf numFmtId="165" fontId="15" fillId="0" borderId="0" xfId="61" applyNumberFormat="1" applyAlignment="1">
      <alignment horizontal="center"/>
    </xf>
    <xf numFmtId="165" fontId="15" fillId="0" borderId="0" xfId="61" applyNumberFormat="1"/>
    <xf numFmtId="169" fontId="35" fillId="2" borderId="0" xfId="62" applyNumberFormat="1" applyFont="1" applyFill="1" applyAlignment="1">
      <alignment horizontal="right" vertical="center"/>
    </xf>
    <xf numFmtId="169" fontId="35" fillId="2" borderId="0" xfId="2" applyNumberFormat="1" applyFont="1" applyFill="1" applyAlignment="1">
      <alignment horizontal="right" vertical="center"/>
    </xf>
    <xf numFmtId="169" fontId="35" fillId="6" borderId="0" xfId="0" applyNumberFormat="1" applyFont="1" applyFill="1" applyAlignment="1">
      <alignment horizontal="right" vertical="center"/>
    </xf>
    <xf numFmtId="169" fontId="36" fillId="2" borderId="0" xfId="62" applyNumberFormat="1" applyFont="1" applyFill="1" applyAlignment="1">
      <alignment horizontal="right" vertical="center"/>
    </xf>
    <xf numFmtId="0" fontId="32" fillId="0" borderId="0" xfId="64" applyFont="1"/>
    <xf numFmtId="0" fontId="58" fillId="0" borderId="0" xfId="64" applyFont="1"/>
    <xf numFmtId="0" fontId="58" fillId="0" borderId="0" xfId="64" applyFont="1" applyAlignment="1">
      <alignment horizontal="center"/>
    </xf>
    <xf numFmtId="0" fontId="58" fillId="0" borderId="0" xfId="64" applyFont="1" applyAlignment="1">
      <alignment horizontal="left"/>
    </xf>
    <xf numFmtId="0" fontId="55" fillId="2" borderId="0" xfId="64" applyFont="1" applyFill="1"/>
    <xf numFmtId="164" fontId="55" fillId="2" borderId="0" xfId="66" applyFont="1" applyFill="1" applyBorder="1" applyAlignment="1">
      <alignment horizontal="right" vertical="top"/>
    </xf>
    <xf numFmtId="0" fontId="55" fillId="0" borderId="0" xfId="65" applyFont="1" applyAlignment="1">
      <alignment vertical="center"/>
    </xf>
    <xf numFmtId="0" fontId="53" fillId="0" borderId="1" xfId="64" applyFont="1" applyBorder="1"/>
    <xf numFmtId="0" fontId="53" fillId="0" borderId="0" xfId="64" applyFont="1" applyAlignment="1">
      <alignment horizontal="left"/>
    </xf>
    <xf numFmtId="0" fontId="53" fillId="0" borderId="0" xfId="64" applyFont="1" applyAlignment="1">
      <alignment horizontal="center"/>
    </xf>
    <xf numFmtId="0" fontId="53" fillId="0" borderId="0" xfId="64" applyFont="1"/>
    <xf numFmtId="0" fontId="14" fillId="0" borderId="0" xfId="64"/>
    <xf numFmtId="0" fontId="36" fillId="2" borderId="3" xfId="64" applyFont="1" applyFill="1" applyBorder="1" applyAlignment="1">
      <alignment horizontal="center" vertical="center" wrapText="1"/>
    </xf>
    <xf numFmtId="0" fontId="36" fillId="2" borderId="0" xfId="64" applyFont="1" applyFill="1" applyAlignment="1">
      <alignment horizontal="center" vertical="center" wrapText="1"/>
    </xf>
    <xf numFmtId="0" fontId="36" fillId="2" borderId="0" xfId="68" applyFont="1" applyFill="1" applyAlignment="1">
      <alignment horizontal="center" vertical="center" wrapText="1"/>
    </xf>
    <xf numFmtId="0" fontId="53" fillId="2" borderId="0" xfId="68" applyFont="1" applyFill="1" applyAlignment="1">
      <alignment vertical="center"/>
    </xf>
    <xf numFmtId="0" fontId="36" fillId="2" borderId="1" xfId="64" applyFont="1" applyFill="1" applyBorder="1" applyAlignment="1">
      <alignment horizontal="center" vertical="center" wrapText="1"/>
    </xf>
    <xf numFmtId="0" fontId="36" fillId="2" borderId="1" xfId="68" applyFont="1" applyFill="1" applyBorder="1" applyAlignment="1">
      <alignment horizontal="right" vertical="center"/>
    </xf>
    <xf numFmtId="0" fontId="53" fillId="2" borderId="1" xfId="68" applyFont="1" applyFill="1" applyBorder="1" applyAlignment="1">
      <alignment vertical="center"/>
    </xf>
    <xf numFmtId="0" fontId="36" fillId="0" borderId="0" xfId="64" applyFont="1" applyAlignment="1">
      <alignment horizontal="left" vertical="center" wrapText="1"/>
    </xf>
    <xf numFmtId="0" fontId="36" fillId="0" borderId="0" xfId="64" applyFont="1" applyAlignment="1">
      <alignment horizontal="right" vertical="center"/>
    </xf>
    <xf numFmtId="0" fontId="53" fillId="0" borderId="0" xfId="64" applyFont="1" applyAlignment="1">
      <alignment horizontal="right" vertical="center"/>
    </xf>
    <xf numFmtId="0" fontId="14" fillId="0" borderId="0" xfId="64" applyAlignment="1">
      <alignment horizontal="right"/>
    </xf>
    <xf numFmtId="167" fontId="36" fillId="0" borderId="0" xfId="64" applyNumberFormat="1" applyFont="1"/>
    <xf numFmtId="167" fontId="34" fillId="0" borderId="0" xfId="64" applyNumberFormat="1" applyFont="1" applyAlignment="1">
      <alignment horizontal="right"/>
    </xf>
    <xf numFmtId="167" fontId="34" fillId="0" borderId="0" xfId="64" applyNumberFormat="1" applyFont="1"/>
    <xf numFmtId="167" fontId="35" fillId="0" borderId="0" xfId="64" applyNumberFormat="1" applyFont="1"/>
    <xf numFmtId="168" fontId="35" fillId="2" borderId="0" xfId="2" applyNumberFormat="1" applyFont="1" applyFill="1" applyAlignment="1">
      <alignment horizontal="right" vertical="center"/>
    </xf>
    <xf numFmtId="167" fontId="33" fillId="0" borderId="0" xfId="64" applyNumberFormat="1" applyFont="1" applyAlignment="1">
      <alignment horizontal="right"/>
    </xf>
    <xf numFmtId="167" fontId="33" fillId="0" borderId="0" xfId="64" applyNumberFormat="1" applyFont="1"/>
    <xf numFmtId="167" fontId="35" fillId="0" borderId="0" xfId="64" applyNumberFormat="1" applyFont="1" applyAlignment="1">
      <alignment horizontal="left"/>
    </xf>
    <xf numFmtId="167" fontId="35" fillId="2" borderId="0" xfId="65" applyNumberFormat="1" applyFont="1" applyFill="1" applyAlignment="1">
      <alignment horizontal="right" vertical="center"/>
    </xf>
    <xf numFmtId="167" fontId="35" fillId="3" borderId="0" xfId="64" applyNumberFormat="1" applyFont="1" applyFill="1" applyAlignment="1">
      <alignment horizontal="right" vertical="center"/>
    </xf>
    <xf numFmtId="167" fontId="35" fillId="2" borderId="0" xfId="67" applyNumberFormat="1" applyFont="1" applyFill="1" applyAlignment="1">
      <alignment horizontal="right" vertical="center"/>
    </xf>
    <xf numFmtId="167" fontId="35" fillId="0" borderId="0" xfId="64" applyNumberFormat="1" applyFont="1" applyAlignment="1">
      <alignment horizontal="right" vertical="center"/>
    </xf>
    <xf numFmtId="0" fontId="53" fillId="0" borderId="5" xfId="64" applyFont="1" applyBorder="1"/>
    <xf numFmtId="0" fontId="53" fillId="0" borderId="1" xfId="64" applyFont="1" applyBorder="1" applyAlignment="1">
      <alignment horizontal="left"/>
    </xf>
    <xf numFmtId="166" fontId="35" fillId="2" borderId="1" xfId="65" applyNumberFormat="1" applyFont="1" applyFill="1" applyBorder="1" applyAlignment="1">
      <alignment horizontal="right" vertical="center"/>
    </xf>
    <xf numFmtId="165" fontId="35" fillId="2" borderId="1" xfId="65" applyNumberFormat="1" applyFont="1" applyFill="1" applyBorder="1" applyAlignment="1">
      <alignment horizontal="right" vertical="center"/>
    </xf>
    <xf numFmtId="165" fontId="35" fillId="3" borderId="1" xfId="64" applyNumberFormat="1" applyFont="1" applyFill="1" applyBorder="1" applyAlignment="1">
      <alignment horizontal="right" vertical="center"/>
    </xf>
    <xf numFmtId="165" fontId="35" fillId="2" borderId="1" xfId="67" applyNumberFormat="1" applyFont="1" applyFill="1" applyBorder="1" applyAlignment="1">
      <alignment horizontal="right" vertical="center"/>
    </xf>
    <xf numFmtId="166" fontId="35" fillId="2" borderId="0" xfId="65" applyNumberFormat="1" applyFont="1" applyFill="1"/>
    <xf numFmtId="165" fontId="35" fillId="2" borderId="0" xfId="65" applyNumberFormat="1" applyFont="1" applyFill="1"/>
    <xf numFmtId="165" fontId="35" fillId="3" borderId="0" xfId="64" applyNumberFormat="1" applyFont="1" applyFill="1"/>
    <xf numFmtId="165" fontId="35" fillId="2" borderId="0" xfId="67" applyNumberFormat="1" applyFont="1" applyFill="1"/>
    <xf numFmtId="166" fontId="35" fillId="0" borderId="0" xfId="64" applyNumberFormat="1" applyFont="1"/>
    <xf numFmtId="0" fontId="35" fillId="2" borderId="0" xfId="64" applyFont="1" applyFill="1" applyAlignment="1">
      <alignment horizontal="left" vertical="top"/>
    </xf>
    <xf numFmtId="0" fontId="14" fillId="0" borderId="0" xfId="64" applyAlignment="1">
      <alignment horizontal="left"/>
    </xf>
    <xf numFmtId="0" fontId="14" fillId="0" borderId="0" xfId="64" applyAlignment="1">
      <alignment horizontal="center"/>
    </xf>
    <xf numFmtId="165" fontId="14" fillId="0" borderId="0" xfId="64" applyNumberFormat="1" applyAlignment="1">
      <alignment horizontal="center"/>
    </xf>
    <xf numFmtId="165" fontId="14" fillId="0" borderId="0" xfId="64" applyNumberFormat="1"/>
    <xf numFmtId="169" fontId="35" fillId="2" borderId="0" xfId="65" applyNumberFormat="1" applyFont="1" applyFill="1" applyAlignment="1">
      <alignment horizontal="right" vertical="center"/>
    </xf>
    <xf numFmtId="169" fontId="36" fillId="2" borderId="0" xfId="2" applyNumberFormat="1" applyFont="1" applyFill="1" applyAlignment="1">
      <alignment horizontal="right" vertical="center"/>
    </xf>
    <xf numFmtId="169" fontId="35" fillId="0" borderId="0" xfId="64" applyNumberFormat="1" applyFont="1" applyAlignment="1">
      <alignment horizontal="right" vertical="center"/>
    </xf>
    <xf numFmtId="0" fontId="32" fillId="0" borderId="0" xfId="70" applyFont="1"/>
    <xf numFmtId="0" fontId="58" fillId="0" borderId="0" xfId="70" applyFont="1"/>
    <xf numFmtId="0" fontId="58" fillId="0" borderId="0" xfId="70" applyFont="1" applyAlignment="1">
      <alignment horizontal="center"/>
    </xf>
    <xf numFmtId="0" fontId="58" fillId="0" borderId="0" xfId="70" applyFont="1" applyAlignment="1">
      <alignment horizontal="left"/>
    </xf>
    <xf numFmtId="0" fontId="55" fillId="2" borderId="0" xfId="70" applyFont="1" applyFill="1"/>
    <xf numFmtId="0" fontId="53" fillId="0" borderId="1" xfId="70" applyFont="1" applyBorder="1"/>
    <xf numFmtId="0" fontId="53" fillId="0" borderId="0" xfId="70" applyFont="1" applyAlignment="1">
      <alignment horizontal="left"/>
    </xf>
    <xf numFmtId="0" fontId="53" fillId="0" borderId="0" xfId="70" applyFont="1" applyAlignment="1">
      <alignment horizontal="center"/>
    </xf>
    <xf numFmtId="0" fontId="53" fillId="0" borderId="0" xfId="70" applyFont="1"/>
    <xf numFmtId="0" fontId="13" fillId="0" borderId="0" xfId="70"/>
    <xf numFmtId="0" fontId="36" fillId="2" borderId="3" xfId="70" applyFont="1" applyFill="1" applyBorder="1" applyAlignment="1">
      <alignment horizontal="center" vertical="center" wrapText="1"/>
    </xf>
    <xf numFmtId="0" fontId="36" fillId="2" borderId="0" xfId="70" applyFont="1" applyFill="1" applyAlignment="1">
      <alignment horizontal="center" vertical="center" wrapText="1"/>
    </xf>
    <xf numFmtId="0" fontId="36" fillId="2" borderId="0" xfId="72" applyFont="1" applyFill="1" applyAlignment="1">
      <alignment horizontal="right" vertical="center" wrapText="1"/>
    </xf>
    <xf numFmtId="0" fontId="36" fillId="2" borderId="0" xfId="72" applyFont="1" applyFill="1" applyAlignment="1">
      <alignment horizontal="center" vertical="center" wrapText="1"/>
    </xf>
    <xf numFmtId="0" fontId="36" fillId="2" borderId="1" xfId="70" applyFont="1" applyFill="1" applyBorder="1" applyAlignment="1">
      <alignment horizontal="center" vertical="center" wrapText="1"/>
    </xf>
    <xf numFmtId="0" fontId="36" fillId="2" borderId="1" xfId="73" applyFont="1" applyFill="1" applyBorder="1" applyAlignment="1">
      <alignment horizontal="right" vertical="center"/>
    </xf>
    <xf numFmtId="0" fontId="53" fillId="2" borderId="1" xfId="73" applyFont="1" applyFill="1" applyBorder="1" applyAlignment="1">
      <alignment vertical="center"/>
    </xf>
    <xf numFmtId="0" fontId="34" fillId="0" borderId="0" xfId="70" applyFont="1" applyAlignment="1">
      <alignment horizontal="left" vertical="center" wrapText="1"/>
    </xf>
    <xf numFmtId="0" fontId="34" fillId="0" borderId="0" xfId="70" applyFont="1" applyAlignment="1">
      <alignment horizontal="right" vertical="center" wrapText="1"/>
    </xf>
    <xf numFmtId="0" fontId="36" fillId="0" borderId="0" xfId="70" applyFont="1" applyAlignment="1">
      <alignment horizontal="right" vertical="center" wrapText="1"/>
    </xf>
    <xf numFmtId="0" fontId="13" fillId="0" borderId="0" xfId="70" applyAlignment="1">
      <alignment horizontal="right" vertical="center"/>
    </xf>
    <xf numFmtId="167" fontId="34" fillId="0" borderId="0" xfId="70" applyNumberFormat="1" applyFont="1"/>
    <xf numFmtId="167" fontId="33" fillId="0" borderId="0" xfId="70" applyNumberFormat="1" applyFont="1"/>
    <xf numFmtId="167" fontId="33" fillId="0" borderId="0" xfId="70" applyNumberFormat="1" applyFont="1" applyAlignment="1">
      <alignment horizontal="left"/>
    </xf>
    <xf numFmtId="167" fontId="35" fillId="2" borderId="0" xfId="71" applyNumberFormat="1" applyFont="1" applyFill="1" applyAlignment="1">
      <alignment horizontal="right" vertical="center"/>
    </xf>
    <xf numFmtId="167" fontId="35" fillId="3" borderId="0" xfId="70" applyNumberFormat="1" applyFont="1" applyFill="1" applyAlignment="1">
      <alignment horizontal="right" vertical="center"/>
    </xf>
    <xf numFmtId="167" fontId="35" fillId="2" borderId="0" xfId="72" applyNumberFormat="1" applyFont="1" applyFill="1" applyAlignment="1">
      <alignment horizontal="right" vertical="center"/>
    </xf>
    <xf numFmtId="0" fontId="13" fillId="0" borderId="5" xfId="70" applyBorder="1"/>
    <xf numFmtId="0" fontId="13" fillId="0" borderId="1" xfId="70" applyBorder="1" applyAlignment="1">
      <alignment horizontal="left"/>
    </xf>
    <xf numFmtId="166" fontId="35" fillId="2" borderId="1" xfId="71" applyNumberFormat="1" applyFont="1" applyFill="1" applyBorder="1" applyAlignment="1">
      <alignment horizontal="right" vertical="center"/>
    </xf>
    <xf numFmtId="165" fontId="35" fillId="2" borderId="1" xfId="71" applyNumberFormat="1" applyFont="1" applyFill="1" applyBorder="1" applyAlignment="1">
      <alignment horizontal="right" vertical="center"/>
    </xf>
    <xf numFmtId="165" fontId="35" fillId="3" borderId="1" xfId="70" applyNumberFormat="1" applyFont="1" applyFill="1" applyBorder="1" applyAlignment="1">
      <alignment horizontal="right" vertical="center"/>
    </xf>
    <xf numFmtId="165" fontId="35" fillId="2" borderId="1" xfId="72" applyNumberFormat="1" applyFont="1" applyFill="1" applyBorder="1" applyAlignment="1">
      <alignment horizontal="right" vertical="center"/>
    </xf>
    <xf numFmtId="0" fontId="13" fillId="0" borderId="0" xfId="70" applyAlignment="1">
      <alignment horizontal="left"/>
    </xf>
    <xf numFmtId="166" fontId="35" fillId="2" borderId="0" xfId="71" applyNumberFormat="1" applyFont="1" applyFill="1"/>
    <xf numFmtId="165" fontId="35" fillId="2" borderId="0" xfId="71" applyNumberFormat="1" applyFont="1" applyFill="1"/>
    <xf numFmtId="165" fontId="35" fillId="3" borderId="0" xfId="70" applyNumberFormat="1" applyFont="1" applyFill="1"/>
    <xf numFmtId="165" fontId="35" fillId="2" borderId="0" xfId="72" applyNumberFormat="1" applyFont="1" applyFill="1"/>
    <xf numFmtId="0" fontId="35" fillId="2" borderId="0" xfId="71" applyFont="1" applyFill="1" applyAlignment="1">
      <alignment horizontal="left" vertical="top" justifyLastLine="1"/>
    </xf>
    <xf numFmtId="0" fontId="13" fillId="0" borderId="0" xfId="70" applyAlignment="1">
      <alignment horizontal="center"/>
    </xf>
    <xf numFmtId="165" fontId="13" fillId="0" borderId="0" xfId="70" applyNumberFormat="1" applyAlignment="1">
      <alignment horizontal="center"/>
    </xf>
    <xf numFmtId="165" fontId="13" fillId="0" borderId="0" xfId="70" applyNumberFormat="1"/>
    <xf numFmtId="169" fontId="35" fillId="2" borderId="0" xfId="71" applyNumberFormat="1" applyFont="1" applyFill="1" applyAlignment="1">
      <alignment horizontal="right" vertical="center"/>
    </xf>
    <xf numFmtId="0" fontId="32" fillId="0" borderId="0" xfId="74" applyFont="1"/>
    <xf numFmtId="0" fontId="58" fillId="0" borderId="0" xfId="74" applyFont="1"/>
    <xf numFmtId="0" fontId="58" fillId="0" borderId="0" xfId="74" applyFont="1" applyAlignment="1">
      <alignment horizontal="center"/>
    </xf>
    <xf numFmtId="0" fontId="58" fillId="0" borderId="0" xfId="74" applyFont="1" applyAlignment="1">
      <alignment horizontal="left"/>
    </xf>
    <xf numFmtId="0" fontId="53" fillId="0" borderId="1" xfId="74" applyFont="1" applyBorder="1"/>
    <xf numFmtId="0" fontId="53" fillId="0" borderId="0" xfId="74" applyFont="1" applyAlignment="1">
      <alignment horizontal="left"/>
    </xf>
    <xf numFmtId="0" fontId="53" fillId="0" borderId="0" xfId="74" applyFont="1" applyAlignment="1">
      <alignment horizontal="center"/>
    </xf>
    <xf numFmtId="0" fontId="12" fillId="0" borderId="0" xfId="74"/>
    <xf numFmtId="0" fontId="36" fillId="2" borderId="3" xfId="74" applyFont="1" applyFill="1" applyBorder="1" applyAlignment="1">
      <alignment horizontal="center" vertical="center" wrapText="1"/>
    </xf>
    <xf numFmtId="0" fontId="36" fillId="2" borderId="0" xfId="74" applyFont="1" applyFill="1" applyAlignment="1">
      <alignment horizontal="center" vertical="center" wrapText="1"/>
    </xf>
    <xf numFmtId="0" fontId="36" fillId="2" borderId="0" xfId="76" applyFont="1" applyFill="1" applyAlignment="1">
      <alignment horizontal="right" vertical="center" wrapText="1"/>
    </xf>
    <xf numFmtId="0" fontId="36" fillId="2" borderId="1" xfId="74" applyFont="1" applyFill="1" applyBorder="1" applyAlignment="1">
      <alignment horizontal="center" vertical="center" wrapText="1"/>
    </xf>
    <xf numFmtId="0" fontId="36" fillId="2" borderId="1" xfId="77" applyFont="1" applyFill="1" applyBorder="1" applyAlignment="1">
      <alignment horizontal="right" vertical="center"/>
    </xf>
    <xf numFmtId="0" fontId="36" fillId="0" borderId="0" xfId="74" applyFont="1" applyAlignment="1">
      <alignment horizontal="right" vertical="center" wrapText="1"/>
    </xf>
    <xf numFmtId="167" fontId="36" fillId="0" borderId="0" xfId="74" applyNumberFormat="1" applyFont="1" applyAlignment="1">
      <alignment horizontal="right" vertical="center"/>
    </xf>
    <xf numFmtId="167" fontId="34" fillId="0" borderId="0" xfId="74" applyNumberFormat="1" applyFont="1"/>
    <xf numFmtId="167" fontId="35" fillId="0" borderId="0" xfId="74" applyNumberFormat="1" applyFont="1" applyAlignment="1">
      <alignment horizontal="right" vertical="center"/>
    </xf>
    <xf numFmtId="167" fontId="33" fillId="0" borderId="0" xfId="74" applyNumberFormat="1" applyFont="1"/>
    <xf numFmtId="167" fontId="35" fillId="2" borderId="0" xfId="75" applyNumberFormat="1" applyFont="1" applyFill="1" applyAlignment="1">
      <alignment horizontal="right" vertical="center"/>
    </xf>
    <xf numFmtId="0" fontId="53" fillId="0" borderId="5" xfId="74" applyFont="1" applyBorder="1"/>
    <xf numFmtId="0" fontId="53" fillId="0" borderId="1" xfId="74" applyFont="1" applyBorder="1" applyAlignment="1">
      <alignment horizontal="right" vertical="center"/>
    </xf>
    <xf numFmtId="166" fontId="35" fillId="2" borderId="1" xfId="75" applyNumberFormat="1" applyFont="1" applyFill="1" applyBorder="1" applyAlignment="1">
      <alignment horizontal="right" vertical="center"/>
    </xf>
    <xf numFmtId="165" fontId="35" fillId="2" borderId="1" xfId="75" applyNumberFormat="1" applyFont="1" applyFill="1" applyBorder="1" applyAlignment="1">
      <alignment horizontal="right" vertical="center"/>
    </xf>
    <xf numFmtId="166" fontId="35" fillId="2" borderId="0" xfId="75" applyNumberFormat="1" applyFont="1" applyFill="1"/>
    <xf numFmtId="165" fontId="35" fillId="2" borderId="0" xfId="75" applyNumberFormat="1" applyFont="1" applyFill="1"/>
    <xf numFmtId="0" fontId="35" fillId="2" borderId="0" xfId="79" applyFont="1" applyFill="1" applyAlignment="1">
      <alignment horizontal="left" vertical="top"/>
    </xf>
    <xf numFmtId="0" fontId="12" fillId="0" borderId="0" xfId="74" applyAlignment="1">
      <alignment horizontal="left"/>
    </xf>
    <xf numFmtId="0" fontId="12" fillId="0" borderId="0" xfId="74" applyAlignment="1">
      <alignment horizontal="center"/>
    </xf>
    <xf numFmtId="165" fontId="12" fillId="0" borderId="0" xfId="74" applyNumberFormat="1" applyAlignment="1">
      <alignment horizontal="center"/>
    </xf>
    <xf numFmtId="169" fontId="35" fillId="2" borderId="0" xfId="75" applyNumberFormat="1" applyFont="1" applyFill="1" applyAlignment="1">
      <alignment horizontal="right" vertical="center"/>
    </xf>
    <xf numFmtId="0" fontId="32" fillId="0" borderId="0" xfId="80" applyFont="1"/>
    <xf numFmtId="0" fontId="58" fillId="0" borderId="0" xfId="80" applyFont="1"/>
    <xf numFmtId="0" fontId="58" fillId="0" borderId="0" xfId="80" applyFont="1" applyAlignment="1">
      <alignment horizontal="center"/>
    </xf>
    <xf numFmtId="0" fontId="58" fillId="0" borderId="0" xfId="80" applyFont="1" applyAlignment="1">
      <alignment horizontal="left"/>
    </xf>
    <xf numFmtId="0" fontId="55" fillId="0" borderId="0" xfId="80" applyFont="1"/>
    <xf numFmtId="0" fontId="53" fillId="0" borderId="0" xfId="80" applyFont="1"/>
    <xf numFmtId="0" fontId="53" fillId="0" borderId="0" xfId="80" applyFont="1" applyAlignment="1">
      <alignment horizontal="left"/>
    </xf>
    <xf numFmtId="0" fontId="53" fillId="0" borderId="0" xfId="80" applyFont="1" applyAlignment="1">
      <alignment horizontal="center"/>
    </xf>
    <xf numFmtId="0" fontId="11" fillId="0" borderId="0" xfId="80"/>
    <xf numFmtId="0" fontId="36" fillId="2" borderId="2" xfId="82" applyFont="1" applyFill="1" applyBorder="1" applyAlignment="1">
      <alignment horizontal="right" vertical="center" wrapText="1"/>
    </xf>
    <xf numFmtId="0" fontId="36" fillId="2" borderId="2" xfId="80" applyFont="1" applyFill="1" applyBorder="1" applyAlignment="1">
      <alignment horizontal="center" vertical="center" wrapText="1"/>
    </xf>
    <xf numFmtId="0" fontId="36" fillId="2" borderId="2" xfId="83" applyFont="1" applyFill="1" applyBorder="1" applyAlignment="1">
      <alignment horizontal="right" vertical="center" wrapText="1"/>
    </xf>
    <xf numFmtId="0" fontId="36" fillId="0" borderId="0" xfId="80" applyFont="1" applyAlignment="1">
      <alignment horizontal="left" vertical="center" wrapText="1"/>
    </xf>
    <xf numFmtId="0" fontId="36" fillId="0" borderId="0" xfId="80" applyFont="1" applyAlignment="1">
      <alignment horizontal="right" vertical="center" wrapText="1"/>
    </xf>
    <xf numFmtId="167" fontId="36" fillId="0" borderId="0" xfId="80" applyNumberFormat="1" applyFont="1"/>
    <xf numFmtId="167" fontId="34" fillId="0" borderId="0" xfId="80" applyNumberFormat="1" applyFont="1"/>
    <xf numFmtId="167" fontId="35" fillId="0" borderId="0" xfId="80" applyNumberFormat="1" applyFont="1"/>
    <xf numFmtId="167" fontId="33" fillId="0" borderId="0" xfId="80" applyNumberFormat="1" applyFont="1"/>
    <xf numFmtId="167" fontId="35" fillId="0" borderId="0" xfId="80" applyNumberFormat="1" applyFont="1" applyAlignment="1">
      <alignment horizontal="left"/>
    </xf>
    <xf numFmtId="167" fontId="35" fillId="2" borderId="0" xfId="81" applyNumberFormat="1" applyFont="1" applyFill="1" applyAlignment="1">
      <alignment horizontal="right" vertical="center"/>
    </xf>
    <xf numFmtId="0" fontId="53" fillId="0" borderId="5" xfId="80" applyFont="1" applyBorder="1"/>
    <xf numFmtId="0" fontId="53" fillId="0" borderId="1" xfId="80" applyFont="1" applyBorder="1" applyAlignment="1">
      <alignment horizontal="left"/>
    </xf>
    <xf numFmtId="166" fontId="35" fillId="2" borderId="1" xfId="81" applyNumberFormat="1" applyFont="1" applyFill="1" applyBorder="1" applyAlignment="1">
      <alignment horizontal="right" vertical="center"/>
    </xf>
    <xf numFmtId="165" fontId="35" fillId="2" borderId="1" xfId="81" applyNumberFormat="1" applyFont="1" applyFill="1" applyBorder="1" applyAlignment="1">
      <alignment horizontal="right" vertical="center"/>
    </xf>
    <xf numFmtId="166" fontId="35" fillId="2" borderId="0" xfId="81" applyNumberFormat="1" applyFont="1" applyFill="1"/>
    <xf numFmtId="165" fontId="35" fillId="2" borderId="0" xfId="81" applyNumberFormat="1" applyFont="1" applyFill="1"/>
    <xf numFmtId="0" fontId="11" fillId="0" borderId="0" xfId="80" applyAlignment="1">
      <alignment horizontal="left"/>
    </xf>
    <xf numFmtId="0" fontId="11" fillId="0" borderId="0" xfId="80" applyAlignment="1">
      <alignment horizontal="center"/>
    </xf>
    <xf numFmtId="165" fontId="11" fillId="0" borderId="0" xfId="80" applyNumberFormat="1" applyAlignment="1">
      <alignment horizontal="center"/>
    </xf>
    <xf numFmtId="169" fontId="35" fillId="2" borderId="0" xfId="81" applyNumberFormat="1" applyFont="1" applyFill="1" applyAlignment="1">
      <alignment horizontal="right" vertical="center"/>
    </xf>
    <xf numFmtId="0" fontId="32" fillId="0" borderId="0" xfId="85" applyFont="1"/>
    <xf numFmtId="0" fontId="58" fillId="0" borderId="0" xfId="85" applyFont="1"/>
    <xf numFmtId="0" fontId="58" fillId="0" borderId="0" xfId="85" applyFont="1" applyAlignment="1">
      <alignment horizontal="center"/>
    </xf>
    <xf numFmtId="0" fontId="58" fillId="0" borderId="0" xfId="85" applyFont="1" applyAlignment="1">
      <alignment horizontal="left"/>
    </xf>
    <xf numFmtId="0" fontId="10" fillId="0" borderId="1" xfId="85" applyBorder="1"/>
    <xf numFmtId="0" fontId="10" fillId="0" borderId="0" xfId="85" applyAlignment="1">
      <alignment horizontal="left"/>
    </xf>
    <xf numFmtId="0" fontId="10" fillId="0" borderId="0" xfId="85" applyAlignment="1">
      <alignment horizontal="center"/>
    </xf>
    <xf numFmtId="0" fontId="10" fillId="0" borderId="0" xfId="85"/>
    <xf numFmtId="0" fontId="34" fillId="2" borderId="3" xfId="85" applyFont="1" applyFill="1" applyBorder="1" applyAlignment="1">
      <alignment horizontal="center" vertical="center" wrapText="1"/>
    </xf>
    <xf numFmtId="0" fontId="34" fillId="2" borderId="0" xfId="85" applyFont="1" applyFill="1" applyAlignment="1">
      <alignment horizontal="center" vertical="center" wrapText="1"/>
    </xf>
    <xf numFmtId="0" fontId="34" fillId="2" borderId="3" xfId="89" applyFont="1" applyFill="1" applyBorder="1" applyAlignment="1">
      <alignment horizontal="right" vertical="center" wrapText="1"/>
    </xf>
    <xf numFmtId="0" fontId="34" fillId="2" borderId="3" xfId="89" applyFont="1" applyFill="1" applyBorder="1" applyAlignment="1">
      <alignment horizontal="center" vertical="center" wrapText="1"/>
    </xf>
    <xf numFmtId="0" fontId="10" fillId="0" borderId="3" xfId="89" applyBorder="1" applyAlignment="1">
      <alignment vertical="center"/>
    </xf>
    <xf numFmtId="0" fontId="10" fillId="2" borderId="3" xfId="89" applyFill="1" applyBorder="1" applyAlignment="1">
      <alignment vertical="center"/>
    </xf>
    <xf numFmtId="0" fontId="34" fillId="2" borderId="1" xfId="85" applyFont="1" applyFill="1" applyBorder="1" applyAlignment="1">
      <alignment horizontal="center" vertical="center" wrapText="1"/>
    </xf>
    <xf numFmtId="0" fontId="34" fillId="2" borderId="1" xfId="88" applyFont="1" applyFill="1" applyBorder="1" applyAlignment="1">
      <alignment horizontal="right" vertical="center"/>
    </xf>
    <xf numFmtId="0" fontId="10" fillId="0" borderId="1" xfId="85" applyBorder="1" applyAlignment="1">
      <alignment horizontal="right"/>
    </xf>
    <xf numFmtId="0" fontId="34" fillId="0" borderId="0" xfId="85" applyFont="1" applyAlignment="1">
      <alignment horizontal="left" vertical="center" wrapText="1"/>
    </xf>
    <xf numFmtId="0" fontId="34" fillId="0" borderId="0" xfId="85" applyFont="1" applyAlignment="1">
      <alignment horizontal="right" vertical="center" wrapText="1"/>
    </xf>
    <xf numFmtId="0" fontId="36" fillId="0" borderId="0" xfId="85" applyFont="1" applyAlignment="1">
      <alignment horizontal="right" vertical="center" wrapText="1"/>
    </xf>
    <xf numFmtId="0" fontId="10" fillId="0" borderId="0" xfId="85" applyAlignment="1">
      <alignment horizontal="right"/>
    </xf>
    <xf numFmtId="167" fontId="34" fillId="0" borderId="0" xfId="85" applyNumberFormat="1" applyFont="1"/>
    <xf numFmtId="167" fontId="34" fillId="0" borderId="0" xfId="85" applyNumberFormat="1" applyFont="1" applyAlignment="1">
      <alignment horizontal="right"/>
    </xf>
    <xf numFmtId="167" fontId="33" fillId="0" borderId="0" xfId="85" applyNumberFormat="1" applyFont="1"/>
    <xf numFmtId="167" fontId="33" fillId="0" borderId="0" xfId="85" applyNumberFormat="1" applyFont="1" applyAlignment="1">
      <alignment horizontal="right"/>
    </xf>
    <xf numFmtId="168" fontId="33" fillId="0" borderId="0" xfId="85" applyNumberFormat="1" applyFont="1" applyAlignment="1">
      <alignment horizontal="right"/>
    </xf>
    <xf numFmtId="167" fontId="33" fillId="0" borderId="0" xfId="85" applyNumberFormat="1" applyFont="1" applyAlignment="1">
      <alignment horizontal="left"/>
    </xf>
    <xf numFmtId="167" fontId="35" fillId="2" borderId="0" xfId="86" applyNumberFormat="1" applyFont="1" applyFill="1" applyAlignment="1">
      <alignment horizontal="right"/>
    </xf>
    <xf numFmtId="0" fontId="10" fillId="0" borderId="5" xfId="85" applyBorder="1"/>
    <xf numFmtId="0" fontId="10" fillId="0" borderId="1" xfId="85" applyBorder="1" applyAlignment="1">
      <alignment horizontal="left"/>
    </xf>
    <xf numFmtId="166" fontId="35" fillId="2" borderId="1" xfId="2" applyNumberFormat="1" applyFont="1" applyFill="1" applyBorder="1" applyAlignment="1">
      <alignment horizontal="right"/>
    </xf>
    <xf numFmtId="166" fontId="35" fillId="2" borderId="1" xfId="86" applyNumberFormat="1" applyFont="1" applyFill="1" applyBorder="1" applyAlignment="1">
      <alignment horizontal="right"/>
    </xf>
    <xf numFmtId="165" fontId="35" fillId="2" borderId="1" xfId="86" applyNumberFormat="1" applyFont="1" applyFill="1" applyBorder="1" applyAlignment="1">
      <alignment horizontal="right"/>
    </xf>
    <xf numFmtId="166" fontId="35" fillId="2" borderId="0" xfId="86" applyNumberFormat="1" applyFont="1" applyFill="1"/>
    <xf numFmtId="165" fontId="35" fillId="2" borderId="0" xfId="86" applyNumberFormat="1" applyFont="1" applyFill="1"/>
    <xf numFmtId="165" fontId="10" fillId="0" borderId="0" xfId="85" applyNumberFormat="1" applyAlignment="1">
      <alignment horizontal="center"/>
    </xf>
    <xf numFmtId="169" fontId="33" fillId="0" borderId="0" xfId="85" applyNumberFormat="1" applyFont="1" applyAlignment="1">
      <alignment horizontal="right"/>
    </xf>
    <xf numFmtId="169" fontId="35" fillId="2" borderId="0" xfId="2" applyNumberFormat="1" applyFont="1" applyFill="1" applyAlignment="1">
      <alignment horizontal="right"/>
    </xf>
    <xf numFmtId="169" fontId="34" fillId="0" borderId="0" xfId="85" applyNumberFormat="1" applyFont="1" applyAlignment="1">
      <alignment horizontal="right"/>
    </xf>
    <xf numFmtId="169" fontId="35" fillId="2" borderId="0" xfId="86" applyNumberFormat="1" applyFont="1" applyFill="1" applyAlignment="1">
      <alignment horizontal="right"/>
    </xf>
    <xf numFmtId="0" fontId="36" fillId="6" borderId="3" xfId="0" applyFont="1" applyFill="1" applyBorder="1" applyAlignment="1">
      <alignment horizontal="left" vertical="center" wrapText="1"/>
    </xf>
    <xf numFmtId="0" fontId="36" fillId="6" borderId="0" xfId="0" applyFont="1" applyFill="1" applyAlignment="1">
      <alignment horizontal="left" vertical="center" wrapText="1"/>
    </xf>
    <xf numFmtId="0" fontId="36" fillId="6" borderId="1" xfId="0" applyFont="1" applyFill="1" applyBorder="1" applyAlignment="1">
      <alignment horizontal="left" vertical="center" wrapText="1"/>
    </xf>
    <xf numFmtId="0" fontId="32" fillId="0" borderId="0" xfId="90" applyFont="1"/>
    <xf numFmtId="0" fontId="58" fillId="0" borderId="0" xfId="90" applyFont="1"/>
    <xf numFmtId="0" fontId="58" fillId="0" borderId="0" xfId="90" applyFont="1" applyAlignment="1">
      <alignment horizontal="center"/>
    </xf>
    <xf numFmtId="0" fontId="55" fillId="0" borderId="0" xfId="90" applyFont="1"/>
    <xf numFmtId="0" fontId="55" fillId="0" borderId="0" xfId="90" applyFont="1" applyAlignment="1">
      <alignment horizontal="left"/>
    </xf>
    <xf numFmtId="0" fontId="55" fillId="0" borderId="0" xfId="90" applyFont="1" applyAlignment="1">
      <alignment horizontal="center"/>
    </xf>
    <xf numFmtId="0" fontId="55" fillId="2" borderId="0" xfId="90" applyFont="1" applyFill="1"/>
    <xf numFmtId="164" fontId="55" fillId="2" borderId="0" xfId="92" applyFont="1" applyFill="1" applyBorder="1" applyAlignment="1">
      <alignment horizontal="right" vertical="top"/>
    </xf>
    <xf numFmtId="0" fontId="55" fillId="0" borderId="0" xfId="91" applyFont="1" applyAlignment="1">
      <alignment vertical="center"/>
    </xf>
    <xf numFmtId="0" fontId="53" fillId="0" borderId="1" xfId="90" applyFont="1" applyBorder="1"/>
    <xf numFmtId="0" fontId="53" fillId="0" borderId="0" xfId="90" applyFont="1" applyAlignment="1">
      <alignment horizontal="left"/>
    </xf>
    <xf numFmtId="0" fontId="53" fillId="0" borderId="0" xfId="90" applyFont="1" applyAlignment="1">
      <alignment horizontal="center"/>
    </xf>
    <xf numFmtId="0" fontId="53" fillId="0" borderId="0" xfId="90" applyFont="1"/>
    <xf numFmtId="0" fontId="36" fillId="2" borderId="3" xfId="90" applyFont="1" applyFill="1" applyBorder="1" applyAlignment="1">
      <alignment horizontal="center" vertical="center" wrapText="1"/>
    </xf>
    <xf numFmtId="0" fontId="36" fillId="2" borderId="3" xfId="94" applyFont="1" applyFill="1" applyBorder="1" applyAlignment="1">
      <alignment horizontal="center" vertical="center" wrapText="1"/>
    </xf>
    <xf numFmtId="0" fontId="36" fillId="2" borderId="0" xfId="90" applyFont="1" applyFill="1" applyAlignment="1">
      <alignment horizontal="center" vertical="center" wrapText="1"/>
    </xf>
    <xf numFmtId="0" fontId="36" fillId="2" borderId="0" xfId="95" applyFont="1" applyFill="1" applyAlignment="1">
      <alignment horizontal="center" vertical="center"/>
    </xf>
    <xf numFmtId="0" fontId="36" fillId="2" borderId="1" xfId="90" applyFont="1" applyFill="1" applyBorder="1" applyAlignment="1">
      <alignment horizontal="center" vertical="center" wrapText="1"/>
    </xf>
    <xf numFmtId="0" fontId="36" fillId="2" borderId="1" xfId="94" applyFont="1" applyFill="1" applyBorder="1" applyAlignment="1">
      <alignment horizontal="right" vertical="center"/>
    </xf>
    <xf numFmtId="0" fontId="53" fillId="2" borderId="1" xfId="94" applyFont="1" applyFill="1" applyBorder="1" applyAlignment="1">
      <alignment horizontal="right" vertical="center"/>
    </xf>
    <xf numFmtId="0" fontId="53" fillId="0" borderId="1" xfId="90" applyFont="1" applyBorder="1" applyAlignment="1">
      <alignment horizontal="right"/>
    </xf>
    <xf numFmtId="0" fontId="36" fillId="0" borderId="0" xfId="90" applyFont="1" applyAlignment="1">
      <alignment horizontal="left" vertical="center" wrapText="1"/>
    </xf>
    <xf numFmtId="0" fontId="36" fillId="0" borderId="0" xfId="90" applyFont="1" applyAlignment="1">
      <alignment horizontal="right" vertical="center" wrapText="1"/>
    </xf>
    <xf numFmtId="0" fontId="53" fillId="0" borderId="0" xfId="90" applyFont="1" applyAlignment="1">
      <alignment horizontal="right" vertical="center"/>
    </xf>
    <xf numFmtId="167" fontId="36" fillId="0" borderId="0" xfId="90" applyNumberFormat="1" applyFont="1"/>
    <xf numFmtId="168" fontId="36" fillId="2" borderId="0" xfId="2" applyNumberFormat="1" applyFont="1" applyFill="1" applyAlignment="1">
      <alignment horizontal="right" vertical="center"/>
    </xf>
    <xf numFmtId="167" fontId="35" fillId="0" borderId="0" xfId="90" applyNumberFormat="1" applyFont="1"/>
    <xf numFmtId="167" fontId="35" fillId="0" borderId="0" xfId="90" applyNumberFormat="1" applyFont="1" applyAlignment="1">
      <alignment horizontal="left"/>
    </xf>
    <xf numFmtId="167" fontId="35" fillId="2" borderId="0" xfId="91" applyNumberFormat="1" applyFont="1" applyFill="1" applyAlignment="1">
      <alignment horizontal="right" vertical="center"/>
    </xf>
    <xf numFmtId="167" fontId="35" fillId="3" borderId="0" xfId="90" applyNumberFormat="1" applyFont="1" applyFill="1" applyAlignment="1">
      <alignment horizontal="right" vertical="center"/>
    </xf>
    <xf numFmtId="167" fontId="35" fillId="2" borderId="0" xfId="93" applyNumberFormat="1" applyFont="1" applyFill="1" applyAlignment="1">
      <alignment horizontal="right" vertical="center"/>
    </xf>
    <xf numFmtId="167" fontId="35" fillId="0" borderId="0" xfId="90" applyNumberFormat="1" applyFont="1" applyAlignment="1">
      <alignment horizontal="right" vertical="center"/>
    </xf>
    <xf numFmtId="0" fontId="53" fillId="0" borderId="5" xfId="90" applyFont="1" applyBorder="1"/>
    <xf numFmtId="0" fontId="53" fillId="0" borderId="1" xfId="90" applyFont="1" applyBorder="1" applyAlignment="1">
      <alignment horizontal="left"/>
    </xf>
    <xf numFmtId="166" fontId="35" fillId="2" borderId="1" xfId="91" applyNumberFormat="1" applyFont="1" applyFill="1" applyBorder="1" applyAlignment="1">
      <alignment horizontal="right" vertical="center"/>
    </xf>
    <xf numFmtId="165" fontId="35" fillId="2" borderId="1" xfId="91" applyNumberFormat="1" applyFont="1" applyFill="1" applyBorder="1" applyAlignment="1">
      <alignment horizontal="right" vertical="center"/>
    </xf>
    <xf numFmtId="165" fontId="35" fillId="3" borderId="1" xfId="90" applyNumberFormat="1" applyFont="1" applyFill="1" applyBorder="1" applyAlignment="1">
      <alignment horizontal="right" vertical="center"/>
    </xf>
    <xf numFmtId="165" fontId="35" fillId="2" borderId="1" xfId="93" applyNumberFormat="1" applyFont="1" applyFill="1" applyBorder="1" applyAlignment="1">
      <alignment horizontal="right" vertical="center"/>
    </xf>
    <xf numFmtId="0" fontId="9" fillId="0" borderId="0" xfId="90"/>
    <xf numFmtId="166" fontId="35" fillId="2" borderId="0" xfId="91" applyNumberFormat="1" applyFont="1" applyFill="1"/>
    <xf numFmtId="165" fontId="35" fillId="2" borderId="0" xfId="91" applyNumberFormat="1" applyFont="1" applyFill="1"/>
    <xf numFmtId="165" fontId="35" fillId="3" borderId="0" xfId="90" applyNumberFormat="1" applyFont="1" applyFill="1"/>
    <xf numFmtId="165" fontId="35" fillId="2" borderId="0" xfId="93" applyNumberFormat="1" applyFont="1" applyFill="1"/>
    <xf numFmtId="166" fontId="35" fillId="0" borderId="0" xfId="90" applyNumberFormat="1" applyFont="1"/>
    <xf numFmtId="0" fontId="53" fillId="0" borderId="0" xfId="96" applyFont="1" applyAlignment="1">
      <alignment horizontal="left"/>
    </xf>
    <xf numFmtId="166" fontId="35" fillId="2" borderId="0" xfId="97" applyNumberFormat="1" applyFont="1" applyFill="1"/>
    <xf numFmtId="165" fontId="35" fillId="2" borderId="0" xfId="97" applyNumberFormat="1" applyFont="1" applyFill="1"/>
    <xf numFmtId="165" fontId="35" fillId="3" borderId="0" xfId="96" applyNumberFormat="1" applyFont="1" applyFill="1"/>
    <xf numFmtId="165" fontId="35" fillId="2" borderId="0" xfId="98" applyNumberFormat="1" applyFont="1" applyFill="1"/>
    <xf numFmtId="166" fontId="35" fillId="0" borderId="0" xfId="96" applyNumberFormat="1" applyFont="1"/>
    <xf numFmtId="0" fontId="53" fillId="0" borderId="0" xfId="96" applyFont="1"/>
    <xf numFmtId="0" fontId="9" fillId="0" borderId="0" xfId="96"/>
    <xf numFmtId="0" fontId="9" fillId="0" borderId="0" xfId="90" applyAlignment="1">
      <alignment horizontal="left"/>
    </xf>
    <xf numFmtId="0" fontId="9" fillId="0" borderId="0" xfId="90" applyAlignment="1">
      <alignment horizontal="center"/>
    </xf>
    <xf numFmtId="165" fontId="9" fillId="0" borderId="0" xfId="90" applyNumberFormat="1" applyAlignment="1">
      <alignment horizontal="center"/>
    </xf>
    <xf numFmtId="165" fontId="9" fillId="0" borderId="0" xfId="90" applyNumberFormat="1"/>
    <xf numFmtId="169" fontId="35" fillId="2" borderId="0" xfId="91" applyNumberFormat="1" applyFont="1" applyFill="1" applyAlignment="1">
      <alignment horizontal="right" vertical="center"/>
    </xf>
    <xf numFmtId="169" fontId="35" fillId="0" borderId="0" xfId="90" applyNumberFormat="1" applyFont="1" applyAlignment="1">
      <alignment horizontal="right" vertical="center"/>
    </xf>
    <xf numFmtId="0" fontId="32" fillId="0" borderId="0" xfId="99" applyFont="1"/>
    <xf numFmtId="0" fontId="58" fillId="0" borderId="0" xfId="99" applyFont="1"/>
    <xf numFmtId="0" fontId="58" fillId="0" borderId="0" xfId="99" applyFont="1" applyAlignment="1">
      <alignment horizontal="left"/>
    </xf>
    <xf numFmtId="0" fontId="55" fillId="0" borderId="0" xfId="99" applyFont="1"/>
    <xf numFmtId="0" fontId="53" fillId="0" borderId="1" xfId="99" applyFont="1" applyBorder="1"/>
    <xf numFmtId="0" fontId="53" fillId="0" borderId="0" xfId="99" applyFont="1" applyAlignment="1">
      <alignment horizontal="left"/>
    </xf>
    <xf numFmtId="0" fontId="53" fillId="0" borderId="0" xfId="99" applyFont="1"/>
    <xf numFmtId="0" fontId="8" fillId="0" borderId="0" xfId="99"/>
    <xf numFmtId="0" fontId="36" fillId="0" borderId="3" xfId="101" applyFont="1" applyBorder="1" applyAlignment="1">
      <alignment horizontal="right" vertical="center" wrapText="1"/>
    </xf>
    <xf numFmtId="0" fontId="53" fillId="0" borderId="3" xfId="99" applyFont="1" applyBorder="1"/>
    <xf numFmtId="0" fontId="36" fillId="0" borderId="0" xfId="101" applyFont="1" applyAlignment="1">
      <alignment horizontal="right" vertical="center" wrapText="1"/>
    </xf>
    <xf numFmtId="0" fontId="36" fillId="0" borderId="1" xfId="101" applyFont="1" applyBorder="1" applyAlignment="1">
      <alignment horizontal="right" vertical="center" wrapText="1"/>
    </xf>
    <xf numFmtId="0" fontId="36" fillId="0" borderId="0" xfId="99" applyFont="1" applyAlignment="1">
      <alignment horizontal="left" vertical="center" wrapText="1"/>
    </xf>
    <xf numFmtId="0" fontId="36" fillId="0" borderId="0" xfId="99" applyFont="1" applyAlignment="1">
      <alignment horizontal="right" vertical="center" wrapText="1"/>
    </xf>
    <xf numFmtId="0" fontId="53" fillId="0" borderId="0" xfId="99" applyFont="1" applyAlignment="1">
      <alignment horizontal="right"/>
    </xf>
    <xf numFmtId="167" fontId="36" fillId="0" borderId="0" xfId="99" applyNumberFormat="1" applyFont="1"/>
    <xf numFmtId="167" fontId="36" fillId="0" borderId="0" xfId="99" applyNumberFormat="1" applyFont="1" applyAlignment="1">
      <alignment horizontal="right"/>
    </xf>
    <xf numFmtId="167" fontId="34" fillId="0" borderId="0" xfId="99" applyNumberFormat="1" applyFont="1"/>
    <xf numFmtId="167" fontId="35" fillId="0" borderId="0" xfId="99" applyNumberFormat="1" applyFont="1"/>
    <xf numFmtId="167" fontId="35" fillId="0" borderId="0" xfId="99" applyNumberFormat="1" applyFont="1" applyAlignment="1">
      <alignment horizontal="right"/>
    </xf>
    <xf numFmtId="167" fontId="33" fillId="0" borderId="0" xfId="99" applyNumberFormat="1" applyFont="1"/>
    <xf numFmtId="167" fontId="35" fillId="0" borderId="0" xfId="99" applyNumberFormat="1" applyFont="1" applyAlignment="1">
      <alignment horizontal="left"/>
    </xf>
    <xf numFmtId="0" fontId="53" fillId="0" borderId="5" xfId="99" applyFont="1" applyBorder="1"/>
    <xf numFmtId="0" fontId="53" fillId="0" borderId="1" xfId="99" applyFont="1" applyBorder="1" applyAlignment="1">
      <alignment horizontal="left"/>
    </xf>
    <xf numFmtId="0" fontId="53" fillId="0" borderId="1" xfId="99" applyFont="1" applyBorder="1" applyAlignment="1">
      <alignment horizontal="right"/>
    </xf>
    <xf numFmtId="166" fontId="35" fillId="0" borderId="1" xfId="99" applyNumberFormat="1" applyFont="1" applyBorder="1" applyAlignment="1">
      <alignment horizontal="right"/>
    </xf>
    <xf numFmtId="166" fontId="35" fillId="0" borderId="0" xfId="99" applyNumberFormat="1" applyFont="1"/>
    <xf numFmtId="0" fontId="8" fillId="0" borderId="0" xfId="99" applyAlignment="1">
      <alignment horizontal="left"/>
    </xf>
    <xf numFmtId="169" fontId="35" fillId="0" borderId="0" xfId="99" applyNumberFormat="1" applyFont="1" applyAlignment="1">
      <alignment horizontal="right"/>
    </xf>
    <xf numFmtId="169" fontId="36" fillId="0" borderId="0" xfId="99" applyNumberFormat="1" applyFont="1" applyAlignment="1">
      <alignment horizontal="right"/>
    </xf>
    <xf numFmtId="0" fontId="36" fillId="6" borderId="3" xfId="0" applyFont="1" applyFill="1" applyBorder="1" applyAlignment="1">
      <alignment horizontal="left" vertical="center" wrapText="1"/>
    </xf>
    <xf numFmtId="0" fontId="36" fillId="6" borderId="0" xfId="0" applyFont="1" applyFill="1" applyAlignment="1">
      <alignment horizontal="left" vertical="center" wrapText="1"/>
    </xf>
    <xf numFmtId="0" fontId="36" fillId="6" borderId="1" xfId="0" applyFont="1" applyFill="1" applyBorder="1" applyAlignment="1">
      <alignment horizontal="left" vertical="center" wrapText="1"/>
    </xf>
    <xf numFmtId="167" fontId="35" fillId="2" borderId="0" xfId="102" applyNumberFormat="1" applyFont="1" applyFill="1" applyAlignment="1">
      <alignment horizontal="right"/>
    </xf>
    <xf numFmtId="169" fontId="35" fillId="2" borderId="0" xfId="102" applyNumberFormat="1" applyFont="1" applyFill="1" applyAlignment="1">
      <alignment horizontal="right"/>
    </xf>
    <xf numFmtId="169" fontId="36" fillId="2" borderId="0" xfId="102" applyNumberFormat="1" applyFont="1" applyFill="1" applyAlignment="1">
      <alignment horizontal="right"/>
    </xf>
    <xf numFmtId="0" fontId="32" fillId="0" borderId="0" xfId="105" applyFont="1"/>
    <xf numFmtId="0" fontId="58" fillId="0" borderId="0" xfId="105" applyFont="1"/>
    <xf numFmtId="0" fontId="58" fillId="0" borderId="0" xfId="105" applyFont="1" applyAlignment="1">
      <alignment horizontal="left"/>
    </xf>
    <xf numFmtId="0" fontId="53" fillId="0" borderId="1" xfId="105" applyFont="1" applyBorder="1"/>
    <xf numFmtId="0" fontId="53" fillId="0" borderId="0" xfId="105" applyFont="1" applyAlignment="1">
      <alignment horizontal="left"/>
    </xf>
    <xf numFmtId="0" fontId="53" fillId="0" borderId="0" xfId="105" applyFont="1"/>
    <xf numFmtId="0" fontId="6" fillId="0" borderId="0" xfId="105"/>
    <xf numFmtId="0" fontId="36" fillId="0" borderId="3" xfId="107" applyFont="1" applyBorder="1" applyAlignment="1">
      <alignment horizontal="right" vertical="center" wrapText="1"/>
    </xf>
    <xf numFmtId="0" fontId="53" fillId="0" borderId="3" xfId="105" applyFont="1" applyBorder="1"/>
    <xf numFmtId="0" fontId="36" fillId="0" borderId="0" xfId="107" applyFont="1" applyAlignment="1">
      <alignment horizontal="right" vertical="center" wrapText="1"/>
    </xf>
    <xf numFmtId="0" fontId="36" fillId="0" borderId="1" xfId="107" applyFont="1" applyBorder="1" applyAlignment="1">
      <alignment horizontal="right" vertical="center" wrapText="1"/>
    </xf>
    <xf numFmtId="0" fontId="36" fillId="0" borderId="0" xfId="105" applyFont="1" applyAlignment="1">
      <alignment horizontal="left" vertical="center" wrapText="1"/>
    </xf>
    <xf numFmtId="0" fontId="36" fillId="0" borderId="0" xfId="105" applyFont="1" applyAlignment="1">
      <alignment horizontal="right" vertical="center" wrapText="1"/>
    </xf>
    <xf numFmtId="0" fontId="53" fillId="0" borderId="0" xfId="105" applyFont="1" applyAlignment="1">
      <alignment horizontal="right"/>
    </xf>
    <xf numFmtId="167" fontId="36" fillId="0" borderId="0" xfId="105" applyNumberFormat="1" applyFont="1"/>
    <xf numFmtId="167" fontId="36" fillId="0" borderId="0" xfId="105" applyNumberFormat="1" applyFont="1" applyAlignment="1">
      <alignment horizontal="right"/>
    </xf>
    <xf numFmtId="167" fontId="34" fillId="0" borderId="0" xfId="105" applyNumberFormat="1" applyFont="1"/>
    <xf numFmtId="167" fontId="35" fillId="0" borderId="0" xfId="105" applyNumberFormat="1" applyFont="1"/>
    <xf numFmtId="167" fontId="35" fillId="0" borderId="0" xfId="105" applyNumberFormat="1" applyFont="1" applyAlignment="1">
      <alignment horizontal="right"/>
    </xf>
    <xf numFmtId="167" fontId="33" fillId="0" borderId="0" xfId="105" applyNumberFormat="1" applyFont="1"/>
    <xf numFmtId="167" fontId="35" fillId="0" borderId="0" xfId="105" applyNumberFormat="1" applyFont="1" applyAlignment="1">
      <alignment horizontal="left"/>
    </xf>
    <xf numFmtId="0" fontId="53" fillId="0" borderId="5" xfId="105" applyFont="1" applyBorder="1"/>
    <xf numFmtId="0" fontId="53" fillId="0" borderId="1" xfId="105" applyFont="1" applyBorder="1" applyAlignment="1">
      <alignment horizontal="left"/>
    </xf>
    <xf numFmtId="0" fontId="53" fillId="0" borderId="1" xfId="105" applyFont="1" applyBorder="1" applyAlignment="1">
      <alignment horizontal="right"/>
    </xf>
    <xf numFmtId="166" fontId="35" fillId="0" borderId="1" xfId="105" applyNumberFormat="1" applyFont="1" applyBorder="1" applyAlignment="1">
      <alignment horizontal="right"/>
    </xf>
    <xf numFmtId="166" fontId="35" fillId="0" borderId="0" xfId="105" applyNumberFormat="1" applyFont="1"/>
    <xf numFmtId="0" fontId="6" fillId="0" borderId="0" xfId="105" applyAlignment="1">
      <alignment horizontal="left"/>
    </xf>
    <xf numFmtId="169" fontId="35" fillId="0" borderId="0" xfId="105" applyNumberFormat="1" applyFont="1" applyAlignment="1">
      <alignment horizontal="right"/>
    </xf>
    <xf numFmtId="169" fontId="36" fillId="0" borderId="0" xfId="105" applyNumberFormat="1" applyFont="1" applyAlignment="1">
      <alignment horizontal="right"/>
    </xf>
    <xf numFmtId="167" fontId="35" fillId="2" borderId="0" xfId="108" applyNumberFormat="1" applyFont="1" applyFill="1" applyAlignment="1">
      <alignment horizontal="right"/>
    </xf>
    <xf numFmtId="169" fontId="35" fillId="2" borderId="0" xfId="108" applyNumberFormat="1" applyFont="1" applyFill="1" applyAlignment="1">
      <alignment horizontal="right"/>
    </xf>
    <xf numFmtId="169" fontId="36" fillId="2" borderId="0" xfId="108" applyNumberFormat="1" applyFont="1" applyFill="1" applyAlignment="1">
      <alignment horizontal="right"/>
    </xf>
    <xf numFmtId="0" fontId="36" fillId="2" borderId="1" xfId="2" applyFont="1" applyFill="1" applyBorder="1" applyAlignment="1">
      <alignment horizontal="right" vertical="center" wrapText="1"/>
    </xf>
    <xf numFmtId="0" fontId="36" fillId="2" borderId="2" xfId="27" applyFont="1" applyFill="1" applyBorder="1" applyAlignment="1">
      <alignment horizontal="center" vertical="center"/>
    </xf>
    <xf numFmtId="0" fontId="36" fillId="2" borderId="0" xfId="2" applyFont="1" applyFill="1" applyAlignment="1">
      <alignment horizontal="right" vertical="center" wrapText="1"/>
    </xf>
    <xf numFmtId="0" fontId="32" fillId="0" borderId="0" xfId="111" applyFont="1"/>
    <xf numFmtId="0" fontId="35" fillId="2" borderId="0" xfId="13" applyFont="1" applyFill="1" applyAlignment="1">
      <alignment horizontal="left" vertical="center"/>
    </xf>
    <xf numFmtId="0" fontId="36" fillId="2" borderId="0" xfId="2" applyFont="1" applyFill="1" applyAlignment="1">
      <alignment vertical="center"/>
    </xf>
    <xf numFmtId="0" fontId="36" fillId="0" borderId="1" xfId="2" applyFont="1" applyBorder="1" applyAlignment="1">
      <alignment horizontal="right" vertical="center" wrapText="1"/>
    </xf>
    <xf numFmtId="167" fontId="36" fillId="2" borderId="0" xfId="11" applyNumberFormat="1" applyFont="1" applyFill="1" applyAlignment="1" applyProtection="1">
      <alignment vertical="center" wrapText="1" readingOrder="1"/>
      <protection locked="0"/>
    </xf>
    <xf numFmtId="167" fontId="35" fillId="2" borderId="0" xfId="2" applyNumberFormat="1" applyFont="1" applyFill="1" applyAlignment="1">
      <alignment horizontal="left" indent="1"/>
    </xf>
    <xf numFmtId="167" fontId="36" fillId="2" borderId="0" xfId="11" applyNumberFormat="1" applyFont="1" applyFill="1" applyAlignment="1">
      <alignment horizontal="left" readingOrder="1"/>
    </xf>
    <xf numFmtId="167" fontId="36" fillId="0" borderId="0" xfId="11" applyNumberFormat="1" applyFont="1" applyAlignment="1">
      <alignment horizontal="left" readingOrder="1"/>
    </xf>
    <xf numFmtId="169" fontId="35" fillId="2" borderId="0" xfId="13" applyNumberFormat="1" applyFont="1" applyFill="1" applyAlignment="1">
      <alignment horizontal="right"/>
    </xf>
    <xf numFmtId="169" fontId="36" fillId="2" borderId="0" xfId="13" applyNumberFormat="1" applyFont="1" applyFill="1" applyAlignment="1">
      <alignment horizontal="right"/>
    </xf>
    <xf numFmtId="0" fontId="32" fillId="2" borderId="0" xfId="112" applyFont="1" applyFill="1"/>
    <xf numFmtId="0" fontId="30" fillId="2" borderId="0" xfId="2" applyFill="1"/>
    <xf numFmtId="0" fontId="30" fillId="2" borderId="0" xfId="2" applyFill="1" applyAlignment="1">
      <alignment horizontal="left" vertical="center"/>
    </xf>
    <xf numFmtId="169" fontId="36" fillId="0" borderId="0" xfId="2" applyNumberFormat="1" applyFont="1" applyAlignment="1">
      <alignment horizontal="right" wrapText="1"/>
    </xf>
    <xf numFmtId="169" fontId="35" fillId="2" borderId="0" xfId="27" applyNumberFormat="1" applyFont="1" applyFill="1" applyAlignment="1">
      <alignment horizontal="right"/>
    </xf>
    <xf numFmtId="169" fontId="35" fillId="0" borderId="0" xfId="14" applyNumberFormat="1" applyFont="1" applyAlignment="1">
      <alignment horizontal="right" vertical="center"/>
    </xf>
    <xf numFmtId="169" fontId="35" fillId="0" borderId="0" xfId="2" applyNumberFormat="1" applyFont="1" applyAlignment="1">
      <alignment horizontal="right" vertical="center"/>
    </xf>
    <xf numFmtId="169" fontId="35" fillId="0" borderId="0" xfId="27" applyNumberFormat="1" applyFont="1" applyAlignment="1">
      <alignment horizontal="right"/>
    </xf>
    <xf numFmtId="169" fontId="36" fillId="2" borderId="0" xfId="27" applyNumberFormat="1" applyFont="1" applyFill="1" applyAlignment="1">
      <alignment horizontal="right"/>
    </xf>
    <xf numFmtId="169" fontId="36" fillId="0" borderId="0" xfId="27" applyNumberFormat="1" applyFont="1" applyAlignment="1">
      <alignment horizontal="right"/>
    </xf>
    <xf numFmtId="169" fontId="36" fillId="2" borderId="0" xfId="2" applyNumberFormat="1" applyFont="1" applyFill="1" applyAlignment="1">
      <alignment horizontal="right"/>
    </xf>
    <xf numFmtId="0" fontId="36" fillId="2" borderId="0" xfId="2" applyFont="1" applyFill="1" applyAlignment="1">
      <alignment horizontal="right" vertical="center" wrapText="1"/>
    </xf>
    <xf numFmtId="0" fontId="36" fillId="2" borderId="1" xfId="2" applyFont="1" applyFill="1" applyBorder="1" applyAlignment="1">
      <alignment horizontal="right" vertical="center" wrapText="1"/>
    </xf>
    <xf numFmtId="0" fontId="36" fillId="2" borderId="2" xfId="27" applyFont="1" applyFill="1" applyBorder="1" applyAlignment="1">
      <alignment horizontal="center" vertical="center"/>
    </xf>
    <xf numFmtId="0" fontId="32" fillId="0" borderId="0" xfId="113" applyFont="1"/>
    <xf numFmtId="0" fontId="36" fillId="2" borderId="0" xfId="11" applyFont="1" applyFill="1" applyAlignment="1">
      <alignment horizontal="left" readingOrder="1"/>
    </xf>
    <xf numFmtId="0" fontId="36" fillId="0" borderId="0" xfId="11" applyFont="1" applyAlignment="1">
      <alignment horizontal="left" readingOrder="1"/>
    </xf>
    <xf numFmtId="0" fontId="32" fillId="2" borderId="0" xfId="114" applyFont="1" applyFill="1"/>
    <xf numFmtId="0" fontId="31" fillId="0" borderId="0" xfId="0" applyFont="1" applyAlignment="1">
      <alignment vertical="center"/>
    </xf>
    <xf numFmtId="0" fontId="67" fillId="8" borderId="7" xfId="31" applyFont="1" applyFill="1" applyBorder="1" applyAlignment="1">
      <alignment horizontal="center" vertical="center"/>
    </xf>
    <xf numFmtId="0" fontId="67" fillId="8" borderId="8" xfId="31" applyFont="1" applyFill="1" applyBorder="1" applyAlignment="1">
      <alignment horizontal="center" vertical="center"/>
    </xf>
    <xf numFmtId="0" fontId="52" fillId="0" borderId="16" xfId="31" applyFont="1" applyBorder="1" applyAlignment="1">
      <alignment horizontal="left" vertical="center" wrapText="1" indent="1"/>
    </xf>
    <xf numFmtId="0" fontId="52" fillId="0" borderId="15" xfId="31" applyFont="1" applyBorder="1" applyAlignment="1">
      <alignment horizontal="left" vertical="center" wrapText="1" indent="1"/>
    </xf>
    <xf numFmtId="0" fontId="52" fillId="0" borderId="17" xfId="31" applyFont="1" applyBorder="1" applyAlignment="1">
      <alignment horizontal="left" vertical="center" wrapText="1" indent="1"/>
    </xf>
    <xf numFmtId="0" fontId="65" fillId="0" borderId="0" xfId="31" applyFont="1" applyAlignment="1">
      <alignment horizontal="center" vertical="center"/>
    </xf>
    <xf numFmtId="0" fontId="66" fillId="0" borderId="0" xfId="31" applyFont="1" applyAlignment="1">
      <alignment horizontal="center" vertical="center"/>
    </xf>
    <xf numFmtId="0" fontId="67" fillId="7" borderId="0" xfId="31" applyFont="1" applyFill="1" applyAlignment="1">
      <alignment horizontal="center" vertical="center"/>
    </xf>
    <xf numFmtId="0" fontId="31" fillId="0" borderId="0" xfId="11" applyFont="1" applyAlignment="1">
      <alignment horizontal="center" vertical="center"/>
    </xf>
    <xf numFmtId="0" fontId="31" fillId="0" borderId="0" xfId="31" applyFont="1" applyAlignment="1">
      <alignment horizontal="right"/>
    </xf>
    <xf numFmtId="0" fontId="52" fillId="0" borderId="20" xfId="31" applyFont="1" applyBorder="1" applyAlignment="1">
      <alignment horizontal="left" vertical="center" wrapText="1" indent="1"/>
    </xf>
    <xf numFmtId="0" fontId="52" fillId="0" borderId="19" xfId="31" applyFont="1" applyBorder="1" applyAlignment="1">
      <alignment horizontal="left" vertical="center" wrapText="1" indent="1"/>
    </xf>
    <xf numFmtId="0" fontId="52" fillId="0" borderId="21" xfId="31" applyFont="1" applyBorder="1" applyAlignment="1">
      <alignment horizontal="left" vertical="center" wrapText="1" indent="1"/>
    </xf>
    <xf numFmtId="0" fontId="69" fillId="0" borderId="9" xfId="32" applyFont="1" applyFill="1" applyBorder="1" applyAlignment="1">
      <alignment horizontal="center" vertical="center" wrapText="1"/>
    </xf>
    <xf numFmtId="0" fontId="70" fillId="0" borderId="14" xfId="32" applyFont="1" applyFill="1" applyBorder="1" applyAlignment="1">
      <alignment horizontal="center" vertical="center" wrapText="1"/>
    </xf>
    <xf numFmtId="0" fontId="70" fillId="0" borderId="18" xfId="32" applyFont="1" applyFill="1" applyBorder="1" applyAlignment="1">
      <alignment horizontal="center" vertical="center" wrapText="1"/>
    </xf>
    <xf numFmtId="0" fontId="52" fillId="0" borderId="11" xfId="31" applyFont="1" applyBorder="1" applyAlignment="1">
      <alignment horizontal="left" vertical="center" wrapText="1" indent="1"/>
    </xf>
    <xf numFmtId="0" fontId="52" fillId="0" borderId="12" xfId="31" applyFont="1" applyBorder="1" applyAlignment="1">
      <alignment horizontal="left" vertical="center" wrapText="1" indent="1"/>
    </xf>
    <xf numFmtId="0" fontId="52" fillId="0" borderId="13" xfId="31" applyFont="1" applyBorder="1" applyAlignment="1">
      <alignment horizontal="left" vertical="center" wrapText="1" indent="1"/>
    </xf>
    <xf numFmtId="0" fontId="38" fillId="0" borderId="0" xfId="11" applyFont="1" applyAlignment="1">
      <alignment horizontal="left" vertical="center" wrapText="1"/>
    </xf>
    <xf numFmtId="0" fontId="36" fillId="0" borderId="3" xfId="11" applyFont="1" applyBorder="1" applyAlignment="1">
      <alignment horizontal="left" vertical="center" wrapText="1"/>
    </xf>
    <xf numFmtId="0" fontId="36" fillId="0" borderId="0" xfId="11" applyFont="1" applyAlignment="1">
      <alignment horizontal="left" vertical="center" wrapText="1"/>
    </xf>
    <xf numFmtId="0" fontId="36" fillId="0" borderId="1" xfId="11" applyFont="1" applyBorder="1" applyAlignment="1">
      <alignment horizontal="left" vertical="center" wrapText="1"/>
    </xf>
    <xf numFmtId="0" fontId="36" fillId="0" borderId="3" xfId="11" applyFont="1" applyBorder="1" applyAlignment="1">
      <alignment horizontal="right" vertical="center" wrapText="1"/>
    </xf>
    <xf numFmtId="0" fontId="36" fillId="0" borderId="0" xfId="11" applyFont="1" applyAlignment="1">
      <alignment horizontal="right" vertical="center" wrapText="1"/>
    </xf>
    <xf numFmtId="0" fontId="36" fillId="0" borderId="1" xfId="11" applyFont="1" applyBorder="1" applyAlignment="1">
      <alignment horizontal="right" vertical="center" wrapText="1"/>
    </xf>
    <xf numFmtId="0" fontId="36" fillId="0" borderId="2" xfId="11" applyFont="1" applyBorder="1" applyAlignment="1">
      <alignment horizontal="center" vertical="center" wrapText="1"/>
    </xf>
    <xf numFmtId="0" fontId="38" fillId="0" borderId="0" xfId="11" applyFont="1" applyAlignment="1">
      <alignment horizontal="left" vertical="top" wrapText="1"/>
    </xf>
    <xf numFmtId="0" fontId="43" fillId="0" borderId="3" xfId="11" applyFont="1" applyBorder="1" applyAlignment="1">
      <alignment horizontal="left" vertical="center" wrapText="1"/>
    </xf>
    <xf numFmtId="0" fontId="43" fillId="0" borderId="1" xfId="11" applyFont="1" applyBorder="1" applyAlignment="1">
      <alignment horizontal="left" vertical="center" wrapText="1"/>
    </xf>
    <xf numFmtId="0" fontId="43" fillId="0" borderId="3" xfId="11" applyFont="1" applyBorder="1" applyAlignment="1">
      <alignment horizontal="right" vertical="center" wrapText="1"/>
    </xf>
    <xf numFmtId="0" fontId="43" fillId="0" borderId="1" xfId="11" applyFont="1" applyBorder="1" applyAlignment="1">
      <alignment horizontal="right" vertical="center" wrapText="1"/>
    </xf>
    <xf numFmtId="0" fontId="34" fillId="0" borderId="3" xfId="11" applyFont="1" applyBorder="1" applyAlignment="1">
      <alignment horizontal="right" vertical="center" wrapText="1"/>
    </xf>
    <xf numFmtId="0" fontId="34" fillId="0" borderId="1" xfId="11" applyFont="1" applyBorder="1" applyAlignment="1">
      <alignment horizontal="right" vertical="center" wrapText="1"/>
    </xf>
    <xf numFmtId="0" fontId="46" fillId="6" borderId="3" xfId="0" applyFont="1" applyFill="1" applyBorder="1" applyAlignment="1">
      <alignment horizontal="left" vertical="center" wrapText="1"/>
    </xf>
    <xf numFmtId="0" fontId="46" fillId="6" borderId="0" xfId="0" applyFont="1" applyFill="1" applyAlignment="1">
      <alignment horizontal="left" vertical="center" wrapText="1"/>
    </xf>
    <xf numFmtId="0" fontId="46" fillId="6" borderId="1" xfId="0" applyFont="1" applyFill="1" applyBorder="1" applyAlignment="1">
      <alignment horizontal="left" vertical="center" wrapText="1"/>
    </xf>
    <xf numFmtId="0" fontId="34" fillId="2" borderId="3" xfId="60" applyFont="1" applyFill="1" applyBorder="1" applyAlignment="1">
      <alignment horizontal="right" vertical="center" wrapText="1"/>
    </xf>
    <xf numFmtId="0" fontId="34" fillId="2" borderId="0" xfId="60" applyFont="1" applyFill="1" applyAlignment="1">
      <alignment horizontal="right" vertical="center" wrapText="1"/>
    </xf>
    <xf numFmtId="0" fontId="34" fillId="2" borderId="1" xfId="60" applyFont="1" applyFill="1" applyBorder="1" applyAlignment="1">
      <alignment horizontal="right" vertical="center" wrapText="1"/>
    </xf>
    <xf numFmtId="0" fontId="38" fillId="2" borderId="0" xfId="62" applyFont="1" applyFill="1" applyAlignment="1">
      <alignment horizontal="left" vertical="top" wrapText="1"/>
    </xf>
    <xf numFmtId="0" fontId="36" fillId="6" borderId="3" xfId="0" applyFont="1" applyFill="1" applyBorder="1" applyAlignment="1">
      <alignment horizontal="left" vertical="center" wrapText="1"/>
    </xf>
    <xf numFmtId="0" fontId="36" fillId="6" borderId="0" xfId="0" applyFont="1" applyFill="1" applyAlignment="1">
      <alignment horizontal="left" vertical="center" wrapText="1"/>
    </xf>
    <xf numFmtId="0" fontId="36" fillId="6" borderId="1" xfId="0" applyFont="1" applyFill="1" applyBorder="1" applyAlignment="1">
      <alignment horizontal="left" vertical="center" wrapText="1"/>
    </xf>
    <xf numFmtId="0" fontId="36" fillId="2" borderId="3" xfId="63" applyFont="1" applyFill="1" applyBorder="1" applyAlignment="1">
      <alignment horizontal="right" vertical="center" wrapText="1"/>
    </xf>
    <xf numFmtId="0" fontId="36" fillId="2" borderId="0" xfId="63" applyFont="1" applyFill="1" applyAlignment="1">
      <alignment horizontal="right" vertical="center" wrapText="1"/>
    </xf>
    <xf numFmtId="0" fontId="36" fillId="2" borderId="1" xfId="63" applyFont="1" applyFill="1" applyBorder="1" applyAlignment="1">
      <alignment horizontal="right" vertical="center" wrapText="1"/>
    </xf>
    <xf numFmtId="0" fontId="36" fillId="0" borderId="2" xfId="61" applyFont="1" applyBorder="1" applyAlignment="1">
      <alignment horizontal="center" vertical="center" wrapText="1"/>
    </xf>
    <xf numFmtId="0" fontId="36" fillId="2" borderId="1" xfId="13" applyFont="1" applyFill="1" applyBorder="1" applyAlignment="1">
      <alignment horizontal="center" vertical="center"/>
    </xf>
    <xf numFmtId="0" fontId="36" fillId="2" borderId="1" xfId="13" applyFont="1" applyFill="1" applyBorder="1" applyAlignment="1">
      <alignment horizontal="center" vertical="center" wrapText="1"/>
    </xf>
    <xf numFmtId="0" fontId="38" fillId="2" borderId="0" xfId="65" applyFont="1" applyFill="1" applyAlignment="1">
      <alignment horizontal="left" vertical="top" wrapText="1"/>
    </xf>
    <xf numFmtId="0" fontId="36" fillId="2" borderId="3" xfId="67" applyFont="1" applyFill="1" applyBorder="1" applyAlignment="1">
      <alignment horizontal="right" vertical="center" wrapText="1"/>
    </xf>
    <xf numFmtId="0" fontId="36" fillId="2" borderId="0" xfId="67" applyFont="1" applyFill="1" applyAlignment="1">
      <alignment horizontal="right" vertical="center" wrapText="1"/>
    </xf>
    <xf numFmtId="0" fontId="36" fillId="2" borderId="1" xfId="67" applyFont="1" applyFill="1" applyBorder="1" applyAlignment="1">
      <alignment horizontal="right" vertical="center" wrapText="1"/>
    </xf>
    <xf numFmtId="0" fontId="36" fillId="2" borderId="2" xfId="68" applyFont="1" applyFill="1" applyBorder="1" applyAlignment="1">
      <alignment horizontal="center" vertical="center" wrapText="1"/>
    </xf>
    <xf numFmtId="0" fontId="36" fillId="2" borderId="5" xfId="69" applyFont="1" applyFill="1" applyBorder="1" applyAlignment="1">
      <alignment horizontal="center" vertical="center" wrapText="1"/>
    </xf>
    <xf numFmtId="0" fontId="38" fillId="2" borderId="0" xfId="71" applyFont="1" applyFill="1" applyAlignment="1">
      <alignment horizontal="left" vertical="top" wrapText="1"/>
    </xf>
    <xf numFmtId="0" fontId="36" fillId="2" borderId="3" xfId="72" applyFont="1" applyFill="1" applyBorder="1" applyAlignment="1">
      <alignment horizontal="right" vertical="center" wrapText="1"/>
    </xf>
    <xf numFmtId="0" fontId="36" fillId="2" borderId="0" xfId="72" applyFont="1" applyFill="1" applyAlignment="1">
      <alignment horizontal="right" vertical="center" wrapText="1"/>
    </xf>
    <xf numFmtId="0" fontId="36" fillId="2" borderId="1" xfId="72" applyFont="1" applyFill="1" applyBorder="1" applyAlignment="1">
      <alignment horizontal="right" vertical="center" wrapText="1"/>
    </xf>
    <xf numFmtId="0" fontId="36" fillId="2" borderId="2" xfId="73" applyFont="1" applyFill="1" applyBorder="1" applyAlignment="1">
      <alignment horizontal="center" vertical="center" wrapText="1"/>
    </xf>
    <xf numFmtId="0" fontId="36" fillId="2" borderId="2" xfId="72" applyFont="1" applyFill="1" applyBorder="1" applyAlignment="1">
      <alignment horizontal="center" vertical="center" wrapText="1"/>
    </xf>
    <xf numFmtId="0" fontId="35" fillId="6" borderId="0" xfId="0" applyFont="1" applyFill="1" applyAlignment="1">
      <alignment horizontal="left" vertical="center" wrapText="1"/>
    </xf>
    <xf numFmtId="0" fontId="38" fillId="2" borderId="0" xfId="75" applyFont="1" applyFill="1" applyAlignment="1">
      <alignment horizontal="left" vertical="top" wrapText="1"/>
    </xf>
    <xf numFmtId="0" fontId="36" fillId="2" borderId="3" xfId="76" applyFont="1" applyFill="1" applyBorder="1" applyAlignment="1">
      <alignment horizontal="right" vertical="center" wrapText="1"/>
    </xf>
    <xf numFmtId="0" fontId="36" fillId="2" borderId="0" xfId="76" applyFont="1" applyFill="1" applyAlignment="1">
      <alignment horizontal="right" vertical="center" wrapText="1"/>
    </xf>
    <xf numFmtId="0" fontId="36" fillId="2" borderId="1" xfId="76" applyFont="1" applyFill="1" applyBorder="1" applyAlignment="1">
      <alignment horizontal="right" vertical="center" wrapText="1"/>
    </xf>
    <xf numFmtId="0" fontId="36" fillId="2" borderId="2" xfId="77" applyFont="1" applyFill="1" applyBorder="1" applyAlignment="1">
      <alignment horizontal="center" vertical="center" wrapText="1"/>
    </xf>
    <xf numFmtId="0" fontId="36" fillId="2" borderId="2" xfId="78" applyFont="1" applyFill="1" applyBorder="1" applyAlignment="1">
      <alignment horizontal="center" vertical="center"/>
    </xf>
    <xf numFmtId="0" fontId="36" fillId="2" borderId="2" xfId="79" applyFont="1" applyFill="1" applyBorder="1" applyAlignment="1">
      <alignment horizontal="center" vertical="center" wrapText="1"/>
    </xf>
    <xf numFmtId="0" fontId="38" fillId="2" borderId="0" xfId="81" applyFont="1" applyFill="1" applyAlignment="1">
      <alignment horizontal="left" vertical="top" wrapText="1"/>
    </xf>
    <xf numFmtId="0" fontId="38" fillId="2" borderId="0" xfId="86" applyFont="1" applyFill="1" applyAlignment="1">
      <alignment horizontal="left" vertical="top" wrapText="1"/>
    </xf>
    <xf numFmtId="0" fontId="34" fillId="2" borderId="3" xfId="87" applyFont="1" applyFill="1" applyBorder="1" applyAlignment="1">
      <alignment horizontal="right" vertical="center" wrapText="1"/>
    </xf>
    <xf numFmtId="0" fontId="34" fillId="2" borderId="0" xfId="87" applyFont="1" applyFill="1" applyAlignment="1">
      <alignment horizontal="right" vertical="center" wrapText="1"/>
    </xf>
    <xf numFmtId="0" fontId="34" fillId="2" borderId="1" xfId="87" applyFont="1" applyFill="1" applyBorder="1" applyAlignment="1">
      <alignment horizontal="right" vertical="center" wrapText="1"/>
    </xf>
    <xf numFmtId="0" fontId="34" fillId="2" borderId="2" xfId="88" applyFont="1" applyFill="1" applyBorder="1" applyAlignment="1">
      <alignment horizontal="center" vertical="center" wrapText="1"/>
    </xf>
    <xf numFmtId="0" fontId="34" fillId="2" borderId="2" xfId="89" applyFont="1" applyFill="1" applyBorder="1" applyAlignment="1">
      <alignment horizontal="center" vertical="center" wrapText="1"/>
    </xf>
    <xf numFmtId="0" fontId="38" fillId="2" borderId="0" xfId="91" applyFont="1" applyFill="1" applyAlignment="1">
      <alignment horizontal="left" vertical="top" wrapText="1"/>
    </xf>
    <xf numFmtId="0" fontId="36" fillId="2" borderId="3" xfId="93" applyFont="1" applyFill="1" applyBorder="1" applyAlignment="1">
      <alignment horizontal="right" vertical="center" wrapText="1"/>
    </xf>
    <xf numFmtId="0" fontId="36" fillId="2" borderId="0" xfId="93" applyFont="1" applyFill="1" applyAlignment="1">
      <alignment horizontal="right" vertical="center" wrapText="1"/>
    </xf>
    <xf numFmtId="0" fontId="36" fillId="2" borderId="1" xfId="93" applyFont="1" applyFill="1" applyBorder="1" applyAlignment="1">
      <alignment horizontal="right" vertical="center" wrapText="1"/>
    </xf>
    <xf numFmtId="0" fontId="36" fillId="2" borderId="2" xfId="94" applyFont="1" applyFill="1" applyBorder="1" applyAlignment="1">
      <alignment horizontal="center" vertical="center" wrapText="1"/>
    </xf>
    <xf numFmtId="0" fontId="36" fillId="2" borderId="3" xfId="95" applyFont="1" applyFill="1" applyBorder="1" applyAlignment="1">
      <alignment horizontal="center" vertical="center" wrapText="1"/>
    </xf>
    <xf numFmtId="0" fontId="36" fillId="2" borderId="1" xfId="95" applyFont="1" applyFill="1" applyBorder="1" applyAlignment="1">
      <alignment horizontal="center" vertical="center" wrapText="1"/>
    </xf>
    <xf numFmtId="0" fontId="36" fillId="2" borderId="2" xfId="95" applyFont="1" applyFill="1" applyBorder="1" applyAlignment="1">
      <alignment horizontal="center" vertical="center" wrapText="1"/>
    </xf>
    <xf numFmtId="0" fontId="36" fillId="2" borderId="3" xfId="101" applyFont="1" applyFill="1" applyBorder="1" applyAlignment="1">
      <alignment horizontal="right" vertical="center" wrapText="1"/>
    </xf>
    <xf numFmtId="0" fontId="36" fillId="2" borderId="0" xfId="101" applyFont="1" applyFill="1" applyAlignment="1">
      <alignment horizontal="right" vertical="center" wrapText="1"/>
    </xf>
    <xf numFmtId="0" fontId="36" fillId="2" borderId="1" xfId="101" applyFont="1" applyFill="1" applyBorder="1" applyAlignment="1">
      <alignment horizontal="right" vertical="center" wrapText="1"/>
    </xf>
    <xf numFmtId="0" fontId="38" fillId="2" borderId="0" xfId="100" applyFont="1" applyFill="1" applyAlignment="1">
      <alignment horizontal="left" vertical="top" wrapText="1"/>
    </xf>
    <xf numFmtId="0" fontId="36" fillId="2" borderId="3" xfId="107" applyFont="1" applyFill="1" applyBorder="1" applyAlignment="1">
      <alignment horizontal="right" vertical="center" wrapText="1"/>
    </xf>
    <xf numFmtId="0" fontId="36" fillId="2" borderId="0" xfId="107" applyFont="1" applyFill="1" applyAlignment="1">
      <alignment horizontal="right" vertical="center" wrapText="1"/>
    </xf>
    <xf numFmtId="0" fontId="36" fillId="2" borderId="1" xfId="107" applyFont="1" applyFill="1" applyBorder="1" applyAlignment="1">
      <alignment horizontal="right" vertical="center" wrapText="1"/>
    </xf>
    <xf numFmtId="0" fontId="38" fillId="2" borderId="0" xfId="106" applyFont="1" applyFill="1" applyAlignment="1">
      <alignment horizontal="left" vertical="top" wrapText="1"/>
    </xf>
    <xf numFmtId="0" fontId="38" fillId="2" borderId="0" xfId="14" applyFont="1" applyFill="1" applyAlignment="1">
      <alignment horizontal="left" vertical="center" wrapText="1"/>
    </xf>
    <xf numFmtId="0" fontId="36" fillId="2" borderId="3" xfId="2" applyFont="1" applyFill="1" applyBorder="1" applyAlignment="1">
      <alignment horizontal="left" vertical="center" wrapText="1"/>
    </xf>
    <xf numFmtId="0" fontId="36" fillId="2" borderId="0" xfId="2" applyFont="1" applyFill="1" applyAlignment="1">
      <alignment horizontal="left" vertical="center" wrapText="1"/>
    </xf>
    <xf numFmtId="0" fontId="36" fillId="2" borderId="1" xfId="2" applyFont="1" applyFill="1" applyBorder="1" applyAlignment="1">
      <alignment horizontal="left" vertical="center" wrapText="1"/>
    </xf>
    <xf numFmtId="0" fontId="36" fillId="2" borderId="3" xfId="2" applyFont="1" applyFill="1" applyBorder="1" applyAlignment="1">
      <alignment horizontal="right" vertical="center" wrapText="1"/>
    </xf>
    <xf numFmtId="0" fontId="36" fillId="2" borderId="0" xfId="2" applyFont="1" applyFill="1" applyAlignment="1">
      <alignment horizontal="right" vertical="center" wrapText="1"/>
    </xf>
    <xf numFmtId="0" fontId="36" fillId="2" borderId="1" xfId="2" applyFont="1" applyFill="1" applyBorder="1" applyAlignment="1">
      <alignment horizontal="right" vertical="center" wrapText="1"/>
    </xf>
    <xf numFmtId="0" fontId="36" fillId="2" borderId="2" xfId="13" applyFont="1" applyFill="1" applyBorder="1" applyAlignment="1">
      <alignment horizontal="center" vertical="center"/>
    </xf>
    <xf numFmtId="0" fontId="38" fillId="0" borderId="0" xfId="14" applyFont="1" applyAlignment="1">
      <alignment horizontal="left" vertical="center" wrapText="1"/>
    </xf>
    <xf numFmtId="0" fontId="36" fillId="2" borderId="3" xfId="2" applyFont="1" applyFill="1" applyBorder="1" applyAlignment="1">
      <alignment horizontal="center" vertical="center" wrapText="1"/>
    </xf>
    <xf numFmtId="0" fontId="36" fillId="2" borderId="1" xfId="2" applyFont="1" applyFill="1" applyBorder="1" applyAlignment="1">
      <alignment horizontal="center" vertical="center" wrapText="1"/>
    </xf>
    <xf numFmtId="0" fontId="36" fillId="2" borderId="2" xfId="27" applyFont="1" applyFill="1" applyBorder="1" applyAlignment="1">
      <alignment horizontal="center" vertical="center" wrapText="1"/>
    </xf>
    <xf numFmtId="0" fontId="36" fillId="2" borderId="2" xfId="27" applyFont="1" applyFill="1" applyBorder="1" applyAlignment="1">
      <alignment horizontal="center" vertical="center"/>
    </xf>
  </cellXfs>
  <cellStyles count="115">
    <cellStyle name="Hipervínculo" xfId="30" builtinId="8"/>
    <cellStyle name="Hipervínculo 2" xfId="32" xr:uid="{BFCA8CD2-347E-4F7F-8004-319B664CADF1}"/>
    <cellStyle name="Hipervínculo 2 2" xfId="6" xr:uid="{00000000-0005-0000-0000-000000000000}"/>
    <cellStyle name="Millares 2" xfId="9" xr:uid="{00000000-0005-0000-0000-000001000000}"/>
    <cellStyle name="Millares 2 2" xfId="7" xr:uid="{00000000-0005-0000-0000-000002000000}"/>
    <cellStyle name="Millares 2 2 2" xfId="26" xr:uid="{156327F1-260E-4485-AD88-DF6ED2B2E58F}"/>
    <cellStyle name="Millares 2 2 3" xfId="66" xr:uid="{AFE94699-9326-433E-81F8-51F43733E2A7}"/>
    <cellStyle name="Millares 2 2 4" xfId="92" xr:uid="{D20D4FAC-3555-4EA7-B2E8-FA1882193F23}"/>
    <cellStyle name="Millares 3" xfId="23" xr:uid="{A26019EB-8C96-4E83-B30C-C1ECF248D920}"/>
    <cellStyle name="Millares 4" xfId="17" xr:uid="{D204205D-E9FD-42A6-B900-BD05AC771B65}"/>
    <cellStyle name="Normal" xfId="0" builtinId="0"/>
    <cellStyle name="Normal 10" xfId="3" xr:uid="{00000000-0005-0000-0000-000004000000}"/>
    <cellStyle name="Normal 10 2" xfId="15" xr:uid="{00000000-0005-0000-0000-000005000000}"/>
    <cellStyle name="Normal 10 2 2" xfId="29" xr:uid="{DB74D8B2-B73B-4B84-B4F4-5502A907A597}"/>
    <cellStyle name="Normal 10 3" xfId="19" xr:uid="{B1BAE04A-0714-4801-A9D6-196F03290DCF}"/>
    <cellStyle name="Normal 10 3 3 13" xfId="48" xr:uid="{A0E7FF2A-CA23-4102-BD35-88446877E5EF}"/>
    <cellStyle name="Normal 10 4" xfId="24" xr:uid="{C7E13E38-155F-41AE-8FAC-0131AF8C7E5C}"/>
    <cellStyle name="Normal 11" xfId="14" xr:uid="{00000000-0005-0000-0000-000006000000}"/>
    <cellStyle name="Normal 2" xfId="13" xr:uid="{00000000-0005-0000-0000-000007000000}"/>
    <cellStyle name="Normal 2 2" xfId="4" xr:uid="{00000000-0005-0000-0000-000008000000}"/>
    <cellStyle name="Normal 2 2 10" xfId="81" xr:uid="{2601A7D3-93B9-4888-A539-0A167D3914E8}"/>
    <cellStyle name="Normal 2 2 11" xfId="86" xr:uid="{670F413A-5EF3-4AAA-ACEB-56FF15C99493}"/>
    <cellStyle name="Normal 2 2 12" xfId="91" xr:uid="{05A64B0B-9ED0-4208-B279-EFEC8AF23A42}"/>
    <cellStyle name="Normal 2 2 13" xfId="100" xr:uid="{42006D66-7690-4B09-B92A-91D654D8DEE9}"/>
    <cellStyle name="Normal 2 2 14" xfId="103" xr:uid="{3AB510B7-F6CA-4E1B-A512-04DAB2B7D42C}"/>
    <cellStyle name="Normal 2 2 15" xfId="106" xr:uid="{31BC8A61-64E1-42AB-8F33-29AE59A6879D}"/>
    <cellStyle name="Normal 2 2 16" xfId="109" xr:uid="{C72887B8-82E5-4F57-8787-5AB126020051}"/>
    <cellStyle name="Normal 2 2 2" xfId="2" xr:uid="{00000000-0005-0000-0000-000009000000}"/>
    <cellStyle name="Normal 2 2 3" xfId="18" xr:uid="{0A18AC2A-06A0-47CC-9D13-5EF1C6CA39C0}"/>
    <cellStyle name="Normal 2 2 3 2" xfId="69" xr:uid="{4060BB3E-9242-47EE-8445-DDF32A5A8240}"/>
    <cellStyle name="Normal 2 2 4" xfId="22" xr:uid="{86F74144-233B-40E5-B199-CA808D676A4D}"/>
    <cellStyle name="Normal 2 2 4 2" xfId="78" xr:uid="{717B9E31-A72B-45CB-9314-AFED5D50D03E}"/>
    <cellStyle name="Normal 2 2 4 3" xfId="83" xr:uid="{746D644A-7A44-41DB-A30B-E88701F7DD5D}"/>
    <cellStyle name="Normal 2 2 4 4" xfId="95" xr:uid="{E74C81D2-F395-4EBA-AF7B-09A39408D8B7}"/>
    <cellStyle name="Normal 2 2 5" xfId="59" xr:uid="{BB6CEFC3-3ED1-4AAD-9FE9-DBDA1A87401D}"/>
    <cellStyle name="Normal 2 2 6" xfId="62" xr:uid="{BDAFEFFC-46A5-462E-A8A5-1DA799344A53}"/>
    <cellStyle name="Normal 2 2 7" xfId="65" xr:uid="{20DC1E91-0201-40AF-A993-D8DCC5E0C84C}"/>
    <cellStyle name="Normal 2 2 7 2" xfId="51" xr:uid="{EA611531-AB51-4511-B302-7CE1723F5593}"/>
    <cellStyle name="Normal 2 2 7 2 2" xfId="97" xr:uid="{1F047C25-07DA-4A27-B487-F105CE226BF5}"/>
    <cellStyle name="Normal 2 2 8" xfId="71" xr:uid="{A4B7BF2B-9E6C-436D-9ACC-0F371A12A619}"/>
    <cellStyle name="Normal 2 2 9" xfId="75" xr:uid="{8D85FAE8-8256-45D6-81C9-A3347508497D}"/>
    <cellStyle name="Normal 2 3 2" xfId="33" xr:uid="{B7F6B4DF-B3F7-4931-A567-F302FD1F74BE}"/>
    <cellStyle name="Normal 2 3 2 2" xfId="41" xr:uid="{D8A4F4FB-EB2C-407A-905D-15A70C474674}"/>
    <cellStyle name="Normal 2 3 3 2" xfId="44" xr:uid="{4519C61C-7CD3-441A-9760-7AFC1B33D276}"/>
    <cellStyle name="Normal 2 4 2" xfId="34" xr:uid="{AA71D35C-AED6-48B4-8EBB-33C18C94E5D4}"/>
    <cellStyle name="Normal 2 4 2 2" xfId="38" xr:uid="{C0753D1C-86DA-437E-9DC8-BDB566D38A3C}"/>
    <cellStyle name="Normal 2 4 3 2" xfId="42" xr:uid="{906BB099-983E-4B98-A154-1B0732DE067E}"/>
    <cellStyle name="Normal 2 5" xfId="27" xr:uid="{1A168B70-BB9F-4B20-AA8E-1D80F7ED08AB}"/>
    <cellStyle name="Normal 3" xfId="1" xr:uid="{00000000-0005-0000-0000-00000A000000}"/>
    <cellStyle name="Normal 3 10" xfId="85" xr:uid="{8E75EB98-2A37-464D-B551-21A23040872E}"/>
    <cellStyle name="Normal 3 11" xfId="90" xr:uid="{2C4FC5D5-6B33-4CA1-A35A-15A8258FB4CA}"/>
    <cellStyle name="Normal 3 12" xfId="99" xr:uid="{29F931BA-506B-4685-B2FD-C81F475B38BF}"/>
    <cellStyle name="Normal 3 13" xfId="102" xr:uid="{78C8A14E-3669-4F6A-8250-EAE936B60C53}"/>
    <cellStyle name="Normal 3 14" xfId="105" xr:uid="{7422054F-FF9D-44B5-891D-7930647ECA50}"/>
    <cellStyle name="Normal 3 15" xfId="108" xr:uid="{B12985AA-8856-42D1-9C20-FB4369E9C051}"/>
    <cellStyle name="Normal 3 2" xfId="12" xr:uid="{00000000-0005-0000-0000-00000B000000}"/>
    <cellStyle name="Normal 3 2 2" xfId="16" xr:uid="{A9BA29C9-3047-486A-9B12-293C846C455A}"/>
    <cellStyle name="Normal 3 2 2 10" xfId="68" xr:uid="{F546AD3A-1136-4BDF-91AC-53402AA0DAB3}"/>
    <cellStyle name="Normal 3 2 2 11" xfId="73" xr:uid="{BDC8B1BE-0144-4B00-97D9-11B874620B45}"/>
    <cellStyle name="Normal 3 2 2 12" xfId="77" xr:uid="{068C010D-991B-4668-8A82-8737EB37B3C2}"/>
    <cellStyle name="Normal 3 2 2 13" xfId="88" xr:uid="{9B6FEBB5-9902-4C96-9F65-749050FA6EE4}"/>
    <cellStyle name="Normal 3 2 2 14" xfId="94" xr:uid="{CA03E446-5736-41FD-B45E-86C3AE7F693E}"/>
    <cellStyle name="Normal 3 2 2 2" xfId="36" xr:uid="{75B2CC98-E890-4DD2-B0BD-D0392CACBD2B}"/>
    <cellStyle name="Normal 3 2 2 2 2" xfId="37" xr:uid="{D726D3F1-A1DD-402E-9A79-206704F8059B}"/>
    <cellStyle name="Normal 3 2 2 2 2 2" xfId="40" xr:uid="{EA62BD89-E0CF-4F3E-BA75-F06A2FC6E41D}"/>
    <cellStyle name="Normal 3 2 2 3" xfId="46" xr:uid="{F49D4989-CA43-40F9-BCE4-0EA989C8F11C}"/>
    <cellStyle name="Normal 3 2 2 4" xfId="43" xr:uid="{ACB268B8-1177-4655-81A5-F0212973CC17}"/>
    <cellStyle name="Normal 3 2 2 5" xfId="53" xr:uid="{10C784AC-BA08-4150-8D29-5DE72933EFF2}"/>
    <cellStyle name="Normal 3 2 2 6" xfId="54" xr:uid="{5381624F-10E4-49A5-94CD-E3BACD8941A1}"/>
    <cellStyle name="Normal 3 2 2 7" xfId="55" xr:uid="{C705F993-CE8A-428F-A4D0-9C6DE7621B02}"/>
    <cellStyle name="Normal 3 2 2 8" xfId="56" xr:uid="{5014D8A9-808C-422E-BBA8-BDE6A58DA258}"/>
    <cellStyle name="Normal 3 2 2 9" xfId="57" xr:uid="{FE9394E6-E8E5-49E3-9C76-EA644B571D19}"/>
    <cellStyle name="Normal 3 2 3" xfId="25" xr:uid="{D4F64793-EFF9-407D-9C55-A3DAC5084745}"/>
    <cellStyle name="Normal 3 2 3 2" xfId="47" xr:uid="{5AE95DEB-DABB-4882-AA31-6B99ACF139B2}"/>
    <cellStyle name="Normal 3 2 3 3" xfId="79" xr:uid="{EE0BE5B4-463A-4883-9E9A-34ECCDC10F70}"/>
    <cellStyle name="Normal 3 2 3 4" xfId="84" xr:uid="{D0405683-D85E-47A6-A6D5-FAFC72DB0CCE}"/>
    <cellStyle name="Normal 3 2 4" xfId="49" xr:uid="{57A5B9BB-9834-4449-BEB9-0BA3D65D6E7D}"/>
    <cellStyle name="Normal 3 2 5" xfId="28" xr:uid="{4752A4CD-BEF0-4593-9DB5-6AE5559F64B7}"/>
    <cellStyle name="Normal 3 2 5 2" xfId="112" xr:uid="{17B0F5B6-DEBC-47FB-B370-C949D61194D2}"/>
    <cellStyle name="Normal 3 2 5 3" xfId="114" xr:uid="{B3736A5D-A114-4F31-9ADB-7719EE2DF410}"/>
    <cellStyle name="Normal 3 2 6" xfId="111" xr:uid="{B7DC347B-2FC1-4DC0-AD83-77110455DEB8}"/>
    <cellStyle name="Normal 3 2 7" xfId="113" xr:uid="{F8BC2FF8-0188-4508-BDF2-88263E3DDE3A}"/>
    <cellStyle name="Normal 3 3" xfId="20" xr:uid="{DFC31904-65FA-4DF6-93D7-E59D319F701C}"/>
    <cellStyle name="Normal 3 3 2" xfId="35" xr:uid="{7EEED5E9-EAF6-4ADC-8347-52A9360F724A}"/>
    <cellStyle name="Normal 3 3 2 2" xfId="39" xr:uid="{652AEFC9-7FFD-4596-B1F5-E6769306B2C4}"/>
    <cellStyle name="Normal 3 3 3" xfId="45" xr:uid="{61D6EF50-6413-4D78-8838-19746DB08167}"/>
    <cellStyle name="Normal 3 4" xfId="58" xr:uid="{4618D837-EEC1-470D-8CE9-ECC8FDBD9007}"/>
    <cellStyle name="Normal 3 5" xfId="61" xr:uid="{24B5C7B5-BCEA-4276-AFBE-54B8E3487377}"/>
    <cellStyle name="Normal 3 6" xfId="64" xr:uid="{7D38AF7B-173C-4796-B030-40DB1C2050FA}"/>
    <cellStyle name="Normal 3 6 2" xfId="50" xr:uid="{2AC23972-7A09-42D6-B0BB-0C21196E18F0}"/>
    <cellStyle name="Normal 3 6 2 2" xfId="96" xr:uid="{8D88170B-BF44-4A07-857F-F7B7DC79AE06}"/>
    <cellStyle name="Normal 3 7" xfId="70" xr:uid="{235A02C2-7291-4274-B71A-FE227EF54B13}"/>
    <cellStyle name="Normal 3 8" xfId="74" xr:uid="{9F0E9BF7-5C12-4E61-876D-9E2885877DCB}"/>
    <cellStyle name="Normal 3 9" xfId="80" xr:uid="{2C78659C-996C-45F2-9B87-DA86DB6288AB}"/>
    <cellStyle name="Normal 4" xfId="5" xr:uid="{00000000-0005-0000-0000-00000C000000}"/>
    <cellStyle name="Normal 4 10" xfId="93" xr:uid="{AAC748DD-054F-4512-95A3-9B2EDA05D455}"/>
    <cellStyle name="Normal 4 11" xfId="101" xr:uid="{91D51B0F-0664-4ED9-8D58-2369A76818DF}"/>
    <cellStyle name="Normal 4 12" xfId="104" xr:uid="{63CCCE82-3D1E-4BA3-B1AA-D2D3E802A0CB}"/>
    <cellStyle name="Normal 4 13" xfId="107" xr:uid="{43EB1D92-620B-4245-BA65-7A48B5BA069A}"/>
    <cellStyle name="Normal 4 14" xfId="110" xr:uid="{379F6AC9-50F0-42A3-A602-E40842B7A456}"/>
    <cellStyle name="Normal 4 2" xfId="21" xr:uid="{2B28C96F-BCA3-4DB9-8DE0-90497FFD5FA1}"/>
    <cellStyle name="Normal 4 2 2" xfId="89" xr:uid="{A4CC50EC-9A52-4B73-A535-04B73D8C00FE}"/>
    <cellStyle name="Normal 4 3" xfId="60" xr:uid="{1F7E6B89-7F63-4045-B2A3-D814F41F9081}"/>
    <cellStyle name="Normal 4 4" xfId="63" xr:uid="{712AC771-FDDA-4F21-A82D-7A009751CBCF}"/>
    <cellStyle name="Normal 4 5" xfId="67" xr:uid="{79531A97-8338-4526-A512-869436C309EE}"/>
    <cellStyle name="Normal 4 5 2" xfId="52" xr:uid="{C31FEA28-BDA3-4DE7-A009-4997EDD5082C}"/>
    <cellStyle name="Normal 4 5 2 2" xfId="98" xr:uid="{6EBD6D00-CD81-43DD-829E-932B3249AC5B}"/>
    <cellStyle name="Normal 4 6" xfId="72" xr:uid="{BCD9F619-4A8F-4BE0-986B-4B79EAA4360E}"/>
    <cellStyle name="Normal 4 7" xfId="76" xr:uid="{582D6F60-4E33-4E68-98B8-990AB7B325CE}"/>
    <cellStyle name="Normal 4 8" xfId="82" xr:uid="{F70898E5-C07F-4D73-AC22-A5E6F80DC949}"/>
    <cellStyle name="Normal 4 9" xfId="87" xr:uid="{16B18CF4-969A-48FD-A033-C10B0B984317}"/>
    <cellStyle name="Normal 5 2" xfId="10" xr:uid="{00000000-0005-0000-0000-00000D000000}"/>
    <cellStyle name="Normal 6" xfId="11" xr:uid="{00000000-0005-0000-0000-00000E000000}"/>
    <cellStyle name="Normal 7 2" xfId="31" xr:uid="{38E174D6-6539-4C3E-B04C-99B0FBB21523}"/>
    <cellStyle name="Normal 9" xfId="8" xr:uid="{00000000-0005-0000-0000-00000F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Relationship Id="rId27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57150</xdr:colOff>
      <xdr:row>1</xdr:row>
      <xdr:rowOff>47626</xdr:rowOff>
    </xdr:from>
    <xdr:ext cx="1901758" cy="381000"/>
    <xdr:pic>
      <xdr:nvPicPr>
        <xdr:cNvPr id="2" name="Imagen 1">
          <a:extLst>
            <a:ext uri="{FF2B5EF4-FFF2-40B4-BE49-F238E27FC236}">
              <a16:creationId xmlns:a16="http://schemas.microsoft.com/office/drawing/2014/main" id="{4C879953-910A-4929-BB1B-677DF15533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1450" y="228601"/>
          <a:ext cx="1901758" cy="381000"/>
        </a:xfrm>
        <a:prstGeom prst="rect">
          <a:avLst/>
        </a:prstGeom>
      </xdr:spPr>
    </xdr:pic>
    <xdr:clientData/>
  </xdr:oneCellAnchor>
  <xdr:oneCellAnchor>
    <xdr:from>
      <xdr:col>1</xdr:col>
      <xdr:colOff>57150</xdr:colOff>
      <xdr:row>1</xdr:row>
      <xdr:rowOff>47626</xdr:rowOff>
    </xdr:from>
    <xdr:ext cx="1901758" cy="381000"/>
    <xdr:pic>
      <xdr:nvPicPr>
        <xdr:cNvPr id="3" name="Imagen 2">
          <a:extLst>
            <a:ext uri="{FF2B5EF4-FFF2-40B4-BE49-F238E27FC236}">
              <a16:creationId xmlns:a16="http://schemas.microsoft.com/office/drawing/2014/main" id="{9F44298D-A9DA-472A-AF74-FD484B4234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1450" y="228601"/>
          <a:ext cx="1901758" cy="381000"/>
        </a:xfrm>
        <a:prstGeom prst="rect">
          <a:avLst/>
        </a:prstGeom>
      </xdr:spPr>
    </xdr:pic>
    <xdr:clientData/>
  </xdr:oneCellAnchor>
  <xdr:oneCellAnchor>
    <xdr:from>
      <xdr:col>1</xdr:col>
      <xdr:colOff>57150</xdr:colOff>
      <xdr:row>1</xdr:row>
      <xdr:rowOff>47626</xdr:rowOff>
    </xdr:from>
    <xdr:ext cx="1901758" cy="381000"/>
    <xdr:pic>
      <xdr:nvPicPr>
        <xdr:cNvPr id="4" name="Imagen 3">
          <a:extLst>
            <a:ext uri="{FF2B5EF4-FFF2-40B4-BE49-F238E27FC236}">
              <a16:creationId xmlns:a16="http://schemas.microsoft.com/office/drawing/2014/main" id="{BFE8D630-3D6E-4BDF-AFDB-F7C8BC226C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1450" y="228601"/>
          <a:ext cx="1901758" cy="381000"/>
        </a:xfrm>
        <a:prstGeom prst="rect">
          <a:avLst/>
        </a:prstGeom>
      </xdr:spPr>
    </xdr:pic>
    <xdr:clientData/>
  </xdr:oneCellAnchor>
  <xdr:oneCellAnchor>
    <xdr:from>
      <xdr:col>1</xdr:col>
      <xdr:colOff>57150</xdr:colOff>
      <xdr:row>1</xdr:row>
      <xdr:rowOff>47626</xdr:rowOff>
    </xdr:from>
    <xdr:ext cx="1901758" cy="381000"/>
    <xdr:pic>
      <xdr:nvPicPr>
        <xdr:cNvPr id="5" name="Imagen 4">
          <a:extLst>
            <a:ext uri="{FF2B5EF4-FFF2-40B4-BE49-F238E27FC236}">
              <a16:creationId xmlns:a16="http://schemas.microsoft.com/office/drawing/2014/main" id="{26E63465-42EC-41B7-B03F-420063B211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1450" y="228601"/>
          <a:ext cx="1901758" cy="38100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2021_INEGI\2021_ENVI_2020\00%20LosCuadrosOrigen\Tabulados_MOPRADEF_Noviembre_2020_v1%200%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Índice"/>
      <sheetName val="Cuadro 1"/>
      <sheetName val="Cuadro 2"/>
      <sheetName val="Cuadro 3"/>
      <sheetName val="Cuadro 4"/>
      <sheetName val="Cuadro 5"/>
      <sheetName val="Cuadro 6"/>
      <sheetName val="Cuadro 7"/>
      <sheetName val="Cuadro 8"/>
      <sheetName val="Cuadro 9"/>
      <sheetName val="Cuadro 10"/>
      <sheetName val="Cuadro 1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D14D7C-0D36-4D54-A1E6-DDA53EE235D8}">
  <dimension ref="A1:O37"/>
  <sheetViews>
    <sheetView showGridLines="0" tabSelected="1" zoomScaleNormal="100" workbookViewId="0"/>
  </sheetViews>
  <sheetFormatPr baseColWidth="10" defaultColWidth="11.42578125" defaultRowHeight="14.25" x14ac:dyDescent="0.2"/>
  <cols>
    <col min="1" max="1" width="1.7109375" style="59" customWidth="1"/>
    <col min="2" max="2" width="20.28515625" style="59" customWidth="1"/>
    <col min="3" max="3" width="17.42578125" style="59" customWidth="1"/>
    <col min="4" max="14" width="11.42578125" style="59"/>
    <col min="15" max="15" width="1.7109375" style="59" customWidth="1"/>
    <col min="16" max="16384" width="11.42578125" style="59"/>
  </cols>
  <sheetData>
    <row r="1" spans="1:15" x14ac:dyDescent="0.2">
      <c r="B1" s="60"/>
      <c r="C1" s="60"/>
    </row>
    <row r="2" spans="1:15" ht="19.5" customHeight="1" x14ac:dyDescent="0.2">
      <c r="B2" s="645" t="s">
        <v>145</v>
      </c>
      <c r="C2" s="645"/>
      <c r="D2" s="645"/>
      <c r="E2" s="645"/>
      <c r="F2" s="645"/>
      <c r="G2" s="645"/>
      <c r="H2" s="645"/>
      <c r="I2" s="645"/>
      <c r="J2" s="645"/>
      <c r="K2" s="645"/>
      <c r="L2" s="645"/>
      <c r="M2" s="645"/>
      <c r="N2" s="645"/>
    </row>
    <row r="3" spans="1:15" ht="19.5" customHeight="1" x14ac:dyDescent="0.2">
      <c r="B3" s="646" t="s">
        <v>146</v>
      </c>
      <c r="C3" s="646"/>
      <c r="D3" s="646"/>
      <c r="E3" s="646"/>
      <c r="F3" s="646"/>
      <c r="G3" s="646"/>
      <c r="H3" s="646"/>
      <c r="I3" s="646"/>
      <c r="J3" s="646"/>
      <c r="K3" s="646"/>
      <c r="L3" s="646"/>
      <c r="M3" s="646"/>
      <c r="N3" s="646"/>
    </row>
    <row r="4" spans="1:15" ht="16.5" customHeight="1" x14ac:dyDescent="0.2">
      <c r="A4" s="647" t="s">
        <v>199</v>
      </c>
      <c r="B4" s="647"/>
      <c r="C4" s="647"/>
      <c r="D4" s="647"/>
      <c r="E4" s="647"/>
      <c r="F4" s="647"/>
      <c r="G4" s="647"/>
      <c r="H4" s="647"/>
      <c r="I4" s="647"/>
      <c r="J4" s="647"/>
      <c r="K4" s="647"/>
      <c r="L4" s="647"/>
      <c r="M4" s="647"/>
      <c r="N4" s="647"/>
      <c r="O4" s="647"/>
    </row>
    <row r="5" spans="1:15" s="63" customFormat="1" ht="6.95" customHeight="1" x14ac:dyDescent="0.2">
      <c r="A5" s="61"/>
      <c r="B5" s="62"/>
      <c r="C5" s="62"/>
      <c r="D5" s="62"/>
      <c r="E5" s="62"/>
      <c r="F5" s="62"/>
      <c r="G5" s="62"/>
      <c r="H5" s="62"/>
      <c r="I5" s="62"/>
      <c r="J5" s="62"/>
      <c r="K5" s="62"/>
      <c r="L5" s="62"/>
      <c r="M5" s="62"/>
      <c r="N5" s="62"/>
      <c r="O5" s="61"/>
    </row>
    <row r="6" spans="1:15" s="63" customFormat="1" ht="16.5" customHeight="1" x14ac:dyDescent="0.2">
      <c r="A6" s="61"/>
      <c r="B6" s="648" t="s">
        <v>147</v>
      </c>
      <c r="C6" s="648"/>
      <c r="D6" s="648"/>
      <c r="E6" s="648"/>
      <c r="F6" s="648"/>
      <c r="G6" s="648"/>
      <c r="H6" s="648"/>
      <c r="I6" s="648"/>
      <c r="J6" s="648"/>
      <c r="K6" s="648"/>
      <c r="L6" s="648"/>
      <c r="M6" s="648"/>
      <c r="N6" s="648"/>
      <c r="O6" s="61"/>
    </row>
    <row r="7" spans="1:15" ht="19.5" customHeight="1" x14ac:dyDescent="0.2">
      <c r="B7" s="64" t="s">
        <v>198</v>
      </c>
      <c r="C7" s="64"/>
      <c r="D7" s="65"/>
      <c r="E7" s="65"/>
      <c r="F7" s="65"/>
      <c r="G7" s="65"/>
      <c r="H7" s="65"/>
      <c r="I7" s="65"/>
      <c r="J7" s="65"/>
      <c r="K7" s="65"/>
      <c r="L7" s="65"/>
      <c r="M7" s="649" t="str">
        <f>CONCATENATE("Total de tabulados: ", COUNTIF(D10:D35,"&lt;&gt;"))</f>
        <v>Total de tabulados: 18</v>
      </c>
      <c r="N7" s="649"/>
    </row>
    <row r="8" spans="1:15" ht="6.95" customHeight="1" thickBot="1" x14ac:dyDescent="0.25"/>
    <row r="9" spans="1:15" ht="18.75" customHeight="1" thickBot="1" x14ac:dyDescent="0.25">
      <c r="B9" s="66" t="s">
        <v>148</v>
      </c>
      <c r="C9" s="67" t="s">
        <v>149</v>
      </c>
      <c r="D9" s="640" t="s">
        <v>150</v>
      </c>
      <c r="E9" s="640"/>
      <c r="F9" s="640"/>
      <c r="G9" s="640"/>
      <c r="H9" s="640"/>
      <c r="I9" s="640"/>
      <c r="J9" s="640"/>
      <c r="K9" s="640"/>
      <c r="L9" s="640"/>
      <c r="M9" s="640"/>
      <c r="N9" s="641"/>
    </row>
    <row r="10" spans="1:15" ht="39.950000000000003" customHeight="1" x14ac:dyDescent="0.2">
      <c r="B10" s="653" t="s">
        <v>172</v>
      </c>
      <c r="C10" s="68" t="s">
        <v>99</v>
      </c>
      <c r="D10" s="656" t="s">
        <v>161</v>
      </c>
      <c r="E10" s="657"/>
      <c r="F10" s="657"/>
      <c r="G10" s="657"/>
      <c r="H10" s="657"/>
      <c r="I10" s="657"/>
      <c r="J10" s="657"/>
      <c r="K10" s="657"/>
      <c r="L10" s="657"/>
      <c r="M10" s="657"/>
      <c r="N10" s="658"/>
    </row>
    <row r="11" spans="1:15" ht="39.950000000000003" customHeight="1" x14ac:dyDescent="0.2">
      <c r="B11" s="654"/>
      <c r="C11" s="69" t="s">
        <v>100</v>
      </c>
      <c r="D11" s="642" t="s">
        <v>101</v>
      </c>
      <c r="E11" s="643"/>
      <c r="F11" s="643"/>
      <c r="G11" s="643"/>
      <c r="H11" s="643"/>
      <c r="I11" s="643"/>
      <c r="J11" s="643"/>
      <c r="K11" s="643"/>
      <c r="L11" s="643"/>
      <c r="M11" s="643"/>
      <c r="N11" s="644"/>
    </row>
    <row r="12" spans="1:15" ht="39.950000000000003" customHeight="1" x14ac:dyDescent="0.2">
      <c r="B12" s="654"/>
      <c r="C12" s="69" t="s">
        <v>102</v>
      </c>
      <c r="D12" s="642" t="s">
        <v>103</v>
      </c>
      <c r="E12" s="643"/>
      <c r="F12" s="643"/>
      <c r="G12" s="643"/>
      <c r="H12" s="643"/>
      <c r="I12" s="643"/>
      <c r="J12" s="643"/>
      <c r="K12" s="643"/>
      <c r="L12" s="643"/>
      <c r="M12" s="643"/>
      <c r="N12" s="644"/>
    </row>
    <row r="13" spans="1:15" ht="39.950000000000003" customHeight="1" x14ac:dyDescent="0.2">
      <c r="B13" s="654"/>
      <c r="C13" s="69" t="s">
        <v>105</v>
      </c>
      <c r="D13" s="642" t="s">
        <v>104</v>
      </c>
      <c r="E13" s="643"/>
      <c r="F13" s="643"/>
      <c r="G13" s="643"/>
      <c r="H13" s="643"/>
      <c r="I13" s="643"/>
      <c r="J13" s="643"/>
      <c r="K13" s="643"/>
      <c r="L13" s="643"/>
      <c r="M13" s="643"/>
      <c r="N13" s="644"/>
    </row>
    <row r="14" spans="1:15" ht="39.950000000000003" customHeight="1" x14ac:dyDescent="0.2">
      <c r="B14" s="654"/>
      <c r="C14" s="69" t="s">
        <v>106</v>
      </c>
      <c r="D14" s="642" t="s">
        <v>89</v>
      </c>
      <c r="E14" s="643"/>
      <c r="F14" s="643"/>
      <c r="G14" s="643"/>
      <c r="H14" s="643"/>
      <c r="I14" s="643"/>
      <c r="J14" s="643"/>
      <c r="K14" s="643"/>
      <c r="L14" s="643"/>
      <c r="M14" s="643"/>
      <c r="N14" s="644"/>
    </row>
    <row r="15" spans="1:15" ht="39.950000000000003" customHeight="1" x14ac:dyDescent="0.2">
      <c r="B15" s="654"/>
      <c r="C15" s="69" t="s">
        <v>107</v>
      </c>
      <c r="D15" s="642" t="s">
        <v>162</v>
      </c>
      <c r="E15" s="643"/>
      <c r="F15" s="643"/>
      <c r="G15" s="643"/>
      <c r="H15" s="643"/>
      <c r="I15" s="643"/>
      <c r="J15" s="643"/>
      <c r="K15" s="643"/>
      <c r="L15" s="643"/>
      <c r="M15" s="643"/>
      <c r="N15" s="644"/>
    </row>
    <row r="16" spans="1:15" ht="39.950000000000003" customHeight="1" x14ac:dyDescent="0.2">
      <c r="B16" s="654"/>
      <c r="C16" s="69" t="s">
        <v>112</v>
      </c>
      <c r="D16" s="642" t="s">
        <v>163</v>
      </c>
      <c r="E16" s="643"/>
      <c r="F16" s="643"/>
      <c r="G16" s="643"/>
      <c r="H16" s="643"/>
      <c r="I16" s="643"/>
      <c r="J16" s="643"/>
      <c r="K16" s="643"/>
      <c r="L16" s="643"/>
      <c r="M16" s="643"/>
      <c r="N16" s="644"/>
    </row>
    <row r="17" spans="2:14" ht="39.950000000000003" customHeight="1" x14ac:dyDescent="0.2">
      <c r="B17" s="654"/>
      <c r="C17" s="69" t="s">
        <v>113</v>
      </c>
      <c r="D17" s="642" t="s">
        <v>164</v>
      </c>
      <c r="E17" s="643"/>
      <c r="F17" s="643"/>
      <c r="G17" s="643"/>
      <c r="H17" s="643"/>
      <c r="I17" s="643"/>
      <c r="J17" s="643"/>
      <c r="K17" s="643"/>
      <c r="L17" s="643"/>
      <c r="M17" s="643"/>
      <c r="N17" s="644"/>
    </row>
    <row r="18" spans="2:14" ht="39.950000000000003" customHeight="1" x14ac:dyDescent="0.2">
      <c r="B18" s="654"/>
      <c r="C18" s="69" t="s">
        <v>114</v>
      </c>
      <c r="D18" s="642" t="s">
        <v>165</v>
      </c>
      <c r="E18" s="643"/>
      <c r="F18" s="643"/>
      <c r="G18" s="643"/>
      <c r="H18" s="643"/>
      <c r="I18" s="643"/>
      <c r="J18" s="643"/>
      <c r="K18" s="643"/>
      <c r="L18" s="643"/>
      <c r="M18" s="643"/>
      <c r="N18" s="644"/>
    </row>
    <row r="19" spans="2:14" ht="39.950000000000003" customHeight="1" x14ac:dyDescent="0.2">
      <c r="B19" s="654"/>
      <c r="C19" s="69" t="s">
        <v>115</v>
      </c>
      <c r="D19" s="642" t="s">
        <v>166</v>
      </c>
      <c r="E19" s="643"/>
      <c r="F19" s="643"/>
      <c r="G19" s="643"/>
      <c r="H19" s="643"/>
      <c r="I19" s="643"/>
      <c r="J19" s="643"/>
      <c r="K19" s="643"/>
      <c r="L19" s="643"/>
      <c r="M19" s="643"/>
      <c r="N19" s="644"/>
    </row>
    <row r="20" spans="2:14" ht="39.950000000000003" customHeight="1" x14ac:dyDescent="0.2">
      <c r="B20" s="654"/>
      <c r="C20" s="69" t="s">
        <v>116</v>
      </c>
      <c r="D20" s="642" t="s">
        <v>167</v>
      </c>
      <c r="E20" s="643"/>
      <c r="F20" s="643"/>
      <c r="G20" s="643"/>
      <c r="H20" s="643"/>
      <c r="I20" s="643"/>
      <c r="J20" s="643"/>
      <c r="K20" s="643"/>
      <c r="L20" s="643"/>
      <c r="M20" s="643"/>
      <c r="N20" s="644"/>
    </row>
    <row r="21" spans="2:14" ht="39.950000000000003" customHeight="1" x14ac:dyDescent="0.2">
      <c r="B21" s="654"/>
      <c r="C21" s="69" t="s">
        <v>117</v>
      </c>
      <c r="D21" s="642" t="s">
        <v>200</v>
      </c>
      <c r="E21" s="643"/>
      <c r="F21" s="643"/>
      <c r="G21" s="643"/>
      <c r="H21" s="643"/>
      <c r="I21" s="643"/>
      <c r="J21" s="643"/>
      <c r="K21" s="643"/>
      <c r="L21" s="643"/>
      <c r="M21" s="643"/>
      <c r="N21" s="644"/>
    </row>
    <row r="22" spans="2:14" ht="39.950000000000003" customHeight="1" x14ac:dyDescent="0.2">
      <c r="B22" s="654"/>
      <c r="C22" s="69" t="s">
        <v>118</v>
      </c>
      <c r="D22" s="642" t="s">
        <v>170</v>
      </c>
      <c r="E22" s="643"/>
      <c r="F22" s="643"/>
      <c r="G22" s="643"/>
      <c r="H22" s="643"/>
      <c r="I22" s="643"/>
      <c r="J22" s="643"/>
      <c r="K22" s="643"/>
      <c r="L22" s="643"/>
      <c r="M22" s="643"/>
      <c r="N22" s="644"/>
    </row>
    <row r="23" spans="2:14" ht="39.950000000000003" customHeight="1" x14ac:dyDescent="0.2">
      <c r="B23" s="654"/>
      <c r="C23" s="69" t="s">
        <v>119</v>
      </c>
      <c r="D23" s="642" t="s">
        <v>171</v>
      </c>
      <c r="E23" s="643"/>
      <c r="F23" s="643"/>
      <c r="G23" s="643"/>
      <c r="H23" s="643"/>
      <c r="I23" s="643"/>
      <c r="J23" s="643"/>
      <c r="K23" s="643"/>
      <c r="L23" s="643"/>
      <c r="M23" s="643"/>
      <c r="N23" s="644"/>
    </row>
    <row r="24" spans="2:14" ht="39.950000000000003" customHeight="1" x14ac:dyDescent="0.2">
      <c r="B24" s="654"/>
      <c r="C24" s="69" t="s">
        <v>120</v>
      </c>
      <c r="D24" s="642" t="s">
        <v>168</v>
      </c>
      <c r="E24" s="643"/>
      <c r="F24" s="643"/>
      <c r="G24" s="643"/>
      <c r="H24" s="643"/>
      <c r="I24" s="643"/>
      <c r="J24" s="643"/>
      <c r="K24" s="643"/>
      <c r="L24" s="643"/>
      <c r="M24" s="643"/>
      <c r="N24" s="644"/>
    </row>
    <row r="25" spans="2:14" ht="39.950000000000003" customHeight="1" x14ac:dyDescent="0.2">
      <c r="B25" s="654"/>
      <c r="C25" s="69" t="s">
        <v>121</v>
      </c>
      <c r="D25" s="642" t="s">
        <v>158</v>
      </c>
      <c r="E25" s="643"/>
      <c r="F25" s="643"/>
      <c r="G25" s="643"/>
      <c r="H25" s="643"/>
      <c r="I25" s="643"/>
      <c r="J25" s="643"/>
      <c r="K25" s="643"/>
      <c r="L25" s="643"/>
      <c r="M25" s="643"/>
      <c r="N25" s="644"/>
    </row>
    <row r="26" spans="2:14" ht="39.950000000000003" customHeight="1" x14ac:dyDescent="0.2">
      <c r="B26" s="654"/>
      <c r="C26" s="69" t="s">
        <v>122</v>
      </c>
      <c r="D26" s="642" t="s">
        <v>169</v>
      </c>
      <c r="E26" s="643"/>
      <c r="F26" s="643"/>
      <c r="G26" s="643"/>
      <c r="H26" s="643"/>
      <c r="I26" s="643"/>
      <c r="J26" s="643"/>
      <c r="K26" s="643"/>
      <c r="L26" s="643"/>
      <c r="M26" s="643"/>
      <c r="N26" s="644"/>
    </row>
    <row r="27" spans="2:14" ht="39.950000000000003" customHeight="1" thickBot="1" x14ac:dyDescent="0.25">
      <c r="B27" s="655"/>
      <c r="C27" s="70" t="s">
        <v>123</v>
      </c>
      <c r="D27" s="650" t="s">
        <v>160</v>
      </c>
      <c r="E27" s="651"/>
      <c r="F27" s="651"/>
      <c r="G27" s="651"/>
      <c r="H27" s="651"/>
      <c r="I27" s="651"/>
      <c r="J27" s="651"/>
      <c r="K27" s="651"/>
      <c r="L27" s="651"/>
      <c r="M27" s="651"/>
      <c r="N27" s="652"/>
    </row>
    <row r="28" spans="2:14" ht="39.950000000000003" customHeight="1" x14ac:dyDescent="0.2"/>
    <row r="37" ht="14.25" customHeight="1" x14ac:dyDescent="0.2"/>
  </sheetData>
  <mergeCells count="25">
    <mergeCell ref="D27:N27"/>
    <mergeCell ref="B10:B27"/>
    <mergeCell ref="D10:N10"/>
    <mergeCell ref="D11:N11"/>
    <mergeCell ref="D12:N12"/>
    <mergeCell ref="D13:N13"/>
    <mergeCell ref="D14:N14"/>
    <mergeCell ref="D15:N15"/>
    <mergeCell ref="D16:N16"/>
    <mergeCell ref="D17:N17"/>
    <mergeCell ref="D18:N18"/>
    <mergeCell ref="D24:N24"/>
    <mergeCell ref="D25:N25"/>
    <mergeCell ref="D26:N26"/>
    <mergeCell ref="B2:N2"/>
    <mergeCell ref="B3:N3"/>
    <mergeCell ref="A4:O4"/>
    <mergeCell ref="B6:N6"/>
    <mergeCell ref="M7:N7"/>
    <mergeCell ref="D9:N9"/>
    <mergeCell ref="D20:N20"/>
    <mergeCell ref="D21:N21"/>
    <mergeCell ref="D22:N22"/>
    <mergeCell ref="D23:N23"/>
    <mergeCell ref="D19:N19"/>
  </mergeCells>
  <hyperlinks>
    <hyperlink ref="C10" location="'Cuadro 4.1'!A1" tooltip="Ir a Cuadro 4.1" display="Cuadro 4.1" xr:uid="{0660BDC2-11A9-46A7-BCDD-A1B066DD6271}"/>
    <hyperlink ref="C11" location="'Cuadro 4.2'!A1" tooltip="Ir aCuadro 4.2" display="Cuadro 4.2" xr:uid="{C870324A-6A22-4AB0-A0F7-932424015743}"/>
    <hyperlink ref="C27" location="'Cuadro 4.18'!A1" tooltip="Ir a Cuadro 4.18" display="Cuadro 4.18" xr:uid="{7E82D795-B685-4085-844C-FD6866E4873D}"/>
    <hyperlink ref="C12" location="'Cuadro 4.3'!A1" tooltip="Ir a Cuadro 4.3" display="Cuadro 4.3" xr:uid="{9DCB6C33-6A2C-4ACC-9D38-0F4A7CCDBCF0}"/>
    <hyperlink ref="C13" location="'Cuadro 4.4'!A1" tooltip="Ir a Cuadro 4.4" display="Cuadro 4.4" xr:uid="{E3681ECA-6989-4628-8FEB-FFDF88D2C43E}"/>
    <hyperlink ref="C14" location="'Cuadro 4.5'!A1" tooltip="Ir a Cuadro 4.5" display="Cuadro 4.5" xr:uid="{58A06B1B-3329-41E6-A045-AD8C491885A8}"/>
    <hyperlink ref="C17" location="'Cuadro 4.8'!A1" tooltip="Ir a Cuadro 4.8" display="Cuadro 4.8" xr:uid="{459A78ED-9A1A-4AB4-A8D3-11F8DBC2AD52}"/>
    <hyperlink ref="C15" location="'Cuadro 4.6'!A1" tooltip="Ir a Cuadro 4.6" display="Cuadro 4.6" xr:uid="{6EA49552-D112-4243-A071-04636BA9B428}"/>
    <hyperlink ref="C18" location="'Cuadro 4.9'!A1" tooltip="Ir a Cuadro 4.9" display="Cuadro 4.9" xr:uid="{C1687548-5C4A-4B87-9D8B-1C601ED722A4}"/>
    <hyperlink ref="C16" location="'Cuadro 4.7'!A1" tooltip="ir a Cuadro 4.7" display="Cuadro 4.7" xr:uid="{EFA195A0-3B6F-4324-8F67-C64B1ED77B55}"/>
    <hyperlink ref="C19" location="'Cuadro 4.10'!A1" tooltip="Ir a Cuadro 4.10" display="Cuadro 4.10" xr:uid="{9C7A914D-EAE7-4AB6-BCDC-D7C9F5095344}"/>
    <hyperlink ref="C20" location="'Cuadro 4.11'!A1" tooltip="Ir a Cuadro 4.11" display="Cuadro 4.11" xr:uid="{CAA4FC25-E612-458A-B443-D1942C58E674}"/>
    <hyperlink ref="C23" location="'Cuadro 4.14'!A1" tooltip="Ir a Cuadro 4.14" display="Cuadro 4.14" xr:uid="{A99C4423-AB8A-44AD-B80F-30F8D4CEA414}"/>
    <hyperlink ref="C21" location="'Cuadro 4.12'!A1" tooltip="Ir a Cuadro 4.12" display="Cuadro 4.12" xr:uid="{A3D880E5-A42D-4F7A-8C9D-62D3E30795B3}"/>
    <hyperlink ref="C24" location="'Cuadro 4.15'!A1" tooltip="Ir a Cuadro 4.15" display="Cuadro 4.15" xr:uid="{3AAA1576-5DD2-43AA-A0AC-A3386B692B5F}"/>
    <hyperlink ref="C22" location="'Cuadro 4.13'!A1" tooltip="Ir a Cuadro 4.13" display="Cuadro 4.13" xr:uid="{E17C6688-BDC4-4225-9CAC-CC67C5A0DC44}"/>
    <hyperlink ref="C25" location="'Cuadro 4.16'!A1" tooltip="Ir a Cuadro 4.16" display="Cuadro 4.16" xr:uid="{1E25A5EE-4DD2-4EAB-9F21-2E20CD4D4FA0}"/>
    <hyperlink ref="C26" location="'Cuadro 4.17'!A1" tooltip="Ir a Cuadro 4.17" display="Cuadro 4.17" xr:uid="{780C7631-08E4-4034-8192-7031631D53D9}"/>
  </hyperlink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1BB913-6DD5-42CB-A012-171D6B09CB12}">
  <dimension ref="B1:S19"/>
  <sheetViews>
    <sheetView showGridLines="0" zoomScaleNormal="100" workbookViewId="0"/>
  </sheetViews>
  <sheetFormatPr baseColWidth="10" defaultColWidth="9.140625" defaultRowHeight="14.25" x14ac:dyDescent="0.2"/>
  <cols>
    <col min="1" max="1" width="1.7109375" style="13" customWidth="1"/>
    <col min="2" max="2" width="32.5703125" style="13" customWidth="1"/>
    <col min="3" max="3" width="1.7109375" style="13" customWidth="1"/>
    <col min="4" max="4" width="17.7109375" style="13" customWidth="1"/>
    <col min="5" max="5" width="1.7109375" style="13" customWidth="1"/>
    <col min="6" max="7" width="11.7109375" style="13" customWidth="1"/>
    <col min="8" max="8" width="0.85546875" style="13" customWidth="1"/>
    <col min="9" max="10" width="11.7109375" style="13" customWidth="1"/>
    <col min="11" max="16384" width="9.140625" style="13"/>
  </cols>
  <sheetData>
    <row r="1" spans="2:19" s="58" customFormat="1" ht="12" customHeight="1" x14ac:dyDescent="0.2">
      <c r="B1" s="639" t="s">
        <v>202</v>
      </c>
      <c r="C1" s="181"/>
      <c r="J1" s="72" t="s">
        <v>151</v>
      </c>
    </row>
    <row r="2" spans="2:19" s="58" customFormat="1" ht="6.95" customHeight="1" x14ac:dyDescent="0.2">
      <c r="B2" s="639"/>
      <c r="C2" s="181"/>
    </row>
    <row r="3" spans="2:19" s="58" customFormat="1" ht="12.75" x14ac:dyDescent="0.2">
      <c r="B3" s="639" t="s">
        <v>199</v>
      </c>
      <c r="C3" s="181"/>
      <c r="D3" s="181"/>
      <c r="E3" s="181"/>
      <c r="F3" s="181"/>
      <c r="G3" s="181"/>
      <c r="H3" s="181"/>
      <c r="I3" s="181"/>
      <c r="J3" s="181"/>
      <c r="K3" s="181"/>
      <c r="L3" s="181"/>
      <c r="M3" s="181"/>
      <c r="N3" s="181"/>
      <c r="O3" s="181"/>
      <c r="P3" s="181"/>
      <c r="Q3" s="181"/>
      <c r="R3" s="181"/>
      <c r="S3" s="181"/>
    </row>
    <row r="4" spans="2:19" s="58" customFormat="1" ht="6.95" customHeight="1" x14ac:dyDescent="0.2"/>
    <row r="5" spans="2:19" s="58" customFormat="1" ht="25.5" customHeight="1" x14ac:dyDescent="0.2">
      <c r="B5" s="659" t="s">
        <v>161</v>
      </c>
      <c r="C5" s="659"/>
      <c r="D5" s="659"/>
      <c r="E5" s="659"/>
      <c r="F5" s="659"/>
      <c r="G5" s="659"/>
      <c r="H5" s="659"/>
      <c r="I5" s="182"/>
      <c r="J5" s="71" t="s">
        <v>99</v>
      </c>
    </row>
    <row r="6" spans="2:19" ht="6" customHeight="1" x14ac:dyDescent="0.2">
      <c r="B6" s="157"/>
      <c r="C6" s="157"/>
      <c r="D6" s="158"/>
      <c r="E6" s="158"/>
      <c r="F6" s="158"/>
      <c r="G6" s="158"/>
      <c r="H6" s="158"/>
      <c r="I6" s="158"/>
      <c r="J6" s="159"/>
    </row>
    <row r="7" spans="2:19" ht="21" customHeight="1" x14ac:dyDescent="0.2">
      <c r="B7" s="660" t="s">
        <v>55</v>
      </c>
      <c r="C7" s="153"/>
      <c r="D7" s="663" t="s">
        <v>58</v>
      </c>
      <c r="E7" s="155"/>
      <c r="F7" s="666" t="s">
        <v>94</v>
      </c>
      <c r="G7" s="666"/>
      <c r="H7" s="666"/>
      <c r="I7" s="666"/>
      <c r="J7" s="666"/>
    </row>
    <row r="8" spans="2:19" ht="16.5" customHeight="1" x14ac:dyDescent="0.2">
      <c r="B8" s="661"/>
      <c r="C8" s="160"/>
      <c r="D8" s="664"/>
      <c r="E8" s="161"/>
      <c r="F8" s="666" t="s">
        <v>59</v>
      </c>
      <c r="G8" s="666"/>
      <c r="H8" s="26"/>
      <c r="I8" s="666" t="s">
        <v>60</v>
      </c>
      <c r="J8" s="666"/>
    </row>
    <row r="9" spans="2:19" ht="15" customHeight="1" x14ac:dyDescent="0.2">
      <c r="B9" s="662"/>
      <c r="C9" s="154"/>
      <c r="D9" s="665"/>
      <c r="E9" s="156"/>
      <c r="F9" s="73" t="s">
        <v>0</v>
      </c>
      <c r="G9" s="73" t="s">
        <v>1</v>
      </c>
      <c r="H9" s="73"/>
      <c r="I9" s="73" t="s">
        <v>0</v>
      </c>
      <c r="J9" s="73" t="s">
        <v>1</v>
      </c>
    </row>
    <row r="10" spans="2:19" s="19" customFormat="1" ht="6" customHeight="1" x14ac:dyDescent="0.2">
      <c r="B10" s="162"/>
      <c r="C10" s="162"/>
      <c r="D10" s="183"/>
      <c r="E10" s="183"/>
      <c r="F10" s="183"/>
      <c r="G10" s="183"/>
      <c r="H10" s="183"/>
      <c r="I10" s="183"/>
      <c r="J10" s="183"/>
    </row>
    <row r="11" spans="2:19" s="98" customFormat="1" ht="11.25" x14ac:dyDescent="0.2">
      <c r="B11" s="97" t="s">
        <v>35</v>
      </c>
      <c r="C11" s="164"/>
      <c r="D11" s="148">
        <v>36622109.258058302</v>
      </c>
      <c r="E11" s="114"/>
      <c r="F11" s="148">
        <v>2856877.4254801902</v>
      </c>
      <c r="G11" s="148">
        <v>7.8802218930999999</v>
      </c>
      <c r="H11" s="114"/>
      <c r="I11" s="148">
        <v>33842894.458193697</v>
      </c>
      <c r="J11" s="148">
        <v>92.614939619899999</v>
      </c>
    </row>
    <row r="12" spans="2:19" s="99" customFormat="1" ht="6" customHeight="1" x14ac:dyDescent="0.2">
      <c r="B12" s="164"/>
      <c r="C12" s="164"/>
      <c r="D12" s="115"/>
      <c r="E12" s="115"/>
      <c r="F12" s="115"/>
      <c r="G12" s="116"/>
      <c r="H12" s="115"/>
      <c r="I12" s="115"/>
      <c r="J12" s="116"/>
    </row>
    <row r="13" spans="2:19" s="99" customFormat="1" ht="15" customHeight="1" x14ac:dyDescent="0.2">
      <c r="B13" s="184" t="s">
        <v>36</v>
      </c>
      <c r="C13" s="184"/>
      <c r="D13" s="150">
        <v>7748639.4170853803</v>
      </c>
      <c r="E13" s="115"/>
      <c r="F13" s="150">
        <v>378314.35051305901</v>
      </c>
      <c r="G13" s="150">
        <v>4.9893169637000003</v>
      </c>
      <c r="H13" s="115"/>
      <c r="I13" s="150">
        <v>7391499.6685098503</v>
      </c>
      <c r="J13" s="150">
        <v>95.796856072500006</v>
      </c>
      <c r="K13" s="185"/>
      <c r="L13" s="185"/>
    </row>
    <row r="14" spans="2:19" s="104" customFormat="1" ht="15" customHeight="1" x14ac:dyDescent="0.2">
      <c r="B14" s="184" t="s">
        <v>37</v>
      </c>
      <c r="C14" s="184"/>
      <c r="D14" s="152">
        <v>5024066.3084292198</v>
      </c>
      <c r="E14" s="139"/>
      <c r="F14" s="149">
        <v>315803.73652888002</v>
      </c>
      <c r="G14" s="149">
        <v>6.5304660701000001</v>
      </c>
      <c r="H14" s="140"/>
      <c r="I14" s="149">
        <v>4731482.9931036299</v>
      </c>
      <c r="J14" s="151">
        <v>94.6561928876</v>
      </c>
    </row>
    <row r="15" spans="2:19" s="104" customFormat="1" ht="15" customHeight="1" x14ac:dyDescent="0.2">
      <c r="B15" s="186" t="s">
        <v>38</v>
      </c>
      <c r="C15" s="186"/>
      <c r="D15" s="152">
        <v>6054087.3147120196</v>
      </c>
      <c r="E15" s="139"/>
      <c r="F15" s="149">
        <v>511998.00946244597</v>
      </c>
      <c r="G15" s="149">
        <v>8.7150198026000005</v>
      </c>
      <c r="H15" s="140"/>
      <c r="I15" s="149">
        <v>5570377.8196250601</v>
      </c>
      <c r="J15" s="151">
        <v>92.569598268600004</v>
      </c>
    </row>
    <row r="16" spans="2:19" s="104" customFormat="1" ht="15" customHeight="1" x14ac:dyDescent="0.2">
      <c r="B16" s="186" t="s">
        <v>56</v>
      </c>
      <c r="C16" s="186"/>
      <c r="D16" s="152">
        <v>18212987.262076899</v>
      </c>
      <c r="E16" s="139"/>
      <c r="F16" s="149">
        <v>1731814.59804732</v>
      </c>
      <c r="G16" s="149">
        <v>9.6009243304999998</v>
      </c>
      <c r="H16" s="140"/>
      <c r="I16" s="149">
        <v>16551257.729528099</v>
      </c>
      <c r="J16" s="151">
        <v>91.176564367400005</v>
      </c>
    </row>
    <row r="17" spans="2:10" s="19" customFormat="1" ht="6" customHeight="1" x14ac:dyDescent="0.2">
      <c r="B17" s="28"/>
      <c r="C17" s="29"/>
      <c r="D17" s="30"/>
      <c r="E17" s="30"/>
      <c r="F17" s="30"/>
      <c r="G17" s="30"/>
      <c r="H17" s="30"/>
      <c r="I17" s="30"/>
      <c r="J17" s="105"/>
    </row>
    <row r="18" spans="2:10" s="19" customFormat="1" ht="6" customHeight="1" x14ac:dyDescent="0.2">
      <c r="B18" s="162"/>
      <c r="C18" s="162"/>
      <c r="D18" s="183"/>
      <c r="E18" s="183"/>
      <c r="F18" s="183"/>
      <c r="G18" s="183"/>
      <c r="H18" s="183"/>
      <c r="I18" s="183"/>
      <c r="J18" s="183"/>
    </row>
    <row r="19" spans="2:10" x14ac:dyDescent="0.2">
      <c r="B19" s="109" t="s">
        <v>57</v>
      </c>
    </row>
  </sheetData>
  <mergeCells count="6">
    <mergeCell ref="B5:H5"/>
    <mergeCell ref="B7:B9"/>
    <mergeCell ref="D7:D9"/>
    <mergeCell ref="F7:J7"/>
    <mergeCell ref="F8:G8"/>
    <mergeCell ref="I8:J8"/>
  </mergeCells>
  <hyperlinks>
    <hyperlink ref="J1" location="Índice!A1" tooltip="Ir a ÍNDICE" display="INDICE" xr:uid="{77A73A6D-5C38-4143-9815-0FF50E3F1C1E}"/>
  </hyperlink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893C13-850E-433F-A1F0-CF86AFC56E27}">
  <dimension ref="B1:S47"/>
  <sheetViews>
    <sheetView showGridLines="0" zoomScaleNormal="100" workbookViewId="0"/>
  </sheetViews>
  <sheetFormatPr baseColWidth="10" defaultColWidth="9.140625" defaultRowHeight="14.25" x14ac:dyDescent="0.2"/>
  <cols>
    <col min="1" max="1" width="1.7109375" style="13" customWidth="1"/>
    <col min="2" max="2" width="32.5703125" style="13" customWidth="1"/>
    <col min="3" max="3" width="1.7109375" style="13" customWidth="1"/>
    <col min="4" max="4" width="17.7109375" style="13" customWidth="1"/>
    <col min="5" max="5" width="1.7109375" style="13" customWidth="1"/>
    <col min="6" max="7" width="11.7109375" style="13" customWidth="1"/>
    <col min="8" max="8" width="0.85546875" style="13" customWidth="1"/>
    <col min="9" max="10" width="11.7109375" style="13" customWidth="1"/>
    <col min="11" max="16384" width="9.140625" style="13"/>
  </cols>
  <sheetData>
    <row r="1" spans="2:19" s="58" customFormat="1" ht="12" customHeight="1" x14ac:dyDescent="0.2">
      <c r="B1" s="639" t="s">
        <v>202</v>
      </c>
      <c r="C1" s="193"/>
      <c r="J1" s="72" t="s">
        <v>151</v>
      </c>
    </row>
    <row r="2" spans="2:19" s="58" customFormat="1" ht="6.95" customHeight="1" x14ac:dyDescent="0.2">
      <c r="B2" s="639"/>
      <c r="C2" s="193"/>
    </row>
    <row r="3" spans="2:19" s="58" customFormat="1" ht="12.75" x14ac:dyDescent="0.2">
      <c r="B3" s="639" t="s">
        <v>199</v>
      </c>
      <c r="C3" s="193"/>
      <c r="D3" s="193"/>
      <c r="E3" s="193"/>
      <c r="F3" s="193"/>
      <c r="G3" s="193"/>
      <c r="H3" s="193"/>
      <c r="I3" s="193"/>
      <c r="J3" s="193"/>
      <c r="K3" s="193"/>
      <c r="L3" s="193"/>
      <c r="M3" s="193"/>
      <c r="N3" s="193"/>
      <c r="O3" s="193"/>
      <c r="P3" s="193"/>
      <c r="Q3" s="193"/>
      <c r="R3" s="193"/>
      <c r="S3" s="193"/>
    </row>
    <row r="4" spans="2:19" s="58" customFormat="1" ht="6.95" customHeight="1" x14ac:dyDescent="0.2"/>
    <row r="5" spans="2:19" s="58" customFormat="1" ht="25.5" customHeight="1" x14ac:dyDescent="0.2">
      <c r="B5" s="667" t="s">
        <v>101</v>
      </c>
      <c r="C5" s="667"/>
      <c r="D5" s="667"/>
      <c r="E5" s="667"/>
      <c r="F5" s="667"/>
      <c r="G5" s="667"/>
      <c r="H5" s="667"/>
      <c r="I5" s="667"/>
      <c r="J5" s="71" t="s">
        <v>100</v>
      </c>
    </row>
    <row r="6" spans="2:19" ht="6" customHeight="1" x14ac:dyDescent="0.2">
      <c r="B6" s="157"/>
      <c r="C6" s="157"/>
      <c r="D6" s="158"/>
      <c r="E6" s="158"/>
      <c r="F6" s="158"/>
      <c r="G6" s="158"/>
      <c r="H6" s="158"/>
      <c r="I6" s="158"/>
      <c r="J6" s="159"/>
    </row>
    <row r="7" spans="2:19" ht="21" customHeight="1" x14ac:dyDescent="0.2">
      <c r="B7" s="660" t="s">
        <v>76</v>
      </c>
      <c r="C7" s="175"/>
      <c r="D7" s="663" t="s">
        <v>58</v>
      </c>
      <c r="E7" s="177"/>
      <c r="F7" s="666" t="s">
        <v>94</v>
      </c>
      <c r="G7" s="666"/>
      <c r="H7" s="666"/>
      <c r="I7" s="666"/>
      <c r="J7" s="666"/>
    </row>
    <row r="8" spans="2:19" ht="16.5" customHeight="1" x14ac:dyDescent="0.2">
      <c r="B8" s="661"/>
      <c r="C8" s="179"/>
      <c r="D8" s="664"/>
      <c r="E8" s="180"/>
      <c r="F8" s="666" t="s">
        <v>59</v>
      </c>
      <c r="G8" s="666"/>
      <c r="H8" s="26"/>
      <c r="I8" s="666" t="s">
        <v>60</v>
      </c>
      <c r="J8" s="666"/>
    </row>
    <row r="9" spans="2:19" ht="15" customHeight="1" x14ac:dyDescent="0.2">
      <c r="B9" s="662"/>
      <c r="C9" s="176"/>
      <c r="D9" s="665"/>
      <c r="E9" s="178"/>
      <c r="F9" s="73" t="s">
        <v>0</v>
      </c>
      <c r="G9" s="73" t="s">
        <v>1</v>
      </c>
      <c r="H9" s="73"/>
      <c r="I9" s="73" t="s">
        <v>0</v>
      </c>
      <c r="J9" s="73" t="s">
        <v>1</v>
      </c>
    </row>
    <row r="10" spans="2:19" s="19" customFormat="1" ht="6" customHeight="1" x14ac:dyDescent="0.2">
      <c r="B10" s="162"/>
      <c r="C10" s="162"/>
      <c r="D10" s="163"/>
      <c r="E10" s="163"/>
      <c r="F10" s="163"/>
      <c r="G10" s="163"/>
      <c r="H10" s="163"/>
      <c r="I10" s="163"/>
      <c r="J10" s="163"/>
      <c r="K10" s="18"/>
    </row>
    <row r="11" spans="2:19" s="98" customFormat="1" ht="11.25" x14ac:dyDescent="0.2">
      <c r="B11" s="97" t="s">
        <v>35</v>
      </c>
      <c r="C11" s="164"/>
      <c r="D11" s="168">
        <v>36622109.258058302</v>
      </c>
      <c r="E11" s="137"/>
      <c r="F11" s="168">
        <v>2856877.4254801902</v>
      </c>
      <c r="G11" s="168">
        <v>7.8802218930999999</v>
      </c>
      <c r="H11" s="137"/>
      <c r="I11" s="168">
        <v>33842894.458193697</v>
      </c>
      <c r="J11" s="168">
        <v>92.614939619899999</v>
      </c>
      <c r="K11" s="103"/>
      <c r="L11" s="103"/>
      <c r="M11" s="103"/>
    </row>
    <row r="12" spans="2:19" s="99" customFormat="1" ht="6" customHeight="1" x14ac:dyDescent="0.2">
      <c r="B12" s="164"/>
      <c r="C12" s="164"/>
      <c r="D12" s="100"/>
      <c r="E12" s="100"/>
      <c r="F12" s="101"/>
      <c r="G12" s="106"/>
      <c r="H12" s="101"/>
      <c r="I12" s="101"/>
      <c r="J12" s="107"/>
    </row>
    <row r="13" spans="2:19" s="99" customFormat="1" ht="12.75" customHeight="1" x14ac:dyDescent="0.2">
      <c r="B13" s="95" t="s">
        <v>3</v>
      </c>
      <c r="C13" s="165"/>
      <c r="D13" s="171">
        <v>413170.04147891799</v>
      </c>
      <c r="E13" s="110"/>
      <c r="F13" s="169">
        <v>52940.321904667901</v>
      </c>
      <c r="G13" s="169">
        <v>13.254073935499999</v>
      </c>
      <c r="H13" s="111"/>
      <c r="I13" s="169">
        <v>365372.15863506502</v>
      </c>
      <c r="J13" s="170">
        <v>89.494614951599999</v>
      </c>
    </row>
    <row r="14" spans="2:19" s="99" customFormat="1" ht="12.75" customHeight="1" x14ac:dyDescent="0.2">
      <c r="B14" s="95" t="s">
        <v>4</v>
      </c>
      <c r="C14" s="165"/>
      <c r="D14" s="171">
        <v>1206972.20751152</v>
      </c>
      <c r="E14" s="110"/>
      <c r="F14" s="169">
        <v>129326.760184168</v>
      </c>
      <c r="G14" s="169">
        <v>11.0823164242</v>
      </c>
      <c r="H14" s="111"/>
      <c r="I14" s="169">
        <v>1089463.16986515</v>
      </c>
      <c r="J14" s="170">
        <v>91.403242506400005</v>
      </c>
    </row>
    <row r="15" spans="2:19" s="99" customFormat="1" ht="12.75" customHeight="1" x14ac:dyDescent="0.2">
      <c r="B15" s="95" t="s">
        <v>5</v>
      </c>
      <c r="C15" s="165"/>
      <c r="D15" s="171">
        <v>261786.29343154299</v>
      </c>
      <c r="E15" s="110"/>
      <c r="F15" s="169">
        <v>25493.199274779399</v>
      </c>
      <c r="G15" s="169">
        <v>10.2217849472</v>
      </c>
      <c r="H15" s="111"/>
      <c r="I15" s="169">
        <v>238672.44965994501</v>
      </c>
      <c r="J15" s="170">
        <v>92.255642066999997</v>
      </c>
    </row>
    <row r="16" spans="2:19" s="99" customFormat="1" ht="12.75" customHeight="1" x14ac:dyDescent="0.2">
      <c r="B16" s="95" t="s">
        <v>6</v>
      </c>
      <c r="C16" s="165"/>
      <c r="D16" s="171">
        <v>279069.41646326898</v>
      </c>
      <c r="E16" s="110"/>
      <c r="F16" s="169">
        <v>23954.023342415399</v>
      </c>
      <c r="G16" s="169">
        <v>9.0529880589000005</v>
      </c>
      <c r="H16" s="111"/>
      <c r="I16" s="169">
        <v>257492.12873093601</v>
      </c>
      <c r="J16" s="170">
        <v>93.236706233700005</v>
      </c>
    </row>
    <row r="17" spans="2:10" s="99" customFormat="1" ht="12.75" customHeight="1" x14ac:dyDescent="0.2">
      <c r="B17" s="95" t="s">
        <v>7</v>
      </c>
      <c r="C17" s="165"/>
      <c r="D17" s="171">
        <v>947422.97195795598</v>
      </c>
      <c r="E17" s="110"/>
      <c r="F17" s="169">
        <v>87397.2418386473</v>
      </c>
      <c r="G17" s="169">
        <v>9.5468883769000001</v>
      </c>
      <c r="H17" s="111"/>
      <c r="I17" s="169">
        <v>872121.85176193004</v>
      </c>
      <c r="J17" s="170">
        <v>93.063185449100004</v>
      </c>
    </row>
    <row r="18" spans="2:10" s="99" customFormat="1" ht="12.75" customHeight="1" x14ac:dyDescent="0.2">
      <c r="B18" s="95" t="s">
        <v>8</v>
      </c>
      <c r="C18" s="166"/>
      <c r="D18" s="174">
        <v>248437.828347868</v>
      </c>
      <c r="E18" s="112"/>
      <c r="F18" s="172">
        <v>30192.4436344198</v>
      </c>
      <c r="G18" s="172">
        <v>12.657821695499999</v>
      </c>
      <c r="H18" s="113"/>
      <c r="I18" s="172">
        <v>220569.828606514</v>
      </c>
      <c r="J18" s="173">
        <v>90.212117556699994</v>
      </c>
    </row>
    <row r="19" spans="2:10" s="99" customFormat="1" ht="12.75" customHeight="1" x14ac:dyDescent="0.2">
      <c r="B19" s="95" t="s">
        <v>9</v>
      </c>
      <c r="C19" s="166"/>
      <c r="D19" s="174">
        <v>1567710.7438067801</v>
      </c>
      <c r="E19" s="112"/>
      <c r="F19" s="172">
        <v>86949.853677493098</v>
      </c>
      <c r="G19" s="172">
        <v>5.9347842830999999</v>
      </c>
      <c r="H19" s="113"/>
      <c r="I19" s="172">
        <v>1493370.2789886601</v>
      </c>
      <c r="J19" s="173">
        <v>96.083568698999997</v>
      </c>
    </row>
    <row r="20" spans="2:10" s="99" customFormat="1" ht="12.75" customHeight="1" x14ac:dyDescent="0.2">
      <c r="B20" s="95" t="s">
        <v>10</v>
      </c>
      <c r="C20" s="166"/>
      <c r="D20" s="174">
        <v>1183409.1345571401</v>
      </c>
      <c r="E20" s="112"/>
      <c r="F20" s="172">
        <v>104041.63313154</v>
      </c>
      <c r="G20" s="172">
        <v>9.0444649099000003</v>
      </c>
      <c r="H20" s="113"/>
      <c r="I20" s="172">
        <v>1091765.60734131</v>
      </c>
      <c r="J20" s="173">
        <v>93.117371075199998</v>
      </c>
    </row>
    <row r="21" spans="2:10" s="99" customFormat="1" ht="12.75" customHeight="1" x14ac:dyDescent="0.2">
      <c r="B21" s="95" t="s">
        <v>11</v>
      </c>
      <c r="C21" s="166"/>
      <c r="D21" s="174">
        <v>2897102.6142671299</v>
      </c>
      <c r="E21" s="112"/>
      <c r="F21" s="172">
        <v>225130.31482297601</v>
      </c>
      <c r="G21" s="172">
        <v>7.9959639101000004</v>
      </c>
      <c r="H21" s="113"/>
      <c r="I21" s="172">
        <v>2704761.91998338</v>
      </c>
      <c r="J21" s="173">
        <v>94.294729296499995</v>
      </c>
    </row>
    <row r="22" spans="2:10" s="99" customFormat="1" ht="12.75" customHeight="1" x14ac:dyDescent="0.2">
      <c r="B22" s="95" t="s">
        <v>12</v>
      </c>
      <c r="C22" s="166"/>
      <c r="D22" s="174">
        <v>527638.63046825002</v>
      </c>
      <c r="E22" s="112"/>
      <c r="F22" s="172">
        <v>54323.985472048596</v>
      </c>
      <c r="G22" s="172">
        <v>10.6964803317</v>
      </c>
      <c r="H22" s="113"/>
      <c r="I22" s="172">
        <v>479846.39890090999</v>
      </c>
      <c r="J22" s="173">
        <v>91.903914701299996</v>
      </c>
    </row>
    <row r="23" spans="2:10" s="99" customFormat="1" ht="12.75" customHeight="1" x14ac:dyDescent="0.2">
      <c r="B23" s="95" t="s">
        <v>13</v>
      </c>
      <c r="C23" s="166"/>
      <c r="D23" s="174">
        <v>1735568.1666508301</v>
      </c>
      <c r="E23" s="112"/>
      <c r="F23" s="172">
        <v>123931.859982265</v>
      </c>
      <c r="G23" s="172">
        <v>7.4337519076999996</v>
      </c>
      <c r="H23" s="113"/>
      <c r="I23" s="172">
        <v>1627068.97220063</v>
      </c>
      <c r="J23" s="173">
        <v>94.545629961399996</v>
      </c>
    </row>
    <row r="24" spans="2:10" s="99" customFormat="1" ht="12.75" customHeight="1" x14ac:dyDescent="0.2">
      <c r="B24" s="95" t="s">
        <v>14</v>
      </c>
      <c r="C24" s="166"/>
      <c r="D24" s="174">
        <v>1017562.1166715201</v>
      </c>
      <c r="E24" s="112"/>
      <c r="F24" s="172">
        <v>58926.788456261602</v>
      </c>
      <c r="G24" s="172">
        <v>6.0990667396999996</v>
      </c>
      <c r="H24" s="113"/>
      <c r="I24" s="172">
        <v>967167.99868038297</v>
      </c>
      <c r="J24" s="173">
        <v>95.669839736200004</v>
      </c>
    </row>
    <row r="25" spans="2:10" s="99" customFormat="1" ht="12.75" customHeight="1" x14ac:dyDescent="0.2">
      <c r="B25" s="95" t="s">
        <v>15</v>
      </c>
      <c r="C25" s="166"/>
      <c r="D25" s="174">
        <v>920902.37366655294</v>
      </c>
      <c r="E25" s="112"/>
      <c r="F25" s="172">
        <v>55338.622509537301</v>
      </c>
      <c r="G25" s="172">
        <v>6.2928585096000003</v>
      </c>
      <c r="H25" s="113"/>
      <c r="I25" s="172">
        <v>874278.91422581905</v>
      </c>
      <c r="J25" s="173">
        <v>95.716851560500004</v>
      </c>
    </row>
    <row r="26" spans="2:10" s="99" customFormat="1" ht="12.75" customHeight="1" x14ac:dyDescent="0.2">
      <c r="B26" s="95" t="s">
        <v>16</v>
      </c>
      <c r="C26" s="166"/>
      <c r="D26" s="174">
        <v>2483998.3571211598</v>
      </c>
      <c r="E26" s="112"/>
      <c r="F26" s="172">
        <v>328764.52994081302</v>
      </c>
      <c r="G26" s="172">
        <v>13.719613538799999</v>
      </c>
      <c r="H26" s="113"/>
      <c r="I26" s="172">
        <v>2184454.4726802902</v>
      </c>
      <c r="J26" s="173">
        <v>88.990332456499999</v>
      </c>
    </row>
    <row r="27" spans="2:10" s="99" customFormat="1" ht="12.75" customHeight="1" x14ac:dyDescent="0.2">
      <c r="B27" s="95" t="s">
        <v>17</v>
      </c>
      <c r="C27" s="166"/>
      <c r="D27" s="174">
        <v>5054660.5490781898</v>
      </c>
      <c r="E27" s="112"/>
      <c r="F27" s="172">
        <v>266195.56805052102</v>
      </c>
      <c r="G27" s="172">
        <v>5.4918814798</v>
      </c>
      <c r="H27" s="113"/>
      <c r="I27" s="172">
        <v>4821963.8821071703</v>
      </c>
      <c r="J27" s="173">
        <v>96.279697404499998</v>
      </c>
    </row>
    <row r="28" spans="2:10" s="99" customFormat="1" ht="12.75" customHeight="1" x14ac:dyDescent="0.2">
      <c r="B28" s="95" t="s">
        <v>18</v>
      </c>
      <c r="C28" s="166"/>
      <c r="D28" s="174">
        <v>1421120.2592841201</v>
      </c>
      <c r="E28" s="112"/>
      <c r="F28" s="172">
        <v>114273.6932333</v>
      </c>
      <c r="G28" s="172">
        <v>8.4318943130000008</v>
      </c>
      <c r="H28" s="113"/>
      <c r="I28" s="172">
        <v>1319892.75784791</v>
      </c>
      <c r="J28" s="173">
        <v>94.037546901400006</v>
      </c>
    </row>
    <row r="29" spans="2:10" s="99" customFormat="1" ht="12.75" customHeight="1" x14ac:dyDescent="0.2">
      <c r="B29" s="95" t="s">
        <v>19</v>
      </c>
      <c r="C29" s="166"/>
      <c r="D29" s="174">
        <v>627748.33876353304</v>
      </c>
      <c r="E29" s="112"/>
      <c r="F29" s="172">
        <v>31486.6379723793</v>
      </c>
      <c r="G29" s="172">
        <v>5.3139726848000004</v>
      </c>
      <c r="H29" s="113"/>
      <c r="I29" s="172">
        <v>601208.27315691602</v>
      </c>
      <c r="J29" s="173">
        <v>96.415745360100004</v>
      </c>
    </row>
    <row r="30" spans="2:10" s="99" customFormat="1" ht="12.75" customHeight="1" x14ac:dyDescent="0.2">
      <c r="B30" s="95" t="s">
        <v>20</v>
      </c>
      <c r="C30" s="166"/>
      <c r="D30" s="174">
        <v>381663.89671007101</v>
      </c>
      <c r="E30" s="112"/>
      <c r="F30" s="172">
        <v>46263.463231896501</v>
      </c>
      <c r="G30" s="172">
        <v>12.5596206328</v>
      </c>
      <c r="H30" s="113"/>
      <c r="I30" s="172">
        <v>340181.22090370499</v>
      </c>
      <c r="J30" s="173">
        <v>90.526307768199999</v>
      </c>
    </row>
    <row r="31" spans="2:10" s="99" customFormat="1" ht="12.75" customHeight="1" x14ac:dyDescent="0.2">
      <c r="B31" s="95" t="s">
        <v>21</v>
      </c>
      <c r="C31" s="166"/>
      <c r="D31" s="174">
        <v>1780871.48777301</v>
      </c>
      <c r="E31" s="112"/>
      <c r="F31" s="172">
        <v>237017.64706689701</v>
      </c>
      <c r="G31" s="172">
        <v>13.8649122306</v>
      </c>
      <c r="H31" s="113"/>
      <c r="I31" s="172">
        <v>1565479.7073798301</v>
      </c>
      <c r="J31" s="173">
        <v>88.954254314600007</v>
      </c>
    </row>
    <row r="32" spans="2:10" s="99" customFormat="1" ht="12.75" customHeight="1" x14ac:dyDescent="0.2">
      <c r="B32" s="95" t="s">
        <v>22</v>
      </c>
      <c r="C32" s="166"/>
      <c r="D32" s="174">
        <v>1245500.4199966399</v>
      </c>
      <c r="E32" s="112"/>
      <c r="F32" s="172">
        <v>90007.7017788472</v>
      </c>
      <c r="G32" s="172">
        <v>7.6214243115000002</v>
      </c>
      <c r="H32" s="113"/>
      <c r="I32" s="172">
        <v>1164232.14171706</v>
      </c>
      <c r="J32" s="173">
        <v>94.641369644199997</v>
      </c>
    </row>
    <row r="33" spans="2:11" s="99" customFormat="1" ht="12.75" customHeight="1" x14ac:dyDescent="0.2">
      <c r="B33" s="95" t="s">
        <v>23</v>
      </c>
      <c r="C33" s="166"/>
      <c r="D33" s="174">
        <v>1878568.5074994301</v>
      </c>
      <c r="E33" s="112"/>
      <c r="F33" s="172">
        <v>90676.034300695203</v>
      </c>
      <c r="G33" s="172">
        <v>5.0447042788000003</v>
      </c>
      <c r="H33" s="113"/>
      <c r="I33" s="172">
        <v>1797888.6300589701</v>
      </c>
      <c r="J33" s="173">
        <v>96.469152892500006</v>
      </c>
    </row>
    <row r="34" spans="2:11" s="99" customFormat="1" ht="12.75" customHeight="1" x14ac:dyDescent="0.2">
      <c r="B34" s="95" t="s">
        <v>24</v>
      </c>
      <c r="C34" s="166"/>
      <c r="D34" s="174">
        <v>734981.74614695006</v>
      </c>
      <c r="E34" s="112"/>
      <c r="F34" s="172">
        <v>85570.734142907997</v>
      </c>
      <c r="G34" s="172">
        <v>12.5080274027</v>
      </c>
      <c r="H34" s="113"/>
      <c r="I34" s="172">
        <v>659987.33282425499</v>
      </c>
      <c r="J34" s="173">
        <v>91.188081206099994</v>
      </c>
    </row>
    <row r="35" spans="2:11" s="99" customFormat="1" ht="12.75" customHeight="1" x14ac:dyDescent="0.2">
      <c r="B35" s="95" t="s">
        <v>25</v>
      </c>
      <c r="C35" s="166"/>
      <c r="D35" s="174">
        <v>600137.22251331795</v>
      </c>
      <c r="E35" s="112"/>
      <c r="F35" s="172">
        <v>62988.1880815228</v>
      </c>
      <c r="G35" s="172">
        <v>11.1647766876</v>
      </c>
      <c r="H35" s="113"/>
      <c r="I35" s="172">
        <v>543642.19470623601</v>
      </c>
      <c r="J35" s="173">
        <v>91.509112595999994</v>
      </c>
    </row>
    <row r="36" spans="2:11" s="99" customFormat="1" ht="12.75" customHeight="1" x14ac:dyDescent="0.2">
      <c r="B36" s="95" t="s">
        <v>26</v>
      </c>
      <c r="C36" s="166"/>
      <c r="D36" s="174">
        <v>817526.879180199</v>
      </c>
      <c r="E36" s="112"/>
      <c r="F36" s="172">
        <v>61640.9480556282</v>
      </c>
      <c r="G36" s="172">
        <v>7.7651326578999997</v>
      </c>
      <c r="H36" s="113"/>
      <c r="I36" s="172">
        <v>763087.24855153204</v>
      </c>
      <c r="J36" s="173">
        <v>94.180535227899995</v>
      </c>
    </row>
    <row r="37" spans="2:11" s="99" customFormat="1" ht="12.75" customHeight="1" x14ac:dyDescent="0.2">
      <c r="B37" s="95" t="s">
        <v>27</v>
      </c>
      <c r="C37" s="166"/>
      <c r="D37" s="174">
        <v>902796.49187201704</v>
      </c>
      <c r="E37" s="112"/>
      <c r="F37" s="172">
        <v>74913.742730857804</v>
      </c>
      <c r="G37" s="172">
        <v>8.5918982476999997</v>
      </c>
      <c r="H37" s="113"/>
      <c r="I37" s="172">
        <v>837206.95467874699</v>
      </c>
      <c r="J37" s="173">
        <v>93.565032980500007</v>
      </c>
    </row>
    <row r="38" spans="2:11" s="99" customFormat="1" ht="12.75" customHeight="1" x14ac:dyDescent="0.2">
      <c r="B38" s="95" t="s">
        <v>28</v>
      </c>
      <c r="C38" s="166"/>
      <c r="D38" s="174">
        <v>926137.98080278398</v>
      </c>
      <c r="E38" s="112"/>
      <c r="F38" s="172">
        <v>133599.97863606899</v>
      </c>
      <c r="G38" s="172">
        <v>15.128110618399999</v>
      </c>
      <c r="H38" s="113"/>
      <c r="I38" s="172">
        <v>805404.56672756502</v>
      </c>
      <c r="J38" s="173">
        <v>87.960559760899997</v>
      </c>
    </row>
    <row r="39" spans="2:11" s="99" customFormat="1" ht="12.75" customHeight="1" x14ac:dyDescent="0.2">
      <c r="B39" s="95" t="s">
        <v>29</v>
      </c>
      <c r="C39" s="166"/>
      <c r="D39" s="174">
        <v>736706.96971333702</v>
      </c>
      <c r="E39" s="112"/>
      <c r="F39" s="172">
        <v>63447.640384887301</v>
      </c>
      <c r="G39" s="172">
        <v>9.0284192483000005</v>
      </c>
      <c r="H39" s="113"/>
      <c r="I39" s="172">
        <v>680120.16769562697</v>
      </c>
      <c r="J39" s="173">
        <v>93.495631773300005</v>
      </c>
    </row>
    <row r="40" spans="2:11" s="99" customFormat="1" ht="12.75" customHeight="1" x14ac:dyDescent="0.2">
      <c r="B40" s="95" t="s">
        <v>30</v>
      </c>
      <c r="C40" s="166"/>
      <c r="D40" s="174">
        <v>1094914.93288661</v>
      </c>
      <c r="E40" s="112"/>
      <c r="F40" s="172">
        <v>122136.16232119899</v>
      </c>
      <c r="G40" s="172">
        <v>11.5170330274</v>
      </c>
      <c r="H40" s="113"/>
      <c r="I40" s="172">
        <v>987819.03503464104</v>
      </c>
      <c r="J40" s="173">
        <v>91.258267315300003</v>
      </c>
    </row>
    <row r="41" spans="2:11" s="99" customFormat="1" ht="12.75" customHeight="1" x14ac:dyDescent="0.2">
      <c r="B41" s="95" t="s">
        <v>31</v>
      </c>
      <c r="C41" s="166"/>
      <c r="D41" s="174">
        <v>363491.93326020997</v>
      </c>
      <c r="E41" s="112"/>
      <c r="F41" s="172">
        <v>13624.9965663808</v>
      </c>
      <c r="G41" s="172">
        <v>3.9164522713999999</v>
      </c>
      <c r="H41" s="113"/>
      <c r="I41" s="172">
        <v>352346.86771364999</v>
      </c>
      <c r="J41" s="173">
        <v>97.527915427400004</v>
      </c>
    </row>
    <row r="42" spans="2:11" s="99" customFormat="1" ht="12.75" customHeight="1" x14ac:dyDescent="0.2">
      <c r="B42" s="95" t="s">
        <v>32</v>
      </c>
      <c r="C42" s="166"/>
      <c r="D42" s="174">
        <v>2525789.6972755301</v>
      </c>
      <c r="E42" s="112"/>
      <c r="F42" s="172">
        <v>162421.586808172</v>
      </c>
      <c r="G42" s="172">
        <v>6.7555173401999999</v>
      </c>
      <c r="H42" s="113"/>
      <c r="I42" s="172">
        <v>2386314.2460007598</v>
      </c>
      <c r="J42" s="173">
        <v>95.275205106599998</v>
      </c>
    </row>
    <row r="43" spans="2:11" s="99" customFormat="1" ht="12.75" customHeight="1" x14ac:dyDescent="0.2">
      <c r="B43" s="95" t="s">
        <v>33</v>
      </c>
      <c r="C43" s="166"/>
      <c r="D43" s="174">
        <v>721498.47774716397</v>
      </c>
      <c r="E43" s="112"/>
      <c r="F43" s="172">
        <v>98153.080598612607</v>
      </c>
      <c r="G43" s="172">
        <v>14.1572477065</v>
      </c>
      <c r="H43" s="113"/>
      <c r="I43" s="172">
        <v>630511.46168842504</v>
      </c>
      <c r="J43" s="173">
        <v>88.694850908299998</v>
      </c>
    </row>
    <row r="44" spans="2:11" s="99" customFormat="1" ht="12.75" customHeight="1" x14ac:dyDescent="0.2">
      <c r="B44" s="95" t="s">
        <v>34</v>
      </c>
      <c r="C44" s="166"/>
      <c r="D44" s="174">
        <v>489707.37134553498</v>
      </c>
      <c r="E44" s="112"/>
      <c r="F44" s="172">
        <v>51301.158630379199</v>
      </c>
      <c r="G44" s="172">
        <v>10.9632788713</v>
      </c>
      <c r="H44" s="113"/>
      <c r="I44" s="172">
        <v>444065.65059187601</v>
      </c>
      <c r="J44" s="173">
        <v>92.053388115600001</v>
      </c>
    </row>
    <row r="45" spans="2:11" s="19" customFormat="1" ht="6" customHeight="1" x14ac:dyDescent="0.2">
      <c r="B45" s="15"/>
      <c r="C45" s="16"/>
      <c r="D45" s="138"/>
      <c r="E45" s="138"/>
      <c r="F45" s="138"/>
      <c r="G45" s="138"/>
      <c r="H45" s="138"/>
      <c r="I45" s="138"/>
      <c r="J45" s="138"/>
      <c r="K45" s="18"/>
    </row>
    <row r="46" spans="2:11" s="19" customFormat="1" ht="6" customHeight="1" x14ac:dyDescent="0.2">
      <c r="B46" s="18"/>
      <c r="C46" s="18"/>
      <c r="D46" s="167"/>
      <c r="E46" s="167"/>
      <c r="F46" s="167"/>
      <c r="G46" s="167"/>
      <c r="H46" s="167"/>
      <c r="I46" s="167"/>
      <c r="J46" s="167"/>
      <c r="K46" s="18"/>
    </row>
    <row r="47" spans="2:11" x14ac:dyDescent="0.2">
      <c r="B47" s="109" t="s">
        <v>57</v>
      </c>
    </row>
  </sheetData>
  <mergeCells count="6">
    <mergeCell ref="B5:I5"/>
    <mergeCell ref="B7:B9"/>
    <mergeCell ref="D7:D9"/>
    <mergeCell ref="F7:J7"/>
    <mergeCell ref="F8:G8"/>
    <mergeCell ref="I8:J8"/>
  </mergeCells>
  <hyperlinks>
    <hyperlink ref="J1" location="Índice!A1" tooltip="Ir a ÍNDICE" display="INDICE" xr:uid="{14D32B9D-B23D-478F-8986-53E2A3C11509}"/>
  </hyperlink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CB2702-1853-4DA1-B60E-E3069C0E811D}">
  <dimension ref="B1:S18"/>
  <sheetViews>
    <sheetView showGridLines="0" zoomScaleNormal="100" workbookViewId="0"/>
  </sheetViews>
  <sheetFormatPr baseColWidth="10" defaultColWidth="9.140625" defaultRowHeight="14.25" x14ac:dyDescent="0.2"/>
  <cols>
    <col min="1" max="1" width="1.7109375" style="13" customWidth="1"/>
    <col min="2" max="2" width="32.5703125" style="13" customWidth="1"/>
    <col min="3" max="3" width="1.7109375" style="13" customWidth="1"/>
    <col min="4" max="4" width="17.7109375" style="13" customWidth="1"/>
    <col min="5" max="5" width="1.7109375" style="13" customWidth="1"/>
    <col min="6" max="6" width="17.7109375" style="13" customWidth="1"/>
    <col min="7" max="7" width="1.7109375" style="13" customWidth="1"/>
    <col min="8" max="8" width="17.7109375" style="13" customWidth="1"/>
    <col min="9" max="16384" width="9.140625" style="13"/>
  </cols>
  <sheetData>
    <row r="1" spans="2:19" s="58" customFormat="1" ht="12" customHeight="1" x14ac:dyDescent="0.2">
      <c r="B1" s="639" t="s">
        <v>202</v>
      </c>
      <c r="C1" s="199"/>
      <c r="H1" s="72" t="s">
        <v>151</v>
      </c>
    </row>
    <row r="2" spans="2:19" s="58" customFormat="1" ht="6.95" customHeight="1" x14ac:dyDescent="0.2">
      <c r="B2" s="639"/>
      <c r="C2" s="199"/>
    </row>
    <row r="3" spans="2:19" s="58" customFormat="1" ht="12.75" x14ac:dyDescent="0.2">
      <c r="B3" s="639" t="s">
        <v>199</v>
      </c>
      <c r="C3" s="199"/>
      <c r="D3" s="199"/>
      <c r="E3" s="199"/>
      <c r="F3" s="199"/>
      <c r="G3" s="199"/>
      <c r="H3" s="199"/>
      <c r="I3" s="199"/>
      <c r="J3" s="199"/>
      <c r="K3" s="199"/>
      <c r="L3" s="199"/>
      <c r="M3" s="199"/>
      <c r="N3" s="199"/>
      <c r="O3" s="199"/>
      <c r="P3" s="199"/>
      <c r="Q3" s="199"/>
      <c r="R3" s="199"/>
      <c r="S3" s="199"/>
    </row>
    <row r="4" spans="2:19" s="58" customFormat="1" ht="6.95" customHeight="1" x14ac:dyDescent="0.2"/>
    <row r="5" spans="2:19" s="58" customFormat="1" ht="25.5" customHeight="1" x14ac:dyDescent="0.2">
      <c r="B5" s="667" t="s">
        <v>103</v>
      </c>
      <c r="C5" s="667"/>
      <c r="D5" s="667"/>
      <c r="E5" s="667"/>
      <c r="F5" s="667"/>
      <c r="G5" s="200"/>
      <c r="H5" s="71" t="s">
        <v>102</v>
      </c>
    </row>
    <row r="6" spans="2:19" ht="6" customHeight="1" x14ac:dyDescent="0.2">
      <c r="B6" s="201"/>
      <c r="C6" s="201"/>
      <c r="D6" s="202"/>
      <c r="E6" s="202"/>
      <c r="F6" s="202"/>
      <c r="G6" s="202"/>
      <c r="H6" s="159"/>
    </row>
    <row r="7" spans="2:19" ht="16.5" customHeight="1" x14ac:dyDescent="0.2">
      <c r="B7" s="668" t="s">
        <v>55</v>
      </c>
      <c r="C7" s="187"/>
      <c r="D7" s="670" t="s">
        <v>85</v>
      </c>
      <c r="E7" s="189"/>
      <c r="F7" s="672" t="s">
        <v>83</v>
      </c>
      <c r="G7" s="191"/>
      <c r="H7" s="663" t="s">
        <v>84</v>
      </c>
    </row>
    <row r="8" spans="2:19" ht="23.25" customHeight="1" x14ac:dyDescent="0.2">
      <c r="B8" s="669"/>
      <c r="C8" s="188"/>
      <c r="D8" s="671"/>
      <c r="E8" s="190"/>
      <c r="F8" s="673"/>
      <c r="G8" s="192"/>
      <c r="H8" s="665"/>
    </row>
    <row r="9" spans="2:19" s="19" customFormat="1" ht="6" customHeight="1" x14ac:dyDescent="0.2">
      <c r="B9" s="18"/>
      <c r="C9" s="18"/>
      <c r="D9" s="167"/>
      <c r="E9" s="167"/>
      <c r="F9" s="167"/>
      <c r="G9" s="167"/>
      <c r="H9" s="167"/>
      <c r="I9" s="18"/>
    </row>
    <row r="10" spans="2:19" s="98" customFormat="1" ht="11.25" x14ac:dyDescent="0.2">
      <c r="B10" s="102" t="s">
        <v>35</v>
      </c>
      <c r="C10" s="103"/>
      <c r="D10" s="206">
        <v>2856877.4254801902</v>
      </c>
      <c r="E10" s="133"/>
      <c r="F10" s="206">
        <v>2454855.23581556</v>
      </c>
      <c r="G10" s="133"/>
      <c r="H10" s="206">
        <v>432134.20503640297</v>
      </c>
      <c r="I10" s="103"/>
      <c r="J10" s="103"/>
      <c r="K10" s="103"/>
    </row>
    <row r="11" spans="2:19" s="99" customFormat="1" ht="6" customHeight="1" x14ac:dyDescent="0.2">
      <c r="B11" s="203"/>
      <c r="C11" s="104"/>
      <c r="D11" s="134"/>
      <c r="E11" s="134"/>
      <c r="F11" s="134"/>
      <c r="G11" s="134"/>
      <c r="H11" s="134"/>
      <c r="I11" s="104"/>
      <c r="J11" s="104"/>
      <c r="K11" s="104"/>
    </row>
    <row r="12" spans="2:19" s="99" customFormat="1" ht="15" customHeight="1" x14ac:dyDescent="0.2">
      <c r="B12" s="184" t="s">
        <v>36</v>
      </c>
      <c r="C12" s="104"/>
      <c r="D12" s="205">
        <v>378314.35051305901</v>
      </c>
      <c r="E12" s="134"/>
      <c r="F12" s="205">
        <v>340983.72867922101</v>
      </c>
      <c r="G12" s="134"/>
      <c r="H12" s="205">
        <v>45315.191957606803</v>
      </c>
      <c r="I12" s="104"/>
      <c r="J12" s="104"/>
      <c r="K12" s="104"/>
    </row>
    <row r="13" spans="2:19" s="104" customFormat="1" ht="15" customHeight="1" x14ac:dyDescent="0.2">
      <c r="B13" s="184" t="s">
        <v>37</v>
      </c>
      <c r="C13" s="184"/>
      <c r="D13" s="208">
        <v>315803.73652888002</v>
      </c>
      <c r="E13" s="135"/>
      <c r="F13" s="204">
        <v>265141.34788822301</v>
      </c>
      <c r="G13" s="136"/>
      <c r="H13" s="207">
        <v>60669.3050169899</v>
      </c>
    </row>
    <row r="14" spans="2:19" s="104" customFormat="1" ht="15" customHeight="1" x14ac:dyDescent="0.2">
      <c r="B14" s="186" t="s">
        <v>38</v>
      </c>
      <c r="C14" s="186"/>
      <c r="D14" s="208">
        <v>511998.00946244597</v>
      </c>
      <c r="E14" s="135"/>
      <c r="F14" s="204">
        <v>445151.82460655301</v>
      </c>
      <c r="G14" s="136"/>
      <c r="H14" s="207">
        <v>80893.533969489901</v>
      </c>
    </row>
    <row r="15" spans="2:19" s="104" customFormat="1" ht="15" customHeight="1" x14ac:dyDescent="0.2">
      <c r="B15" s="186" t="s">
        <v>56</v>
      </c>
      <c r="C15" s="186"/>
      <c r="D15" s="208">
        <v>1731814.59804732</v>
      </c>
      <c r="E15" s="135"/>
      <c r="F15" s="204">
        <v>1481060.24181514</v>
      </c>
      <c r="G15" s="136"/>
      <c r="H15" s="207">
        <v>273973.52124037198</v>
      </c>
    </row>
    <row r="16" spans="2:19" s="19" customFormat="1" ht="6" customHeight="1" x14ac:dyDescent="0.2">
      <c r="B16" s="15"/>
      <c r="C16" s="16"/>
      <c r="D16" s="17"/>
      <c r="E16" s="17"/>
      <c r="F16" s="17"/>
      <c r="G16" s="17"/>
      <c r="H16" s="17"/>
      <c r="I16" s="18"/>
    </row>
    <row r="17" spans="2:9" s="19" customFormat="1" ht="6" customHeight="1" x14ac:dyDescent="0.2">
      <c r="B17" s="18"/>
      <c r="C17" s="18"/>
      <c r="D17" s="167"/>
      <c r="E17" s="167"/>
      <c r="F17" s="167"/>
      <c r="G17" s="167"/>
      <c r="H17" s="167"/>
      <c r="I17" s="18"/>
    </row>
    <row r="18" spans="2:9" x14ac:dyDescent="0.2">
      <c r="B18" s="109" t="s">
        <v>57</v>
      </c>
    </row>
  </sheetData>
  <mergeCells count="5">
    <mergeCell ref="B5:F5"/>
    <mergeCell ref="B7:B8"/>
    <mergeCell ref="D7:D8"/>
    <mergeCell ref="F7:F8"/>
    <mergeCell ref="H7:H8"/>
  </mergeCells>
  <hyperlinks>
    <hyperlink ref="H1" location="Índice!A1" tooltip="Ir a ÍNDICE" display="INDICE" xr:uid="{1010691B-323D-4012-B124-5B8A0A398C80}"/>
  </hyperlink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12A929-42C9-4B69-8F17-95110DD5346C}">
  <dimension ref="B1:S46"/>
  <sheetViews>
    <sheetView showGridLines="0" zoomScaleNormal="100" workbookViewId="0"/>
  </sheetViews>
  <sheetFormatPr baseColWidth="10" defaultColWidth="9.140625" defaultRowHeight="14.25" x14ac:dyDescent="0.2"/>
  <cols>
    <col min="1" max="1" width="1.7109375" style="13" customWidth="1"/>
    <col min="2" max="2" width="32.5703125" style="13" customWidth="1"/>
    <col min="3" max="3" width="1.7109375" style="13" customWidth="1"/>
    <col min="4" max="4" width="17.7109375" style="13" customWidth="1"/>
    <col min="5" max="5" width="1.7109375" style="13" customWidth="1"/>
    <col min="6" max="6" width="16.28515625" style="13" customWidth="1"/>
    <col min="7" max="7" width="1.7109375" style="13" customWidth="1"/>
    <col min="8" max="8" width="17.7109375" style="13" customWidth="1"/>
    <col min="9" max="16384" width="9.140625" style="13"/>
  </cols>
  <sheetData>
    <row r="1" spans="2:19" s="58" customFormat="1" ht="12" customHeight="1" x14ac:dyDescent="0.2">
      <c r="B1" s="639" t="s">
        <v>202</v>
      </c>
      <c r="C1" s="211"/>
      <c r="H1" s="72" t="s">
        <v>151</v>
      </c>
    </row>
    <row r="2" spans="2:19" s="58" customFormat="1" ht="6.95" customHeight="1" x14ac:dyDescent="0.2">
      <c r="B2" s="639"/>
      <c r="C2" s="211"/>
    </row>
    <row r="3" spans="2:19" s="58" customFormat="1" ht="12.75" x14ac:dyDescent="0.2">
      <c r="B3" s="639" t="s">
        <v>199</v>
      </c>
      <c r="C3" s="211"/>
      <c r="D3" s="211"/>
      <c r="E3" s="211"/>
      <c r="F3" s="211"/>
      <c r="G3" s="211"/>
      <c r="H3" s="211"/>
      <c r="I3" s="211"/>
      <c r="J3" s="211"/>
      <c r="K3" s="211"/>
      <c r="L3" s="211"/>
      <c r="M3" s="211"/>
      <c r="N3" s="211"/>
      <c r="O3" s="211"/>
      <c r="P3" s="211"/>
      <c r="Q3" s="211"/>
      <c r="R3" s="211"/>
      <c r="S3" s="211"/>
    </row>
    <row r="4" spans="2:19" s="58" customFormat="1" ht="6.95" customHeight="1" x14ac:dyDescent="0.2"/>
    <row r="5" spans="2:19" s="58" customFormat="1" ht="25.5" customHeight="1" x14ac:dyDescent="0.2">
      <c r="B5" s="667" t="s">
        <v>104</v>
      </c>
      <c r="C5" s="667"/>
      <c r="D5" s="667"/>
      <c r="E5" s="667"/>
      <c r="F5" s="667"/>
      <c r="G5" s="198"/>
      <c r="H5" s="71" t="s">
        <v>105</v>
      </c>
    </row>
    <row r="6" spans="2:19" ht="6" customHeight="1" x14ac:dyDescent="0.2">
      <c r="B6" s="157"/>
      <c r="C6" s="157"/>
      <c r="D6" s="158"/>
      <c r="E6" s="158"/>
      <c r="F6" s="158"/>
      <c r="G6" s="158"/>
      <c r="H6" s="159"/>
    </row>
    <row r="7" spans="2:19" ht="16.5" customHeight="1" x14ac:dyDescent="0.2">
      <c r="B7" s="660" t="s">
        <v>76</v>
      </c>
      <c r="C7" s="194"/>
      <c r="D7" s="663" t="s">
        <v>85</v>
      </c>
      <c r="E7" s="196"/>
      <c r="F7" s="663" t="s">
        <v>83</v>
      </c>
      <c r="G7" s="196"/>
      <c r="H7" s="663" t="s">
        <v>84</v>
      </c>
    </row>
    <row r="8" spans="2:19" ht="23.25" customHeight="1" x14ac:dyDescent="0.2">
      <c r="B8" s="662"/>
      <c r="C8" s="195"/>
      <c r="D8" s="665"/>
      <c r="E8" s="197"/>
      <c r="F8" s="665"/>
      <c r="G8" s="197"/>
      <c r="H8" s="665"/>
    </row>
    <row r="9" spans="2:19" s="19" customFormat="1" ht="6" customHeight="1" x14ac:dyDescent="0.2">
      <c r="B9" s="162"/>
      <c r="C9" s="162"/>
      <c r="D9" s="27"/>
      <c r="E9" s="27"/>
      <c r="F9" s="27"/>
      <c r="G9" s="27"/>
      <c r="H9" s="27"/>
      <c r="I9" s="14"/>
      <c r="J9" s="14"/>
      <c r="K9" s="14"/>
      <c r="L9" s="14"/>
    </row>
    <row r="10" spans="2:19" s="98" customFormat="1" ht="11.25" x14ac:dyDescent="0.2">
      <c r="B10" s="97" t="s">
        <v>35</v>
      </c>
      <c r="C10" s="164"/>
      <c r="D10" s="148">
        <v>2856877.4254801902</v>
      </c>
      <c r="E10" s="114"/>
      <c r="F10" s="148">
        <v>2454855.23581556</v>
      </c>
      <c r="G10" s="114"/>
      <c r="H10" s="148">
        <v>432134.20503640297</v>
      </c>
    </row>
    <row r="11" spans="2:19" s="99" customFormat="1" ht="6" customHeight="1" x14ac:dyDescent="0.2">
      <c r="B11" s="164"/>
      <c r="C11" s="164"/>
      <c r="D11" s="115"/>
      <c r="E11" s="115"/>
      <c r="F11" s="115"/>
      <c r="G11" s="115"/>
      <c r="H11" s="115"/>
    </row>
    <row r="12" spans="2:19" s="99" customFormat="1" ht="12.75" customHeight="1" x14ac:dyDescent="0.2">
      <c r="B12" s="95" t="s">
        <v>3</v>
      </c>
      <c r="C12" s="165"/>
      <c r="D12" s="150">
        <v>52940.321904667901</v>
      </c>
      <c r="E12" s="115"/>
      <c r="F12" s="150">
        <v>38875.084181094098</v>
      </c>
      <c r="G12" s="115"/>
      <c r="H12" s="150">
        <v>16623.5911872131</v>
      </c>
    </row>
    <row r="13" spans="2:19" s="99" customFormat="1" ht="12.75" customHeight="1" x14ac:dyDescent="0.2">
      <c r="B13" s="95" t="s">
        <v>4</v>
      </c>
      <c r="C13" s="165"/>
      <c r="D13" s="150">
        <v>129326.760184168</v>
      </c>
      <c r="E13" s="115"/>
      <c r="F13" s="150">
        <v>112505.61170204599</v>
      </c>
      <c r="G13" s="115"/>
      <c r="H13" s="150">
        <v>21781.478839570998</v>
      </c>
    </row>
    <row r="14" spans="2:19" s="99" customFormat="1" ht="12.75" customHeight="1" x14ac:dyDescent="0.2">
      <c r="B14" s="95" t="s">
        <v>5</v>
      </c>
      <c r="C14" s="165"/>
      <c r="D14" s="150">
        <v>25493.199274779399</v>
      </c>
      <c r="E14" s="115"/>
      <c r="F14" s="150">
        <v>21283.388288082799</v>
      </c>
      <c r="G14" s="115"/>
      <c r="H14" s="150">
        <v>5338.9824715483001</v>
      </c>
    </row>
    <row r="15" spans="2:19" s="99" customFormat="1" ht="12.75" customHeight="1" x14ac:dyDescent="0.2">
      <c r="B15" s="95" t="s">
        <v>6</v>
      </c>
      <c r="C15" s="165"/>
      <c r="D15" s="171">
        <v>23954.023342415399</v>
      </c>
      <c r="E15" s="110"/>
      <c r="F15" s="169">
        <v>17519.802953013899</v>
      </c>
      <c r="G15" s="111"/>
      <c r="H15" s="170">
        <v>7835.8490963120003</v>
      </c>
    </row>
    <row r="16" spans="2:19" s="99" customFormat="1" ht="12.75" customHeight="1" x14ac:dyDescent="0.2">
      <c r="B16" s="95" t="s">
        <v>7</v>
      </c>
      <c r="C16" s="165"/>
      <c r="D16" s="171">
        <v>87397.2418386473</v>
      </c>
      <c r="E16" s="110"/>
      <c r="F16" s="169">
        <v>68153.910787428002</v>
      </c>
      <c r="G16" s="111"/>
      <c r="H16" s="170">
        <v>22879.6490470805</v>
      </c>
    </row>
    <row r="17" spans="2:8" s="99" customFormat="1" ht="12.75" customHeight="1" x14ac:dyDescent="0.2">
      <c r="B17" s="95" t="s">
        <v>8</v>
      </c>
      <c r="C17" s="165"/>
      <c r="D17" s="171">
        <v>30192.4436344198</v>
      </c>
      <c r="E17" s="110"/>
      <c r="F17" s="169">
        <v>25949.3876694106</v>
      </c>
      <c r="G17" s="111"/>
      <c r="H17" s="170">
        <v>5089.6604084346</v>
      </c>
    </row>
    <row r="18" spans="2:8" s="99" customFormat="1" ht="12.75" customHeight="1" x14ac:dyDescent="0.2">
      <c r="B18" s="95" t="s">
        <v>9</v>
      </c>
      <c r="C18" s="165"/>
      <c r="D18" s="171">
        <v>86949.853677493098</v>
      </c>
      <c r="E18" s="110"/>
      <c r="F18" s="169">
        <v>80949.960403370802</v>
      </c>
      <c r="G18" s="111"/>
      <c r="H18" s="170">
        <v>8973.9764158424005</v>
      </c>
    </row>
    <row r="19" spans="2:8" s="99" customFormat="1" ht="12.75" customHeight="1" x14ac:dyDescent="0.2">
      <c r="B19" s="95" t="s">
        <v>10</v>
      </c>
      <c r="C19" s="165"/>
      <c r="D19" s="171">
        <v>104041.63313154</v>
      </c>
      <c r="E19" s="110"/>
      <c r="F19" s="169">
        <v>92630.212546905095</v>
      </c>
      <c r="G19" s="111"/>
      <c r="H19" s="170">
        <v>15839.818078206599</v>
      </c>
    </row>
    <row r="20" spans="2:8" s="99" customFormat="1" ht="12.75" customHeight="1" x14ac:dyDescent="0.2">
      <c r="B20" s="95" t="s">
        <v>11</v>
      </c>
      <c r="C20" s="165"/>
      <c r="D20" s="171">
        <v>225130.31482297601</v>
      </c>
      <c r="E20" s="110"/>
      <c r="F20" s="169">
        <v>202419.277897647</v>
      </c>
      <c r="G20" s="111"/>
      <c r="H20" s="170">
        <v>32267.263666522798</v>
      </c>
    </row>
    <row r="21" spans="2:8" s="99" customFormat="1" ht="12.75" customHeight="1" x14ac:dyDescent="0.2">
      <c r="B21" s="95" t="s">
        <v>12</v>
      </c>
      <c r="C21" s="165"/>
      <c r="D21" s="171">
        <v>54323.985472048596</v>
      </c>
      <c r="E21" s="110"/>
      <c r="F21" s="169">
        <v>47964.115262380001</v>
      </c>
      <c r="G21" s="111"/>
      <c r="H21" s="170">
        <v>8215.8702828969999</v>
      </c>
    </row>
    <row r="22" spans="2:8" s="99" customFormat="1" ht="12.75" customHeight="1" x14ac:dyDescent="0.2">
      <c r="B22" s="95" t="s">
        <v>13</v>
      </c>
      <c r="C22" s="165"/>
      <c r="D22" s="171">
        <v>123931.859982265</v>
      </c>
      <c r="E22" s="110"/>
      <c r="F22" s="169">
        <v>103503.42925038601</v>
      </c>
      <c r="G22" s="111"/>
      <c r="H22" s="170">
        <v>25684.5892842666</v>
      </c>
    </row>
    <row r="23" spans="2:8" s="99" customFormat="1" ht="12.75" customHeight="1" x14ac:dyDescent="0.2">
      <c r="B23" s="95" t="s">
        <v>14</v>
      </c>
      <c r="C23" s="165"/>
      <c r="D23" s="171">
        <v>58926.788456261602</v>
      </c>
      <c r="E23" s="110"/>
      <c r="F23" s="169">
        <v>53456.155459959198</v>
      </c>
      <c r="G23" s="111"/>
      <c r="H23" s="170">
        <v>8093.359738915</v>
      </c>
    </row>
    <row r="24" spans="2:8" s="99" customFormat="1" ht="12.75" customHeight="1" x14ac:dyDescent="0.2">
      <c r="B24" s="95" t="s">
        <v>15</v>
      </c>
      <c r="C24" s="165"/>
      <c r="D24" s="171">
        <v>55338.622509537301</v>
      </c>
      <c r="E24" s="110"/>
      <c r="F24" s="169">
        <v>45084.527072981</v>
      </c>
      <c r="G24" s="111"/>
      <c r="H24" s="170">
        <v>13168.872003717899</v>
      </c>
    </row>
    <row r="25" spans="2:8" s="99" customFormat="1" ht="12.75" customHeight="1" x14ac:dyDescent="0.2">
      <c r="B25" s="95" t="s">
        <v>16</v>
      </c>
      <c r="C25" s="165"/>
      <c r="D25" s="171">
        <v>328764.52994081302</v>
      </c>
      <c r="E25" s="110"/>
      <c r="F25" s="169">
        <v>283218.42817880498</v>
      </c>
      <c r="G25" s="111"/>
      <c r="H25" s="170">
        <v>57356.1751192515</v>
      </c>
    </row>
    <row r="26" spans="2:8" s="99" customFormat="1" ht="12.75" customHeight="1" x14ac:dyDescent="0.2">
      <c r="B26" s="95" t="s">
        <v>17</v>
      </c>
      <c r="C26" s="165"/>
      <c r="D26" s="171">
        <v>266195.56805052102</v>
      </c>
      <c r="E26" s="110"/>
      <c r="F26" s="169">
        <v>237796.29679505699</v>
      </c>
      <c r="G26" s="111"/>
      <c r="H26" s="170">
        <v>44477.759504793801</v>
      </c>
    </row>
    <row r="27" spans="2:8" s="99" customFormat="1" ht="12.75" customHeight="1" x14ac:dyDescent="0.2">
      <c r="B27" s="95" t="s">
        <v>18</v>
      </c>
      <c r="C27" s="165"/>
      <c r="D27" s="171">
        <v>114273.6932333</v>
      </c>
      <c r="E27" s="110"/>
      <c r="F27" s="169">
        <v>93733.247634908505</v>
      </c>
      <c r="G27" s="111"/>
      <c r="H27" s="170">
        <v>26800.094995749401</v>
      </c>
    </row>
    <row r="28" spans="2:8" s="99" customFormat="1" ht="12.75" customHeight="1" x14ac:dyDescent="0.2">
      <c r="B28" s="95" t="s">
        <v>19</v>
      </c>
      <c r="C28" s="165"/>
      <c r="D28" s="171">
        <v>31486.6379723793</v>
      </c>
      <c r="E28" s="110"/>
      <c r="F28" s="169">
        <v>22611.352193887898</v>
      </c>
      <c r="G28" s="111"/>
      <c r="H28" s="170">
        <v>11037.7637803626</v>
      </c>
    </row>
    <row r="29" spans="2:8" s="99" customFormat="1" ht="12.75" customHeight="1" x14ac:dyDescent="0.2">
      <c r="B29" s="95" t="s">
        <v>20</v>
      </c>
      <c r="C29" s="165"/>
      <c r="D29" s="171">
        <v>46263.463231896501</v>
      </c>
      <c r="E29" s="110"/>
      <c r="F29" s="169">
        <v>39190.240246422298</v>
      </c>
      <c r="G29" s="111"/>
      <c r="H29" s="170">
        <v>8178.4729958669996</v>
      </c>
    </row>
    <row r="30" spans="2:8" s="99" customFormat="1" ht="12.75" customHeight="1" x14ac:dyDescent="0.2">
      <c r="B30" s="95" t="s">
        <v>21</v>
      </c>
      <c r="C30" s="165"/>
      <c r="D30" s="171">
        <v>237017.64706689701</v>
      </c>
      <c r="E30" s="110"/>
      <c r="F30" s="169">
        <v>204804.564843033</v>
      </c>
      <c r="G30" s="111"/>
      <c r="H30" s="170">
        <v>41018.2677753764</v>
      </c>
    </row>
    <row r="31" spans="2:8" s="99" customFormat="1" ht="12.75" customHeight="1" x14ac:dyDescent="0.2">
      <c r="B31" s="95" t="s">
        <v>22</v>
      </c>
      <c r="C31" s="165"/>
      <c r="D31" s="171">
        <v>90007.7017788472</v>
      </c>
      <c r="E31" s="110"/>
      <c r="F31" s="169">
        <v>82167.043588287197</v>
      </c>
      <c r="G31" s="111"/>
      <c r="H31" s="170">
        <v>10995.283144564701</v>
      </c>
    </row>
    <row r="32" spans="2:8" s="99" customFormat="1" ht="12.75" customHeight="1" x14ac:dyDescent="0.2">
      <c r="B32" s="95" t="s">
        <v>23</v>
      </c>
      <c r="C32" s="165"/>
      <c r="D32" s="171">
        <v>90676.034300695203</v>
      </c>
      <c r="E32" s="110"/>
      <c r="F32" s="169">
        <v>79699.975069748602</v>
      </c>
      <c r="G32" s="111"/>
      <c r="H32" s="170">
        <v>14761.914893540599</v>
      </c>
    </row>
    <row r="33" spans="2:9" s="99" customFormat="1" ht="12.75" customHeight="1" x14ac:dyDescent="0.2">
      <c r="B33" s="95" t="s">
        <v>24</v>
      </c>
      <c r="C33" s="165"/>
      <c r="D33" s="171">
        <v>85570.734142907997</v>
      </c>
      <c r="E33" s="110"/>
      <c r="F33" s="169">
        <v>71402.3160813211</v>
      </c>
      <c r="G33" s="111"/>
      <c r="H33" s="170">
        <v>18031.477085674898</v>
      </c>
    </row>
    <row r="34" spans="2:9" s="99" customFormat="1" ht="12.75" customHeight="1" x14ac:dyDescent="0.2">
      <c r="B34" s="95" t="s">
        <v>25</v>
      </c>
      <c r="C34" s="165"/>
      <c r="D34" s="171">
        <v>62988.1880815228</v>
      </c>
      <c r="E34" s="110"/>
      <c r="F34" s="169">
        <v>56209.296931151599</v>
      </c>
      <c r="G34" s="111"/>
      <c r="H34" s="170">
        <v>9105.458151674</v>
      </c>
    </row>
    <row r="35" spans="2:9" s="99" customFormat="1" ht="12.75" customHeight="1" x14ac:dyDescent="0.2">
      <c r="B35" s="95" t="s">
        <v>26</v>
      </c>
      <c r="C35" s="165"/>
      <c r="D35" s="171">
        <v>61640.9480556282</v>
      </c>
      <c r="E35" s="110"/>
      <c r="F35" s="169">
        <v>47711.840016371403</v>
      </c>
      <c r="G35" s="111"/>
      <c r="H35" s="170">
        <v>17290.271373582698</v>
      </c>
    </row>
    <row r="36" spans="2:9" s="99" customFormat="1" ht="12.75" customHeight="1" x14ac:dyDescent="0.2">
      <c r="B36" s="95" t="s">
        <v>27</v>
      </c>
      <c r="C36" s="165"/>
      <c r="D36" s="171">
        <v>74913.742730857804</v>
      </c>
      <c r="E36" s="110"/>
      <c r="F36" s="169">
        <v>67786.011998763002</v>
      </c>
      <c r="G36" s="111"/>
      <c r="H36" s="170">
        <v>9855.7160574592999</v>
      </c>
    </row>
    <row r="37" spans="2:9" s="99" customFormat="1" ht="12.75" customHeight="1" x14ac:dyDescent="0.2">
      <c r="B37" s="95" t="s">
        <v>28</v>
      </c>
      <c r="C37" s="165"/>
      <c r="D37" s="171">
        <v>133599.97863606899</v>
      </c>
      <c r="E37" s="110"/>
      <c r="F37" s="169">
        <v>113913.63943552</v>
      </c>
      <c r="G37" s="111"/>
      <c r="H37" s="170">
        <v>24858.087856236802</v>
      </c>
    </row>
    <row r="38" spans="2:9" s="99" customFormat="1" ht="12.75" customHeight="1" x14ac:dyDescent="0.2">
      <c r="B38" s="95" t="s">
        <v>29</v>
      </c>
      <c r="C38" s="165"/>
      <c r="D38" s="171">
        <v>63447.640384887301</v>
      </c>
      <c r="E38" s="110"/>
      <c r="F38" s="169">
        <v>56687.182138301003</v>
      </c>
      <c r="G38" s="111"/>
      <c r="H38" s="170">
        <v>9014.8478447162997</v>
      </c>
    </row>
    <row r="39" spans="2:9" s="99" customFormat="1" ht="12.75" customHeight="1" x14ac:dyDescent="0.2">
      <c r="B39" s="95" t="s">
        <v>30</v>
      </c>
      <c r="C39" s="165"/>
      <c r="D39" s="171">
        <v>122136.16232119899</v>
      </c>
      <c r="E39" s="110"/>
      <c r="F39" s="169">
        <v>110138.139163859</v>
      </c>
      <c r="G39" s="111"/>
      <c r="H39" s="170">
        <v>15995.380495670601</v>
      </c>
    </row>
    <row r="40" spans="2:9" s="99" customFormat="1" ht="12.75" customHeight="1" x14ac:dyDescent="0.2">
      <c r="B40" s="95" t="s">
        <v>31</v>
      </c>
      <c r="C40" s="165"/>
      <c r="D40" s="171">
        <v>13624.9965663808</v>
      </c>
      <c r="E40" s="110"/>
      <c r="F40" s="169">
        <v>12310.840408112401</v>
      </c>
      <c r="G40" s="111"/>
      <c r="H40" s="170">
        <v>2080.5611208324999</v>
      </c>
    </row>
    <row r="41" spans="2:9" s="99" customFormat="1" ht="12.75" customHeight="1" x14ac:dyDescent="0.2">
      <c r="B41" s="95" t="s">
        <v>32</v>
      </c>
      <c r="C41" s="165"/>
      <c r="D41" s="171">
        <v>162421.586808172</v>
      </c>
      <c r="E41" s="110"/>
      <c r="F41" s="169">
        <v>148403.58983458899</v>
      </c>
      <c r="G41" s="111"/>
      <c r="H41" s="170">
        <v>20566.706563691001</v>
      </c>
    </row>
    <row r="42" spans="2:9" s="99" customFormat="1" ht="12.75" customHeight="1" x14ac:dyDescent="0.2">
      <c r="B42" s="95" t="s">
        <v>33</v>
      </c>
      <c r="C42" s="165"/>
      <c r="D42" s="171">
        <v>98153.080598612607</v>
      </c>
      <c r="E42" s="110"/>
      <c r="F42" s="169">
        <v>87690.471611845802</v>
      </c>
      <c r="G42" s="111"/>
      <c r="H42" s="170">
        <v>13549.065986597399</v>
      </c>
    </row>
    <row r="43" spans="2:9" s="99" customFormat="1" ht="12.75" customHeight="1" x14ac:dyDescent="0.2">
      <c r="B43" s="95" t="s">
        <v>34</v>
      </c>
      <c r="C43" s="165"/>
      <c r="D43" s="171">
        <v>51301.158630379199</v>
      </c>
      <c r="E43" s="110"/>
      <c r="F43" s="169">
        <v>43597.088458542603</v>
      </c>
      <c r="G43" s="111"/>
      <c r="H43" s="170">
        <v>9760.6321098402004</v>
      </c>
    </row>
    <row r="44" spans="2:9" s="19" customFormat="1" ht="6" customHeight="1" x14ac:dyDescent="0.2">
      <c r="B44" s="28"/>
      <c r="C44" s="29"/>
      <c r="D44" s="30"/>
      <c r="E44" s="30"/>
      <c r="F44" s="30"/>
      <c r="G44" s="30"/>
      <c r="H44" s="30"/>
      <c r="I44" s="18"/>
    </row>
    <row r="45" spans="2:9" s="19" customFormat="1" ht="6" customHeight="1" x14ac:dyDescent="0.2">
      <c r="B45" s="162"/>
      <c r="C45" s="162"/>
      <c r="D45" s="183"/>
      <c r="E45" s="183"/>
      <c r="F45" s="183"/>
      <c r="G45" s="183"/>
      <c r="H45" s="183"/>
      <c r="I45" s="18"/>
    </row>
    <row r="46" spans="2:9" x14ac:dyDescent="0.2">
      <c r="B46" s="109" t="s">
        <v>57</v>
      </c>
    </row>
  </sheetData>
  <mergeCells count="5">
    <mergeCell ref="B5:F5"/>
    <mergeCell ref="B7:B8"/>
    <mergeCell ref="D7:D8"/>
    <mergeCell ref="F7:F8"/>
    <mergeCell ref="H7:H8"/>
  </mergeCells>
  <hyperlinks>
    <hyperlink ref="H1" location="Índice!A1" tooltip="Ir a ÍNDICE" display="INDICE" xr:uid="{20FB845A-871F-42AD-A532-995BC4B2E89F}"/>
  </hyperlink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F4D7EF-23CD-419C-AB98-E7B0DD57D589}">
  <dimension ref="B1:S47"/>
  <sheetViews>
    <sheetView showGridLines="0" zoomScaleNormal="100" workbookViewId="0"/>
  </sheetViews>
  <sheetFormatPr baseColWidth="10" defaultColWidth="11.42578125" defaultRowHeight="15" x14ac:dyDescent="0.25"/>
  <cols>
    <col min="1" max="1" width="1.7109375" style="218" customWidth="1"/>
    <col min="2" max="2" width="31.85546875" style="218" customWidth="1"/>
    <col min="3" max="3" width="23.85546875" style="217" customWidth="1"/>
    <col min="4" max="4" width="14.5703125" style="218" customWidth="1"/>
    <col min="5" max="16384" width="11.42578125" style="218"/>
  </cols>
  <sheetData>
    <row r="1" spans="2:19" s="213" customFormat="1" ht="12" customHeight="1" x14ac:dyDescent="0.2">
      <c r="B1" s="639" t="s">
        <v>202</v>
      </c>
      <c r="D1" s="72" t="s">
        <v>151</v>
      </c>
    </row>
    <row r="2" spans="2:19" s="213" customFormat="1" ht="6.95" customHeight="1" x14ac:dyDescent="0.2">
      <c r="B2" s="639"/>
    </row>
    <row r="3" spans="2:19" s="213" customFormat="1" ht="15" customHeight="1" x14ac:dyDescent="0.2">
      <c r="B3" s="639" t="s">
        <v>199</v>
      </c>
      <c r="C3" s="212"/>
      <c r="D3" s="212"/>
      <c r="E3" s="212"/>
      <c r="F3" s="212"/>
      <c r="G3" s="212"/>
      <c r="H3" s="212"/>
      <c r="I3" s="212"/>
      <c r="J3" s="212"/>
      <c r="K3" s="212"/>
      <c r="L3" s="212"/>
      <c r="M3" s="212"/>
      <c r="N3" s="212"/>
      <c r="O3" s="212"/>
      <c r="P3" s="212"/>
      <c r="Q3" s="212"/>
      <c r="R3" s="212"/>
      <c r="S3" s="212"/>
    </row>
    <row r="4" spans="2:19" s="213" customFormat="1" ht="6.95" customHeight="1" x14ac:dyDescent="0.2">
      <c r="C4" s="214"/>
    </row>
    <row r="5" spans="2:19" s="213" customFormat="1" ht="25.5" customHeight="1" x14ac:dyDescent="0.2">
      <c r="B5" s="215" t="s">
        <v>89</v>
      </c>
      <c r="C5" s="215"/>
      <c r="D5" s="71" t="s">
        <v>106</v>
      </c>
    </row>
    <row r="6" spans="2:19" ht="6" customHeight="1" x14ac:dyDescent="0.25">
      <c r="B6" s="216"/>
    </row>
    <row r="7" spans="2:19" ht="6.95" customHeight="1" x14ac:dyDescent="0.25">
      <c r="B7" s="674" t="s">
        <v>76</v>
      </c>
      <c r="C7" s="209"/>
      <c r="D7" s="677" t="s">
        <v>90</v>
      </c>
    </row>
    <row r="8" spans="2:19" ht="24.75" customHeight="1" x14ac:dyDescent="0.25">
      <c r="B8" s="675"/>
      <c r="C8" s="219"/>
      <c r="D8" s="678"/>
    </row>
    <row r="9" spans="2:19" ht="6.95" customHeight="1" x14ac:dyDescent="0.25">
      <c r="B9" s="676"/>
      <c r="C9" s="210"/>
      <c r="D9" s="679"/>
    </row>
    <row r="10" spans="2:19" ht="6" customHeight="1" x14ac:dyDescent="0.25">
      <c r="B10" s="10"/>
      <c r="C10" s="220"/>
    </row>
    <row r="11" spans="2:19" s="222" customFormat="1" ht="11.25" x14ac:dyDescent="0.2">
      <c r="B11" s="96" t="s">
        <v>2</v>
      </c>
      <c r="C11" s="221"/>
      <c r="D11" s="231">
        <v>3374212.6941546998</v>
      </c>
    </row>
    <row r="12" spans="2:19" s="225" customFormat="1" ht="6" customHeight="1" x14ac:dyDescent="0.2">
      <c r="B12" s="96"/>
      <c r="C12" s="223"/>
      <c r="D12" s="224"/>
    </row>
    <row r="13" spans="2:19" s="225" customFormat="1" ht="12.75" customHeight="1" x14ac:dyDescent="0.2">
      <c r="B13" s="95" t="s">
        <v>3</v>
      </c>
      <c r="C13" s="223"/>
      <c r="D13" s="230">
        <v>73382.383518782503</v>
      </c>
    </row>
    <row r="14" spans="2:19" s="225" customFormat="1" ht="12.75" customHeight="1" x14ac:dyDescent="0.2">
      <c r="B14" s="95" t="s">
        <v>4</v>
      </c>
      <c r="C14" s="223"/>
      <c r="D14" s="230">
        <v>160507.97622491</v>
      </c>
    </row>
    <row r="15" spans="2:19" s="225" customFormat="1" ht="12.75" customHeight="1" x14ac:dyDescent="0.2">
      <c r="B15" s="95" t="s">
        <v>5</v>
      </c>
      <c r="C15" s="223"/>
      <c r="D15" s="230">
        <v>31093.325054106801</v>
      </c>
    </row>
    <row r="16" spans="2:19" s="225" customFormat="1" ht="12.75" customHeight="1" x14ac:dyDescent="0.2">
      <c r="B16" s="95" t="s">
        <v>6</v>
      </c>
      <c r="C16" s="223"/>
      <c r="D16" s="230">
        <v>33780.542780338801</v>
      </c>
    </row>
    <row r="17" spans="2:4" s="225" customFormat="1" ht="12.75" customHeight="1" x14ac:dyDescent="0.2">
      <c r="B17" s="95" t="s">
        <v>7</v>
      </c>
      <c r="C17" s="223"/>
      <c r="D17" s="230">
        <v>115142.81423107799</v>
      </c>
    </row>
    <row r="18" spans="2:4" s="225" customFormat="1" ht="12.75" customHeight="1" x14ac:dyDescent="0.2">
      <c r="B18" s="95" t="s">
        <v>8</v>
      </c>
      <c r="C18" s="223"/>
      <c r="D18" s="230">
        <v>35604.649653829903</v>
      </c>
    </row>
    <row r="19" spans="2:4" s="225" customFormat="1" ht="12.75" customHeight="1" x14ac:dyDescent="0.2">
      <c r="B19" s="95" t="s">
        <v>9</v>
      </c>
      <c r="C19" s="223"/>
      <c r="D19" s="230">
        <v>95838.523479475305</v>
      </c>
    </row>
    <row r="20" spans="2:4" s="225" customFormat="1" ht="12.75" customHeight="1" x14ac:dyDescent="0.2">
      <c r="B20" s="95" t="s">
        <v>10</v>
      </c>
      <c r="C20" s="223"/>
      <c r="D20" s="230">
        <v>118133.23652205399</v>
      </c>
    </row>
    <row r="21" spans="2:4" s="225" customFormat="1" ht="12.75" customHeight="1" x14ac:dyDescent="0.2">
      <c r="B21" s="95" t="s">
        <v>11</v>
      </c>
      <c r="C21" s="223"/>
      <c r="D21" s="230">
        <v>254298.84751370299</v>
      </c>
    </row>
    <row r="22" spans="2:4" s="225" customFormat="1" ht="12.75" customHeight="1" x14ac:dyDescent="0.2">
      <c r="B22" s="95" t="s">
        <v>12</v>
      </c>
      <c r="C22" s="223"/>
      <c r="D22" s="230">
        <v>61769.934762535901</v>
      </c>
    </row>
    <row r="23" spans="2:4" s="225" customFormat="1" ht="12.75" customHeight="1" x14ac:dyDescent="0.2">
      <c r="B23" s="95" t="s">
        <v>13</v>
      </c>
      <c r="C23" s="223"/>
      <c r="D23" s="230">
        <v>156366.013894187</v>
      </c>
    </row>
    <row r="24" spans="2:4" s="225" customFormat="1" ht="12.75" customHeight="1" x14ac:dyDescent="0.2">
      <c r="B24" s="95" t="s">
        <v>14</v>
      </c>
      <c r="C24" s="223"/>
      <c r="D24" s="230">
        <v>65644.045911283698</v>
      </c>
    </row>
    <row r="25" spans="2:4" s="225" customFormat="1" ht="12.75" customHeight="1" x14ac:dyDescent="0.2">
      <c r="B25" s="95" t="s">
        <v>15</v>
      </c>
      <c r="C25" s="223"/>
      <c r="D25" s="230">
        <v>76940.673322818402</v>
      </c>
    </row>
    <row r="26" spans="2:4" s="225" customFormat="1" ht="12.75" customHeight="1" x14ac:dyDescent="0.2">
      <c r="B26" s="95" t="s">
        <v>16</v>
      </c>
      <c r="C26" s="223"/>
      <c r="D26" s="230">
        <v>389316.63975794503</v>
      </c>
    </row>
    <row r="27" spans="2:4" s="225" customFormat="1" ht="12.75" customHeight="1" x14ac:dyDescent="0.2">
      <c r="B27" s="95" t="s">
        <v>17</v>
      </c>
      <c r="C27" s="223"/>
      <c r="D27" s="230">
        <v>315552.86764879501</v>
      </c>
    </row>
    <row r="28" spans="2:4" s="225" customFormat="1" ht="12.75" customHeight="1" x14ac:dyDescent="0.2">
      <c r="B28" s="95" t="s">
        <v>18</v>
      </c>
      <c r="C28" s="223"/>
      <c r="D28" s="230">
        <v>142082.596685497</v>
      </c>
    </row>
    <row r="29" spans="2:4" s="225" customFormat="1" ht="12.75" customHeight="1" x14ac:dyDescent="0.2">
      <c r="B29" s="95" t="s">
        <v>19</v>
      </c>
      <c r="C29" s="223"/>
      <c r="D29" s="230">
        <v>43783.074919655301</v>
      </c>
    </row>
    <row r="30" spans="2:4" s="225" customFormat="1" ht="12.75" customHeight="1" x14ac:dyDescent="0.2">
      <c r="B30" s="95" t="s">
        <v>20</v>
      </c>
      <c r="C30" s="223"/>
      <c r="D30" s="230">
        <v>58530.258193789399</v>
      </c>
    </row>
    <row r="31" spans="2:4" s="225" customFormat="1" ht="12.75" customHeight="1" x14ac:dyDescent="0.2">
      <c r="B31" s="95" t="s">
        <v>21</v>
      </c>
      <c r="C31" s="223"/>
      <c r="D31" s="230">
        <v>276027.451660508</v>
      </c>
    </row>
    <row r="32" spans="2:4" s="225" customFormat="1" ht="12.75" customHeight="1" x14ac:dyDescent="0.2">
      <c r="B32" s="95" t="s">
        <v>22</v>
      </c>
      <c r="C32" s="223"/>
      <c r="D32" s="230">
        <v>98680.469173622798</v>
      </c>
    </row>
    <row r="33" spans="2:4" s="225" customFormat="1" ht="12.75" customHeight="1" x14ac:dyDescent="0.2">
      <c r="B33" s="95" t="s">
        <v>23</v>
      </c>
      <c r="C33" s="223"/>
      <c r="D33" s="230">
        <v>104059.29016197599</v>
      </c>
    </row>
    <row r="34" spans="2:4" s="225" customFormat="1" ht="12.75" customHeight="1" x14ac:dyDescent="0.2">
      <c r="B34" s="95" t="s">
        <v>24</v>
      </c>
      <c r="C34" s="223"/>
      <c r="D34" s="230">
        <v>104428.22615460699</v>
      </c>
    </row>
    <row r="35" spans="2:4" s="225" customFormat="1" ht="12.75" customHeight="1" x14ac:dyDescent="0.2">
      <c r="B35" s="95" t="s">
        <v>25</v>
      </c>
      <c r="C35" s="223"/>
      <c r="D35" s="230">
        <v>79192.6234869943</v>
      </c>
    </row>
    <row r="36" spans="2:4" s="225" customFormat="1" ht="12.75" customHeight="1" x14ac:dyDescent="0.2">
      <c r="B36" s="95" t="s">
        <v>26</v>
      </c>
      <c r="C36" s="223"/>
      <c r="D36" s="230">
        <v>82766.3765638451</v>
      </c>
    </row>
    <row r="37" spans="2:4" s="225" customFormat="1" ht="12.75" customHeight="1" x14ac:dyDescent="0.2">
      <c r="B37" s="95" t="s">
        <v>27</v>
      </c>
      <c r="C37" s="223"/>
      <c r="D37" s="230">
        <v>83581.309547834302</v>
      </c>
    </row>
    <row r="38" spans="2:4" s="225" customFormat="1" ht="12.75" customHeight="1" x14ac:dyDescent="0.2">
      <c r="B38" s="95" t="s">
        <v>28</v>
      </c>
      <c r="C38" s="223"/>
      <c r="D38" s="230">
        <v>158781.86744068901</v>
      </c>
    </row>
    <row r="39" spans="2:4" s="225" customFormat="1" ht="12.75" customHeight="1" x14ac:dyDescent="0.2">
      <c r="B39" s="95" t="s">
        <v>29</v>
      </c>
      <c r="C39" s="223"/>
      <c r="D39" s="230">
        <v>74371.972381882399</v>
      </c>
    </row>
    <row r="40" spans="2:4" s="225" customFormat="1" ht="12.75" customHeight="1" x14ac:dyDescent="0.2">
      <c r="B40" s="95" t="s">
        <v>30</v>
      </c>
      <c r="C40" s="223"/>
      <c r="D40" s="230">
        <v>136317.61788985401</v>
      </c>
    </row>
    <row r="41" spans="2:4" s="225" customFormat="1" ht="12.75" customHeight="1" x14ac:dyDescent="0.2">
      <c r="B41" s="95" t="s">
        <v>31</v>
      </c>
      <c r="C41" s="223"/>
      <c r="D41" s="230">
        <v>15194.3743663765</v>
      </c>
    </row>
    <row r="42" spans="2:4" s="225" customFormat="1" ht="12.75" customHeight="1" x14ac:dyDescent="0.2">
      <c r="B42" s="95" t="s">
        <v>32</v>
      </c>
      <c r="C42" s="223"/>
      <c r="D42" s="230">
        <v>182205.505751811</v>
      </c>
    </row>
    <row r="43" spans="2:4" s="225" customFormat="1" ht="12.75" customHeight="1" x14ac:dyDescent="0.2">
      <c r="B43" s="95" t="s">
        <v>33</v>
      </c>
      <c r="C43" s="223"/>
      <c r="D43" s="230">
        <v>114945.876771806</v>
      </c>
    </row>
    <row r="44" spans="2:4" s="225" customFormat="1" ht="12.75" customHeight="1" x14ac:dyDescent="0.2">
      <c r="B44" s="95" t="s">
        <v>34</v>
      </c>
      <c r="C44" s="223"/>
      <c r="D44" s="230">
        <v>60983.858607618902</v>
      </c>
    </row>
    <row r="45" spans="2:4" ht="6" customHeight="1" x14ac:dyDescent="0.25">
      <c r="B45" s="216"/>
      <c r="C45" s="226"/>
      <c r="D45" s="227"/>
    </row>
    <row r="46" spans="2:4" ht="6" customHeight="1" x14ac:dyDescent="0.25">
      <c r="B46" s="228"/>
      <c r="D46" s="229"/>
    </row>
    <row r="47" spans="2:4" s="13" customFormat="1" ht="14.25" x14ac:dyDescent="0.2">
      <c r="B47" s="109" t="s">
        <v>57</v>
      </c>
    </row>
  </sheetData>
  <mergeCells count="2">
    <mergeCell ref="B7:B9"/>
    <mergeCell ref="D7:D9"/>
  </mergeCells>
  <hyperlinks>
    <hyperlink ref="D1" location="Índice!A1" tooltip="Ir a ÍNDICE" display="INDICE" xr:uid="{B6AF4E7C-4CC9-4044-AFB3-368AD3AE1F51}"/>
  </hyperlinks>
  <pageMargins left="0.70866141732283472" right="0.70866141732283472" top="0.74803149606299213" bottom="0.74803149606299213" header="0.31496062992125984" footer="0.31496062992125984"/>
  <pageSetup orientation="portrait" verticalDpi="12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1C14FC-1FD4-4EFB-804D-DF72CDD7CDC3}">
  <dimension ref="B1:S51"/>
  <sheetViews>
    <sheetView showGridLines="0" zoomScaleNormal="100" workbookViewId="0"/>
  </sheetViews>
  <sheetFormatPr baseColWidth="10" defaultColWidth="11.42578125" defaultRowHeight="15" x14ac:dyDescent="0.25"/>
  <cols>
    <col min="1" max="1" width="1.7109375" style="241" customWidth="1"/>
    <col min="2" max="2" width="24.28515625" style="241" customWidth="1"/>
    <col min="3" max="3" width="0.85546875" style="274" customWidth="1"/>
    <col min="4" max="4" width="18.7109375" style="275" customWidth="1"/>
    <col min="5" max="5" width="1.7109375" style="275" customWidth="1"/>
    <col min="6" max="6" width="12.7109375" style="275" customWidth="1"/>
    <col min="7" max="7" width="12.7109375" style="276" customWidth="1"/>
    <col min="8" max="8" width="1.7109375" style="275" customWidth="1"/>
    <col min="9" max="9" width="12.7109375" style="275" customWidth="1"/>
    <col min="10" max="10" width="12.7109375" style="276" customWidth="1"/>
    <col min="11" max="11" width="1.7109375" style="275" customWidth="1"/>
    <col min="12" max="12" width="12.7109375" style="275" customWidth="1"/>
    <col min="13" max="13" width="12.7109375" style="276" customWidth="1"/>
    <col min="14" max="14" width="1.7109375" style="275" customWidth="1"/>
    <col min="15" max="15" width="12.7109375" style="241" customWidth="1"/>
    <col min="16" max="16" width="12.7109375" style="277" customWidth="1"/>
    <col min="17" max="16384" width="11.42578125" style="241"/>
  </cols>
  <sheetData>
    <row r="1" spans="2:19" s="233" customFormat="1" ht="12" customHeight="1" x14ac:dyDescent="0.2">
      <c r="B1" s="639" t="s">
        <v>202</v>
      </c>
      <c r="D1" s="234"/>
      <c r="E1" s="234"/>
      <c r="F1" s="234"/>
      <c r="G1" s="234"/>
      <c r="H1" s="234"/>
      <c r="I1" s="234"/>
      <c r="K1" s="234"/>
      <c r="L1" s="234"/>
      <c r="M1" s="234"/>
      <c r="N1" s="234"/>
      <c r="P1" s="72" t="s">
        <v>151</v>
      </c>
    </row>
    <row r="2" spans="2:19" s="233" customFormat="1" ht="6.95" customHeight="1" x14ac:dyDescent="0.2">
      <c r="B2" s="639"/>
      <c r="D2" s="234"/>
      <c r="E2" s="234"/>
      <c r="F2" s="234"/>
      <c r="G2" s="234"/>
      <c r="H2" s="234"/>
      <c r="I2" s="234"/>
      <c r="J2" s="234"/>
      <c r="K2" s="234"/>
      <c r="L2" s="234"/>
      <c r="M2" s="234"/>
      <c r="N2" s="234"/>
    </row>
    <row r="3" spans="2:19" s="233" customFormat="1" ht="15" customHeight="1" x14ac:dyDescent="0.2">
      <c r="B3" s="639" t="s">
        <v>199</v>
      </c>
      <c r="C3" s="232"/>
      <c r="D3" s="232"/>
      <c r="E3" s="232"/>
      <c r="F3" s="232"/>
      <c r="G3" s="232"/>
      <c r="H3" s="232"/>
      <c r="I3" s="232"/>
      <c r="J3" s="232"/>
      <c r="K3" s="232"/>
      <c r="L3" s="232"/>
      <c r="M3" s="232"/>
      <c r="N3" s="232"/>
      <c r="O3" s="232"/>
      <c r="P3" s="232"/>
      <c r="Q3" s="232"/>
      <c r="R3" s="232"/>
      <c r="S3" s="232"/>
    </row>
    <row r="4" spans="2:19" s="233" customFormat="1" ht="6.95" customHeight="1" x14ac:dyDescent="0.2">
      <c r="C4" s="235"/>
      <c r="D4" s="234"/>
      <c r="E4" s="234"/>
      <c r="F4" s="234"/>
      <c r="G4" s="234"/>
      <c r="H4" s="234"/>
      <c r="I4" s="234"/>
      <c r="J4" s="234"/>
      <c r="K4" s="234"/>
      <c r="L4" s="234"/>
      <c r="M4" s="234"/>
      <c r="N4" s="234"/>
    </row>
    <row r="5" spans="2:19" s="233" customFormat="1" ht="25.5" customHeight="1" x14ac:dyDescent="0.2">
      <c r="B5" s="680" t="s">
        <v>156</v>
      </c>
      <c r="C5" s="680"/>
      <c r="D5" s="680"/>
      <c r="E5" s="680"/>
      <c r="F5" s="680"/>
      <c r="G5" s="680"/>
      <c r="H5" s="680"/>
      <c r="I5" s="680"/>
      <c r="J5" s="680"/>
      <c r="K5" s="680"/>
      <c r="L5" s="680"/>
      <c r="M5" s="680"/>
      <c r="N5" s="680"/>
      <c r="O5" s="236"/>
      <c r="P5" s="71" t="s">
        <v>107</v>
      </c>
    </row>
    <row r="6" spans="2:19" ht="6" customHeight="1" x14ac:dyDescent="0.25">
      <c r="B6" s="237"/>
      <c r="C6" s="238"/>
      <c r="D6" s="239"/>
      <c r="E6" s="239"/>
      <c r="F6" s="239"/>
      <c r="G6" s="239"/>
      <c r="H6" s="239"/>
      <c r="I6" s="239"/>
      <c r="J6" s="239"/>
      <c r="K6" s="239"/>
      <c r="L6" s="239"/>
      <c r="M6" s="239"/>
      <c r="N6" s="239"/>
      <c r="O6" s="240"/>
      <c r="P6" s="240"/>
    </row>
    <row r="7" spans="2:19" ht="15" customHeight="1" x14ac:dyDescent="0.25">
      <c r="B7" s="681" t="s">
        <v>76</v>
      </c>
      <c r="C7" s="681"/>
      <c r="D7" s="684" t="s">
        <v>108</v>
      </c>
      <c r="E7" s="242"/>
      <c r="F7" s="687" t="s">
        <v>73</v>
      </c>
      <c r="G7" s="687"/>
      <c r="H7" s="687"/>
      <c r="I7" s="687"/>
      <c r="J7" s="687"/>
      <c r="K7" s="687"/>
      <c r="L7" s="687"/>
      <c r="M7" s="687"/>
      <c r="N7" s="687"/>
      <c r="O7" s="687"/>
      <c r="P7" s="687"/>
    </row>
    <row r="8" spans="2:19" ht="24.75" customHeight="1" x14ac:dyDescent="0.25">
      <c r="B8" s="682"/>
      <c r="C8" s="682"/>
      <c r="D8" s="685"/>
      <c r="E8" s="243"/>
      <c r="F8" s="688" t="s">
        <v>61</v>
      </c>
      <c r="G8" s="688"/>
      <c r="H8" s="244"/>
      <c r="I8" s="688" t="s">
        <v>109</v>
      </c>
      <c r="J8" s="688"/>
      <c r="K8" s="245"/>
      <c r="L8" s="689" t="s">
        <v>110</v>
      </c>
      <c r="M8" s="689"/>
      <c r="N8" s="245"/>
      <c r="O8" s="688" t="s">
        <v>111</v>
      </c>
      <c r="P8" s="688"/>
    </row>
    <row r="9" spans="2:19" x14ac:dyDescent="0.25">
      <c r="B9" s="683"/>
      <c r="C9" s="683"/>
      <c r="D9" s="686"/>
      <c r="E9" s="246"/>
      <c r="F9" s="73" t="s">
        <v>0</v>
      </c>
      <c r="G9" s="73" t="s">
        <v>1</v>
      </c>
      <c r="H9" s="247"/>
      <c r="I9" s="73" t="s">
        <v>0</v>
      </c>
      <c r="J9" s="73" t="s">
        <v>1</v>
      </c>
      <c r="K9" s="247"/>
      <c r="L9" s="73" t="s">
        <v>0</v>
      </c>
      <c r="M9" s="73" t="s">
        <v>1</v>
      </c>
      <c r="N9" s="247"/>
      <c r="O9" s="73" t="s">
        <v>0</v>
      </c>
      <c r="P9" s="73" t="s">
        <v>1</v>
      </c>
    </row>
    <row r="10" spans="2:19" ht="6" customHeight="1" x14ac:dyDescent="0.25">
      <c r="B10" s="31"/>
      <c r="C10" s="248"/>
      <c r="D10" s="249"/>
      <c r="E10" s="249"/>
      <c r="F10" s="249"/>
      <c r="G10" s="249"/>
      <c r="H10" s="249"/>
      <c r="I10" s="249"/>
      <c r="J10" s="249"/>
      <c r="K10" s="249"/>
      <c r="L10" s="249"/>
      <c r="M10" s="249"/>
      <c r="N10" s="250"/>
      <c r="O10" s="250"/>
      <c r="P10" s="250"/>
    </row>
    <row r="11" spans="2:19" s="253" customFormat="1" ht="11.25" x14ac:dyDescent="0.2">
      <c r="B11" s="94" t="s">
        <v>2</v>
      </c>
      <c r="C11" s="251"/>
      <c r="D11" s="281">
        <v>2822025.6022069799</v>
      </c>
      <c r="E11" s="252"/>
      <c r="F11" s="281">
        <v>1512580.57869662</v>
      </c>
      <c r="G11" s="281">
        <v>54.391871324299998</v>
      </c>
      <c r="H11" s="252"/>
      <c r="I11" s="281">
        <v>1123833.6708905599</v>
      </c>
      <c r="J11" s="281">
        <v>40.485055449699999</v>
      </c>
      <c r="K11" s="252"/>
      <c r="L11" s="281">
        <v>166751.35556371199</v>
      </c>
      <c r="M11" s="281">
        <v>6.0262122622999996</v>
      </c>
      <c r="N11" s="252"/>
      <c r="O11" s="281">
        <v>105322.713400444</v>
      </c>
      <c r="P11" s="281">
        <v>3.8047617402</v>
      </c>
    </row>
    <row r="12" spans="2:19" s="258" customFormat="1" ht="6" customHeight="1" x14ac:dyDescent="0.2">
      <c r="B12" s="254"/>
      <c r="C12" s="255"/>
      <c r="D12" s="256"/>
      <c r="E12" s="256"/>
      <c r="F12" s="256"/>
      <c r="G12" s="257"/>
      <c r="H12" s="256"/>
      <c r="I12" s="256"/>
      <c r="J12" s="257"/>
      <c r="K12" s="256"/>
      <c r="L12" s="256"/>
      <c r="M12" s="257"/>
      <c r="N12" s="256"/>
      <c r="O12" s="256"/>
      <c r="P12" s="257"/>
    </row>
    <row r="13" spans="2:19" s="258" customFormat="1" ht="12.75" customHeight="1" x14ac:dyDescent="0.2">
      <c r="B13" s="95" t="s">
        <v>3</v>
      </c>
      <c r="C13" s="259"/>
      <c r="D13" s="278">
        <v>50676.384203772999</v>
      </c>
      <c r="E13" s="256"/>
      <c r="F13" s="278">
        <v>32264.3923071764</v>
      </c>
      <c r="G13" s="278">
        <v>66.617621619499999</v>
      </c>
      <c r="H13" s="256"/>
      <c r="I13" s="278">
        <v>19784.467925234901</v>
      </c>
      <c r="J13" s="278">
        <v>41.280455112299997</v>
      </c>
      <c r="K13" s="256"/>
      <c r="L13" s="278">
        <v>1001.1999755508</v>
      </c>
      <c r="M13" s="278">
        <v>2.1245618519999998</v>
      </c>
      <c r="N13" s="256"/>
      <c r="O13" s="278">
        <v>1651.5152285291001</v>
      </c>
      <c r="P13" s="278">
        <v>3.5033535216999998</v>
      </c>
    </row>
    <row r="14" spans="2:19" s="258" customFormat="1" ht="12.75" customHeight="1" x14ac:dyDescent="0.2">
      <c r="B14" s="95" t="s">
        <v>4</v>
      </c>
      <c r="C14" s="259"/>
      <c r="D14" s="278">
        <v>124003.394150981</v>
      </c>
      <c r="E14" s="256"/>
      <c r="F14" s="278">
        <v>84458.168455911204</v>
      </c>
      <c r="G14" s="278">
        <v>71.779928318700001</v>
      </c>
      <c r="H14" s="256"/>
      <c r="I14" s="278">
        <v>35888.165924729699</v>
      </c>
      <c r="J14" s="278">
        <v>31.377273449800001</v>
      </c>
      <c r="K14" s="256"/>
      <c r="L14" s="278">
        <v>13866.337543096701</v>
      </c>
      <c r="M14" s="278">
        <v>12.032289019</v>
      </c>
      <c r="N14" s="256"/>
      <c r="O14" s="278">
        <v>2436.2248615620001</v>
      </c>
      <c r="P14" s="278">
        <v>2.1500979317</v>
      </c>
    </row>
    <row r="15" spans="2:19" s="258" customFormat="1" ht="12.75" customHeight="1" x14ac:dyDescent="0.2">
      <c r="B15" s="95" t="s">
        <v>5</v>
      </c>
      <c r="C15" s="259"/>
      <c r="D15" s="279">
        <v>24608.7423173401</v>
      </c>
      <c r="E15" s="256"/>
      <c r="F15" s="279">
        <v>15021.21876331</v>
      </c>
      <c r="G15" s="278">
        <v>64.892953246800005</v>
      </c>
      <c r="H15" s="256"/>
      <c r="I15" s="279">
        <v>10146.795520284701</v>
      </c>
      <c r="J15" s="278">
        <v>44.6884853416</v>
      </c>
      <c r="K15" s="260"/>
      <c r="L15" s="279">
        <v>309.44787435329999</v>
      </c>
      <c r="M15" s="278">
        <v>1.3925298913999999</v>
      </c>
      <c r="N15" s="261"/>
      <c r="O15" s="279">
        <v>1302.3516787614999</v>
      </c>
      <c r="P15" s="278">
        <v>5.9051323218</v>
      </c>
    </row>
    <row r="16" spans="2:19" s="258" customFormat="1" ht="12.75" customHeight="1" x14ac:dyDescent="0.2">
      <c r="B16" s="95" t="s">
        <v>6</v>
      </c>
      <c r="C16" s="259"/>
      <c r="D16" s="279">
        <v>22749.028282297499</v>
      </c>
      <c r="E16" s="256"/>
      <c r="F16" s="279">
        <v>11814.263090542399</v>
      </c>
      <c r="G16" s="278">
        <v>55.779152982299998</v>
      </c>
      <c r="H16" s="256"/>
      <c r="I16" s="279">
        <v>10493.422671743399</v>
      </c>
      <c r="J16" s="278">
        <v>49.4192442258</v>
      </c>
      <c r="K16" s="260"/>
      <c r="L16" s="279">
        <v>1494.4371289541</v>
      </c>
      <c r="M16" s="278">
        <v>7.0826413183000003</v>
      </c>
      <c r="N16" s="261"/>
      <c r="O16" s="279">
        <v>1643.4876037080001</v>
      </c>
      <c r="P16" s="278">
        <v>7.9341088041000001</v>
      </c>
    </row>
    <row r="17" spans="2:16" s="258" customFormat="1" ht="12.75" customHeight="1" x14ac:dyDescent="0.2">
      <c r="B17" s="95" t="s">
        <v>7</v>
      </c>
      <c r="C17" s="259"/>
      <c r="D17" s="279">
        <v>82714.400546653895</v>
      </c>
      <c r="E17" s="256"/>
      <c r="F17" s="279">
        <v>65519.647176577899</v>
      </c>
      <c r="G17" s="278">
        <v>82.756985101400005</v>
      </c>
      <c r="H17" s="256"/>
      <c r="I17" s="279">
        <v>17490.053402890499</v>
      </c>
      <c r="J17" s="278">
        <v>23.3357106851</v>
      </c>
      <c r="K17" s="260"/>
      <c r="L17" s="279">
        <v>4129.1840209115999</v>
      </c>
      <c r="M17" s="278">
        <v>5.4649256581000003</v>
      </c>
      <c r="N17" s="261"/>
      <c r="O17" s="279">
        <v>3457.2303759065999</v>
      </c>
      <c r="P17" s="278">
        <v>4.5463325652000002</v>
      </c>
    </row>
    <row r="18" spans="2:16" s="258" customFormat="1" ht="12.75" customHeight="1" x14ac:dyDescent="0.2">
      <c r="B18" s="95" t="s">
        <v>8</v>
      </c>
      <c r="C18" s="259"/>
      <c r="D18" s="279">
        <v>29153.924458199301</v>
      </c>
      <c r="E18" s="256"/>
      <c r="F18" s="279">
        <v>18006.151976166999</v>
      </c>
      <c r="G18" s="278">
        <v>65.7987820285</v>
      </c>
      <c r="H18" s="256"/>
      <c r="I18" s="279">
        <v>11699.194823415201</v>
      </c>
      <c r="J18" s="278">
        <v>43.196072282899998</v>
      </c>
      <c r="K18" s="260"/>
      <c r="L18" s="279">
        <v>1272.1556645291</v>
      </c>
      <c r="M18" s="278">
        <v>4.8419810278000002</v>
      </c>
      <c r="N18" s="261"/>
      <c r="O18" s="279">
        <v>480.37294592569998</v>
      </c>
      <c r="P18" s="278">
        <v>1.8307638055</v>
      </c>
    </row>
    <row r="19" spans="2:16" s="258" customFormat="1" ht="12.75" customHeight="1" x14ac:dyDescent="0.2">
      <c r="B19" s="95" t="s">
        <v>9</v>
      </c>
      <c r="C19" s="259"/>
      <c r="D19" s="279">
        <v>83643.269636398196</v>
      </c>
      <c r="E19" s="256"/>
      <c r="F19" s="279">
        <v>36347.295999889197</v>
      </c>
      <c r="G19" s="278">
        <v>49.446669324799998</v>
      </c>
      <c r="H19" s="256"/>
      <c r="I19" s="279">
        <v>46172.9276340625</v>
      </c>
      <c r="J19" s="278">
        <v>59.521723507600001</v>
      </c>
      <c r="K19" s="260"/>
      <c r="L19" s="279">
        <v>6554.0855432636999</v>
      </c>
      <c r="M19" s="278">
        <v>9.0242474031000004</v>
      </c>
      <c r="N19" s="261"/>
      <c r="O19" s="279">
        <v>6533.6185467306004</v>
      </c>
      <c r="P19" s="278">
        <v>9.3066105527000005</v>
      </c>
    </row>
    <row r="20" spans="2:16" s="258" customFormat="1" ht="12.75" customHeight="1" x14ac:dyDescent="0.2">
      <c r="B20" s="95" t="s">
        <v>10</v>
      </c>
      <c r="C20" s="259"/>
      <c r="D20" s="279">
        <v>97494.1219003976</v>
      </c>
      <c r="E20" s="256"/>
      <c r="F20" s="279">
        <v>58520.102753132502</v>
      </c>
      <c r="G20" s="278">
        <v>63.306884123499998</v>
      </c>
      <c r="H20" s="256"/>
      <c r="I20" s="279">
        <v>39236.336856249603</v>
      </c>
      <c r="J20" s="278">
        <v>42.653602876000001</v>
      </c>
      <c r="K20" s="260"/>
      <c r="L20" s="279">
        <v>8887.7053198892008</v>
      </c>
      <c r="M20" s="278">
        <v>9.6499718750000003</v>
      </c>
      <c r="N20" s="261"/>
      <c r="O20" s="279">
        <v>5792.7739566629998</v>
      </c>
      <c r="P20" s="278">
        <v>6.3366727453999996</v>
      </c>
    </row>
    <row r="21" spans="2:16" s="258" customFormat="1" ht="12.75" customHeight="1" x14ac:dyDescent="0.2">
      <c r="B21" s="95" t="s">
        <v>11</v>
      </c>
      <c r="C21" s="259"/>
      <c r="D21" s="279">
        <v>207939.33226505801</v>
      </c>
      <c r="E21" s="256"/>
      <c r="F21" s="279">
        <v>121522.177877892</v>
      </c>
      <c r="G21" s="278">
        <v>61.498451345600003</v>
      </c>
      <c r="H21" s="256"/>
      <c r="I21" s="279">
        <v>102392.645047003</v>
      </c>
      <c r="J21" s="278">
        <v>52.956116657800003</v>
      </c>
      <c r="K21" s="260"/>
      <c r="L21" s="279">
        <v>10745.412387329799</v>
      </c>
      <c r="M21" s="278">
        <v>5.6105973881000004</v>
      </c>
      <c r="N21" s="261"/>
      <c r="O21" s="279">
        <v>0</v>
      </c>
      <c r="P21" s="278">
        <v>0</v>
      </c>
    </row>
    <row r="22" spans="2:16" s="258" customFormat="1" ht="12.75" customHeight="1" x14ac:dyDescent="0.2">
      <c r="B22" s="95" t="s">
        <v>12</v>
      </c>
      <c r="C22" s="259"/>
      <c r="D22" s="279">
        <v>52061.983229448299</v>
      </c>
      <c r="E22" s="256"/>
      <c r="F22" s="279">
        <v>29852.458006785699</v>
      </c>
      <c r="G22" s="278">
        <v>60.854810039500002</v>
      </c>
      <c r="H22" s="256"/>
      <c r="I22" s="279">
        <v>20468.691581252999</v>
      </c>
      <c r="J22" s="278">
        <v>42.245168727100001</v>
      </c>
      <c r="K22" s="260"/>
      <c r="L22" s="279">
        <v>4624.6737666158997</v>
      </c>
      <c r="M22" s="278">
        <v>9.6733237254999995</v>
      </c>
      <c r="N22" s="261"/>
      <c r="O22" s="279">
        <v>3453.5299912382002</v>
      </c>
      <c r="P22" s="278">
        <v>7.2327759481999996</v>
      </c>
    </row>
    <row r="23" spans="2:16" s="258" customFormat="1" ht="12.75" customHeight="1" x14ac:dyDescent="0.2">
      <c r="B23" s="95" t="s">
        <v>13</v>
      </c>
      <c r="C23" s="259"/>
      <c r="D23" s="279">
        <v>117219.59247200401</v>
      </c>
      <c r="E23" s="256"/>
      <c r="F23" s="279">
        <v>70891.639330995298</v>
      </c>
      <c r="G23" s="278">
        <v>63.710496367799998</v>
      </c>
      <c r="H23" s="256"/>
      <c r="I23" s="279">
        <v>48358.633839390699</v>
      </c>
      <c r="J23" s="278">
        <v>44.936889968999999</v>
      </c>
      <c r="K23" s="260"/>
      <c r="L23" s="279">
        <v>3925.3977496455</v>
      </c>
      <c r="M23" s="278">
        <v>3.6325712930999998</v>
      </c>
      <c r="N23" s="261"/>
      <c r="O23" s="279">
        <v>7712.3553491841003</v>
      </c>
      <c r="P23" s="278">
        <v>7.1877263503000002</v>
      </c>
    </row>
    <row r="24" spans="2:16" s="258" customFormat="1" ht="12.75" customHeight="1" x14ac:dyDescent="0.2">
      <c r="B24" s="95" t="s">
        <v>14</v>
      </c>
      <c r="C24" s="259"/>
      <c r="D24" s="279">
        <v>55814.138159103102</v>
      </c>
      <c r="E24" s="256"/>
      <c r="F24" s="279">
        <v>20093.3625406459</v>
      </c>
      <c r="G24" s="278">
        <v>38.660297227000001</v>
      </c>
      <c r="H24" s="256"/>
      <c r="I24" s="279">
        <v>28528.784839678799</v>
      </c>
      <c r="J24" s="278">
        <v>56.782399522699997</v>
      </c>
      <c r="K24" s="260"/>
      <c r="L24" s="279">
        <v>8409.3917891601996</v>
      </c>
      <c r="M24" s="278">
        <v>16.296780993700001</v>
      </c>
      <c r="N24" s="261"/>
      <c r="O24" s="279">
        <v>7486.9127042721002</v>
      </c>
      <c r="P24" s="278">
        <v>14.472713989900001</v>
      </c>
    </row>
    <row r="25" spans="2:16" s="258" customFormat="1" ht="12.75" customHeight="1" x14ac:dyDescent="0.2">
      <c r="B25" s="95" t="s">
        <v>15</v>
      </c>
      <c r="C25" s="259"/>
      <c r="D25" s="279">
        <v>51973.447254169303</v>
      </c>
      <c r="E25" s="256"/>
      <c r="F25" s="279">
        <v>26031.984759992301</v>
      </c>
      <c r="G25" s="278">
        <v>54.946835508699998</v>
      </c>
      <c r="H25" s="256"/>
      <c r="I25" s="279">
        <v>25077.357078413301</v>
      </c>
      <c r="J25" s="278">
        <v>51.914068655199998</v>
      </c>
      <c r="K25" s="260"/>
      <c r="L25" s="279">
        <v>6729.630967823</v>
      </c>
      <c r="M25" s="278">
        <v>14.5522074566</v>
      </c>
      <c r="N25" s="261"/>
      <c r="O25" s="279">
        <v>2850.6946619384998</v>
      </c>
      <c r="P25" s="278">
        <v>6.1506664499000001</v>
      </c>
    </row>
    <row r="26" spans="2:16" s="258" customFormat="1" ht="12.75" customHeight="1" x14ac:dyDescent="0.2">
      <c r="B26" s="95" t="s">
        <v>16</v>
      </c>
      <c r="C26" s="259"/>
      <c r="D26" s="279">
        <v>317511.75911266002</v>
      </c>
      <c r="E26" s="256"/>
      <c r="F26" s="279">
        <v>193149.074375228</v>
      </c>
      <c r="G26" s="278">
        <v>63.832092811099997</v>
      </c>
      <c r="H26" s="256"/>
      <c r="I26" s="279">
        <v>99538.118086657996</v>
      </c>
      <c r="J26" s="278">
        <v>33.730093185199998</v>
      </c>
      <c r="K26" s="260"/>
      <c r="L26" s="279">
        <v>46985.229124517398</v>
      </c>
      <c r="M26" s="278">
        <v>15.8262208474</v>
      </c>
      <c r="N26" s="261"/>
      <c r="O26" s="279">
        <v>13407.0169745532</v>
      </c>
      <c r="P26" s="278">
        <v>4.4796523773999999</v>
      </c>
    </row>
    <row r="27" spans="2:16" s="258" customFormat="1" ht="12.75" customHeight="1" x14ac:dyDescent="0.2">
      <c r="B27" s="95" t="s">
        <v>17</v>
      </c>
      <c r="C27" s="259"/>
      <c r="D27" s="279">
        <v>245749.88296628199</v>
      </c>
      <c r="E27" s="256"/>
      <c r="F27" s="279">
        <v>102565.886989765</v>
      </c>
      <c r="G27" s="278">
        <v>45.905012164799999</v>
      </c>
      <c r="H27" s="256"/>
      <c r="I27" s="279">
        <v>155843.24427077299</v>
      </c>
      <c r="J27" s="278">
        <v>68.021891923599995</v>
      </c>
      <c r="K27" s="260"/>
      <c r="L27" s="279">
        <v>20483.5446674819</v>
      </c>
      <c r="M27" s="278">
        <v>9.3005878860000006</v>
      </c>
      <c r="N27" s="261"/>
      <c r="O27" s="279">
        <v>9325.7538886308994</v>
      </c>
      <c r="P27" s="278">
        <v>4.2165120339</v>
      </c>
    </row>
    <row r="28" spans="2:16" s="258" customFormat="1" ht="12.75" customHeight="1" x14ac:dyDescent="0.2">
      <c r="B28" s="95" t="s">
        <v>18</v>
      </c>
      <c r="C28" s="259"/>
      <c r="D28" s="279">
        <v>110619.666452114</v>
      </c>
      <c r="E28" s="256"/>
      <c r="F28" s="279">
        <v>66203.005690230406</v>
      </c>
      <c r="G28" s="278">
        <v>63.007152270799999</v>
      </c>
      <c r="H28" s="256"/>
      <c r="I28" s="279">
        <v>45011.9907773573</v>
      </c>
      <c r="J28" s="278">
        <v>47.629005856200003</v>
      </c>
      <c r="K28" s="260"/>
      <c r="L28" s="279">
        <v>6492.7514692573995</v>
      </c>
      <c r="M28" s="278">
        <v>6.6863912907999996</v>
      </c>
      <c r="N28" s="261"/>
      <c r="O28" s="279">
        <v>6081.1194338685</v>
      </c>
      <c r="P28" s="278">
        <v>6.3179030889999996</v>
      </c>
    </row>
    <row r="29" spans="2:16" s="258" customFormat="1" ht="12.75" customHeight="1" x14ac:dyDescent="0.2">
      <c r="B29" s="95" t="s">
        <v>19</v>
      </c>
      <c r="C29" s="259"/>
      <c r="D29" s="279">
        <v>29202.629438434898</v>
      </c>
      <c r="E29" s="256"/>
      <c r="F29" s="279">
        <v>12623.065785278</v>
      </c>
      <c r="G29" s="278">
        <v>46.775898153999997</v>
      </c>
      <c r="H29" s="256"/>
      <c r="I29" s="279">
        <v>16643.429653870498</v>
      </c>
      <c r="J29" s="278">
        <v>61.595096843</v>
      </c>
      <c r="K29" s="260"/>
      <c r="L29" s="279">
        <v>3179.4828720767</v>
      </c>
      <c r="M29" s="278">
        <v>11.9993913063</v>
      </c>
      <c r="N29" s="261"/>
      <c r="O29" s="279">
        <v>2185.3278320622999</v>
      </c>
      <c r="P29" s="278">
        <v>8.3073648886000004</v>
      </c>
    </row>
    <row r="30" spans="2:16" s="258" customFormat="1" ht="12.75" customHeight="1" x14ac:dyDescent="0.2">
      <c r="B30" s="95" t="s">
        <v>20</v>
      </c>
      <c r="C30" s="259"/>
      <c r="D30" s="279">
        <v>44936.414763671703</v>
      </c>
      <c r="E30" s="256"/>
      <c r="F30" s="279">
        <v>26413.070085642699</v>
      </c>
      <c r="G30" s="278">
        <v>61.785145331499997</v>
      </c>
      <c r="H30" s="256"/>
      <c r="I30" s="279">
        <v>17291.639137849499</v>
      </c>
      <c r="J30" s="278">
        <v>41.929084929200002</v>
      </c>
      <c r="K30" s="260"/>
      <c r="L30" s="279">
        <v>2316.9231894689001</v>
      </c>
      <c r="M30" s="278">
        <v>5.8136161896000003</v>
      </c>
      <c r="N30" s="261"/>
      <c r="O30" s="279">
        <v>2510.4209028685</v>
      </c>
      <c r="P30" s="278">
        <v>6.2648125234999998</v>
      </c>
    </row>
    <row r="31" spans="2:16" s="258" customFormat="1" ht="12.75" customHeight="1" x14ac:dyDescent="0.2">
      <c r="B31" s="95" t="s">
        <v>21</v>
      </c>
      <c r="C31" s="259"/>
      <c r="D31" s="279">
        <v>228529.87533276301</v>
      </c>
      <c r="E31" s="256"/>
      <c r="F31" s="279">
        <v>128254.181277665</v>
      </c>
      <c r="G31" s="278">
        <v>59.276304025999998</v>
      </c>
      <c r="H31" s="256"/>
      <c r="I31" s="279">
        <v>106768.638908038</v>
      </c>
      <c r="J31" s="278">
        <v>49.2040582347</v>
      </c>
      <c r="K31" s="260"/>
      <c r="L31" s="279">
        <v>8535.1510148578</v>
      </c>
      <c r="M31" s="278">
        <v>4.0372542895999999</v>
      </c>
      <c r="N31" s="261"/>
      <c r="O31" s="279">
        <v>5822.7139046940001</v>
      </c>
      <c r="P31" s="278">
        <v>2.7671622152999999</v>
      </c>
    </row>
    <row r="32" spans="2:16" s="258" customFormat="1" ht="12.75" customHeight="1" x14ac:dyDescent="0.2">
      <c r="B32" s="95" t="s">
        <v>22</v>
      </c>
      <c r="C32" s="259"/>
      <c r="D32" s="279">
        <v>85644.643141977896</v>
      </c>
      <c r="E32" s="256"/>
      <c r="F32" s="279">
        <v>31836.299048860601</v>
      </c>
      <c r="G32" s="278">
        <v>40.44704351</v>
      </c>
      <c r="H32" s="256"/>
      <c r="I32" s="279">
        <v>43042.114310900397</v>
      </c>
      <c r="J32" s="278">
        <v>56.219785543900002</v>
      </c>
      <c r="K32" s="260"/>
      <c r="L32" s="279">
        <v>9017.7193059721994</v>
      </c>
      <c r="M32" s="278">
        <v>11.8151866323</v>
      </c>
      <c r="N32" s="261"/>
      <c r="O32" s="279">
        <v>12929.2191587533</v>
      </c>
      <c r="P32" s="278">
        <v>16.8545113576</v>
      </c>
    </row>
    <row r="33" spans="2:16" s="258" customFormat="1" ht="12.75" customHeight="1" x14ac:dyDescent="0.2">
      <c r="B33" s="95" t="s">
        <v>23</v>
      </c>
      <c r="C33" s="259"/>
      <c r="D33" s="279">
        <v>83805.017769934799</v>
      </c>
      <c r="E33" s="256"/>
      <c r="F33" s="279">
        <v>45052.587281944798</v>
      </c>
      <c r="G33" s="278">
        <v>57.928846378400003</v>
      </c>
      <c r="H33" s="256"/>
      <c r="I33" s="279">
        <v>44055.379711810099</v>
      </c>
      <c r="J33" s="278">
        <v>56.723874983000002</v>
      </c>
      <c r="K33" s="260"/>
      <c r="L33" s="279">
        <v>2010.0887564831</v>
      </c>
      <c r="M33" s="278">
        <v>2.6351800990999998</v>
      </c>
      <c r="N33" s="261"/>
      <c r="O33" s="279">
        <v>5477.5637370147997</v>
      </c>
      <c r="P33" s="278">
        <v>7.1859355555000004</v>
      </c>
    </row>
    <row r="34" spans="2:16" s="258" customFormat="1" ht="12.75" customHeight="1" x14ac:dyDescent="0.2">
      <c r="B34" s="95" t="s">
        <v>24</v>
      </c>
      <c r="C34" s="259"/>
      <c r="D34" s="279">
        <v>83493.579120331604</v>
      </c>
      <c r="E34" s="256"/>
      <c r="F34" s="279">
        <v>47593.759495885097</v>
      </c>
      <c r="G34" s="278">
        <v>61.533363074500002</v>
      </c>
      <c r="H34" s="256"/>
      <c r="I34" s="279">
        <v>32925.189397681999</v>
      </c>
      <c r="J34" s="278">
        <v>43.3423591763</v>
      </c>
      <c r="K34" s="260"/>
      <c r="L34" s="279">
        <v>4960.1122543725996</v>
      </c>
      <c r="M34" s="278">
        <v>6.8788151656999998</v>
      </c>
      <c r="N34" s="261"/>
      <c r="O34" s="279">
        <v>5728.3452089052998</v>
      </c>
      <c r="P34" s="278">
        <v>7.8630336011999997</v>
      </c>
    </row>
    <row r="35" spans="2:16" s="258" customFormat="1" ht="12.75" customHeight="1" x14ac:dyDescent="0.2">
      <c r="B35" s="95" t="s">
        <v>25</v>
      </c>
      <c r="C35" s="259"/>
      <c r="D35" s="279">
        <v>60261.430122796999</v>
      </c>
      <c r="E35" s="256"/>
      <c r="F35" s="279">
        <v>41532.0608110057</v>
      </c>
      <c r="G35" s="278">
        <v>71.482261797099994</v>
      </c>
      <c r="H35" s="256"/>
      <c r="I35" s="279">
        <v>19147.629398988101</v>
      </c>
      <c r="J35" s="278">
        <v>34.7199177177</v>
      </c>
      <c r="K35" s="260"/>
      <c r="L35" s="279">
        <v>2993.2980197533998</v>
      </c>
      <c r="M35" s="278">
        <v>5.4093301987000002</v>
      </c>
      <c r="N35" s="261"/>
      <c r="O35" s="279">
        <v>2336.1089823105999</v>
      </c>
      <c r="P35" s="278">
        <v>4.2243702582999996</v>
      </c>
    </row>
    <row r="36" spans="2:16" s="258" customFormat="1" ht="12.75" customHeight="1" x14ac:dyDescent="0.2">
      <c r="B36" s="95" t="s">
        <v>26</v>
      </c>
      <c r="C36" s="259"/>
      <c r="D36" s="279">
        <v>57947.4789793608</v>
      </c>
      <c r="E36" s="256"/>
      <c r="F36" s="279">
        <v>35987.244145575001</v>
      </c>
      <c r="G36" s="278">
        <v>66.632480175500007</v>
      </c>
      <c r="H36" s="256"/>
      <c r="I36" s="279">
        <v>21870.475614956002</v>
      </c>
      <c r="J36" s="278">
        <v>40.1506897517</v>
      </c>
      <c r="K36" s="260"/>
      <c r="L36" s="279">
        <v>3985.2001788073999</v>
      </c>
      <c r="M36" s="278">
        <v>7.2717994090999998</v>
      </c>
      <c r="N36" s="261"/>
      <c r="O36" s="279">
        <v>4673.4936740783996</v>
      </c>
      <c r="P36" s="278">
        <v>8.6953799304999997</v>
      </c>
    </row>
    <row r="37" spans="2:16" s="258" customFormat="1" ht="12.75" customHeight="1" x14ac:dyDescent="0.2">
      <c r="B37" s="95" t="s">
        <v>27</v>
      </c>
      <c r="C37" s="259"/>
      <c r="D37" s="279">
        <v>70872.055599581203</v>
      </c>
      <c r="E37" s="256"/>
      <c r="F37" s="279">
        <v>38266.520505140703</v>
      </c>
      <c r="G37" s="278">
        <v>58.142480322499999</v>
      </c>
      <c r="H37" s="256"/>
      <c r="I37" s="279">
        <v>35040.7856850557</v>
      </c>
      <c r="J37" s="278">
        <v>52.538372784300002</v>
      </c>
      <c r="K37" s="260"/>
      <c r="L37" s="279">
        <v>2279.9080337463001</v>
      </c>
      <c r="M37" s="278">
        <v>3.4701974061</v>
      </c>
      <c r="N37" s="261"/>
      <c r="O37" s="279">
        <v>4764.2683651046</v>
      </c>
      <c r="P37" s="278">
        <v>7.1815325679999997</v>
      </c>
    </row>
    <row r="38" spans="2:16" s="258" customFormat="1" ht="12.75" customHeight="1" x14ac:dyDescent="0.2">
      <c r="B38" s="95" t="s">
        <v>28</v>
      </c>
      <c r="C38" s="259"/>
      <c r="D38" s="279">
        <v>130348.844676715</v>
      </c>
      <c r="E38" s="256"/>
      <c r="F38" s="279">
        <v>87280.416597865202</v>
      </c>
      <c r="G38" s="278">
        <v>69.791244665600004</v>
      </c>
      <c r="H38" s="256"/>
      <c r="I38" s="279">
        <v>40207.323503185202</v>
      </c>
      <c r="J38" s="278">
        <v>33.232840105500003</v>
      </c>
      <c r="K38" s="260"/>
      <c r="L38" s="279">
        <v>5031.8659694738999</v>
      </c>
      <c r="M38" s="278">
        <v>4.2355435041999998</v>
      </c>
      <c r="N38" s="261"/>
      <c r="O38" s="279">
        <v>7614.4974517400997</v>
      </c>
      <c r="P38" s="278">
        <v>6.2451431990000001</v>
      </c>
    </row>
    <row r="39" spans="2:16" s="258" customFormat="1" ht="12.75" customHeight="1" x14ac:dyDescent="0.2">
      <c r="B39" s="95" t="s">
        <v>29</v>
      </c>
      <c r="C39" s="259"/>
      <c r="D39" s="279">
        <v>60958.294376071499</v>
      </c>
      <c r="E39" s="256"/>
      <c r="F39" s="279">
        <v>30421.204386920799</v>
      </c>
      <c r="G39" s="278">
        <v>54.939796322200003</v>
      </c>
      <c r="H39" s="256"/>
      <c r="I39" s="279">
        <v>26790.8637956659</v>
      </c>
      <c r="J39" s="278">
        <v>48.4996778155</v>
      </c>
      <c r="K39" s="260"/>
      <c r="L39" s="279">
        <v>7739.7773348011997</v>
      </c>
      <c r="M39" s="278">
        <v>13.985931584299999</v>
      </c>
      <c r="N39" s="261"/>
      <c r="O39" s="279">
        <v>4269.7529268417002</v>
      </c>
      <c r="P39" s="278">
        <v>7.7799971998000004</v>
      </c>
    </row>
    <row r="40" spans="2:16" s="258" customFormat="1" ht="12.75" customHeight="1" x14ac:dyDescent="0.2">
      <c r="B40" s="95" t="s">
        <v>30</v>
      </c>
      <c r="C40" s="259"/>
      <c r="D40" s="279">
        <v>115544.217259397</v>
      </c>
      <c r="E40" s="256"/>
      <c r="F40" s="279">
        <v>58348.493469837696</v>
      </c>
      <c r="G40" s="278">
        <v>54.649506932900003</v>
      </c>
      <c r="H40" s="256"/>
      <c r="I40" s="279">
        <v>57489.693092732501</v>
      </c>
      <c r="J40" s="278">
        <v>51.719266620699997</v>
      </c>
      <c r="K40" s="260"/>
      <c r="L40" s="279">
        <v>5987.2788777799997</v>
      </c>
      <c r="M40" s="278">
        <v>5.5860877553000003</v>
      </c>
      <c r="N40" s="261"/>
      <c r="O40" s="279">
        <v>7496.2809787148999</v>
      </c>
      <c r="P40" s="278">
        <v>7.0031041860999999</v>
      </c>
    </row>
    <row r="41" spans="2:16" s="258" customFormat="1" ht="12.75" customHeight="1" x14ac:dyDescent="0.2">
      <c r="B41" s="95" t="s">
        <v>31</v>
      </c>
      <c r="C41" s="259"/>
      <c r="D41" s="279">
        <v>12239.7037674487</v>
      </c>
      <c r="E41" s="256"/>
      <c r="F41" s="279">
        <v>5452.5774718062003</v>
      </c>
      <c r="G41" s="278">
        <v>47.132277554700003</v>
      </c>
      <c r="H41" s="256"/>
      <c r="I41" s="279">
        <v>6604.2140308513999</v>
      </c>
      <c r="J41" s="278">
        <v>59.902925922999998</v>
      </c>
      <c r="K41" s="260"/>
      <c r="L41" s="279">
        <v>1754.7519575609001</v>
      </c>
      <c r="M41" s="278">
        <v>15.886888813000001</v>
      </c>
      <c r="N41" s="261"/>
      <c r="O41" s="279">
        <v>1315.9619162761001</v>
      </c>
      <c r="P41" s="278">
        <v>11.7491469549</v>
      </c>
    </row>
    <row r="42" spans="2:16" s="258" customFormat="1" ht="12.75" customHeight="1" x14ac:dyDescent="0.2">
      <c r="B42" s="95" t="s">
        <v>32</v>
      </c>
      <c r="C42" s="259"/>
      <c r="D42" s="280">
        <v>155398.224768927</v>
      </c>
      <c r="E42" s="256"/>
      <c r="F42" s="279">
        <v>95216.786146487299</v>
      </c>
      <c r="G42" s="278">
        <v>66.677537672100001</v>
      </c>
      <c r="H42" s="256"/>
      <c r="I42" s="279">
        <v>61527.198153404701</v>
      </c>
      <c r="J42" s="278">
        <v>44.009349662600002</v>
      </c>
      <c r="K42" s="260"/>
      <c r="L42" s="279">
        <v>16966.5030700389</v>
      </c>
      <c r="M42" s="278">
        <v>12.140057523399999</v>
      </c>
      <c r="N42" s="261"/>
      <c r="O42" s="279">
        <v>5141.5954507937004</v>
      </c>
      <c r="P42" s="278">
        <v>3.6946539603000002</v>
      </c>
    </row>
    <row r="43" spans="2:16" s="258" customFormat="1" ht="12.75" customHeight="1" x14ac:dyDescent="0.2">
      <c r="B43" s="95" t="s">
        <v>33</v>
      </c>
      <c r="C43" s="259"/>
      <c r="D43" s="279">
        <v>94932.431848099499</v>
      </c>
      <c r="E43" s="256"/>
      <c r="F43" s="279">
        <v>55062.963008564002</v>
      </c>
      <c r="G43" s="278">
        <v>62.116467619600002</v>
      </c>
      <c r="H43" s="256"/>
      <c r="I43" s="279">
        <v>33053.968642698703</v>
      </c>
      <c r="J43" s="278">
        <v>37.142622088499998</v>
      </c>
      <c r="K43" s="260"/>
      <c r="L43" s="279">
        <v>6398.1684395299999</v>
      </c>
      <c r="M43" s="278">
        <v>7.3805998718000003</v>
      </c>
      <c r="N43" s="261"/>
      <c r="O43" s="279">
        <v>10193.699861184699</v>
      </c>
      <c r="P43" s="278">
        <v>11.4650915208</v>
      </c>
    </row>
    <row r="44" spans="2:16" s="258" customFormat="1" ht="12.75" customHeight="1" x14ac:dyDescent="0.2">
      <c r="B44" s="95" t="s">
        <v>34</v>
      </c>
      <c r="C44" s="259"/>
      <c r="D44" s="279">
        <v>49515.189313489602</v>
      </c>
      <c r="E44" s="256"/>
      <c r="F44" s="279">
        <v>25480.683363298998</v>
      </c>
      <c r="G44" s="278">
        <v>55.496656475599998</v>
      </c>
      <c r="H44" s="256"/>
      <c r="I44" s="279">
        <v>20510.091741330401</v>
      </c>
      <c r="J44" s="278">
        <v>44.358887086400003</v>
      </c>
      <c r="K44" s="260"/>
      <c r="L44" s="279">
        <v>5786.4800037379</v>
      </c>
      <c r="M44" s="278">
        <v>13.215967192000001</v>
      </c>
      <c r="N44" s="261"/>
      <c r="O44" s="279">
        <v>2457.5404990912998</v>
      </c>
      <c r="P44" s="278">
        <v>5.6227892268000002</v>
      </c>
    </row>
    <row r="45" spans="2:16" ht="6" customHeight="1" x14ac:dyDescent="0.25">
      <c r="B45" s="262"/>
      <c r="C45" s="263"/>
      <c r="D45" s="264"/>
      <c r="E45" s="265"/>
      <c r="F45" s="264"/>
      <c r="G45" s="266"/>
      <c r="H45" s="266"/>
      <c r="I45" s="264"/>
      <c r="J45" s="266"/>
      <c r="K45" s="267"/>
      <c r="L45" s="264"/>
      <c r="M45" s="266"/>
      <c r="N45" s="268"/>
      <c r="O45" s="264"/>
      <c r="P45" s="266"/>
    </row>
    <row r="46" spans="2:16" ht="6" customHeight="1" x14ac:dyDescent="0.25">
      <c r="B46" s="228"/>
      <c r="C46" s="238"/>
      <c r="D46" s="145"/>
      <c r="E46" s="269"/>
      <c r="F46" s="145"/>
      <c r="G46" s="270"/>
      <c r="H46" s="270"/>
      <c r="I46" s="145"/>
      <c r="J46" s="270"/>
      <c r="K46" s="271"/>
      <c r="L46" s="145"/>
      <c r="M46" s="270"/>
      <c r="N46" s="272"/>
      <c r="O46" s="145"/>
      <c r="P46" s="270"/>
    </row>
    <row r="47" spans="2:16" ht="12.75" customHeight="1" x14ac:dyDescent="0.25">
      <c r="B47" s="273" t="s">
        <v>93</v>
      </c>
      <c r="C47" s="238"/>
      <c r="D47" s="145"/>
      <c r="E47" s="269"/>
      <c r="F47" s="145"/>
      <c r="G47" s="270"/>
      <c r="H47" s="270"/>
      <c r="I47" s="145"/>
      <c r="J47" s="270"/>
      <c r="K47" s="271"/>
      <c r="L47" s="145"/>
      <c r="M47" s="270"/>
      <c r="N47" s="272"/>
      <c r="O47" s="145"/>
      <c r="P47" s="270"/>
    </row>
    <row r="48" spans="2:16" ht="12" customHeight="1" x14ac:dyDescent="0.25">
      <c r="B48" s="4" t="s">
        <v>69</v>
      </c>
      <c r="C48" s="238"/>
      <c r="D48" s="145"/>
      <c r="E48" s="269"/>
      <c r="F48" s="145"/>
      <c r="G48" s="270"/>
      <c r="H48" s="270"/>
      <c r="I48" s="145"/>
      <c r="J48" s="270"/>
      <c r="K48" s="271"/>
      <c r="L48" s="145"/>
      <c r="M48" s="270"/>
      <c r="N48" s="272"/>
      <c r="O48" s="145"/>
      <c r="P48" s="270"/>
    </row>
    <row r="49" spans="2:16" ht="12" customHeight="1" x14ac:dyDescent="0.25">
      <c r="B49" s="4" t="s">
        <v>70</v>
      </c>
      <c r="C49" s="238"/>
      <c r="D49" s="145"/>
      <c r="E49" s="269"/>
      <c r="F49" s="145"/>
      <c r="G49" s="270"/>
      <c r="H49" s="270"/>
      <c r="I49" s="145"/>
      <c r="J49" s="270"/>
      <c r="K49" s="271"/>
      <c r="L49" s="145"/>
      <c r="M49" s="270"/>
      <c r="N49" s="272"/>
      <c r="O49" s="145"/>
      <c r="P49" s="270"/>
    </row>
    <row r="50" spans="2:16" ht="12" customHeight="1" x14ac:dyDescent="0.25">
      <c r="B50" s="4" t="s">
        <v>71</v>
      </c>
      <c r="C50" s="238"/>
      <c r="D50" s="145"/>
      <c r="E50" s="269"/>
      <c r="F50" s="145"/>
      <c r="G50" s="270"/>
      <c r="H50" s="270"/>
      <c r="I50" s="145"/>
      <c r="J50" s="270"/>
      <c r="K50" s="271"/>
      <c r="L50" s="145"/>
      <c r="M50" s="270"/>
      <c r="N50" s="272"/>
      <c r="O50" s="145"/>
      <c r="P50" s="270"/>
    </row>
    <row r="51" spans="2:16" s="13" customFormat="1" ht="14.25" x14ac:dyDescent="0.2">
      <c r="B51" s="109" t="s">
        <v>57</v>
      </c>
    </row>
  </sheetData>
  <mergeCells count="8">
    <mergeCell ref="B5:N5"/>
    <mergeCell ref="B7:C9"/>
    <mergeCell ref="D7:D9"/>
    <mergeCell ref="F7:P7"/>
    <mergeCell ref="F8:G8"/>
    <mergeCell ref="I8:J8"/>
    <mergeCell ref="L8:M8"/>
    <mergeCell ref="O8:P8"/>
  </mergeCells>
  <hyperlinks>
    <hyperlink ref="P1" location="Índice!A1" tooltip="Ir a ÍNDICE" display="INDICE" xr:uid="{A943E8CF-5F5D-4E43-AA85-4A694A2D66DD}"/>
  </hyperlinks>
  <pageMargins left="0.70866141732283472" right="0.70866141732283472" top="0.74803149606299213" bottom="0.74803149606299213" header="0.31496062992125984" footer="0.31496062992125984"/>
  <pageSetup orientation="portrait" verticalDpi="12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E7B86D-1FC2-4BC5-83C4-8BFB976B888D}">
  <dimension ref="B1:T52"/>
  <sheetViews>
    <sheetView showGridLines="0" zoomScaleNormal="100" workbookViewId="0"/>
  </sheetViews>
  <sheetFormatPr baseColWidth="10" defaultColWidth="11.42578125" defaultRowHeight="15" x14ac:dyDescent="0.25"/>
  <cols>
    <col min="1" max="1" width="1.7109375" style="293" customWidth="1"/>
    <col min="2" max="2" width="24.28515625" style="293" customWidth="1"/>
    <col min="3" max="3" width="0.85546875" style="329" customWidth="1"/>
    <col min="4" max="4" width="18.7109375" style="330" customWidth="1"/>
    <col min="5" max="5" width="1.7109375" style="330" customWidth="1"/>
    <col min="6" max="6" width="12.7109375" style="330" customWidth="1"/>
    <col min="7" max="7" width="12.7109375" style="331" customWidth="1"/>
    <col min="8" max="8" width="1.7109375" style="330" customWidth="1"/>
    <col min="9" max="9" width="12.7109375" style="330" customWidth="1"/>
    <col min="10" max="10" width="12.7109375" style="331" customWidth="1"/>
    <col min="11" max="11" width="1.7109375" style="330" customWidth="1"/>
    <col min="12" max="12" width="12.7109375" style="330" customWidth="1"/>
    <col min="13" max="13" width="12.7109375" style="331" customWidth="1"/>
    <col min="14" max="14" width="1.7109375" style="330" customWidth="1"/>
    <col min="15" max="15" width="12.7109375" style="293" customWidth="1"/>
    <col min="16" max="16" width="12.7109375" style="332" customWidth="1"/>
    <col min="17" max="17" width="1.7109375" style="293" customWidth="1"/>
    <col min="18" max="16384" width="11.42578125" style="293"/>
  </cols>
  <sheetData>
    <row r="1" spans="2:20" s="283" customFormat="1" ht="12" customHeight="1" x14ac:dyDescent="0.2">
      <c r="B1" s="639" t="s">
        <v>202</v>
      </c>
      <c r="D1" s="284"/>
      <c r="E1" s="284"/>
      <c r="F1" s="284"/>
      <c r="G1" s="284"/>
      <c r="H1" s="284"/>
      <c r="I1" s="284"/>
      <c r="K1" s="284"/>
      <c r="L1" s="284"/>
      <c r="M1" s="284"/>
      <c r="N1" s="284"/>
      <c r="S1" s="72" t="s">
        <v>151</v>
      </c>
    </row>
    <row r="2" spans="2:20" s="283" customFormat="1" ht="6.95" customHeight="1" x14ac:dyDescent="0.2">
      <c r="B2" s="639"/>
      <c r="D2" s="284"/>
      <c r="E2" s="284"/>
      <c r="F2" s="284"/>
      <c r="G2" s="284"/>
      <c r="H2" s="284"/>
      <c r="I2" s="284"/>
      <c r="J2" s="284"/>
      <c r="K2" s="284"/>
      <c r="L2" s="284"/>
      <c r="M2" s="284"/>
      <c r="N2" s="284"/>
    </row>
    <row r="3" spans="2:20" s="283" customFormat="1" ht="15" customHeight="1" x14ac:dyDescent="0.2">
      <c r="B3" s="639" t="s">
        <v>199</v>
      </c>
      <c r="C3" s="282"/>
      <c r="D3" s="282"/>
      <c r="E3" s="282"/>
      <c r="F3" s="282"/>
      <c r="G3" s="282"/>
      <c r="H3" s="282"/>
      <c r="I3" s="282"/>
      <c r="J3" s="282"/>
      <c r="K3" s="282"/>
      <c r="L3" s="282"/>
      <c r="M3" s="282"/>
      <c r="N3" s="282"/>
      <c r="O3" s="282"/>
      <c r="P3" s="282"/>
      <c r="Q3" s="282"/>
      <c r="R3" s="282"/>
      <c r="S3" s="282"/>
    </row>
    <row r="4" spans="2:20" s="283" customFormat="1" ht="6.95" customHeight="1" x14ac:dyDescent="0.2">
      <c r="C4" s="285"/>
      <c r="D4" s="284"/>
      <c r="E4" s="284"/>
      <c r="F4" s="284"/>
      <c r="G4" s="284"/>
      <c r="H4" s="284"/>
      <c r="I4" s="284"/>
      <c r="J4" s="284"/>
      <c r="K4" s="284"/>
      <c r="L4" s="284"/>
      <c r="M4" s="284"/>
      <c r="N4" s="284"/>
    </row>
    <row r="5" spans="2:20" s="283" customFormat="1" ht="25.5" customHeight="1" x14ac:dyDescent="0.2">
      <c r="B5" s="690" t="s">
        <v>153</v>
      </c>
      <c r="C5" s="690"/>
      <c r="D5" s="690"/>
      <c r="E5" s="690"/>
      <c r="F5" s="690"/>
      <c r="G5" s="690"/>
      <c r="H5" s="690"/>
      <c r="I5" s="690"/>
      <c r="J5" s="690"/>
      <c r="K5" s="690"/>
      <c r="L5" s="690"/>
      <c r="M5" s="690"/>
      <c r="N5" s="690"/>
      <c r="O5" s="286"/>
      <c r="P5" s="287"/>
      <c r="Q5" s="288"/>
      <c r="R5" s="57"/>
      <c r="S5" s="71" t="s">
        <v>112</v>
      </c>
    </row>
    <row r="6" spans="2:20" ht="6" customHeight="1" x14ac:dyDescent="0.25">
      <c r="B6" s="289"/>
      <c r="C6" s="290"/>
      <c r="D6" s="291"/>
      <c r="E6" s="291"/>
      <c r="F6" s="291"/>
      <c r="G6" s="291"/>
      <c r="H6" s="291"/>
      <c r="I6" s="291"/>
      <c r="J6" s="291"/>
      <c r="K6" s="291"/>
      <c r="L6" s="291"/>
      <c r="M6" s="291"/>
      <c r="N6" s="291"/>
      <c r="O6" s="292"/>
      <c r="P6" s="292"/>
      <c r="Q6" s="292"/>
      <c r="R6" s="292"/>
      <c r="S6" s="292"/>
    </row>
    <row r="7" spans="2:20" ht="15" customHeight="1" x14ac:dyDescent="0.25">
      <c r="B7" s="681" t="s">
        <v>76</v>
      </c>
      <c r="C7" s="681"/>
      <c r="D7" s="691" t="s">
        <v>108</v>
      </c>
      <c r="E7" s="294"/>
      <c r="F7" s="694" t="s">
        <v>124</v>
      </c>
      <c r="G7" s="694"/>
      <c r="H7" s="694"/>
      <c r="I7" s="694"/>
      <c r="J7" s="694"/>
      <c r="K7" s="694"/>
      <c r="L7" s="694"/>
      <c r="M7" s="694"/>
      <c r="N7" s="694"/>
      <c r="O7" s="694"/>
      <c r="P7" s="694"/>
      <c r="Q7" s="694"/>
      <c r="R7" s="694"/>
      <c r="S7" s="694"/>
    </row>
    <row r="8" spans="2:20" ht="24.75" customHeight="1" x14ac:dyDescent="0.25">
      <c r="B8" s="682"/>
      <c r="C8" s="682"/>
      <c r="D8" s="692"/>
      <c r="E8" s="295"/>
      <c r="F8" s="695" t="s">
        <v>125</v>
      </c>
      <c r="G8" s="695"/>
      <c r="H8" s="296"/>
      <c r="I8" s="694" t="s">
        <v>126</v>
      </c>
      <c r="J8" s="694"/>
      <c r="K8" s="297"/>
      <c r="L8" s="694" t="s">
        <v>127</v>
      </c>
      <c r="M8" s="694"/>
      <c r="N8" s="297"/>
      <c r="O8" s="694" t="s">
        <v>62</v>
      </c>
      <c r="P8" s="694"/>
      <c r="Q8" s="297"/>
      <c r="R8" s="694" t="s">
        <v>39</v>
      </c>
      <c r="S8" s="694"/>
    </row>
    <row r="9" spans="2:20" x14ac:dyDescent="0.25">
      <c r="B9" s="683"/>
      <c r="C9" s="683"/>
      <c r="D9" s="693"/>
      <c r="E9" s="298"/>
      <c r="F9" s="299" t="s">
        <v>0</v>
      </c>
      <c r="G9" s="299" t="s">
        <v>1</v>
      </c>
      <c r="H9" s="299"/>
      <c r="I9" s="299" t="s">
        <v>0</v>
      </c>
      <c r="J9" s="299" t="s">
        <v>1</v>
      </c>
      <c r="K9" s="300"/>
      <c r="L9" s="299" t="s">
        <v>0</v>
      </c>
      <c r="M9" s="299" t="s">
        <v>1</v>
      </c>
      <c r="N9" s="300"/>
      <c r="O9" s="299" t="s">
        <v>0</v>
      </c>
      <c r="P9" s="299" t="s">
        <v>1</v>
      </c>
      <c r="Q9" s="300"/>
      <c r="R9" s="299" t="s">
        <v>0</v>
      </c>
      <c r="S9" s="299" t="s">
        <v>1</v>
      </c>
    </row>
    <row r="10" spans="2:20" ht="6" customHeight="1" x14ac:dyDescent="0.25">
      <c r="B10" s="31"/>
      <c r="C10" s="301"/>
      <c r="D10" s="302"/>
      <c r="E10" s="302"/>
      <c r="F10" s="302"/>
      <c r="G10" s="302"/>
      <c r="H10" s="302"/>
      <c r="I10" s="302"/>
      <c r="J10" s="302"/>
      <c r="K10" s="302"/>
      <c r="L10" s="302"/>
      <c r="M10" s="302"/>
      <c r="N10" s="303"/>
      <c r="O10" s="303"/>
      <c r="P10" s="303"/>
      <c r="Q10" s="303"/>
      <c r="R10" s="303"/>
      <c r="S10" s="303"/>
      <c r="T10" s="304"/>
    </row>
    <row r="11" spans="2:20" s="307" customFormat="1" ht="11.25" x14ac:dyDescent="0.2">
      <c r="B11" s="94" t="s">
        <v>2</v>
      </c>
      <c r="C11" s="305"/>
      <c r="D11" s="334">
        <v>2822025.6022069799</v>
      </c>
      <c r="E11" s="87"/>
      <c r="F11" s="334">
        <v>655666.10943074699</v>
      </c>
      <c r="G11" s="334">
        <v>23.589578360499999</v>
      </c>
      <c r="H11" s="87"/>
      <c r="I11" s="334">
        <v>1948826.4276600301</v>
      </c>
      <c r="J11" s="334">
        <v>69.947077929700001</v>
      </c>
      <c r="K11" s="87"/>
      <c r="L11" s="334">
        <v>1749231.91894498</v>
      </c>
      <c r="M11" s="334">
        <v>62.889703854300002</v>
      </c>
      <c r="N11" s="87"/>
      <c r="O11" s="334">
        <v>36417.272893162597</v>
      </c>
      <c r="P11" s="334">
        <v>1.3175315131000001</v>
      </c>
      <c r="Q11" s="87"/>
      <c r="R11" s="334">
        <v>3675.8551629597</v>
      </c>
      <c r="S11" s="334">
        <v>0.13294087809999999</v>
      </c>
      <c r="T11" s="306"/>
    </row>
    <row r="12" spans="2:20" s="311" customFormat="1" ht="6" customHeight="1" x14ac:dyDescent="0.2">
      <c r="B12" s="254"/>
      <c r="C12" s="308"/>
      <c r="D12" s="89"/>
      <c r="E12" s="89"/>
      <c r="F12" s="89"/>
      <c r="G12" s="309"/>
      <c r="H12" s="89"/>
      <c r="I12" s="89"/>
      <c r="J12" s="309"/>
      <c r="K12" s="89"/>
      <c r="L12" s="89"/>
      <c r="M12" s="309"/>
      <c r="N12" s="89"/>
      <c r="O12" s="89"/>
      <c r="P12" s="309"/>
      <c r="Q12" s="89"/>
      <c r="R12" s="89"/>
      <c r="S12" s="309"/>
      <c r="T12" s="310"/>
    </row>
    <row r="13" spans="2:20" s="311" customFormat="1" ht="12.75" customHeight="1" x14ac:dyDescent="0.2">
      <c r="B13" s="95" t="s">
        <v>3</v>
      </c>
      <c r="C13" s="312"/>
      <c r="D13" s="279">
        <v>50676.384203772999</v>
      </c>
      <c r="E13" s="89"/>
      <c r="F13" s="279">
        <v>10076.9791164125</v>
      </c>
      <c r="G13" s="279">
        <v>21.261910974500001</v>
      </c>
      <c r="H13" s="89"/>
      <c r="I13" s="279">
        <v>36076.007413916799</v>
      </c>
      <c r="J13" s="279">
        <v>75.827720948000007</v>
      </c>
      <c r="K13" s="89"/>
      <c r="L13" s="279">
        <v>28698.153940724598</v>
      </c>
      <c r="M13" s="279">
        <v>58.930797924099998</v>
      </c>
      <c r="N13" s="89"/>
      <c r="O13" s="279">
        <v>963.26464040320002</v>
      </c>
      <c r="P13" s="279">
        <v>2.0392753999000002</v>
      </c>
      <c r="Q13" s="89"/>
      <c r="R13" s="279">
        <v>0</v>
      </c>
      <c r="S13" s="279">
        <v>0</v>
      </c>
      <c r="T13" s="310"/>
    </row>
    <row r="14" spans="2:20" s="311" customFormat="1" ht="12.75" customHeight="1" x14ac:dyDescent="0.2">
      <c r="B14" s="95" t="s">
        <v>4</v>
      </c>
      <c r="C14" s="312"/>
      <c r="D14" s="279">
        <v>124003.394150981</v>
      </c>
      <c r="E14" s="89"/>
      <c r="F14" s="279">
        <v>43377.380725760297</v>
      </c>
      <c r="G14" s="279">
        <v>37.651514179099998</v>
      </c>
      <c r="H14" s="89"/>
      <c r="I14" s="279">
        <v>90349.147969906495</v>
      </c>
      <c r="J14" s="279">
        <v>76.736981899</v>
      </c>
      <c r="K14" s="89"/>
      <c r="L14" s="279">
        <v>75249.586840891905</v>
      </c>
      <c r="M14" s="279">
        <v>64.482650148299996</v>
      </c>
      <c r="N14" s="89"/>
      <c r="O14" s="279">
        <v>0</v>
      </c>
      <c r="P14" s="279">
        <v>0</v>
      </c>
      <c r="Q14" s="89"/>
      <c r="R14" s="279">
        <v>0</v>
      </c>
      <c r="S14" s="279">
        <v>0</v>
      </c>
      <c r="T14" s="310"/>
    </row>
    <row r="15" spans="2:20" s="311" customFormat="1" ht="12.75" customHeight="1" x14ac:dyDescent="0.2">
      <c r="B15" s="95" t="s">
        <v>5</v>
      </c>
      <c r="C15" s="312"/>
      <c r="D15" s="279">
        <v>24608.7423173401</v>
      </c>
      <c r="E15" s="89"/>
      <c r="F15" s="279">
        <v>9708.8891239829009</v>
      </c>
      <c r="G15" s="279">
        <v>41.939391604400001</v>
      </c>
      <c r="H15" s="89"/>
      <c r="I15" s="279">
        <v>20228.0265733468</v>
      </c>
      <c r="J15" s="279">
        <v>85.778484824299994</v>
      </c>
      <c r="K15" s="89"/>
      <c r="L15" s="279">
        <v>13700.7257358726</v>
      </c>
      <c r="M15" s="279">
        <v>61.1629618284</v>
      </c>
      <c r="N15" s="89"/>
      <c r="O15" s="279">
        <v>0</v>
      </c>
      <c r="P15" s="279">
        <v>0</v>
      </c>
      <c r="Q15" s="89"/>
      <c r="R15" s="279">
        <v>0</v>
      </c>
      <c r="S15" s="279">
        <v>0</v>
      </c>
      <c r="T15" s="310"/>
    </row>
    <row r="16" spans="2:20" s="311" customFormat="1" ht="12.75" customHeight="1" x14ac:dyDescent="0.2">
      <c r="B16" s="95" t="s">
        <v>6</v>
      </c>
      <c r="C16" s="312"/>
      <c r="D16" s="279">
        <v>22749.028282297499</v>
      </c>
      <c r="E16" s="89"/>
      <c r="F16" s="279">
        <v>7184.8456479829001</v>
      </c>
      <c r="G16" s="279">
        <v>34.986565217399999</v>
      </c>
      <c r="H16" s="89"/>
      <c r="I16" s="279">
        <v>13463.4018935735</v>
      </c>
      <c r="J16" s="279">
        <v>62.036949848399999</v>
      </c>
      <c r="K16" s="89"/>
      <c r="L16" s="279">
        <v>18813.972427968201</v>
      </c>
      <c r="M16" s="279">
        <v>85.421194189299996</v>
      </c>
      <c r="N16" s="89"/>
      <c r="O16" s="279">
        <v>759.27912609700002</v>
      </c>
      <c r="P16" s="279">
        <v>3.6938056144</v>
      </c>
      <c r="Q16" s="89"/>
      <c r="R16" s="279">
        <v>0</v>
      </c>
      <c r="S16" s="279">
        <v>0</v>
      </c>
      <c r="T16" s="310"/>
    </row>
    <row r="17" spans="2:20" s="311" customFormat="1" ht="12.75" customHeight="1" x14ac:dyDescent="0.2">
      <c r="B17" s="95" t="s">
        <v>7</v>
      </c>
      <c r="C17" s="312"/>
      <c r="D17" s="279">
        <v>82714.400546653895</v>
      </c>
      <c r="E17" s="89"/>
      <c r="F17" s="279">
        <v>22437.7402186457</v>
      </c>
      <c r="G17" s="279">
        <v>29.3931233978</v>
      </c>
      <c r="H17" s="89"/>
      <c r="I17" s="279">
        <v>59085.977408875799</v>
      </c>
      <c r="J17" s="279">
        <v>75.501416022800001</v>
      </c>
      <c r="K17" s="89"/>
      <c r="L17" s="279">
        <v>53444.309217471498</v>
      </c>
      <c r="M17" s="279">
        <v>69.572907769599993</v>
      </c>
      <c r="N17" s="89"/>
      <c r="O17" s="279">
        <v>1142.5767668430001</v>
      </c>
      <c r="P17" s="279">
        <v>1.5145104820999999</v>
      </c>
      <c r="Q17" s="89"/>
      <c r="R17" s="279">
        <v>0</v>
      </c>
      <c r="S17" s="279">
        <v>0</v>
      </c>
      <c r="T17" s="310"/>
    </row>
    <row r="18" spans="2:20" s="311" customFormat="1" ht="12.75" customHeight="1" x14ac:dyDescent="0.2">
      <c r="B18" s="95" t="s">
        <v>8</v>
      </c>
      <c r="C18" s="312"/>
      <c r="D18" s="279">
        <v>29153.924458199301</v>
      </c>
      <c r="E18" s="89"/>
      <c r="F18" s="279">
        <v>3582.4821678586</v>
      </c>
      <c r="G18" s="279">
        <v>13.3304596911</v>
      </c>
      <c r="H18" s="89"/>
      <c r="I18" s="279">
        <v>21240.397502231801</v>
      </c>
      <c r="J18" s="279">
        <v>76.215670181500002</v>
      </c>
      <c r="K18" s="89"/>
      <c r="L18" s="279">
        <v>16342.630285790399</v>
      </c>
      <c r="M18" s="279">
        <v>61.269162556200001</v>
      </c>
      <c r="N18" s="89"/>
      <c r="O18" s="279">
        <v>853.30364556220002</v>
      </c>
      <c r="P18" s="279">
        <v>3.2118356255</v>
      </c>
      <c r="Q18" s="89"/>
      <c r="R18" s="279">
        <v>230.10226554479999</v>
      </c>
      <c r="S18" s="279">
        <v>0.87733700390000002</v>
      </c>
      <c r="T18" s="310"/>
    </row>
    <row r="19" spans="2:20" s="311" customFormat="1" ht="12.75" customHeight="1" x14ac:dyDescent="0.2">
      <c r="B19" s="95" t="s">
        <v>9</v>
      </c>
      <c r="C19" s="312"/>
      <c r="D19" s="279">
        <v>83643.269636398196</v>
      </c>
      <c r="E19" s="313"/>
      <c r="F19" s="279">
        <v>28806.909903108201</v>
      </c>
      <c r="G19" s="333">
        <v>38.595350390999997</v>
      </c>
      <c r="H19" s="313"/>
      <c r="I19" s="279">
        <v>53571.667496681599</v>
      </c>
      <c r="J19" s="333">
        <v>69.845078671699994</v>
      </c>
      <c r="K19" s="314"/>
      <c r="L19" s="279">
        <v>59289.583548655202</v>
      </c>
      <c r="M19" s="333">
        <v>76.711522611299998</v>
      </c>
      <c r="N19" s="315"/>
      <c r="O19" s="279">
        <v>2858.9030664968</v>
      </c>
      <c r="P19" s="333">
        <v>4.0438293609000002</v>
      </c>
      <c r="Q19" s="316"/>
      <c r="R19" s="335">
        <v>0</v>
      </c>
      <c r="S19" s="335">
        <v>0</v>
      </c>
      <c r="T19" s="310"/>
    </row>
    <row r="20" spans="2:20" s="311" customFormat="1" ht="12.75" customHeight="1" x14ac:dyDescent="0.2">
      <c r="B20" s="95" t="s">
        <v>10</v>
      </c>
      <c r="C20" s="312"/>
      <c r="D20" s="279">
        <v>97494.1219003976</v>
      </c>
      <c r="E20" s="313"/>
      <c r="F20" s="279">
        <v>28476.528328356701</v>
      </c>
      <c r="G20" s="333">
        <v>30.904633267099999</v>
      </c>
      <c r="H20" s="313"/>
      <c r="I20" s="279">
        <v>73114.719266886197</v>
      </c>
      <c r="J20" s="333">
        <v>79.212191884000006</v>
      </c>
      <c r="K20" s="314"/>
      <c r="L20" s="279">
        <v>60347.762439858401</v>
      </c>
      <c r="M20" s="333">
        <v>65.083177323499996</v>
      </c>
      <c r="N20" s="315"/>
      <c r="O20" s="279">
        <v>1848.7526852390999</v>
      </c>
      <c r="P20" s="333">
        <v>2.0251250278000001</v>
      </c>
      <c r="Q20" s="316"/>
      <c r="R20" s="335">
        <v>0</v>
      </c>
      <c r="S20" s="335">
        <v>0</v>
      </c>
      <c r="T20" s="310"/>
    </row>
    <row r="21" spans="2:20" s="311" customFormat="1" ht="12.75" customHeight="1" x14ac:dyDescent="0.2">
      <c r="B21" s="95" t="s">
        <v>11</v>
      </c>
      <c r="C21" s="312"/>
      <c r="D21" s="279">
        <v>207939.33226505801</v>
      </c>
      <c r="E21" s="313"/>
      <c r="F21" s="279">
        <v>45779.747824407699</v>
      </c>
      <c r="G21" s="333">
        <v>23.528556892600001</v>
      </c>
      <c r="H21" s="313"/>
      <c r="I21" s="279">
        <v>152777.80955848299</v>
      </c>
      <c r="J21" s="333">
        <v>77.6112980093</v>
      </c>
      <c r="K21" s="314"/>
      <c r="L21" s="279">
        <v>110228.822045975</v>
      </c>
      <c r="M21" s="333">
        <v>56.753463945</v>
      </c>
      <c r="N21" s="315"/>
      <c r="O21" s="279">
        <v>3935.5421969037998</v>
      </c>
      <c r="P21" s="333">
        <v>2.0408004677</v>
      </c>
      <c r="Q21" s="316"/>
      <c r="R21" s="335">
        <v>0</v>
      </c>
      <c r="S21" s="335">
        <v>0</v>
      </c>
      <c r="T21" s="310"/>
    </row>
    <row r="22" spans="2:20" s="311" customFormat="1" ht="12.75" customHeight="1" x14ac:dyDescent="0.2">
      <c r="B22" s="95" t="s">
        <v>12</v>
      </c>
      <c r="C22" s="312"/>
      <c r="D22" s="279">
        <v>52061.983229448299</v>
      </c>
      <c r="E22" s="313"/>
      <c r="F22" s="279">
        <v>19426.452141559301</v>
      </c>
      <c r="G22" s="333">
        <v>39.333183953800003</v>
      </c>
      <c r="H22" s="313"/>
      <c r="I22" s="279">
        <v>39396.554738509803</v>
      </c>
      <c r="J22" s="333">
        <v>78.820879381500006</v>
      </c>
      <c r="K22" s="314"/>
      <c r="L22" s="279">
        <v>33603.612611640099</v>
      </c>
      <c r="M22" s="333">
        <v>68.947293129000002</v>
      </c>
      <c r="N22" s="315"/>
      <c r="O22" s="279">
        <v>1570.3784264717001</v>
      </c>
      <c r="P22" s="333">
        <v>3.3052199012000001</v>
      </c>
      <c r="Q22" s="316"/>
      <c r="R22" s="335">
        <v>0</v>
      </c>
      <c r="S22" s="335">
        <v>0</v>
      </c>
      <c r="T22" s="310"/>
    </row>
    <row r="23" spans="2:20" s="311" customFormat="1" ht="12.75" customHeight="1" x14ac:dyDescent="0.2">
      <c r="B23" s="95" t="s">
        <v>13</v>
      </c>
      <c r="C23" s="312"/>
      <c r="D23" s="279">
        <v>117219.59247200401</v>
      </c>
      <c r="E23" s="313"/>
      <c r="F23" s="279">
        <v>29784.083444823002</v>
      </c>
      <c r="G23" s="333">
        <v>27.925712215499999</v>
      </c>
      <c r="H23" s="313"/>
      <c r="I23" s="279">
        <v>85288.7421671794</v>
      </c>
      <c r="J23" s="333">
        <v>76.839387290800005</v>
      </c>
      <c r="K23" s="314"/>
      <c r="L23" s="279">
        <v>68437.943545372793</v>
      </c>
      <c r="M23" s="333">
        <v>62.532221297600003</v>
      </c>
      <c r="N23" s="315"/>
      <c r="O23" s="279">
        <v>5856.4850122378002</v>
      </c>
      <c r="P23" s="333">
        <v>5.4415845105000002</v>
      </c>
      <c r="Q23" s="316"/>
      <c r="R23" s="335">
        <v>1967.7710984518999</v>
      </c>
      <c r="S23" s="335">
        <v>1.8245155261999999</v>
      </c>
      <c r="T23" s="310"/>
    </row>
    <row r="24" spans="2:20" s="311" customFormat="1" ht="12.75" customHeight="1" x14ac:dyDescent="0.2">
      <c r="B24" s="95" t="s">
        <v>14</v>
      </c>
      <c r="C24" s="312"/>
      <c r="D24" s="279">
        <v>55814.138159103102</v>
      </c>
      <c r="E24" s="313"/>
      <c r="F24" s="279">
        <v>16824.692017899</v>
      </c>
      <c r="G24" s="333">
        <v>33.605148810800003</v>
      </c>
      <c r="H24" s="313"/>
      <c r="I24" s="279">
        <v>26625.2889255464</v>
      </c>
      <c r="J24" s="333">
        <v>52.9094414845</v>
      </c>
      <c r="K24" s="314"/>
      <c r="L24" s="279">
        <v>41453.973283458799</v>
      </c>
      <c r="M24" s="333">
        <v>78.545562430499999</v>
      </c>
      <c r="N24" s="315"/>
      <c r="O24" s="279">
        <v>4064.0623864442</v>
      </c>
      <c r="P24" s="333">
        <v>7.8971209400999998</v>
      </c>
      <c r="Q24" s="316"/>
      <c r="R24" s="335">
        <v>0</v>
      </c>
      <c r="S24" s="335">
        <v>0</v>
      </c>
      <c r="T24" s="310"/>
    </row>
    <row r="25" spans="2:20" s="311" customFormat="1" ht="12.75" customHeight="1" x14ac:dyDescent="0.2">
      <c r="B25" s="95" t="s">
        <v>15</v>
      </c>
      <c r="C25" s="312"/>
      <c r="D25" s="279">
        <v>51973.447254169303</v>
      </c>
      <c r="E25" s="313"/>
      <c r="F25" s="279">
        <v>18104.088042798401</v>
      </c>
      <c r="G25" s="333">
        <v>38.052966940899999</v>
      </c>
      <c r="H25" s="313"/>
      <c r="I25" s="279">
        <v>30007.020588733201</v>
      </c>
      <c r="J25" s="333">
        <v>63.3318994272</v>
      </c>
      <c r="K25" s="314"/>
      <c r="L25" s="279">
        <v>36413.201697428703</v>
      </c>
      <c r="M25" s="333">
        <v>74.556088809299993</v>
      </c>
      <c r="N25" s="315"/>
      <c r="O25" s="279">
        <v>2539.3942733237</v>
      </c>
      <c r="P25" s="333">
        <v>5.4887874962999996</v>
      </c>
      <c r="Q25" s="316"/>
      <c r="R25" s="335">
        <v>0</v>
      </c>
      <c r="S25" s="335">
        <v>0</v>
      </c>
      <c r="T25" s="310"/>
    </row>
    <row r="26" spans="2:20" s="311" customFormat="1" ht="12.75" customHeight="1" x14ac:dyDescent="0.2">
      <c r="B26" s="95" t="s">
        <v>16</v>
      </c>
      <c r="C26" s="312"/>
      <c r="D26" s="279">
        <v>317511.75911266002</v>
      </c>
      <c r="E26" s="313"/>
      <c r="F26" s="279">
        <v>64533.456641687299</v>
      </c>
      <c r="G26" s="333">
        <v>21.460407475899999</v>
      </c>
      <c r="H26" s="313"/>
      <c r="I26" s="279">
        <v>271548.87404447602</v>
      </c>
      <c r="J26" s="333">
        <v>88.328479121699999</v>
      </c>
      <c r="K26" s="314"/>
      <c r="L26" s="279">
        <v>190476.77372668401</v>
      </c>
      <c r="M26" s="333">
        <v>63.723168609299996</v>
      </c>
      <c r="N26" s="315"/>
      <c r="O26" s="279">
        <v>7440.6518110727002</v>
      </c>
      <c r="P26" s="333">
        <v>2.5215736390000001</v>
      </c>
      <c r="Q26" s="316"/>
      <c r="R26" s="335">
        <v>0</v>
      </c>
      <c r="S26" s="335">
        <v>0</v>
      </c>
      <c r="T26" s="310"/>
    </row>
    <row r="27" spans="2:20" s="311" customFormat="1" ht="12.75" customHeight="1" x14ac:dyDescent="0.2">
      <c r="B27" s="95" t="s">
        <v>17</v>
      </c>
      <c r="C27" s="312"/>
      <c r="D27" s="279">
        <v>245749.88296628199</v>
      </c>
      <c r="E27" s="313"/>
      <c r="F27" s="279">
        <v>62812.279051084202</v>
      </c>
      <c r="G27" s="333">
        <v>27.016088527099999</v>
      </c>
      <c r="H27" s="313"/>
      <c r="I27" s="279">
        <v>182997.258141542</v>
      </c>
      <c r="J27" s="333">
        <v>80.243524641500002</v>
      </c>
      <c r="K27" s="314"/>
      <c r="L27" s="279">
        <v>184428.46240245199</v>
      </c>
      <c r="M27" s="333">
        <v>82.141422444499995</v>
      </c>
      <c r="N27" s="315"/>
      <c r="O27" s="279">
        <v>0</v>
      </c>
      <c r="P27" s="333">
        <v>0</v>
      </c>
      <c r="Q27" s="316"/>
      <c r="R27" s="335">
        <v>0</v>
      </c>
      <c r="S27" s="335">
        <v>0</v>
      </c>
      <c r="T27" s="310"/>
    </row>
    <row r="28" spans="2:20" s="311" customFormat="1" ht="12.75" customHeight="1" x14ac:dyDescent="0.2">
      <c r="B28" s="95" t="s">
        <v>18</v>
      </c>
      <c r="C28" s="312"/>
      <c r="D28" s="279">
        <v>110619.666452114</v>
      </c>
      <c r="E28" s="313"/>
      <c r="F28" s="279">
        <v>29397.939580947099</v>
      </c>
      <c r="G28" s="333">
        <v>30.5390226755</v>
      </c>
      <c r="H28" s="313"/>
      <c r="I28" s="279">
        <v>80260.744341651603</v>
      </c>
      <c r="J28" s="333">
        <v>76.988696762100005</v>
      </c>
      <c r="K28" s="314"/>
      <c r="L28" s="279">
        <v>74856.525471213303</v>
      </c>
      <c r="M28" s="333">
        <v>70.866005213500003</v>
      </c>
      <c r="N28" s="315"/>
      <c r="O28" s="279">
        <v>2684.7935845082002</v>
      </c>
      <c r="P28" s="333">
        <v>2.7707563828000001</v>
      </c>
      <c r="Q28" s="316"/>
      <c r="R28" s="335">
        <v>0</v>
      </c>
      <c r="S28" s="335">
        <v>0</v>
      </c>
      <c r="T28" s="310"/>
    </row>
    <row r="29" spans="2:20" s="311" customFormat="1" ht="12.75" customHeight="1" x14ac:dyDescent="0.2">
      <c r="B29" s="95" t="s">
        <v>19</v>
      </c>
      <c r="C29" s="312"/>
      <c r="D29" s="279">
        <v>29202.629438434898</v>
      </c>
      <c r="E29" s="313"/>
      <c r="F29" s="279">
        <v>5925.1487375215002</v>
      </c>
      <c r="G29" s="333">
        <v>22.156888648399999</v>
      </c>
      <c r="H29" s="313"/>
      <c r="I29" s="279">
        <v>19195.7843452054</v>
      </c>
      <c r="J29" s="333">
        <v>70.224994285600005</v>
      </c>
      <c r="K29" s="314"/>
      <c r="L29" s="279">
        <v>19299.848793285601</v>
      </c>
      <c r="M29" s="333">
        <v>70.722509005000006</v>
      </c>
      <c r="N29" s="315"/>
      <c r="O29" s="279">
        <v>1353.0101451542</v>
      </c>
      <c r="P29" s="333">
        <v>5.1617426167999998</v>
      </c>
      <c r="Q29" s="316"/>
      <c r="R29" s="335">
        <v>0</v>
      </c>
      <c r="S29" s="335">
        <v>0</v>
      </c>
      <c r="T29" s="310"/>
    </row>
    <row r="30" spans="2:20" s="311" customFormat="1" ht="12.75" customHeight="1" x14ac:dyDescent="0.2">
      <c r="B30" s="95" t="s">
        <v>20</v>
      </c>
      <c r="C30" s="312"/>
      <c r="D30" s="279">
        <v>44936.414763671703</v>
      </c>
      <c r="E30" s="313"/>
      <c r="F30" s="279">
        <v>7245.5069107586996</v>
      </c>
      <c r="G30" s="333">
        <v>18.356731003899998</v>
      </c>
      <c r="H30" s="313"/>
      <c r="I30" s="279">
        <v>26870.2170787451</v>
      </c>
      <c r="J30" s="333">
        <v>63.336998146299997</v>
      </c>
      <c r="K30" s="314"/>
      <c r="L30" s="279">
        <v>29292.880328707601</v>
      </c>
      <c r="M30" s="333">
        <v>68.689902582900004</v>
      </c>
      <c r="N30" s="315"/>
      <c r="O30" s="279">
        <v>2546.1769412483</v>
      </c>
      <c r="P30" s="333">
        <v>6.3518802286999998</v>
      </c>
      <c r="Q30" s="316"/>
      <c r="R30" s="335">
        <v>0</v>
      </c>
      <c r="S30" s="335">
        <v>0</v>
      </c>
      <c r="T30" s="310"/>
    </row>
    <row r="31" spans="2:20" s="311" customFormat="1" ht="12.75" customHeight="1" x14ac:dyDescent="0.2">
      <c r="B31" s="95" t="s">
        <v>21</v>
      </c>
      <c r="C31" s="312"/>
      <c r="D31" s="279">
        <v>228529.87533276301</v>
      </c>
      <c r="E31" s="313"/>
      <c r="F31" s="279">
        <v>49851.440850293999</v>
      </c>
      <c r="G31" s="333">
        <v>23.318259083400001</v>
      </c>
      <c r="H31" s="313"/>
      <c r="I31" s="279">
        <v>166329.60464134</v>
      </c>
      <c r="J31" s="333">
        <v>76.622881486699995</v>
      </c>
      <c r="K31" s="314"/>
      <c r="L31" s="279">
        <v>142784.56535067499</v>
      </c>
      <c r="M31" s="333">
        <v>65.1996700758</v>
      </c>
      <c r="N31" s="315"/>
      <c r="O31" s="279">
        <v>0</v>
      </c>
      <c r="P31" s="333">
        <v>0</v>
      </c>
      <c r="Q31" s="316"/>
      <c r="R31" s="335">
        <v>0</v>
      </c>
      <c r="S31" s="335">
        <v>0</v>
      </c>
      <c r="T31" s="310"/>
    </row>
    <row r="32" spans="2:20" s="311" customFormat="1" ht="12.75" customHeight="1" x14ac:dyDescent="0.2">
      <c r="B32" s="95" t="s">
        <v>22</v>
      </c>
      <c r="C32" s="312"/>
      <c r="D32" s="279">
        <v>85644.643141977896</v>
      </c>
      <c r="E32" s="313"/>
      <c r="F32" s="279">
        <v>15830.744147567701</v>
      </c>
      <c r="G32" s="333">
        <v>21.168438176399999</v>
      </c>
      <c r="H32" s="313"/>
      <c r="I32" s="279">
        <v>41220.146221504299</v>
      </c>
      <c r="J32" s="333">
        <v>52.574889337999998</v>
      </c>
      <c r="K32" s="314"/>
      <c r="L32" s="279">
        <v>67383.320850752905</v>
      </c>
      <c r="M32" s="333">
        <v>83.715123385499993</v>
      </c>
      <c r="N32" s="315"/>
      <c r="O32" s="279">
        <v>0</v>
      </c>
      <c r="P32" s="333">
        <v>0</v>
      </c>
      <c r="Q32" s="316"/>
      <c r="R32" s="335">
        <v>0</v>
      </c>
      <c r="S32" s="335">
        <v>0</v>
      </c>
      <c r="T32" s="310"/>
    </row>
    <row r="33" spans="2:20" s="311" customFormat="1" ht="12.75" customHeight="1" x14ac:dyDescent="0.2">
      <c r="B33" s="95" t="s">
        <v>23</v>
      </c>
      <c r="C33" s="312"/>
      <c r="D33" s="279">
        <v>83805.017769934799</v>
      </c>
      <c r="E33" s="313"/>
      <c r="F33" s="279">
        <v>19586.634416093701</v>
      </c>
      <c r="G33" s="333">
        <v>25.4314391198</v>
      </c>
      <c r="H33" s="313"/>
      <c r="I33" s="279">
        <v>52257.438627081603</v>
      </c>
      <c r="J33" s="333">
        <v>66.839821616500004</v>
      </c>
      <c r="K33" s="314"/>
      <c r="L33" s="279">
        <v>56508.046800526201</v>
      </c>
      <c r="M33" s="333">
        <v>72.005462933499999</v>
      </c>
      <c r="N33" s="315"/>
      <c r="O33" s="279">
        <v>0</v>
      </c>
      <c r="P33" s="333">
        <v>0</v>
      </c>
      <c r="Q33" s="316"/>
      <c r="R33" s="335">
        <v>0</v>
      </c>
      <c r="S33" s="335">
        <v>0</v>
      </c>
      <c r="T33" s="310"/>
    </row>
    <row r="34" spans="2:20" s="311" customFormat="1" ht="12.75" customHeight="1" x14ac:dyDescent="0.2">
      <c r="B34" s="95" t="s">
        <v>24</v>
      </c>
      <c r="C34" s="312"/>
      <c r="D34" s="279">
        <v>83493.579120331604</v>
      </c>
      <c r="E34" s="313"/>
      <c r="F34" s="279">
        <v>24320.6392764509</v>
      </c>
      <c r="G34" s="333">
        <v>31.2109983024</v>
      </c>
      <c r="H34" s="313"/>
      <c r="I34" s="279">
        <v>53937.681256986099</v>
      </c>
      <c r="J34" s="333">
        <v>75.450513338600004</v>
      </c>
      <c r="K34" s="314"/>
      <c r="L34" s="279">
        <v>45352.6380799283</v>
      </c>
      <c r="M34" s="333">
        <v>58.839845270600001</v>
      </c>
      <c r="N34" s="315"/>
      <c r="O34" s="279">
        <v>2299.2111830503</v>
      </c>
      <c r="P34" s="333">
        <v>3.1991197436999999</v>
      </c>
      <c r="Q34" s="316"/>
      <c r="R34" s="335">
        <v>0</v>
      </c>
      <c r="S34" s="335">
        <v>0</v>
      </c>
      <c r="T34" s="310"/>
    </row>
    <row r="35" spans="2:20" s="311" customFormat="1" ht="12.75" customHeight="1" x14ac:dyDescent="0.2">
      <c r="B35" s="95" t="s">
        <v>25</v>
      </c>
      <c r="C35" s="312"/>
      <c r="D35" s="279">
        <v>60261.430122796999</v>
      </c>
      <c r="E35" s="313"/>
      <c r="F35" s="279">
        <v>11805.2359777199</v>
      </c>
      <c r="G35" s="333">
        <v>21.171742195699998</v>
      </c>
      <c r="H35" s="313"/>
      <c r="I35" s="279">
        <v>43623.675492585899</v>
      </c>
      <c r="J35" s="333">
        <v>78.655059848299999</v>
      </c>
      <c r="K35" s="314"/>
      <c r="L35" s="279">
        <v>34333.748015228201</v>
      </c>
      <c r="M35" s="333">
        <v>59.3565037041</v>
      </c>
      <c r="N35" s="315"/>
      <c r="O35" s="279">
        <v>2225.9221166952002</v>
      </c>
      <c r="P35" s="333">
        <v>4.0029204299999996</v>
      </c>
      <c r="Q35" s="316"/>
      <c r="R35" s="335">
        <v>0</v>
      </c>
      <c r="S35" s="335">
        <v>0</v>
      </c>
      <c r="T35" s="310"/>
    </row>
    <row r="36" spans="2:20" s="311" customFormat="1" ht="12.75" customHeight="1" x14ac:dyDescent="0.2">
      <c r="B36" s="95" t="s">
        <v>26</v>
      </c>
      <c r="C36" s="312"/>
      <c r="D36" s="279">
        <v>57947.4789793608</v>
      </c>
      <c r="E36" s="313"/>
      <c r="F36" s="279">
        <v>21551.829607600299</v>
      </c>
      <c r="G36" s="333">
        <v>39.2816917492</v>
      </c>
      <c r="H36" s="313"/>
      <c r="I36" s="279">
        <v>44327.116692548203</v>
      </c>
      <c r="J36" s="333">
        <v>80.837122943400004</v>
      </c>
      <c r="K36" s="314"/>
      <c r="L36" s="279">
        <v>38927.103582809497</v>
      </c>
      <c r="M36" s="333">
        <v>71.794681859400001</v>
      </c>
      <c r="N36" s="315"/>
      <c r="O36" s="279">
        <v>2865.8341632878</v>
      </c>
      <c r="P36" s="333">
        <v>5.3486139933999999</v>
      </c>
      <c r="Q36" s="316"/>
      <c r="R36" s="335">
        <v>0</v>
      </c>
      <c r="S36" s="335">
        <v>0</v>
      </c>
      <c r="T36" s="310"/>
    </row>
    <row r="37" spans="2:20" s="311" customFormat="1" ht="12.75" customHeight="1" x14ac:dyDescent="0.2">
      <c r="B37" s="95" t="s">
        <v>27</v>
      </c>
      <c r="C37" s="312"/>
      <c r="D37" s="279">
        <v>70872.055599581203</v>
      </c>
      <c r="E37" s="313"/>
      <c r="F37" s="279">
        <v>11925.3260781226</v>
      </c>
      <c r="G37" s="333">
        <v>18.1613611197</v>
      </c>
      <c r="H37" s="313"/>
      <c r="I37" s="279">
        <v>54060.454671729298</v>
      </c>
      <c r="J37" s="333">
        <v>80.064307583100003</v>
      </c>
      <c r="K37" s="314"/>
      <c r="L37" s="279">
        <v>47553.3857188318</v>
      </c>
      <c r="M37" s="333">
        <v>70.934932769900001</v>
      </c>
      <c r="N37" s="315"/>
      <c r="O37" s="279">
        <v>1679.4820531142</v>
      </c>
      <c r="P37" s="333">
        <v>2.5514893283000002</v>
      </c>
      <c r="Q37" s="316"/>
      <c r="R37" s="335">
        <v>0</v>
      </c>
      <c r="S37" s="335">
        <v>0</v>
      </c>
      <c r="T37" s="310"/>
    </row>
    <row r="38" spans="2:20" s="311" customFormat="1" ht="12.75" customHeight="1" x14ac:dyDescent="0.2">
      <c r="B38" s="95" t="s">
        <v>28</v>
      </c>
      <c r="C38" s="312"/>
      <c r="D38" s="279">
        <v>130348.844676715</v>
      </c>
      <c r="E38" s="313"/>
      <c r="F38" s="279">
        <v>29679.563116356199</v>
      </c>
      <c r="G38" s="333">
        <v>24.452800398899999</v>
      </c>
      <c r="H38" s="313"/>
      <c r="I38" s="279">
        <v>90502.416578285396</v>
      </c>
      <c r="J38" s="333">
        <v>73.762335719899994</v>
      </c>
      <c r="K38" s="314"/>
      <c r="L38" s="279">
        <v>84030.207809203494</v>
      </c>
      <c r="M38" s="333">
        <v>67.608922598500001</v>
      </c>
      <c r="N38" s="315"/>
      <c r="O38" s="279">
        <v>2501.4668233018001</v>
      </c>
      <c r="P38" s="333">
        <v>2.0837545956999999</v>
      </c>
      <c r="Q38" s="316"/>
      <c r="R38" s="335">
        <v>0</v>
      </c>
      <c r="S38" s="335">
        <v>0</v>
      </c>
      <c r="T38" s="310"/>
    </row>
    <row r="39" spans="2:20" s="311" customFormat="1" ht="12.75" customHeight="1" x14ac:dyDescent="0.2">
      <c r="B39" s="95" t="s">
        <v>29</v>
      </c>
      <c r="C39" s="312"/>
      <c r="D39" s="279">
        <v>60958.294376071499</v>
      </c>
      <c r="E39" s="313"/>
      <c r="F39" s="279">
        <v>24009.067784362702</v>
      </c>
      <c r="G39" s="333">
        <v>43.089396303999997</v>
      </c>
      <c r="H39" s="313"/>
      <c r="I39" s="279">
        <v>29426.946106470699</v>
      </c>
      <c r="J39" s="333">
        <v>52.144889616900002</v>
      </c>
      <c r="K39" s="314"/>
      <c r="L39" s="279">
        <v>44276.546257802198</v>
      </c>
      <c r="M39" s="333">
        <v>76.508305953700003</v>
      </c>
      <c r="N39" s="315"/>
      <c r="O39" s="279">
        <v>0</v>
      </c>
      <c r="P39" s="333">
        <v>0</v>
      </c>
      <c r="Q39" s="316"/>
      <c r="R39" s="335">
        <v>1113.4833769465999</v>
      </c>
      <c r="S39" s="335">
        <v>2.0648130988000002</v>
      </c>
      <c r="T39" s="310"/>
    </row>
    <row r="40" spans="2:20" s="311" customFormat="1" ht="12.75" customHeight="1" x14ac:dyDescent="0.2">
      <c r="B40" s="95" t="s">
        <v>30</v>
      </c>
      <c r="C40" s="312"/>
      <c r="D40" s="279">
        <v>115544.217259397</v>
      </c>
      <c r="E40" s="313"/>
      <c r="F40" s="279">
        <v>30550.491666382</v>
      </c>
      <c r="G40" s="333">
        <v>28.3735622578</v>
      </c>
      <c r="H40" s="313"/>
      <c r="I40" s="279">
        <v>93374.995306571494</v>
      </c>
      <c r="J40" s="333">
        <v>83.411733413999997</v>
      </c>
      <c r="K40" s="314"/>
      <c r="L40" s="279">
        <v>66313.623407526204</v>
      </c>
      <c r="M40" s="333">
        <v>60.7785580651</v>
      </c>
      <c r="N40" s="315"/>
      <c r="O40" s="279">
        <v>3319.9924361520998</v>
      </c>
      <c r="P40" s="333">
        <v>3.1146518597999999</v>
      </c>
      <c r="Q40" s="316"/>
      <c r="R40" s="335">
        <v>0</v>
      </c>
      <c r="S40" s="335">
        <v>0</v>
      </c>
      <c r="T40" s="310"/>
    </row>
    <row r="41" spans="2:20" s="311" customFormat="1" ht="12.75" customHeight="1" x14ac:dyDescent="0.2">
      <c r="B41" s="95" t="s">
        <v>31</v>
      </c>
      <c r="C41" s="312"/>
      <c r="D41" s="279">
        <v>12239.7037674487</v>
      </c>
      <c r="E41" s="313"/>
      <c r="F41" s="279">
        <v>4518.3224520803997</v>
      </c>
      <c r="G41" s="333">
        <v>40.006457625400003</v>
      </c>
      <c r="H41" s="313"/>
      <c r="I41" s="279">
        <v>6848.9510823952996</v>
      </c>
      <c r="J41" s="333">
        <v>59.720739818799998</v>
      </c>
      <c r="K41" s="314"/>
      <c r="L41" s="279">
        <v>9564.9480306519999</v>
      </c>
      <c r="M41" s="333">
        <v>84.237399435900002</v>
      </c>
      <c r="N41" s="315"/>
      <c r="O41" s="279">
        <v>610.96118782580004</v>
      </c>
      <c r="P41" s="333">
        <v>5.5176885737000001</v>
      </c>
      <c r="Q41" s="316"/>
      <c r="R41" s="335">
        <v>0</v>
      </c>
      <c r="S41" s="335">
        <v>0</v>
      </c>
      <c r="T41" s="310"/>
    </row>
    <row r="42" spans="2:20" s="311" customFormat="1" ht="12.75" customHeight="1" x14ac:dyDescent="0.2">
      <c r="B42" s="95" t="s">
        <v>32</v>
      </c>
      <c r="C42" s="312"/>
      <c r="D42" s="279">
        <v>155398.224768927</v>
      </c>
      <c r="E42" s="313"/>
      <c r="F42" s="279">
        <v>59576.337478388297</v>
      </c>
      <c r="G42" s="333">
        <v>42.1222148843</v>
      </c>
      <c r="H42" s="313"/>
      <c r="I42" s="279">
        <v>111233.409166217</v>
      </c>
      <c r="J42" s="333">
        <v>76.256257954500001</v>
      </c>
      <c r="K42" s="314"/>
      <c r="L42" s="279">
        <v>99969.495403926005</v>
      </c>
      <c r="M42" s="333">
        <v>70.368176389200002</v>
      </c>
      <c r="N42" s="315"/>
      <c r="O42" s="279">
        <v>0</v>
      </c>
      <c r="P42" s="333">
        <v>0</v>
      </c>
      <c r="Q42" s="316"/>
      <c r="R42" s="335">
        <v>0</v>
      </c>
      <c r="S42" s="335">
        <v>0</v>
      </c>
      <c r="T42" s="310"/>
    </row>
    <row r="43" spans="2:20" s="311" customFormat="1" ht="12.75" customHeight="1" x14ac:dyDescent="0.2">
      <c r="B43" s="95" t="s">
        <v>33</v>
      </c>
      <c r="C43" s="312"/>
      <c r="D43" s="279">
        <v>94932.431848099499</v>
      </c>
      <c r="E43" s="313"/>
      <c r="F43" s="279">
        <v>29737.4461662106</v>
      </c>
      <c r="G43" s="333">
        <v>34.4789624446</v>
      </c>
      <c r="H43" s="313"/>
      <c r="I43" s="279">
        <v>55647.415782010801</v>
      </c>
      <c r="J43" s="333">
        <v>62.159124227500001</v>
      </c>
      <c r="K43" s="314"/>
      <c r="L43" s="279">
        <v>70021.033573075198</v>
      </c>
      <c r="M43" s="333">
        <v>76.902036684500004</v>
      </c>
      <c r="N43" s="315"/>
      <c r="O43" s="279">
        <v>2084.1446580378001</v>
      </c>
      <c r="P43" s="333">
        <v>2.3806038816999999</v>
      </c>
      <c r="Q43" s="316"/>
      <c r="R43" s="335">
        <v>1520.7908354971</v>
      </c>
      <c r="S43" s="335">
        <v>1.7267686014000001</v>
      </c>
      <c r="T43" s="310"/>
    </row>
    <row r="44" spans="2:20" s="311" customFormat="1" ht="12.75" customHeight="1" x14ac:dyDescent="0.2">
      <c r="B44" s="95" t="s">
        <v>34</v>
      </c>
      <c r="C44" s="312"/>
      <c r="D44" s="279">
        <v>49515.189313489602</v>
      </c>
      <c r="E44" s="313"/>
      <c r="F44" s="279">
        <v>13511.669470823999</v>
      </c>
      <c r="G44" s="333">
        <v>30.360400943399998</v>
      </c>
      <c r="H44" s="313"/>
      <c r="I44" s="279">
        <v>30906.009982882399</v>
      </c>
      <c r="J44" s="333">
        <v>65.784495903700005</v>
      </c>
      <c r="K44" s="314"/>
      <c r="L44" s="279">
        <v>32076.460707455801</v>
      </c>
      <c r="M44" s="333">
        <v>68.951820978100002</v>
      </c>
      <c r="N44" s="315"/>
      <c r="O44" s="279">
        <v>2020.2433667471</v>
      </c>
      <c r="P44" s="333">
        <v>4.5789135021999998</v>
      </c>
      <c r="Q44" s="316"/>
      <c r="R44" s="335">
        <v>354.41038601150001</v>
      </c>
      <c r="S44" s="335">
        <v>0.81586764960000002</v>
      </c>
      <c r="T44" s="310"/>
    </row>
    <row r="45" spans="2:20" ht="6" customHeight="1" x14ac:dyDescent="0.25">
      <c r="B45" s="317"/>
      <c r="C45" s="318"/>
      <c r="D45" s="264"/>
      <c r="E45" s="319"/>
      <c r="F45" s="264"/>
      <c r="G45" s="320"/>
      <c r="H45" s="320"/>
      <c r="I45" s="264"/>
      <c r="J45" s="320"/>
      <c r="K45" s="321"/>
      <c r="L45" s="264"/>
      <c r="M45" s="320"/>
      <c r="N45" s="322"/>
      <c r="O45" s="264"/>
      <c r="P45" s="320"/>
      <c r="Q45" s="264"/>
      <c r="R45" s="264"/>
      <c r="S45" s="264"/>
      <c r="T45" s="304"/>
    </row>
    <row r="46" spans="2:20" ht="6" customHeight="1" x14ac:dyDescent="0.25">
      <c r="B46" s="228"/>
      <c r="C46" s="290"/>
      <c r="D46" s="145"/>
      <c r="E46" s="323"/>
      <c r="F46" s="145"/>
      <c r="G46" s="324"/>
      <c r="H46" s="324"/>
      <c r="I46" s="145"/>
      <c r="J46" s="324"/>
      <c r="K46" s="325"/>
      <c r="L46" s="145"/>
      <c r="M46" s="324"/>
      <c r="N46" s="326"/>
      <c r="O46" s="145"/>
      <c r="P46" s="324"/>
      <c r="Q46" s="327"/>
      <c r="R46" s="292"/>
      <c r="S46" s="292"/>
    </row>
    <row r="47" spans="2:20" ht="12.75" customHeight="1" x14ac:dyDescent="0.25">
      <c r="B47" s="273" t="s">
        <v>93</v>
      </c>
      <c r="C47" s="290"/>
      <c r="D47" s="145"/>
      <c r="E47" s="323"/>
      <c r="F47" s="145"/>
      <c r="G47" s="324"/>
      <c r="H47" s="324"/>
      <c r="I47" s="145"/>
      <c r="J47" s="324"/>
      <c r="K47" s="325"/>
      <c r="L47" s="145"/>
      <c r="M47" s="324"/>
      <c r="N47" s="326"/>
      <c r="O47" s="145"/>
      <c r="P47" s="324"/>
      <c r="Q47" s="327"/>
      <c r="R47" s="292"/>
      <c r="S47" s="292"/>
    </row>
    <row r="48" spans="2:20" ht="12.75" customHeight="1" x14ac:dyDescent="0.25">
      <c r="B48" s="328" t="s">
        <v>74</v>
      </c>
      <c r="C48" s="290"/>
      <c r="D48" s="145"/>
      <c r="E48" s="323"/>
      <c r="F48" s="145"/>
      <c r="G48" s="324"/>
      <c r="H48" s="324"/>
      <c r="I48" s="145"/>
      <c r="J48" s="324"/>
      <c r="K48" s="325"/>
      <c r="L48" s="145"/>
      <c r="M48" s="324"/>
      <c r="N48" s="326"/>
      <c r="O48" s="145"/>
      <c r="P48" s="324"/>
      <c r="Q48" s="327"/>
      <c r="R48" s="292"/>
      <c r="S48" s="292"/>
    </row>
    <row r="49" spans="2:19" ht="12" customHeight="1" x14ac:dyDescent="0.25">
      <c r="B49" s="4" t="s">
        <v>77</v>
      </c>
      <c r="C49" s="290"/>
      <c r="D49" s="145"/>
      <c r="E49" s="323"/>
      <c r="F49" s="145"/>
      <c r="G49" s="324"/>
      <c r="H49" s="324"/>
      <c r="I49" s="145"/>
      <c r="J49" s="324"/>
      <c r="K49" s="325"/>
      <c r="L49" s="145"/>
      <c r="M49" s="324"/>
      <c r="N49" s="326"/>
      <c r="O49" s="145"/>
      <c r="P49" s="324"/>
      <c r="Q49" s="327"/>
      <c r="R49" s="292"/>
      <c r="S49" s="292"/>
    </row>
    <row r="50" spans="2:19" ht="12" customHeight="1" x14ac:dyDescent="0.25">
      <c r="B50" s="4" t="s">
        <v>78</v>
      </c>
      <c r="C50" s="290"/>
      <c r="D50" s="145"/>
      <c r="E50" s="323"/>
      <c r="F50" s="145"/>
      <c r="G50" s="324"/>
      <c r="H50" s="324"/>
      <c r="I50" s="145"/>
      <c r="J50" s="324"/>
      <c r="K50" s="325"/>
      <c r="L50" s="145"/>
      <c r="M50" s="324"/>
      <c r="N50" s="326"/>
      <c r="O50" s="145"/>
      <c r="P50" s="324"/>
      <c r="Q50" s="327"/>
      <c r="R50" s="292"/>
      <c r="S50" s="292"/>
    </row>
    <row r="51" spans="2:19" ht="12" customHeight="1" x14ac:dyDescent="0.25">
      <c r="B51" s="4" t="s">
        <v>79</v>
      </c>
      <c r="C51" s="290"/>
      <c r="D51" s="145"/>
      <c r="E51" s="323"/>
      <c r="F51" s="145"/>
      <c r="G51" s="324"/>
      <c r="H51" s="324"/>
      <c r="I51" s="145"/>
      <c r="J51" s="324"/>
      <c r="K51" s="325"/>
      <c r="L51" s="145"/>
      <c r="M51" s="324"/>
      <c r="N51" s="326"/>
      <c r="O51" s="145"/>
      <c r="P51" s="324"/>
      <c r="Q51" s="327"/>
      <c r="R51" s="292"/>
      <c r="S51" s="292"/>
    </row>
    <row r="52" spans="2:19" s="13" customFormat="1" ht="14.25" x14ac:dyDescent="0.2">
      <c r="B52" s="109" t="s">
        <v>57</v>
      </c>
    </row>
  </sheetData>
  <mergeCells count="9">
    <mergeCell ref="B5:N5"/>
    <mergeCell ref="B7:C9"/>
    <mergeCell ref="D7:D9"/>
    <mergeCell ref="F7:S7"/>
    <mergeCell ref="F8:G8"/>
    <mergeCell ref="I8:J8"/>
    <mergeCell ref="L8:M8"/>
    <mergeCell ref="O8:P8"/>
    <mergeCell ref="R8:S8"/>
  </mergeCells>
  <hyperlinks>
    <hyperlink ref="S1" location="Índice!A1" tooltip="Ir a ÍNDICE" display="INDICE" xr:uid="{66CA0681-BEE7-450F-9FB7-3F0C1ACB7F76}"/>
  </hyperlinks>
  <pageMargins left="0.70866141732283472" right="0.70866141732283472" top="0.74803149606299213" bottom="0.74803149606299213" header="0.31496062992125984" footer="0.31496062992125984"/>
  <pageSetup orientation="portrait" verticalDpi="12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A8C1FF-5F5D-40A1-8EB9-BD79C877F27F}">
  <dimension ref="B1:S49"/>
  <sheetViews>
    <sheetView showGridLines="0" zoomScaleNormal="100" workbookViewId="0"/>
  </sheetViews>
  <sheetFormatPr baseColWidth="10" defaultColWidth="11.42578125" defaultRowHeight="15" x14ac:dyDescent="0.25"/>
  <cols>
    <col min="1" max="1" width="1.7109375" style="345" customWidth="1"/>
    <col min="2" max="2" width="24.28515625" style="345" customWidth="1"/>
    <col min="3" max="3" width="0.85546875" style="369" customWidth="1"/>
    <col min="4" max="4" width="18.7109375" style="375" customWidth="1"/>
    <col min="5" max="5" width="1.7109375" style="375" customWidth="1"/>
    <col min="6" max="6" width="12.7109375" style="375" customWidth="1"/>
    <col min="7" max="7" width="12.7109375" style="376" customWidth="1"/>
    <col min="8" max="8" width="1.7109375" style="375" customWidth="1"/>
    <col min="9" max="9" width="12.7109375" style="375" customWidth="1"/>
    <col min="10" max="10" width="12.7109375" style="376" customWidth="1"/>
    <col min="11" max="11" width="1.7109375" style="375" customWidth="1"/>
    <col min="12" max="12" width="12.7109375" style="375" customWidth="1"/>
    <col min="13" max="13" width="12.7109375" style="376" customWidth="1"/>
    <col min="14" max="14" width="1.7109375" style="375" customWidth="1"/>
    <col min="15" max="15" width="12.7109375" style="345" customWidth="1"/>
    <col min="16" max="16" width="12.7109375" style="377" customWidth="1"/>
    <col min="17" max="16384" width="11.42578125" style="345"/>
  </cols>
  <sheetData>
    <row r="1" spans="2:19" s="337" customFormat="1" ht="12" customHeight="1" x14ac:dyDescent="0.2">
      <c r="B1" s="639" t="s">
        <v>202</v>
      </c>
      <c r="D1" s="338"/>
      <c r="E1" s="338"/>
      <c r="F1" s="338"/>
      <c r="G1" s="338"/>
      <c r="H1" s="338"/>
      <c r="I1" s="338"/>
      <c r="K1" s="338"/>
      <c r="L1" s="338"/>
      <c r="M1" s="338"/>
      <c r="N1" s="338"/>
      <c r="P1" s="72" t="s">
        <v>151</v>
      </c>
    </row>
    <row r="2" spans="2:19" s="337" customFormat="1" ht="6.95" customHeight="1" x14ac:dyDescent="0.2">
      <c r="B2" s="639"/>
      <c r="D2" s="338"/>
      <c r="E2" s="338"/>
      <c r="F2" s="338"/>
      <c r="G2" s="338"/>
      <c r="H2" s="338"/>
      <c r="I2" s="338"/>
      <c r="J2" s="338"/>
      <c r="K2" s="338"/>
      <c r="L2" s="338"/>
      <c r="M2" s="338"/>
      <c r="N2" s="338"/>
    </row>
    <row r="3" spans="2:19" s="337" customFormat="1" ht="15" customHeight="1" x14ac:dyDescent="0.2">
      <c r="B3" s="639" t="s">
        <v>199</v>
      </c>
      <c r="C3" s="336"/>
      <c r="D3" s="336"/>
      <c r="E3" s="336"/>
      <c r="F3" s="336"/>
      <c r="G3" s="336"/>
      <c r="H3" s="336"/>
      <c r="I3" s="336"/>
      <c r="J3" s="336"/>
      <c r="K3" s="336"/>
      <c r="L3" s="336"/>
      <c r="M3" s="336"/>
      <c r="N3" s="336"/>
      <c r="O3" s="336"/>
      <c r="P3" s="336"/>
      <c r="Q3" s="336"/>
      <c r="R3" s="336"/>
      <c r="S3" s="336"/>
    </row>
    <row r="4" spans="2:19" s="337" customFormat="1" ht="6.95" customHeight="1" x14ac:dyDescent="0.2">
      <c r="C4" s="339"/>
      <c r="D4" s="338"/>
      <c r="E4" s="338"/>
      <c r="F4" s="338"/>
      <c r="G4" s="338"/>
      <c r="H4" s="338"/>
      <c r="I4" s="338"/>
      <c r="J4" s="338"/>
      <c r="K4" s="338"/>
      <c r="L4" s="338"/>
      <c r="M4" s="338"/>
      <c r="N4" s="338"/>
    </row>
    <row r="5" spans="2:19" s="337" customFormat="1" ht="25.5" customHeight="1" x14ac:dyDescent="0.2">
      <c r="B5" s="696" t="s">
        <v>154</v>
      </c>
      <c r="C5" s="696"/>
      <c r="D5" s="696"/>
      <c r="E5" s="696"/>
      <c r="F5" s="696"/>
      <c r="G5" s="696"/>
      <c r="H5" s="696"/>
      <c r="I5" s="696"/>
      <c r="J5" s="696"/>
      <c r="K5" s="696"/>
      <c r="L5" s="696"/>
      <c r="M5" s="696"/>
      <c r="N5" s="696"/>
      <c r="O5" s="340"/>
      <c r="P5" s="71" t="s">
        <v>113</v>
      </c>
    </row>
    <row r="6" spans="2:19" ht="6" customHeight="1" x14ac:dyDescent="0.25">
      <c r="B6" s="341"/>
      <c r="C6" s="342"/>
      <c r="D6" s="343"/>
      <c r="E6" s="343"/>
      <c r="F6" s="343"/>
      <c r="G6" s="343"/>
      <c r="H6" s="343"/>
      <c r="I6" s="343"/>
      <c r="J6" s="343"/>
      <c r="K6" s="343"/>
      <c r="L6" s="343"/>
      <c r="M6" s="343"/>
      <c r="N6" s="343"/>
      <c r="O6" s="344"/>
      <c r="P6" s="344"/>
    </row>
    <row r="7" spans="2:19" ht="15" customHeight="1" x14ac:dyDescent="0.25">
      <c r="B7" s="681" t="s">
        <v>76</v>
      </c>
      <c r="C7" s="681"/>
      <c r="D7" s="697" t="s">
        <v>108</v>
      </c>
      <c r="E7" s="346"/>
      <c r="F7" s="700" t="s">
        <v>40</v>
      </c>
      <c r="G7" s="700"/>
      <c r="H7" s="700"/>
      <c r="I7" s="700"/>
      <c r="J7" s="700"/>
      <c r="K7" s="700"/>
      <c r="L7" s="700"/>
      <c r="M7" s="700"/>
      <c r="N7" s="700"/>
      <c r="O7" s="700"/>
      <c r="P7" s="700"/>
    </row>
    <row r="8" spans="2:19" ht="24.75" customHeight="1" x14ac:dyDescent="0.25">
      <c r="B8" s="682"/>
      <c r="C8" s="682"/>
      <c r="D8" s="698"/>
      <c r="E8" s="347"/>
      <c r="F8" s="701" t="s">
        <v>41</v>
      </c>
      <c r="G8" s="701"/>
      <c r="H8" s="348"/>
      <c r="I8" s="701" t="s">
        <v>42</v>
      </c>
      <c r="J8" s="701"/>
      <c r="K8" s="348"/>
      <c r="L8" s="701" t="s">
        <v>128</v>
      </c>
      <c r="M8" s="701"/>
      <c r="N8" s="349"/>
      <c r="O8" s="701" t="s">
        <v>43</v>
      </c>
      <c r="P8" s="701"/>
    </row>
    <row r="9" spans="2:19" x14ac:dyDescent="0.25">
      <c r="B9" s="683"/>
      <c r="C9" s="683"/>
      <c r="D9" s="699"/>
      <c r="E9" s="350"/>
      <c r="F9" s="351" t="s">
        <v>0</v>
      </c>
      <c r="G9" s="351" t="s">
        <v>1</v>
      </c>
      <c r="H9" s="351"/>
      <c r="I9" s="351" t="s">
        <v>0</v>
      </c>
      <c r="J9" s="351" t="s">
        <v>1</v>
      </c>
      <c r="K9" s="352"/>
      <c r="L9" s="351" t="s">
        <v>0</v>
      </c>
      <c r="M9" s="351" t="s">
        <v>1</v>
      </c>
      <c r="N9" s="352"/>
      <c r="O9" s="351" t="s">
        <v>0</v>
      </c>
      <c r="P9" s="351" t="s">
        <v>1</v>
      </c>
    </row>
    <row r="10" spans="2:19" ht="6" customHeight="1" x14ac:dyDescent="0.25">
      <c r="B10" s="10"/>
      <c r="C10" s="353"/>
      <c r="D10" s="354"/>
      <c r="E10" s="354"/>
      <c r="F10" s="355"/>
      <c r="G10" s="355"/>
      <c r="H10" s="355"/>
      <c r="I10" s="355"/>
      <c r="J10" s="355"/>
      <c r="K10" s="355"/>
      <c r="L10" s="355"/>
      <c r="M10" s="355"/>
      <c r="N10" s="356"/>
      <c r="O10" s="356"/>
      <c r="P10" s="356"/>
    </row>
    <row r="11" spans="2:19" s="357" customFormat="1" ht="11.25" x14ac:dyDescent="0.2">
      <c r="B11" s="96" t="s">
        <v>2</v>
      </c>
      <c r="D11" s="334">
        <v>2822025.6022069799</v>
      </c>
      <c r="E11" s="87"/>
      <c r="F11" s="334">
        <v>1252433.6059743001</v>
      </c>
      <c r="G11" s="334">
        <v>45.133093110700003</v>
      </c>
      <c r="H11" s="87"/>
      <c r="I11" s="334">
        <v>529049.603653286</v>
      </c>
      <c r="J11" s="334">
        <v>19.069418197600001</v>
      </c>
      <c r="K11" s="87"/>
      <c r="L11" s="334">
        <v>804488.453558126</v>
      </c>
      <c r="M11" s="334">
        <v>28.973713844100001</v>
      </c>
      <c r="N11" s="87"/>
      <c r="O11" s="334">
        <v>337033.069366196</v>
      </c>
      <c r="P11" s="334">
        <v>12.1703873854</v>
      </c>
    </row>
    <row r="12" spans="2:19" s="358" customFormat="1" ht="6" customHeight="1" x14ac:dyDescent="0.2">
      <c r="B12" s="96"/>
      <c r="D12" s="89"/>
      <c r="E12" s="89"/>
      <c r="F12" s="89"/>
      <c r="G12" s="309"/>
      <c r="H12" s="89"/>
      <c r="I12" s="89"/>
      <c r="J12" s="309"/>
      <c r="K12" s="89"/>
      <c r="L12" s="89"/>
      <c r="M12" s="309"/>
      <c r="N12" s="89"/>
      <c r="O12" s="89"/>
      <c r="P12" s="309"/>
    </row>
    <row r="13" spans="2:19" s="358" customFormat="1" ht="12.75" customHeight="1" x14ac:dyDescent="0.2">
      <c r="B13" s="95" t="s">
        <v>3</v>
      </c>
      <c r="C13" s="359"/>
      <c r="D13" s="279">
        <v>50676.384203772999</v>
      </c>
      <c r="E13" s="89"/>
      <c r="F13" s="279">
        <v>30866.769738940799</v>
      </c>
      <c r="G13" s="279">
        <v>63.730343914999999</v>
      </c>
      <c r="H13" s="89"/>
      <c r="I13" s="279">
        <v>10288.8306535008</v>
      </c>
      <c r="J13" s="279">
        <v>21.849052233999998</v>
      </c>
      <c r="K13" s="89"/>
      <c r="L13" s="279">
        <v>8603.0328005492993</v>
      </c>
      <c r="M13" s="279">
        <v>18.149306925600001</v>
      </c>
      <c r="N13" s="89"/>
      <c r="O13" s="279">
        <v>7279.3026608253003</v>
      </c>
      <c r="P13" s="279">
        <v>15.2252491796</v>
      </c>
    </row>
    <row r="14" spans="2:19" s="358" customFormat="1" ht="12.75" customHeight="1" x14ac:dyDescent="0.2">
      <c r="B14" s="95" t="s">
        <v>4</v>
      </c>
      <c r="C14" s="359"/>
      <c r="D14" s="279">
        <v>124003.394150981</v>
      </c>
      <c r="E14" s="89"/>
      <c r="F14" s="279">
        <v>61589.2700937767</v>
      </c>
      <c r="G14" s="279">
        <v>52.8999590341</v>
      </c>
      <c r="H14" s="89"/>
      <c r="I14" s="279">
        <v>28697.001518336001</v>
      </c>
      <c r="J14" s="279">
        <v>24.909450725500001</v>
      </c>
      <c r="K14" s="89"/>
      <c r="L14" s="279">
        <v>31163.6628460264</v>
      </c>
      <c r="M14" s="279">
        <v>27.2287999867</v>
      </c>
      <c r="N14" s="89"/>
      <c r="O14" s="279">
        <v>20668.0092753686</v>
      </c>
      <c r="P14" s="279">
        <v>17.9965309942</v>
      </c>
    </row>
    <row r="15" spans="2:19" s="358" customFormat="1" ht="12.75" customHeight="1" x14ac:dyDescent="0.2">
      <c r="B15" s="95" t="s">
        <v>5</v>
      </c>
      <c r="C15" s="359"/>
      <c r="D15" s="279">
        <v>24608.7423173401</v>
      </c>
      <c r="E15" s="89"/>
      <c r="F15" s="279">
        <v>11137.760878233499</v>
      </c>
      <c r="G15" s="279">
        <v>48.649915853099998</v>
      </c>
      <c r="H15" s="89"/>
      <c r="I15" s="279">
        <v>7062.8865693858997</v>
      </c>
      <c r="J15" s="279">
        <v>30.974976126600001</v>
      </c>
      <c r="K15" s="89"/>
      <c r="L15" s="279">
        <v>6600.8828450325</v>
      </c>
      <c r="M15" s="279">
        <v>29.762503656300002</v>
      </c>
      <c r="N15" s="89"/>
      <c r="O15" s="279">
        <v>3502.7235958693</v>
      </c>
      <c r="P15" s="279">
        <v>15.6795658311</v>
      </c>
    </row>
    <row r="16" spans="2:19" s="358" customFormat="1" ht="12.75" customHeight="1" x14ac:dyDescent="0.2">
      <c r="B16" s="95" t="s">
        <v>6</v>
      </c>
      <c r="C16" s="359"/>
      <c r="D16" s="279">
        <v>22749.028282297499</v>
      </c>
      <c r="E16" s="360"/>
      <c r="F16" s="279">
        <v>6543.8139900788001</v>
      </c>
      <c r="G16" s="378">
        <v>31.522972740499998</v>
      </c>
      <c r="H16" s="360"/>
      <c r="I16" s="279">
        <v>4610.3513164387005</v>
      </c>
      <c r="J16" s="378">
        <v>22.173578338900001</v>
      </c>
      <c r="K16" s="361"/>
      <c r="L16" s="279">
        <v>10147.7348790019</v>
      </c>
      <c r="M16" s="378">
        <v>47.092609201400002</v>
      </c>
      <c r="N16" s="362"/>
      <c r="O16" s="279">
        <v>5152.5301394399003</v>
      </c>
      <c r="P16" s="378">
        <v>24.6926527466</v>
      </c>
    </row>
    <row r="17" spans="2:16" s="358" customFormat="1" ht="12.75" customHeight="1" x14ac:dyDescent="0.2">
      <c r="B17" s="95" t="s">
        <v>7</v>
      </c>
      <c r="C17" s="359"/>
      <c r="D17" s="279">
        <v>82714.400546653895</v>
      </c>
      <c r="E17" s="360"/>
      <c r="F17" s="279">
        <v>37343.8779167908</v>
      </c>
      <c r="G17" s="378">
        <v>49.492892965300001</v>
      </c>
      <c r="H17" s="360"/>
      <c r="I17" s="279">
        <v>28537.9393071538</v>
      </c>
      <c r="J17" s="378">
        <v>36.854288242899997</v>
      </c>
      <c r="K17" s="361"/>
      <c r="L17" s="279">
        <v>17259.593649822898</v>
      </c>
      <c r="M17" s="378">
        <v>22.418355267700001</v>
      </c>
      <c r="N17" s="362"/>
      <c r="O17" s="279">
        <v>12919.7988545924</v>
      </c>
      <c r="P17" s="378">
        <v>17.147122642500001</v>
      </c>
    </row>
    <row r="18" spans="2:16" s="358" customFormat="1" ht="12.75" customHeight="1" x14ac:dyDescent="0.2">
      <c r="B18" s="95" t="s">
        <v>8</v>
      </c>
      <c r="C18" s="359"/>
      <c r="D18" s="279">
        <v>29153.924458199301</v>
      </c>
      <c r="E18" s="360"/>
      <c r="F18" s="279">
        <v>17500.829220005398</v>
      </c>
      <c r="G18" s="378">
        <v>63.151734315200002</v>
      </c>
      <c r="H18" s="360"/>
      <c r="I18" s="279">
        <v>6182.9287968183999</v>
      </c>
      <c r="J18" s="378">
        <v>23.250270259200001</v>
      </c>
      <c r="K18" s="361"/>
      <c r="L18" s="279">
        <v>6324.6776588768998</v>
      </c>
      <c r="M18" s="378">
        <v>23.9997976953</v>
      </c>
      <c r="N18" s="362"/>
      <c r="O18" s="279">
        <v>2832.8131132942999</v>
      </c>
      <c r="P18" s="378">
        <v>10.8268504935</v>
      </c>
    </row>
    <row r="19" spans="2:16" s="358" customFormat="1" ht="12.75" customHeight="1" x14ac:dyDescent="0.2">
      <c r="B19" s="95" t="s">
        <v>9</v>
      </c>
      <c r="C19" s="359"/>
      <c r="D19" s="279">
        <v>83643.269636398196</v>
      </c>
      <c r="E19" s="360"/>
      <c r="F19" s="279">
        <v>21048.167026456402</v>
      </c>
      <c r="G19" s="378">
        <v>28.467479196399999</v>
      </c>
      <c r="H19" s="360"/>
      <c r="I19" s="279">
        <v>13957.204277045499</v>
      </c>
      <c r="J19" s="378">
        <v>19.270592549100002</v>
      </c>
      <c r="K19" s="361"/>
      <c r="L19" s="279">
        <v>42030.241945714501</v>
      </c>
      <c r="M19" s="378">
        <v>55.5685688867</v>
      </c>
      <c r="N19" s="362"/>
      <c r="O19" s="279">
        <v>20829.333990581399</v>
      </c>
      <c r="P19" s="378">
        <v>28.194262493899998</v>
      </c>
    </row>
    <row r="20" spans="2:16" s="358" customFormat="1" ht="12.75" customHeight="1" x14ac:dyDescent="0.2">
      <c r="B20" s="95" t="s">
        <v>10</v>
      </c>
      <c r="C20" s="359"/>
      <c r="D20" s="279">
        <v>97494.1219003976</v>
      </c>
      <c r="E20" s="360"/>
      <c r="F20" s="279">
        <v>49464.345517043199</v>
      </c>
      <c r="G20" s="378">
        <v>53.670484963500002</v>
      </c>
      <c r="H20" s="360"/>
      <c r="I20" s="279">
        <v>29510.8150229028</v>
      </c>
      <c r="J20" s="378">
        <v>32.078523300800001</v>
      </c>
      <c r="K20" s="361"/>
      <c r="L20" s="279">
        <v>21271.233169194798</v>
      </c>
      <c r="M20" s="378">
        <v>23.155647056500001</v>
      </c>
      <c r="N20" s="362"/>
      <c r="O20" s="279">
        <v>15065.186838253599</v>
      </c>
      <c r="P20" s="378">
        <v>16.380817328100001</v>
      </c>
    </row>
    <row r="21" spans="2:16" s="358" customFormat="1" ht="12.75" customHeight="1" x14ac:dyDescent="0.2">
      <c r="B21" s="95" t="s">
        <v>11</v>
      </c>
      <c r="C21" s="359"/>
      <c r="D21" s="279">
        <v>207939.33226505801</v>
      </c>
      <c r="E21" s="360"/>
      <c r="F21" s="279">
        <v>124061.200153382</v>
      </c>
      <c r="G21" s="378">
        <v>63.545751927399998</v>
      </c>
      <c r="H21" s="360"/>
      <c r="I21" s="279">
        <v>60932.335550385003</v>
      </c>
      <c r="J21" s="378">
        <v>31.386721205600001</v>
      </c>
      <c r="K21" s="361"/>
      <c r="L21" s="279">
        <v>43670.562855849399</v>
      </c>
      <c r="M21" s="378">
        <v>22.514254187199999</v>
      </c>
      <c r="N21" s="362"/>
      <c r="O21" s="279">
        <v>14284.8498625681</v>
      </c>
      <c r="P21" s="378">
        <v>7.3949621765</v>
      </c>
    </row>
    <row r="22" spans="2:16" s="358" customFormat="1" ht="12.75" customHeight="1" x14ac:dyDescent="0.2">
      <c r="B22" s="95" t="s">
        <v>12</v>
      </c>
      <c r="C22" s="359"/>
      <c r="D22" s="279">
        <v>52061.983229448299</v>
      </c>
      <c r="E22" s="360"/>
      <c r="F22" s="279">
        <v>23743.912131438399</v>
      </c>
      <c r="G22" s="378">
        <v>48.6665313914</v>
      </c>
      <c r="H22" s="360"/>
      <c r="I22" s="279">
        <v>10581.172961595699</v>
      </c>
      <c r="J22" s="378">
        <v>22.247302501299998</v>
      </c>
      <c r="K22" s="361"/>
      <c r="L22" s="279">
        <v>18914.9635994575</v>
      </c>
      <c r="M22" s="378">
        <v>38.5898213766</v>
      </c>
      <c r="N22" s="362"/>
      <c r="O22" s="279">
        <v>6437.0893610329003</v>
      </c>
      <c r="P22" s="378">
        <v>13.582222893300001</v>
      </c>
    </row>
    <row r="23" spans="2:16" s="358" customFormat="1" ht="12.75" customHeight="1" x14ac:dyDescent="0.2">
      <c r="B23" s="95" t="s">
        <v>13</v>
      </c>
      <c r="C23" s="359"/>
      <c r="D23" s="279">
        <v>117219.59247200401</v>
      </c>
      <c r="E23" s="360"/>
      <c r="F23" s="279">
        <v>57652.975172783299</v>
      </c>
      <c r="G23" s="378">
        <v>52.740854941800002</v>
      </c>
      <c r="H23" s="360"/>
      <c r="I23" s="279">
        <v>28116.303059984501</v>
      </c>
      <c r="J23" s="378">
        <v>25.659677567799999</v>
      </c>
      <c r="K23" s="361"/>
      <c r="L23" s="279">
        <v>35025.319483017003</v>
      </c>
      <c r="M23" s="378">
        <v>32.467281166799999</v>
      </c>
      <c r="N23" s="362"/>
      <c r="O23" s="279">
        <v>13082.612262111101</v>
      </c>
      <c r="P23" s="378">
        <v>12.1216752394</v>
      </c>
    </row>
    <row r="24" spans="2:16" s="358" customFormat="1" ht="12.75" customHeight="1" x14ac:dyDescent="0.2">
      <c r="B24" s="95" t="s">
        <v>14</v>
      </c>
      <c r="C24" s="359"/>
      <c r="D24" s="279">
        <v>55814.138159103102</v>
      </c>
      <c r="E24" s="360"/>
      <c r="F24" s="279">
        <v>9954.5736780977004</v>
      </c>
      <c r="G24" s="378">
        <v>19.873143385199999</v>
      </c>
      <c r="H24" s="360"/>
      <c r="I24" s="279">
        <v>8816.7902117393005</v>
      </c>
      <c r="J24" s="378">
        <v>17.413986123400001</v>
      </c>
      <c r="K24" s="361"/>
      <c r="L24" s="279">
        <v>34105.530339323697</v>
      </c>
      <c r="M24" s="378">
        <v>64.944920068299993</v>
      </c>
      <c r="N24" s="362"/>
      <c r="O24" s="279">
        <v>12366.3715238974</v>
      </c>
      <c r="P24" s="378">
        <v>23.982344449900001</v>
      </c>
    </row>
    <row r="25" spans="2:16" s="358" customFormat="1" ht="12.75" customHeight="1" x14ac:dyDescent="0.2">
      <c r="B25" s="95" t="s">
        <v>15</v>
      </c>
      <c r="C25" s="359"/>
      <c r="D25" s="279">
        <v>51973.447254169303</v>
      </c>
      <c r="E25" s="360"/>
      <c r="F25" s="279">
        <v>23718.496099688899</v>
      </c>
      <c r="G25" s="378">
        <v>49.846800617299998</v>
      </c>
      <c r="H25" s="360"/>
      <c r="I25" s="279">
        <v>7407.267804137</v>
      </c>
      <c r="J25" s="378">
        <v>15.704920169499999</v>
      </c>
      <c r="K25" s="361"/>
      <c r="L25" s="279">
        <v>23445.413405716499</v>
      </c>
      <c r="M25" s="378">
        <v>49.228196378500002</v>
      </c>
      <c r="N25" s="362"/>
      <c r="O25" s="279">
        <v>6457.5520787497999</v>
      </c>
      <c r="P25" s="378">
        <v>13.858000157299999</v>
      </c>
    </row>
    <row r="26" spans="2:16" s="358" customFormat="1" ht="12.75" customHeight="1" x14ac:dyDescent="0.2">
      <c r="B26" s="95" t="s">
        <v>16</v>
      </c>
      <c r="C26" s="359"/>
      <c r="D26" s="279">
        <v>317511.75911266002</v>
      </c>
      <c r="E26" s="360"/>
      <c r="F26" s="279">
        <v>183130.566994283</v>
      </c>
      <c r="G26" s="378">
        <v>61.3345289337</v>
      </c>
      <c r="H26" s="360"/>
      <c r="I26" s="279">
        <v>58181.329208871801</v>
      </c>
      <c r="J26" s="378">
        <v>19.274402440399999</v>
      </c>
      <c r="K26" s="361"/>
      <c r="L26" s="279">
        <v>81642.802877992406</v>
      </c>
      <c r="M26" s="378">
        <v>27.353229001599999</v>
      </c>
      <c r="N26" s="362"/>
      <c r="O26" s="279">
        <v>33154.360108796303</v>
      </c>
      <c r="P26" s="378">
        <v>11.283104187199999</v>
      </c>
    </row>
    <row r="27" spans="2:16" s="358" customFormat="1" ht="12.75" customHeight="1" x14ac:dyDescent="0.2">
      <c r="B27" s="95" t="s">
        <v>17</v>
      </c>
      <c r="C27" s="359"/>
      <c r="D27" s="279">
        <v>245749.88296628199</v>
      </c>
      <c r="E27" s="360"/>
      <c r="F27" s="279">
        <v>93116.296142220599</v>
      </c>
      <c r="G27" s="378">
        <v>41.727408071100001</v>
      </c>
      <c r="H27" s="360"/>
      <c r="I27" s="279">
        <v>60400.934173655201</v>
      </c>
      <c r="J27" s="378">
        <v>27.099932648799999</v>
      </c>
      <c r="K27" s="361"/>
      <c r="L27" s="279">
        <v>113965.07348963599</v>
      </c>
      <c r="M27" s="378">
        <v>50.072546250199998</v>
      </c>
      <c r="N27" s="362"/>
      <c r="O27" s="279">
        <v>32578.357725317401</v>
      </c>
      <c r="P27" s="378">
        <v>14.706901401</v>
      </c>
    </row>
    <row r="28" spans="2:16" s="358" customFormat="1" ht="12.75" customHeight="1" x14ac:dyDescent="0.2">
      <c r="B28" s="95" t="s">
        <v>18</v>
      </c>
      <c r="C28" s="359"/>
      <c r="D28" s="279">
        <v>110619.666452114</v>
      </c>
      <c r="E28" s="360"/>
      <c r="F28" s="279">
        <v>50303.003448887299</v>
      </c>
      <c r="G28" s="378">
        <v>50.368131153100002</v>
      </c>
      <c r="H28" s="360"/>
      <c r="I28" s="279">
        <v>20379.990139727499</v>
      </c>
      <c r="J28" s="378">
        <v>20.3717874401</v>
      </c>
      <c r="K28" s="361"/>
      <c r="L28" s="279">
        <v>36827.766278911702</v>
      </c>
      <c r="M28" s="378">
        <v>36.478296646499999</v>
      </c>
      <c r="N28" s="362"/>
      <c r="O28" s="279">
        <v>15258.6595978761</v>
      </c>
      <c r="P28" s="378">
        <v>15.641128030999999</v>
      </c>
    </row>
    <row r="29" spans="2:16" s="358" customFormat="1" ht="12.75" customHeight="1" x14ac:dyDescent="0.2">
      <c r="B29" s="95" t="s">
        <v>19</v>
      </c>
      <c r="C29" s="359"/>
      <c r="D29" s="279">
        <v>29202.629438434898</v>
      </c>
      <c r="E29" s="360"/>
      <c r="F29" s="279">
        <v>10246.535026551799</v>
      </c>
      <c r="G29" s="378">
        <v>38.177585344699999</v>
      </c>
      <c r="H29" s="360"/>
      <c r="I29" s="279">
        <v>3496.3978562345001</v>
      </c>
      <c r="J29" s="378">
        <v>13.3131000819</v>
      </c>
      <c r="K29" s="361"/>
      <c r="L29" s="279">
        <v>16655.772395268999</v>
      </c>
      <c r="M29" s="378">
        <v>61.245622460600003</v>
      </c>
      <c r="N29" s="362"/>
      <c r="O29" s="279">
        <v>4388.4337493457997</v>
      </c>
      <c r="P29" s="378">
        <v>16.504187980000001</v>
      </c>
    </row>
    <row r="30" spans="2:16" s="358" customFormat="1" ht="12.75" customHeight="1" x14ac:dyDescent="0.2">
      <c r="B30" s="95" t="s">
        <v>20</v>
      </c>
      <c r="C30" s="359"/>
      <c r="D30" s="279">
        <v>44936.414763671703</v>
      </c>
      <c r="E30" s="360"/>
      <c r="F30" s="279">
        <v>16443.845763995301</v>
      </c>
      <c r="G30" s="378">
        <v>38.557989646700001</v>
      </c>
      <c r="H30" s="360"/>
      <c r="I30" s="279">
        <v>11162.4301527756</v>
      </c>
      <c r="J30" s="378">
        <v>26.872645501699999</v>
      </c>
      <c r="K30" s="361"/>
      <c r="L30" s="279">
        <v>14578.5005042007</v>
      </c>
      <c r="M30" s="378">
        <v>36.441951315600001</v>
      </c>
      <c r="N30" s="362"/>
      <c r="O30" s="279">
        <v>8134.7000466922</v>
      </c>
      <c r="P30" s="378">
        <v>20.2253696342</v>
      </c>
    </row>
    <row r="31" spans="2:16" s="358" customFormat="1" ht="12.75" customHeight="1" x14ac:dyDescent="0.2">
      <c r="B31" s="95" t="s">
        <v>21</v>
      </c>
      <c r="C31" s="359"/>
      <c r="D31" s="279">
        <v>228529.87533276301</v>
      </c>
      <c r="E31" s="360"/>
      <c r="F31" s="279">
        <v>154208.84468014099</v>
      </c>
      <c r="G31" s="378">
        <v>71.654067536400007</v>
      </c>
      <c r="H31" s="360"/>
      <c r="I31" s="279">
        <v>33149.421617296699</v>
      </c>
      <c r="J31" s="378">
        <v>15.4074075193</v>
      </c>
      <c r="K31" s="361"/>
      <c r="L31" s="279">
        <v>43954.2825089568</v>
      </c>
      <c r="M31" s="378">
        <v>20.4462956528</v>
      </c>
      <c r="N31" s="362"/>
      <c r="O31" s="279">
        <v>20994.468712294401</v>
      </c>
      <c r="P31" s="378">
        <v>9.8226423549999993</v>
      </c>
    </row>
    <row r="32" spans="2:16" s="358" customFormat="1" ht="12.75" customHeight="1" x14ac:dyDescent="0.2">
      <c r="B32" s="95" t="s">
        <v>22</v>
      </c>
      <c r="C32" s="359"/>
      <c r="D32" s="279">
        <v>85644.643141977896</v>
      </c>
      <c r="E32" s="360"/>
      <c r="F32" s="279">
        <v>11579.684155074399</v>
      </c>
      <c r="G32" s="378">
        <v>15.367009986799999</v>
      </c>
      <c r="H32" s="360"/>
      <c r="I32" s="279">
        <v>14568.382889203</v>
      </c>
      <c r="J32" s="378">
        <v>18.940230849700001</v>
      </c>
      <c r="K32" s="361"/>
      <c r="L32" s="279">
        <v>54496.826904684996</v>
      </c>
      <c r="M32" s="378">
        <v>68.884075412200005</v>
      </c>
      <c r="N32" s="362"/>
      <c r="O32" s="279">
        <v>15124.449287555801</v>
      </c>
      <c r="P32" s="378">
        <v>19.5847573</v>
      </c>
    </row>
    <row r="33" spans="2:16" s="358" customFormat="1" ht="12.75" customHeight="1" x14ac:dyDescent="0.2">
      <c r="B33" s="95" t="s">
        <v>23</v>
      </c>
      <c r="C33" s="359"/>
      <c r="D33" s="279">
        <v>83805.017769934799</v>
      </c>
      <c r="E33" s="360"/>
      <c r="F33" s="279">
        <v>31617.179145139798</v>
      </c>
      <c r="G33" s="378">
        <v>41.2702778369</v>
      </c>
      <c r="H33" s="360"/>
      <c r="I33" s="279">
        <v>14162.5468911877</v>
      </c>
      <c r="J33" s="378">
        <v>18.345824387099999</v>
      </c>
      <c r="K33" s="361"/>
      <c r="L33" s="279">
        <v>32362.680537961001</v>
      </c>
      <c r="M33" s="378">
        <v>42.007159559000002</v>
      </c>
      <c r="N33" s="362"/>
      <c r="O33" s="279">
        <v>22775.5423541483</v>
      </c>
      <c r="P33" s="378">
        <v>29.364845561900001</v>
      </c>
    </row>
    <row r="34" spans="2:16" s="358" customFormat="1" ht="12.75" customHeight="1" x14ac:dyDescent="0.2">
      <c r="B34" s="95" t="s">
        <v>24</v>
      </c>
      <c r="C34" s="359"/>
      <c r="D34" s="279">
        <v>83493.579120331604</v>
      </c>
      <c r="E34" s="360"/>
      <c r="F34" s="279">
        <v>47576.625935575998</v>
      </c>
      <c r="G34" s="378">
        <v>60.241057176600002</v>
      </c>
      <c r="H34" s="360"/>
      <c r="I34" s="279">
        <v>12426.620723812901</v>
      </c>
      <c r="J34" s="378">
        <v>17.421090960600001</v>
      </c>
      <c r="K34" s="361"/>
      <c r="L34" s="279">
        <v>22030.546083540201</v>
      </c>
      <c r="M34" s="378">
        <v>30.753438136700002</v>
      </c>
      <c r="N34" s="362"/>
      <c r="O34" s="279">
        <v>10145.2371073881</v>
      </c>
      <c r="P34" s="378">
        <v>13.2379751917</v>
      </c>
    </row>
    <row r="35" spans="2:16" s="358" customFormat="1" ht="12.75" customHeight="1" x14ac:dyDescent="0.2">
      <c r="B35" s="95" t="s">
        <v>25</v>
      </c>
      <c r="C35" s="359"/>
      <c r="D35" s="279">
        <v>60261.430122796999</v>
      </c>
      <c r="E35" s="360"/>
      <c r="F35" s="279">
        <v>35164.434014502498</v>
      </c>
      <c r="G35" s="378">
        <v>63.505533970599998</v>
      </c>
      <c r="H35" s="360"/>
      <c r="I35" s="279">
        <v>8190.8095972870997</v>
      </c>
      <c r="J35" s="378">
        <v>14.7573691637</v>
      </c>
      <c r="K35" s="361"/>
      <c r="L35" s="279">
        <v>19202.685853172599</v>
      </c>
      <c r="M35" s="378">
        <v>33.289195257599999</v>
      </c>
      <c r="N35" s="362"/>
      <c r="O35" s="279">
        <v>5820.3147617375998</v>
      </c>
      <c r="P35" s="378">
        <v>10.5714975505</v>
      </c>
    </row>
    <row r="36" spans="2:16" s="358" customFormat="1" ht="12.75" customHeight="1" x14ac:dyDescent="0.2">
      <c r="B36" s="95" t="s">
        <v>26</v>
      </c>
      <c r="C36" s="359"/>
      <c r="D36" s="279">
        <v>57947.4789793608</v>
      </c>
      <c r="E36" s="360"/>
      <c r="F36" s="279">
        <v>28711.531257208499</v>
      </c>
      <c r="G36" s="378">
        <v>52.974568730800002</v>
      </c>
      <c r="H36" s="360"/>
      <c r="I36" s="279">
        <v>13737.7028831554</v>
      </c>
      <c r="J36" s="378">
        <v>25.800477215600001</v>
      </c>
      <c r="K36" s="361"/>
      <c r="L36" s="279">
        <v>18953.0251705755</v>
      </c>
      <c r="M36" s="378">
        <v>34.459649125699997</v>
      </c>
      <c r="N36" s="362"/>
      <c r="O36" s="279">
        <v>5955.4019062881998</v>
      </c>
      <c r="P36" s="378">
        <v>10.9281325419</v>
      </c>
    </row>
    <row r="37" spans="2:16" s="358" customFormat="1" ht="12.75" customHeight="1" x14ac:dyDescent="0.2">
      <c r="B37" s="95" t="s">
        <v>27</v>
      </c>
      <c r="C37" s="359"/>
      <c r="D37" s="279">
        <v>70872.055599581203</v>
      </c>
      <c r="E37" s="360"/>
      <c r="F37" s="279">
        <v>45142.688892467297</v>
      </c>
      <c r="G37" s="378">
        <v>66.720337618100004</v>
      </c>
      <c r="H37" s="360"/>
      <c r="I37" s="279">
        <v>14791.770031226401</v>
      </c>
      <c r="J37" s="378">
        <v>22.2943326169</v>
      </c>
      <c r="K37" s="361"/>
      <c r="L37" s="279">
        <v>12969.4742906503</v>
      </c>
      <c r="M37" s="378">
        <v>20.1206544759</v>
      </c>
      <c r="N37" s="362"/>
      <c r="O37" s="279">
        <v>8127.3507148238996</v>
      </c>
      <c r="P37" s="378">
        <v>12.365699191799999</v>
      </c>
    </row>
    <row r="38" spans="2:16" s="358" customFormat="1" ht="12.75" customHeight="1" x14ac:dyDescent="0.2">
      <c r="B38" s="95" t="s">
        <v>28</v>
      </c>
      <c r="C38" s="359"/>
      <c r="D38" s="279">
        <v>130348.844676715</v>
      </c>
      <c r="E38" s="360"/>
      <c r="F38" s="279">
        <v>57988.451775734196</v>
      </c>
      <c r="G38" s="378">
        <v>47.295036720200002</v>
      </c>
      <c r="H38" s="360"/>
      <c r="I38" s="279">
        <v>40049.905813028498</v>
      </c>
      <c r="J38" s="378">
        <v>33.076601568999997</v>
      </c>
      <c r="K38" s="361"/>
      <c r="L38" s="279">
        <v>26710.356754709301</v>
      </c>
      <c r="M38" s="378">
        <v>21.878019723000001</v>
      </c>
      <c r="N38" s="362"/>
      <c r="O38" s="279">
        <v>18628.873187208599</v>
      </c>
      <c r="P38" s="378">
        <v>15.2539793147</v>
      </c>
    </row>
    <row r="39" spans="2:16" s="358" customFormat="1" ht="12.75" customHeight="1" x14ac:dyDescent="0.2">
      <c r="B39" s="95" t="s">
        <v>29</v>
      </c>
      <c r="C39" s="359"/>
      <c r="D39" s="279">
        <v>60958.294376071499</v>
      </c>
      <c r="E39" s="360"/>
      <c r="F39" s="279">
        <v>18767.493285140899</v>
      </c>
      <c r="G39" s="378">
        <v>34.015168547199998</v>
      </c>
      <c r="H39" s="360"/>
      <c r="I39" s="279">
        <v>14057.546398770601</v>
      </c>
      <c r="J39" s="378">
        <v>25.486975631899998</v>
      </c>
      <c r="K39" s="361"/>
      <c r="L39" s="279">
        <v>22087.405680169501</v>
      </c>
      <c r="M39" s="378">
        <v>39.374503441999998</v>
      </c>
      <c r="N39" s="362"/>
      <c r="O39" s="279">
        <v>14201.4428758299</v>
      </c>
      <c r="P39" s="378">
        <v>25.964658031599999</v>
      </c>
    </row>
    <row r="40" spans="2:16" s="358" customFormat="1" ht="12.75" customHeight="1" x14ac:dyDescent="0.2">
      <c r="B40" s="95" t="s">
        <v>30</v>
      </c>
      <c r="C40" s="359"/>
      <c r="D40" s="279">
        <v>115544.217259397</v>
      </c>
      <c r="E40" s="360"/>
      <c r="F40" s="279">
        <v>52822.138119553303</v>
      </c>
      <c r="G40" s="378">
        <v>48.515397213100002</v>
      </c>
      <c r="H40" s="360"/>
      <c r="I40" s="279">
        <v>27431.222552503899</v>
      </c>
      <c r="J40" s="378">
        <v>25.410421492000001</v>
      </c>
      <c r="K40" s="361"/>
      <c r="L40" s="279">
        <v>40060.074586536801</v>
      </c>
      <c r="M40" s="378">
        <v>36.847223172600003</v>
      </c>
      <c r="N40" s="362"/>
      <c r="O40" s="279">
        <v>12079.2505375987</v>
      </c>
      <c r="P40" s="378">
        <v>11.270959056200001</v>
      </c>
    </row>
    <row r="41" spans="2:16" s="358" customFormat="1" ht="12.75" customHeight="1" x14ac:dyDescent="0.2">
      <c r="B41" s="95" t="s">
        <v>31</v>
      </c>
      <c r="C41" s="359"/>
      <c r="D41" s="279">
        <v>12239.7037674487</v>
      </c>
      <c r="E41" s="360"/>
      <c r="F41" s="279">
        <v>4092.2444634474</v>
      </c>
      <c r="G41" s="378">
        <v>36.073143166500003</v>
      </c>
      <c r="H41" s="360"/>
      <c r="I41" s="279">
        <v>1274.1577980006</v>
      </c>
      <c r="J41" s="378">
        <v>11.4833232907</v>
      </c>
      <c r="K41" s="361"/>
      <c r="L41" s="279">
        <v>6265.6845435831001</v>
      </c>
      <c r="M41" s="378">
        <v>55.192315767099998</v>
      </c>
      <c r="N41" s="362"/>
      <c r="O41" s="279">
        <v>3670.6566092630001</v>
      </c>
      <c r="P41" s="378">
        <v>33.396161278699999</v>
      </c>
    </row>
    <row r="42" spans="2:16" s="358" customFormat="1" ht="12.75" customHeight="1" x14ac:dyDescent="0.2">
      <c r="B42" s="95" t="s">
        <v>32</v>
      </c>
      <c r="C42" s="359"/>
      <c r="D42" s="279">
        <v>155398.224768927</v>
      </c>
      <c r="E42" s="360"/>
      <c r="F42" s="279">
        <v>57420.87788778</v>
      </c>
      <c r="G42" s="378">
        <v>40.350235048099997</v>
      </c>
      <c r="H42" s="360"/>
      <c r="I42" s="279">
        <v>35323.515812924001</v>
      </c>
      <c r="J42" s="378">
        <v>24.788419248499999</v>
      </c>
      <c r="K42" s="361"/>
      <c r="L42" s="279">
        <v>51141.6408712255</v>
      </c>
      <c r="M42" s="378">
        <v>37.081182659500001</v>
      </c>
      <c r="N42" s="362"/>
      <c r="O42" s="279">
        <v>36486.464994988499</v>
      </c>
      <c r="P42" s="378">
        <v>25.905634963099999</v>
      </c>
    </row>
    <row r="43" spans="2:16" s="358" customFormat="1" ht="12.75" customHeight="1" x14ac:dyDescent="0.2">
      <c r="B43" s="95" t="s">
        <v>33</v>
      </c>
      <c r="C43" s="359"/>
      <c r="D43" s="279">
        <v>94932.431848099499</v>
      </c>
      <c r="E43" s="360"/>
      <c r="F43" s="279">
        <v>33547.515901191</v>
      </c>
      <c r="G43" s="378">
        <v>37.995475846700003</v>
      </c>
      <c r="H43" s="360"/>
      <c r="I43" s="279">
        <v>20535.618712561401</v>
      </c>
      <c r="J43" s="378">
        <v>23.302649767199998</v>
      </c>
      <c r="K43" s="361"/>
      <c r="L43" s="279">
        <v>30426.2374310337</v>
      </c>
      <c r="M43" s="378">
        <v>34.103047809300001</v>
      </c>
      <c r="N43" s="362"/>
      <c r="O43" s="279">
        <v>21786.825332458699</v>
      </c>
      <c r="P43" s="378">
        <v>24.744445290000002</v>
      </c>
    </row>
    <row r="44" spans="2:16" s="358" customFormat="1" ht="12.75" customHeight="1" x14ac:dyDescent="0.2">
      <c r="B44" s="95" t="s">
        <v>34</v>
      </c>
      <c r="C44" s="359"/>
      <c r="D44" s="279">
        <v>49515.189313489602</v>
      </c>
      <c r="E44" s="360"/>
      <c r="F44" s="279">
        <v>19300.950532106301</v>
      </c>
      <c r="G44" s="378">
        <v>41.311561375899998</v>
      </c>
      <c r="H44" s="360"/>
      <c r="I44" s="279">
        <v>8443.9070456218997</v>
      </c>
      <c r="J44" s="378">
        <v>19.593632298100001</v>
      </c>
      <c r="K44" s="361"/>
      <c r="L44" s="279">
        <v>17820.605486211101</v>
      </c>
      <c r="M44" s="378">
        <v>39.961250761499997</v>
      </c>
      <c r="N44" s="362"/>
      <c r="O44" s="279">
        <v>9213.0632714791009</v>
      </c>
      <c r="P44" s="378">
        <v>20.425406311700002</v>
      </c>
    </row>
    <row r="45" spans="2:16" ht="6" customHeight="1" x14ac:dyDescent="0.25">
      <c r="B45" s="363"/>
      <c r="C45" s="364"/>
      <c r="D45" s="264"/>
      <c r="E45" s="365"/>
      <c r="F45" s="264"/>
      <c r="G45" s="366"/>
      <c r="H45" s="366"/>
      <c r="I45" s="264"/>
      <c r="J45" s="366"/>
      <c r="K45" s="367"/>
      <c r="L45" s="264"/>
      <c r="M45" s="366"/>
      <c r="N45" s="368"/>
      <c r="O45" s="264"/>
      <c r="P45" s="366"/>
    </row>
    <row r="46" spans="2:16" ht="6" customHeight="1" x14ac:dyDescent="0.25">
      <c r="B46" s="228"/>
      <c r="D46" s="145"/>
      <c r="E46" s="370"/>
      <c r="F46" s="145"/>
      <c r="G46" s="371"/>
      <c r="H46" s="371"/>
      <c r="I46" s="145"/>
      <c r="J46" s="371"/>
      <c r="K46" s="372"/>
      <c r="L46" s="145"/>
      <c r="M46" s="371"/>
      <c r="N46" s="373"/>
      <c r="O46" s="145"/>
      <c r="P46" s="371"/>
    </row>
    <row r="47" spans="2:16" ht="12.75" customHeight="1" x14ac:dyDescent="0.25">
      <c r="B47" s="273" t="s">
        <v>93</v>
      </c>
      <c r="C47" s="342"/>
      <c r="D47" s="145"/>
      <c r="E47" s="370"/>
      <c r="F47" s="145"/>
      <c r="G47" s="371"/>
      <c r="H47" s="371"/>
      <c r="I47" s="145"/>
      <c r="J47" s="371"/>
      <c r="K47" s="372"/>
      <c r="L47" s="145"/>
      <c r="M47" s="371"/>
      <c r="N47" s="373"/>
      <c r="O47" s="145"/>
      <c r="P47" s="371"/>
    </row>
    <row r="48" spans="2:16" ht="12" customHeight="1" x14ac:dyDescent="0.25">
      <c r="B48" s="374" t="s">
        <v>129</v>
      </c>
      <c r="C48" s="342"/>
      <c r="D48" s="145"/>
      <c r="E48" s="370"/>
      <c r="F48" s="145"/>
      <c r="G48" s="371"/>
      <c r="H48" s="371"/>
      <c r="I48" s="145"/>
      <c r="J48" s="371"/>
      <c r="K48" s="372"/>
      <c r="L48" s="145"/>
      <c r="M48" s="371"/>
      <c r="N48" s="373"/>
      <c r="O48" s="145"/>
      <c r="P48" s="371"/>
    </row>
    <row r="49" spans="2:2" s="13" customFormat="1" ht="14.25" x14ac:dyDescent="0.2">
      <c r="B49" s="109" t="s">
        <v>57</v>
      </c>
    </row>
  </sheetData>
  <mergeCells count="8">
    <mergeCell ref="B5:N5"/>
    <mergeCell ref="B7:C9"/>
    <mergeCell ref="D7:D9"/>
    <mergeCell ref="F7:P7"/>
    <mergeCell ref="F8:G8"/>
    <mergeCell ref="I8:J8"/>
    <mergeCell ref="L8:M8"/>
    <mergeCell ref="O8:P8"/>
  </mergeCells>
  <hyperlinks>
    <hyperlink ref="P1" location="Índice!A1" tooltip="Ir a ÍNDICE" display="INDICE" xr:uid="{66D6DCB1-B83B-4E3C-9132-7CFE23C5DB69}"/>
  </hyperlinks>
  <pageMargins left="0.70866141732283472" right="0.70866141732283472" top="0.74803149606299213" bottom="0.74803149606299213" header="0.31496062992125984" footer="0.31496062992125984"/>
  <pageSetup orientation="portrait" verticalDpi="12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55D3EA-6CAE-4DB7-93D3-3E9AE9FEB172}">
  <dimension ref="B1:S50"/>
  <sheetViews>
    <sheetView showGridLines="0" zoomScaleNormal="100" workbookViewId="0"/>
  </sheetViews>
  <sheetFormatPr baseColWidth="10" defaultColWidth="11.42578125" defaultRowHeight="15" x14ac:dyDescent="0.25"/>
  <cols>
    <col min="1" max="1" width="1.7109375" style="386" customWidth="1"/>
    <col min="2" max="2" width="24.28515625" style="386" customWidth="1"/>
    <col min="3" max="3" width="0.85546875" style="405" customWidth="1"/>
    <col min="4" max="4" width="18.7109375" style="406" customWidth="1"/>
    <col min="5" max="5" width="1.7109375" style="406" customWidth="1"/>
    <col min="6" max="6" width="12.7109375" style="406" customWidth="1"/>
    <col min="7" max="7" width="12.7109375" style="407" customWidth="1"/>
    <col min="8" max="8" width="1.7109375" style="406" customWidth="1"/>
    <col min="9" max="9" width="12.7109375" style="406" customWidth="1"/>
    <col min="10" max="10" width="12.5703125" style="407" customWidth="1"/>
    <col min="11" max="16384" width="11.42578125" style="386"/>
  </cols>
  <sheetData>
    <row r="1" spans="2:19" s="380" customFormat="1" ht="12" customHeight="1" x14ac:dyDescent="0.2">
      <c r="B1" s="639" t="s">
        <v>202</v>
      </c>
      <c r="D1" s="381"/>
      <c r="E1" s="381"/>
      <c r="F1" s="381"/>
      <c r="G1" s="381"/>
      <c r="H1" s="381"/>
      <c r="I1" s="381"/>
      <c r="J1" s="72" t="s">
        <v>151</v>
      </c>
    </row>
    <row r="2" spans="2:19" s="380" customFormat="1" ht="6.95" customHeight="1" x14ac:dyDescent="0.2">
      <c r="B2" s="639"/>
      <c r="D2" s="381"/>
      <c r="E2" s="381"/>
      <c r="F2" s="381"/>
      <c r="G2" s="381"/>
      <c r="H2" s="381"/>
      <c r="I2" s="381"/>
      <c r="J2" s="381"/>
    </row>
    <row r="3" spans="2:19" s="380" customFormat="1" ht="15" customHeight="1" x14ac:dyDescent="0.2">
      <c r="B3" s="639" t="s">
        <v>199</v>
      </c>
      <c r="C3" s="379"/>
      <c r="D3" s="379"/>
      <c r="E3" s="379"/>
      <c r="F3" s="379"/>
      <c r="G3" s="379"/>
      <c r="H3" s="379"/>
      <c r="I3" s="379"/>
      <c r="J3" s="379"/>
      <c r="K3" s="379"/>
      <c r="L3" s="379"/>
      <c r="M3" s="379"/>
      <c r="N3" s="379"/>
      <c r="O3" s="379"/>
      <c r="P3" s="379"/>
      <c r="Q3" s="379"/>
      <c r="R3" s="379"/>
      <c r="S3" s="379"/>
    </row>
    <row r="4" spans="2:19" s="380" customFormat="1" ht="6.95" customHeight="1" x14ac:dyDescent="0.2">
      <c r="C4" s="382"/>
      <c r="D4" s="381"/>
      <c r="E4" s="381"/>
      <c r="F4" s="381"/>
      <c r="G4" s="381"/>
      <c r="H4" s="381"/>
      <c r="I4" s="381"/>
      <c r="J4" s="381"/>
    </row>
    <row r="5" spans="2:19" s="380" customFormat="1" ht="25.5" customHeight="1" x14ac:dyDescent="0.2">
      <c r="B5" s="703" t="s">
        <v>155</v>
      </c>
      <c r="C5" s="703"/>
      <c r="D5" s="703"/>
      <c r="E5" s="703"/>
      <c r="F5" s="703"/>
      <c r="G5" s="703"/>
      <c r="H5" s="703"/>
      <c r="I5" s="703"/>
      <c r="J5" s="71" t="s">
        <v>114</v>
      </c>
    </row>
    <row r="6" spans="2:19" ht="6" customHeight="1" x14ac:dyDescent="0.25">
      <c r="B6" s="383"/>
      <c r="C6" s="384"/>
      <c r="D6" s="385"/>
      <c r="E6" s="385"/>
      <c r="F6" s="385"/>
      <c r="G6" s="385"/>
      <c r="H6" s="385"/>
      <c r="I6" s="385"/>
      <c r="J6" s="385"/>
    </row>
    <row r="7" spans="2:19" ht="15" customHeight="1" x14ac:dyDescent="0.25">
      <c r="B7" s="681" t="s">
        <v>76</v>
      </c>
      <c r="C7" s="681"/>
      <c r="D7" s="704" t="s">
        <v>108</v>
      </c>
      <c r="E7" s="387"/>
      <c r="F7" s="707" t="s">
        <v>68</v>
      </c>
      <c r="G7" s="707"/>
      <c r="H7" s="707"/>
      <c r="I7" s="707"/>
      <c r="J7" s="707"/>
    </row>
    <row r="8" spans="2:19" ht="24.75" customHeight="1" x14ac:dyDescent="0.25">
      <c r="B8" s="682"/>
      <c r="C8" s="682"/>
      <c r="D8" s="705"/>
      <c r="E8" s="388"/>
      <c r="F8" s="708" t="s">
        <v>72</v>
      </c>
      <c r="G8" s="708"/>
      <c r="H8" s="389"/>
      <c r="I8" s="709" t="s">
        <v>130</v>
      </c>
      <c r="J8" s="709"/>
    </row>
    <row r="9" spans="2:19" x14ac:dyDescent="0.25">
      <c r="B9" s="683"/>
      <c r="C9" s="683"/>
      <c r="D9" s="706"/>
      <c r="E9" s="390"/>
      <c r="F9" s="391" t="s">
        <v>0</v>
      </c>
      <c r="G9" s="391" t="s">
        <v>1</v>
      </c>
      <c r="H9" s="391"/>
      <c r="I9" s="391" t="s">
        <v>0</v>
      </c>
      <c r="J9" s="391" t="s">
        <v>1</v>
      </c>
    </row>
    <row r="10" spans="2:19" ht="6" customHeight="1" x14ac:dyDescent="0.25">
      <c r="B10" s="31"/>
      <c r="C10" s="392"/>
      <c r="D10" s="392"/>
      <c r="E10" s="392"/>
      <c r="F10" s="392"/>
      <c r="G10" s="392"/>
      <c r="H10" s="392"/>
      <c r="I10" s="392"/>
      <c r="J10" s="392"/>
    </row>
    <row r="11" spans="2:19" s="394" customFormat="1" ht="11.25" x14ac:dyDescent="0.2">
      <c r="B11" s="94" t="s">
        <v>2</v>
      </c>
      <c r="C11" s="393"/>
      <c r="D11" s="334">
        <v>2822025.6022069799</v>
      </c>
      <c r="E11" s="87"/>
      <c r="F11" s="334">
        <v>2538676.1895120498</v>
      </c>
      <c r="G11" s="334">
        <v>90.920679812200007</v>
      </c>
      <c r="H11" s="87"/>
      <c r="I11" s="334">
        <v>320687.51839945902</v>
      </c>
      <c r="J11" s="334">
        <v>11.567286043099999</v>
      </c>
    </row>
    <row r="12" spans="2:19" s="396" customFormat="1" ht="6" customHeight="1" x14ac:dyDescent="0.2">
      <c r="B12" s="94"/>
      <c r="C12" s="395"/>
      <c r="D12" s="89"/>
      <c r="E12" s="89"/>
      <c r="F12" s="89"/>
      <c r="G12" s="309"/>
      <c r="H12" s="89"/>
      <c r="I12" s="89"/>
      <c r="J12" s="309"/>
    </row>
    <row r="13" spans="2:19" s="396" customFormat="1" ht="12.75" customHeight="1" x14ac:dyDescent="0.2">
      <c r="B13" s="95" t="s">
        <v>3</v>
      </c>
      <c r="C13" s="395"/>
      <c r="D13" s="279">
        <v>50676.384203772999</v>
      </c>
      <c r="E13" s="89"/>
      <c r="F13" s="279">
        <v>46869.4386110173</v>
      </c>
      <c r="G13" s="279">
        <v>94.996687714000004</v>
      </c>
      <c r="H13" s="89"/>
      <c r="I13" s="279">
        <v>5590.4602693579</v>
      </c>
      <c r="J13" s="279">
        <v>11.803730504000001</v>
      </c>
    </row>
    <row r="14" spans="2:19" s="396" customFormat="1" ht="12.75" customHeight="1" x14ac:dyDescent="0.2">
      <c r="B14" s="95" t="s">
        <v>4</v>
      </c>
      <c r="C14" s="395"/>
      <c r="D14" s="279">
        <v>124003.394150981</v>
      </c>
      <c r="E14" s="397"/>
      <c r="F14" s="279">
        <v>116855.22732396099</v>
      </c>
      <c r="G14" s="408">
        <v>97.053987686699998</v>
      </c>
      <c r="H14" s="397"/>
      <c r="I14" s="279">
        <v>11149.169613489201</v>
      </c>
      <c r="J14" s="408">
        <v>9.7450076608000007</v>
      </c>
    </row>
    <row r="15" spans="2:19" s="396" customFormat="1" ht="12.75" customHeight="1" x14ac:dyDescent="0.2">
      <c r="B15" s="95" t="s">
        <v>5</v>
      </c>
      <c r="C15" s="395"/>
      <c r="D15" s="279">
        <v>24608.7423173401</v>
      </c>
      <c r="E15" s="397"/>
      <c r="F15" s="279">
        <v>22304.438213701</v>
      </c>
      <c r="G15" s="408">
        <v>94.550760908800001</v>
      </c>
      <c r="H15" s="397"/>
      <c r="I15" s="279">
        <v>3092.7107851322999</v>
      </c>
      <c r="J15" s="408">
        <v>13.6572033595</v>
      </c>
    </row>
    <row r="16" spans="2:19" s="396" customFormat="1" ht="12.75" customHeight="1" x14ac:dyDescent="0.2">
      <c r="B16" s="95" t="s">
        <v>6</v>
      </c>
      <c r="C16" s="395"/>
      <c r="D16" s="279">
        <v>22749.028282297499</v>
      </c>
      <c r="E16" s="397"/>
      <c r="F16" s="279">
        <v>21708.070645311502</v>
      </c>
      <c r="G16" s="408">
        <v>98.029847230599998</v>
      </c>
      <c r="H16" s="397"/>
      <c r="I16" s="279">
        <v>1700.1157471842</v>
      </c>
      <c r="J16" s="408">
        <v>8.1560636291000002</v>
      </c>
    </row>
    <row r="17" spans="2:10" s="396" customFormat="1" ht="12.75" customHeight="1" x14ac:dyDescent="0.2">
      <c r="B17" s="95" t="s">
        <v>7</v>
      </c>
      <c r="C17" s="395"/>
      <c r="D17" s="279">
        <v>82714.400546653895</v>
      </c>
      <c r="E17" s="397"/>
      <c r="F17" s="279">
        <v>82714.400546653895</v>
      </c>
      <c r="G17" s="408">
        <v>100</v>
      </c>
      <c r="H17" s="397"/>
      <c r="I17" s="279">
        <v>0</v>
      </c>
      <c r="J17" s="408">
        <v>0</v>
      </c>
    </row>
    <row r="18" spans="2:10" s="396" customFormat="1" ht="12.75" customHeight="1" x14ac:dyDescent="0.2">
      <c r="B18" s="95" t="s">
        <v>8</v>
      </c>
      <c r="C18" s="395"/>
      <c r="D18" s="279">
        <v>29153.924458199301</v>
      </c>
      <c r="E18" s="397"/>
      <c r="F18" s="279">
        <v>28550.1995498059</v>
      </c>
      <c r="G18" s="408">
        <v>99.324328268800002</v>
      </c>
      <c r="H18" s="397"/>
      <c r="I18" s="279">
        <v>1106.3822615953</v>
      </c>
      <c r="J18" s="408">
        <v>4.2307636864999996</v>
      </c>
    </row>
    <row r="19" spans="2:10" s="396" customFormat="1" ht="12.75" customHeight="1" x14ac:dyDescent="0.2">
      <c r="B19" s="95" t="s">
        <v>9</v>
      </c>
      <c r="C19" s="395"/>
      <c r="D19" s="279">
        <v>83643.269636398196</v>
      </c>
      <c r="E19" s="397"/>
      <c r="F19" s="279">
        <v>79473.432879348795</v>
      </c>
      <c r="G19" s="408">
        <v>98.657695860900006</v>
      </c>
      <c r="H19" s="397"/>
      <c r="I19" s="279">
        <v>6918.7835855985004</v>
      </c>
      <c r="J19" s="408">
        <v>9.5207331740000001</v>
      </c>
    </row>
    <row r="20" spans="2:10" s="396" customFormat="1" ht="12.75" customHeight="1" x14ac:dyDescent="0.2">
      <c r="B20" s="95" t="s">
        <v>10</v>
      </c>
      <c r="C20" s="395"/>
      <c r="D20" s="279">
        <v>97494.1219003976</v>
      </c>
      <c r="E20" s="397"/>
      <c r="F20" s="279">
        <v>95710.762069543896</v>
      </c>
      <c r="G20" s="408">
        <v>99.816055861199999</v>
      </c>
      <c r="H20" s="397"/>
      <c r="I20" s="279">
        <v>4095.2144241512001</v>
      </c>
      <c r="J20" s="408">
        <v>4.4902721750000003</v>
      </c>
    </row>
    <row r="21" spans="2:10" s="396" customFormat="1" ht="12.75" customHeight="1" x14ac:dyDescent="0.2">
      <c r="B21" s="95" t="s">
        <v>11</v>
      </c>
      <c r="C21" s="395"/>
      <c r="D21" s="279">
        <v>207939.33226505801</v>
      </c>
      <c r="E21" s="397"/>
      <c r="F21" s="279">
        <v>156539.16447409301</v>
      </c>
      <c r="G21" s="408">
        <v>80.538834600300007</v>
      </c>
      <c r="H21" s="397"/>
      <c r="I21" s="279">
        <v>69304.798783664199</v>
      </c>
      <c r="J21" s="408">
        <v>35.2522070861</v>
      </c>
    </row>
    <row r="22" spans="2:10" s="396" customFormat="1" ht="12.75" customHeight="1" x14ac:dyDescent="0.2">
      <c r="B22" s="95" t="s">
        <v>12</v>
      </c>
      <c r="C22" s="395"/>
      <c r="D22" s="279">
        <v>52061.983229448299</v>
      </c>
      <c r="E22" s="397"/>
      <c r="F22" s="279">
        <v>50045.815934676102</v>
      </c>
      <c r="G22" s="408">
        <v>99.210085841500003</v>
      </c>
      <c r="H22" s="397"/>
      <c r="I22" s="279">
        <v>3358.3540955413</v>
      </c>
      <c r="J22" s="408">
        <v>6.9659930055999997</v>
      </c>
    </row>
    <row r="23" spans="2:10" s="396" customFormat="1" ht="12.75" customHeight="1" x14ac:dyDescent="0.2">
      <c r="B23" s="95" t="s">
        <v>13</v>
      </c>
      <c r="C23" s="395"/>
      <c r="D23" s="279">
        <v>117219.59247200401</v>
      </c>
      <c r="E23" s="397"/>
      <c r="F23" s="279">
        <v>106205.181596346</v>
      </c>
      <c r="G23" s="408">
        <v>96.060493541100001</v>
      </c>
      <c r="H23" s="397"/>
      <c r="I23" s="279">
        <v>17329.4343969086</v>
      </c>
      <c r="J23" s="408">
        <v>15.8603312474</v>
      </c>
    </row>
    <row r="24" spans="2:10" s="396" customFormat="1" ht="12.75" customHeight="1" x14ac:dyDescent="0.2">
      <c r="B24" s="95" t="s">
        <v>14</v>
      </c>
      <c r="C24" s="395"/>
      <c r="D24" s="279">
        <v>55814.138159103102</v>
      </c>
      <c r="E24" s="397"/>
      <c r="F24" s="279">
        <v>50174.099008332698</v>
      </c>
      <c r="G24" s="408">
        <v>93.824374382599999</v>
      </c>
      <c r="H24" s="397"/>
      <c r="I24" s="279">
        <v>9098.2764476812008</v>
      </c>
      <c r="J24" s="408">
        <v>17.976288139899999</v>
      </c>
    </row>
    <row r="25" spans="2:10" s="396" customFormat="1" ht="12.75" customHeight="1" x14ac:dyDescent="0.2">
      <c r="B25" s="95" t="s">
        <v>15</v>
      </c>
      <c r="C25" s="395"/>
      <c r="D25" s="279">
        <v>51973.447254169303</v>
      </c>
      <c r="E25" s="397"/>
      <c r="F25" s="279">
        <v>50210.156326031298</v>
      </c>
      <c r="G25" s="408">
        <v>99.322731735100007</v>
      </c>
      <c r="H25" s="397"/>
      <c r="I25" s="279">
        <v>3148.8585175078001</v>
      </c>
      <c r="J25" s="408">
        <v>6.7318910557000002</v>
      </c>
    </row>
    <row r="26" spans="2:10" s="396" customFormat="1" ht="12.75" customHeight="1" x14ac:dyDescent="0.2">
      <c r="B26" s="95" t="s">
        <v>16</v>
      </c>
      <c r="C26" s="395"/>
      <c r="D26" s="279">
        <v>317511.75911266002</v>
      </c>
      <c r="E26" s="397"/>
      <c r="F26" s="279">
        <v>272018.25208211702</v>
      </c>
      <c r="G26" s="408">
        <v>88.9796286391</v>
      </c>
      <c r="H26" s="397"/>
      <c r="I26" s="279">
        <v>59463.611986097603</v>
      </c>
      <c r="J26" s="408">
        <v>19.966776389100001</v>
      </c>
    </row>
    <row r="27" spans="2:10" s="396" customFormat="1" ht="12.75" customHeight="1" x14ac:dyDescent="0.2">
      <c r="B27" s="95" t="s">
        <v>17</v>
      </c>
      <c r="C27" s="395"/>
      <c r="D27" s="279">
        <v>245749.88296628199</v>
      </c>
      <c r="E27" s="397"/>
      <c r="F27" s="279">
        <v>202313.31180261899</v>
      </c>
      <c r="G27" s="408">
        <v>87.544697380800002</v>
      </c>
      <c r="H27" s="397"/>
      <c r="I27" s="279">
        <v>68015.019095399795</v>
      </c>
      <c r="J27" s="408">
        <v>30.603839037699998</v>
      </c>
    </row>
    <row r="28" spans="2:10" s="396" customFormat="1" ht="12.75" customHeight="1" x14ac:dyDescent="0.2">
      <c r="B28" s="95" t="s">
        <v>18</v>
      </c>
      <c r="C28" s="395"/>
      <c r="D28" s="279">
        <v>110619.666452114</v>
      </c>
      <c r="E28" s="397"/>
      <c r="F28" s="279">
        <v>101634.937397437</v>
      </c>
      <c r="G28" s="408">
        <v>96.490372171900006</v>
      </c>
      <c r="H28" s="397"/>
      <c r="I28" s="279">
        <v>13366.7800312362</v>
      </c>
      <c r="J28" s="408">
        <v>13.594080635599999</v>
      </c>
    </row>
    <row r="29" spans="2:10" s="396" customFormat="1" ht="12.75" customHeight="1" x14ac:dyDescent="0.2">
      <c r="B29" s="95" t="s">
        <v>19</v>
      </c>
      <c r="C29" s="395"/>
      <c r="D29" s="279">
        <v>29202.629438434898</v>
      </c>
      <c r="E29" s="397"/>
      <c r="F29" s="279">
        <v>27392.422262985801</v>
      </c>
      <c r="G29" s="408">
        <v>97.056164646900001</v>
      </c>
      <c r="H29" s="397"/>
      <c r="I29" s="279">
        <v>3669.0913726480999</v>
      </c>
      <c r="J29" s="408">
        <v>14.016733783299999</v>
      </c>
    </row>
    <row r="30" spans="2:10" s="396" customFormat="1" ht="12.75" customHeight="1" x14ac:dyDescent="0.2">
      <c r="B30" s="95" t="s">
        <v>20</v>
      </c>
      <c r="C30" s="395"/>
      <c r="D30" s="279">
        <v>44936.414763671703</v>
      </c>
      <c r="E30" s="397"/>
      <c r="F30" s="279">
        <v>41756.183913685098</v>
      </c>
      <c r="G30" s="408">
        <v>95.695268269899998</v>
      </c>
      <c r="H30" s="397"/>
      <c r="I30" s="279">
        <v>4856.4179664126004</v>
      </c>
      <c r="J30" s="408">
        <v>12.1234664435</v>
      </c>
    </row>
    <row r="31" spans="2:10" s="396" customFormat="1" ht="12.75" customHeight="1" x14ac:dyDescent="0.2">
      <c r="B31" s="95" t="s">
        <v>21</v>
      </c>
      <c r="C31" s="395"/>
      <c r="D31" s="279">
        <v>228529.87533276301</v>
      </c>
      <c r="E31" s="397"/>
      <c r="F31" s="279">
        <v>213326.509994269</v>
      </c>
      <c r="G31" s="408">
        <v>97.270496655599999</v>
      </c>
      <c r="H31" s="397"/>
      <c r="I31" s="279">
        <v>23723.094986746</v>
      </c>
      <c r="J31" s="408">
        <v>11.033227700499999</v>
      </c>
    </row>
    <row r="32" spans="2:10" s="396" customFormat="1" ht="12.75" customHeight="1" x14ac:dyDescent="0.2">
      <c r="B32" s="95" t="s">
        <v>22</v>
      </c>
      <c r="C32" s="395"/>
      <c r="D32" s="279">
        <v>85644.643141977896</v>
      </c>
      <c r="E32" s="397"/>
      <c r="F32" s="279">
        <v>83409.208374242095</v>
      </c>
      <c r="G32" s="408">
        <v>99.373933962699994</v>
      </c>
      <c r="H32" s="397"/>
      <c r="I32" s="279">
        <v>4156.1146699532001</v>
      </c>
      <c r="J32" s="408">
        <v>5.5509955337000001</v>
      </c>
    </row>
    <row r="33" spans="2:10" s="396" customFormat="1" ht="12.75" customHeight="1" x14ac:dyDescent="0.2">
      <c r="B33" s="95" t="s">
        <v>23</v>
      </c>
      <c r="C33" s="395"/>
      <c r="D33" s="279">
        <v>83805.017769934799</v>
      </c>
      <c r="E33" s="397"/>
      <c r="F33" s="279">
        <v>70628.050813061302</v>
      </c>
      <c r="G33" s="408">
        <v>90.095512498700003</v>
      </c>
      <c r="H33" s="397"/>
      <c r="I33" s="279">
        <v>19138.219915853999</v>
      </c>
      <c r="J33" s="408">
        <v>24.593924947200001</v>
      </c>
    </row>
    <row r="34" spans="2:10" s="396" customFormat="1" ht="12.75" customHeight="1" x14ac:dyDescent="0.2">
      <c r="B34" s="95" t="s">
        <v>24</v>
      </c>
      <c r="C34" s="395"/>
      <c r="D34" s="279">
        <v>83493.579120331604</v>
      </c>
      <c r="E34" s="397"/>
      <c r="F34" s="279">
        <v>73229.838631783598</v>
      </c>
      <c r="G34" s="408">
        <v>94.181563019500004</v>
      </c>
      <c r="H34" s="397"/>
      <c r="I34" s="279">
        <v>12023.782339607</v>
      </c>
      <c r="J34" s="408">
        <v>15.556450973700001</v>
      </c>
    </row>
    <row r="35" spans="2:10" s="396" customFormat="1" ht="12.75" customHeight="1" x14ac:dyDescent="0.2">
      <c r="B35" s="95" t="s">
        <v>25</v>
      </c>
      <c r="C35" s="395"/>
      <c r="D35" s="279">
        <v>60261.430122796999</v>
      </c>
      <c r="E35" s="397"/>
      <c r="F35" s="279">
        <v>51830.779544187797</v>
      </c>
      <c r="G35" s="408">
        <v>88.330013389000001</v>
      </c>
      <c r="H35" s="397"/>
      <c r="I35" s="279">
        <v>11574.0991488906</v>
      </c>
      <c r="J35" s="408">
        <v>21.150859354000001</v>
      </c>
    </row>
    <row r="36" spans="2:10" s="396" customFormat="1" ht="12.75" customHeight="1" x14ac:dyDescent="0.2">
      <c r="B36" s="95" t="s">
        <v>26</v>
      </c>
      <c r="C36" s="395"/>
      <c r="D36" s="279">
        <v>57947.4789793608</v>
      </c>
      <c r="E36" s="397"/>
      <c r="F36" s="279">
        <v>56920.936890259203</v>
      </c>
      <c r="G36" s="408">
        <v>99.861856710500007</v>
      </c>
      <c r="H36" s="397"/>
      <c r="I36" s="279">
        <v>2491.1592592517</v>
      </c>
      <c r="J36" s="408">
        <v>4.6609036026000004</v>
      </c>
    </row>
    <row r="37" spans="2:10" s="396" customFormat="1" ht="12.75" customHeight="1" x14ac:dyDescent="0.2">
      <c r="B37" s="95" t="s">
        <v>27</v>
      </c>
      <c r="C37" s="395"/>
      <c r="D37" s="279">
        <v>70872.055599581203</v>
      </c>
      <c r="E37" s="397"/>
      <c r="F37" s="279">
        <v>68228.606657645607</v>
      </c>
      <c r="G37" s="408">
        <v>98.222754453700006</v>
      </c>
      <c r="H37" s="397"/>
      <c r="I37" s="279">
        <v>4918.9440555853998</v>
      </c>
      <c r="J37" s="408">
        <v>7.56723473</v>
      </c>
    </row>
    <row r="38" spans="2:10" s="396" customFormat="1" ht="12.75" customHeight="1" x14ac:dyDescent="0.2">
      <c r="B38" s="95" t="s">
        <v>28</v>
      </c>
      <c r="C38" s="395"/>
      <c r="D38" s="279">
        <v>130348.844676715</v>
      </c>
      <c r="E38" s="397"/>
      <c r="F38" s="279">
        <v>130348.844676715</v>
      </c>
      <c r="G38" s="408">
        <v>100</v>
      </c>
      <c r="H38" s="397"/>
      <c r="I38" s="279">
        <v>0</v>
      </c>
      <c r="J38" s="408">
        <v>0</v>
      </c>
    </row>
    <row r="39" spans="2:10" s="396" customFormat="1" ht="12.75" customHeight="1" x14ac:dyDescent="0.2">
      <c r="B39" s="95" t="s">
        <v>29</v>
      </c>
      <c r="C39" s="395"/>
      <c r="D39" s="279">
        <v>60958.294376071499</v>
      </c>
      <c r="E39" s="397"/>
      <c r="F39" s="279">
        <v>58945.007068029001</v>
      </c>
      <c r="G39" s="408">
        <v>98.785507035400002</v>
      </c>
      <c r="H39" s="397"/>
      <c r="I39" s="279">
        <v>3731.626902733</v>
      </c>
      <c r="J39" s="408">
        <v>6.9750903300999996</v>
      </c>
    </row>
    <row r="40" spans="2:10" s="396" customFormat="1" ht="12.75" customHeight="1" x14ac:dyDescent="0.2">
      <c r="B40" s="95" t="s">
        <v>30</v>
      </c>
      <c r="C40" s="395"/>
      <c r="D40" s="279">
        <v>115544.217259397</v>
      </c>
      <c r="E40" s="397"/>
      <c r="F40" s="279">
        <v>106898.60733263299</v>
      </c>
      <c r="G40" s="408">
        <v>95.184212412500003</v>
      </c>
      <c r="H40" s="397"/>
      <c r="I40" s="279">
        <v>13241.216643162799</v>
      </c>
      <c r="J40" s="408">
        <v>12.346156450000001</v>
      </c>
    </row>
    <row r="41" spans="2:10" s="396" customFormat="1" ht="12.75" customHeight="1" x14ac:dyDescent="0.2">
      <c r="B41" s="95" t="s">
        <v>31</v>
      </c>
      <c r="C41" s="395"/>
      <c r="D41" s="279">
        <v>12239.7037674487</v>
      </c>
      <c r="E41" s="397"/>
      <c r="F41" s="279">
        <v>11842.0598792323</v>
      </c>
      <c r="G41" s="408">
        <v>101.09245191940001</v>
      </c>
      <c r="H41" s="397"/>
      <c r="I41" s="279">
        <v>789.97298014969999</v>
      </c>
      <c r="J41" s="408">
        <v>7.0123799446000001</v>
      </c>
    </row>
    <row r="42" spans="2:10" s="396" customFormat="1" ht="12.75" customHeight="1" x14ac:dyDescent="0.2">
      <c r="B42" s="95" t="s">
        <v>32</v>
      </c>
      <c r="C42" s="395"/>
      <c r="D42" s="279">
        <v>155398.224768927</v>
      </c>
      <c r="E42" s="397"/>
      <c r="F42" s="279">
        <v>139984.701121891</v>
      </c>
      <c r="G42" s="408">
        <v>93.992745568100005</v>
      </c>
      <c r="H42" s="397"/>
      <c r="I42" s="279">
        <v>23914.201926896501</v>
      </c>
      <c r="J42" s="408">
        <v>17.336424862600001</v>
      </c>
    </row>
    <row r="43" spans="2:10" s="396" customFormat="1" ht="12.75" customHeight="1" x14ac:dyDescent="0.2">
      <c r="B43" s="95" t="s">
        <v>33</v>
      </c>
      <c r="C43" s="395"/>
      <c r="D43" s="279">
        <v>94932.431848099499</v>
      </c>
      <c r="E43" s="397"/>
      <c r="F43" s="279">
        <v>90879.419973177806</v>
      </c>
      <c r="G43" s="408">
        <v>99.481169376099999</v>
      </c>
      <c r="H43" s="397"/>
      <c r="I43" s="279">
        <v>7569.0512344246999</v>
      </c>
      <c r="J43" s="408">
        <v>8.6134425628999995</v>
      </c>
    </row>
    <row r="44" spans="2:10" s="396" customFormat="1" ht="12.75" customHeight="1" x14ac:dyDescent="0.2">
      <c r="B44" s="95" t="s">
        <v>34</v>
      </c>
      <c r="C44" s="395"/>
      <c r="D44" s="279">
        <v>49515.189313489602</v>
      </c>
      <c r="E44" s="397"/>
      <c r="F44" s="279">
        <v>48332.022461750101</v>
      </c>
      <c r="G44" s="408">
        <v>99.345448644300006</v>
      </c>
      <c r="H44" s="397"/>
      <c r="I44" s="279">
        <v>2089.2069162148</v>
      </c>
      <c r="J44" s="408">
        <v>4.7797593004000003</v>
      </c>
    </row>
    <row r="45" spans="2:10" ht="6" customHeight="1" x14ac:dyDescent="0.25">
      <c r="B45" s="398"/>
      <c r="C45" s="399"/>
      <c r="D45" s="264"/>
      <c r="E45" s="400"/>
      <c r="F45" s="264"/>
      <c r="G45" s="401"/>
      <c r="H45" s="401"/>
      <c r="I45" s="264"/>
      <c r="J45" s="401"/>
    </row>
    <row r="46" spans="2:10" ht="6" customHeight="1" x14ac:dyDescent="0.25">
      <c r="B46" s="228"/>
      <c r="C46" s="384"/>
      <c r="D46" s="145"/>
      <c r="E46" s="402"/>
      <c r="F46" s="145"/>
      <c r="G46" s="403"/>
      <c r="H46" s="403"/>
      <c r="I46" s="145"/>
      <c r="J46" s="403"/>
    </row>
    <row r="47" spans="2:10" ht="25.5" customHeight="1" x14ac:dyDescent="0.25">
      <c r="B47" s="702" t="s">
        <v>93</v>
      </c>
      <c r="C47" s="702"/>
      <c r="D47" s="702"/>
      <c r="E47" s="702"/>
      <c r="F47" s="702"/>
      <c r="G47" s="702"/>
      <c r="H47" s="702"/>
      <c r="I47" s="702"/>
      <c r="J47" s="702"/>
    </row>
    <row r="48" spans="2:10" ht="12.75" customHeight="1" x14ac:dyDescent="0.25">
      <c r="B48" s="404" t="s">
        <v>80</v>
      </c>
      <c r="C48" s="384"/>
      <c r="D48" s="145"/>
      <c r="E48" s="402"/>
      <c r="F48" s="145"/>
      <c r="G48" s="403"/>
      <c r="H48" s="403"/>
      <c r="I48" s="145"/>
      <c r="J48" s="403"/>
    </row>
    <row r="49" spans="2:10" ht="12" customHeight="1" x14ac:dyDescent="0.25">
      <c r="B49" s="404" t="s">
        <v>81</v>
      </c>
      <c r="C49" s="384"/>
      <c r="D49" s="145"/>
      <c r="E49" s="402"/>
      <c r="F49" s="145"/>
      <c r="G49" s="403"/>
      <c r="H49" s="403"/>
      <c r="I49" s="145"/>
      <c r="J49" s="403"/>
    </row>
    <row r="50" spans="2:10" s="13" customFormat="1" ht="14.25" x14ac:dyDescent="0.2">
      <c r="B50" s="109" t="s">
        <v>57</v>
      </c>
    </row>
  </sheetData>
  <mergeCells count="7">
    <mergeCell ref="B47:J47"/>
    <mergeCell ref="B5:I5"/>
    <mergeCell ref="B7:C9"/>
    <mergeCell ref="D7:D9"/>
    <mergeCell ref="F7:J7"/>
    <mergeCell ref="F8:G8"/>
    <mergeCell ref="I8:J8"/>
  </mergeCells>
  <hyperlinks>
    <hyperlink ref="J1" location="Índice!A1" tooltip="Ir a ÍNDICE" display="INDICE" xr:uid="{220C4EF0-1C92-46DA-AF13-A11F88500706}"/>
  </hyperlinks>
  <pageMargins left="0.70866141732283472" right="0.70866141732283472" top="0.74803149606299213" bottom="0.74803149606299213" header="0.31496062992125984" footer="0.31496062992125984"/>
  <pageSetup orientation="portrait" verticalDpi="12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549496-CDBB-4438-8EA8-139FC8AA4F5B}">
  <dimension ref="B1:R46"/>
  <sheetViews>
    <sheetView showGridLines="0" zoomScaleNormal="100" workbookViewId="0"/>
  </sheetViews>
  <sheetFormatPr baseColWidth="10" defaultColWidth="11.42578125" defaultRowHeight="15" x14ac:dyDescent="0.25"/>
  <cols>
    <col min="1" max="1" width="1.7109375" style="417" customWidth="1"/>
    <col min="2" max="2" width="24.28515625" style="417" customWidth="1"/>
    <col min="3" max="3" width="0.85546875" style="435" customWidth="1"/>
    <col min="4" max="4" width="27" style="436" customWidth="1"/>
    <col min="5" max="5" width="12.42578125" style="436" customWidth="1"/>
    <col min="6" max="6" width="28.85546875" style="437" customWidth="1"/>
    <col min="7" max="16384" width="11.42578125" style="417"/>
  </cols>
  <sheetData>
    <row r="1" spans="2:18" s="410" customFormat="1" ht="12" customHeight="1" x14ac:dyDescent="0.2">
      <c r="B1" s="639" t="s">
        <v>202</v>
      </c>
      <c r="D1" s="411"/>
      <c r="E1" s="411"/>
      <c r="F1" s="72" t="s">
        <v>151</v>
      </c>
    </row>
    <row r="2" spans="2:18" s="410" customFormat="1" ht="6.95" customHeight="1" x14ac:dyDescent="0.2">
      <c r="B2" s="639"/>
      <c r="D2" s="411"/>
      <c r="E2" s="411"/>
      <c r="F2" s="411"/>
    </row>
    <row r="3" spans="2:18" s="410" customFormat="1" ht="15" customHeight="1" x14ac:dyDescent="0.2">
      <c r="B3" s="639" t="s">
        <v>199</v>
      </c>
      <c r="C3" s="409"/>
      <c r="D3" s="409"/>
      <c r="E3" s="409"/>
      <c r="F3" s="409"/>
      <c r="G3" s="409"/>
      <c r="H3" s="409"/>
      <c r="I3" s="409"/>
      <c r="J3" s="409"/>
      <c r="K3" s="409"/>
      <c r="L3" s="409"/>
      <c r="M3" s="409"/>
      <c r="N3" s="409"/>
      <c r="O3" s="409"/>
      <c r="P3" s="409"/>
      <c r="Q3" s="409"/>
      <c r="R3" s="409"/>
    </row>
    <row r="4" spans="2:18" s="410" customFormat="1" ht="6.95" customHeight="1" x14ac:dyDescent="0.2">
      <c r="C4" s="412"/>
      <c r="D4" s="411"/>
      <c r="E4" s="411"/>
      <c r="F4" s="411"/>
    </row>
    <row r="5" spans="2:18" s="410" customFormat="1" ht="25.5" customHeight="1" x14ac:dyDescent="0.2">
      <c r="B5" s="710" t="s">
        <v>152</v>
      </c>
      <c r="C5" s="710"/>
      <c r="D5" s="710"/>
      <c r="E5" s="710"/>
      <c r="F5" s="71" t="s">
        <v>115</v>
      </c>
      <c r="G5" s="413"/>
      <c r="H5" s="413"/>
      <c r="I5" s="413"/>
      <c r="J5" s="413"/>
      <c r="K5" s="413"/>
    </row>
    <row r="6" spans="2:18" ht="6" customHeight="1" x14ac:dyDescent="0.25">
      <c r="B6" s="414"/>
      <c r="C6" s="415"/>
      <c r="D6" s="416"/>
      <c r="E6" s="416"/>
      <c r="F6" s="416"/>
      <c r="G6" s="414"/>
      <c r="H6" s="414"/>
      <c r="I6" s="414"/>
      <c r="J6" s="414"/>
      <c r="K6" s="414"/>
    </row>
    <row r="7" spans="2:18" ht="60.75" customHeight="1" x14ac:dyDescent="0.25">
      <c r="B7" s="32" t="s">
        <v>76</v>
      </c>
      <c r="C7" s="32"/>
      <c r="D7" s="418" t="s">
        <v>108</v>
      </c>
      <c r="E7" s="419"/>
      <c r="F7" s="420" t="s">
        <v>82</v>
      </c>
      <c r="G7" s="414"/>
      <c r="H7" s="414"/>
      <c r="I7" s="414"/>
      <c r="J7" s="414"/>
      <c r="K7" s="414"/>
    </row>
    <row r="8" spans="2:18" ht="6" customHeight="1" x14ac:dyDescent="0.25">
      <c r="B8" s="31"/>
      <c r="C8" s="421"/>
      <c r="D8" s="422"/>
      <c r="E8" s="422"/>
      <c r="F8" s="422"/>
      <c r="G8" s="414"/>
      <c r="H8" s="414"/>
      <c r="I8" s="414"/>
      <c r="J8" s="414"/>
      <c r="K8" s="414"/>
    </row>
    <row r="9" spans="2:18" s="424" customFormat="1" ht="11.25" x14ac:dyDescent="0.2">
      <c r="B9" s="94" t="s">
        <v>2</v>
      </c>
      <c r="C9" s="423"/>
      <c r="D9" s="334">
        <v>2822025.6022069799</v>
      </c>
      <c r="E9" s="87"/>
      <c r="F9" s="334">
        <v>3.5366760454000001</v>
      </c>
      <c r="G9" s="423"/>
      <c r="H9" s="423"/>
      <c r="I9" s="423"/>
      <c r="J9" s="423"/>
      <c r="K9" s="423"/>
    </row>
    <row r="10" spans="2:18" s="426" customFormat="1" ht="6" customHeight="1" x14ac:dyDescent="0.2">
      <c r="B10" s="94"/>
      <c r="C10" s="425"/>
      <c r="D10" s="89"/>
      <c r="E10" s="89"/>
      <c r="F10" s="89"/>
      <c r="G10" s="425"/>
      <c r="H10" s="425"/>
      <c r="I10" s="425"/>
      <c r="J10" s="425"/>
      <c r="K10" s="425"/>
    </row>
    <row r="11" spans="2:18" s="426" customFormat="1" ht="12.75" customHeight="1" x14ac:dyDescent="0.2">
      <c r="B11" s="95" t="s">
        <v>3</v>
      </c>
      <c r="C11" s="427"/>
      <c r="D11" s="279">
        <v>50676.384203772999</v>
      </c>
      <c r="E11" s="89"/>
      <c r="F11" s="279">
        <v>4.0955636219000002</v>
      </c>
      <c r="G11" s="425"/>
      <c r="H11" s="425"/>
      <c r="I11" s="425"/>
      <c r="J11" s="425"/>
      <c r="K11" s="425"/>
    </row>
    <row r="12" spans="2:18" s="426" customFormat="1" ht="12.75" customHeight="1" x14ac:dyDescent="0.2">
      <c r="B12" s="95" t="s">
        <v>4</v>
      </c>
      <c r="C12" s="427"/>
      <c r="D12" s="279">
        <v>124003.394150981</v>
      </c>
      <c r="E12" s="89"/>
      <c r="F12" s="279">
        <v>3.5499104981</v>
      </c>
      <c r="G12" s="425"/>
      <c r="H12" s="425"/>
      <c r="I12" s="425"/>
      <c r="J12" s="425"/>
      <c r="K12" s="425"/>
    </row>
    <row r="13" spans="2:18" s="426" customFormat="1" ht="12.75" customHeight="1" x14ac:dyDescent="0.2">
      <c r="B13" s="95" t="s">
        <v>5</v>
      </c>
      <c r="C13" s="427"/>
      <c r="D13" s="279">
        <v>24608.7423173401</v>
      </c>
      <c r="E13" s="89"/>
      <c r="F13" s="279">
        <v>3.7807663963999998</v>
      </c>
      <c r="G13" s="425"/>
      <c r="H13" s="425"/>
      <c r="I13" s="425"/>
      <c r="J13" s="425"/>
      <c r="K13" s="425"/>
    </row>
    <row r="14" spans="2:18" s="426" customFormat="1" ht="12.75" customHeight="1" x14ac:dyDescent="0.2">
      <c r="B14" s="95" t="s">
        <v>6</v>
      </c>
      <c r="C14" s="427"/>
      <c r="D14" s="279">
        <v>22749.028282297499</v>
      </c>
      <c r="E14" s="428"/>
      <c r="F14" s="438">
        <v>3.4524756242999999</v>
      </c>
      <c r="G14" s="425"/>
      <c r="H14" s="425"/>
      <c r="I14" s="425"/>
      <c r="J14" s="425"/>
      <c r="K14" s="425"/>
    </row>
    <row r="15" spans="2:18" s="426" customFormat="1" ht="12.75" customHeight="1" x14ac:dyDescent="0.2">
      <c r="B15" s="95" t="s">
        <v>7</v>
      </c>
      <c r="C15" s="427"/>
      <c r="D15" s="279">
        <v>82714.400546653895</v>
      </c>
      <c r="E15" s="428"/>
      <c r="F15" s="438">
        <v>3.9357566145999998</v>
      </c>
      <c r="G15" s="425"/>
      <c r="H15" s="425"/>
      <c r="I15" s="425"/>
      <c r="J15" s="425"/>
      <c r="K15" s="425"/>
    </row>
    <row r="16" spans="2:18" s="426" customFormat="1" ht="12.75" customHeight="1" x14ac:dyDescent="0.2">
      <c r="B16" s="95" t="s">
        <v>8</v>
      </c>
      <c r="C16" s="427"/>
      <c r="D16" s="279">
        <v>29153.924458199301</v>
      </c>
      <c r="E16" s="428"/>
      <c r="F16" s="438">
        <v>3.0033867948999999</v>
      </c>
      <c r="G16" s="425"/>
      <c r="H16" s="425"/>
      <c r="I16" s="425"/>
      <c r="J16" s="425"/>
      <c r="K16" s="425"/>
    </row>
    <row r="17" spans="2:11" s="426" customFormat="1" ht="12.75" customHeight="1" x14ac:dyDescent="0.2">
      <c r="B17" s="95" t="s">
        <v>9</v>
      </c>
      <c r="C17" s="427"/>
      <c r="D17" s="279">
        <v>83643.269636398196</v>
      </c>
      <c r="E17" s="428"/>
      <c r="F17" s="438">
        <v>2.5741587255999998</v>
      </c>
      <c r="G17" s="425"/>
      <c r="H17" s="425"/>
      <c r="I17" s="425"/>
      <c r="J17" s="425"/>
      <c r="K17" s="425"/>
    </row>
    <row r="18" spans="2:11" s="426" customFormat="1" ht="12.75" customHeight="1" x14ac:dyDescent="0.2">
      <c r="B18" s="95" t="s">
        <v>10</v>
      </c>
      <c r="C18" s="427"/>
      <c r="D18" s="279">
        <v>97494.1219003976</v>
      </c>
      <c r="E18" s="428"/>
      <c r="F18" s="438">
        <v>3.9777540502000002</v>
      </c>
      <c r="G18" s="425"/>
      <c r="H18" s="425"/>
      <c r="I18" s="425"/>
      <c r="J18" s="425"/>
      <c r="K18" s="425"/>
    </row>
    <row r="19" spans="2:11" s="426" customFormat="1" ht="12.75" customHeight="1" x14ac:dyDescent="0.2">
      <c r="B19" s="95" t="s">
        <v>11</v>
      </c>
      <c r="C19" s="427"/>
      <c r="D19" s="279">
        <v>207939.33226505801</v>
      </c>
      <c r="E19" s="428"/>
      <c r="F19" s="438">
        <v>4.3649981158999998</v>
      </c>
      <c r="G19" s="425"/>
      <c r="H19" s="425"/>
      <c r="I19" s="425"/>
      <c r="J19" s="425"/>
      <c r="K19" s="425"/>
    </row>
    <row r="20" spans="2:11" s="426" customFormat="1" ht="12.75" customHeight="1" x14ac:dyDescent="0.2">
      <c r="B20" s="95" t="s">
        <v>12</v>
      </c>
      <c r="C20" s="427"/>
      <c r="D20" s="279">
        <v>52061.983229448299</v>
      </c>
      <c r="E20" s="428"/>
      <c r="F20" s="438">
        <v>3.8782091276999999</v>
      </c>
      <c r="G20" s="425"/>
      <c r="H20" s="425"/>
      <c r="I20" s="425"/>
      <c r="J20" s="425"/>
      <c r="K20" s="425"/>
    </row>
    <row r="21" spans="2:11" s="426" customFormat="1" ht="12.75" customHeight="1" x14ac:dyDescent="0.2">
      <c r="B21" s="95" t="s">
        <v>13</v>
      </c>
      <c r="C21" s="427"/>
      <c r="D21" s="279">
        <v>117219.59247200401</v>
      </c>
      <c r="E21" s="428"/>
      <c r="F21" s="438">
        <v>3.4688837774999999</v>
      </c>
      <c r="G21" s="425"/>
      <c r="H21" s="425"/>
      <c r="I21" s="425"/>
      <c r="J21" s="425"/>
      <c r="K21" s="425"/>
    </row>
    <row r="22" spans="2:11" s="426" customFormat="1" ht="12.75" customHeight="1" x14ac:dyDescent="0.2">
      <c r="B22" s="95" t="s">
        <v>14</v>
      </c>
      <c r="C22" s="427"/>
      <c r="D22" s="279">
        <v>55814.138159103102</v>
      </c>
      <c r="E22" s="428"/>
      <c r="F22" s="438">
        <v>2.8668224386999999</v>
      </c>
      <c r="G22" s="425"/>
      <c r="H22" s="425"/>
      <c r="I22" s="425"/>
      <c r="J22" s="425"/>
      <c r="K22" s="425"/>
    </row>
    <row r="23" spans="2:11" s="426" customFormat="1" ht="12.75" customHeight="1" x14ac:dyDescent="0.2">
      <c r="B23" s="95" t="s">
        <v>15</v>
      </c>
      <c r="C23" s="427"/>
      <c r="D23" s="279">
        <v>51973.447254169303</v>
      </c>
      <c r="E23" s="428"/>
      <c r="F23" s="438">
        <v>3.9964578616000002</v>
      </c>
      <c r="G23" s="425"/>
      <c r="H23" s="425"/>
      <c r="I23" s="425"/>
      <c r="J23" s="425"/>
      <c r="K23" s="425"/>
    </row>
    <row r="24" spans="2:11" s="426" customFormat="1" ht="12.75" customHeight="1" x14ac:dyDescent="0.2">
      <c r="B24" s="95" t="s">
        <v>16</v>
      </c>
      <c r="C24" s="427"/>
      <c r="D24" s="279">
        <v>317511.75911266002</v>
      </c>
      <c r="E24" s="428"/>
      <c r="F24" s="438">
        <v>3.5322522621000001</v>
      </c>
      <c r="G24" s="425"/>
      <c r="H24" s="425"/>
      <c r="I24" s="425"/>
      <c r="J24" s="425"/>
      <c r="K24" s="425"/>
    </row>
    <row r="25" spans="2:11" s="426" customFormat="1" ht="12.75" customHeight="1" x14ac:dyDescent="0.2">
      <c r="B25" s="95" t="s">
        <v>17</v>
      </c>
      <c r="C25" s="427"/>
      <c r="D25" s="279">
        <v>245749.88296628199</v>
      </c>
      <c r="E25" s="428"/>
      <c r="F25" s="438">
        <v>4.2576917117999997</v>
      </c>
      <c r="G25" s="425"/>
      <c r="H25" s="425"/>
      <c r="I25" s="425"/>
      <c r="J25" s="425"/>
      <c r="K25" s="425"/>
    </row>
    <row r="26" spans="2:11" s="426" customFormat="1" ht="12.75" customHeight="1" x14ac:dyDescent="0.2">
      <c r="B26" s="95" t="s">
        <v>18</v>
      </c>
      <c r="C26" s="427"/>
      <c r="D26" s="279">
        <v>110619.666452114</v>
      </c>
      <c r="E26" s="428"/>
      <c r="F26" s="438">
        <v>3.7255208078000002</v>
      </c>
      <c r="G26" s="425"/>
      <c r="H26" s="425"/>
      <c r="I26" s="425"/>
      <c r="J26" s="425"/>
      <c r="K26" s="425"/>
    </row>
    <row r="27" spans="2:11" s="426" customFormat="1" ht="12.75" customHeight="1" x14ac:dyDescent="0.2">
      <c r="B27" s="95" t="s">
        <v>19</v>
      </c>
      <c r="C27" s="427"/>
      <c r="D27" s="279">
        <v>29202.629438434898</v>
      </c>
      <c r="E27" s="428"/>
      <c r="F27" s="438">
        <v>3.9335503217999999</v>
      </c>
      <c r="G27" s="425"/>
      <c r="H27" s="425"/>
      <c r="I27" s="425"/>
      <c r="J27" s="425"/>
      <c r="K27" s="425"/>
    </row>
    <row r="28" spans="2:11" s="426" customFormat="1" ht="12.75" customHeight="1" x14ac:dyDescent="0.2">
      <c r="B28" s="95" t="s">
        <v>20</v>
      </c>
      <c r="C28" s="427"/>
      <c r="D28" s="279">
        <v>44936.414763671703</v>
      </c>
      <c r="E28" s="428"/>
      <c r="F28" s="438">
        <v>3.6763651695999999</v>
      </c>
      <c r="G28" s="425"/>
      <c r="H28" s="425"/>
      <c r="I28" s="425"/>
      <c r="J28" s="425"/>
      <c r="K28" s="425"/>
    </row>
    <row r="29" spans="2:11" s="426" customFormat="1" ht="12.75" customHeight="1" x14ac:dyDescent="0.2">
      <c r="B29" s="95" t="s">
        <v>21</v>
      </c>
      <c r="C29" s="427"/>
      <c r="D29" s="279">
        <v>228529.87533276301</v>
      </c>
      <c r="E29" s="428"/>
      <c r="F29" s="438">
        <v>3.721913679</v>
      </c>
      <c r="G29" s="425"/>
      <c r="H29" s="425"/>
      <c r="I29" s="425"/>
      <c r="J29" s="425"/>
      <c r="K29" s="425"/>
    </row>
    <row r="30" spans="2:11" s="426" customFormat="1" ht="12.75" customHeight="1" x14ac:dyDescent="0.2">
      <c r="B30" s="95" t="s">
        <v>22</v>
      </c>
      <c r="C30" s="427"/>
      <c r="D30" s="279">
        <v>85644.643141977896</v>
      </c>
      <c r="E30" s="428"/>
      <c r="F30" s="438">
        <v>3.4547749996000001</v>
      </c>
      <c r="G30" s="425"/>
      <c r="H30" s="425"/>
      <c r="I30" s="425"/>
      <c r="J30" s="425"/>
      <c r="K30" s="425"/>
    </row>
    <row r="31" spans="2:11" s="426" customFormat="1" ht="12.75" customHeight="1" x14ac:dyDescent="0.2">
      <c r="B31" s="95" t="s">
        <v>23</v>
      </c>
      <c r="C31" s="427"/>
      <c r="D31" s="279">
        <v>83805.017769934799</v>
      </c>
      <c r="E31" s="428"/>
      <c r="F31" s="438">
        <v>4.0114741036000003</v>
      </c>
      <c r="G31" s="425"/>
      <c r="H31" s="425"/>
      <c r="I31" s="425"/>
      <c r="J31" s="425"/>
      <c r="K31" s="425"/>
    </row>
    <row r="32" spans="2:11" s="426" customFormat="1" ht="12.75" customHeight="1" x14ac:dyDescent="0.2">
      <c r="B32" s="95" t="s">
        <v>24</v>
      </c>
      <c r="C32" s="427"/>
      <c r="D32" s="279">
        <v>83493.579120331604</v>
      </c>
      <c r="E32" s="428"/>
      <c r="F32" s="438">
        <v>3.9870410386000001</v>
      </c>
      <c r="G32" s="425"/>
      <c r="H32" s="425"/>
      <c r="I32" s="425"/>
      <c r="J32" s="425"/>
      <c r="K32" s="425"/>
    </row>
    <row r="33" spans="2:11" s="426" customFormat="1" ht="12.75" customHeight="1" x14ac:dyDescent="0.2">
      <c r="B33" s="95" t="s">
        <v>25</v>
      </c>
      <c r="C33" s="427"/>
      <c r="D33" s="279">
        <v>60261.430122796999</v>
      </c>
      <c r="E33" s="428"/>
      <c r="F33" s="438">
        <v>3.1150316595</v>
      </c>
      <c r="G33" s="425"/>
      <c r="H33" s="425"/>
      <c r="I33" s="425"/>
      <c r="J33" s="425"/>
      <c r="K33" s="425"/>
    </row>
    <row r="34" spans="2:11" s="426" customFormat="1" ht="12.75" customHeight="1" x14ac:dyDescent="0.2">
      <c r="B34" s="95" t="s">
        <v>26</v>
      </c>
      <c r="C34" s="427"/>
      <c r="D34" s="279">
        <v>57947.4789793608</v>
      </c>
      <c r="E34" s="428"/>
      <c r="F34" s="438">
        <v>3.7444031566999998</v>
      </c>
      <c r="G34" s="425"/>
      <c r="H34" s="425"/>
      <c r="I34" s="425"/>
      <c r="J34" s="425"/>
      <c r="K34" s="425"/>
    </row>
    <row r="35" spans="2:11" s="426" customFormat="1" ht="12.75" customHeight="1" x14ac:dyDescent="0.2">
      <c r="B35" s="95" t="s">
        <v>27</v>
      </c>
      <c r="C35" s="427"/>
      <c r="D35" s="279">
        <v>70872.055599581203</v>
      </c>
      <c r="E35" s="428"/>
      <c r="F35" s="438">
        <v>3.5474303301000001</v>
      </c>
      <c r="G35" s="425"/>
      <c r="H35" s="425"/>
      <c r="I35" s="425"/>
      <c r="J35" s="425"/>
      <c r="K35" s="425"/>
    </row>
    <row r="36" spans="2:11" s="426" customFormat="1" ht="12.75" customHeight="1" x14ac:dyDescent="0.2">
      <c r="B36" s="95" t="s">
        <v>28</v>
      </c>
      <c r="C36" s="427"/>
      <c r="D36" s="279">
        <v>130348.844676715</v>
      </c>
      <c r="E36" s="428"/>
      <c r="F36" s="438">
        <v>3.6536811484</v>
      </c>
      <c r="G36" s="425"/>
      <c r="H36" s="425"/>
      <c r="I36" s="425"/>
      <c r="J36" s="425"/>
      <c r="K36" s="425"/>
    </row>
    <row r="37" spans="2:11" s="426" customFormat="1" ht="12.75" customHeight="1" x14ac:dyDescent="0.2">
      <c r="B37" s="95" t="s">
        <v>29</v>
      </c>
      <c r="C37" s="427"/>
      <c r="D37" s="279">
        <v>60958.294376071499</v>
      </c>
      <c r="E37" s="428"/>
      <c r="F37" s="438">
        <v>3.5432282104000001</v>
      </c>
      <c r="G37" s="425"/>
      <c r="H37" s="425"/>
      <c r="I37" s="425"/>
      <c r="J37" s="425"/>
      <c r="K37" s="425"/>
    </row>
    <row r="38" spans="2:11" s="426" customFormat="1" ht="12.75" customHeight="1" x14ac:dyDescent="0.2">
      <c r="B38" s="95" t="s">
        <v>30</v>
      </c>
      <c r="C38" s="427"/>
      <c r="D38" s="279">
        <v>115544.217259397</v>
      </c>
      <c r="E38" s="428"/>
      <c r="F38" s="438">
        <v>3.7744593544999998</v>
      </c>
      <c r="G38" s="425"/>
      <c r="H38" s="425"/>
      <c r="I38" s="425"/>
      <c r="J38" s="425"/>
      <c r="K38" s="425"/>
    </row>
    <row r="39" spans="2:11" s="426" customFormat="1" ht="12.75" customHeight="1" x14ac:dyDescent="0.2">
      <c r="B39" s="95" t="s">
        <v>31</v>
      </c>
      <c r="C39" s="427"/>
      <c r="D39" s="279">
        <v>12239.7037674487</v>
      </c>
      <c r="E39" s="428"/>
      <c r="F39" s="438">
        <v>4.5981670834999999</v>
      </c>
      <c r="G39" s="425"/>
      <c r="H39" s="425"/>
      <c r="I39" s="425"/>
      <c r="J39" s="425"/>
      <c r="K39" s="425"/>
    </row>
    <row r="40" spans="2:11" s="426" customFormat="1" ht="12.75" customHeight="1" x14ac:dyDescent="0.2">
      <c r="B40" s="95" t="s">
        <v>32</v>
      </c>
      <c r="C40" s="427"/>
      <c r="D40" s="279">
        <v>155398.224768927</v>
      </c>
      <c r="E40" s="428"/>
      <c r="F40" s="438">
        <v>3.4835857919</v>
      </c>
      <c r="G40" s="425"/>
      <c r="H40" s="425"/>
      <c r="I40" s="425"/>
      <c r="J40" s="425"/>
      <c r="K40" s="425"/>
    </row>
    <row r="41" spans="2:11" s="426" customFormat="1" ht="12.75" customHeight="1" x14ac:dyDescent="0.2">
      <c r="B41" s="95" t="s">
        <v>33</v>
      </c>
      <c r="C41" s="427"/>
      <c r="D41" s="279">
        <v>94932.431848099499</v>
      </c>
      <c r="E41" s="428"/>
      <c r="F41" s="438">
        <v>3.2716707664000002</v>
      </c>
      <c r="G41" s="425"/>
      <c r="H41" s="425"/>
      <c r="I41" s="425"/>
      <c r="J41" s="425"/>
      <c r="K41" s="425"/>
    </row>
    <row r="42" spans="2:11" s="426" customFormat="1" ht="12.75" customHeight="1" x14ac:dyDescent="0.2">
      <c r="B42" s="95" t="s">
        <v>34</v>
      </c>
      <c r="C42" s="427"/>
      <c r="D42" s="279">
        <v>49515.189313489602</v>
      </c>
      <c r="E42" s="428"/>
      <c r="F42" s="438">
        <v>4.0515439080000002</v>
      </c>
      <c r="G42" s="425"/>
      <c r="H42" s="425"/>
      <c r="I42" s="425"/>
      <c r="J42" s="425"/>
      <c r="K42" s="425"/>
    </row>
    <row r="43" spans="2:11" ht="6" customHeight="1" x14ac:dyDescent="0.25">
      <c r="B43" s="429"/>
      <c r="C43" s="430"/>
      <c r="D43" s="264"/>
      <c r="E43" s="431"/>
      <c r="F43" s="432"/>
      <c r="G43" s="414"/>
      <c r="H43" s="414"/>
      <c r="I43" s="414"/>
      <c r="J43" s="414"/>
      <c r="K43" s="414"/>
    </row>
    <row r="44" spans="2:11" ht="6" customHeight="1" x14ac:dyDescent="0.25">
      <c r="B44" s="228"/>
      <c r="C44" s="415"/>
      <c r="D44" s="145"/>
      <c r="E44" s="433"/>
      <c r="F44" s="434"/>
      <c r="G44" s="414"/>
      <c r="H44" s="414"/>
      <c r="I44" s="414"/>
      <c r="J44" s="414"/>
      <c r="K44" s="414"/>
    </row>
    <row r="45" spans="2:11" ht="25.5" customHeight="1" x14ac:dyDescent="0.25">
      <c r="B45" s="702" t="s">
        <v>93</v>
      </c>
      <c r="C45" s="702"/>
      <c r="D45" s="702"/>
      <c r="E45" s="702"/>
      <c r="F45" s="702"/>
      <c r="G45" s="414"/>
      <c r="H45" s="414"/>
      <c r="I45" s="414"/>
      <c r="J45" s="414"/>
      <c r="K45" s="414"/>
    </row>
    <row r="46" spans="2:11" s="13" customFormat="1" ht="14.25" x14ac:dyDescent="0.2">
      <c r="B46" s="109" t="s">
        <v>57</v>
      </c>
    </row>
  </sheetData>
  <mergeCells count="2">
    <mergeCell ref="B5:E5"/>
    <mergeCell ref="B45:F45"/>
  </mergeCells>
  <hyperlinks>
    <hyperlink ref="F1" location="Índice!A1" tooltip="Ir a ÍNDICE" display="INDICE" xr:uid="{C8E8F5D0-808F-4BE3-80D2-5757695C6819}"/>
  </hyperlinks>
  <pageMargins left="0.70866141732283472" right="0.70866141732283472" top="0.74803149606299213" bottom="0.74803149606299213" header="0.31496062992125984" footer="0.31496062992125984"/>
  <pageSetup orientation="portrait" verticalDpi="12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16FA20-6D59-4D63-BE32-14B83B781659}">
  <dimension ref="B1:AA48"/>
  <sheetViews>
    <sheetView showGridLines="0" zoomScaleNormal="100" workbookViewId="0"/>
  </sheetViews>
  <sheetFormatPr baseColWidth="10" defaultColWidth="11.42578125" defaultRowHeight="15" x14ac:dyDescent="0.25"/>
  <cols>
    <col min="1" max="1" width="1.7109375" style="446" customWidth="1"/>
    <col min="2" max="2" width="24.28515625" style="446" customWidth="1"/>
    <col min="3" max="3" width="0.85546875" style="444" customWidth="1"/>
    <col min="4" max="4" width="18.7109375" style="445" customWidth="1"/>
    <col min="5" max="5" width="1.7109375" style="445" customWidth="1"/>
    <col min="6" max="6" width="15" style="445" customWidth="1"/>
    <col min="7" max="7" width="12.7109375" style="474" customWidth="1"/>
    <col min="8" max="8" width="1.7109375" style="445" customWidth="1"/>
    <col min="9" max="9" width="16.28515625" style="445" customWidth="1"/>
    <col min="10" max="10" width="12.7109375" style="474" customWidth="1"/>
    <col min="11" max="11" width="1.7109375" style="446" customWidth="1"/>
    <col min="12" max="12" width="16.85546875" style="446" customWidth="1"/>
    <col min="13" max="13" width="11.42578125" style="446"/>
    <col min="14" max="14" width="1.7109375" style="446" customWidth="1"/>
    <col min="15" max="15" width="17.140625" style="446" customWidth="1"/>
    <col min="16" max="16" width="11.42578125" style="446"/>
    <col min="17" max="17" width="1.7109375" style="446" customWidth="1"/>
    <col min="18" max="18" width="18" style="446" customWidth="1"/>
    <col min="19" max="19" width="11.42578125" style="446"/>
    <col min="20" max="20" width="1.7109375" style="446" customWidth="1"/>
    <col min="21" max="21" width="17" style="446" customWidth="1"/>
    <col min="22" max="16384" width="11.42578125" style="446"/>
  </cols>
  <sheetData>
    <row r="1" spans="2:27" s="440" customFormat="1" ht="12" customHeight="1" x14ac:dyDescent="0.2">
      <c r="B1" s="639" t="s">
        <v>202</v>
      </c>
      <c r="D1" s="441"/>
      <c r="E1" s="441"/>
      <c r="F1" s="441"/>
      <c r="G1" s="441"/>
      <c r="H1" s="441"/>
      <c r="I1" s="441"/>
      <c r="V1" s="72" t="s">
        <v>151</v>
      </c>
    </row>
    <row r="2" spans="2:27" s="440" customFormat="1" ht="6.95" customHeight="1" x14ac:dyDescent="0.2">
      <c r="B2" s="639"/>
      <c r="D2" s="441"/>
      <c r="E2" s="441"/>
      <c r="F2" s="441"/>
      <c r="G2" s="441"/>
      <c r="H2" s="441"/>
      <c r="I2" s="441"/>
      <c r="J2" s="441"/>
    </row>
    <row r="3" spans="2:27" s="440" customFormat="1" ht="15" customHeight="1" x14ac:dyDescent="0.2">
      <c r="B3" s="639" t="s">
        <v>199</v>
      </c>
      <c r="C3" s="439"/>
      <c r="D3" s="439"/>
      <c r="E3" s="439"/>
      <c r="F3" s="439"/>
      <c r="G3" s="439"/>
      <c r="H3" s="439"/>
      <c r="I3" s="439"/>
      <c r="J3" s="439"/>
      <c r="K3" s="439"/>
      <c r="L3" s="439"/>
      <c r="M3" s="439"/>
      <c r="N3" s="439"/>
      <c r="O3" s="439"/>
      <c r="P3" s="439"/>
      <c r="Q3" s="439"/>
      <c r="R3" s="439"/>
      <c r="S3" s="439"/>
    </row>
    <row r="4" spans="2:27" s="440" customFormat="1" ht="6.95" customHeight="1" x14ac:dyDescent="0.2">
      <c r="C4" s="442"/>
      <c r="D4" s="441"/>
      <c r="E4" s="441"/>
      <c r="F4" s="441"/>
      <c r="G4" s="441"/>
      <c r="H4" s="441"/>
      <c r="I4" s="441"/>
      <c r="J4" s="441"/>
    </row>
    <row r="5" spans="2:27" s="440" customFormat="1" ht="25.5" customHeight="1" x14ac:dyDescent="0.2">
      <c r="B5" s="711" t="s">
        <v>144</v>
      </c>
      <c r="C5" s="711"/>
      <c r="D5" s="711"/>
      <c r="E5" s="711"/>
      <c r="F5" s="711"/>
      <c r="G5" s="711"/>
      <c r="H5" s="711"/>
      <c r="I5" s="711"/>
      <c r="J5" s="711"/>
      <c r="V5" s="71" t="s">
        <v>116</v>
      </c>
    </row>
    <row r="6" spans="2:27" ht="6" customHeight="1" x14ac:dyDescent="0.25">
      <c r="B6" s="443"/>
      <c r="G6" s="445"/>
      <c r="J6" s="445"/>
    </row>
    <row r="7" spans="2:27" ht="15" customHeight="1" x14ac:dyDescent="0.25">
      <c r="B7" s="674" t="s">
        <v>76</v>
      </c>
      <c r="C7" s="674"/>
      <c r="D7" s="712" t="s">
        <v>86</v>
      </c>
      <c r="E7" s="447"/>
      <c r="F7" s="715" t="s">
        <v>75</v>
      </c>
      <c r="G7" s="715"/>
      <c r="H7" s="715"/>
      <c r="I7" s="715"/>
      <c r="J7" s="715"/>
      <c r="K7" s="715"/>
      <c r="L7" s="715"/>
      <c r="M7" s="715"/>
      <c r="N7" s="715"/>
      <c r="O7" s="715"/>
      <c r="P7" s="715"/>
      <c r="Q7" s="715"/>
      <c r="R7" s="715"/>
      <c r="S7" s="715"/>
      <c r="T7" s="715"/>
      <c r="U7" s="715"/>
      <c r="V7" s="715"/>
    </row>
    <row r="8" spans="2:27" ht="24.75" customHeight="1" x14ac:dyDescent="0.25">
      <c r="B8" s="675"/>
      <c r="C8" s="675"/>
      <c r="D8" s="713"/>
      <c r="E8" s="448"/>
      <c r="F8" s="716" t="s">
        <v>63</v>
      </c>
      <c r="G8" s="716"/>
      <c r="H8" s="449"/>
      <c r="I8" s="716" t="s">
        <v>64</v>
      </c>
      <c r="J8" s="716"/>
      <c r="K8" s="450"/>
      <c r="L8" s="716" t="s">
        <v>65</v>
      </c>
      <c r="M8" s="716"/>
      <c r="N8" s="450"/>
      <c r="O8" s="716" t="s">
        <v>66</v>
      </c>
      <c r="P8" s="716"/>
      <c r="Q8" s="451"/>
      <c r="R8" s="716" t="s">
        <v>67</v>
      </c>
      <c r="S8" s="716"/>
      <c r="T8" s="452"/>
      <c r="U8" s="716" t="s">
        <v>39</v>
      </c>
      <c r="V8" s="716"/>
    </row>
    <row r="9" spans="2:27" x14ac:dyDescent="0.25">
      <c r="B9" s="676"/>
      <c r="C9" s="676"/>
      <c r="D9" s="714"/>
      <c r="E9" s="453"/>
      <c r="F9" s="454" t="s">
        <v>0</v>
      </c>
      <c r="G9" s="454" t="s">
        <v>1</v>
      </c>
      <c r="H9" s="454"/>
      <c r="I9" s="454" t="s">
        <v>0</v>
      </c>
      <c r="J9" s="454" t="s">
        <v>1</v>
      </c>
      <c r="K9" s="455"/>
      <c r="L9" s="454" t="s">
        <v>0</v>
      </c>
      <c r="M9" s="454" t="s">
        <v>1</v>
      </c>
      <c r="N9" s="455"/>
      <c r="O9" s="454" t="s">
        <v>0</v>
      </c>
      <c r="P9" s="454" t="s">
        <v>1</v>
      </c>
      <c r="Q9" s="455"/>
      <c r="R9" s="454" t="s">
        <v>0</v>
      </c>
      <c r="S9" s="454" t="s">
        <v>1</v>
      </c>
      <c r="T9" s="455"/>
      <c r="U9" s="454" t="s">
        <v>0</v>
      </c>
      <c r="V9" s="454" t="s">
        <v>1</v>
      </c>
    </row>
    <row r="10" spans="2:27" ht="6" customHeight="1" x14ac:dyDescent="0.25">
      <c r="B10" s="10"/>
      <c r="C10" s="456"/>
      <c r="D10" s="457"/>
      <c r="E10" s="457"/>
      <c r="F10" s="458"/>
      <c r="G10" s="458"/>
      <c r="H10" s="458"/>
      <c r="I10" s="458"/>
      <c r="J10" s="458"/>
      <c r="K10" s="459"/>
      <c r="L10" s="459"/>
      <c r="M10" s="459"/>
      <c r="N10" s="459"/>
      <c r="O10" s="459"/>
      <c r="P10" s="459"/>
      <c r="Q10" s="459"/>
      <c r="R10" s="459"/>
      <c r="S10" s="459"/>
      <c r="T10" s="459"/>
      <c r="U10" s="459"/>
      <c r="V10" s="459"/>
      <c r="W10" s="459"/>
      <c r="X10" s="459"/>
      <c r="Y10" s="459"/>
      <c r="Z10" s="459"/>
      <c r="AA10" s="459"/>
    </row>
    <row r="11" spans="2:27" s="460" customFormat="1" ht="11.25" x14ac:dyDescent="0.2">
      <c r="B11" s="96" t="s">
        <v>2</v>
      </c>
      <c r="D11" s="477">
        <v>2822025.6022069799</v>
      </c>
      <c r="E11" s="461"/>
      <c r="F11" s="477">
        <v>474767.44248895103</v>
      </c>
      <c r="G11" s="477">
        <v>17.1345906528</v>
      </c>
      <c r="H11" s="461"/>
      <c r="I11" s="477">
        <v>765006.60170976201</v>
      </c>
      <c r="J11" s="477">
        <v>27.521501905400001</v>
      </c>
      <c r="K11" s="461"/>
      <c r="L11" s="477">
        <v>625777.04935021396</v>
      </c>
      <c r="M11" s="477">
        <v>22.5836463656</v>
      </c>
      <c r="N11" s="461"/>
      <c r="O11" s="477">
        <v>528873.15833662904</v>
      </c>
      <c r="P11" s="477">
        <v>19.076930250299998</v>
      </c>
      <c r="Q11" s="461"/>
      <c r="R11" s="477">
        <v>441896.79284828599</v>
      </c>
      <c r="S11" s="477">
        <v>15.973828230400001</v>
      </c>
      <c r="T11" s="461"/>
      <c r="U11" s="477">
        <v>131889.88973715101</v>
      </c>
      <c r="V11" s="477">
        <v>4.7718213388999997</v>
      </c>
      <c r="W11" s="461"/>
      <c r="X11" s="461"/>
      <c r="Y11" s="461"/>
      <c r="Z11" s="461"/>
      <c r="AA11" s="461"/>
    </row>
    <row r="12" spans="2:27" s="462" customFormat="1" ht="6" customHeight="1" x14ac:dyDescent="0.2">
      <c r="B12" s="96"/>
      <c r="D12" s="463"/>
      <c r="E12" s="463"/>
      <c r="F12" s="463"/>
      <c r="G12" s="464"/>
      <c r="H12" s="463"/>
      <c r="I12" s="463"/>
      <c r="J12" s="464"/>
      <c r="K12" s="463"/>
      <c r="L12" s="463"/>
      <c r="M12" s="464"/>
      <c r="N12" s="463"/>
      <c r="O12" s="463"/>
      <c r="P12" s="464"/>
      <c r="Q12" s="463"/>
      <c r="R12" s="463"/>
      <c r="S12" s="464"/>
      <c r="T12" s="463"/>
      <c r="U12" s="463"/>
      <c r="V12" s="464"/>
      <c r="W12" s="463"/>
      <c r="X12" s="463"/>
      <c r="Y12" s="463"/>
      <c r="Z12" s="463"/>
      <c r="AA12" s="463"/>
    </row>
    <row r="13" spans="2:27" s="462" customFormat="1" ht="12.75" customHeight="1" x14ac:dyDescent="0.2">
      <c r="B13" s="95" t="s">
        <v>3</v>
      </c>
      <c r="C13" s="465"/>
      <c r="D13" s="475">
        <v>50676.384203772999</v>
      </c>
      <c r="E13" s="463"/>
      <c r="F13" s="475">
        <v>5017.6288457208002</v>
      </c>
      <c r="G13" s="475">
        <v>10.497110061800001</v>
      </c>
      <c r="H13" s="463"/>
      <c r="I13" s="475">
        <v>11339.4149600659</v>
      </c>
      <c r="J13" s="475">
        <v>24.087525815100001</v>
      </c>
      <c r="K13" s="463"/>
      <c r="L13" s="475">
        <v>17999.1351912141</v>
      </c>
      <c r="M13" s="475">
        <v>38.385037975499998</v>
      </c>
      <c r="N13" s="463"/>
      <c r="O13" s="475">
        <v>11415.8944933199</v>
      </c>
      <c r="P13" s="475">
        <v>23.726546536400001</v>
      </c>
      <c r="Q13" s="463"/>
      <c r="R13" s="475">
        <v>8231.1065119189007</v>
      </c>
      <c r="S13" s="475">
        <v>16.9763714734</v>
      </c>
      <c r="T13" s="463"/>
      <c r="U13" s="475">
        <v>5440.8487150707997</v>
      </c>
      <c r="V13" s="475">
        <v>11.464703198300001</v>
      </c>
      <c r="W13" s="463"/>
      <c r="X13" s="463"/>
      <c r="Y13" s="463"/>
      <c r="Z13" s="463"/>
      <c r="AA13" s="463"/>
    </row>
    <row r="14" spans="2:27" s="462" customFormat="1" ht="12.75" customHeight="1" x14ac:dyDescent="0.2">
      <c r="B14" s="95" t="s">
        <v>4</v>
      </c>
      <c r="C14" s="465"/>
      <c r="D14" s="475">
        <v>124003.394150981</v>
      </c>
      <c r="E14" s="463"/>
      <c r="F14" s="475">
        <v>20138.251956889901</v>
      </c>
      <c r="G14" s="475">
        <v>17.648584609699999</v>
      </c>
      <c r="H14" s="463"/>
      <c r="I14" s="475">
        <v>25789.431127106</v>
      </c>
      <c r="J14" s="475">
        <v>22.508900712700001</v>
      </c>
      <c r="K14" s="463"/>
      <c r="L14" s="475">
        <v>29791.802629853701</v>
      </c>
      <c r="M14" s="475">
        <v>25.695004362999999</v>
      </c>
      <c r="N14" s="463"/>
      <c r="O14" s="475">
        <v>23516.494869324099</v>
      </c>
      <c r="P14" s="475">
        <v>20.6497164779</v>
      </c>
      <c r="Q14" s="463"/>
      <c r="R14" s="475">
        <v>44788.3475479892</v>
      </c>
      <c r="S14" s="475">
        <v>38.486218062600003</v>
      </c>
      <c r="T14" s="463"/>
      <c r="U14" s="475">
        <v>4546.0203857683</v>
      </c>
      <c r="V14" s="475">
        <v>4.0210633376000002</v>
      </c>
      <c r="W14" s="463"/>
      <c r="X14" s="463"/>
      <c r="Y14" s="463"/>
      <c r="Z14" s="463"/>
      <c r="AA14" s="463"/>
    </row>
    <row r="15" spans="2:27" s="462" customFormat="1" ht="12.75" customHeight="1" x14ac:dyDescent="0.2">
      <c r="B15" s="95" t="s">
        <v>5</v>
      </c>
      <c r="C15" s="465"/>
      <c r="D15" s="475">
        <v>24608.7423173401</v>
      </c>
      <c r="E15" s="463"/>
      <c r="F15" s="475">
        <v>5012.4009195304998</v>
      </c>
      <c r="G15" s="475">
        <v>22.2574080666</v>
      </c>
      <c r="H15" s="463"/>
      <c r="I15" s="475">
        <v>8620.0166214263008</v>
      </c>
      <c r="J15" s="475">
        <v>38.197420174100003</v>
      </c>
      <c r="K15" s="463"/>
      <c r="L15" s="475">
        <v>4527.9773760045</v>
      </c>
      <c r="M15" s="475">
        <v>20.242844733199998</v>
      </c>
      <c r="N15" s="463"/>
      <c r="O15" s="475">
        <v>5269.3007227586004</v>
      </c>
      <c r="P15" s="475">
        <v>23.1248569497</v>
      </c>
      <c r="Q15" s="463"/>
      <c r="R15" s="475">
        <v>3939.1859859337001</v>
      </c>
      <c r="S15" s="475">
        <v>17.901359787499999</v>
      </c>
      <c r="T15" s="463"/>
      <c r="U15" s="475">
        <v>2516.2965871964998</v>
      </c>
      <c r="V15" s="475">
        <v>11.229565428600001</v>
      </c>
      <c r="W15" s="463"/>
      <c r="X15" s="463"/>
      <c r="Y15" s="463"/>
      <c r="Z15" s="463"/>
      <c r="AA15" s="463"/>
    </row>
    <row r="16" spans="2:27" s="462" customFormat="1" ht="12.75" customHeight="1" x14ac:dyDescent="0.2">
      <c r="B16" s="95" t="s">
        <v>6</v>
      </c>
      <c r="C16" s="465"/>
      <c r="D16" s="475">
        <v>22749.028282297499</v>
      </c>
      <c r="E16" s="463"/>
      <c r="F16" s="475">
        <v>7127.1191838034001</v>
      </c>
      <c r="G16" s="475">
        <v>33.683944290500001</v>
      </c>
      <c r="H16" s="463"/>
      <c r="I16" s="475">
        <v>4896.7169320351004</v>
      </c>
      <c r="J16" s="475">
        <v>23.082303376300001</v>
      </c>
      <c r="K16" s="463"/>
      <c r="L16" s="475">
        <v>4397.1098095799998</v>
      </c>
      <c r="M16" s="475">
        <v>20.714503452399999</v>
      </c>
      <c r="N16" s="463"/>
      <c r="O16" s="475">
        <v>2137.8005658594002</v>
      </c>
      <c r="P16" s="475">
        <v>10.274068388</v>
      </c>
      <c r="Q16" s="463"/>
      <c r="R16" s="475">
        <v>5789.8439717330002</v>
      </c>
      <c r="S16" s="475">
        <v>27.9373471808</v>
      </c>
      <c r="T16" s="463"/>
      <c r="U16" s="475">
        <v>2940.5281532661002</v>
      </c>
      <c r="V16" s="475">
        <v>14.119307661700001</v>
      </c>
      <c r="W16" s="463"/>
      <c r="X16" s="463"/>
      <c r="Y16" s="463"/>
      <c r="Z16" s="463"/>
      <c r="AA16" s="463"/>
    </row>
    <row r="17" spans="2:27" s="462" customFormat="1" ht="12.75" customHeight="1" x14ac:dyDescent="0.2">
      <c r="B17" s="95" t="s">
        <v>7</v>
      </c>
      <c r="C17" s="465"/>
      <c r="D17" s="476">
        <v>82714.400546653895</v>
      </c>
      <c r="E17" s="466"/>
      <c r="F17" s="476">
        <v>8329.6904269888</v>
      </c>
      <c r="G17" s="478">
        <v>10.9593160051</v>
      </c>
      <c r="H17" s="466"/>
      <c r="I17" s="476">
        <v>15920.362616799999</v>
      </c>
      <c r="J17" s="478">
        <v>20.919649216500002</v>
      </c>
      <c r="K17" s="463"/>
      <c r="L17" s="475">
        <v>16806.235286902302</v>
      </c>
      <c r="M17" s="478">
        <v>22.258333564200001</v>
      </c>
      <c r="N17" s="463"/>
      <c r="O17" s="475">
        <v>26281.322755070199</v>
      </c>
      <c r="P17" s="478">
        <v>33.806967259300002</v>
      </c>
      <c r="Q17" s="463"/>
      <c r="R17" s="475">
        <v>23831.256863929601</v>
      </c>
      <c r="S17" s="478">
        <v>31.456375842100002</v>
      </c>
      <c r="T17" s="463"/>
      <c r="U17" s="475">
        <v>9677.1868251786</v>
      </c>
      <c r="V17" s="478">
        <v>12.932418350300001</v>
      </c>
      <c r="W17" s="463"/>
      <c r="X17" s="463"/>
      <c r="Y17" s="463"/>
      <c r="Z17" s="463"/>
      <c r="AA17" s="463"/>
    </row>
    <row r="18" spans="2:27" s="462" customFormat="1" ht="12.75" customHeight="1" x14ac:dyDescent="0.2">
      <c r="B18" s="95" t="s">
        <v>8</v>
      </c>
      <c r="C18" s="465"/>
      <c r="D18" s="476">
        <v>29153.924458199301</v>
      </c>
      <c r="E18" s="466"/>
      <c r="F18" s="476">
        <v>2683.9573450057001</v>
      </c>
      <c r="G18" s="478">
        <v>10.205051081500001</v>
      </c>
      <c r="H18" s="466"/>
      <c r="I18" s="476">
        <v>5807.7831410770004</v>
      </c>
      <c r="J18" s="478">
        <v>21.248175904099998</v>
      </c>
      <c r="K18" s="463"/>
      <c r="L18" s="475">
        <v>8530.1194056514996</v>
      </c>
      <c r="M18" s="478">
        <v>31.4845691011</v>
      </c>
      <c r="N18" s="463"/>
      <c r="O18" s="475">
        <v>8277.1872486468001</v>
      </c>
      <c r="P18" s="478">
        <v>31.895146202599999</v>
      </c>
      <c r="Q18" s="463"/>
      <c r="R18" s="475">
        <v>6169.5420510050999</v>
      </c>
      <c r="S18" s="478">
        <v>23.0749390798</v>
      </c>
      <c r="T18" s="463"/>
      <c r="U18" s="475">
        <v>2972.0710230199002</v>
      </c>
      <c r="V18" s="478">
        <v>11.204385778500001</v>
      </c>
      <c r="W18" s="463"/>
      <c r="X18" s="463"/>
      <c r="Y18" s="463"/>
      <c r="Z18" s="463"/>
      <c r="AA18" s="463"/>
    </row>
    <row r="19" spans="2:27" s="462" customFormat="1" ht="12.75" customHeight="1" x14ac:dyDescent="0.2">
      <c r="B19" s="95" t="s">
        <v>9</v>
      </c>
      <c r="C19" s="465"/>
      <c r="D19" s="476">
        <v>83643.269636398196</v>
      </c>
      <c r="E19" s="466"/>
      <c r="F19" s="476">
        <v>41305.561067662398</v>
      </c>
      <c r="G19" s="478">
        <v>53.272556098599999</v>
      </c>
      <c r="H19" s="466"/>
      <c r="I19" s="476">
        <v>30741.790033998401</v>
      </c>
      <c r="J19" s="478">
        <v>41.615902391200002</v>
      </c>
      <c r="K19" s="463"/>
      <c r="L19" s="475">
        <v>9002.5002523891999</v>
      </c>
      <c r="M19" s="478">
        <v>12.5681729394</v>
      </c>
      <c r="N19" s="463"/>
      <c r="O19" s="475">
        <v>11052.095685464799</v>
      </c>
      <c r="P19" s="478">
        <v>15.2558539872</v>
      </c>
      <c r="Q19" s="463"/>
      <c r="R19" s="475">
        <v>6399.6718924291999</v>
      </c>
      <c r="S19" s="478">
        <v>8.9592136319000009</v>
      </c>
      <c r="T19" s="463"/>
      <c r="U19" s="475">
        <v>817.25977072800003</v>
      </c>
      <c r="V19" s="478">
        <v>1.1445530725999999</v>
      </c>
      <c r="W19" s="463"/>
      <c r="X19" s="463"/>
      <c r="Y19" s="463"/>
      <c r="Z19" s="463"/>
      <c r="AA19" s="463"/>
    </row>
    <row r="20" spans="2:27" s="462" customFormat="1" ht="12.75" customHeight="1" x14ac:dyDescent="0.2">
      <c r="B20" s="95" t="s">
        <v>10</v>
      </c>
      <c r="C20" s="465"/>
      <c r="D20" s="476">
        <v>97494.1219003976</v>
      </c>
      <c r="E20" s="466"/>
      <c r="F20" s="476">
        <v>18164.6144062487</v>
      </c>
      <c r="G20" s="478">
        <v>19.5658840595</v>
      </c>
      <c r="H20" s="466"/>
      <c r="I20" s="476">
        <v>13245.4167883849</v>
      </c>
      <c r="J20" s="478">
        <v>14.4558358475</v>
      </c>
      <c r="K20" s="463"/>
      <c r="L20" s="475">
        <v>21818.5838898779</v>
      </c>
      <c r="M20" s="478">
        <v>23.538644246800001</v>
      </c>
      <c r="N20" s="463"/>
      <c r="O20" s="475">
        <v>36940.207674941797</v>
      </c>
      <c r="P20" s="478">
        <v>40.546284432100002</v>
      </c>
      <c r="Q20" s="463"/>
      <c r="R20" s="475">
        <v>20251.603324979202</v>
      </c>
      <c r="S20" s="478">
        <v>22.100072814800001</v>
      </c>
      <c r="T20" s="463"/>
      <c r="U20" s="475">
        <v>9722.1056106028009</v>
      </c>
      <c r="V20" s="478">
        <v>10.6461123779</v>
      </c>
      <c r="W20" s="463"/>
      <c r="X20" s="463"/>
      <c r="Y20" s="463"/>
      <c r="Z20" s="463"/>
      <c r="AA20" s="463"/>
    </row>
    <row r="21" spans="2:27" s="462" customFormat="1" ht="12.75" customHeight="1" x14ac:dyDescent="0.2">
      <c r="B21" s="95" t="s">
        <v>11</v>
      </c>
      <c r="C21" s="465"/>
      <c r="D21" s="476">
        <v>207939.33226505801</v>
      </c>
      <c r="E21" s="466"/>
      <c r="F21" s="476">
        <v>30409.1253284175</v>
      </c>
      <c r="G21" s="478">
        <v>15.7549585119</v>
      </c>
      <c r="H21" s="466"/>
      <c r="I21" s="476">
        <v>83353.016122518704</v>
      </c>
      <c r="J21" s="478">
        <v>42.136862629100001</v>
      </c>
      <c r="K21" s="463"/>
      <c r="L21" s="475">
        <v>53617.421643935697</v>
      </c>
      <c r="M21" s="478">
        <v>27.726299739400002</v>
      </c>
      <c r="N21" s="463"/>
      <c r="O21" s="475">
        <v>31637.012326623499</v>
      </c>
      <c r="P21" s="478">
        <v>16.440774543500002</v>
      </c>
      <c r="Q21" s="463"/>
      <c r="R21" s="475">
        <v>42915.413366617198</v>
      </c>
      <c r="S21" s="478">
        <v>22.435468994800001</v>
      </c>
      <c r="T21" s="463"/>
      <c r="U21" s="475">
        <v>18813.1618757744</v>
      </c>
      <c r="V21" s="478">
        <v>9.7469718973999999</v>
      </c>
      <c r="W21" s="463"/>
      <c r="X21" s="463"/>
      <c r="Y21" s="463"/>
      <c r="Z21" s="463"/>
      <c r="AA21" s="463"/>
    </row>
    <row r="22" spans="2:27" s="462" customFormat="1" ht="12.75" customHeight="1" x14ac:dyDescent="0.2">
      <c r="B22" s="95" t="s">
        <v>12</v>
      </c>
      <c r="C22" s="465"/>
      <c r="D22" s="476">
        <v>52061.983229448299</v>
      </c>
      <c r="E22" s="466"/>
      <c r="F22" s="476">
        <v>9420.2320486283006</v>
      </c>
      <c r="G22" s="478">
        <v>19.534827241399999</v>
      </c>
      <c r="H22" s="466"/>
      <c r="I22" s="476">
        <v>12807.762023252</v>
      </c>
      <c r="J22" s="478">
        <v>26.525200411699998</v>
      </c>
      <c r="K22" s="463"/>
      <c r="L22" s="475">
        <v>14063.9948145622</v>
      </c>
      <c r="M22" s="478">
        <v>29.076687212700001</v>
      </c>
      <c r="N22" s="463"/>
      <c r="O22" s="475">
        <v>7952.2703962057003</v>
      </c>
      <c r="P22" s="478">
        <v>16.4460483057</v>
      </c>
      <c r="Q22" s="463"/>
      <c r="R22" s="475">
        <v>14134.652749323801</v>
      </c>
      <c r="S22" s="478">
        <v>29.394018534899999</v>
      </c>
      <c r="T22" s="463"/>
      <c r="U22" s="475">
        <v>4171.7267331778003</v>
      </c>
      <c r="V22" s="478">
        <v>8.7995092627999991</v>
      </c>
      <c r="W22" s="463"/>
      <c r="X22" s="463"/>
      <c r="Y22" s="463"/>
      <c r="Z22" s="463"/>
      <c r="AA22" s="463"/>
    </row>
    <row r="23" spans="2:27" s="462" customFormat="1" ht="12.75" customHeight="1" x14ac:dyDescent="0.2">
      <c r="B23" s="95" t="s">
        <v>13</v>
      </c>
      <c r="C23" s="465"/>
      <c r="D23" s="476">
        <v>117219.59247200401</v>
      </c>
      <c r="E23" s="466"/>
      <c r="F23" s="476">
        <v>19305.6519569064</v>
      </c>
      <c r="G23" s="478">
        <v>18.138011570500002</v>
      </c>
      <c r="H23" s="466"/>
      <c r="I23" s="476">
        <v>35781.236752166202</v>
      </c>
      <c r="J23" s="478">
        <v>33.042743132299996</v>
      </c>
      <c r="K23" s="463"/>
      <c r="L23" s="475">
        <v>26672.948866826999</v>
      </c>
      <c r="M23" s="478">
        <v>24.722856606200001</v>
      </c>
      <c r="N23" s="463"/>
      <c r="O23" s="475">
        <v>33761.482396942403</v>
      </c>
      <c r="P23" s="478">
        <v>30.741981085199999</v>
      </c>
      <c r="Q23" s="463"/>
      <c r="R23" s="475">
        <v>23939.237583442398</v>
      </c>
      <c r="S23" s="478">
        <v>22.079126260999999</v>
      </c>
      <c r="T23" s="463"/>
      <c r="U23" s="475">
        <v>4035.4250541312999</v>
      </c>
      <c r="V23" s="478">
        <v>3.7406667761999999</v>
      </c>
      <c r="W23" s="463"/>
      <c r="X23" s="463"/>
      <c r="Y23" s="463"/>
      <c r="Z23" s="463"/>
      <c r="AA23" s="463"/>
    </row>
    <row r="24" spans="2:27" s="462" customFormat="1" ht="12.75" customHeight="1" x14ac:dyDescent="0.2">
      <c r="B24" s="95" t="s">
        <v>14</v>
      </c>
      <c r="C24" s="465"/>
      <c r="D24" s="476">
        <v>55814.138159103102</v>
      </c>
      <c r="E24" s="466"/>
      <c r="F24" s="476">
        <v>18026.387835661899</v>
      </c>
      <c r="G24" s="478">
        <v>34.712618178100001</v>
      </c>
      <c r="H24" s="466"/>
      <c r="I24" s="476">
        <v>19258.543878467</v>
      </c>
      <c r="J24" s="478">
        <v>37.558614085400002</v>
      </c>
      <c r="K24" s="463"/>
      <c r="L24" s="475">
        <v>12936.758067449</v>
      </c>
      <c r="M24" s="478">
        <v>25.679831509700001</v>
      </c>
      <c r="N24" s="463"/>
      <c r="O24" s="475">
        <v>10217.157209488099</v>
      </c>
      <c r="P24" s="478">
        <v>19.9365756716</v>
      </c>
      <c r="Q24" s="463"/>
      <c r="R24" s="475">
        <v>4237.5426544702996</v>
      </c>
      <c r="S24" s="478">
        <v>8.4407306330999994</v>
      </c>
      <c r="T24" s="463"/>
      <c r="U24" s="475">
        <v>5583.4884730596996</v>
      </c>
      <c r="V24" s="478">
        <v>11.0130909845</v>
      </c>
      <c r="W24" s="463"/>
      <c r="X24" s="463"/>
      <c r="Y24" s="463"/>
      <c r="Z24" s="463"/>
      <c r="AA24" s="463"/>
    </row>
    <row r="25" spans="2:27" s="462" customFormat="1" ht="12.75" customHeight="1" x14ac:dyDescent="0.2">
      <c r="B25" s="95" t="s">
        <v>15</v>
      </c>
      <c r="C25" s="465"/>
      <c r="D25" s="476">
        <v>51973.447254169303</v>
      </c>
      <c r="E25" s="466"/>
      <c r="F25" s="476">
        <v>9631.2975467966007</v>
      </c>
      <c r="G25" s="478">
        <v>20.7911679461</v>
      </c>
      <c r="H25" s="466"/>
      <c r="I25" s="476">
        <v>16539.571726498001</v>
      </c>
      <c r="J25" s="478">
        <v>34.503631894900003</v>
      </c>
      <c r="K25" s="463"/>
      <c r="L25" s="475">
        <v>15288.7880877518</v>
      </c>
      <c r="M25" s="478">
        <v>32.392742442900001</v>
      </c>
      <c r="N25" s="463"/>
      <c r="O25" s="475">
        <v>10438.867432003901</v>
      </c>
      <c r="P25" s="478">
        <v>22.3571734565</v>
      </c>
      <c r="Q25" s="463"/>
      <c r="R25" s="475">
        <v>9253.4556410907007</v>
      </c>
      <c r="S25" s="478">
        <v>19.5903986844</v>
      </c>
      <c r="T25" s="463"/>
      <c r="U25" s="475">
        <v>4079.5898256693999</v>
      </c>
      <c r="V25" s="478">
        <v>8.7076184933</v>
      </c>
      <c r="W25" s="463"/>
      <c r="X25" s="463"/>
      <c r="Y25" s="463"/>
      <c r="Z25" s="463"/>
      <c r="AA25" s="463"/>
    </row>
    <row r="26" spans="2:27" s="462" customFormat="1" ht="12.75" customHeight="1" x14ac:dyDescent="0.2">
      <c r="B26" s="95" t="s">
        <v>16</v>
      </c>
      <c r="C26" s="465"/>
      <c r="D26" s="476">
        <v>317511.75911266002</v>
      </c>
      <c r="E26" s="466"/>
      <c r="F26" s="476">
        <v>42674.1829635166</v>
      </c>
      <c r="G26" s="478">
        <v>14.3220837227</v>
      </c>
      <c r="H26" s="466"/>
      <c r="I26" s="476">
        <v>120732.496443337</v>
      </c>
      <c r="J26" s="478">
        <v>40.292779146699999</v>
      </c>
      <c r="K26" s="463"/>
      <c r="L26" s="475">
        <v>95509.5755239227</v>
      </c>
      <c r="M26" s="478">
        <v>31.7953496479</v>
      </c>
      <c r="N26" s="463"/>
      <c r="O26" s="475">
        <v>56320.877490625797</v>
      </c>
      <c r="P26" s="478">
        <v>19.110448899800001</v>
      </c>
      <c r="Q26" s="463"/>
      <c r="R26" s="475">
        <v>42948.2323034211</v>
      </c>
      <c r="S26" s="478">
        <v>14.5145849103</v>
      </c>
      <c r="T26" s="463"/>
      <c r="U26" s="475">
        <v>12779.250816022801</v>
      </c>
      <c r="V26" s="478">
        <v>4.3507595561999999</v>
      </c>
      <c r="W26" s="463"/>
      <c r="X26" s="463"/>
      <c r="Y26" s="463"/>
      <c r="Z26" s="463"/>
      <c r="AA26" s="463"/>
    </row>
    <row r="27" spans="2:27" s="462" customFormat="1" ht="12.75" customHeight="1" x14ac:dyDescent="0.2">
      <c r="B27" s="95" t="s">
        <v>17</v>
      </c>
      <c r="C27" s="465"/>
      <c r="D27" s="476">
        <v>245749.88296628199</v>
      </c>
      <c r="E27" s="466"/>
      <c r="F27" s="476">
        <v>48253.616757484902</v>
      </c>
      <c r="G27" s="478">
        <v>21.874975984799999</v>
      </c>
      <c r="H27" s="466"/>
      <c r="I27" s="476">
        <v>86099.173284297896</v>
      </c>
      <c r="J27" s="478">
        <v>37.785782060899997</v>
      </c>
      <c r="K27" s="463"/>
      <c r="L27" s="475">
        <v>73484.342250584596</v>
      </c>
      <c r="M27" s="478">
        <v>32.93076756</v>
      </c>
      <c r="N27" s="463"/>
      <c r="O27" s="475">
        <v>51979.886935603601</v>
      </c>
      <c r="P27" s="478">
        <v>23.208010360399999</v>
      </c>
      <c r="Q27" s="463"/>
      <c r="R27" s="475">
        <v>41356.024080930903</v>
      </c>
      <c r="S27" s="478">
        <v>18.722923721400001</v>
      </c>
      <c r="T27" s="463"/>
      <c r="U27" s="475">
        <v>18325.159334443098</v>
      </c>
      <c r="V27" s="478">
        <v>8.3217356199000001</v>
      </c>
      <c r="W27" s="463"/>
      <c r="X27" s="463"/>
      <c r="Y27" s="463"/>
      <c r="Z27" s="463"/>
      <c r="AA27" s="463"/>
    </row>
    <row r="28" spans="2:27" s="462" customFormat="1" ht="12.75" customHeight="1" x14ac:dyDescent="0.2">
      <c r="B28" s="95" t="s">
        <v>18</v>
      </c>
      <c r="C28" s="465"/>
      <c r="D28" s="476">
        <v>110619.666452114</v>
      </c>
      <c r="E28" s="466"/>
      <c r="F28" s="476">
        <v>14375.903327739001</v>
      </c>
      <c r="G28" s="478">
        <v>15.0268207825</v>
      </c>
      <c r="H28" s="466"/>
      <c r="I28" s="476">
        <v>31903.519966208201</v>
      </c>
      <c r="J28" s="478">
        <v>32.7389115127</v>
      </c>
      <c r="K28" s="463"/>
      <c r="L28" s="475">
        <v>26168.662862844001</v>
      </c>
      <c r="M28" s="478">
        <v>25.653029290100001</v>
      </c>
      <c r="N28" s="463"/>
      <c r="O28" s="475">
        <v>33615.5394068229</v>
      </c>
      <c r="P28" s="478">
        <v>32.552395187199998</v>
      </c>
      <c r="Q28" s="463"/>
      <c r="R28" s="475">
        <v>21196.740423708601</v>
      </c>
      <c r="S28" s="478">
        <v>22.7481918995</v>
      </c>
      <c r="T28" s="463"/>
      <c r="U28" s="475">
        <v>5116.2704227078002</v>
      </c>
      <c r="V28" s="478">
        <v>5.2965753822000003</v>
      </c>
      <c r="W28" s="463"/>
      <c r="X28" s="463"/>
      <c r="Y28" s="463"/>
      <c r="Z28" s="463"/>
      <c r="AA28" s="463"/>
    </row>
    <row r="29" spans="2:27" s="462" customFormat="1" ht="12.75" customHeight="1" x14ac:dyDescent="0.2">
      <c r="B29" s="95" t="s">
        <v>19</v>
      </c>
      <c r="C29" s="465"/>
      <c r="D29" s="476">
        <v>29202.629438434898</v>
      </c>
      <c r="E29" s="466"/>
      <c r="F29" s="476">
        <v>6895.1785268678004</v>
      </c>
      <c r="G29" s="478">
        <v>26.358131344699999</v>
      </c>
      <c r="H29" s="466"/>
      <c r="I29" s="476">
        <v>11749.6948475851</v>
      </c>
      <c r="J29" s="478">
        <v>43.817065131</v>
      </c>
      <c r="K29" s="463"/>
      <c r="L29" s="475">
        <v>7468.3749376636997</v>
      </c>
      <c r="M29" s="478">
        <v>27.538505427800001</v>
      </c>
      <c r="N29" s="463"/>
      <c r="O29" s="475">
        <v>5590.3698513342997</v>
      </c>
      <c r="P29" s="478">
        <v>20.699580230799999</v>
      </c>
      <c r="Q29" s="463"/>
      <c r="R29" s="475">
        <v>4018.7189847332002</v>
      </c>
      <c r="S29" s="478">
        <v>15.198042039900001</v>
      </c>
      <c r="T29" s="463"/>
      <c r="U29" s="475">
        <v>1396.4827150304</v>
      </c>
      <c r="V29" s="478">
        <v>5.3015690167000002</v>
      </c>
      <c r="W29" s="463"/>
      <c r="X29" s="463"/>
      <c r="Y29" s="463"/>
      <c r="Z29" s="463"/>
      <c r="AA29" s="463"/>
    </row>
    <row r="30" spans="2:27" s="462" customFormat="1" ht="12.75" customHeight="1" x14ac:dyDescent="0.2">
      <c r="B30" s="95" t="s">
        <v>20</v>
      </c>
      <c r="C30" s="465"/>
      <c r="D30" s="476">
        <v>44936.414763671703</v>
      </c>
      <c r="E30" s="466"/>
      <c r="F30" s="476">
        <v>7383.7587039139999</v>
      </c>
      <c r="G30" s="478">
        <v>18.275065513400001</v>
      </c>
      <c r="H30" s="466"/>
      <c r="I30" s="476">
        <v>14463.9591346579</v>
      </c>
      <c r="J30" s="478">
        <v>34.688382488000002</v>
      </c>
      <c r="K30" s="463"/>
      <c r="L30" s="475">
        <v>12517.903513159899</v>
      </c>
      <c r="M30" s="478">
        <v>30.3997848781</v>
      </c>
      <c r="N30" s="463"/>
      <c r="O30" s="475">
        <v>10109.5658673872</v>
      </c>
      <c r="P30" s="478">
        <v>24.178387732400001</v>
      </c>
      <c r="Q30" s="463"/>
      <c r="R30" s="475">
        <v>6608.9928142629997</v>
      </c>
      <c r="S30" s="478">
        <v>16.5285303396</v>
      </c>
      <c r="T30" s="463"/>
      <c r="U30" s="475">
        <v>0</v>
      </c>
      <c r="V30" s="478">
        <v>0</v>
      </c>
      <c r="W30" s="463"/>
      <c r="X30" s="463"/>
      <c r="Y30" s="463"/>
      <c r="Z30" s="463"/>
      <c r="AA30" s="463"/>
    </row>
    <row r="31" spans="2:27" s="462" customFormat="1" ht="12.75" customHeight="1" x14ac:dyDescent="0.2">
      <c r="B31" s="95" t="s">
        <v>21</v>
      </c>
      <c r="C31" s="465"/>
      <c r="D31" s="476">
        <v>228529.87533276301</v>
      </c>
      <c r="E31" s="466"/>
      <c r="F31" s="476">
        <v>26445.8873144758</v>
      </c>
      <c r="G31" s="478">
        <v>12.4883050627</v>
      </c>
      <c r="H31" s="466"/>
      <c r="I31" s="476">
        <v>52499.765041905397</v>
      </c>
      <c r="J31" s="478">
        <v>24.338538336599999</v>
      </c>
      <c r="K31" s="463"/>
      <c r="L31" s="475">
        <v>75166.777022588198</v>
      </c>
      <c r="M31" s="478">
        <v>35.595771985399999</v>
      </c>
      <c r="N31" s="463"/>
      <c r="O31" s="475">
        <v>68925.223058110307</v>
      </c>
      <c r="P31" s="478">
        <v>31.914972699</v>
      </c>
      <c r="Q31" s="463"/>
      <c r="R31" s="475">
        <v>30324.1305341201</v>
      </c>
      <c r="S31" s="478">
        <v>14.1330118453</v>
      </c>
      <c r="T31" s="463"/>
      <c r="U31" s="475">
        <v>16758.470582934999</v>
      </c>
      <c r="V31" s="478">
        <v>7.8766938955999999</v>
      </c>
      <c r="W31" s="463"/>
      <c r="X31" s="463"/>
      <c r="Y31" s="463"/>
      <c r="Z31" s="463"/>
      <c r="AA31" s="463"/>
    </row>
    <row r="32" spans="2:27" s="462" customFormat="1" ht="12.75" customHeight="1" x14ac:dyDescent="0.2">
      <c r="B32" s="95" t="s">
        <v>22</v>
      </c>
      <c r="C32" s="465"/>
      <c r="D32" s="476">
        <v>85644.643141977896</v>
      </c>
      <c r="E32" s="466"/>
      <c r="F32" s="476">
        <v>31847.047613049701</v>
      </c>
      <c r="G32" s="478">
        <v>41.355955162400001</v>
      </c>
      <c r="H32" s="466"/>
      <c r="I32" s="476">
        <v>23822.739070133401</v>
      </c>
      <c r="J32" s="478">
        <v>30.667998074700002</v>
      </c>
      <c r="K32" s="463"/>
      <c r="L32" s="475">
        <v>15273.376897224</v>
      </c>
      <c r="M32" s="478">
        <v>20.579687157999999</v>
      </c>
      <c r="N32" s="463"/>
      <c r="O32" s="475">
        <v>16839.995569890601</v>
      </c>
      <c r="P32" s="478">
        <v>21.302911895400001</v>
      </c>
      <c r="Q32" s="463"/>
      <c r="R32" s="475">
        <v>10407.5908022043</v>
      </c>
      <c r="S32" s="478">
        <v>13.5914222592</v>
      </c>
      <c r="T32" s="463"/>
      <c r="U32" s="475">
        <v>3336.1365413019998</v>
      </c>
      <c r="V32" s="478">
        <v>4.5026394829000003</v>
      </c>
      <c r="W32" s="463"/>
      <c r="X32" s="463"/>
      <c r="Y32" s="463"/>
      <c r="Z32" s="463"/>
      <c r="AA32" s="463"/>
    </row>
    <row r="33" spans="2:27" s="462" customFormat="1" ht="12.75" customHeight="1" x14ac:dyDescent="0.2">
      <c r="B33" s="95" t="s">
        <v>23</v>
      </c>
      <c r="C33" s="465"/>
      <c r="D33" s="476">
        <v>83805.017769934799</v>
      </c>
      <c r="E33" s="466"/>
      <c r="F33" s="476">
        <v>31964.015415067501</v>
      </c>
      <c r="G33" s="478">
        <v>41.403388425800003</v>
      </c>
      <c r="H33" s="466"/>
      <c r="I33" s="476">
        <v>21428.8948765159</v>
      </c>
      <c r="J33" s="478">
        <v>27.9297499095</v>
      </c>
      <c r="K33" s="463"/>
      <c r="L33" s="475">
        <v>20158.224235596601</v>
      </c>
      <c r="M33" s="478">
        <v>26.310392349299999</v>
      </c>
      <c r="N33" s="463"/>
      <c r="O33" s="475">
        <v>13508.5571611386</v>
      </c>
      <c r="P33" s="478">
        <v>17.6639454343</v>
      </c>
      <c r="Q33" s="463"/>
      <c r="R33" s="475">
        <v>13855.778459834701</v>
      </c>
      <c r="S33" s="478">
        <v>17.9940227781</v>
      </c>
      <c r="T33" s="463"/>
      <c r="U33" s="475">
        <v>8133.6252590144004</v>
      </c>
      <c r="V33" s="478">
        <v>10.603124353</v>
      </c>
      <c r="W33" s="463"/>
      <c r="X33" s="463"/>
      <c r="Y33" s="463"/>
      <c r="Z33" s="463"/>
      <c r="AA33" s="463"/>
    </row>
    <row r="34" spans="2:27" s="462" customFormat="1" ht="12.75" customHeight="1" x14ac:dyDescent="0.2">
      <c r="B34" s="95" t="s">
        <v>24</v>
      </c>
      <c r="C34" s="465"/>
      <c r="D34" s="476">
        <v>83493.579120331604</v>
      </c>
      <c r="E34" s="466"/>
      <c r="F34" s="476">
        <v>13765.1864896152</v>
      </c>
      <c r="G34" s="478">
        <v>17.980237679599998</v>
      </c>
      <c r="H34" s="466"/>
      <c r="I34" s="476">
        <v>27107.884173988801</v>
      </c>
      <c r="J34" s="478">
        <v>34.670636770500003</v>
      </c>
      <c r="K34" s="463"/>
      <c r="L34" s="475">
        <v>27236.025668440299</v>
      </c>
      <c r="M34" s="478">
        <v>37.103466773199997</v>
      </c>
      <c r="N34" s="463"/>
      <c r="O34" s="475">
        <v>14645.709917214301</v>
      </c>
      <c r="P34" s="478">
        <v>20.668430817899999</v>
      </c>
      <c r="Q34" s="463"/>
      <c r="R34" s="475">
        <v>13053.042547625901</v>
      </c>
      <c r="S34" s="478">
        <v>18.2965793754</v>
      </c>
      <c r="T34" s="463"/>
      <c r="U34" s="475">
        <v>1551.1840686401999</v>
      </c>
      <c r="V34" s="478">
        <v>2.1449818691</v>
      </c>
      <c r="W34" s="463"/>
      <c r="X34" s="463"/>
      <c r="Y34" s="463"/>
      <c r="Z34" s="463"/>
      <c r="AA34" s="463"/>
    </row>
    <row r="35" spans="2:27" s="462" customFormat="1" ht="12.75" customHeight="1" x14ac:dyDescent="0.2">
      <c r="B35" s="95" t="s">
        <v>25</v>
      </c>
      <c r="C35" s="465"/>
      <c r="D35" s="476">
        <v>60261.430122796999</v>
      </c>
      <c r="E35" s="466"/>
      <c r="F35" s="476">
        <v>16409.112381815699</v>
      </c>
      <c r="G35" s="478">
        <v>29.673198784499998</v>
      </c>
      <c r="H35" s="466"/>
      <c r="I35" s="476">
        <v>18973.646147859901</v>
      </c>
      <c r="J35" s="478">
        <v>33.333733112600001</v>
      </c>
      <c r="K35" s="463"/>
      <c r="L35" s="475">
        <v>12995.101141611</v>
      </c>
      <c r="M35" s="478">
        <v>23.1490099693</v>
      </c>
      <c r="N35" s="463"/>
      <c r="O35" s="475">
        <v>8652.5802540148998</v>
      </c>
      <c r="P35" s="478">
        <v>15.5764830903</v>
      </c>
      <c r="Q35" s="463"/>
      <c r="R35" s="475">
        <v>10315.1216063134</v>
      </c>
      <c r="S35" s="478">
        <v>18.562164784499998</v>
      </c>
      <c r="T35" s="463"/>
      <c r="U35" s="475">
        <v>6038.0202704444</v>
      </c>
      <c r="V35" s="478">
        <v>10.9193201</v>
      </c>
      <c r="W35" s="463"/>
      <c r="X35" s="463"/>
      <c r="Y35" s="463"/>
      <c r="Z35" s="463"/>
      <c r="AA35" s="463"/>
    </row>
    <row r="36" spans="2:27" s="462" customFormat="1" ht="12.75" customHeight="1" x14ac:dyDescent="0.2">
      <c r="B36" s="95" t="s">
        <v>26</v>
      </c>
      <c r="C36" s="465"/>
      <c r="D36" s="476">
        <v>57947.4789793608</v>
      </c>
      <c r="E36" s="466"/>
      <c r="F36" s="476">
        <v>10588.388820447601</v>
      </c>
      <c r="G36" s="478">
        <v>19.512595076</v>
      </c>
      <c r="H36" s="466"/>
      <c r="I36" s="476">
        <v>15300.293697515401</v>
      </c>
      <c r="J36" s="478">
        <v>28.2782237234</v>
      </c>
      <c r="K36" s="463"/>
      <c r="L36" s="475">
        <v>20683.3093983381</v>
      </c>
      <c r="M36" s="478">
        <v>38.319205176399997</v>
      </c>
      <c r="N36" s="463"/>
      <c r="O36" s="475">
        <v>11462.492355406101</v>
      </c>
      <c r="P36" s="478">
        <v>21.279477326599999</v>
      </c>
      <c r="Q36" s="463"/>
      <c r="R36" s="475">
        <v>11495.400812105299</v>
      </c>
      <c r="S36" s="478">
        <v>21.1434067235</v>
      </c>
      <c r="T36" s="463"/>
      <c r="U36" s="475">
        <v>2239.3350476244</v>
      </c>
      <c r="V36" s="478">
        <v>4.1556115497999997</v>
      </c>
      <c r="W36" s="463"/>
      <c r="X36" s="463"/>
      <c r="Y36" s="463"/>
      <c r="Z36" s="463"/>
      <c r="AA36" s="463"/>
    </row>
    <row r="37" spans="2:27" s="462" customFormat="1" ht="12.75" customHeight="1" x14ac:dyDescent="0.2">
      <c r="B37" s="95" t="s">
        <v>27</v>
      </c>
      <c r="C37" s="465"/>
      <c r="D37" s="476">
        <v>70872.055599581203</v>
      </c>
      <c r="E37" s="466"/>
      <c r="F37" s="476">
        <v>12169.2793825463</v>
      </c>
      <c r="G37" s="478">
        <v>18.630681088599999</v>
      </c>
      <c r="H37" s="466"/>
      <c r="I37" s="476">
        <v>20657.274873222399</v>
      </c>
      <c r="J37" s="478">
        <v>31.2248845391</v>
      </c>
      <c r="K37" s="463"/>
      <c r="L37" s="475">
        <v>15357.0216453885</v>
      </c>
      <c r="M37" s="478">
        <v>23.175335742800002</v>
      </c>
      <c r="N37" s="463"/>
      <c r="O37" s="475">
        <v>20569.166884141301</v>
      </c>
      <c r="P37" s="478">
        <v>30.981103640600001</v>
      </c>
      <c r="Q37" s="463"/>
      <c r="R37" s="475">
        <v>14075.144645963701</v>
      </c>
      <c r="S37" s="478">
        <v>21.5562717649</v>
      </c>
      <c r="T37" s="463"/>
      <c r="U37" s="475">
        <v>4834.3307850114998</v>
      </c>
      <c r="V37" s="478">
        <v>7.3522840351000003</v>
      </c>
      <c r="W37" s="463"/>
      <c r="X37" s="463"/>
      <c r="Y37" s="463"/>
      <c r="Z37" s="463"/>
      <c r="AA37" s="463"/>
    </row>
    <row r="38" spans="2:27" s="462" customFormat="1" ht="12.75" customHeight="1" x14ac:dyDescent="0.2">
      <c r="B38" s="95" t="s">
        <v>28</v>
      </c>
      <c r="C38" s="465"/>
      <c r="D38" s="476">
        <v>130348.844676715</v>
      </c>
      <c r="E38" s="466"/>
      <c r="F38" s="476">
        <v>20932.944144321398</v>
      </c>
      <c r="G38" s="478">
        <v>17.123743396399998</v>
      </c>
      <c r="H38" s="466"/>
      <c r="I38" s="476">
        <v>34169.417805045901</v>
      </c>
      <c r="J38" s="478">
        <v>28.4349080908</v>
      </c>
      <c r="K38" s="463"/>
      <c r="L38" s="475">
        <v>35342.1413615622</v>
      </c>
      <c r="M38" s="478">
        <v>29.0896794204</v>
      </c>
      <c r="N38" s="463"/>
      <c r="O38" s="475">
        <v>25930.608931390601</v>
      </c>
      <c r="P38" s="478">
        <v>21.448874083700002</v>
      </c>
      <c r="Q38" s="463"/>
      <c r="R38" s="475">
        <v>29056.842623639699</v>
      </c>
      <c r="S38" s="478">
        <v>23.8919957506</v>
      </c>
      <c r="T38" s="463"/>
      <c r="U38" s="475">
        <v>6251.5358937297997</v>
      </c>
      <c r="V38" s="478">
        <v>5.1563043065</v>
      </c>
      <c r="W38" s="463"/>
      <c r="X38" s="463"/>
      <c r="Y38" s="463"/>
      <c r="Z38" s="463"/>
      <c r="AA38" s="463"/>
    </row>
    <row r="39" spans="2:27" s="462" customFormat="1" ht="12.75" customHeight="1" x14ac:dyDescent="0.2">
      <c r="B39" s="95" t="s">
        <v>29</v>
      </c>
      <c r="C39" s="465"/>
      <c r="D39" s="476">
        <v>60958.294376071499</v>
      </c>
      <c r="E39" s="466"/>
      <c r="F39" s="476">
        <v>16284.3569439245</v>
      </c>
      <c r="G39" s="478">
        <v>29.386079046999999</v>
      </c>
      <c r="H39" s="466"/>
      <c r="I39" s="476">
        <v>15452.945913998899</v>
      </c>
      <c r="J39" s="478">
        <v>28.417824417999999</v>
      </c>
      <c r="K39" s="463"/>
      <c r="L39" s="475">
        <v>11812.0413886101</v>
      </c>
      <c r="M39" s="478">
        <v>21.876283646499999</v>
      </c>
      <c r="N39" s="463"/>
      <c r="O39" s="475">
        <v>15303.890421587999</v>
      </c>
      <c r="P39" s="478">
        <v>27.292250118199998</v>
      </c>
      <c r="Q39" s="463"/>
      <c r="R39" s="475">
        <v>9830.3750069775997</v>
      </c>
      <c r="S39" s="478">
        <v>17.837955459700002</v>
      </c>
      <c r="T39" s="463"/>
      <c r="U39" s="475">
        <v>4238.6341488032003</v>
      </c>
      <c r="V39" s="478">
        <v>7.7578084981000002</v>
      </c>
      <c r="W39" s="463"/>
      <c r="X39" s="463"/>
      <c r="Y39" s="463"/>
      <c r="Z39" s="463"/>
      <c r="AA39" s="463"/>
    </row>
    <row r="40" spans="2:27" s="462" customFormat="1" ht="12.75" customHeight="1" x14ac:dyDescent="0.2">
      <c r="B40" s="95" t="s">
        <v>30</v>
      </c>
      <c r="C40" s="465"/>
      <c r="D40" s="476">
        <v>115544.217259397</v>
      </c>
      <c r="E40" s="466"/>
      <c r="F40" s="476">
        <v>22902.548342717098</v>
      </c>
      <c r="G40" s="478">
        <v>21.297671084899999</v>
      </c>
      <c r="H40" s="466"/>
      <c r="I40" s="476">
        <v>36425.873613857002</v>
      </c>
      <c r="J40" s="478">
        <v>33.2491017619</v>
      </c>
      <c r="K40" s="463"/>
      <c r="L40" s="475">
        <v>27638.734687216402</v>
      </c>
      <c r="M40" s="478">
        <v>25.8033218705</v>
      </c>
      <c r="N40" s="463"/>
      <c r="O40" s="475">
        <v>21929.316908689801</v>
      </c>
      <c r="P40" s="478">
        <v>20.424655594899999</v>
      </c>
      <c r="Q40" s="463"/>
      <c r="R40" s="475">
        <v>20741.472908837099</v>
      </c>
      <c r="S40" s="478">
        <v>19.238749385399998</v>
      </c>
      <c r="T40" s="463"/>
      <c r="U40" s="475">
        <v>8937.1318909307993</v>
      </c>
      <c r="V40" s="478">
        <v>8.2420247069000006</v>
      </c>
      <c r="W40" s="463"/>
      <c r="X40" s="463"/>
      <c r="Y40" s="463"/>
      <c r="Z40" s="463"/>
      <c r="AA40" s="463"/>
    </row>
    <row r="41" spans="2:27" s="462" customFormat="1" ht="12.75" customHeight="1" x14ac:dyDescent="0.2">
      <c r="B41" s="95" t="s">
        <v>31</v>
      </c>
      <c r="C41" s="465"/>
      <c r="D41" s="476">
        <v>12239.7037674487</v>
      </c>
      <c r="E41" s="466"/>
      <c r="F41" s="476">
        <v>2604.7328341386001</v>
      </c>
      <c r="G41" s="478">
        <v>23.1612870728</v>
      </c>
      <c r="H41" s="466"/>
      <c r="I41" s="476">
        <v>3749.1032284295002</v>
      </c>
      <c r="J41" s="478">
        <v>33.456298897300002</v>
      </c>
      <c r="K41" s="463"/>
      <c r="L41" s="475">
        <v>3502.134052595</v>
      </c>
      <c r="M41" s="478">
        <v>31.570450262000001</v>
      </c>
      <c r="N41" s="463"/>
      <c r="O41" s="475">
        <v>2748.9200275443</v>
      </c>
      <c r="P41" s="478">
        <v>24.418301320099999</v>
      </c>
      <c r="Q41" s="463"/>
      <c r="R41" s="475">
        <v>3128.7281454508002</v>
      </c>
      <c r="S41" s="478">
        <v>27.692172575400001</v>
      </c>
      <c r="T41" s="463"/>
      <c r="U41" s="475">
        <v>240.6816800526</v>
      </c>
      <c r="V41" s="478">
        <v>2.1706532503</v>
      </c>
      <c r="W41" s="463"/>
      <c r="X41" s="463"/>
      <c r="Y41" s="463"/>
      <c r="Z41" s="463"/>
      <c r="AA41" s="463"/>
    </row>
    <row r="42" spans="2:27" s="462" customFormat="1" ht="12.75" customHeight="1" x14ac:dyDescent="0.2">
      <c r="B42" s="95" t="s">
        <v>32</v>
      </c>
      <c r="C42" s="465"/>
      <c r="D42" s="476">
        <v>155398.224768927</v>
      </c>
      <c r="E42" s="466"/>
      <c r="F42" s="476">
        <v>42735.387932741804</v>
      </c>
      <c r="G42" s="478">
        <v>29.9354750571</v>
      </c>
      <c r="H42" s="466"/>
      <c r="I42" s="476">
        <v>62628.101943520298</v>
      </c>
      <c r="J42" s="478">
        <v>44.352408398800002</v>
      </c>
      <c r="K42" s="463"/>
      <c r="L42" s="475">
        <v>16978.464085313299</v>
      </c>
      <c r="M42" s="478">
        <v>12.3921182173</v>
      </c>
      <c r="N42" s="463"/>
      <c r="O42" s="475">
        <v>32687.679569054701</v>
      </c>
      <c r="P42" s="478">
        <v>23.430707222900001</v>
      </c>
      <c r="Q42" s="463"/>
      <c r="R42" s="475">
        <v>26409.669831008399</v>
      </c>
      <c r="S42" s="478">
        <v>18.8343258214</v>
      </c>
      <c r="T42" s="463"/>
      <c r="U42" s="475">
        <v>6568.9843206841997</v>
      </c>
      <c r="V42" s="478">
        <v>4.7719694055000001</v>
      </c>
      <c r="W42" s="463"/>
      <c r="X42" s="463"/>
      <c r="Y42" s="463"/>
      <c r="Z42" s="463"/>
      <c r="AA42" s="463"/>
    </row>
    <row r="43" spans="2:27" s="462" customFormat="1" ht="12.75" customHeight="1" x14ac:dyDescent="0.2">
      <c r="B43" s="95" t="s">
        <v>33</v>
      </c>
      <c r="C43" s="465"/>
      <c r="D43" s="476">
        <v>94932.431848099499</v>
      </c>
      <c r="E43" s="466"/>
      <c r="F43" s="476">
        <v>22708.123735159399</v>
      </c>
      <c r="G43" s="478">
        <v>26.012118234900001</v>
      </c>
      <c r="H43" s="466"/>
      <c r="I43" s="476">
        <v>28834.352762027898</v>
      </c>
      <c r="J43" s="478">
        <v>32.129506786100002</v>
      </c>
      <c r="K43" s="463"/>
      <c r="L43" s="475">
        <v>11657.2274364979</v>
      </c>
      <c r="M43" s="478">
        <v>13.235466243599999</v>
      </c>
      <c r="N43" s="463"/>
      <c r="O43" s="475">
        <v>14266.6635546406</v>
      </c>
      <c r="P43" s="478">
        <v>16.453917799300001</v>
      </c>
      <c r="Q43" s="463"/>
      <c r="R43" s="475">
        <v>25221.363921392502</v>
      </c>
      <c r="S43" s="478">
        <v>28.8394630409</v>
      </c>
      <c r="T43" s="463"/>
      <c r="U43" s="475">
        <v>8259.4422616572992</v>
      </c>
      <c r="V43" s="478">
        <v>9.3402018659999992</v>
      </c>
      <c r="W43" s="463"/>
      <c r="X43" s="463"/>
      <c r="Y43" s="463"/>
      <c r="Z43" s="463"/>
      <c r="AA43" s="463"/>
    </row>
    <row r="44" spans="2:27" s="462" customFormat="1" ht="12.75" customHeight="1" x14ac:dyDescent="0.2">
      <c r="B44" s="95" t="s">
        <v>34</v>
      </c>
      <c r="C44" s="465"/>
      <c r="D44" s="476">
        <v>49515.189313489602</v>
      </c>
      <c r="E44" s="466"/>
      <c r="F44" s="476">
        <v>6723.0342848716</v>
      </c>
      <c r="G44" s="478">
        <v>15.3986507785</v>
      </c>
      <c r="H44" s="466"/>
      <c r="I44" s="476">
        <v>10742.7686989466</v>
      </c>
      <c r="J44" s="478">
        <v>24.546093743499998</v>
      </c>
      <c r="K44" s="463"/>
      <c r="L44" s="475">
        <v>15674.6629962771</v>
      </c>
      <c r="M44" s="478">
        <v>34.026602988900002</v>
      </c>
      <c r="N44" s="463"/>
      <c r="O44" s="475">
        <v>12074.826718235799</v>
      </c>
      <c r="P44" s="478">
        <v>27.210522194300001</v>
      </c>
      <c r="Q44" s="463"/>
      <c r="R44" s="475">
        <v>10996.869022015901</v>
      </c>
      <c r="S44" s="478">
        <v>24.464551161300001</v>
      </c>
      <c r="T44" s="463"/>
      <c r="U44" s="475">
        <v>2600.4831074463</v>
      </c>
      <c r="V44" s="478">
        <v>5.9576564793999998</v>
      </c>
      <c r="W44" s="463"/>
      <c r="X44" s="463"/>
      <c r="Y44" s="463"/>
      <c r="Z44" s="463"/>
      <c r="AA44" s="463"/>
    </row>
    <row r="45" spans="2:27" ht="6" customHeight="1" x14ac:dyDescent="0.25">
      <c r="B45" s="467"/>
      <c r="C45" s="468"/>
      <c r="D45" s="469"/>
      <c r="E45" s="470"/>
      <c r="F45" s="469"/>
      <c r="G45" s="471"/>
      <c r="H45" s="471"/>
      <c r="I45" s="469"/>
      <c r="J45" s="469"/>
      <c r="K45" s="469"/>
      <c r="L45" s="469"/>
      <c r="M45" s="469"/>
      <c r="N45" s="469"/>
      <c r="O45" s="469"/>
      <c r="P45" s="469"/>
      <c r="Q45" s="469"/>
      <c r="R45" s="469"/>
      <c r="S45" s="469"/>
      <c r="T45" s="469"/>
      <c r="U45" s="469"/>
      <c r="V45" s="469"/>
      <c r="W45" s="459"/>
      <c r="X45" s="459"/>
      <c r="Y45" s="459"/>
      <c r="Z45" s="459"/>
      <c r="AA45" s="459"/>
    </row>
    <row r="46" spans="2:27" ht="6" customHeight="1" x14ac:dyDescent="0.25">
      <c r="B46" s="228"/>
      <c r="D46" s="145"/>
      <c r="E46" s="472"/>
      <c r="F46" s="145"/>
      <c r="G46" s="473"/>
      <c r="H46" s="473"/>
      <c r="I46" s="145"/>
      <c r="J46" s="473"/>
    </row>
    <row r="47" spans="2:27" ht="25.5" customHeight="1" x14ac:dyDescent="0.25">
      <c r="B47" s="702" t="s">
        <v>93</v>
      </c>
      <c r="C47" s="702"/>
      <c r="D47" s="702"/>
      <c r="E47" s="702"/>
      <c r="F47" s="702"/>
      <c r="G47" s="702"/>
      <c r="H47" s="702"/>
      <c r="I47" s="702"/>
      <c r="J47" s="702"/>
    </row>
    <row r="48" spans="2:27" s="13" customFormat="1" ht="14.25" x14ac:dyDescent="0.2">
      <c r="B48" s="109" t="s">
        <v>57</v>
      </c>
    </row>
  </sheetData>
  <mergeCells count="11">
    <mergeCell ref="B47:J47"/>
    <mergeCell ref="B5:J5"/>
    <mergeCell ref="B7:C9"/>
    <mergeCell ref="D7:D9"/>
    <mergeCell ref="F7:V7"/>
    <mergeCell ref="F8:G8"/>
    <mergeCell ref="I8:J8"/>
    <mergeCell ref="L8:M8"/>
    <mergeCell ref="O8:P8"/>
    <mergeCell ref="R8:S8"/>
    <mergeCell ref="U8:V8"/>
  </mergeCells>
  <hyperlinks>
    <hyperlink ref="V1" location="Índice!A1" tooltip="Ir a ÍNDICE" display="INDICE" xr:uid="{DA0F180B-E6FC-46A4-9949-EBFEF2772D74}"/>
  </hyperlinks>
  <pageMargins left="0.70866141732283472" right="0.70866141732283472" top="0.74803149606299213" bottom="0.74803149606299213" header="0.31496062992125984" footer="0.31496062992125984"/>
  <pageSetup orientation="portrait" verticalDpi="12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A12647-AC1C-4D6F-A00B-40098DDCD9B4}">
  <dimension ref="B1:V51"/>
  <sheetViews>
    <sheetView showGridLines="0" zoomScaleNormal="100" workbookViewId="0"/>
  </sheetViews>
  <sheetFormatPr baseColWidth="10" defaultColWidth="11.42578125" defaultRowHeight="15" x14ac:dyDescent="0.25"/>
  <cols>
    <col min="1" max="1" width="1.7109375" style="520" customWidth="1"/>
    <col min="2" max="2" width="24.28515625" style="520" customWidth="1"/>
    <col min="3" max="3" width="0.85546875" style="534" customWidth="1"/>
    <col min="4" max="4" width="18.7109375" style="535" customWidth="1"/>
    <col min="5" max="5" width="1.7109375" style="535" customWidth="1"/>
    <col min="6" max="6" width="12.7109375" style="535" customWidth="1"/>
    <col min="7" max="7" width="12.7109375" style="536" customWidth="1"/>
    <col min="8" max="8" width="1.7109375" style="535" customWidth="1"/>
    <col min="9" max="9" width="12.7109375" style="535" customWidth="1"/>
    <col min="10" max="10" width="12.7109375" style="536" customWidth="1"/>
    <col min="11" max="11" width="1.7109375" style="535" customWidth="1"/>
    <col min="12" max="12" width="12.7109375" style="535" customWidth="1"/>
    <col min="13" max="13" width="12.7109375" style="536" customWidth="1"/>
    <col min="14" max="14" width="1.7109375" style="535" customWidth="1"/>
    <col min="15" max="15" width="14" style="520" customWidth="1"/>
    <col min="16" max="16" width="12.7109375" style="537" customWidth="1"/>
    <col min="17" max="17" width="1.7109375" style="520" customWidth="1"/>
    <col min="18" max="18" width="13.85546875" style="520" customWidth="1"/>
    <col min="19" max="19" width="11.42578125" style="520"/>
    <col min="20" max="20" width="1.7109375" style="520" customWidth="1"/>
    <col min="21" max="21" width="17" style="520" customWidth="1"/>
    <col min="22" max="16384" width="11.42578125" style="520"/>
  </cols>
  <sheetData>
    <row r="1" spans="2:22" s="483" customFormat="1" ht="12" customHeight="1" x14ac:dyDescent="0.2">
      <c r="B1" s="639" t="s">
        <v>202</v>
      </c>
      <c r="D1" s="484"/>
      <c r="E1" s="484"/>
      <c r="F1" s="484"/>
      <c r="G1" s="484"/>
      <c r="H1" s="484"/>
      <c r="I1" s="484"/>
      <c r="K1" s="484"/>
      <c r="L1" s="484"/>
      <c r="M1" s="484"/>
      <c r="N1" s="484"/>
      <c r="V1" s="72" t="s">
        <v>151</v>
      </c>
    </row>
    <row r="2" spans="2:22" s="483" customFormat="1" ht="6.95" customHeight="1" x14ac:dyDescent="0.2">
      <c r="B2" s="639"/>
      <c r="D2" s="484"/>
      <c r="E2" s="484"/>
      <c r="F2" s="484"/>
      <c r="G2" s="484"/>
      <c r="H2" s="484"/>
      <c r="I2" s="484"/>
      <c r="J2" s="484"/>
      <c r="K2" s="484"/>
      <c r="L2" s="484"/>
      <c r="M2" s="484"/>
      <c r="N2" s="484"/>
    </row>
    <row r="3" spans="2:22" s="483" customFormat="1" ht="15" customHeight="1" x14ac:dyDescent="0.2">
      <c r="B3" s="639" t="s">
        <v>199</v>
      </c>
      <c r="C3" s="482"/>
      <c r="D3" s="482"/>
      <c r="E3" s="482"/>
      <c r="F3" s="482"/>
      <c r="G3" s="482"/>
      <c r="H3" s="482"/>
      <c r="I3" s="482"/>
      <c r="J3" s="482"/>
      <c r="K3" s="482"/>
      <c r="L3" s="482"/>
      <c r="M3" s="482"/>
      <c r="N3" s="482"/>
      <c r="O3" s="482"/>
      <c r="P3" s="482"/>
      <c r="Q3" s="482"/>
      <c r="R3" s="482"/>
      <c r="S3" s="482"/>
    </row>
    <row r="4" spans="2:22" s="485" customFormat="1" ht="6.95" customHeight="1" x14ac:dyDescent="0.2">
      <c r="C4" s="486"/>
      <c r="D4" s="487"/>
      <c r="E4" s="487"/>
      <c r="F4" s="487"/>
      <c r="G4" s="487"/>
      <c r="H4" s="487"/>
      <c r="I4" s="487"/>
      <c r="J4" s="487"/>
      <c r="K4" s="487"/>
      <c r="L4" s="487"/>
      <c r="M4" s="487"/>
      <c r="N4" s="487"/>
    </row>
    <row r="5" spans="2:22" s="485" customFormat="1" ht="18" customHeight="1" x14ac:dyDescent="0.2">
      <c r="B5" s="717" t="s">
        <v>197</v>
      </c>
      <c r="C5" s="717"/>
      <c r="D5" s="717"/>
      <c r="E5" s="717"/>
      <c r="F5" s="717"/>
      <c r="G5" s="717"/>
      <c r="H5" s="717"/>
      <c r="I5" s="717"/>
      <c r="J5" s="717"/>
      <c r="K5" s="717"/>
      <c r="L5" s="717"/>
      <c r="M5" s="717"/>
      <c r="N5" s="717"/>
      <c r="O5" s="488"/>
      <c r="P5" s="489"/>
      <c r="Q5" s="490"/>
      <c r="R5" s="57"/>
      <c r="V5" s="71" t="s">
        <v>117</v>
      </c>
    </row>
    <row r="6" spans="2:22" s="494" customFormat="1" ht="6" customHeight="1" x14ac:dyDescent="0.25">
      <c r="B6" s="491"/>
      <c r="C6" s="492"/>
      <c r="D6" s="493"/>
      <c r="E6" s="493"/>
      <c r="F6" s="493"/>
      <c r="G6" s="493"/>
      <c r="H6" s="493"/>
      <c r="I6" s="493"/>
      <c r="J6" s="493"/>
      <c r="K6" s="493"/>
      <c r="L6" s="493"/>
      <c r="M6" s="493"/>
      <c r="N6" s="493"/>
    </row>
    <row r="7" spans="2:22" s="494" customFormat="1" ht="15" customHeight="1" x14ac:dyDescent="0.25">
      <c r="B7" s="681" t="s">
        <v>76</v>
      </c>
      <c r="C7" s="681"/>
      <c r="D7" s="718" t="s">
        <v>108</v>
      </c>
      <c r="E7" s="495"/>
      <c r="F7" s="721" t="s">
        <v>175</v>
      </c>
      <c r="G7" s="721"/>
      <c r="H7" s="721"/>
      <c r="I7" s="721"/>
      <c r="J7" s="721"/>
      <c r="K7" s="721"/>
      <c r="L7" s="721"/>
      <c r="M7" s="721"/>
      <c r="N7" s="721"/>
      <c r="O7" s="721"/>
      <c r="P7" s="721"/>
      <c r="Q7" s="721"/>
      <c r="R7" s="721"/>
      <c r="S7" s="721"/>
      <c r="T7" s="496"/>
      <c r="U7" s="722" t="s">
        <v>174</v>
      </c>
      <c r="V7" s="722"/>
    </row>
    <row r="8" spans="2:22" s="494" customFormat="1" ht="24.75" customHeight="1" x14ac:dyDescent="0.25">
      <c r="B8" s="682"/>
      <c r="C8" s="682"/>
      <c r="D8" s="719"/>
      <c r="E8" s="497"/>
      <c r="F8" s="723" t="s">
        <v>173</v>
      </c>
      <c r="G8" s="723"/>
      <c r="H8" s="498"/>
      <c r="I8" s="723" t="s">
        <v>196</v>
      </c>
      <c r="J8" s="723"/>
      <c r="K8" s="498"/>
      <c r="L8" s="724" t="s">
        <v>176</v>
      </c>
      <c r="M8" s="724"/>
      <c r="N8" s="498"/>
      <c r="O8" s="724" t="s">
        <v>177</v>
      </c>
      <c r="P8" s="724"/>
      <c r="Q8" s="498"/>
      <c r="R8" s="723" t="s">
        <v>44</v>
      </c>
      <c r="S8" s="723"/>
      <c r="T8" s="498"/>
      <c r="U8" s="723"/>
      <c r="V8" s="723"/>
    </row>
    <row r="9" spans="2:22" s="494" customFormat="1" x14ac:dyDescent="0.25">
      <c r="B9" s="683"/>
      <c r="C9" s="683"/>
      <c r="D9" s="720"/>
      <c r="E9" s="499"/>
      <c r="F9" s="500" t="s">
        <v>0</v>
      </c>
      <c r="G9" s="500" t="s">
        <v>1</v>
      </c>
      <c r="H9" s="500"/>
      <c r="I9" s="500" t="s">
        <v>0</v>
      </c>
      <c r="J9" s="500" t="s">
        <v>1</v>
      </c>
      <c r="K9" s="501"/>
      <c r="L9" s="500" t="s">
        <v>0</v>
      </c>
      <c r="M9" s="500" t="s">
        <v>1</v>
      </c>
      <c r="N9" s="501"/>
      <c r="O9" s="500" t="s">
        <v>0</v>
      </c>
      <c r="P9" s="500" t="s">
        <v>1</v>
      </c>
      <c r="Q9" s="501"/>
      <c r="R9" s="500" t="s">
        <v>0</v>
      </c>
      <c r="S9" s="500" t="s">
        <v>1</v>
      </c>
      <c r="T9" s="502"/>
      <c r="U9" s="500" t="s">
        <v>0</v>
      </c>
      <c r="V9" s="500" t="s">
        <v>1</v>
      </c>
    </row>
    <row r="10" spans="2:22" s="494" customFormat="1" ht="6" customHeight="1" x14ac:dyDescent="0.25">
      <c r="B10" s="31"/>
      <c r="C10" s="503"/>
      <c r="D10" s="504"/>
      <c r="E10" s="504"/>
      <c r="F10" s="504"/>
      <c r="G10" s="504"/>
      <c r="H10" s="504"/>
      <c r="I10" s="504"/>
      <c r="J10" s="504"/>
      <c r="K10" s="504"/>
      <c r="L10" s="504"/>
      <c r="M10" s="504"/>
      <c r="N10" s="505"/>
      <c r="O10" s="505"/>
      <c r="P10" s="505"/>
      <c r="Q10" s="505"/>
      <c r="R10" s="505"/>
      <c r="S10" s="505"/>
      <c r="T10" s="505"/>
      <c r="U10" s="505"/>
      <c r="V10" s="505"/>
    </row>
    <row r="11" spans="2:22" s="506" customFormat="1" ht="11.25" x14ac:dyDescent="0.2">
      <c r="B11" s="94" t="s">
        <v>2</v>
      </c>
      <c r="D11" s="334">
        <v>2822025.6022069799</v>
      </c>
      <c r="E11" s="87"/>
      <c r="F11" s="334">
        <v>1093792.9780733599</v>
      </c>
      <c r="G11" s="334">
        <v>39.378572324799997</v>
      </c>
      <c r="H11" s="87"/>
      <c r="I11" s="334">
        <v>267616.246987366</v>
      </c>
      <c r="J11" s="334">
        <v>9.6744513777000005</v>
      </c>
      <c r="K11" s="87"/>
      <c r="L11" s="334">
        <v>198797.14960132301</v>
      </c>
      <c r="M11" s="334">
        <v>7.1781071061999997</v>
      </c>
      <c r="N11" s="87"/>
      <c r="O11" s="334">
        <v>1215086.95771416</v>
      </c>
      <c r="P11" s="334">
        <v>43.7275588189</v>
      </c>
      <c r="Q11" s="87"/>
      <c r="R11" s="334">
        <v>117160.871421289</v>
      </c>
      <c r="S11" s="334">
        <v>4.2366468612999997</v>
      </c>
      <c r="U11" s="334">
        <v>94929.959861517505</v>
      </c>
      <c r="V11" s="334">
        <v>3.4301383242000001</v>
      </c>
    </row>
    <row r="12" spans="2:22" s="508" customFormat="1" ht="6" customHeight="1" x14ac:dyDescent="0.2">
      <c r="B12" s="94"/>
      <c r="D12" s="87"/>
      <c r="E12" s="87"/>
      <c r="F12" s="87"/>
      <c r="G12" s="507"/>
      <c r="H12" s="87"/>
      <c r="I12" s="87"/>
      <c r="J12" s="507"/>
      <c r="K12" s="87"/>
      <c r="L12" s="87"/>
      <c r="M12" s="507"/>
      <c r="N12" s="87"/>
      <c r="O12" s="87"/>
      <c r="P12" s="507"/>
      <c r="Q12" s="87"/>
      <c r="R12" s="87"/>
      <c r="S12" s="507"/>
      <c r="U12" s="87"/>
      <c r="V12" s="507"/>
    </row>
    <row r="13" spans="2:22" s="508" customFormat="1" ht="12.75" customHeight="1" x14ac:dyDescent="0.2">
      <c r="B13" s="95" t="s">
        <v>3</v>
      </c>
      <c r="C13" s="509"/>
      <c r="D13" s="279">
        <v>50676.384203772999</v>
      </c>
      <c r="E13" s="510"/>
      <c r="F13" s="279">
        <v>23998.919201603501</v>
      </c>
      <c r="G13" s="538">
        <v>49.840940385400003</v>
      </c>
      <c r="H13" s="510"/>
      <c r="I13" s="279">
        <v>5616.5135827925997</v>
      </c>
      <c r="J13" s="538">
        <v>11.936777641700001</v>
      </c>
      <c r="K13" s="511"/>
      <c r="L13" s="279">
        <v>4976.7810136748003</v>
      </c>
      <c r="M13" s="538">
        <v>10.5541244504</v>
      </c>
      <c r="N13" s="512"/>
      <c r="O13" s="279">
        <v>19025.294088763701</v>
      </c>
      <c r="P13" s="538">
        <v>40.412055452799997</v>
      </c>
      <c r="Q13" s="513"/>
      <c r="R13" s="539">
        <v>2808.8374210666998</v>
      </c>
      <c r="S13" s="538">
        <v>5.9441040919999999</v>
      </c>
      <c r="U13" s="539">
        <v>2826.1738528505002</v>
      </c>
      <c r="V13" s="538">
        <v>5.8920720974999998</v>
      </c>
    </row>
    <row r="14" spans="2:22" s="508" customFormat="1" ht="12.75" customHeight="1" x14ac:dyDescent="0.2">
      <c r="B14" s="95" t="s">
        <v>4</v>
      </c>
      <c r="C14" s="509"/>
      <c r="D14" s="279">
        <v>124003.394150981</v>
      </c>
      <c r="E14" s="510"/>
      <c r="F14" s="279">
        <v>58553.042450749002</v>
      </c>
      <c r="G14" s="538">
        <v>49.423764347099997</v>
      </c>
      <c r="H14" s="510"/>
      <c r="I14" s="279">
        <v>7653.2865999137002</v>
      </c>
      <c r="J14" s="538">
        <v>6.7586122771000001</v>
      </c>
      <c r="K14" s="511"/>
      <c r="L14" s="279">
        <v>11487.5749232618</v>
      </c>
      <c r="M14" s="538">
        <v>10.035438436</v>
      </c>
      <c r="N14" s="512"/>
      <c r="O14" s="279">
        <v>47386.103106399503</v>
      </c>
      <c r="P14" s="538">
        <v>41.930700503200001</v>
      </c>
      <c r="Q14" s="513"/>
      <c r="R14" s="539">
        <v>4453.0777595284999</v>
      </c>
      <c r="S14" s="538">
        <v>3.9151985584000002</v>
      </c>
      <c r="U14" s="539">
        <v>3915.7692493261002</v>
      </c>
      <c r="V14" s="538">
        <v>3.4395854847999998</v>
      </c>
    </row>
    <row r="15" spans="2:22" s="508" customFormat="1" ht="12.75" customHeight="1" x14ac:dyDescent="0.2">
      <c r="B15" s="95" t="s">
        <v>5</v>
      </c>
      <c r="C15" s="509"/>
      <c r="D15" s="279">
        <v>24608.7423173401</v>
      </c>
      <c r="E15" s="510"/>
      <c r="F15" s="279">
        <v>8034.0198277134996</v>
      </c>
      <c r="G15" s="538">
        <v>35.161693535200001</v>
      </c>
      <c r="H15" s="510"/>
      <c r="I15" s="279">
        <v>4972.5051653159999</v>
      </c>
      <c r="J15" s="538">
        <v>22.472619333099999</v>
      </c>
      <c r="K15" s="511"/>
      <c r="L15" s="279">
        <v>2861.6753925327998</v>
      </c>
      <c r="M15" s="538">
        <v>12.8788145521</v>
      </c>
      <c r="N15" s="512"/>
      <c r="O15" s="279">
        <v>10218.9069803435</v>
      </c>
      <c r="P15" s="538">
        <v>44.8896897479</v>
      </c>
      <c r="Q15" s="513"/>
      <c r="R15" s="539">
        <v>259.19565544120002</v>
      </c>
      <c r="S15" s="538">
        <v>1.1684005853999999</v>
      </c>
      <c r="U15" s="539">
        <v>724.92746183079998</v>
      </c>
      <c r="V15" s="538">
        <v>3.2475840875999999</v>
      </c>
    </row>
    <row r="16" spans="2:22" s="508" customFormat="1" ht="12.75" customHeight="1" x14ac:dyDescent="0.2">
      <c r="B16" s="95" t="s">
        <v>6</v>
      </c>
      <c r="C16" s="509"/>
      <c r="D16" s="279">
        <v>22749.028282297499</v>
      </c>
      <c r="E16" s="510"/>
      <c r="F16" s="279">
        <v>5316.8347479601998</v>
      </c>
      <c r="G16" s="538">
        <v>25.713918081500001</v>
      </c>
      <c r="H16" s="510"/>
      <c r="I16" s="279">
        <v>2777.3999861500001</v>
      </c>
      <c r="J16" s="538">
        <v>13.176084882</v>
      </c>
      <c r="K16" s="511"/>
      <c r="L16" s="279">
        <v>2659.7530673840001</v>
      </c>
      <c r="M16" s="538">
        <v>12.4657493536</v>
      </c>
      <c r="N16" s="512"/>
      <c r="O16" s="279">
        <v>11260.445634824</v>
      </c>
      <c r="P16" s="538">
        <v>52.541416160899999</v>
      </c>
      <c r="Q16" s="513"/>
      <c r="R16" s="539">
        <v>1119.3010563788</v>
      </c>
      <c r="S16" s="538">
        <v>5.3793508377999997</v>
      </c>
      <c r="U16" s="539">
        <v>2218.5222605125</v>
      </c>
      <c r="V16" s="538">
        <v>10.7188768417</v>
      </c>
    </row>
    <row r="17" spans="2:22" s="508" customFormat="1" ht="12.75" customHeight="1" x14ac:dyDescent="0.2">
      <c r="B17" s="95" t="s">
        <v>7</v>
      </c>
      <c r="C17" s="509"/>
      <c r="D17" s="279">
        <v>82714.400546653895</v>
      </c>
      <c r="E17" s="510"/>
      <c r="F17" s="279">
        <v>45271.131705205</v>
      </c>
      <c r="G17" s="538">
        <v>58.415383924099999</v>
      </c>
      <c r="H17" s="510"/>
      <c r="I17" s="279">
        <v>9109.2006562644001</v>
      </c>
      <c r="J17" s="538">
        <v>12.1513733478</v>
      </c>
      <c r="K17" s="511"/>
      <c r="L17" s="279">
        <v>4996.8547821073998</v>
      </c>
      <c r="M17" s="538">
        <v>6.6536677003999998</v>
      </c>
      <c r="N17" s="512"/>
      <c r="O17" s="279">
        <v>24540.4614959563</v>
      </c>
      <c r="P17" s="538">
        <v>31.683315920999998</v>
      </c>
      <c r="Q17" s="513"/>
      <c r="R17" s="539">
        <v>4870.6109124889999</v>
      </c>
      <c r="S17" s="538">
        <v>6.4894191741</v>
      </c>
      <c r="U17" s="539">
        <v>2158.8981620793002</v>
      </c>
      <c r="V17" s="538">
        <v>2.8533356579000002</v>
      </c>
    </row>
    <row r="18" spans="2:22" s="508" customFormat="1" ht="12.75" customHeight="1" x14ac:dyDescent="0.2">
      <c r="B18" s="95" t="s">
        <v>8</v>
      </c>
      <c r="C18" s="509"/>
      <c r="D18" s="279">
        <v>29153.924458199301</v>
      </c>
      <c r="E18" s="510"/>
      <c r="F18" s="279">
        <v>14965.297532398799</v>
      </c>
      <c r="G18" s="538">
        <v>53.726160318399998</v>
      </c>
      <c r="H18" s="510"/>
      <c r="I18" s="279">
        <v>3658.4211597456001</v>
      </c>
      <c r="J18" s="538">
        <v>13.684352908499999</v>
      </c>
      <c r="K18" s="511"/>
      <c r="L18" s="279">
        <v>2755.0030428872001</v>
      </c>
      <c r="M18" s="538">
        <v>10.417309596600001</v>
      </c>
      <c r="N18" s="512"/>
      <c r="O18" s="279">
        <v>9305.9469386179007</v>
      </c>
      <c r="P18" s="538">
        <v>35.639721994299997</v>
      </c>
      <c r="Q18" s="513"/>
      <c r="R18" s="539">
        <v>1825.1777330211</v>
      </c>
      <c r="S18" s="538">
        <v>6.8917298296</v>
      </c>
      <c r="U18" s="539">
        <v>1776.9211925451</v>
      </c>
      <c r="V18" s="538">
        <v>6.7508967109000002</v>
      </c>
    </row>
    <row r="19" spans="2:22" s="508" customFormat="1" ht="12.75" customHeight="1" x14ac:dyDescent="0.2">
      <c r="B19" s="95" t="s">
        <v>9</v>
      </c>
      <c r="C19" s="509"/>
      <c r="D19" s="279">
        <v>83643.269636398196</v>
      </c>
      <c r="E19" s="510"/>
      <c r="F19" s="279">
        <v>13635.146390558801</v>
      </c>
      <c r="G19" s="538">
        <v>18.073007204900001</v>
      </c>
      <c r="H19" s="510"/>
      <c r="I19" s="279">
        <v>9042.2942888768994</v>
      </c>
      <c r="J19" s="538">
        <v>12.5207166258</v>
      </c>
      <c r="K19" s="511"/>
      <c r="L19" s="279">
        <v>3221.0112508805</v>
      </c>
      <c r="M19" s="538">
        <v>4.4195311189000002</v>
      </c>
      <c r="N19" s="512"/>
      <c r="O19" s="279">
        <v>47783.098165642099</v>
      </c>
      <c r="P19" s="538">
        <v>63.809446443500001</v>
      </c>
      <c r="Q19" s="513"/>
      <c r="R19" s="539">
        <v>6209.5732249622997</v>
      </c>
      <c r="S19" s="538">
        <v>8.6506165045000003</v>
      </c>
      <c r="U19" s="539">
        <v>6270.3373986567003</v>
      </c>
      <c r="V19" s="538">
        <v>8.5653562265000005</v>
      </c>
    </row>
    <row r="20" spans="2:22" s="508" customFormat="1" ht="12.75" customHeight="1" x14ac:dyDescent="0.2">
      <c r="B20" s="95" t="s">
        <v>10</v>
      </c>
      <c r="C20" s="509"/>
      <c r="D20" s="279">
        <v>97494.1219003976</v>
      </c>
      <c r="E20" s="510"/>
      <c r="F20" s="279">
        <v>47678.075892179702</v>
      </c>
      <c r="G20" s="538">
        <v>51.638351223699999</v>
      </c>
      <c r="H20" s="510"/>
      <c r="I20" s="279">
        <v>7138.2662577499004</v>
      </c>
      <c r="J20" s="538">
        <v>7.7738935548999999</v>
      </c>
      <c r="K20" s="511"/>
      <c r="L20" s="279">
        <v>11563.713836565001</v>
      </c>
      <c r="M20" s="538">
        <v>12.6532617014</v>
      </c>
      <c r="N20" s="512"/>
      <c r="O20" s="279">
        <v>40381.915966299297</v>
      </c>
      <c r="P20" s="538">
        <v>43.999551855</v>
      </c>
      <c r="Q20" s="513"/>
      <c r="R20" s="539">
        <v>4283.3188102701997</v>
      </c>
      <c r="S20" s="538">
        <v>4.6725741803999998</v>
      </c>
      <c r="U20" s="539">
        <v>0</v>
      </c>
      <c r="V20" s="538">
        <v>0</v>
      </c>
    </row>
    <row r="21" spans="2:22" s="508" customFormat="1" ht="12.75" customHeight="1" x14ac:dyDescent="0.2">
      <c r="B21" s="95" t="s">
        <v>11</v>
      </c>
      <c r="C21" s="509"/>
      <c r="D21" s="279">
        <v>207939.33226505801</v>
      </c>
      <c r="E21" s="510"/>
      <c r="F21" s="279">
        <v>76540.968465645594</v>
      </c>
      <c r="G21" s="538">
        <v>39.391061337499998</v>
      </c>
      <c r="H21" s="510"/>
      <c r="I21" s="279">
        <v>75206.220305055307</v>
      </c>
      <c r="J21" s="538">
        <v>38.688920224199997</v>
      </c>
      <c r="K21" s="511"/>
      <c r="L21" s="279">
        <v>35584.4322360191</v>
      </c>
      <c r="M21" s="538">
        <v>18.375464130299999</v>
      </c>
      <c r="N21" s="512"/>
      <c r="O21" s="279">
        <v>107930.728259604</v>
      </c>
      <c r="P21" s="538">
        <v>55.637821563499998</v>
      </c>
      <c r="Q21" s="513"/>
      <c r="R21" s="539">
        <v>10693.9582792683</v>
      </c>
      <c r="S21" s="538">
        <v>5.6099264809999996</v>
      </c>
      <c r="U21" s="539">
        <v>4951.1659896532001</v>
      </c>
      <c r="V21" s="538">
        <v>2.5768607270000001</v>
      </c>
    </row>
    <row r="22" spans="2:22" s="508" customFormat="1" ht="12.75" customHeight="1" x14ac:dyDescent="0.2">
      <c r="B22" s="95" t="s">
        <v>12</v>
      </c>
      <c r="C22" s="509"/>
      <c r="D22" s="279">
        <v>52061.983229448299</v>
      </c>
      <c r="E22" s="510"/>
      <c r="F22" s="279">
        <v>18789.793541278599</v>
      </c>
      <c r="G22" s="538">
        <v>39.165947327600001</v>
      </c>
      <c r="H22" s="510"/>
      <c r="I22" s="279">
        <v>9152.5367088902003</v>
      </c>
      <c r="J22" s="538">
        <v>18.984055924500002</v>
      </c>
      <c r="K22" s="511"/>
      <c r="L22" s="279">
        <v>4977.2023634730003</v>
      </c>
      <c r="M22" s="538">
        <v>10.3760248947</v>
      </c>
      <c r="N22" s="512"/>
      <c r="O22" s="279">
        <v>24435.204767575</v>
      </c>
      <c r="P22" s="538">
        <v>49.5301511268</v>
      </c>
      <c r="Q22" s="513"/>
      <c r="R22" s="539">
        <v>4307.5161346212999</v>
      </c>
      <c r="S22" s="538">
        <v>9.1016381358</v>
      </c>
      <c r="U22" s="539">
        <v>2038.6979101618999</v>
      </c>
      <c r="V22" s="538">
        <v>4.2966065941</v>
      </c>
    </row>
    <row r="23" spans="2:22" s="508" customFormat="1" ht="12.75" customHeight="1" x14ac:dyDescent="0.2">
      <c r="B23" s="95" t="s">
        <v>13</v>
      </c>
      <c r="C23" s="509"/>
      <c r="D23" s="279">
        <v>117219.59247200401</v>
      </c>
      <c r="E23" s="510"/>
      <c r="F23" s="279">
        <v>50433.864747474603</v>
      </c>
      <c r="G23" s="538">
        <v>46.098579324500001</v>
      </c>
      <c r="H23" s="510"/>
      <c r="I23" s="279">
        <v>11385.6873986709</v>
      </c>
      <c r="J23" s="538">
        <v>10.535150051600001</v>
      </c>
      <c r="K23" s="511"/>
      <c r="L23" s="279">
        <v>10423.186187355301</v>
      </c>
      <c r="M23" s="538">
        <v>9.7968801168000006</v>
      </c>
      <c r="N23" s="512"/>
      <c r="O23" s="279">
        <v>50440.469114136802</v>
      </c>
      <c r="P23" s="538">
        <v>46.286902770600001</v>
      </c>
      <c r="Q23" s="513"/>
      <c r="R23" s="539">
        <v>6454.4042234121998</v>
      </c>
      <c r="S23" s="538">
        <v>6.0642369064999997</v>
      </c>
      <c r="U23" s="539">
        <v>9101.2378734289996</v>
      </c>
      <c r="V23" s="538">
        <v>8.4542596916000008</v>
      </c>
    </row>
    <row r="24" spans="2:22" s="508" customFormat="1" ht="12.75" customHeight="1" x14ac:dyDescent="0.2">
      <c r="B24" s="95" t="s">
        <v>14</v>
      </c>
      <c r="C24" s="509"/>
      <c r="D24" s="279">
        <v>55814.138159103102</v>
      </c>
      <c r="E24" s="510"/>
      <c r="F24" s="279">
        <v>6891.5490241173002</v>
      </c>
      <c r="G24" s="538">
        <v>13.401712595599999</v>
      </c>
      <c r="H24" s="510"/>
      <c r="I24" s="279">
        <v>6282.8295108386001</v>
      </c>
      <c r="J24" s="538">
        <v>12.723534126900001</v>
      </c>
      <c r="K24" s="511"/>
      <c r="L24" s="279">
        <v>5616.8720662784999</v>
      </c>
      <c r="M24" s="538">
        <v>11.2140205824</v>
      </c>
      <c r="N24" s="512"/>
      <c r="O24" s="279">
        <v>40117.370978079904</v>
      </c>
      <c r="P24" s="538">
        <v>76.262379514399996</v>
      </c>
      <c r="Q24" s="513"/>
      <c r="R24" s="539">
        <v>2942.2655602694999</v>
      </c>
      <c r="S24" s="538">
        <v>5.8476477355999998</v>
      </c>
      <c r="U24" s="539">
        <v>1536.6599572588</v>
      </c>
      <c r="V24" s="538">
        <v>3.0571325160999998</v>
      </c>
    </row>
    <row r="25" spans="2:22" s="508" customFormat="1" ht="12.75" customHeight="1" x14ac:dyDescent="0.2">
      <c r="B25" s="95" t="s">
        <v>15</v>
      </c>
      <c r="C25" s="509"/>
      <c r="D25" s="279">
        <v>51973.447254169303</v>
      </c>
      <c r="E25" s="510"/>
      <c r="F25" s="279">
        <v>13467.503982612099</v>
      </c>
      <c r="G25" s="538">
        <v>28.920405414600001</v>
      </c>
      <c r="H25" s="510"/>
      <c r="I25" s="279">
        <v>8925.4313052770995</v>
      </c>
      <c r="J25" s="538">
        <v>18.965559971899999</v>
      </c>
      <c r="K25" s="511"/>
      <c r="L25" s="279">
        <v>9415.1928071805996</v>
      </c>
      <c r="M25" s="538">
        <v>19.673761790699999</v>
      </c>
      <c r="N25" s="512"/>
      <c r="O25" s="279">
        <v>29840.656383014499</v>
      </c>
      <c r="P25" s="538">
        <v>62.567841169099999</v>
      </c>
      <c r="Q25" s="513"/>
      <c r="R25" s="539">
        <v>1545.3702357093</v>
      </c>
      <c r="S25" s="538">
        <v>3.3047640881999998</v>
      </c>
      <c r="U25" s="539">
        <v>2794.5694974509001</v>
      </c>
      <c r="V25" s="538">
        <v>6.0460075449000001</v>
      </c>
    </row>
    <row r="26" spans="2:22" s="508" customFormat="1" ht="12.75" customHeight="1" x14ac:dyDescent="0.2">
      <c r="B26" s="95" t="s">
        <v>16</v>
      </c>
      <c r="C26" s="509"/>
      <c r="D26" s="279">
        <v>317511.75911266002</v>
      </c>
      <c r="E26" s="510"/>
      <c r="F26" s="279">
        <v>188729.15754328901</v>
      </c>
      <c r="G26" s="538">
        <v>62.157888138899999</v>
      </c>
      <c r="H26" s="510"/>
      <c r="I26" s="279">
        <v>14809.6105049619</v>
      </c>
      <c r="J26" s="538">
        <v>5.0730135279999997</v>
      </c>
      <c r="K26" s="511"/>
      <c r="L26" s="279">
        <v>22891.582147737099</v>
      </c>
      <c r="M26" s="538">
        <v>7.7902465821</v>
      </c>
      <c r="N26" s="512"/>
      <c r="O26" s="279">
        <v>141530.072872338</v>
      </c>
      <c r="P26" s="538">
        <v>46.690299580500003</v>
      </c>
      <c r="Q26" s="513"/>
      <c r="R26" s="539">
        <v>35091.830252023101</v>
      </c>
      <c r="S26" s="538">
        <v>11.785624949100001</v>
      </c>
      <c r="U26" s="539">
        <v>3057.4507927558998</v>
      </c>
      <c r="V26" s="538">
        <v>1.0384545467999999</v>
      </c>
    </row>
    <row r="27" spans="2:22" s="508" customFormat="1" ht="12.75" customHeight="1" x14ac:dyDescent="0.2">
      <c r="B27" s="95" t="s">
        <v>17</v>
      </c>
      <c r="C27" s="509"/>
      <c r="D27" s="279">
        <v>245749.88296628199</v>
      </c>
      <c r="E27" s="510"/>
      <c r="F27" s="279">
        <v>100301.638504527</v>
      </c>
      <c r="G27" s="538">
        <v>45.047542160699997</v>
      </c>
      <c r="H27" s="510"/>
      <c r="I27" s="279">
        <v>16709.993743269399</v>
      </c>
      <c r="J27" s="538">
        <v>7.4728219730000003</v>
      </c>
      <c r="K27" s="511"/>
      <c r="L27" s="279">
        <v>8048.2895868133</v>
      </c>
      <c r="M27" s="538">
        <v>3.5814896639999998</v>
      </c>
      <c r="N27" s="512"/>
      <c r="O27" s="279">
        <v>128671.250246788</v>
      </c>
      <c r="P27" s="538">
        <v>56.850540926599997</v>
      </c>
      <c r="Q27" s="513"/>
      <c r="R27" s="539">
        <v>3975.2150013081</v>
      </c>
      <c r="S27" s="538">
        <v>1.8045925609</v>
      </c>
      <c r="U27" s="539">
        <v>27938.153397217498</v>
      </c>
      <c r="V27" s="538">
        <v>12.5460812632</v>
      </c>
    </row>
    <row r="28" spans="2:22" s="508" customFormat="1" ht="12.75" customHeight="1" x14ac:dyDescent="0.2">
      <c r="B28" s="95" t="s">
        <v>18</v>
      </c>
      <c r="C28" s="509"/>
      <c r="D28" s="279">
        <v>110619.666452114</v>
      </c>
      <c r="E28" s="510"/>
      <c r="F28" s="279">
        <v>45648.313052322701</v>
      </c>
      <c r="G28" s="538">
        <v>44.230824920800003</v>
      </c>
      <c r="H28" s="510"/>
      <c r="I28" s="279">
        <v>11541.475668901299</v>
      </c>
      <c r="J28" s="538">
        <v>11.863690779800001</v>
      </c>
      <c r="K28" s="511"/>
      <c r="L28" s="279">
        <v>9767.2473098535993</v>
      </c>
      <c r="M28" s="538">
        <v>10.265252762199999</v>
      </c>
      <c r="N28" s="512"/>
      <c r="O28" s="279">
        <v>58847.879170430198</v>
      </c>
      <c r="P28" s="538">
        <v>59.052754102100003</v>
      </c>
      <c r="Q28" s="513"/>
      <c r="R28" s="539">
        <v>9549.6677567875995</v>
      </c>
      <c r="S28" s="538">
        <v>9.9140465493000001</v>
      </c>
      <c r="U28" s="539">
        <v>3254.3399978921002</v>
      </c>
      <c r="V28" s="538">
        <v>3.4359194998000002</v>
      </c>
    </row>
    <row r="29" spans="2:22" s="508" customFormat="1" ht="12.75" customHeight="1" x14ac:dyDescent="0.2">
      <c r="B29" s="95" t="s">
        <v>19</v>
      </c>
      <c r="C29" s="509"/>
      <c r="D29" s="279">
        <v>29202.629438434898</v>
      </c>
      <c r="E29" s="510"/>
      <c r="F29" s="279">
        <v>7917.6420438726</v>
      </c>
      <c r="G29" s="538">
        <v>29.933446209900001</v>
      </c>
      <c r="H29" s="510"/>
      <c r="I29" s="279">
        <v>5080.3796275967998</v>
      </c>
      <c r="J29" s="538">
        <v>19.194864939399999</v>
      </c>
      <c r="K29" s="511"/>
      <c r="L29" s="279">
        <v>846.35316062449999</v>
      </c>
      <c r="M29" s="538">
        <v>3.2018431252999999</v>
      </c>
      <c r="N29" s="512"/>
      <c r="O29" s="279">
        <v>18034.593830086302</v>
      </c>
      <c r="P29" s="538">
        <v>66.889256899200007</v>
      </c>
      <c r="Q29" s="513"/>
      <c r="R29" s="539">
        <v>1127.6758802986999</v>
      </c>
      <c r="S29" s="538">
        <v>4.2843459963999999</v>
      </c>
      <c r="U29" s="539">
        <v>2453.4978162786001</v>
      </c>
      <c r="V29" s="538">
        <v>9.1806002588000002</v>
      </c>
    </row>
    <row r="30" spans="2:22" s="508" customFormat="1" ht="12.75" customHeight="1" x14ac:dyDescent="0.2">
      <c r="B30" s="95" t="s">
        <v>20</v>
      </c>
      <c r="C30" s="509"/>
      <c r="D30" s="279">
        <v>44936.414763671703</v>
      </c>
      <c r="E30" s="510"/>
      <c r="F30" s="279">
        <v>13685.609190225699</v>
      </c>
      <c r="G30" s="538">
        <v>32.263996004500001</v>
      </c>
      <c r="H30" s="510"/>
      <c r="I30" s="279">
        <v>7976.0501833965</v>
      </c>
      <c r="J30" s="538">
        <v>19.008247244700001</v>
      </c>
      <c r="K30" s="511"/>
      <c r="L30" s="279">
        <v>2388.5195201613001</v>
      </c>
      <c r="M30" s="538">
        <v>5.9591668050999997</v>
      </c>
      <c r="N30" s="512"/>
      <c r="O30" s="279">
        <v>20894.1350863644</v>
      </c>
      <c r="P30" s="538">
        <v>51.1258110152</v>
      </c>
      <c r="Q30" s="513"/>
      <c r="R30" s="539">
        <v>2201.3874070480001</v>
      </c>
      <c r="S30" s="538">
        <v>5.4855699927000003</v>
      </c>
      <c r="U30" s="539">
        <v>2226.7206524707999</v>
      </c>
      <c r="V30" s="538">
        <v>5.5139267292999996</v>
      </c>
    </row>
    <row r="31" spans="2:22" s="508" customFormat="1" ht="12.75" customHeight="1" x14ac:dyDescent="0.2">
      <c r="B31" s="95" t="s">
        <v>21</v>
      </c>
      <c r="C31" s="509"/>
      <c r="D31" s="279">
        <v>228529.87533276301</v>
      </c>
      <c r="E31" s="510"/>
      <c r="F31" s="279">
        <v>140312.245465149</v>
      </c>
      <c r="G31" s="538">
        <v>65.315113221800004</v>
      </c>
      <c r="H31" s="510"/>
      <c r="I31" s="279">
        <v>15908.651753931401</v>
      </c>
      <c r="J31" s="538">
        <v>7.5302997700000001</v>
      </c>
      <c r="K31" s="511"/>
      <c r="L31" s="279">
        <v>14069.288549736601</v>
      </c>
      <c r="M31" s="538">
        <v>6.5943994500000001</v>
      </c>
      <c r="N31" s="512"/>
      <c r="O31" s="279">
        <v>63288.580546855002</v>
      </c>
      <c r="P31" s="538">
        <v>29.294818500600002</v>
      </c>
      <c r="Q31" s="513"/>
      <c r="R31" s="539">
        <v>4918.8484153560003</v>
      </c>
      <c r="S31" s="538">
        <v>2.3215036351</v>
      </c>
      <c r="U31" s="539">
        <v>14256.176023100999</v>
      </c>
      <c r="V31" s="538">
        <v>6.6498318277999999</v>
      </c>
    </row>
    <row r="32" spans="2:22" s="508" customFormat="1" ht="12.75" customHeight="1" x14ac:dyDescent="0.2">
      <c r="B32" s="95" t="s">
        <v>22</v>
      </c>
      <c r="C32" s="509"/>
      <c r="D32" s="279">
        <v>85644.643141977896</v>
      </c>
      <c r="E32" s="510"/>
      <c r="F32" s="279">
        <v>10312.0292941964</v>
      </c>
      <c r="G32" s="538">
        <v>13.678584537600001</v>
      </c>
      <c r="H32" s="510"/>
      <c r="I32" s="279">
        <v>5744.2747816127003</v>
      </c>
      <c r="J32" s="538">
        <v>7.6710851176999997</v>
      </c>
      <c r="K32" s="511"/>
      <c r="L32" s="279">
        <v>11629.9282570542</v>
      </c>
      <c r="M32" s="538">
        <v>15.2551665443</v>
      </c>
      <c r="N32" s="512"/>
      <c r="O32" s="279">
        <v>65445.301056371303</v>
      </c>
      <c r="P32" s="538">
        <v>80.974611335299997</v>
      </c>
      <c r="Q32" s="513"/>
      <c r="R32" s="539">
        <v>2574.8211846648001</v>
      </c>
      <c r="S32" s="538">
        <v>3.4332892763</v>
      </c>
      <c r="U32" s="539">
        <v>0</v>
      </c>
      <c r="V32" s="538">
        <v>0</v>
      </c>
    </row>
    <row r="33" spans="2:22" s="508" customFormat="1" ht="12.75" customHeight="1" x14ac:dyDescent="0.2">
      <c r="B33" s="95" t="s">
        <v>23</v>
      </c>
      <c r="C33" s="509"/>
      <c r="D33" s="279">
        <v>83805.017769934799</v>
      </c>
      <c r="E33" s="510"/>
      <c r="F33" s="279">
        <v>30144.384575767999</v>
      </c>
      <c r="G33" s="538">
        <v>39.257314700400002</v>
      </c>
      <c r="H33" s="510"/>
      <c r="I33" s="279">
        <v>8037.1312704010998</v>
      </c>
      <c r="J33" s="538">
        <v>10.495639994299999</v>
      </c>
      <c r="K33" s="511"/>
      <c r="L33" s="279">
        <v>0</v>
      </c>
      <c r="M33" s="538">
        <v>0</v>
      </c>
      <c r="N33" s="512"/>
      <c r="O33" s="279">
        <v>44136.767556812199</v>
      </c>
      <c r="P33" s="538">
        <v>56.661910364199997</v>
      </c>
      <c r="Q33" s="513"/>
      <c r="R33" s="539">
        <v>10315.875367283001</v>
      </c>
      <c r="S33" s="538">
        <v>13.4235005495</v>
      </c>
      <c r="U33" s="539">
        <v>0</v>
      </c>
      <c r="V33" s="538">
        <v>0</v>
      </c>
    </row>
    <row r="34" spans="2:22" s="508" customFormat="1" ht="12.75" customHeight="1" x14ac:dyDescent="0.2">
      <c r="B34" s="95" t="s">
        <v>24</v>
      </c>
      <c r="C34" s="509"/>
      <c r="D34" s="279">
        <v>83493.579120331604</v>
      </c>
      <c r="E34" s="510"/>
      <c r="F34" s="279">
        <v>34322.3139166607</v>
      </c>
      <c r="G34" s="538">
        <v>45.006733440700003</v>
      </c>
      <c r="H34" s="510"/>
      <c r="I34" s="279">
        <v>8315.3558468584997</v>
      </c>
      <c r="J34" s="538">
        <v>11.5966446116</v>
      </c>
      <c r="K34" s="511"/>
      <c r="L34" s="279">
        <v>13024.4435556056</v>
      </c>
      <c r="M34" s="538">
        <v>17.720228860500001</v>
      </c>
      <c r="N34" s="512"/>
      <c r="O34" s="279">
        <v>37070.293777794803</v>
      </c>
      <c r="P34" s="538">
        <v>49.6527762626</v>
      </c>
      <c r="Q34" s="513"/>
      <c r="R34" s="539">
        <v>1528.5100125076999</v>
      </c>
      <c r="S34" s="538">
        <v>2.121302961</v>
      </c>
      <c r="U34" s="539">
        <v>4407.5981004468003</v>
      </c>
      <c r="V34" s="538">
        <v>6.1395748364999996</v>
      </c>
    </row>
    <row r="35" spans="2:22" s="508" customFormat="1" ht="12.75" customHeight="1" x14ac:dyDescent="0.2">
      <c r="B35" s="95" t="s">
        <v>25</v>
      </c>
      <c r="C35" s="509"/>
      <c r="D35" s="279">
        <v>60261.430122796999</v>
      </c>
      <c r="E35" s="510"/>
      <c r="F35" s="279">
        <v>29813.071467254202</v>
      </c>
      <c r="G35" s="538">
        <v>53.805276980499997</v>
      </c>
      <c r="H35" s="510"/>
      <c r="I35" s="279">
        <v>6010.2633508300996</v>
      </c>
      <c r="J35" s="538">
        <v>10.786580730900001</v>
      </c>
      <c r="K35" s="511"/>
      <c r="L35" s="279">
        <v>2951.2736664005001</v>
      </c>
      <c r="M35" s="538">
        <v>5.2835832280000004</v>
      </c>
      <c r="N35" s="512"/>
      <c r="O35" s="279">
        <v>26772.683248539601</v>
      </c>
      <c r="P35" s="538">
        <v>46.273781258299998</v>
      </c>
      <c r="Q35" s="513"/>
      <c r="R35" s="539">
        <v>3022.4449392716001</v>
      </c>
      <c r="S35" s="538">
        <v>5.4399987161999999</v>
      </c>
      <c r="U35" s="539">
        <v>2331.8748606825002</v>
      </c>
      <c r="V35" s="538">
        <v>4.2316488046999998</v>
      </c>
    </row>
    <row r="36" spans="2:22" s="508" customFormat="1" ht="12.75" customHeight="1" x14ac:dyDescent="0.2">
      <c r="B36" s="95" t="s">
        <v>26</v>
      </c>
      <c r="C36" s="509"/>
      <c r="D36" s="279">
        <v>57947.4789793608</v>
      </c>
      <c r="E36" s="510"/>
      <c r="F36" s="279">
        <v>25329.163850358898</v>
      </c>
      <c r="G36" s="538">
        <v>47.058811712699999</v>
      </c>
      <c r="H36" s="510"/>
      <c r="I36" s="279">
        <v>5251.8887434181997</v>
      </c>
      <c r="J36" s="538">
        <v>9.6394953306000009</v>
      </c>
      <c r="K36" s="511"/>
      <c r="L36" s="279">
        <v>5579.0059616019998</v>
      </c>
      <c r="M36" s="538">
        <v>10.4544067411</v>
      </c>
      <c r="N36" s="512"/>
      <c r="O36" s="279">
        <v>26476.972577999401</v>
      </c>
      <c r="P36" s="538">
        <v>48.718359957799997</v>
      </c>
      <c r="Q36" s="513"/>
      <c r="R36" s="539">
        <v>2789.4456731390001</v>
      </c>
      <c r="S36" s="538">
        <v>5.2117977070999997</v>
      </c>
      <c r="U36" s="539">
        <v>3891.9432799761998</v>
      </c>
      <c r="V36" s="538">
        <v>7.1734917045</v>
      </c>
    </row>
    <row r="37" spans="2:22" s="508" customFormat="1" ht="12.75" customHeight="1" x14ac:dyDescent="0.2">
      <c r="B37" s="95" t="s">
        <v>27</v>
      </c>
      <c r="C37" s="509"/>
      <c r="D37" s="279">
        <v>70872.055599581203</v>
      </c>
      <c r="E37" s="510"/>
      <c r="F37" s="279">
        <v>30836.282968592699</v>
      </c>
      <c r="G37" s="538">
        <v>46.291229753800003</v>
      </c>
      <c r="H37" s="510"/>
      <c r="I37" s="279">
        <v>15688.0873008501</v>
      </c>
      <c r="J37" s="538">
        <v>23.575758198799999</v>
      </c>
      <c r="K37" s="511"/>
      <c r="L37" s="279">
        <v>9364.1982531168997</v>
      </c>
      <c r="M37" s="538">
        <v>14.1800969585</v>
      </c>
      <c r="N37" s="512"/>
      <c r="O37" s="279">
        <v>29586.0237383528</v>
      </c>
      <c r="P37" s="538">
        <v>44.174725367900002</v>
      </c>
      <c r="Q37" s="513"/>
      <c r="R37" s="539">
        <v>6318.7089581596001</v>
      </c>
      <c r="S37" s="538">
        <v>9.6486294565000001</v>
      </c>
      <c r="U37" s="539">
        <v>4648.4990775407996</v>
      </c>
      <c r="V37" s="538">
        <v>7.1718728943999999</v>
      </c>
    </row>
    <row r="38" spans="2:22" s="508" customFormat="1" ht="12.75" customHeight="1" x14ac:dyDescent="0.2">
      <c r="B38" s="95" t="s">
        <v>28</v>
      </c>
      <c r="C38" s="509"/>
      <c r="D38" s="279">
        <v>130348.844676715</v>
      </c>
      <c r="E38" s="510"/>
      <c r="F38" s="279">
        <v>62546.722941031199</v>
      </c>
      <c r="G38" s="538">
        <v>51.1763849576</v>
      </c>
      <c r="H38" s="510"/>
      <c r="I38" s="279">
        <v>14704.1947198373</v>
      </c>
      <c r="J38" s="538">
        <v>12.1283466582</v>
      </c>
      <c r="K38" s="511"/>
      <c r="L38" s="279">
        <v>11014.0010103725</v>
      </c>
      <c r="M38" s="538">
        <v>9.1879056032000008</v>
      </c>
      <c r="N38" s="512"/>
      <c r="O38" s="279">
        <v>47535.509056520001</v>
      </c>
      <c r="P38" s="538">
        <v>39.089028526200003</v>
      </c>
      <c r="Q38" s="513"/>
      <c r="R38" s="539">
        <v>5535.7082944615004</v>
      </c>
      <c r="S38" s="538">
        <v>4.6062023072000002</v>
      </c>
      <c r="U38" s="539">
        <v>5739.4417243886001</v>
      </c>
      <c r="V38" s="538">
        <v>4.7151684799</v>
      </c>
    </row>
    <row r="39" spans="2:22" s="508" customFormat="1" ht="12.75" customHeight="1" x14ac:dyDescent="0.2">
      <c r="B39" s="95" t="s">
        <v>29</v>
      </c>
      <c r="C39" s="509"/>
      <c r="D39" s="279">
        <v>60958.294376071499</v>
      </c>
      <c r="E39" s="510"/>
      <c r="F39" s="279">
        <v>12458.1630343375</v>
      </c>
      <c r="G39" s="538">
        <v>22.940044476299999</v>
      </c>
      <c r="H39" s="510"/>
      <c r="I39" s="279">
        <v>10563.8200168369</v>
      </c>
      <c r="J39" s="538">
        <v>19.461846048000002</v>
      </c>
      <c r="K39" s="511"/>
      <c r="L39" s="279">
        <v>7527.7812904534003</v>
      </c>
      <c r="M39" s="538">
        <v>13.775676406300001</v>
      </c>
      <c r="N39" s="512"/>
      <c r="O39" s="279">
        <v>30889.597584215298</v>
      </c>
      <c r="P39" s="538">
        <v>54.677246057200001</v>
      </c>
      <c r="Q39" s="513"/>
      <c r="R39" s="539">
        <v>2255.0748172723002</v>
      </c>
      <c r="S39" s="538">
        <v>4.1012761681000001</v>
      </c>
      <c r="U39" s="539">
        <v>2767.5714436999001</v>
      </c>
      <c r="V39" s="538">
        <v>5.0567645959999998</v>
      </c>
    </row>
    <row r="40" spans="2:22" s="508" customFormat="1" ht="12.75" customHeight="1" x14ac:dyDescent="0.2">
      <c r="B40" s="95" t="s">
        <v>30</v>
      </c>
      <c r="C40" s="509"/>
      <c r="D40" s="279">
        <v>115544.217259397</v>
      </c>
      <c r="E40" s="510"/>
      <c r="F40" s="279">
        <v>53458.277226155398</v>
      </c>
      <c r="G40" s="538">
        <v>49.082726534999999</v>
      </c>
      <c r="H40" s="510"/>
      <c r="I40" s="279">
        <v>13760.611962467599</v>
      </c>
      <c r="J40" s="538">
        <v>12.8537103649</v>
      </c>
      <c r="K40" s="511"/>
      <c r="L40" s="279">
        <v>7993.7216470091998</v>
      </c>
      <c r="M40" s="538">
        <v>7.4475176423000002</v>
      </c>
      <c r="N40" s="512"/>
      <c r="O40" s="279">
        <v>47864.957170244503</v>
      </c>
      <c r="P40" s="538">
        <v>43.823162973800002</v>
      </c>
      <c r="Q40" s="513"/>
      <c r="R40" s="539">
        <v>4219.7130896427998</v>
      </c>
      <c r="S40" s="538">
        <v>3.9165864949000002</v>
      </c>
      <c r="U40" s="539">
        <v>8022.9884245213998</v>
      </c>
      <c r="V40" s="538">
        <v>7.4482014284</v>
      </c>
    </row>
    <row r="41" spans="2:22" s="508" customFormat="1" ht="12.75" customHeight="1" x14ac:dyDescent="0.2">
      <c r="B41" s="95" t="s">
        <v>31</v>
      </c>
      <c r="C41" s="509"/>
      <c r="D41" s="279">
        <v>12239.7037674487</v>
      </c>
      <c r="E41" s="510"/>
      <c r="F41" s="279">
        <v>2832.1500704714999</v>
      </c>
      <c r="G41" s="538">
        <v>24.9808670217</v>
      </c>
      <c r="H41" s="510"/>
      <c r="I41" s="279">
        <v>0</v>
      </c>
      <c r="J41" s="538">
        <v>0</v>
      </c>
      <c r="K41" s="511"/>
      <c r="L41" s="279">
        <v>551.93456088089999</v>
      </c>
      <c r="M41" s="538">
        <v>5.4029125206000002</v>
      </c>
      <c r="N41" s="512"/>
      <c r="O41" s="279">
        <v>7768.3965613729997</v>
      </c>
      <c r="P41" s="538">
        <v>67.513066780399996</v>
      </c>
      <c r="Q41" s="513"/>
      <c r="R41" s="539">
        <v>0</v>
      </c>
      <c r="S41" s="538">
        <v>0</v>
      </c>
      <c r="U41" s="539">
        <v>1362.383016813</v>
      </c>
      <c r="V41" s="538">
        <v>11.8763755431</v>
      </c>
    </row>
    <row r="42" spans="2:22" s="508" customFormat="1" ht="12.75" customHeight="1" x14ac:dyDescent="0.2">
      <c r="B42" s="95" t="s">
        <v>32</v>
      </c>
      <c r="C42" s="509"/>
      <c r="D42" s="279">
        <v>155398.224768927</v>
      </c>
      <c r="E42" s="510"/>
      <c r="F42" s="279">
        <v>45073.016440048603</v>
      </c>
      <c r="G42" s="538">
        <v>31.616128350499999</v>
      </c>
      <c r="H42" s="510"/>
      <c r="I42" s="279">
        <v>14604.2587904465</v>
      </c>
      <c r="J42" s="538">
        <v>10.4881808588</v>
      </c>
      <c r="K42" s="511"/>
      <c r="L42" s="279">
        <v>20021.825390728802</v>
      </c>
      <c r="M42" s="538">
        <v>14.101399520799999</v>
      </c>
      <c r="N42" s="512"/>
      <c r="O42" s="279">
        <v>69327.976349415898</v>
      </c>
      <c r="P42" s="538">
        <v>49.749876795600002</v>
      </c>
      <c r="Q42" s="513"/>
      <c r="R42" s="539">
        <v>11582.235316844301</v>
      </c>
      <c r="S42" s="538">
        <v>8.3542461083999999</v>
      </c>
      <c r="U42" s="539">
        <v>7571.9956439357002</v>
      </c>
      <c r="V42" s="538">
        <v>5.4744563594000004</v>
      </c>
    </row>
    <row r="43" spans="2:22" s="508" customFormat="1" ht="12.75" customHeight="1" x14ac:dyDescent="0.2">
      <c r="B43" s="95" t="s">
        <v>33</v>
      </c>
      <c r="C43" s="509"/>
      <c r="D43" s="279">
        <v>94932.431848099499</v>
      </c>
      <c r="E43" s="510"/>
      <c r="F43" s="279">
        <v>34623.641318243797</v>
      </c>
      <c r="G43" s="538">
        <v>39.491372011700001</v>
      </c>
      <c r="H43" s="510"/>
      <c r="I43" s="279">
        <v>6784.2860719504997</v>
      </c>
      <c r="J43" s="538">
        <v>7.7226008777999997</v>
      </c>
      <c r="K43" s="511"/>
      <c r="L43" s="279">
        <v>8651.8697668283003</v>
      </c>
      <c r="M43" s="538">
        <v>9.8520825523000006</v>
      </c>
      <c r="N43" s="512"/>
      <c r="O43" s="279">
        <v>42819.608352297997</v>
      </c>
      <c r="P43" s="538">
        <v>47.725163228</v>
      </c>
      <c r="Q43" s="513"/>
      <c r="R43" s="539">
        <v>7946.2386309231997</v>
      </c>
      <c r="S43" s="538">
        <v>9.0798493447999995</v>
      </c>
      <c r="U43" s="539">
        <v>5380.8168158834997</v>
      </c>
      <c r="V43" s="538">
        <v>6.1202788567999997</v>
      </c>
    </row>
    <row r="44" spans="2:22" s="508" customFormat="1" ht="12.75" customHeight="1" x14ac:dyDescent="0.2">
      <c r="B44" s="95" t="s">
        <v>34</v>
      </c>
      <c r="C44" s="509"/>
      <c r="D44" s="279">
        <v>49515.189313489602</v>
      </c>
      <c r="E44" s="510"/>
      <c r="F44" s="279">
        <v>10855.1406724145</v>
      </c>
      <c r="G44" s="538">
        <v>23.945442167700001</v>
      </c>
      <c r="H44" s="510"/>
      <c r="I44" s="279">
        <v>7788.7053683945996</v>
      </c>
      <c r="J44" s="538">
        <v>17.830632882</v>
      </c>
      <c r="K44" s="511"/>
      <c r="L44" s="279">
        <v>6241.5488138417004</v>
      </c>
      <c r="M44" s="538">
        <v>13.61040264</v>
      </c>
      <c r="N44" s="512"/>
      <c r="O44" s="279">
        <v>27652.593573496499</v>
      </c>
      <c r="P44" s="538">
        <v>61.243367524600004</v>
      </c>
      <c r="Q44" s="513"/>
      <c r="R44" s="539">
        <v>3402.9259947034002</v>
      </c>
      <c r="S44" s="538">
        <v>7.7354944798999998</v>
      </c>
      <c r="U44" s="539">
        <v>2110.2462281244998</v>
      </c>
      <c r="V44" s="538">
        <v>4.8475680885000001</v>
      </c>
    </row>
    <row r="45" spans="2:22" ht="6" customHeight="1" x14ac:dyDescent="0.25">
      <c r="B45" s="514"/>
      <c r="C45" s="515"/>
      <c r="D45" s="264"/>
      <c r="E45" s="516"/>
      <c r="F45" s="264"/>
      <c r="G45" s="517"/>
      <c r="H45" s="517"/>
      <c r="I45" s="264"/>
      <c r="J45" s="517"/>
      <c r="K45" s="518"/>
      <c r="L45" s="264"/>
      <c r="M45" s="517"/>
      <c r="N45" s="519"/>
      <c r="O45" s="264"/>
      <c r="P45" s="517"/>
      <c r="Q45" s="517"/>
      <c r="R45" s="517"/>
      <c r="S45" s="517"/>
      <c r="T45" s="517"/>
      <c r="U45" s="517"/>
      <c r="V45" s="517"/>
    </row>
    <row r="46" spans="2:22" ht="6" customHeight="1" x14ac:dyDescent="0.25">
      <c r="B46" s="228"/>
      <c r="C46" s="492"/>
      <c r="D46" s="145"/>
      <c r="E46" s="521"/>
      <c r="F46" s="145"/>
      <c r="G46" s="522"/>
      <c r="H46" s="522"/>
      <c r="I46" s="145"/>
      <c r="J46" s="522"/>
      <c r="K46" s="523"/>
      <c r="L46" s="145"/>
      <c r="M46" s="522"/>
      <c r="N46" s="524"/>
      <c r="O46" s="145"/>
      <c r="P46" s="522"/>
      <c r="Q46" s="525"/>
      <c r="R46" s="494"/>
      <c r="S46" s="494"/>
      <c r="T46" s="494"/>
      <c r="U46" s="494"/>
      <c r="V46" s="494"/>
    </row>
    <row r="47" spans="2:22" ht="12.75" customHeight="1" x14ac:dyDescent="0.25">
      <c r="B47" s="273" t="s">
        <v>93</v>
      </c>
      <c r="C47" s="492"/>
      <c r="D47" s="145"/>
      <c r="E47" s="521"/>
      <c r="F47" s="145"/>
      <c r="G47" s="522"/>
      <c r="H47" s="522"/>
      <c r="I47" s="145"/>
      <c r="J47" s="522"/>
      <c r="K47" s="523"/>
      <c r="L47" s="145"/>
      <c r="M47" s="522"/>
      <c r="N47" s="524"/>
      <c r="O47" s="145"/>
      <c r="P47" s="522"/>
      <c r="Q47" s="525"/>
      <c r="R47" s="494"/>
      <c r="S47" s="494"/>
      <c r="T47" s="494"/>
      <c r="U47" s="494"/>
      <c r="V47" s="494"/>
    </row>
    <row r="48" spans="2:22" s="533" customFormat="1" ht="12.75" customHeight="1" x14ac:dyDescent="0.25">
      <c r="B48" s="20" t="s">
        <v>178</v>
      </c>
      <c r="C48" s="526"/>
      <c r="D48" s="145"/>
      <c r="E48" s="527"/>
      <c r="F48" s="145"/>
      <c r="G48" s="528"/>
      <c r="H48" s="528"/>
      <c r="I48" s="145"/>
      <c r="J48" s="528"/>
      <c r="K48" s="529"/>
      <c r="L48" s="145"/>
      <c r="M48" s="528"/>
      <c r="N48" s="530"/>
      <c r="O48" s="145"/>
      <c r="P48" s="528"/>
      <c r="Q48" s="531"/>
      <c r="R48" s="532"/>
      <c r="S48" s="532"/>
      <c r="T48" s="532"/>
      <c r="U48" s="532"/>
      <c r="V48" s="532"/>
    </row>
    <row r="49" spans="2:22" ht="12" customHeight="1" x14ac:dyDescent="0.25">
      <c r="B49" s="20" t="s">
        <v>179</v>
      </c>
      <c r="C49" s="492"/>
      <c r="D49" s="145"/>
      <c r="E49" s="521"/>
      <c r="F49" s="145"/>
      <c r="G49" s="522"/>
      <c r="H49" s="522"/>
      <c r="I49" s="145"/>
      <c r="J49" s="522"/>
      <c r="K49" s="523"/>
      <c r="L49" s="145"/>
      <c r="M49" s="522"/>
      <c r="N49" s="524"/>
      <c r="O49" s="145"/>
      <c r="P49" s="522"/>
      <c r="Q49" s="525"/>
      <c r="R49" s="494"/>
      <c r="S49" s="494"/>
      <c r="T49" s="494"/>
      <c r="U49" s="494"/>
      <c r="V49" s="494"/>
    </row>
    <row r="50" spans="2:22" ht="12" customHeight="1" x14ac:dyDescent="0.25">
      <c r="B50" s="20" t="s">
        <v>180</v>
      </c>
      <c r="C50" s="492"/>
      <c r="D50" s="145"/>
      <c r="E50" s="521"/>
      <c r="F50" s="145"/>
      <c r="G50" s="522"/>
      <c r="H50" s="522"/>
      <c r="I50" s="145"/>
      <c r="J50" s="522"/>
      <c r="K50" s="523"/>
      <c r="L50" s="145"/>
      <c r="M50" s="522"/>
      <c r="N50" s="524"/>
      <c r="O50" s="145"/>
      <c r="P50" s="522"/>
      <c r="Q50" s="525"/>
      <c r="R50" s="494"/>
      <c r="S50" s="494"/>
      <c r="T50" s="494"/>
      <c r="U50" s="494"/>
      <c r="V50" s="494"/>
    </row>
    <row r="51" spans="2:22" s="13" customFormat="1" ht="14.25" x14ac:dyDescent="0.2">
      <c r="B51" s="146" t="s">
        <v>181</v>
      </c>
      <c r="C51" s="147"/>
      <c r="D51" s="147"/>
      <c r="E51" s="147"/>
      <c r="F51" s="147"/>
      <c r="G51" s="147"/>
      <c r="H51" s="147"/>
      <c r="I51" s="147"/>
      <c r="J51" s="147"/>
      <c r="K51" s="147"/>
      <c r="L51" s="147"/>
      <c r="M51" s="147"/>
      <c r="N51" s="147"/>
      <c r="O51" s="147"/>
      <c r="P51" s="147"/>
      <c r="Q51" s="147"/>
      <c r="R51" s="147"/>
      <c r="S51" s="147"/>
      <c r="T51" s="147"/>
      <c r="U51" s="147"/>
      <c r="V51" s="147"/>
    </row>
  </sheetData>
  <mergeCells count="10">
    <mergeCell ref="B5:N5"/>
    <mergeCell ref="B7:C9"/>
    <mergeCell ref="D7:D9"/>
    <mergeCell ref="F7:S7"/>
    <mergeCell ref="U7:V8"/>
    <mergeCell ref="F8:G8"/>
    <mergeCell ref="I8:J8"/>
    <mergeCell ref="L8:M8"/>
    <mergeCell ref="O8:P8"/>
    <mergeCell ref="R8:S8"/>
  </mergeCells>
  <hyperlinks>
    <hyperlink ref="V1" location="Índice!A1" tooltip="Ir a ÍNDICE" display="INDICE" xr:uid="{4D228F3E-ED16-40F1-B6D8-7FB85A907BC0}"/>
  </hyperlinks>
  <pageMargins left="0.70866141732283472" right="0.70866141732283472" top="0.74803149606299213" bottom="0.74803149606299213" header="0.31496062992125984" footer="0.31496062992125984"/>
  <pageSetup orientation="portrait" verticalDpi="12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59F7B9-D945-4910-AE3D-8C591C418AE5}">
  <dimension ref="B1:S52"/>
  <sheetViews>
    <sheetView showGridLines="0" zoomScaleNormal="100" workbookViewId="0"/>
  </sheetViews>
  <sheetFormatPr baseColWidth="10" defaultColWidth="11.42578125" defaultRowHeight="15" x14ac:dyDescent="0.25"/>
  <cols>
    <col min="1" max="1" width="1.7109375" style="547" customWidth="1"/>
    <col min="2" max="2" width="24.28515625" style="547" customWidth="1"/>
    <col min="3" max="3" width="0.85546875" style="567" customWidth="1"/>
    <col min="4" max="4" width="20.7109375" style="567" customWidth="1"/>
    <col min="5" max="5" width="0.85546875" style="567" customWidth="1"/>
    <col min="6" max="6" width="25.7109375" style="567" customWidth="1"/>
    <col min="7" max="7" width="2" style="567" customWidth="1"/>
    <col min="8" max="8" width="18.7109375" style="547" customWidth="1"/>
    <col min="9" max="9" width="1.7109375" style="547" customWidth="1"/>
    <col min="10" max="10" width="18.7109375" style="547" customWidth="1"/>
    <col min="11" max="16384" width="11.42578125" style="547"/>
  </cols>
  <sheetData>
    <row r="1" spans="2:19" s="541" customFormat="1" ht="12" customHeight="1" x14ac:dyDescent="0.2">
      <c r="B1" s="639" t="s">
        <v>202</v>
      </c>
      <c r="J1" s="72" t="s">
        <v>151</v>
      </c>
    </row>
    <row r="2" spans="2:19" s="541" customFormat="1" ht="6.95" customHeight="1" x14ac:dyDescent="0.2">
      <c r="B2" s="639"/>
    </row>
    <row r="3" spans="2:19" s="541" customFormat="1" ht="15" customHeight="1" x14ac:dyDescent="0.2">
      <c r="B3" s="639" t="s">
        <v>199</v>
      </c>
      <c r="C3" s="540"/>
      <c r="D3" s="540"/>
      <c r="E3" s="540"/>
      <c r="F3" s="540"/>
      <c r="G3" s="540"/>
      <c r="H3" s="540"/>
      <c r="I3" s="540"/>
      <c r="J3" s="540"/>
      <c r="K3" s="540"/>
      <c r="L3" s="540"/>
      <c r="M3" s="540"/>
      <c r="N3" s="540"/>
      <c r="O3" s="540"/>
      <c r="P3" s="540"/>
      <c r="Q3" s="540"/>
      <c r="R3" s="540"/>
      <c r="S3" s="540"/>
    </row>
    <row r="4" spans="2:19" s="541" customFormat="1" ht="6.95" customHeight="1" x14ac:dyDescent="0.2">
      <c r="C4" s="542"/>
      <c r="D4" s="542"/>
      <c r="E4" s="542"/>
      <c r="F4" s="542"/>
      <c r="G4" s="542"/>
    </row>
    <row r="5" spans="2:19" s="541" customFormat="1" ht="38.25" customHeight="1" x14ac:dyDescent="0.2">
      <c r="B5" s="728" t="s">
        <v>170</v>
      </c>
      <c r="C5" s="728"/>
      <c r="D5" s="728"/>
      <c r="E5" s="728"/>
      <c r="F5" s="728"/>
      <c r="G5" s="728"/>
      <c r="H5" s="728"/>
      <c r="I5" s="57"/>
      <c r="J5" s="71" t="s">
        <v>118</v>
      </c>
      <c r="K5" s="543"/>
      <c r="L5" s="543"/>
    </row>
    <row r="6" spans="2:19" ht="6" customHeight="1" x14ac:dyDescent="0.25">
      <c r="B6" s="544"/>
      <c r="C6" s="545"/>
      <c r="D6" s="545"/>
      <c r="E6" s="545"/>
      <c r="F6" s="545"/>
      <c r="G6" s="545"/>
      <c r="H6" s="546"/>
      <c r="I6" s="546"/>
      <c r="J6" s="546"/>
      <c r="K6" s="546"/>
      <c r="L6" s="546"/>
    </row>
    <row r="7" spans="2:19" ht="24" customHeight="1" x14ac:dyDescent="0.25">
      <c r="B7" s="681" t="s">
        <v>76</v>
      </c>
      <c r="C7" s="681"/>
      <c r="D7" s="725" t="s">
        <v>131</v>
      </c>
      <c r="E7" s="479"/>
      <c r="F7" s="725" t="s">
        <v>91</v>
      </c>
      <c r="G7" s="548"/>
      <c r="H7" s="725" t="s">
        <v>182</v>
      </c>
      <c r="I7" s="549"/>
      <c r="J7" s="725" t="s">
        <v>183</v>
      </c>
      <c r="K7" s="546"/>
      <c r="L7" s="546"/>
    </row>
    <row r="8" spans="2:19" ht="42" customHeight="1" x14ac:dyDescent="0.25">
      <c r="B8" s="682"/>
      <c r="C8" s="682"/>
      <c r="D8" s="726"/>
      <c r="E8" s="480"/>
      <c r="F8" s="726"/>
      <c r="G8" s="550"/>
      <c r="H8" s="726"/>
      <c r="I8" s="546"/>
      <c r="J8" s="726"/>
      <c r="K8" s="546"/>
      <c r="L8" s="546"/>
    </row>
    <row r="9" spans="2:19" ht="25.5" customHeight="1" x14ac:dyDescent="0.25">
      <c r="B9" s="683"/>
      <c r="C9" s="683"/>
      <c r="D9" s="727"/>
      <c r="E9" s="481"/>
      <c r="F9" s="727"/>
      <c r="G9" s="551"/>
      <c r="H9" s="727"/>
      <c r="I9" s="544"/>
      <c r="J9" s="727"/>
      <c r="K9" s="546"/>
      <c r="L9" s="546"/>
    </row>
    <row r="10" spans="2:19" ht="6" customHeight="1" x14ac:dyDescent="0.25">
      <c r="B10" s="31"/>
      <c r="C10" s="552"/>
      <c r="D10" s="553"/>
      <c r="E10" s="553"/>
      <c r="F10" s="553"/>
      <c r="G10" s="553"/>
      <c r="H10" s="554"/>
      <c r="I10" s="554"/>
      <c r="J10" s="554"/>
      <c r="K10" s="546"/>
      <c r="L10" s="546"/>
    </row>
    <row r="11" spans="2:19" s="557" customFormat="1" ht="11.25" x14ac:dyDescent="0.2">
      <c r="B11" s="94" t="s">
        <v>2</v>
      </c>
      <c r="C11" s="555"/>
      <c r="D11" s="569">
        <v>647559.56854251202</v>
      </c>
      <c r="E11" s="556"/>
      <c r="F11" s="575">
        <v>674088.66868130805</v>
      </c>
      <c r="G11" s="556"/>
      <c r="H11" s="569">
        <v>35585720225.470497</v>
      </c>
      <c r="I11" s="556"/>
      <c r="J11" s="569">
        <v>58109.115239368402</v>
      </c>
      <c r="K11" s="555"/>
      <c r="L11" s="555"/>
    </row>
    <row r="12" spans="2:19" s="560" customFormat="1" ht="6" customHeight="1" x14ac:dyDescent="0.2">
      <c r="B12" s="94"/>
      <c r="C12" s="558"/>
      <c r="D12" s="559"/>
      <c r="E12" s="559"/>
      <c r="F12" s="573"/>
      <c r="G12" s="559"/>
      <c r="H12" s="559"/>
      <c r="I12" s="559"/>
      <c r="J12" s="559"/>
      <c r="K12" s="558"/>
      <c r="L12" s="558"/>
    </row>
    <row r="13" spans="2:19" s="560" customFormat="1" ht="12.75" customHeight="1" x14ac:dyDescent="0.2">
      <c r="B13" s="95" t="s">
        <v>3</v>
      </c>
      <c r="C13" s="561"/>
      <c r="D13" s="568">
        <v>12029.2222406445</v>
      </c>
      <c r="E13" s="559"/>
      <c r="F13" s="574">
        <v>12177.0113835473</v>
      </c>
      <c r="G13" s="559"/>
      <c r="H13" s="568">
        <v>494292479.69061399</v>
      </c>
      <c r="I13" s="559"/>
      <c r="J13" s="568">
        <v>48419.964507419201</v>
      </c>
      <c r="K13" s="558"/>
      <c r="L13" s="558"/>
    </row>
    <row r="14" spans="2:19" s="560" customFormat="1" ht="12.75" customHeight="1" x14ac:dyDescent="0.2">
      <c r="B14" s="95" t="s">
        <v>4</v>
      </c>
      <c r="C14" s="561"/>
      <c r="D14" s="568">
        <v>24772.132599196299</v>
      </c>
      <c r="E14" s="559"/>
      <c r="F14" s="574">
        <v>24850.602950999699</v>
      </c>
      <c r="G14" s="559"/>
      <c r="H14" s="568">
        <v>2398253719.44209</v>
      </c>
      <c r="I14" s="559"/>
      <c r="J14" s="568">
        <v>130240.440347012</v>
      </c>
      <c r="K14" s="558"/>
      <c r="L14" s="558"/>
    </row>
    <row r="15" spans="2:19" s="560" customFormat="1" ht="12.75" customHeight="1" x14ac:dyDescent="0.2">
      <c r="B15" s="95" t="s">
        <v>5</v>
      </c>
      <c r="C15" s="561"/>
      <c r="D15" s="568">
        <v>6282.3481128926996</v>
      </c>
      <c r="E15" s="559"/>
      <c r="F15" s="574">
        <v>6687.4675981954997</v>
      </c>
      <c r="G15" s="559"/>
      <c r="H15" s="568">
        <v>299387947.76835102</v>
      </c>
      <c r="I15" s="559"/>
      <c r="J15" s="568">
        <v>60245.790373806798</v>
      </c>
      <c r="K15" s="558"/>
      <c r="L15" s="558"/>
    </row>
    <row r="16" spans="2:19" s="560" customFormat="1" ht="12.75" customHeight="1" x14ac:dyDescent="0.2">
      <c r="B16" s="95" t="s">
        <v>6</v>
      </c>
      <c r="C16" s="561"/>
      <c r="D16" s="568">
        <v>9468.2040529177993</v>
      </c>
      <c r="E16" s="559"/>
      <c r="F16" s="574">
        <v>9692.2686087002003</v>
      </c>
      <c r="G16" s="559"/>
      <c r="H16" s="568">
        <v>251524487.20134899</v>
      </c>
      <c r="I16" s="559"/>
      <c r="J16" s="568">
        <v>32251.521600942298</v>
      </c>
      <c r="K16" s="558"/>
      <c r="L16" s="558"/>
    </row>
    <row r="17" spans="2:12" s="560" customFormat="1" ht="12.75" customHeight="1" x14ac:dyDescent="0.2">
      <c r="B17" s="95" t="s">
        <v>7</v>
      </c>
      <c r="C17" s="561"/>
      <c r="D17" s="568">
        <v>23546.171172159</v>
      </c>
      <c r="E17" s="559"/>
      <c r="F17" s="574">
        <v>25310.1873417592</v>
      </c>
      <c r="G17" s="559"/>
      <c r="H17" s="568">
        <v>2227472110.12674</v>
      </c>
      <c r="I17" s="559"/>
      <c r="J17" s="568">
        <v>118525.64593947399</v>
      </c>
      <c r="K17" s="558"/>
      <c r="L17" s="558"/>
    </row>
    <row r="18" spans="2:12" s="560" customFormat="1" ht="12.75" customHeight="1" x14ac:dyDescent="0.2">
      <c r="B18" s="95" t="s">
        <v>8</v>
      </c>
      <c r="C18" s="561"/>
      <c r="D18" s="568">
        <v>7219.3119088748999</v>
      </c>
      <c r="E18" s="559"/>
      <c r="F18" s="574">
        <v>7291.3800823252996</v>
      </c>
      <c r="G18" s="559"/>
      <c r="H18" s="568">
        <v>311096005.20068401</v>
      </c>
      <c r="I18" s="559"/>
      <c r="J18" s="568">
        <v>52059.049026070003</v>
      </c>
      <c r="K18" s="558"/>
      <c r="L18" s="558"/>
    </row>
    <row r="19" spans="2:12" s="560" customFormat="1" ht="12.75" customHeight="1" x14ac:dyDescent="0.2">
      <c r="B19" s="95" t="s">
        <v>9</v>
      </c>
      <c r="C19" s="561"/>
      <c r="D19" s="568">
        <v>24905.6075848566</v>
      </c>
      <c r="E19" s="559"/>
      <c r="F19" s="574">
        <v>24189.210070535501</v>
      </c>
      <c r="G19" s="559"/>
      <c r="H19" s="568">
        <v>441057756.74634397</v>
      </c>
      <c r="I19" s="559"/>
      <c r="J19" s="568">
        <v>21291.971114341501</v>
      </c>
      <c r="K19" s="558"/>
      <c r="L19" s="558"/>
    </row>
    <row r="20" spans="2:12" s="560" customFormat="1" ht="12.75" customHeight="1" x14ac:dyDescent="0.2">
      <c r="B20" s="95" t="s">
        <v>10</v>
      </c>
      <c r="C20" s="561"/>
      <c r="D20" s="568">
        <v>29665.552215434</v>
      </c>
      <c r="E20" s="559"/>
      <c r="F20" s="574">
        <v>29847.550944874201</v>
      </c>
      <c r="G20" s="559"/>
      <c r="H20" s="568">
        <v>737382459.36039197</v>
      </c>
      <c r="I20" s="559"/>
      <c r="J20" s="568">
        <v>30843.234619812902</v>
      </c>
      <c r="K20" s="558"/>
      <c r="L20" s="558"/>
    </row>
    <row r="21" spans="2:12" s="560" customFormat="1" ht="12.75" customHeight="1" x14ac:dyDescent="0.2">
      <c r="B21" s="95" t="s">
        <v>11</v>
      </c>
      <c r="C21" s="561"/>
      <c r="D21" s="568">
        <v>60813.999154346398</v>
      </c>
      <c r="E21" s="559"/>
      <c r="F21" s="574">
        <v>57740.354253098398</v>
      </c>
      <c r="G21" s="559"/>
      <c r="H21" s="568">
        <v>1632262611.87007</v>
      </c>
      <c r="I21" s="559"/>
      <c r="J21" s="568">
        <v>32049.32981453</v>
      </c>
      <c r="K21" s="558"/>
      <c r="L21" s="558"/>
    </row>
    <row r="22" spans="2:12" s="560" customFormat="1" ht="12.75" customHeight="1" x14ac:dyDescent="0.2">
      <c r="B22" s="95" t="s">
        <v>12</v>
      </c>
      <c r="C22" s="561"/>
      <c r="D22" s="568">
        <v>18573.9390563696</v>
      </c>
      <c r="E22" s="559"/>
      <c r="F22" s="574">
        <v>18618.465242827198</v>
      </c>
      <c r="G22" s="559"/>
      <c r="H22" s="568">
        <v>1076435440.60289</v>
      </c>
      <c r="I22" s="559"/>
      <c r="J22" s="568">
        <v>68724.172934360206</v>
      </c>
      <c r="K22" s="558"/>
      <c r="L22" s="558"/>
    </row>
    <row r="23" spans="2:12" s="560" customFormat="1" ht="12.75" customHeight="1" x14ac:dyDescent="0.2">
      <c r="B23" s="95" t="s">
        <v>13</v>
      </c>
      <c r="C23" s="561"/>
      <c r="D23" s="568">
        <v>28339.048119555799</v>
      </c>
      <c r="E23" s="559"/>
      <c r="F23" s="574">
        <v>30260.9448671967</v>
      </c>
      <c r="G23" s="559"/>
      <c r="H23" s="568">
        <v>1406462947.4779201</v>
      </c>
      <c r="I23" s="559"/>
      <c r="J23" s="568">
        <v>65872.945919531194</v>
      </c>
      <c r="K23" s="558"/>
      <c r="L23" s="558"/>
    </row>
    <row r="24" spans="2:12" s="560" customFormat="1" ht="12.75" customHeight="1" x14ac:dyDescent="0.2">
      <c r="B24" s="95" t="s">
        <v>14</v>
      </c>
      <c r="C24" s="561"/>
      <c r="D24" s="568">
        <v>12801.120985459</v>
      </c>
      <c r="E24" s="559"/>
      <c r="F24" s="574">
        <v>12848.1446790053</v>
      </c>
      <c r="G24" s="559"/>
      <c r="H24" s="568">
        <v>921089850.09331405</v>
      </c>
      <c r="I24" s="559"/>
      <c r="J24" s="568">
        <v>95360.500932225405</v>
      </c>
      <c r="K24" s="558"/>
      <c r="L24" s="558"/>
    </row>
    <row r="25" spans="2:12" s="560" customFormat="1" ht="12.75" customHeight="1" x14ac:dyDescent="0.2">
      <c r="B25" s="95" t="s">
        <v>15</v>
      </c>
      <c r="C25" s="561"/>
      <c r="D25" s="568">
        <v>10137.5288523532</v>
      </c>
      <c r="E25" s="559"/>
      <c r="F25" s="574">
        <v>10733.9684005544</v>
      </c>
      <c r="G25" s="559"/>
      <c r="H25" s="568">
        <v>959691975.645347</v>
      </c>
      <c r="I25" s="559"/>
      <c r="J25" s="568">
        <v>120979.34668736299</v>
      </c>
      <c r="K25" s="558"/>
      <c r="L25" s="558"/>
    </row>
    <row r="26" spans="2:12" s="560" customFormat="1" ht="12.75" customHeight="1" x14ac:dyDescent="0.2">
      <c r="B26" s="95" t="s">
        <v>16</v>
      </c>
      <c r="C26" s="561"/>
      <c r="D26" s="568">
        <v>75991.218271201098</v>
      </c>
      <c r="E26" s="559"/>
      <c r="F26" s="574">
        <v>84306.2923160715</v>
      </c>
      <c r="G26" s="559"/>
      <c r="H26" s="568">
        <v>4919804931.5968304</v>
      </c>
      <c r="I26" s="559"/>
      <c r="J26" s="568">
        <v>78421.579563406005</v>
      </c>
      <c r="K26" s="558"/>
      <c r="L26" s="558"/>
    </row>
    <row r="27" spans="2:12" s="560" customFormat="1" ht="12.75" customHeight="1" x14ac:dyDescent="0.2">
      <c r="B27" s="95" t="s">
        <v>17</v>
      </c>
      <c r="C27" s="561"/>
      <c r="D27" s="568">
        <v>56276.4477280789</v>
      </c>
      <c r="E27" s="559"/>
      <c r="F27" s="574">
        <v>54895.238058794399</v>
      </c>
      <c r="G27" s="559"/>
      <c r="H27" s="568">
        <v>10053166552.2969</v>
      </c>
      <c r="I27" s="559"/>
      <c r="J27" s="568">
        <v>254783.97754745401</v>
      </c>
      <c r="K27" s="558"/>
      <c r="L27" s="558"/>
    </row>
    <row r="28" spans="2:12" s="560" customFormat="1" ht="12.75" customHeight="1" x14ac:dyDescent="0.2">
      <c r="B28" s="95" t="s">
        <v>18</v>
      </c>
      <c r="C28" s="561"/>
      <c r="D28" s="568">
        <v>33601.568451809297</v>
      </c>
      <c r="E28" s="559"/>
      <c r="F28" s="574">
        <v>36250.3701940346</v>
      </c>
      <c r="G28" s="559"/>
      <c r="H28" s="568">
        <v>2971587471.1735001</v>
      </c>
      <c r="I28" s="559"/>
      <c r="J28" s="568">
        <v>121305.34016904001</v>
      </c>
      <c r="K28" s="558"/>
      <c r="L28" s="558"/>
    </row>
    <row r="29" spans="2:12" s="560" customFormat="1" ht="12.75" customHeight="1" x14ac:dyDescent="0.2">
      <c r="B29" s="95" t="s">
        <v>19</v>
      </c>
      <c r="C29" s="561"/>
      <c r="D29" s="568">
        <v>11879.9956541674</v>
      </c>
      <c r="E29" s="559"/>
      <c r="F29" s="574">
        <v>11979.8329258457</v>
      </c>
      <c r="G29" s="559"/>
      <c r="H29" s="568">
        <v>1106284347.39449</v>
      </c>
      <c r="I29" s="559"/>
      <c r="J29" s="568">
        <v>116920.68014810501</v>
      </c>
      <c r="K29" s="558"/>
      <c r="L29" s="558"/>
    </row>
    <row r="30" spans="2:12" s="560" customFormat="1" ht="12.75" customHeight="1" x14ac:dyDescent="0.2">
      <c r="B30" s="95" t="s">
        <v>20</v>
      </c>
      <c r="C30" s="561"/>
      <c r="D30" s="568">
        <v>10695.0632530209</v>
      </c>
      <c r="E30" s="559"/>
      <c r="F30" s="574">
        <v>12096.001282044999</v>
      </c>
      <c r="G30" s="559"/>
      <c r="H30" s="568">
        <v>448573437.29265797</v>
      </c>
      <c r="I30" s="559"/>
      <c r="J30" s="568">
        <v>50752.385115626603</v>
      </c>
      <c r="K30" s="558"/>
      <c r="L30" s="558"/>
    </row>
    <row r="31" spans="2:12" s="560" customFormat="1" ht="12.75" customHeight="1" x14ac:dyDescent="0.2">
      <c r="B31" s="95" t="s">
        <v>21</v>
      </c>
      <c r="C31" s="561"/>
      <c r="D31" s="568">
        <v>41153.350613200302</v>
      </c>
      <c r="E31" s="559"/>
      <c r="F31" s="574">
        <v>41864.376169907002</v>
      </c>
      <c r="G31" s="559"/>
      <c r="H31" s="568">
        <v>1301354127.9068501</v>
      </c>
      <c r="I31" s="559"/>
      <c r="J31" s="568">
        <v>39562.207535465197</v>
      </c>
      <c r="K31" s="558"/>
      <c r="L31" s="558"/>
    </row>
    <row r="32" spans="2:12" s="560" customFormat="1" ht="12.75" customHeight="1" x14ac:dyDescent="0.2">
      <c r="B32" s="95" t="s">
        <v>22</v>
      </c>
      <c r="C32" s="561"/>
      <c r="D32" s="568">
        <v>23778.580349813299</v>
      </c>
      <c r="E32" s="559"/>
      <c r="F32" s="574">
        <v>23445.311915935501</v>
      </c>
      <c r="G32" s="559"/>
      <c r="H32" s="568">
        <v>1892621082.8178</v>
      </c>
      <c r="I32" s="559"/>
      <c r="J32" s="568">
        <v>95905.835653052796</v>
      </c>
      <c r="K32" s="558"/>
      <c r="L32" s="558"/>
    </row>
    <row r="33" spans="2:12" s="560" customFormat="1" ht="12.75" customHeight="1" x14ac:dyDescent="0.2">
      <c r="B33" s="95" t="s">
        <v>23</v>
      </c>
      <c r="C33" s="561"/>
      <c r="D33" s="568">
        <v>25109.244472579001</v>
      </c>
      <c r="E33" s="559"/>
      <c r="F33" s="574">
        <v>23319.276875986401</v>
      </c>
      <c r="G33" s="559"/>
      <c r="H33" s="568">
        <v>1538040355.36605</v>
      </c>
      <c r="I33" s="559"/>
      <c r="J33" s="568">
        <v>78399.445753048203</v>
      </c>
      <c r="K33" s="558"/>
      <c r="L33" s="558"/>
    </row>
    <row r="34" spans="2:12" s="560" customFormat="1" ht="12.75" customHeight="1" x14ac:dyDescent="0.2">
      <c r="B34" s="95" t="s">
        <v>24</v>
      </c>
      <c r="C34" s="561"/>
      <c r="D34" s="568">
        <v>11141.887150970701</v>
      </c>
      <c r="E34" s="559"/>
      <c r="F34" s="574">
        <v>10963.6408982925</v>
      </c>
      <c r="G34" s="559"/>
      <c r="H34" s="568">
        <v>802703948.31852996</v>
      </c>
      <c r="I34" s="559"/>
      <c r="J34" s="568">
        <v>97692.374314963497</v>
      </c>
      <c r="K34" s="558"/>
      <c r="L34" s="558"/>
    </row>
    <row r="35" spans="2:12" s="560" customFormat="1" ht="12.75" customHeight="1" x14ac:dyDescent="0.2">
      <c r="B35" s="95" t="s">
        <v>25</v>
      </c>
      <c r="C35" s="561"/>
      <c r="D35" s="568">
        <v>17777.3074872201</v>
      </c>
      <c r="E35" s="559"/>
      <c r="F35" s="574">
        <v>18272.297502555601</v>
      </c>
      <c r="G35" s="559"/>
      <c r="H35" s="568">
        <v>673408662.89331698</v>
      </c>
      <c r="I35" s="559"/>
      <c r="J35" s="568">
        <v>43213.929671930797</v>
      </c>
      <c r="K35" s="558"/>
      <c r="L35" s="558"/>
    </row>
    <row r="36" spans="2:12" s="560" customFormat="1" ht="12.75" customHeight="1" x14ac:dyDescent="0.2">
      <c r="B36" s="95" t="s">
        <v>26</v>
      </c>
      <c r="C36" s="561"/>
      <c r="D36" s="568">
        <v>14604.221828792801</v>
      </c>
      <c r="E36" s="559"/>
      <c r="F36" s="574">
        <v>14825.1413585993</v>
      </c>
      <c r="G36" s="559"/>
      <c r="H36" s="568">
        <v>1301166937.7293401</v>
      </c>
      <c r="I36" s="559"/>
      <c r="J36" s="568">
        <v>117574.065553151</v>
      </c>
      <c r="K36" s="558"/>
      <c r="L36" s="558"/>
    </row>
    <row r="37" spans="2:12" s="560" customFormat="1" ht="12.75" customHeight="1" x14ac:dyDescent="0.2">
      <c r="B37" s="95" t="s">
        <v>27</v>
      </c>
      <c r="C37" s="561"/>
      <c r="D37" s="568">
        <v>17372.592502162901</v>
      </c>
      <c r="E37" s="559"/>
      <c r="F37" s="574">
        <v>16676.993009535399</v>
      </c>
      <c r="G37" s="559"/>
      <c r="H37" s="568">
        <v>3043056847.7884598</v>
      </c>
      <c r="I37" s="559"/>
      <c r="J37" s="568">
        <v>221681.93071656401</v>
      </c>
      <c r="K37" s="558"/>
      <c r="L37" s="558"/>
    </row>
    <row r="38" spans="2:12" s="560" customFormat="1" ht="12.75" customHeight="1" x14ac:dyDescent="0.2">
      <c r="B38" s="95" t="s">
        <v>28</v>
      </c>
      <c r="C38" s="561"/>
      <c r="D38" s="568">
        <v>55267.5629561389</v>
      </c>
      <c r="E38" s="559"/>
      <c r="F38" s="574">
        <v>56680.4328759696</v>
      </c>
      <c r="G38" s="559"/>
      <c r="H38" s="568">
        <v>2619496873.4747801</v>
      </c>
      <c r="I38" s="559"/>
      <c r="J38" s="568">
        <v>54429.1705200469</v>
      </c>
      <c r="K38" s="558"/>
      <c r="L38" s="558"/>
    </row>
    <row r="39" spans="2:12" s="560" customFormat="1" ht="12.75" customHeight="1" x14ac:dyDescent="0.2">
      <c r="B39" s="95" t="s">
        <v>29</v>
      </c>
      <c r="C39" s="561"/>
      <c r="D39" s="568">
        <v>20930.273127024298</v>
      </c>
      <c r="E39" s="559"/>
      <c r="F39" s="574">
        <v>21107.364236556299</v>
      </c>
      <c r="G39" s="559"/>
      <c r="H39" s="568">
        <v>791090853.427544</v>
      </c>
      <c r="I39" s="559"/>
      <c r="J39" s="568">
        <v>43679.106352306502</v>
      </c>
      <c r="K39" s="558"/>
      <c r="L39" s="558"/>
    </row>
    <row r="40" spans="2:12" s="560" customFormat="1" ht="12.75" customHeight="1" x14ac:dyDescent="0.2">
      <c r="B40" s="95" t="s">
        <v>30</v>
      </c>
      <c r="C40" s="561"/>
      <c r="D40" s="568">
        <v>27982.257532117899</v>
      </c>
      <c r="E40" s="559"/>
      <c r="F40" s="574">
        <v>27040.191946572199</v>
      </c>
      <c r="G40" s="559"/>
      <c r="H40" s="568">
        <v>1244015601.7665701</v>
      </c>
      <c r="I40" s="559"/>
      <c r="J40" s="568">
        <v>51796.609487455898</v>
      </c>
      <c r="K40" s="558"/>
      <c r="L40" s="558"/>
    </row>
    <row r="41" spans="2:12" s="560" customFormat="1" ht="12.75" customHeight="1" x14ac:dyDescent="0.2">
      <c r="B41" s="95" t="s">
        <v>31</v>
      </c>
      <c r="C41" s="561"/>
      <c r="D41" s="568">
        <v>3501.1899017978999</v>
      </c>
      <c r="E41" s="559"/>
      <c r="F41" s="574">
        <v>3292.4195244318998</v>
      </c>
      <c r="G41" s="559"/>
      <c r="H41" s="568">
        <v>113606569.96802799</v>
      </c>
      <c r="I41" s="559"/>
      <c r="J41" s="568">
        <v>42845.1764253773</v>
      </c>
      <c r="K41" s="558"/>
      <c r="L41" s="558"/>
    </row>
    <row r="42" spans="2:12" s="560" customFormat="1" ht="12.75" customHeight="1" x14ac:dyDescent="0.2">
      <c r="B42" s="95" t="s">
        <v>32</v>
      </c>
      <c r="C42" s="561"/>
      <c r="D42" s="568">
        <v>39900.398514588502</v>
      </c>
      <c r="E42" s="559"/>
      <c r="F42" s="574">
        <v>38548.116619394903</v>
      </c>
      <c r="G42" s="559"/>
      <c r="H42" s="568">
        <v>936182489.17267001</v>
      </c>
      <c r="I42" s="559"/>
      <c r="J42" s="568">
        <v>29979.770062133</v>
      </c>
      <c r="K42" s="558"/>
      <c r="L42" s="558"/>
    </row>
    <row r="43" spans="2:12" s="560" customFormat="1" ht="12.75" customHeight="1" x14ac:dyDescent="0.2">
      <c r="B43" s="95" t="s">
        <v>33</v>
      </c>
      <c r="C43" s="561"/>
      <c r="D43" s="568">
        <v>25346.296648969099</v>
      </c>
      <c r="E43" s="559"/>
      <c r="F43" s="574">
        <v>26913.494908368099</v>
      </c>
      <c r="G43" s="559"/>
      <c r="H43" s="568">
        <v>1513313369.07515</v>
      </c>
      <c r="I43" s="559"/>
      <c r="J43" s="568">
        <v>71975.595953542201</v>
      </c>
      <c r="K43" s="558"/>
      <c r="L43" s="558"/>
    </row>
    <row r="44" spans="2:12" s="560" customFormat="1" ht="12.75" customHeight="1" x14ac:dyDescent="0.2">
      <c r="B44" s="95" t="s">
        <v>34</v>
      </c>
      <c r="C44" s="561"/>
      <c r="D44" s="568">
        <v>13836.8241521812</v>
      </c>
      <c r="E44" s="559"/>
      <c r="F44" s="574">
        <v>13940.386337215199</v>
      </c>
      <c r="G44" s="559"/>
      <c r="H44" s="568">
        <v>1687912420.2516699</v>
      </c>
      <c r="I44" s="559"/>
      <c r="J44" s="568">
        <v>155830.62290294</v>
      </c>
      <c r="K44" s="558"/>
      <c r="L44" s="558"/>
    </row>
    <row r="45" spans="2:12" ht="6" customHeight="1" x14ac:dyDescent="0.25">
      <c r="B45" s="562"/>
      <c r="C45" s="563"/>
      <c r="D45" s="564"/>
      <c r="E45" s="564"/>
      <c r="F45" s="564"/>
      <c r="G45" s="564"/>
      <c r="H45" s="565"/>
      <c r="I45" s="564"/>
      <c r="J45" s="564"/>
      <c r="K45" s="546"/>
      <c r="L45" s="546"/>
    </row>
    <row r="46" spans="2:12" ht="6" customHeight="1" x14ac:dyDescent="0.25">
      <c r="B46" s="228"/>
      <c r="C46" s="545"/>
      <c r="D46" s="545"/>
      <c r="E46" s="545"/>
      <c r="F46" s="545"/>
      <c r="G46" s="545"/>
      <c r="H46" s="566"/>
      <c r="I46" s="546"/>
      <c r="J46" s="546"/>
      <c r="K46" s="546"/>
      <c r="L46" s="546"/>
    </row>
    <row r="47" spans="2:12" ht="15" customHeight="1" x14ac:dyDescent="0.25">
      <c r="B47" s="273" t="s">
        <v>132</v>
      </c>
      <c r="C47" s="545"/>
      <c r="D47" s="545"/>
      <c r="E47" s="545"/>
      <c r="F47" s="545"/>
      <c r="G47" s="545"/>
      <c r="H47" s="566"/>
      <c r="I47" s="546"/>
      <c r="J47" s="546"/>
      <c r="K47" s="546"/>
      <c r="L47" s="546"/>
    </row>
    <row r="48" spans="2:12" s="13" customFormat="1" ht="14.25" x14ac:dyDescent="0.2">
      <c r="B48" s="146" t="s">
        <v>181</v>
      </c>
      <c r="C48" s="147"/>
      <c r="D48" s="147"/>
      <c r="E48" s="147"/>
      <c r="F48" s="147"/>
      <c r="G48" s="147"/>
      <c r="H48" s="147"/>
      <c r="I48" s="147"/>
      <c r="J48" s="147"/>
      <c r="K48" s="147"/>
      <c r="L48" s="147"/>
    </row>
    <row r="49" spans="2:12" x14ac:dyDescent="0.25">
      <c r="B49" s="546"/>
      <c r="C49" s="545"/>
      <c r="D49" s="545"/>
      <c r="E49" s="545"/>
      <c r="F49" s="545"/>
      <c r="G49" s="545"/>
      <c r="H49" s="546"/>
      <c r="I49" s="546"/>
      <c r="J49" s="546"/>
      <c r="K49" s="546"/>
      <c r="L49" s="546"/>
    </row>
    <row r="50" spans="2:12" x14ac:dyDescent="0.25">
      <c r="B50" s="546"/>
      <c r="C50" s="545"/>
      <c r="D50" s="545"/>
      <c r="E50" s="545"/>
      <c r="F50" s="545"/>
      <c r="G50" s="545"/>
      <c r="H50" s="546"/>
      <c r="I50" s="546"/>
      <c r="J50" s="546"/>
      <c r="K50" s="546"/>
      <c r="L50" s="546"/>
    </row>
    <row r="51" spans="2:12" x14ac:dyDescent="0.25">
      <c r="B51" s="546"/>
      <c r="C51" s="545"/>
      <c r="D51" s="545"/>
      <c r="E51" s="545"/>
      <c r="F51" s="545"/>
      <c r="G51" s="545"/>
      <c r="H51" s="546"/>
      <c r="I51" s="546"/>
      <c r="J51" s="546"/>
      <c r="K51" s="546"/>
      <c r="L51" s="546"/>
    </row>
    <row r="52" spans="2:12" x14ac:dyDescent="0.25">
      <c r="B52" s="546"/>
      <c r="C52" s="545"/>
      <c r="D52" s="545"/>
      <c r="E52" s="545"/>
      <c r="F52" s="545"/>
      <c r="G52" s="545"/>
      <c r="H52" s="546"/>
      <c r="I52" s="546"/>
      <c r="J52" s="546"/>
      <c r="K52" s="546"/>
      <c r="L52" s="546"/>
    </row>
  </sheetData>
  <mergeCells count="6">
    <mergeCell ref="J7:J9"/>
    <mergeCell ref="B5:H5"/>
    <mergeCell ref="B7:C9"/>
    <mergeCell ref="D7:D9"/>
    <mergeCell ref="F7:F9"/>
    <mergeCell ref="H7:H9"/>
  </mergeCells>
  <hyperlinks>
    <hyperlink ref="J1" location="Índice!A1" tooltip="Ir a ÍNDICE" display="INDICE" xr:uid="{CEED8358-992F-4DE2-A63D-9DDB5E55755A}"/>
  </hyperlinks>
  <pageMargins left="0.70866141732283472" right="0.70866141732283472" top="0.74803149606299213" bottom="0.74803149606299213" header="0.31496062992125984" footer="0.31496062992125984"/>
  <pageSetup orientation="portrait" verticalDpi="120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7C221C-A0B5-4444-A6A1-0803761768C7}">
  <dimension ref="B1:S48"/>
  <sheetViews>
    <sheetView showGridLines="0" zoomScaleNormal="100" workbookViewId="0"/>
  </sheetViews>
  <sheetFormatPr baseColWidth="10" defaultColWidth="11.42578125" defaultRowHeight="15" x14ac:dyDescent="0.25"/>
  <cols>
    <col min="1" max="1" width="1.7109375" style="582" customWidth="1"/>
    <col min="2" max="2" width="24.28515625" style="582" customWidth="1"/>
    <col min="3" max="3" width="0.85546875" style="602" customWidth="1"/>
    <col min="4" max="4" width="20.7109375" style="602" customWidth="1"/>
    <col min="5" max="5" width="0.85546875" style="602" customWidth="1"/>
    <col min="6" max="6" width="25.7109375" style="602" customWidth="1"/>
    <col min="7" max="7" width="2.5703125" style="602" customWidth="1"/>
    <col min="8" max="8" width="21.85546875" style="582" customWidth="1"/>
    <col min="9" max="9" width="1.7109375" style="582" customWidth="1"/>
    <col min="10" max="10" width="21.7109375" style="582" customWidth="1"/>
    <col min="11" max="16384" width="11.42578125" style="582"/>
  </cols>
  <sheetData>
    <row r="1" spans="2:19" s="577" customFormat="1" ht="12" customHeight="1" x14ac:dyDescent="0.2">
      <c r="B1" s="639" t="s">
        <v>202</v>
      </c>
      <c r="J1" s="72" t="s">
        <v>151</v>
      </c>
    </row>
    <row r="2" spans="2:19" s="577" customFormat="1" ht="6.95" customHeight="1" x14ac:dyDescent="0.2">
      <c r="B2" s="639"/>
    </row>
    <row r="3" spans="2:19" s="577" customFormat="1" ht="15" customHeight="1" x14ac:dyDescent="0.2">
      <c r="B3" s="639" t="s">
        <v>199</v>
      </c>
      <c r="C3" s="576"/>
      <c r="D3" s="576"/>
      <c r="E3" s="576"/>
      <c r="F3" s="576"/>
      <c r="G3" s="576"/>
      <c r="H3" s="576"/>
      <c r="I3" s="576"/>
      <c r="J3" s="576"/>
      <c r="K3" s="576"/>
      <c r="L3" s="576"/>
      <c r="M3" s="576"/>
      <c r="N3" s="576"/>
      <c r="O3" s="576"/>
      <c r="P3" s="576"/>
      <c r="Q3" s="576"/>
      <c r="R3" s="576"/>
      <c r="S3" s="576"/>
    </row>
    <row r="4" spans="2:19" s="577" customFormat="1" ht="6.95" customHeight="1" x14ac:dyDescent="0.2">
      <c r="C4" s="578"/>
      <c r="D4" s="578"/>
      <c r="E4" s="578"/>
      <c r="F4" s="578"/>
      <c r="G4" s="578"/>
    </row>
    <row r="5" spans="2:19" s="577" customFormat="1" ht="39" customHeight="1" x14ac:dyDescent="0.2">
      <c r="B5" s="732" t="s">
        <v>171</v>
      </c>
      <c r="C5" s="732"/>
      <c r="D5" s="732"/>
      <c r="E5" s="732"/>
      <c r="F5" s="732"/>
      <c r="G5" s="732"/>
      <c r="H5" s="732"/>
      <c r="I5" s="732"/>
      <c r="J5" s="71" t="s">
        <v>119</v>
      </c>
    </row>
    <row r="6" spans="2:19" ht="6" customHeight="1" x14ac:dyDescent="0.25">
      <c r="B6" s="579"/>
      <c r="C6" s="580"/>
      <c r="D6" s="580"/>
      <c r="E6" s="580"/>
      <c r="F6" s="580"/>
      <c r="G6" s="580"/>
      <c r="H6" s="581"/>
      <c r="I6" s="581"/>
      <c r="J6" s="581"/>
    </row>
    <row r="7" spans="2:19" ht="24" customHeight="1" x14ac:dyDescent="0.25">
      <c r="B7" s="681" t="s">
        <v>76</v>
      </c>
      <c r="C7" s="681"/>
      <c r="D7" s="729" t="s">
        <v>133</v>
      </c>
      <c r="E7" s="570"/>
      <c r="F7" s="729" t="s">
        <v>92</v>
      </c>
      <c r="G7" s="583"/>
      <c r="H7" s="729" t="s">
        <v>184</v>
      </c>
      <c r="I7" s="584"/>
      <c r="J7" s="729" t="s">
        <v>185</v>
      </c>
    </row>
    <row r="8" spans="2:19" ht="42" customHeight="1" x14ac:dyDescent="0.25">
      <c r="B8" s="682"/>
      <c r="C8" s="682"/>
      <c r="D8" s="730"/>
      <c r="E8" s="571"/>
      <c r="F8" s="730"/>
      <c r="G8" s="585"/>
      <c r="H8" s="730"/>
      <c r="I8" s="581"/>
      <c r="J8" s="730"/>
    </row>
    <row r="9" spans="2:19" ht="25.5" customHeight="1" x14ac:dyDescent="0.25">
      <c r="B9" s="683"/>
      <c r="C9" s="683"/>
      <c r="D9" s="731"/>
      <c r="E9" s="572"/>
      <c r="F9" s="731"/>
      <c r="G9" s="586"/>
      <c r="H9" s="731"/>
      <c r="I9" s="579"/>
      <c r="J9" s="731"/>
    </row>
    <row r="10" spans="2:19" ht="6" customHeight="1" x14ac:dyDescent="0.25">
      <c r="B10" s="31"/>
      <c r="C10" s="587"/>
      <c r="D10" s="588"/>
      <c r="E10" s="588"/>
      <c r="F10" s="588"/>
      <c r="G10" s="588"/>
      <c r="H10" s="589"/>
      <c r="I10" s="589"/>
      <c r="J10" s="589"/>
    </row>
    <row r="11" spans="2:19" s="592" customFormat="1" ht="11.25" x14ac:dyDescent="0.2">
      <c r="B11" s="94" t="s">
        <v>2</v>
      </c>
      <c r="C11" s="590"/>
      <c r="D11" s="604">
        <v>499906.38272043702</v>
      </c>
      <c r="E11" s="591"/>
      <c r="F11" s="607">
        <v>526969.64411793905</v>
      </c>
      <c r="G11" s="591"/>
      <c r="H11" s="604">
        <v>18125907551.512299</v>
      </c>
      <c r="I11" s="591"/>
      <c r="J11" s="604">
        <v>38518.614012669299</v>
      </c>
    </row>
    <row r="12" spans="2:19" s="595" customFormat="1" ht="6" customHeight="1" x14ac:dyDescent="0.2">
      <c r="B12" s="94"/>
      <c r="C12" s="593"/>
      <c r="D12" s="594"/>
      <c r="E12" s="594"/>
      <c r="F12" s="605"/>
      <c r="G12" s="594"/>
      <c r="H12" s="594"/>
      <c r="I12" s="594"/>
      <c r="J12" s="594"/>
    </row>
    <row r="13" spans="2:19" s="595" customFormat="1" ht="12.75" customHeight="1" x14ac:dyDescent="0.2">
      <c r="B13" s="95" t="s">
        <v>3</v>
      </c>
      <c r="C13" s="596"/>
      <c r="D13" s="603">
        <v>7380.7584982885</v>
      </c>
      <c r="E13" s="594"/>
      <c r="F13" s="606">
        <v>8030.5733507997002</v>
      </c>
      <c r="G13" s="594"/>
      <c r="H13" s="603">
        <v>187884611.10250601</v>
      </c>
      <c r="I13" s="594"/>
      <c r="J13" s="603">
        <v>31635.887788504799</v>
      </c>
    </row>
    <row r="14" spans="2:19" s="595" customFormat="1" ht="12.75" customHeight="1" x14ac:dyDescent="0.2">
      <c r="B14" s="95" t="s">
        <v>4</v>
      </c>
      <c r="C14" s="596"/>
      <c r="D14" s="603">
        <v>25953.458956901799</v>
      </c>
      <c r="E14" s="594"/>
      <c r="F14" s="606">
        <v>26268.899084135101</v>
      </c>
      <c r="G14" s="594"/>
      <c r="H14" s="603">
        <v>1023623037.77675</v>
      </c>
      <c r="I14" s="594"/>
      <c r="J14" s="603">
        <v>50148.101122077198</v>
      </c>
    </row>
    <row r="15" spans="2:19" s="595" customFormat="1" ht="12.75" customHeight="1" x14ac:dyDescent="0.2">
      <c r="B15" s="95" t="s">
        <v>5</v>
      </c>
      <c r="C15" s="596"/>
      <c r="D15" s="603">
        <v>5921.2362691618</v>
      </c>
      <c r="E15" s="594"/>
      <c r="F15" s="606">
        <v>5815.0307316745002</v>
      </c>
      <c r="G15" s="594"/>
      <c r="H15" s="603">
        <v>218361416.62871599</v>
      </c>
      <c r="I15" s="594"/>
      <c r="J15" s="603">
        <v>45803.571264291997</v>
      </c>
    </row>
    <row r="16" spans="2:19" s="595" customFormat="1" ht="12.75" customHeight="1" x14ac:dyDescent="0.2">
      <c r="B16" s="95" t="s">
        <v>6</v>
      </c>
      <c r="C16" s="596"/>
      <c r="D16" s="603">
        <v>5346.5108165094998</v>
      </c>
      <c r="E16" s="594"/>
      <c r="F16" s="606">
        <v>5552.5745506972999</v>
      </c>
      <c r="G16" s="594"/>
      <c r="H16" s="603">
        <v>47522348.566027403</v>
      </c>
      <c r="I16" s="594"/>
      <c r="J16" s="603">
        <v>10795.920645595799</v>
      </c>
    </row>
    <row r="17" spans="2:10" s="595" customFormat="1" ht="12.75" customHeight="1" x14ac:dyDescent="0.2">
      <c r="B17" s="95" t="s">
        <v>7</v>
      </c>
      <c r="C17" s="596"/>
      <c r="D17" s="603">
        <v>11277.8945328472</v>
      </c>
      <c r="E17" s="594"/>
      <c r="F17" s="606">
        <v>16504.142875557001</v>
      </c>
      <c r="G17" s="594"/>
      <c r="H17" s="603">
        <v>1640510902.1788299</v>
      </c>
      <c r="I17" s="594"/>
      <c r="J17" s="603">
        <v>192101.18809981699</v>
      </c>
    </row>
    <row r="18" spans="2:10" s="595" customFormat="1" ht="12.75" customHeight="1" x14ac:dyDescent="0.2">
      <c r="B18" s="95" t="s">
        <v>8</v>
      </c>
      <c r="C18" s="596"/>
      <c r="D18" s="603">
        <v>7345.9218237261002</v>
      </c>
      <c r="E18" s="594"/>
      <c r="F18" s="606">
        <v>7354.2322473196</v>
      </c>
      <c r="G18" s="594"/>
      <c r="H18" s="603">
        <v>116396777.215361</v>
      </c>
      <c r="I18" s="594"/>
      <c r="J18" s="603">
        <v>19966.0941679649</v>
      </c>
    </row>
    <row r="19" spans="2:10" s="595" customFormat="1" ht="12.75" customHeight="1" x14ac:dyDescent="0.2">
      <c r="B19" s="95" t="s">
        <v>9</v>
      </c>
      <c r="C19" s="596"/>
      <c r="D19" s="603">
        <v>13022.907353078701</v>
      </c>
      <c r="E19" s="594"/>
      <c r="F19" s="606">
        <v>12772.9555227856</v>
      </c>
      <c r="G19" s="594"/>
      <c r="H19" s="603">
        <v>253703081.12376899</v>
      </c>
      <c r="I19" s="594"/>
      <c r="J19" s="603">
        <v>24451.071018729701</v>
      </c>
    </row>
    <row r="20" spans="2:10" s="595" customFormat="1" ht="12.75" customHeight="1" x14ac:dyDescent="0.2">
      <c r="B20" s="95" t="s">
        <v>10</v>
      </c>
      <c r="C20" s="596"/>
      <c r="D20" s="603">
        <v>24655.174370403001</v>
      </c>
      <c r="E20" s="594"/>
      <c r="F20" s="606">
        <v>23893.862337180799</v>
      </c>
      <c r="G20" s="594"/>
      <c r="H20" s="603">
        <v>579035809.68081999</v>
      </c>
      <c r="I20" s="594"/>
      <c r="J20" s="603">
        <v>29141.238269439698</v>
      </c>
    </row>
    <row r="21" spans="2:10" s="595" customFormat="1" ht="12.75" customHeight="1" x14ac:dyDescent="0.2">
      <c r="B21" s="95" t="s">
        <v>11</v>
      </c>
      <c r="C21" s="596"/>
      <c r="D21" s="603">
        <v>43317.909616482197</v>
      </c>
      <c r="E21" s="594"/>
      <c r="F21" s="606">
        <v>41517.5881014529</v>
      </c>
      <c r="G21" s="594"/>
      <c r="H21" s="603">
        <v>1751129519.77549</v>
      </c>
      <c r="I21" s="594"/>
      <c r="J21" s="603">
        <v>52778.518050221697</v>
      </c>
    </row>
    <row r="22" spans="2:10" s="595" customFormat="1" ht="12.75" customHeight="1" x14ac:dyDescent="0.2">
      <c r="B22" s="95" t="s">
        <v>12</v>
      </c>
      <c r="C22" s="596"/>
      <c r="D22" s="603">
        <v>12464.147058271599</v>
      </c>
      <c r="E22" s="594"/>
      <c r="F22" s="606">
        <v>13366.164009391599</v>
      </c>
      <c r="G22" s="594"/>
      <c r="H22" s="603">
        <v>444380974.23875999</v>
      </c>
      <c r="I22" s="594"/>
      <c r="J22" s="603">
        <v>43935.0429945859</v>
      </c>
    </row>
    <row r="23" spans="2:10" s="595" customFormat="1" ht="12.75" customHeight="1" x14ac:dyDescent="0.2">
      <c r="B23" s="95" t="s">
        <v>13</v>
      </c>
      <c r="C23" s="596"/>
      <c r="D23" s="603">
        <v>26815.149581357899</v>
      </c>
      <c r="E23" s="594"/>
      <c r="F23" s="606">
        <v>28914.183085231201</v>
      </c>
      <c r="G23" s="594"/>
      <c r="H23" s="603">
        <v>532805684.72133499</v>
      </c>
      <c r="I23" s="594"/>
      <c r="J23" s="603">
        <v>26832.471368201499</v>
      </c>
    </row>
    <row r="24" spans="2:10" s="595" customFormat="1" ht="12.75" customHeight="1" x14ac:dyDescent="0.2">
      <c r="B24" s="95" t="s">
        <v>14</v>
      </c>
      <c r="C24" s="596"/>
      <c r="D24" s="603">
        <v>14753.705330373299</v>
      </c>
      <c r="E24" s="594"/>
      <c r="F24" s="606">
        <v>15587.613582074</v>
      </c>
      <c r="G24" s="594"/>
      <c r="H24" s="603">
        <v>933541352.81040204</v>
      </c>
      <c r="I24" s="594"/>
      <c r="J24" s="603">
        <v>81432.505363564502</v>
      </c>
    </row>
    <row r="25" spans="2:10" s="595" customFormat="1" ht="12.75" customHeight="1" x14ac:dyDescent="0.2">
      <c r="B25" s="95" t="s">
        <v>15</v>
      </c>
      <c r="C25" s="596"/>
      <c r="D25" s="603">
        <v>8392.4814494938</v>
      </c>
      <c r="E25" s="594"/>
      <c r="F25" s="606">
        <v>14931.317442100401</v>
      </c>
      <c r="G25" s="594"/>
      <c r="H25" s="603">
        <v>562624602.82044601</v>
      </c>
      <c r="I25" s="594"/>
      <c r="J25" s="603">
        <v>92003.400051961798</v>
      </c>
    </row>
    <row r="26" spans="2:10" s="595" customFormat="1" ht="12.75" customHeight="1" x14ac:dyDescent="0.2">
      <c r="B26" s="95" t="s">
        <v>16</v>
      </c>
      <c r="C26" s="596"/>
      <c r="D26" s="603">
        <v>62160.567133620803</v>
      </c>
      <c r="E26" s="594"/>
      <c r="F26" s="606">
        <v>71469.105568370898</v>
      </c>
      <c r="G26" s="594"/>
      <c r="H26" s="603">
        <v>3771878730.7965102</v>
      </c>
      <c r="I26" s="594"/>
      <c r="J26" s="603">
        <v>73994.843409077002</v>
      </c>
    </row>
    <row r="27" spans="2:10" s="595" customFormat="1" ht="12.75" customHeight="1" x14ac:dyDescent="0.2">
      <c r="B27" s="95" t="s">
        <v>17</v>
      </c>
      <c r="C27" s="596"/>
      <c r="D27" s="603">
        <v>57792.710605316301</v>
      </c>
      <c r="E27" s="594"/>
      <c r="F27" s="606">
        <v>57686.468023679801</v>
      </c>
      <c r="G27" s="594"/>
      <c r="H27" s="603">
        <v>3723820662.8756399</v>
      </c>
      <c r="I27" s="594"/>
      <c r="J27" s="603">
        <v>95375.389202359307</v>
      </c>
    </row>
    <row r="28" spans="2:10" s="595" customFormat="1" ht="12.75" customHeight="1" x14ac:dyDescent="0.2">
      <c r="B28" s="95" t="s">
        <v>18</v>
      </c>
      <c r="C28" s="596"/>
      <c r="D28" s="603">
        <v>19778.477504100902</v>
      </c>
      <c r="E28" s="594"/>
      <c r="F28" s="606">
        <v>19969.073547590899</v>
      </c>
      <c r="G28" s="594"/>
      <c r="H28" s="603">
        <v>698971203.22392905</v>
      </c>
      <c r="I28" s="594"/>
      <c r="J28" s="603">
        <v>45950.192218414399</v>
      </c>
    </row>
    <row r="29" spans="2:10" s="595" customFormat="1" ht="12.75" customHeight="1" x14ac:dyDescent="0.2">
      <c r="B29" s="95" t="s">
        <v>19</v>
      </c>
      <c r="C29" s="596"/>
      <c r="D29" s="603">
        <v>6497.0036963748998</v>
      </c>
      <c r="E29" s="594"/>
      <c r="F29" s="606">
        <v>6367.5995974630996</v>
      </c>
      <c r="G29" s="594"/>
      <c r="H29" s="603">
        <v>91828059.279393002</v>
      </c>
      <c r="I29" s="594"/>
      <c r="J29" s="603">
        <v>18631.114404403001</v>
      </c>
    </row>
    <row r="30" spans="2:10" s="595" customFormat="1" ht="12.75" customHeight="1" x14ac:dyDescent="0.2">
      <c r="B30" s="95" t="s">
        <v>20</v>
      </c>
      <c r="C30" s="596"/>
      <c r="D30" s="603">
        <v>11239.863973391</v>
      </c>
      <c r="E30" s="594"/>
      <c r="F30" s="606">
        <v>11911.80315507</v>
      </c>
      <c r="G30" s="594"/>
      <c r="H30" s="603">
        <v>493556540.73821902</v>
      </c>
      <c r="I30" s="594"/>
      <c r="J30" s="603">
        <v>51316.038001376</v>
      </c>
    </row>
    <row r="31" spans="2:10" s="595" customFormat="1" ht="12.75" customHeight="1" x14ac:dyDescent="0.2">
      <c r="B31" s="95" t="s">
        <v>21</v>
      </c>
      <c r="C31" s="596"/>
      <c r="D31" s="603">
        <v>21784.608577211799</v>
      </c>
      <c r="E31" s="594"/>
      <c r="F31" s="606">
        <v>23726.630851643698</v>
      </c>
      <c r="G31" s="594"/>
      <c r="H31" s="603">
        <v>704764504.63018298</v>
      </c>
      <c r="I31" s="594"/>
      <c r="J31" s="603">
        <v>43139.140407928098</v>
      </c>
    </row>
    <row r="32" spans="2:10" s="595" customFormat="1" ht="12.75" customHeight="1" x14ac:dyDescent="0.2">
      <c r="B32" s="95" t="s">
        <v>22</v>
      </c>
      <c r="C32" s="596"/>
      <c r="D32" s="603">
        <v>15717.7612409635</v>
      </c>
      <c r="E32" s="594"/>
      <c r="F32" s="606">
        <v>16083.8888271489</v>
      </c>
      <c r="G32" s="594"/>
      <c r="H32" s="603">
        <v>643564263.12218702</v>
      </c>
      <c r="I32" s="594"/>
      <c r="J32" s="603">
        <v>51797.172214176702</v>
      </c>
    </row>
    <row r="33" spans="2:10" s="595" customFormat="1" ht="12.75" customHeight="1" x14ac:dyDescent="0.2">
      <c r="B33" s="95" t="s">
        <v>23</v>
      </c>
      <c r="C33" s="596"/>
      <c r="D33" s="603">
        <v>18766.343462750199</v>
      </c>
      <c r="E33" s="594"/>
      <c r="F33" s="606">
        <v>18560.562319349701</v>
      </c>
      <c r="G33" s="594"/>
      <c r="H33" s="603">
        <v>1180151394.0467601</v>
      </c>
      <c r="I33" s="594"/>
      <c r="J33" s="603">
        <v>82415.268756473597</v>
      </c>
    </row>
    <row r="34" spans="2:10" s="595" customFormat="1" ht="12.75" customHeight="1" x14ac:dyDescent="0.2">
      <c r="B34" s="95" t="s">
        <v>24</v>
      </c>
      <c r="C34" s="596"/>
      <c r="D34" s="603">
        <v>14479.217294234501</v>
      </c>
      <c r="E34" s="594"/>
      <c r="F34" s="606">
        <v>13925.686056192801</v>
      </c>
      <c r="G34" s="594"/>
      <c r="H34" s="603">
        <v>1516433993.1189101</v>
      </c>
      <c r="I34" s="594"/>
      <c r="J34" s="603">
        <v>130154.09704187499</v>
      </c>
    </row>
    <row r="35" spans="2:10" s="595" customFormat="1" ht="12.75" customHeight="1" x14ac:dyDescent="0.2">
      <c r="B35" s="95" t="s">
        <v>25</v>
      </c>
      <c r="C35" s="596"/>
      <c r="D35" s="603">
        <v>17334.324984470801</v>
      </c>
      <c r="E35" s="594"/>
      <c r="F35" s="606">
        <v>17206.1302206398</v>
      </c>
      <c r="G35" s="594"/>
      <c r="H35" s="603">
        <v>405228315.30814499</v>
      </c>
      <c r="I35" s="594"/>
      <c r="J35" s="603">
        <v>30576.988616668699</v>
      </c>
    </row>
    <row r="36" spans="2:10" s="595" customFormat="1" ht="12.75" customHeight="1" x14ac:dyDescent="0.2">
      <c r="B36" s="95" t="s">
        <v>26</v>
      </c>
      <c r="C36" s="596"/>
      <c r="D36" s="603">
        <v>15069.2270976781</v>
      </c>
      <c r="E36" s="594"/>
      <c r="F36" s="606">
        <v>15752.546466871099</v>
      </c>
      <c r="G36" s="594"/>
      <c r="H36" s="603">
        <v>544818258.35032105</v>
      </c>
      <c r="I36" s="594"/>
      <c r="J36" s="603">
        <v>45072.951105657703</v>
      </c>
    </row>
    <row r="37" spans="2:10" s="595" customFormat="1" ht="12.75" customHeight="1" x14ac:dyDescent="0.2">
      <c r="B37" s="95" t="s">
        <v>27</v>
      </c>
      <c r="C37" s="596"/>
      <c r="D37" s="603">
        <v>15696.841480319399</v>
      </c>
      <c r="E37" s="594"/>
      <c r="F37" s="606">
        <v>15811.016268957899</v>
      </c>
      <c r="G37" s="594"/>
      <c r="H37" s="603">
        <v>879963958.10486305</v>
      </c>
      <c r="I37" s="594"/>
      <c r="J37" s="603">
        <v>79396.575117142696</v>
      </c>
    </row>
    <row r="38" spans="2:10" s="595" customFormat="1" ht="12.75" customHeight="1" x14ac:dyDescent="0.2">
      <c r="B38" s="95" t="s">
        <v>28</v>
      </c>
      <c r="C38" s="596"/>
      <c r="D38" s="603">
        <v>38711.950458511201</v>
      </c>
      <c r="E38" s="594"/>
      <c r="F38" s="606">
        <v>39204.321638777801</v>
      </c>
      <c r="G38" s="594"/>
      <c r="H38" s="603">
        <v>854789919.39879894</v>
      </c>
      <c r="I38" s="594"/>
      <c r="J38" s="603">
        <v>25811.962200465099</v>
      </c>
    </row>
    <row r="39" spans="2:10" s="595" customFormat="1" ht="12.75" customHeight="1" x14ac:dyDescent="0.2">
      <c r="B39" s="95" t="s">
        <v>29</v>
      </c>
      <c r="C39" s="596"/>
      <c r="D39" s="603">
        <v>12472.1328366953</v>
      </c>
      <c r="E39" s="594"/>
      <c r="F39" s="606">
        <v>12938.919369978001</v>
      </c>
      <c r="G39" s="594"/>
      <c r="H39" s="603">
        <v>351139060.85736698</v>
      </c>
      <c r="I39" s="594"/>
      <c r="J39" s="603">
        <v>36241.896471355198</v>
      </c>
    </row>
    <row r="40" spans="2:10" s="595" customFormat="1" ht="12.75" customHeight="1" x14ac:dyDescent="0.2">
      <c r="B40" s="95" t="s">
        <v>30</v>
      </c>
      <c r="C40" s="596"/>
      <c r="D40" s="603">
        <v>18032.936845706899</v>
      </c>
      <c r="E40" s="594"/>
      <c r="F40" s="606">
        <v>17275.092338431001</v>
      </c>
      <c r="G40" s="594"/>
      <c r="H40" s="603">
        <v>471713662.14712799</v>
      </c>
      <c r="I40" s="594"/>
      <c r="J40" s="603">
        <v>34717.391335604698</v>
      </c>
    </row>
    <row r="41" spans="2:10" s="595" customFormat="1" ht="12.75" customHeight="1" x14ac:dyDescent="0.2">
      <c r="B41" s="95" t="s">
        <v>31</v>
      </c>
      <c r="C41" s="596"/>
      <c r="D41" s="603">
        <v>3279.7185833592998</v>
      </c>
      <c r="E41" s="594"/>
      <c r="F41" s="606">
        <v>3219.1968949012999</v>
      </c>
      <c r="G41" s="594"/>
      <c r="H41" s="603">
        <v>101418868.87357</v>
      </c>
      <c r="I41" s="594"/>
      <c r="J41" s="603">
        <v>42835.044607365598</v>
      </c>
    </row>
    <row r="42" spans="2:10" s="595" customFormat="1" ht="12.75" customHeight="1" x14ac:dyDescent="0.2">
      <c r="B42" s="95" t="s">
        <v>32</v>
      </c>
      <c r="C42" s="596"/>
      <c r="D42" s="603">
        <v>35187.256692888302</v>
      </c>
      <c r="E42" s="594"/>
      <c r="F42" s="606">
        <v>34354.747709558702</v>
      </c>
      <c r="G42" s="594"/>
      <c r="H42" s="603">
        <v>1074220391.8367801</v>
      </c>
      <c r="I42" s="594"/>
      <c r="J42" s="603">
        <v>40470.117175537802</v>
      </c>
    </row>
    <row r="43" spans="2:10" s="595" customFormat="1" ht="12.75" customHeight="1" x14ac:dyDescent="0.2">
      <c r="B43" s="95" t="s">
        <v>33</v>
      </c>
      <c r="C43" s="596"/>
      <c r="D43" s="603">
        <v>26143.2149694367</v>
      </c>
      <c r="E43" s="594"/>
      <c r="F43" s="606">
        <v>26619.684916505201</v>
      </c>
      <c r="G43" s="594"/>
      <c r="H43" s="603">
        <v>316617843.92213601</v>
      </c>
      <c r="I43" s="594"/>
      <c r="J43" s="603">
        <v>14878.8184743438</v>
      </c>
    </row>
    <row r="44" spans="2:10" s="595" customFormat="1" ht="12.75" customHeight="1" x14ac:dyDescent="0.2">
      <c r="B44" s="95" t="s">
        <v>34</v>
      </c>
      <c r="C44" s="596"/>
      <c r="D44" s="603">
        <v>10535.958889419</v>
      </c>
      <c r="E44" s="594"/>
      <c r="F44" s="606">
        <v>10495.0081824875</v>
      </c>
      <c r="G44" s="594"/>
      <c r="H44" s="603">
        <v>885543669.69270301</v>
      </c>
      <c r="I44" s="594"/>
      <c r="J44" s="603">
        <v>108605.827130595</v>
      </c>
    </row>
    <row r="45" spans="2:10" ht="6" customHeight="1" x14ac:dyDescent="0.25">
      <c r="B45" s="597"/>
      <c r="C45" s="598"/>
      <c r="D45" s="599"/>
      <c r="E45" s="599"/>
      <c r="F45" s="599"/>
      <c r="G45" s="599"/>
      <c r="H45" s="600"/>
      <c r="I45" s="599"/>
      <c r="J45" s="599"/>
    </row>
    <row r="46" spans="2:10" ht="6" customHeight="1" x14ac:dyDescent="0.25">
      <c r="B46" s="228"/>
      <c r="C46" s="580"/>
      <c r="D46" s="580"/>
      <c r="E46" s="580"/>
      <c r="F46" s="580"/>
      <c r="G46" s="580"/>
      <c r="H46" s="601"/>
      <c r="I46" s="581"/>
      <c r="J46" s="581"/>
    </row>
    <row r="47" spans="2:10" x14ac:dyDescent="0.25">
      <c r="B47" s="273" t="s">
        <v>134</v>
      </c>
      <c r="C47" s="580"/>
      <c r="D47" s="580"/>
      <c r="E47" s="580"/>
      <c r="F47" s="580"/>
      <c r="G47" s="580"/>
      <c r="H47" s="601"/>
      <c r="I47" s="581"/>
      <c r="J47" s="581"/>
    </row>
    <row r="48" spans="2:10" s="13" customFormat="1" ht="14.25" x14ac:dyDescent="0.2">
      <c r="B48" s="146" t="s">
        <v>181</v>
      </c>
      <c r="C48" s="147"/>
      <c r="D48" s="147"/>
      <c r="E48" s="147"/>
      <c r="F48" s="147"/>
      <c r="G48" s="147"/>
      <c r="H48" s="147"/>
      <c r="I48" s="147"/>
      <c r="J48" s="147"/>
    </row>
  </sheetData>
  <mergeCells count="6">
    <mergeCell ref="J7:J9"/>
    <mergeCell ref="B5:I5"/>
    <mergeCell ref="B7:C9"/>
    <mergeCell ref="D7:D9"/>
    <mergeCell ref="F7:F9"/>
    <mergeCell ref="H7:H9"/>
  </mergeCells>
  <hyperlinks>
    <hyperlink ref="J1" location="Índice!A1" tooltip="Ir a ÍNDICE" display="INDICE" xr:uid="{7F725FED-247A-43E9-B0B8-53D0D50B75A2}"/>
  </hyperlinks>
  <pageMargins left="0.70866141732283472" right="0.70866141732283472" top="0.74803149606299213" bottom="0.74803149606299213" header="0.31496062992125984" footer="0.31496062992125984"/>
  <pageSetup orientation="portrait" verticalDpi="120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E0920B-FDC8-4A6E-83AB-BDE3CA7A2EDB}">
  <dimension ref="B1:S56"/>
  <sheetViews>
    <sheetView showGridLines="0" zoomScaleNormal="100" workbookViewId="0"/>
  </sheetViews>
  <sheetFormatPr baseColWidth="10" defaultColWidth="11.42578125" defaultRowHeight="12.75" x14ac:dyDescent="0.2"/>
  <cols>
    <col min="1" max="1" width="1.7109375" style="3" customWidth="1"/>
    <col min="2" max="2" width="48.85546875" style="3" customWidth="1"/>
    <col min="3" max="3" width="1.7109375" style="3" customWidth="1"/>
    <col min="4" max="4" width="26.85546875" style="3" customWidth="1"/>
    <col min="5" max="5" width="1.7109375" style="3" customWidth="1"/>
    <col min="6" max="7" width="15.7109375" style="3" customWidth="1"/>
    <col min="8" max="8" width="1.7109375" style="3" customWidth="1"/>
    <col min="9" max="10" width="15.7109375" style="3" customWidth="1"/>
    <col min="11" max="11" width="1.7109375" style="3" customWidth="1"/>
    <col min="12" max="13" width="15.7109375" style="3" customWidth="1"/>
    <col min="14" max="14" width="1.7109375" style="3" customWidth="1"/>
    <col min="15" max="15" width="15.7109375" style="3" customWidth="1"/>
    <col min="16" max="16384" width="11.42578125" style="3"/>
  </cols>
  <sheetData>
    <row r="1" spans="2:19" s="52" customFormat="1" ht="12" customHeight="1" x14ac:dyDescent="0.2">
      <c r="B1" s="639" t="s">
        <v>202</v>
      </c>
      <c r="C1" s="49"/>
      <c r="D1" s="50"/>
      <c r="O1" s="72" t="s">
        <v>151</v>
      </c>
    </row>
    <row r="2" spans="2:19" s="52" customFormat="1" ht="6.95" customHeight="1" x14ac:dyDescent="0.2">
      <c r="B2" s="639"/>
      <c r="C2" s="49"/>
      <c r="D2" s="50"/>
    </row>
    <row r="3" spans="2:19" s="52" customFormat="1" x14ac:dyDescent="0.2">
      <c r="B3" s="639" t="s">
        <v>199</v>
      </c>
      <c r="C3" s="611"/>
      <c r="D3" s="611"/>
      <c r="E3" s="611"/>
      <c r="F3" s="611"/>
      <c r="G3" s="611"/>
      <c r="H3" s="611"/>
      <c r="I3" s="611"/>
      <c r="J3" s="611"/>
      <c r="K3" s="611"/>
      <c r="L3" s="611"/>
      <c r="M3" s="611"/>
      <c r="N3" s="611"/>
      <c r="O3" s="611"/>
      <c r="P3" s="611"/>
      <c r="Q3" s="611"/>
      <c r="R3" s="611"/>
      <c r="S3" s="611"/>
    </row>
    <row r="4" spans="2:19" s="52" customFormat="1" ht="6.95" customHeight="1" x14ac:dyDescent="0.2">
      <c r="B4" s="9"/>
      <c r="C4" s="49"/>
      <c r="D4" s="50"/>
    </row>
    <row r="5" spans="2:19" s="52" customFormat="1" ht="25.5" customHeight="1" x14ac:dyDescent="0.2">
      <c r="B5" s="733" t="s">
        <v>157</v>
      </c>
      <c r="C5" s="733"/>
      <c r="D5" s="733"/>
      <c r="E5" s="733"/>
      <c r="F5" s="733"/>
      <c r="G5" s="733"/>
      <c r="H5" s="733"/>
      <c r="I5" s="733"/>
      <c r="J5" s="733"/>
      <c r="K5" s="733"/>
      <c r="L5" s="733"/>
      <c r="M5" s="55"/>
      <c r="N5" s="55"/>
      <c r="O5" s="71" t="s">
        <v>120</v>
      </c>
    </row>
    <row r="6" spans="2:19" ht="6" customHeight="1" x14ac:dyDescent="0.2">
      <c r="B6" s="612"/>
      <c r="C6" s="4"/>
      <c r="D6" s="5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</row>
    <row r="7" spans="2:19" ht="19.5" customHeight="1" x14ac:dyDescent="0.2">
      <c r="B7" s="734" t="s">
        <v>45</v>
      </c>
      <c r="C7" s="6"/>
      <c r="D7" s="737" t="s">
        <v>88</v>
      </c>
      <c r="E7" s="34"/>
      <c r="F7" s="740" t="s">
        <v>135</v>
      </c>
      <c r="G7" s="740"/>
      <c r="H7" s="740"/>
      <c r="I7" s="740"/>
      <c r="J7" s="740"/>
      <c r="K7" s="740"/>
      <c r="L7" s="740"/>
      <c r="M7" s="740"/>
      <c r="N7" s="34"/>
      <c r="O7" s="737" t="s">
        <v>136</v>
      </c>
    </row>
    <row r="8" spans="2:19" ht="27" customHeight="1" x14ac:dyDescent="0.2">
      <c r="B8" s="735"/>
      <c r="C8" s="613"/>
      <c r="D8" s="738"/>
      <c r="E8" s="33"/>
      <c r="F8" s="688" t="s">
        <v>46</v>
      </c>
      <c r="G8" s="688"/>
      <c r="H8" s="244"/>
      <c r="I8" s="688" t="s">
        <v>47</v>
      </c>
      <c r="J8" s="688"/>
      <c r="K8" s="245"/>
      <c r="L8" s="688" t="s">
        <v>48</v>
      </c>
      <c r="M8" s="688"/>
      <c r="N8" s="33"/>
      <c r="O8" s="738"/>
    </row>
    <row r="9" spans="2:19" ht="33" customHeight="1" x14ac:dyDescent="0.2">
      <c r="B9" s="736"/>
      <c r="C9" s="7"/>
      <c r="D9" s="739"/>
      <c r="E9" s="35"/>
      <c r="F9" s="614" t="s">
        <v>0</v>
      </c>
      <c r="G9" s="614" t="s">
        <v>1</v>
      </c>
      <c r="H9" s="614"/>
      <c r="I9" s="614" t="s">
        <v>0</v>
      </c>
      <c r="J9" s="614" t="s">
        <v>1</v>
      </c>
      <c r="K9" s="614"/>
      <c r="L9" s="614" t="s">
        <v>0</v>
      </c>
      <c r="M9" s="614" t="s">
        <v>1</v>
      </c>
      <c r="N9" s="35"/>
      <c r="O9" s="739"/>
    </row>
    <row r="10" spans="2:19" ht="6" customHeight="1" x14ac:dyDescent="0.2">
      <c r="B10" s="4"/>
      <c r="C10" s="4"/>
      <c r="D10" s="117"/>
      <c r="E10" s="118"/>
      <c r="F10" s="118"/>
      <c r="G10" s="118"/>
      <c r="H10" s="118"/>
      <c r="I10" s="118"/>
      <c r="J10" s="118"/>
      <c r="K10" s="118"/>
      <c r="L10" s="118"/>
      <c r="M10" s="118"/>
      <c r="N10" s="118"/>
      <c r="O10" s="118"/>
    </row>
    <row r="11" spans="2:19" s="92" customFormat="1" ht="11.25" x14ac:dyDescent="0.2">
      <c r="B11" s="91" t="s">
        <v>35</v>
      </c>
      <c r="C11" s="83"/>
      <c r="D11" s="334">
        <v>643615.17310143402</v>
      </c>
      <c r="E11" s="87"/>
      <c r="F11" s="334">
        <v>606510.86922187195</v>
      </c>
      <c r="G11" s="620">
        <v>95.823298677799997</v>
      </c>
      <c r="H11" s="119"/>
      <c r="I11" s="620">
        <v>384260.585054842</v>
      </c>
      <c r="J11" s="620">
        <v>61.884952527099998</v>
      </c>
      <c r="K11" s="119"/>
      <c r="L11" s="620">
        <v>39250.159856530903</v>
      </c>
      <c r="M11" s="620">
        <v>6.4585115577999996</v>
      </c>
      <c r="N11" s="119"/>
      <c r="O11" s="620">
        <v>31464.9665805148</v>
      </c>
    </row>
    <row r="12" spans="2:19" s="93" customFormat="1" ht="6" customHeight="1" x14ac:dyDescent="0.2">
      <c r="B12" s="615"/>
      <c r="C12" s="83"/>
      <c r="D12" s="89"/>
      <c r="E12" s="89"/>
      <c r="F12" s="89"/>
      <c r="G12" s="120"/>
      <c r="H12" s="121"/>
      <c r="I12" s="121"/>
      <c r="J12" s="120"/>
      <c r="K12" s="121"/>
      <c r="L12" s="121"/>
      <c r="M12" s="120"/>
      <c r="N12" s="121"/>
      <c r="O12" s="121"/>
    </row>
    <row r="13" spans="2:19" s="93" customFormat="1" ht="11.25" x14ac:dyDescent="0.2">
      <c r="B13" s="616" t="s">
        <v>49</v>
      </c>
      <c r="C13" s="90"/>
      <c r="D13" s="279">
        <v>170736.83295476201</v>
      </c>
      <c r="E13" s="89"/>
      <c r="F13" s="279">
        <v>153805.45246366499</v>
      </c>
      <c r="G13" s="619">
        <v>95.183792226799994</v>
      </c>
      <c r="H13" s="121"/>
      <c r="I13" s="619">
        <v>131371.04987334801</v>
      </c>
      <c r="J13" s="619">
        <v>80.588812971099998</v>
      </c>
      <c r="K13" s="121"/>
      <c r="L13" s="619">
        <v>22843.480575067701</v>
      </c>
      <c r="M13" s="619">
        <v>14.994570984899999</v>
      </c>
      <c r="N13" s="121"/>
      <c r="O13" s="619">
        <v>10234.512817897399</v>
      </c>
    </row>
    <row r="14" spans="2:19" s="93" customFormat="1" ht="11.25" x14ac:dyDescent="0.2">
      <c r="B14" s="616" t="s">
        <v>50</v>
      </c>
      <c r="C14" s="90"/>
      <c r="D14" s="279">
        <v>66405.6233115137</v>
      </c>
      <c r="E14" s="89"/>
      <c r="F14" s="279">
        <v>60012.692017918896</v>
      </c>
      <c r="G14" s="619">
        <v>95.015466498699993</v>
      </c>
      <c r="H14" s="121"/>
      <c r="I14" s="619">
        <v>52985.3132446331</v>
      </c>
      <c r="J14" s="619">
        <v>84.9820736888</v>
      </c>
      <c r="K14" s="121"/>
      <c r="L14" s="619">
        <v>23046.807575453098</v>
      </c>
      <c r="M14" s="619">
        <v>40.409049919499999</v>
      </c>
      <c r="N14" s="121"/>
      <c r="O14" s="619">
        <v>7294.8195311252002</v>
      </c>
    </row>
    <row r="15" spans="2:19" s="93" customFormat="1" ht="11.25" x14ac:dyDescent="0.2">
      <c r="B15" s="616" t="s">
        <v>51</v>
      </c>
      <c r="C15" s="90"/>
      <c r="D15" s="279">
        <v>79091.941192937898</v>
      </c>
      <c r="E15" s="89"/>
      <c r="F15" s="279">
        <v>77108.856143572004</v>
      </c>
      <c r="G15" s="619">
        <v>99.314391881199995</v>
      </c>
      <c r="H15" s="121"/>
      <c r="I15" s="619">
        <v>58043.8090288901</v>
      </c>
      <c r="J15" s="619">
        <v>78.683413411999993</v>
      </c>
      <c r="K15" s="121"/>
      <c r="L15" s="619">
        <v>17445.7848374114</v>
      </c>
      <c r="M15" s="619">
        <v>26.155122065899999</v>
      </c>
      <c r="N15" s="121"/>
      <c r="O15" s="619">
        <v>2985.1053862487001</v>
      </c>
    </row>
    <row r="16" spans="2:19" s="93" customFormat="1" ht="11.25" x14ac:dyDescent="0.2">
      <c r="B16" s="616" t="s">
        <v>137</v>
      </c>
      <c r="C16" s="90"/>
      <c r="D16" s="279">
        <v>406259.11004395498</v>
      </c>
      <c r="E16" s="89"/>
      <c r="F16" s="279">
        <v>392709.440610889</v>
      </c>
      <c r="G16" s="619">
        <v>97.904262544800005</v>
      </c>
      <c r="H16" s="121"/>
      <c r="I16" s="619">
        <v>200722.52346676699</v>
      </c>
      <c r="J16" s="619">
        <v>52.386752450099998</v>
      </c>
      <c r="K16" s="121"/>
      <c r="L16" s="141" t="s">
        <v>201</v>
      </c>
      <c r="M16" s="142" t="s">
        <v>201</v>
      </c>
      <c r="N16" s="121"/>
      <c r="O16" s="619">
        <v>15083.477015746301</v>
      </c>
    </row>
    <row r="17" spans="2:15" s="93" customFormat="1" ht="11.25" x14ac:dyDescent="0.2">
      <c r="B17" s="616" t="s">
        <v>138</v>
      </c>
      <c r="C17" s="90"/>
      <c r="D17" s="279">
        <v>86929.491126645502</v>
      </c>
      <c r="E17" s="89"/>
      <c r="F17" s="279">
        <v>82526.095162446203</v>
      </c>
      <c r="G17" s="619">
        <v>97.827604828700004</v>
      </c>
      <c r="H17" s="121"/>
      <c r="I17" s="619">
        <v>47984.552407707903</v>
      </c>
      <c r="J17" s="619">
        <v>62.574593970800002</v>
      </c>
      <c r="K17" s="121"/>
      <c r="L17" s="141" t="s">
        <v>201</v>
      </c>
      <c r="M17" s="142" t="s">
        <v>201</v>
      </c>
      <c r="N17" s="121"/>
      <c r="O17" s="619">
        <v>5338.7785231949001</v>
      </c>
    </row>
    <row r="18" spans="2:15" s="93" customFormat="1" ht="6" customHeight="1" x14ac:dyDescent="0.2">
      <c r="B18" s="616"/>
      <c r="C18" s="90"/>
      <c r="D18" s="89"/>
      <c r="E18" s="121"/>
      <c r="F18" s="121"/>
      <c r="G18" s="120"/>
      <c r="H18" s="121"/>
      <c r="I18" s="121"/>
      <c r="J18" s="120"/>
      <c r="K18" s="121"/>
      <c r="L18" s="121"/>
      <c r="M18" s="120"/>
      <c r="N18" s="121"/>
      <c r="O18" s="121"/>
    </row>
    <row r="19" spans="2:15" s="92" customFormat="1" ht="11.25" x14ac:dyDescent="0.2">
      <c r="B19" s="617" t="s">
        <v>36</v>
      </c>
      <c r="C19" s="88"/>
      <c r="D19" s="334">
        <v>86027.483611042306</v>
      </c>
      <c r="E19" s="119"/>
      <c r="F19" s="620">
        <v>79612.967486420603</v>
      </c>
      <c r="G19" s="620">
        <v>95.727007933500005</v>
      </c>
      <c r="H19" s="119"/>
      <c r="I19" s="620">
        <v>49967.723758244603</v>
      </c>
      <c r="J19" s="620">
        <v>63.1705638428</v>
      </c>
      <c r="K19" s="119"/>
      <c r="L19" s="620">
        <v>3721.3090531206999</v>
      </c>
      <c r="M19" s="620">
        <v>4.978527025</v>
      </c>
      <c r="N19" s="119"/>
      <c r="O19" s="620">
        <v>6624.1470466049996</v>
      </c>
    </row>
    <row r="20" spans="2:15" s="93" customFormat="1" ht="6" customHeight="1" x14ac:dyDescent="0.2">
      <c r="B20" s="90"/>
      <c r="C20" s="90"/>
      <c r="D20" s="121"/>
      <c r="E20" s="121"/>
      <c r="F20" s="121"/>
      <c r="G20" s="120"/>
      <c r="H20" s="121"/>
      <c r="I20" s="121"/>
      <c r="J20" s="120"/>
      <c r="K20" s="121"/>
      <c r="L20" s="121"/>
      <c r="M20" s="120"/>
      <c r="N20" s="121"/>
      <c r="O20" s="121"/>
    </row>
    <row r="21" spans="2:15" s="93" customFormat="1" ht="11.25" x14ac:dyDescent="0.2">
      <c r="B21" s="616" t="s">
        <v>49</v>
      </c>
      <c r="C21" s="90"/>
      <c r="D21" s="279">
        <v>40717.150502558397</v>
      </c>
      <c r="E21" s="121"/>
      <c r="F21" s="619">
        <v>37472.534858570398</v>
      </c>
      <c r="G21" s="619">
        <v>97.298873951700003</v>
      </c>
      <c r="H21" s="121"/>
      <c r="I21" s="619">
        <v>27211.634273255098</v>
      </c>
      <c r="J21" s="619">
        <v>74.882879461499996</v>
      </c>
      <c r="K21" s="121"/>
      <c r="L21" s="619">
        <v>0</v>
      </c>
      <c r="M21" s="619">
        <v>0</v>
      </c>
      <c r="N21" s="121"/>
      <c r="O21" s="619">
        <v>3599.3935451031998</v>
      </c>
    </row>
    <row r="22" spans="2:15" s="93" customFormat="1" ht="11.25" x14ac:dyDescent="0.2">
      <c r="B22" s="616" t="s">
        <v>50</v>
      </c>
      <c r="C22" s="90"/>
      <c r="D22" s="279">
        <v>11926.622033801001</v>
      </c>
      <c r="E22" s="121"/>
      <c r="F22" s="619">
        <v>10015.0994349672</v>
      </c>
      <c r="G22" s="619">
        <v>97.110163571100003</v>
      </c>
      <c r="H22" s="121"/>
      <c r="I22" s="619">
        <v>8796.1034142274002</v>
      </c>
      <c r="J22" s="619">
        <v>86.828082664999997</v>
      </c>
      <c r="K22" s="121"/>
      <c r="L22" s="619">
        <v>3721.3090531206999</v>
      </c>
      <c r="M22" s="619">
        <v>41.128425259700002</v>
      </c>
      <c r="N22" s="121"/>
      <c r="O22" s="619">
        <v>2348.433674029</v>
      </c>
    </row>
    <row r="23" spans="2:15" s="93" customFormat="1" ht="11.25" x14ac:dyDescent="0.2">
      <c r="B23" s="616" t="s">
        <v>51</v>
      </c>
      <c r="C23" s="90"/>
      <c r="D23" s="279">
        <v>9160.1781330071008</v>
      </c>
      <c r="E23" s="121"/>
      <c r="F23" s="619">
        <v>8815.7651403751006</v>
      </c>
      <c r="G23" s="619">
        <v>103.06515720500001</v>
      </c>
      <c r="H23" s="121"/>
      <c r="I23" s="619">
        <v>5069.8705935846001</v>
      </c>
      <c r="J23" s="619">
        <v>72.774995840200006</v>
      </c>
      <c r="K23" s="121"/>
      <c r="L23" s="619">
        <v>0</v>
      </c>
      <c r="M23" s="619">
        <v>0</v>
      </c>
      <c r="N23" s="121"/>
      <c r="O23" s="619">
        <v>798.7457953393</v>
      </c>
    </row>
    <row r="24" spans="2:15" s="93" customFormat="1" ht="11.25" x14ac:dyDescent="0.2">
      <c r="B24" s="616" t="s">
        <v>137</v>
      </c>
      <c r="C24" s="90"/>
      <c r="D24" s="279">
        <v>33203.886896407203</v>
      </c>
      <c r="E24" s="121"/>
      <c r="F24" s="619">
        <v>31126.7772837302</v>
      </c>
      <c r="G24" s="619">
        <v>99.587788054000001</v>
      </c>
      <c r="H24" s="121"/>
      <c r="I24" s="619">
        <v>12738.561344158101</v>
      </c>
      <c r="J24" s="619">
        <v>46.523061825799999</v>
      </c>
      <c r="K24" s="121"/>
      <c r="L24" s="141" t="s">
        <v>201</v>
      </c>
      <c r="M24" s="142" t="s">
        <v>201</v>
      </c>
      <c r="N24" s="121"/>
      <c r="O24" s="619">
        <v>2181.4960814353999</v>
      </c>
    </row>
    <row r="25" spans="2:15" s="93" customFormat="1" ht="11.25" x14ac:dyDescent="0.2">
      <c r="B25" s="616" t="s">
        <v>138</v>
      </c>
      <c r="C25" s="90"/>
      <c r="D25" s="279">
        <v>12996.538896653499</v>
      </c>
      <c r="E25" s="121"/>
      <c r="F25" s="619">
        <v>11838.523677057499</v>
      </c>
      <c r="G25" s="619">
        <v>101.57224936679999</v>
      </c>
      <c r="H25" s="121"/>
      <c r="I25" s="619">
        <v>10974.320230249799</v>
      </c>
      <c r="J25" s="619">
        <v>96.8385525108</v>
      </c>
      <c r="K25" s="121"/>
      <c r="L25" s="141" t="s">
        <v>201</v>
      </c>
      <c r="M25" s="142" t="s">
        <v>201</v>
      </c>
      <c r="N25" s="121"/>
      <c r="O25" s="619">
        <v>0</v>
      </c>
    </row>
    <row r="26" spans="2:15" s="93" customFormat="1" ht="6" customHeight="1" x14ac:dyDescent="0.2">
      <c r="B26" s="616"/>
      <c r="C26" s="90"/>
      <c r="D26" s="89"/>
      <c r="E26" s="121"/>
      <c r="F26" s="121"/>
      <c r="G26" s="120"/>
      <c r="H26" s="121"/>
      <c r="I26" s="121"/>
      <c r="J26" s="120"/>
      <c r="K26" s="121"/>
      <c r="L26" s="121"/>
      <c r="M26" s="120"/>
      <c r="N26" s="121"/>
      <c r="O26" s="121"/>
    </row>
    <row r="27" spans="2:15" s="92" customFormat="1" ht="11.25" x14ac:dyDescent="0.2">
      <c r="B27" s="617" t="s">
        <v>37</v>
      </c>
      <c r="C27" s="88"/>
      <c r="D27" s="334">
        <v>80429.339996890994</v>
      </c>
      <c r="E27" s="119"/>
      <c r="F27" s="620">
        <v>75664.087480029004</v>
      </c>
      <c r="G27" s="620">
        <v>98.117482763699996</v>
      </c>
      <c r="H27" s="119"/>
      <c r="I27" s="620">
        <v>60509.574022532302</v>
      </c>
      <c r="J27" s="620">
        <v>80.661803454400001</v>
      </c>
      <c r="K27" s="119"/>
      <c r="L27" s="620">
        <v>19634.6724120937</v>
      </c>
      <c r="M27" s="620">
        <v>28.057389697000001</v>
      </c>
      <c r="N27" s="119"/>
      <c r="O27" s="620">
        <v>5441.8539944115</v>
      </c>
    </row>
    <row r="28" spans="2:15" s="93" customFormat="1" ht="6" customHeight="1" x14ac:dyDescent="0.2">
      <c r="B28" s="617"/>
      <c r="C28" s="90"/>
      <c r="D28" s="89"/>
      <c r="E28" s="121"/>
      <c r="F28" s="121"/>
      <c r="G28" s="120"/>
      <c r="H28" s="121"/>
      <c r="I28" s="121"/>
      <c r="J28" s="120"/>
      <c r="K28" s="121"/>
      <c r="L28" s="121"/>
      <c r="M28" s="120"/>
      <c r="N28" s="121"/>
      <c r="O28" s="121"/>
    </row>
    <row r="29" spans="2:15" s="93" customFormat="1" ht="9.75" customHeight="1" x14ac:dyDescent="0.2">
      <c r="B29" s="616" t="s">
        <v>49</v>
      </c>
      <c r="C29" s="90"/>
      <c r="D29" s="279">
        <v>37924.827277447301</v>
      </c>
      <c r="E29" s="121"/>
      <c r="F29" s="619">
        <v>36446.024383919001</v>
      </c>
      <c r="G29" s="619">
        <v>102.89878579480001</v>
      </c>
      <c r="H29" s="121"/>
      <c r="I29" s="619">
        <v>30232.865141322502</v>
      </c>
      <c r="J29" s="619">
        <v>87.252360096000004</v>
      </c>
      <c r="K29" s="121"/>
      <c r="L29" s="619">
        <v>16506.499967444001</v>
      </c>
      <c r="M29" s="619">
        <v>51.053964414600003</v>
      </c>
      <c r="N29" s="121"/>
      <c r="O29" s="619">
        <v>3472.6928121873002</v>
      </c>
    </row>
    <row r="30" spans="2:15" s="93" customFormat="1" ht="11.25" x14ac:dyDescent="0.2">
      <c r="B30" s="616" t="s">
        <v>50</v>
      </c>
      <c r="C30" s="90"/>
      <c r="D30" s="279">
        <v>24851.825290175799</v>
      </c>
      <c r="E30" s="121"/>
      <c r="F30" s="619">
        <v>23183.713006986902</v>
      </c>
      <c r="G30" s="619">
        <v>100.45073075800001</v>
      </c>
      <c r="H30" s="121"/>
      <c r="I30" s="619">
        <v>21018.953317037602</v>
      </c>
      <c r="J30" s="619">
        <v>93.449596637200003</v>
      </c>
      <c r="K30" s="121"/>
      <c r="L30" s="619">
        <v>15408.4589508479</v>
      </c>
      <c r="M30" s="619">
        <v>74.034471719999999</v>
      </c>
      <c r="N30" s="121"/>
      <c r="O30" s="619">
        <v>1989.8985012147</v>
      </c>
    </row>
    <row r="31" spans="2:15" s="93" customFormat="1" ht="11.25" x14ac:dyDescent="0.2">
      <c r="B31" s="616" t="s">
        <v>51</v>
      </c>
      <c r="C31" s="90"/>
      <c r="D31" s="279">
        <v>17585.7989414279</v>
      </c>
      <c r="E31" s="121"/>
      <c r="F31" s="619">
        <v>17585.7989414279</v>
      </c>
      <c r="G31" s="619">
        <v>100</v>
      </c>
      <c r="H31" s="121"/>
      <c r="I31" s="619">
        <v>16173.432559725999</v>
      </c>
      <c r="J31" s="619">
        <v>102.2290977926</v>
      </c>
      <c r="K31" s="121"/>
      <c r="L31" s="619">
        <v>11089.871257807499</v>
      </c>
      <c r="M31" s="619">
        <v>84.541985062699993</v>
      </c>
      <c r="N31" s="121"/>
      <c r="O31" s="619">
        <v>0</v>
      </c>
    </row>
    <row r="32" spans="2:15" s="93" customFormat="1" ht="11.25" x14ac:dyDescent="0.2">
      <c r="B32" s="616" t="s">
        <v>137</v>
      </c>
      <c r="C32" s="90"/>
      <c r="D32" s="279">
        <v>37636.191383381403</v>
      </c>
      <c r="E32" s="121"/>
      <c r="F32" s="619">
        <v>35751.834865138502</v>
      </c>
      <c r="G32" s="619">
        <v>99.713076596199997</v>
      </c>
      <c r="H32" s="121"/>
      <c r="I32" s="619">
        <v>27457.8510481921</v>
      </c>
      <c r="J32" s="619">
        <v>83.181623186799996</v>
      </c>
      <c r="K32" s="121"/>
      <c r="L32" s="141" t="s">
        <v>201</v>
      </c>
      <c r="M32" s="142" t="s">
        <v>201</v>
      </c>
      <c r="N32" s="121"/>
      <c r="O32" s="619">
        <v>1629.2298342020999</v>
      </c>
    </row>
    <row r="33" spans="2:15" s="93" customFormat="1" ht="11.25" x14ac:dyDescent="0.2">
      <c r="B33" s="616" t="s">
        <v>138</v>
      </c>
      <c r="C33" s="90"/>
      <c r="D33" s="279">
        <v>12401.8188205194</v>
      </c>
      <c r="E33" s="121"/>
      <c r="F33" s="619">
        <v>11677.3186956012</v>
      </c>
      <c r="G33" s="619">
        <v>105.35667931250001</v>
      </c>
      <c r="H33" s="121"/>
      <c r="I33" s="619">
        <v>10697.820910869799</v>
      </c>
      <c r="J33" s="619">
        <v>99.289027083799994</v>
      </c>
      <c r="K33" s="121"/>
      <c r="L33" s="141" t="s">
        <v>201</v>
      </c>
      <c r="M33" s="142" t="s">
        <v>201</v>
      </c>
      <c r="N33" s="121"/>
      <c r="O33" s="619">
        <v>1637.164395083</v>
      </c>
    </row>
    <row r="34" spans="2:15" s="93" customFormat="1" ht="6" customHeight="1" x14ac:dyDescent="0.2">
      <c r="B34" s="616"/>
      <c r="C34" s="90"/>
      <c r="D34" s="89"/>
      <c r="E34" s="121"/>
      <c r="F34" s="121"/>
      <c r="G34" s="120"/>
      <c r="H34" s="121"/>
      <c r="I34" s="121"/>
      <c r="J34" s="120"/>
      <c r="K34" s="121"/>
      <c r="L34" s="121"/>
      <c r="M34" s="120"/>
      <c r="N34" s="121"/>
      <c r="O34" s="121"/>
    </row>
    <row r="35" spans="2:15" s="92" customFormat="1" ht="11.25" x14ac:dyDescent="0.2">
      <c r="B35" s="618" t="s">
        <v>38</v>
      </c>
      <c r="C35" s="88"/>
      <c r="D35" s="334">
        <v>121730.54415065701</v>
      </c>
      <c r="E35" s="119"/>
      <c r="F35" s="620">
        <v>110844.05426199301</v>
      </c>
      <c r="G35" s="620">
        <v>98.250602793400006</v>
      </c>
      <c r="H35" s="119"/>
      <c r="I35" s="620">
        <v>77841.589040100007</v>
      </c>
      <c r="J35" s="620">
        <v>69.617143204800001</v>
      </c>
      <c r="K35" s="119"/>
      <c r="L35" s="620">
        <v>6288.5158208064004</v>
      </c>
      <c r="M35" s="620">
        <v>6.0235582192999999</v>
      </c>
      <c r="N35" s="119"/>
      <c r="O35" s="620">
        <v>5832.0438524746996</v>
      </c>
    </row>
    <row r="36" spans="2:15" s="93" customFormat="1" ht="6" customHeight="1" x14ac:dyDescent="0.2">
      <c r="B36" s="616"/>
      <c r="C36" s="90"/>
      <c r="D36" s="89"/>
      <c r="E36" s="121"/>
      <c r="F36" s="121"/>
      <c r="G36" s="120"/>
      <c r="H36" s="121"/>
      <c r="I36" s="121"/>
      <c r="J36" s="120"/>
      <c r="K36" s="121"/>
      <c r="L36" s="121"/>
      <c r="M36" s="120"/>
      <c r="N36" s="121"/>
      <c r="O36" s="121"/>
    </row>
    <row r="37" spans="2:15" s="93" customFormat="1" ht="11.25" x14ac:dyDescent="0.2">
      <c r="B37" s="616" t="s">
        <v>49</v>
      </c>
      <c r="C37" s="90"/>
      <c r="D37" s="279">
        <v>32344.357095186901</v>
      </c>
      <c r="E37" s="121"/>
      <c r="F37" s="619">
        <v>21907.277581537099</v>
      </c>
      <c r="G37" s="619">
        <v>93.900457309399997</v>
      </c>
      <c r="H37" s="121"/>
      <c r="I37" s="619">
        <v>29981.813236977399</v>
      </c>
      <c r="J37" s="619">
        <v>96.978410856500005</v>
      </c>
      <c r="K37" s="121"/>
      <c r="L37" s="619">
        <v>0</v>
      </c>
      <c r="M37" s="619">
        <v>0</v>
      </c>
      <c r="N37" s="121"/>
      <c r="O37" s="619">
        <v>984.77924512059997</v>
      </c>
    </row>
    <row r="38" spans="2:15" s="93" customFormat="1" ht="11.25" x14ac:dyDescent="0.2">
      <c r="B38" s="616" t="s">
        <v>50</v>
      </c>
      <c r="C38" s="90"/>
      <c r="D38" s="279">
        <v>12632.7104681495</v>
      </c>
      <c r="E38" s="121"/>
      <c r="F38" s="619">
        <v>10920.292786197801</v>
      </c>
      <c r="G38" s="619">
        <v>107.4298654853</v>
      </c>
      <c r="H38" s="121"/>
      <c r="I38" s="619">
        <v>10793.3984230348</v>
      </c>
      <c r="J38" s="619">
        <v>105.9272387228</v>
      </c>
      <c r="K38" s="121"/>
      <c r="L38" s="619">
        <v>6288.5158208064004</v>
      </c>
      <c r="M38" s="619">
        <v>67.403953783999995</v>
      </c>
      <c r="N38" s="121"/>
      <c r="O38" s="619">
        <v>3271.6839365390001</v>
      </c>
    </row>
    <row r="39" spans="2:15" s="93" customFormat="1" ht="11.25" x14ac:dyDescent="0.2">
      <c r="B39" s="616" t="s">
        <v>51</v>
      </c>
      <c r="C39" s="90"/>
      <c r="D39" s="279">
        <v>13144.7049324251</v>
      </c>
      <c r="E39" s="121"/>
      <c r="F39" s="619">
        <v>13144.7049324251</v>
      </c>
      <c r="G39" s="619">
        <v>100</v>
      </c>
      <c r="H39" s="121"/>
      <c r="I39" s="619">
        <v>11894.831852639099</v>
      </c>
      <c r="J39" s="619">
        <v>102.681162387</v>
      </c>
      <c r="K39" s="121"/>
      <c r="L39" s="619">
        <v>0</v>
      </c>
      <c r="M39" s="619">
        <v>0</v>
      </c>
      <c r="N39" s="121"/>
      <c r="O39" s="619">
        <v>0</v>
      </c>
    </row>
    <row r="40" spans="2:15" s="93" customFormat="1" ht="11.25" x14ac:dyDescent="0.2">
      <c r="B40" s="616" t="s">
        <v>137</v>
      </c>
      <c r="C40" s="90"/>
      <c r="D40" s="279">
        <v>85691.753389225807</v>
      </c>
      <c r="E40" s="121"/>
      <c r="F40" s="619">
        <v>83946.901450273595</v>
      </c>
      <c r="G40" s="619">
        <v>99.828642477599999</v>
      </c>
      <c r="H40" s="121"/>
      <c r="I40" s="619">
        <v>46240.9431547399</v>
      </c>
      <c r="J40" s="619">
        <v>60.807776565700003</v>
      </c>
      <c r="K40" s="121"/>
      <c r="L40" s="141" t="s">
        <v>201</v>
      </c>
      <c r="M40" s="142" t="s">
        <v>201</v>
      </c>
      <c r="N40" s="121"/>
      <c r="O40" s="619">
        <v>3461.1643806618999</v>
      </c>
    </row>
    <row r="41" spans="2:15" s="93" customFormat="1" ht="11.25" x14ac:dyDescent="0.2">
      <c r="B41" s="616" t="s">
        <v>138</v>
      </c>
      <c r="C41" s="90"/>
      <c r="D41" s="279">
        <v>16522.898210579198</v>
      </c>
      <c r="E41" s="121"/>
      <c r="F41" s="619">
        <v>16522.898210579198</v>
      </c>
      <c r="G41" s="619">
        <v>100</v>
      </c>
      <c r="H41" s="121"/>
      <c r="I41" s="619">
        <v>3613.7739262246</v>
      </c>
      <c r="J41" s="619">
        <v>40.012823805700002</v>
      </c>
      <c r="K41" s="121"/>
      <c r="L41" s="141" t="s">
        <v>201</v>
      </c>
      <c r="M41" s="142" t="s">
        <v>201</v>
      </c>
      <c r="N41" s="121"/>
      <c r="O41" s="619">
        <v>0</v>
      </c>
    </row>
    <row r="42" spans="2:15" s="93" customFormat="1" ht="6" customHeight="1" x14ac:dyDescent="0.2">
      <c r="B42" s="90"/>
      <c r="C42" s="90"/>
      <c r="D42" s="121"/>
      <c r="E42" s="121"/>
      <c r="F42" s="121"/>
      <c r="G42" s="120"/>
      <c r="H42" s="121"/>
      <c r="I42" s="121"/>
      <c r="J42" s="120"/>
      <c r="K42" s="121"/>
      <c r="L42" s="121"/>
      <c r="M42" s="120"/>
      <c r="N42" s="121"/>
      <c r="O42" s="121"/>
    </row>
    <row r="43" spans="2:15" s="92" customFormat="1" ht="11.25" x14ac:dyDescent="0.2">
      <c r="B43" s="618" t="s">
        <v>54</v>
      </c>
      <c r="C43" s="88"/>
      <c r="D43" s="334">
        <v>390493.18234240799</v>
      </c>
      <c r="E43" s="119"/>
      <c r="F43" s="620">
        <v>373812.25037888001</v>
      </c>
      <c r="G43" s="620">
        <v>97.167006484699996</v>
      </c>
      <c r="H43" s="119"/>
      <c r="I43" s="620">
        <v>225174.53664584199</v>
      </c>
      <c r="J43" s="620">
        <v>60.726576795100002</v>
      </c>
      <c r="K43" s="119"/>
      <c r="L43" s="620">
        <v>18592.430154948899</v>
      </c>
      <c r="M43" s="620">
        <v>5.1628530841</v>
      </c>
      <c r="N43" s="119"/>
      <c r="O43" s="620">
        <v>19899.953535455301</v>
      </c>
    </row>
    <row r="44" spans="2:15" s="93" customFormat="1" ht="6" customHeight="1" x14ac:dyDescent="0.2">
      <c r="B44" s="616"/>
      <c r="C44" s="90"/>
      <c r="D44" s="89"/>
      <c r="E44" s="121"/>
      <c r="F44" s="121"/>
      <c r="G44" s="120"/>
      <c r="H44" s="121"/>
      <c r="I44" s="121"/>
      <c r="J44" s="120"/>
      <c r="K44" s="121"/>
      <c r="L44" s="121"/>
      <c r="M44" s="120"/>
      <c r="N44" s="121"/>
      <c r="O44" s="121"/>
    </row>
    <row r="45" spans="2:15" s="93" customFormat="1" ht="12" customHeight="1" x14ac:dyDescent="0.2">
      <c r="B45" s="616" t="s">
        <v>49</v>
      </c>
      <c r="C45" s="90"/>
      <c r="D45" s="279">
        <v>81039.602274981502</v>
      </c>
      <c r="E45" s="121"/>
      <c r="F45" s="619">
        <v>76824.451282689406</v>
      </c>
      <c r="G45" s="619">
        <v>98.590038133799993</v>
      </c>
      <c r="H45" s="121"/>
      <c r="I45" s="619">
        <v>63350.622209924099</v>
      </c>
      <c r="J45" s="619">
        <v>85.093180370699997</v>
      </c>
      <c r="K45" s="121"/>
      <c r="L45" s="619">
        <v>9050.0252053485001</v>
      </c>
      <c r="M45" s="619">
        <v>13.714051338000001</v>
      </c>
      <c r="N45" s="121"/>
      <c r="O45" s="619">
        <v>5473.6854156378004</v>
      </c>
    </row>
    <row r="46" spans="2:15" s="93" customFormat="1" ht="11.25" x14ac:dyDescent="0.2">
      <c r="B46" s="616" t="s">
        <v>50</v>
      </c>
      <c r="C46" s="90"/>
      <c r="D46" s="279">
        <v>29135.033294946999</v>
      </c>
      <c r="E46" s="121"/>
      <c r="F46" s="619">
        <v>27412.1753762605</v>
      </c>
      <c r="G46" s="619">
        <v>100.41152434830001</v>
      </c>
      <c r="H46" s="121"/>
      <c r="I46" s="619">
        <v>23592.2869846225</v>
      </c>
      <c r="J46" s="619">
        <v>90.8164690073</v>
      </c>
      <c r="K46" s="121"/>
      <c r="L46" s="619">
        <v>3660.2807833370998</v>
      </c>
      <c r="M46" s="619">
        <v>19.0005824576</v>
      </c>
      <c r="N46" s="121"/>
      <c r="O46" s="619">
        <v>2558.5047115793</v>
      </c>
    </row>
    <row r="47" spans="2:15" s="93" customFormat="1" ht="11.25" x14ac:dyDescent="0.2">
      <c r="B47" s="616" t="s">
        <v>51</v>
      </c>
      <c r="C47" s="90"/>
      <c r="D47" s="279">
        <v>51952.700035035297</v>
      </c>
      <c r="E47" s="121"/>
      <c r="F47" s="619">
        <v>50265.534461395502</v>
      </c>
      <c r="G47" s="619">
        <v>99.457398583400007</v>
      </c>
      <c r="H47" s="121"/>
      <c r="I47" s="619">
        <v>36446.984181600899</v>
      </c>
      <c r="J47" s="619">
        <v>77.7507638939</v>
      </c>
      <c r="K47" s="121"/>
      <c r="L47" s="619">
        <v>9618.0861133412</v>
      </c>
      <c r="M47" s="619">
        <v>23.517971643399999</v>
      </c>
      <c r="N47" s="121"/>
      <c r="O47" s="619">
        <v>2589.4436703788001</v>
      </c>
    </row>
    <row r="48" spans="2:15" s="93" customFormat="1" ht="11.25" x14ac:dyDescent="0.2">
      <c r="B48" s="616" t="s">
        <v>137</v>
      </c>
      <c r="C48" s="90"/>
      <c r="D48" s="279">
        <v>275755.71914596303</v>
      </c>
      <c r="E48" s="121"/>
      <c r="F48" s="619">
        <v>267669.570450856</v>
      </c>
      <c r="G48" s="619">
        <v>98.703117637800005</v>
      </c>
      <c r="H48" s="121"/>
      <c r="I48" s="619">
        <v>134013.142350318</v>
      </c>
      <c r="J48" s="619">
        <v>52.623719895400001</v>
      </c>
      <c r="K48" s="121"/>
      <c r="L48" s="141" t="s">
        <v>201</v>
      </c>
      <c r="M48" s="142" t="s">
        <v>201</v>
      </c>
      <c r="N48" s="121"/>
      <c r="O48" s="619">
        <v>11203.5721863895</v>
      </c>
    </row>
    <row r="49" spans="2:15" s="93" customFormat="1" ht="13.5" customHeight="1" x14ac:dyDescent="0.2">
      <c r="B49" s="616" t="s">
        <v>138</v>
      </c>
      <c r="C49" s="90"/>
      <c r="D49" s="279">
        <v>57337.7815547305</v>
      </c>
      <c r="E49" s="121"/>
      <c r="F49" s="619">
        <v>54584.337829848402</v>
      </c>
      <c r="G49" s="619">
        <v>98.961136071499993</v>
      </c>
      <c r="H49" s="121"/>
      <c r="I49" s="619">
        <v>30457.252941910301</v>
      </c>
      <c r="J49" s="619">
        <v>61.4367036724</v>
      </c>
      <c r="K49" s="121"/>
      <c r="L49" s="141" t="s">
        <v>201</v>
      </c>
      <c r="M49" s="142" t="s">
        <v>201</v>
      </c>
      <c r="N49" s="121"/>
      <c r="O49" s="619">
        <v>4484.0583821993996</v>
      </c>
    </row>
    <row r="50" spans="2:15" ht="6" customHeight="1" x14ac:dyDescent="0.2">
      <c r="B50" s="11"/>
      <c r="C50" s="38"/>
      <c r="D50" s="12"/>
      <c r="E50" s="122"/>
      <c r="F50" s="122"/>
      <c r="G50" s="122"/>
      <c r="H50" s="122"/>
      <c r="I50" s="122"/>
      <c r="J50" s="122"/>
      <c r="K50" s="122"/>
      <c r="L50" s="122"/>
      <c r="M50" s="122"/>
      <c r="N50" s="122"/>
      <c r="O50" s="122"/>
    </row>
    <row r="51" spans="2:15" ht="6" customHeight="1" x14ac:dyDescent="0.2">
      <c r="B51" s="23"/>
      <c r="C51" s="4"/>
      <c r="D51" s="4"/>
      <c r="E51" s="37"/>
      <c r="F51" s="33"/>
      <c r="G51" s="33"/>
      <c r="H51" s="33"/>
      <c r="I51" s="33"/>
      <c r="J51" s="33"/>
      <c r="K51" s="33"/>
      <c r="L51" s="33"/>
      <c r="M51" s="33"/>
      <c r="N51" s="33"/>
      <c r="O51" s="33"/>
    </row>
    <row r="52" spans="2:15" x14ac:dyDescent="0.2">
      <c r="B52" s="23" t="s">
        <v>139</v>
      </c>
      <c r="C52" s="4"/>
      <c r="D52" s="4"/>
      <c r="E52" s="37"/>
      <c r="F52" s="33"/>
      <c r="G52" s="33"/>
      <c r="H52" s="33"/>
      <c r="I52" s="33"/>
      <c r="J52" s="33"/>
      <c r="K52" s="33"/>
      <c r="L52" s="33"/>
      <c r="M52" s="33"/>
      <c r="N52" s="33"/>
      <c r="O52" s="33"/>
    </row>
    <row r="53" spans="2:15" x14ac:dyDescent="0.2">
      <c r="B53" s="23" t="s">
        <v>140</v>
      </c>
      <c r="C53" s="4"/>
      <c r="D53" s="4"/>
      <c r="E53" s="37"/>
      <c r="F53" s="33"/>
      <c r="G53" s="33"/>
      <c r="H53" s="33"/>
      <c r="I53" s="33"/>
      <c r="J53" s="33"/>
      <c r="K53" s="33"/>
      <c r="L53" s="33"/>
      <c r="M53" s="33"/>
      <c r="N53" s="33"/>
      <c r="O53" s="33"/>
    </row>
    <row r="54" spans="2:15" x14ac:dyDescent="0.2">
      <c r="B54" s="23" t="s">
        <v>141</v>
      </c>
      <c r="C54" s="4"/>
      <c r="D54" s="4"/>
      <c r="E54" s="37"/>
      <c r="F54" s="33"/>
      <c r="G54" s="33"/>
      <c r="H54" s="33"/>
      <c r="I54" s="33"/>
      <c r="J54" s="33"/>
      <c r="K54" s="33"/>
      <c r="L54" s="33"/>
      <c r="M54" s="33"/>
      <c r="N54" s="33"/>
      <c r="O54" s="33"/>
    </row>
    <row r="55" spans="2:15" ht="12.95" customHeight="1" x14ac:dyDescent="0.2">
      <c r="B55" s="23" t="s">
        <v>142</v>
      </c>
      <c r="C55" s="4"/>
      <c r="D55" s="4"/>
      <c r="E55" s="37"/>
      <c r="F55" s="33"/>
      <c r="G55" s="33"/>
      <c r="H55" s="33"/>
      <c r="I55" s="33"/>
      <c r="J55" s="33"/>
      <c r="K55" s="33"/>
      <c r="L55" s="33"/>
      <c r="M55" s="33"/>
      <c r="N55" s="33"/>
      <c r="O55" s="33"/>
    </row>
    <row r="56" spans="2:15" s="13" customFormat="1" ht="14.25" x14ac:dyDescent="0.2">
      <c r="B56" s="109" t="s">
        <v>57</v>
      </c>
    </row>
  </sheetData>
  <mergeCells count="8">
    <mergeCell ref="B5:L5"/>
    <mergeCell ref="B7:B9"/>
    <mergeCell ref="D7:D9"/>
    <mergeCell ref="F7:M7"/>
    <mergeCell ref="O7:O9"/>
    <mergeCell ref="F8:G8"/>
    <mergeCell ref="I8:J8"/>
    <mergeCell ref="L8:M8"/>
  </mergeCells>
  <hyperlinks>
    <hyperlink ref="O1" location="Índice!A1" tooltip="Ir a ÍNDICE" display="INDICE" xr:uid="{BB3555F2-1F5A-484B-B0B5-E05F4978691A}"/>
  </hyperlinks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46FFE1-B6C8-487B-AC3A-E801D86EE7B6}">
  <dimension ref="B1:S23"/>
  <sheetViews>
    <sheetView showGridLines="0" zoomScaleNormal="100" workbookViewId="0"/>
  </sheetViews>
  <sheetFormatPr baseColWidth="10" defaultColWidth="11.42578125" defaultRowHeight="12.75" x14ac:dyDescent="0.2"/>
  <cols>
    <col min="1" max="1" width="1.7109375" style="21" customWidth="1"/>
    <col min="2" max="2" width="51.5703125" style="21" customWidth="1"/>
    <col min="3" max="3" width="1.7109375" style="21" customWidth="1"/>
    <col min="4" max="4" width="28.7109375" style="21" customWidth="1"/>
    <col min="5" max="5" width="1.7109375" style="21" customWidth="1"/>
    <col min="6" max="7" width="15.7109375" style="21" customWidth="1"/>
    <col min="8" max="8" width="1.7109375" style="21" customWidth="1"/>
    <col min="9" max="10" width="15.7109375" style="21" customWidth="1"/>
    <col min="11" max="11" width="1.7109375" style="21" customWidth="1"/>
    <col min="12" max="13" width="15.7109375" style="21" customWidth="1"/>
    <col min="14" max="14" width="1.7109375" style="21" customWidth="1"/>
    <col min="15" max="16" width="15.7109375" style="21" customWidth="1"/>
    <col min="17" max="16384" width="11.42578125" style="21"/>
  </cols>
  <sheetData>
    <row r="1" spans="2:19" s="48" customFormat="1" ht="12" customHeight="1" x14ac:dyDescent="0.2">
      <c r="B1" s="639" t="s">
        <v>202</v>
      </c>
      <c r="C1" s="49"/>
      <c r="D1" s="49"/>
      <c r="E1" s="49"/>
      <c r="F1" s="50"/>
      <c r="G1" s="50"/>
      <c r="P1" s="72" t="s">
        <v>151</v>
      </c>
    </row>
    <row r="2" spans="2:19" s="48" customFormat="1" ht="6.95" customHeight="1" x14ac:dyDescent="0.2">
      <c r="B2" s="639"/>
      <c r="C2" s="49"/>
      <c r="D2" s="49"/>
      <c r="E2" s="49"/>
      <c r="F2" s="50"/>
      <c r="G2" s="50"/>
    </row>
    <row r="3" spans="2:19" s="48" customFormat="1" x14ac:dyDescent="0.2">
      <c r="B3" s="639" t="s">
        <v>199</v>
      </c>
      <c r="C3" s="621"/>
      <c r="D3" s="621"/>
      <c r="E3" s="621"/>
      <c r="F3" s="621"/>
      <c r="G3" s="621"/>
      <c r="H3" s="621"/>
      <c r="I3" s="621"/>
      <c r="J3" s="621"/>
      <c r="K3" s="621"/>
      <c r="L3" s="621"/>
      <c r="M3" s="621"/>
      <c r="N3" s="621"/>
      <c r="O3" s="621"/>
      <c r="P3" s="621"/>
      <c r="Q3" s="621"/>
      <c r="R3" s="621"/>
      <c r="S3" s="621"/>
    </row>
    <row r="4" spans="2:19" s="48" customFormat="1" ht="6.95" customHeight="1" x14ac:dyDescent="0.2">
      <c r="B4" s="621"/>
      <c r="C4" s="49"/>
      <c r="D4" s="49"/>
      <c r="E4" s="49"/>
      <c r="F4" s="50"/>
      <c r="G4" s="50"/>
    </row>
    <row r="5" spans="2:19" s="48" customFormat="1" ht="25.5" customHeight="1" x14ac:dyDescent="0.2">
      <c r="B5" s="741" t="s">
        <v>158</v>
      </c>
      <c r="C5" s="741"/>
      <c r="D5" s="741"/>
      <c r="E5" s="741"/>
      <c r="F5" s="741"/>
      <c r="G5" s="741"/>
      <c r="H5" s="741"/>
      <c r="I5" s="741"/>
      <c r="J5" s="741"/>
      <c r="K5" s="741"/>
      <c r="L5" s="741"/>
      <c r="M5" s="741"/>
      <c r="N5" s="741"/>
      <c r="O5" s="56"/>
      <c r="P5" s="71" t="s">
        <v>121</v>
      </c>
    </row>
    <row r="6" spans="2:19" ht="6" customHeight="1" x14ac:dyDescent="0.2">
      <c r="B6" s="25"/>
      <c r="C6" s="622"/>
      <c r="D6" s="622"/>
      <c r="E6" s="622"/>
      <c r="F6" s="623"/>
      <c r="G6" s="623"/>
      <c r="H6" s="39"/>
      <c r="I6" s="39"/>
      <c r="J6" s="39"/>
      <c r="K6" s="39"/>
      <c r="L6" s="39"/>
      <c r="M6" s="39"/>
      <c r="N6" s="39"/>
      <c r="O6" s="39"/>
      <c r="P6" s="39"/>
    </row>
    <row r="7" spans="2:19" ht="33.75" customHeight="1" x14ac:dyDescent="0.2">
      <c r="B7" s="734" t="s">
        <v>97</v>
      </c>
      <c r="C7" s="6"/>
      <c r="D7" s="737" t="s">
        <v>186</v>
      </c>
      <c r="E7" s="6"/>
      <c r="F7" s="742" t="s">
        <v>96</v>
      </c>
      <c r="G7" s="742"/>
      <c r="H7" s="40"/>
      <c r="I7" s="40"/>
      <c r="J7" s="744" t="s">
        <v>95</v>
      </c>
      <c r="K7" s="745"/>
      <c r="L7" s="745"/>
      <c r="M7" s="745"/>
      <c r="N7" s="745"/>
      <c r="O7" s="745"/>
      <c r="P7" s="41"/>
    </row>
    <row r="8" spans="2:19" ht="24" customHeight="1" x14ac:dyDescent="0.2">
      <c r="B8" s="735"/>
      <c r="C8" s="4"/>
      <c r="D8" s="738"/>
      <c r="E8" s="4"/>
      <c r="F8" s="743"/>
      <c r="G8" s="743"/>
      <c r="H8" s="39"/>
      <c r="I8" s="745" t="s">
        <v>46</v>
      </c>
      <c r="J8" s="745"/>
      <c r="K8" s="42"/>
      <c r="L8" s="745" t="s">
        <v>47</v>
      </c>
      <c r="M8" s="745"/>
      <c r="N8" s="609"/>
      <c r="O8" s="745" t="s">
        <v>48</v>
      </c>
      <c r="P8" s="745"/>
    </row>
    <row r="9" spans="2:19" ht="29.25" customHeight="1" x14ac:dyDescent="0.2">
      <c r="B9" s="736"/>
      <c r="C9" s="7"/>
      <c r="D9" s="739"/>
      <c r="E9" s="7"/>
      <c r="F9" s="608" t="s">
        <v>187</v>
      </c>
      <c r="G9" s="608" t="s">
        <v>188</v>
      </c>
      <c r="H9" s="74"/>
      <c r="I9" s="608" t="s">
        <v>187</v>
      </c>
      <c r="J9" s="608" t="s">
        <v>189</v>
      </c>
      <c r="K9" s="75"/>
      <c r="L9" s="608" t="s">
        <v>187</v>
      </c>
      <c r="M9" s="608" t="s">
        <v>188</v>
      </c>
      <c r="N9" s="76"/>
      <c r="O9" s="608" t="s">
        <v>187</v>
      </c>
      <c r="P9" s="608" t="s">
        <v>189</v>
      </c>
    </row>
    <row r="10" spans="2:19" ht="6" customHeight="1" x14ac:dyDescent="0.2">
      <c r="B10" s="4"/>
      <c r="C10" s="4"/>
      <c r="D10" s="610"/>
      <c r="E10" s="123"/>
      <c r="F10" s="117"/>
      <c r="G10" s="117"/>
      <c r="H10" s="124"/>
      <c r="I10" s="124"/>
      <c r="J10" s="124"/>
      <c r="K10" s="124"/>
      <c r="L10" s="124"/>
      <c r="M10" s="124"/>
      <c r="N10" s="124"/>
      <c r="O10" s="124"/>
      <c r="P10" s="124"/>
    </row>
    <row r="11" spans="2:19" s="78" customFormat="1" ht="11.25" x14ac:dyDescent="0.2">
      <c r="B11" s="36" t="s">
        <v>35</v>
      </c>
      <c r="C11" s="8"/>
      <c r="D11" s="631">
        <v>619076.31525074202</v>
      </c>
      <c r="E11" s="125"/>
      <c r="F11" s="624">
        <v>31331494184.041599</v>
      </c>
      <c r="G11" s="624">
        <v>53632.938787638901</v>
      </c>
      <c r="H11" s="126"/>
      <c r="I11" s="630">
        <v>22641420526.6819</v>
      </c>
      <c r="J11" s="624">
        <v>39569.882926508297</v>
      </c>
      <c r="K11" s="127"/>
      <c r="L11" s="629">
        <v>8534837767.4315796</v>
      </c>
      <c r="M11" s="624">
        <v>23945.6079880426</v>
      </c>
      <c r="N11" s="127"/>
      <c r="O11" s="629">
        <v>446827890.76323903</v>
      </c>
      <c r="P11" s="624">
        <v>14245.6835658991</v>
      </c>
    </row>
    <row r="12" spans="2:19" s="22" customFormat="1" ht="6" customHeight="1" x14ac:dyDescent="0.2">
      <c r="B12" s="43"/>
      <c r="C12" s="8"/>
      <c r="D12" s="125"/>
      <c r="E12" s="125"/>
      <c r="F12" s="85"/>
      <c r="G12" s="108"/>
      <c r="H12" s="128"/>
      <c r="I12" s="128"/>
      <c r="J12" s="108"/>
      <c r="K12" s="129"/>
      <c r="L12" s="129"/>
      <c r="M12" s="108"/>
      <c r="N12" s="129"/>
      <c r="O12" s="129"/>
      <c r="P12" s="108"/>
    </row>
    <row r="13" spans="2:19" s="22" customFormat="1" ht="11.25" x14ac:dyDescent="0.2">
      <c r="B13" s="24" t="s">
        <v>49</v>
      </c>
      <c r="C13" s="44"/>
      <c r="D13" s="625">
        <v>162888.04453427301</v>
      </c>
      <c r="E13" s="129"/>
      <c r="F13" s="626">
        <v>18544883513.895401</v>
      </c>
      <c r="G13" s="626">
        <v>128971.541257242</v>
      </c>
      <c r="H13" s="128"/>
      <c r="I13" s="628">
        <v>13467254423.2952</v>
      </c>
      <c r="J13" s="626">
        <v>98938.553908306596</v>
      </c>
      <c r="K13" s="129"/>
      <c r="L13" s="625">
        <v>5007220073.9960203</v>
      </c>
      <c r="M13" s="626">
        <v>44044.1985475443</v>
      </c>
      <c r="N13" s="129"/>
      <c r="O13" s="625">
        <v>265470663.02674499</v>
      </c>
      <c r="P13" s="626">
        <v>18462.751023492401</v>
      </c>
    </row>
    <row r="14" spans="2:19" s="22" customFormat="1" ht="11.25" x14ac:dyDescent="0.2">
      <c r="B14" s="24" t="s">
        <v>50</v>
      </c>
      <c r="C14" s="44"/>
      <c r="D14" s="625">
        <v>61183.989264245203</v>
      </c>
      <c r="E14" s="129"/>
      <c r="F14" s="626">
        <v>5110851771.9470596</v>
      </c>
      <c r="G14" s="626">
        <v>103359.590051737</v>
      </c>
      <c r="H14" s="128"/>
      <c r="I14" s="628">
        <v>3259448904.8954301</v>
      </c>
      <c r="J14" s="626">
        <v>67691.267277755804</v>
      </c>
      <c r="K14" s="129"/>
      <c r="L14" s="625">
        <v>1822758882.0174301</v>
      </c>
      <c r="M14" s="626">
        <v>44968.242247412301</v>
      </c>
      <c r="N14" s="129"/>
      <c r="O14" s="625">
        <v>134904844.28390899</v>
      </c>
      <c r="P14" s="626">
        <v>7553.8156825873002</v>
      </c>
    </row>
    <row r="15" spans="2:19" s="22" customFormat="1" ht="11.25" x14ac:dyDescent="0.2">
      <c r="B15" s="24" t="s">
        <v>51</v>
      </c>
      <c r="C15" s="44"/>
      <c r="D15" s="625">
        <v>77108.856143572004</v>
      </c>
      <c r="E15" s="129"/>
      <c r="F15" s="627">
        <v>3349071309.0854101</v>
      </c>
      <c r="G15" s="627">
        <v>52444.896306936003</v>
      </c>
      <c r="H15" s="128"/>
      <c r="I15" s="628">
        <v>2311367590.9078999</v>
      </c>
      <c r="J15" s="627">
        <v>36662.247345965901</v>
      </c>
      <c r="K15" s="129"/>
      <c r="L15" s="625">
        <v>1042483828.56653</v>
      </c>
      <c r="M15" s="627">
        <v>22999.485481850799</v>
      </c>
      <c r="N15" s="129"/>
      <c r="O15" s="625">
        <v>120409481.263347</v>
      </c>
      <c r="P15" s="627">
        <v>9487.8550705497</v>
      </c>
    </row>
    <row r="16" spans="2:19" s="22" customFormat="1" ht="11.25" x14ac:dyDescent="0.2">
      <c r="B16" s="24" t="s">
        <v>190</v>
      </c>
      <c r="C16" s="44"/>
      <c r="D16" s="625">
        <v>395272.20344934298</v>
      </c>
      <c r="E16" s="129"/>
      <c r="F16" s="627">
        <v>4349496864.6623898</v>
      </c>
      <c r="G16" s="627">
        <v>11748.960113860599</v>
      </c>
      <c r="H16" s="128"/>
      <c r="I16" s="628">
        <v>3352426309.1601801</v>
      </c>
      <c r="J16" s="627">
        <v>9106.0351164089006</v>
      </c>
      <c r="K16" s="129"/>
      <c r="L16" s="625">
        <v>1037044513.9058501</v>
      </c>
      <c r="M16" s="627">
        <v>5629.7453054992002</v>
      </c>
      <c r="N16" s="129"/>
      <c r="O16" s="143" t="s">
        <v>201</v>
      </c>
      <c r="P16" s="144" t="s">
        <v>201</v>
      </c>
    </row>
    <row r="17" spans="2:16" s="22" customFormat="1" ht="11.25" x14ac:dyDescent="0.2">
      <c r="B17" s="24" t="s">
        <v>191</v>
      </c>
      <c r="C17" s="44"/>
      <c r="D17" s="625">
        <v>83717.007576980104</v>
      </c>
      <c r="E17" s="129"/>
      <c r="F17" s="627">
        <v>3107950472.4844098</v>
      </c>
      <c r="G17" s="627">
        <v>44324.423723366999</v>
      </c>
      <c r="H17" s="128"/>
      <c r="I17" s="628">
        <v>2506774072.84936</v>
      </c>
      <c r="J17" s="627">
        <v>36359.902177962802</v>
      </c>
      <c r="K17" s="129"/>
      <c r="L17" s="625">
        <v>633481525.50582695</v>
      </c>
      <c r="M17" s="627">
        <v>16097.9832684469</v>
      </c>
      <c r="N17" s="129"/>
      <c r="O17" s="143" t="s">
        <v>201</v>
      </c>
      <c r="P17" s="144" t="s">
        <v>201</v>
      </c>
    </row>
    <row r="18" spans="2:16" ht="6" customHeight="1" x14ac:dyDescent="0.2">
      <c r="B18" s="11"/>
      <c r="C18" s="45"/>
      <c r="D18" s="130"/>
      <c r="E18" s="130"/>
      <c r="F18" s="12"/>
      <c r="G18" s="12"/>
      <c r="H18" s="74"/>
      <c r="I18" s="74"/>
      <c r="J18" s="74"/>
      <c r="K18" s="74"/>
      <c r="L18" s="74"/>
      <c r="M18" s="74"/>
      <c r="N18" s="74"/>
      <c r="O18" s="74"/>
      <c r="P18" s="74"/>
    </row>
    <row r="19" spans="2:16" ht="6" customHeight="1" x14ac:dyDescent="0.2">
      <c r="B19" s="23"/>
      <c r="C19" s="4"/>
      <c r="D19" s="4"/>
      <c r="E19" s="4"/>
      <c r="F19" s="4"/>
      <c r="G19" s="4"/>
      <c r="H19" s="44"/>
      <c r="I19" s="44"/>
      <c r="J19" s="39"/>
      <c r="K19" s="39"/>
      <c r="L19" s="39"/>
      <c r="M19" s="39"/>
      <c r="N19" s="39"/>
      <c r="O19" s="39"/>
      <c r="P19" s="39"/>
    </row>
    <row r="20" spans="2:16" ht="12.75" customHeight="1" x14ac:dyDescent="0.2">
      <c r="B20" s="23" t="s">
        <v>192</v>
      </c>
      <c r="C20" s="4"/>
      <c r="D20" s="4"/>
      <c r="E20" s="4"/>
      <c r="F20" s="4"/>
      <c r="G20" s="4"/>
      <c r="H20" s="44"/>
      <c r="I20" s="44"/>
      <c r="J20" s="39"/>
      <c r="K20" s="39"/>
      <c r="L20" s="39"/>
      <c r="M20" s="39"/>
      <c r="N20" s="39"/>
      <c r="O20" s="39"/>
      <c r="P20" s="39"/>
    </row>
    <row r="21" spans="2:16" ht="12.75" customHeight="1" x14ac:dyDescent="0.2">
      <c r="B21" s="23" t="s">
        <v>193</v>
      </c>
      <c r="C21" s="4"/>
      <c r="D21" s="4"/>
      <c r="E21" s="4"/>
      <c r="F21" s="4"/>
      <c r="G21" s="4"/>
      <c r="H21" s="44"/>
      <c r="I21" s="44"/>
      <c r="J21" s="39"/>
      <c r="K21" s="39"/>
      <c r="L21" s="39"/>
      <c r="M21" s="39"/>
      <c r="N21" s="39"/>
      <c r="O21" s="39"/>
      <c r="P21" s="39"/>
    </row>
    <row r="22" spans="2:16" ht="12.75" customHeight="1" x14ac:dyDescent="0.2">
      <c r="B22" s="23" t="s">
        <v>141</v>
      </c>
      <c r="C22" s="4"/>
      <c r="D22" s="4"/>
      <c r="E22" s="4"/>
      <c r="F22" s="4"/>
      <c r="G22" s="4"/>
      <c r="H22" s="44"/>
      <c r="I22" s="44"/>
      <c r="J22" s="39"/>
      <c r="K22" s="39"/>
      <c r="L22" s="39"/>
      <c r="M22" s="39"/>
      <c r="N22" s="39"/>
      <c r="O22" s="39"/>
      <c r="P22" s="39"/>
    </row>
    <row r="23" spans="2:16" s="13" customFormat="1" ht="14.25" x14ac:dyDescent="0.2">
      <c r="B23" s="146" t="s">
        <v>181</v>
      </c>
      <c r="C23" s="147"/>
      <c r="D23" s="147"/>
      <c r="E23" s="147"/>
      <c r="F23" s="147"/>
      <c r="G23" s="147"/>
      <c r="H23" s="147"/>
      <c r="I23" s="147"/>
      <c r="J23" s="147"/>
      <c r="K23" s="147"/>
      <c r="L23" s="147"/>
      <c r="M23" s="147"/>
      <c r="N23" s="147"/>
      <c r="O23" s="147"/>
      <c r="P23" s="147"/>
    </row>
  </sheetData>
  <mergeCells count="8">
    <mergeCell ref="B5:N5"/>
    <mergeCell ref="B7:B9"/>
    <mergeCell ref="D7:D9"/>
    <mergeCell ref="F7:G8"/>
    <mergeCell ref="J7:O7"/>
    <mergeCell ref="I8:J8"/>
    <mergeCell ref="L8:M8"/>
    <mergeCell ref="O8:P8"/>
  </mergeCells>
  <hyperlinks>
    <hyperlink ref="P1" location="Índice!A1" tooltip="Ir a ÍNDICE" display="INDICE" xr:uid="{76C2ACE7-A996-4195-9A01-B397E251C2C2}"/>
  </hyperlinks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0EB5AF-E856-44A4-89AA-44930352DB9C}">
  <dimension ref="B1:X238"/>
  <sheetViews>
    <sheetView showGridLines="0" zoomScaleNormal="100" workbookViewId="0"/>
  </sheetViews>
  <sheetFormatPr baseColWidth="10" defaultColWidth="11.42578125" defaultRowHeight="12.75" x14ac:dyDescent="0.2"/>
  <cols>
    <col min="1" max="1" width="1.7109375" customWidth="1"/>
    <col min="2" max="2" width="50.42578125" customWidth="1"/>
    <col min="3" max="3" width="1.7109375" customWidth="1"/>
    <col min="4" max="4" width="22" customWidth="1"/>
    <col min="5" max="5" width="1.7109375" customWidth="1"/>
    <col min="6" max="7" width="15.7109375" customWidth="1"/>
    <col min="8" max="8" width="1.7109375" customWidth="1"/>
    <col min="9" max="10" width="15.7109375" customWidth="1"/>
    <col min="11" max="11" width="1.7109375" customWidth="1"/>
    <col min="12" max="13" width="15.7109375" customWidth="1"/>
    <col min="14" max="14" width="1.7109375" customWidth="1"/>
    <col min="15" max="15" width="15.7109375" customWidth="1"/>
  </cols>
  <sheetData>
    <row r="1" spans="2:24" s="51" customFormat="1" ht="12" customHeight="1" x14ac:dyDescent="0.2">
      <c r="B1" s="639" t="s">
        <v>202</v>
      </c>
      <c r="C1" s="49"/>
      <c r="D1" s="50"/>
      <c r="E1" s="52"/>
      <c r="F1" s="52"/>
      <c r="G1" s="52"/>
      <c r="H1" s="52"/>
      <c r="I1" s="52"/>
      <c r="K1" s="52"/>
      <c r="L1" s="52"/>
      <c r="M1" s="52"/>
      <c r="N1" s="52"/>
      <c r="O1" s="72" t="s">
        <v>151</v>
      </c>
      <c r="P1" s="54"/>
      <c r="Q1" s="54"/>
      <c r="R1" s="54"/>
      <c r="S1" s="54"/>
      <c r="T1" s="54"/>
      <c r="U1" s="54"/>
      <c r="V1" s="54"/>
      <c r="W1" s="54"/>
      <c r="X1" s="54"/>
    </row>
    <row r="2" spans="2:24" s="51" customFormat="1" ht="6.95" customHeight="1" x14ac:dyDescent="0.2">
      <c r="B2" s="639"/>
      <c r="C2" s="49"/>
      <c r="D2" s="50"/>
      <c r="E2" s="52"/>
      <c r="F2" s="52"/>
      <c r="G2" s="52"/>
      <c r="H2" s="52"/>
      <c r="I2" s="52"/>
      <c r="J2" s="53"/>
      <c r="K2" s="52"/>
      <c r="L2" s="52"/>
      <c r="M2" s="52"/>
      <c r="N2" s="52"/>
      <c r="O2" s="54"/>
      <c r="P2" s="54"/>
      <c r="Q2" s="54"/>
      <c r="R2" s="54"/>
      <c r="S2" s="54"/>
      <c r="T2" s="54"/>
      <c r="U2" s="54"/>
      <c r="V2" s="54"/>
      <c r="W2" s="54"/>
      <c r="X2" s="54"/>
    </row>
    <row r="3" spans="2:24" s="51" customFormat="1" x14ac:dyDescent="0.2">
      <c r="B3" s="639" t="s">
        <v>199</v>
      </c>
      <c r="C3" s="635"/>
      <c r="D3" s="635"/>
      <c r="E3" s="635"/>
      <c r="F3" s="635"/>
      <c r="G3" s="635"/>
      <c r="H3" s="635"/>
      <c r="I3" s="635"/>
      <c r="J3" s="635"/>
      <c r="K3" s="635"/>
      <c r="L3" s="635"/>
      <c r="M3" s="635"/>
      <c r="N3" s="635"/>
      <c r="O3" s="635"/>
      <c r="P3" s="635"/>
      <c r="Q3" s="635"/>
      <c r="R3" s="635"/>
      <c r="S3" s="635"/>
      <c r="T3" s="54"/>
      <c r="U3" s="54"/>
      <c r="V3" s="54"/>
      <c r="W3" s="54"/>
      <c r="X3" s="54"/>
    </row>
    <row r="4" spans="2:24" s="51" customFormat="1" ht="6.95" customHeight="1" x14ac:dyDescent="0.2">
      <c r="B4" s="9"/>
      <c r="C4" s="49"/>
      <c r="D4" s="50"/>
      <c r="E4" s="52"/>
      <c r="F4" s="52"/>
      <c r="G4" s="52"/>
      <c r="H4" s="52"/>
      <c r="I4" s="52"/>
      <c r="K4" s="52"/>
      <c r="L4" s="52"/>
      <c r="M4" s="52"/>
      <c r="N4" s="52"/>
      <c r="O4" s="54"/>
      <c r="P4" s="54"/>
      <c r="Q4" s="54"/>
      <c r="R4" s="54"/>
      <c r="S4" s="54"/>
      <c r="T4" s="54"/>
      <c r="U4" s="54"/>
      <c r="V4" s="54"/>
      <c r="W4" s="54"/>
      <c r="X4" s="54"/>
    </row>
    <row r="5" spans="2:24" s="51" customFormat="1" ht="25.5" customHeight="1" x14ac:dyDescent="0.2">
      <c r="B5" s="733" t="s">
        <v>159</v>
      </c>
      <c r="C5" s="733"/>
      <c r="D5" s="733"/>
      <c r="E5" s="733"/>
      <c r="F5" s="733"/>
      <c r="G5" s="733"/>
      <c r="H5" s="733"/>
      <c r="I5" s="733"/>
      <c r="J5" s="733"/>
      <c r="K5" s="733"/>
      <c r="L5" s="733"/>
      <c r="M5" s="55"/>
      <c r="N5" s="55"/>
      <c r="O5" s="71" t="s">
        <v>122</v>
      </c>
      <c r="P5" s="54"/>
      <c r="Q5" s="54"/>
      <c r="R5" s="54"/>
      <c r="S5" s="54"/>
      <c r="T5" s="54"/>
      <c r="U5" s="54"/>
      <c r="V5" s="54"/>
      <c r="W5" s="54"/>
      <c r="X5" s="54"/>
    </row>
    <row r="6" spans="2:24" ht="6" customHeight="1" x14ac:dyDescent="0.2">
      <c r="B6" s="612"/>
      <c r="C6" s="4"/>
      <c r="D6" s="5"/>
      <c r="E6" s="33"/>
      <c r="F6" s="33"/>
      <c r="G6" s="33"/>
      <c r="H6" s="33"/>
      <c r="I6" s="33"/>
      <c r="J6" s="33"/>
      <c r="K6" s="33"/>
      <c r="L6" s="33"/>
      <c r="M6" s="33"/>
      <c r="N6" s="2"/>
      <c r="O6" s="2"/>
      <c r="P6" s="1"/>
      <c r="Q6" s="1"/>
      <c r="R6" s="1"/>
      <c r="S6" s="1"/>
      <c r="T6" s="1"/>
      <c r="U6" s="1"/>
      <c r="V6" s="1"/>
      <c r="W6" s="1"/>
      <c r="X6" s="1"/>
    </row>
    <row r="7" spans="2:24" ht="22.5" customHeight="1" x14ac:dyDescent="0.2">
      <c r="B7" s="734" t="s">
        <v>45</v>
      </c>
      <c r="C7" s="6"/>
      <c r="D7" s="737" t="s">
        <v>87</v>
      </c>
      <c r="E7" s="34"/>
      <c r="F7" s="740" t="s">
        <v>135</v>
      </c>
      <c r="G7" s="740"/>
      <c r="H7" s="740"/>
      <c r="I7" s="740"/>
      <c r="J7" s="740"/>
      <c r="K7" s="740"/>
      <c r="L7" s="740"/>
      <c r="M7" s="740"/>
      <c r="N7" s="46"/>
      <c r="O7" s="737" t="s">
        <v>136</v>
      </c>
      <c r="P7" s="1"/>
      <c r="Q7" s="1"/>
      <c r="R7" s="1"/>
      <c r="S7" s="1"/>
      <c r="T7" s="1"/>
      <c r="U7" s="1"/>
      <c r="V7" s="1"/>
      <c r="W7" s="1"/>
      <c r="X7" s="1"/>
    </row>
    <row r="8" spans="2:24" ht="37.5" customHeight="1" x14ac:dyDescent="0.2">
      <c r="B8" s="735"/>
      <c r="C8" s="613"/>
      <c r="D8" s="738"/>
      <c r="E8" s="33"/>
      <c r="F8" s="688" t="s">
        <v>46</v>
      </c>
      <c r="G8" s="688"/>
      <c r="H8" s="244"/>
      <c r="I8" s="688" t="s">
        <v>47</v>
      </c>
      <c r="J8" s="688"/>
      <c r="K8" s="245"/>
      <c r="L8" s="688" t="s">
        <v>48</v>
      </c>
      <c r="M8" s="688"/>
      <c r="N8" s="2"/>
      <c r="O8" s="738"/>
      <c r="P8" s="1"/>
      <c r="Q8" s="1"/>
      <c r="R8" s="1"/>
      <c r="S8" s="1"/>
      <c r="T8" s="1"/>
      <c r="U8" s="1"/>
      <c r="V8" s="1"/>
      <c r="W8" s="1"/>
      <c r="X8" s="1"/>
    </row>
    <row r="9" spans="2:24" ht="18.75" customHeight="1" x14ac:dyDescent="0.2">
      <c r="B9" s="736"/>
      <c r="C9" s="7"/>
      <c r="D9" s="739"/>
      <c r="E9" s="35"/>
      <c r="F9" s="614" t="s">
        <v>0</v>
      </c>
      <c r="G9" s="614" t="s">
        <v>1</v>
      </c>
      <c r="H9" s="614"/>
      <c r="I9" s="614" t="s">
        <v>0</v>
      </c>
      <c r="J9" s="614" t="s">
        <v>1</v>
      </c>
      <c r="K9" s="614"/>
      <c r="L9" s="614" t="s">
        <v>0</v>
      </c>
      <c r="M9" s="614" t="s">
        <v>1</v>
      </c>
      <c r="N9" s="47"/>
      <c r="O9" s="739"/>
      <c r="P9" s="1"/>
      <c r="Q9" s="1"/>
      <c r="R9" s="1"/>
      <c r="S9" s="1"/>
      <c r="T9" s="1"/>
      <c r="U9" s="1"/>
      <c r="V9" s="1"/>
      <c r="W9" s="1"/>
      <c r="X9" s="1"/>
    </row>
    <row r="10" spans="2:24" ht="6" customHeight="1" x14ac:dyDescent="0.2">
      <c r="B10" s="4"/>
      <c r="C10" s="4"/>
      <c r="D10" s="117"/>
      <c r="E10" s="118"/>
      <c r="F10" s="118"/>
      <c r="G10" s="118"/>
      <c r="H10" s="118"/>
      <c r="I10" s="118"/>
      <c r="J10" s="118"/>
      <c r="K10" s="118"/>
      <c r="L10" s="118"/>
      <c r="M10" s="118"/>
      <c r="N10" s="131"/>
      <c r="O10" s="131"/>
      <c r="P10" s="1"/>
      <c r="Q10" s="1"/>
      <c r="R10" s="1"/>
      <c r="S10" s="1"/>
      <c r="T10" s="1"/>
      <c r="U10" s="1"/>
      <c r="V10" s="1"/>
      <c r="W10" s="1"/>
      <c r="X10" s="1"/>
    </row>
    <row r="11" spans="2:24" s="80" customFormat="1" ht="11.25" x14ac:dyDescent="0.2">
      <c r="B11" s="36" t="s">
        <v>35</v>
      </c>
      <c r="C11" s="8"/>
      <c r="D11" s="334">
        <v>500936.85543828399</v>
      </c>
      <c r="E11" s="87"/>
      <c r="F11" s="334">
        <v>465241.46134248399</v>
      </c>
      <c r="G11" s="620">
        <v>96.227684578999998</v>
      </c>
      <c r="H11" s="119"/>
      <c r="I11" s="620">
        <v>275887.41951486602</v>
      </c>
      <c r="J11" s="620">
        <v>57.395879138399998</v>
      </c>
      <c r="K11" s="119"/>
      <c r="L11" s="620">
        <v>6808.3112883596996</v>
      </c>
      <c r="M11" s="620">
        <v>1.4664320546</v>
      </c>
      <c r="N11" s="119"/>
      <c r="O11" s="620">
        <v>24568.380287132401</v>
      </c>
      <c r="P11" s="79"/>
      <c r="Q11" s="79"/>
      <c r="R11" s="79"/>
      <c r="S11" s="79"/>
      <c r="T11" s="79"/>
      <c r="U11" s="79"/>
      <c r="V11" s="79"/>
      <c r="W11" s="79"/>
      <c r="X11" s="79"/>
    </row>
    <row r="12" spans="2:24" s="82" customFormat="1" ht="6" customHeight="1" x14ac:dyDescent="0.2">
      <c r="B12" s="43"/>
      <c r="C12" s="8"/>
      <c r="D12" s="89"/>
      <c r="E12" s="89"/>
      <c r="F12" s="89"/>
      <c r="G12" s="120"/>
      <c r="H12" s="121"/>
      <c r="I12" s="121"/>
      <c r="J12" s="120"/>
      <c r="K12" s="121"/>
      <c r="L12" s="121"/>
      <c r="M12" s="120"/>
      <c r="N12" s="121"/>
      <c r="O12" s="121"/>
      <c r="P12" s="81"/>
      <c r="Q12" s="81"/>
      <c r="R12" s="81"/>
      <c r="S12" s="81"/>
      <c r="T12" s="81"/>
      <c r="U12" s="81"/>
      <c r="V12" s="81"/>
      <c r="W12" s="81"/>
      <c r="X12" s="81"/>
    </row>
    <row r="13" spans="2:24" s="82" customFormat="1" ht="11.25" x14ac:dyDescent="0.2">
      <c r="B13" s="24" t="s">
        <v>49</v>
      </c>
      <c r="C13" s="37"/>
      <c r="D13" s="279">
        <v>111063.663813059</v>
      </c>
      <c r="E13" s="89"/>
      <c r="F13" s="279">
        <v>107988.259077751</v>
      </c>
      <c r="G13" s="619">
        <v>99.573943486299996</v>
      </c>
      <c r="H13" s="121"/>
      <c r="I13" s="619">
        <v>79895.053700536897</v>
      </c>
      <c r="J13" s="619">
        <v>79.570069608500006</v>
      </c>
      <c r="K13" s="121"/>
      <c r="L13" s="619">
        <v>4732.7869390343003</v>
      </c>
      <c r="M13" s="619">
        <v>5.1120010773000004</v>
      </c>
      <c r="N13" s="121"/>
      <c r="O13" s="619">
        <v>5216.7526633371999</v>
      </c>
      <c r="P13" s="81"/>
      <c r="Q13" s="81"/>
      <c r="R13" s="81"/>
      <c r="S13" s="81"/>
      <c r="T13" s="81"/>
      <c r="U13" s="81"/>
      <c r="V13" s="81"/>
      <c r="W13" s="81"/>
      <c r="X13" s="81"/>
    </row>
    <row r="14" spans="2:24" s="82" customFormat="1" ht="11.25" x14ac:dyDescent="0.2">
      <c r="B14" s="24" t="s">
        <v>50</v>
      </c>
      <c r="C14" s="37"/>
      <c r="D14" s="279">
        <v>43718.981981382298</v>
      </c>
      <c r="E14" s="89"/>
      <c r="F14" s="279">
        <v>37889.662137218802</v>
      </c>
      <c r="G14" s="619">
        <v>94.007797015700007</v>
      </c>
      <c r="H14" s="121"/>
      <c r="I14" s="619">
        <v>27827.778860189901</v>
      </c>
      <c r="J14" s="619">
        <v>73.192958663799999</v>
      </c>
      <c r="K14" s="121"/>
      <c r="L14" s="619">
        <v>2650.7195293905002</v>
      </c>
      <c r="M14" s="619">
        <v>7.8090986980999997</v>
      </c>
      <c r="N14" s="121"/>
      <c r="O14" s="619">
        <v>4932.8811174969997</v>
      </c>
      <c r="P14" s="81"/>
      <c r="Q14" s="81"/>
      <c r="R14" s="81"/>
      <c r="S14" s="81"/>
      <c r="T14" s="81"/>
      <c r="U14" s="81"/>
      <c r="V14" s="81"/>
      <c r="W14" s="81"/>
      <c r="X14" s="81"/>
    </row>
    <row r="15" spans="2:24" s="82" customFormat="1" ht="11.25" x14ac:dyDescent="0.2">
      <c r="B15" s="24" t="s">
        <v>51</v>
      </c>
      <c r="C15" s="37"/>
      <c r="D15" s="279">
        <v>42932.376322317599</v>
      </c>
      <c r="E15" s="89"/>
      <c r="F15" s="279">
        <v>38686.8754857514</v>
      </c>
      <c r="G15" s="619">
        <v>95.870938636700004</v>
      </c>
      <c r="H15" s="121"/>
      <c r="I15" s="619">
        <v>30348.950242843999</v>
      </c>
      <c r="J15" s="619">
        <v>79.761644791400002</v>
      </c>
      <c r="K15" s="121"/>
      <c r="L15" s="619">
        <v>1200.5395654157001</v>
      </c>
      <c r="M15" s="619">
        <v>3.5539868564999999</v>
      </c>
      <c r="N15" s="121"/>
      <c r="O15" s="619">
        <v>4055.8072877986001</v>
      </c>
      <c r="P15" s="81"/>
      <c r="Q15" s="81"/>
      <c r="R15" s="81"/>
      <c r="S15" s="81"/>
      <c r="T15" s="81"/>
      <c r="U15" s="81"/>
      <c r="V15" s="81"/>
      <c r="W15" s="81"/>
      <c r="X15" s="81"/>
    </row>
    <row r="16" spans="2:24" s="82" customFormat="1" ht="11.25" x14ac:dyDescent="0.2">
      <c r="B16" s="24" t="s">
        <v>137</v>
      </c>
      <c r="C16" s="37"/>
      <c r="D16" s="279">
        <v>309431.75747012999</v>
      </c>
      <c r="E16" s="89"/>
      <c r="F16" s="279">
        <v>290181.696235087</v>
      </c>
      <c r="G16" s="619">
        <v>96.616314059399997</v>
      </c>
      <c r="H16" s="121"/>
      <c r="I16" s="619">
        <v>146833.55236044401</v>
      </c>
      <c r="J16" s="619">
        <v>50.298336354299998</v>
      </c>
      <c r="K16" s="121"/>
      <c r="L16" s="141" t="s">
        <v>201</v>
      </c>
      <c r="M16" s="142" t="s">
        <v>201</v>
      </c>
      <c r="N16" s="121"/>
      <c r="O16" s="619">
        <v>14271.6252744289</v>
      </c>
      <c r="P16" s="81"/>
      <c r="Q16" s="81"/>
      <c r="R16" s="81"/>
      <c r="S16" s="81"/>
      <c r="T16" s="81"/>
      <c r="U16" s="81"/>
      <c r="V16" s="81"/>
      <c r="W16" s="81"/>
      <c r="X16" s="81"/>
    </row>
    <row r="17" spans="2:24" s="82" customFormat="1" ht="11.25" x14ac:dyDescent="0.2">
      <c r="B17" s="24" t="s">
        <v>138</v>
      </c>
      <c r="C17" s="37"/>
      <c r="D17" s="279">
        <v>84094.977680469703</v>
      </c>
      <c r="E17" s="89"/>
      <c r="F17" s="279">
        <v>72389.173932521298</v>
      </c>
      <c r="G17" s="619">
        <v>96.898137210000002</v>
      </c>
      <c r="H17" s="121"/>
      <c r="I17" s="619">
        <v>43978.343978811099</v>
      </c>
      <c r="J17" s="619">
        <v>58.800257691200002</v>
      </c>
      <c r="K17" s="121"/>
      <c r="L17" s="141" t="s">
        <v>201</v>
      </c>
      <c r="M17" s="142" t="s">
        <v>201</v>
      </c>
      <c r="N17" s="121"/>
      <c r="O17" s="619">
        <v>5113.0662748809</v>
      </c>
      <c r="P17" s="81"/>
      <c r="Q17" s="81"/>
      <c r="R17" s="81"/>
      <c r="S17" s="81"/>
      <c r="T17" s="81"/>
      <c r="U17" s="81"/>
      <c r="V17" s="81"/>
      <c r="W17" s="81"/>
      <c r="X17" s="81"/>
    </row>
    <row r="18" spans="2:24" s="82" customFormat="1" ht="6" customHeight="1" x14ac:dyDescent="0.2">
      <c r="B18" s="24"/>
      <c r="C18" s="37"/>
      <c r="D18" s="89"/>
      <c r="E18" s="121"/>
      <c r="F18" s="121"/>
      <c r="G18" s="120"/>
      <c r="H18" s="121"/>
      <c r="I18" s="121"/>
      <c r="J18" s="120"/>
      <c r="K18" s="121"/>
      <c r="L18" s="121"/>
      <c r="M18" s="120"/>
      <c r="N18" s="121"/>
      <c r="O18" s="121"/>
      <c r="P18" s="81"/>
      <c r="Q18" s="81"/>
      <c r="R18" s="81"/>
      <c r="S18" s="81"/>
      <c r="T18" s="81"/>
      <c r="U18" s="81"/>
      <c r="V18" s="81"/>
      <c r="W18" s="81"/>
      <c r="X18" s="81"/>
    </row>
    <row r="19" spans="2:24" s="80" customFormat="1" ht="11.25" x14ac:dyDescent="0.2">
      <c r="B19" s="636" t="s">
        <v>36</v>
      </c>
      <c r="C19" s="77"/>
      <c r="D19" s="334">
        <v>72962.415843916795</v>
      </c>
      <c r="E19" s="119"/>
      <c r="F19" s="620">
        <v>50008.072919666804</v>
      </c>
      <c r="G19" s="620">
        <v>93.542172078700005</v>
      </c>
      <c r="H19" s="119"/>
      <c r="I19" s="620">
        <v>50867.475280062099</v>
      </c>
      <c r="J19" s="620">
        <v>74.861119485000003</v>
      </c>
      <c r="K19" s="119"/>
      <c r="L19" s="620">
        <v>769.65240544289998</v>
      </c>
      <c r="M19" s="620">
        <v>1.3688783793999999</v>
      </c>
      <c r="N19" s="119"/>
      <c r="O19" s="620">
        <v>6592.1453726444997</v>
      </c>
      <c r="P19" s="79"/>
      <c r="Q19" s="79"/>
      <c r="R19" s="79"/>
      <c r="S19" s="79"/>
      <c r="T19" s="79"/>
      <c r="U19" s="79"/>
      <c r="V19" s="79"/>
      <c r="W19" s="79"/>
      <c r="X19" s="79"/>
    </row>
    <row r="20" spans="2:24" s="82" customFormat="1" ht="6" customHeight="1" x14ac:dyDescent="0.2">
      <c r="B20" s="37"/>
      <c r="C20" s="37"/>
      <c r="D20" s="121"/>
      <c r="E20" s="121"/>
      <c r="F20" s="121"/>
      <c r="G20" s="120"/>
      <c r="H20" s="121"/>
      <c r="I20" s="121"/>
      <c r="J20" s="120"/>
      <c r="K20" s="121"/>
      <c r="L20" s="121"/>
      <c r="M20" s="120"/>
      <c r="N20" s="121"/>
      <c r="O20" s="121"/>
      <c r="P20" s="81"/>
      <c r="Q20" s="81"/>
      <c r="R20" s="81"/>
      <c r="S20" s="81"/>
      <c r="T20" s="81"/>
      <c r="U20" s="81"/>
      <c r="V20" s="81"/>
      <c r="W20" s="81"/>
      <c r="X20" s="81"/>
    </row>
    <row r="21" spans="2:24" s="82" customFormat="1" ht="11.25" x14ac:dyDescent="0.2">
      <c r="B21" s="24" t="s">
        <v>49</v>
      </c>
      <c r="C21" s="37"/>
      <c r="D21" s="279">
        <v>16282.647802294499</v>
      </c>
      <c r="E21" s="121"/>
      <c r="F21" s="619">
        <v>16009.564900838301</v>
      </c>
      <c r="G21" s="619">
        <v>101.374329777</v>
      </c>
      <c r="H21" s="121"/>
      <c r="I21" s="619">
        <v>11973.519973665199</v>
      </c>
      <c r="J21" s="619">
        <v>84.768760450499997</v>
      </c>
      <c r="K21" s="121"/>
      <c r="L21" s="619">
        <v>769.65240544289998</v>
      </c>
      <c r="M21" s="619">
        <v>6.4338686931</v>
      </c>
      <c r="N21" s="121"/>
      <c r="O21" s="619">
        <v>0</v>
      </c>
      <c r="P21" s="81"/>
      <c r="Q21" s="81"/>
      <c r="R21" s="81"/>
      <c r="S21" s="81"/>
      <c r="T21" s="81"/>
      <c r="U21" s="81"/>
      <c r="V21" s="81"/>
      <c r="W21" s="81"/>
      <c r="X21" s="81"/>
    </row>
    <row r="22" spans="2:24" s="82" customFormat="1" ht="11.25" x14ac:dyDescent="0.2">
      <c r="B22" s="24" t="s">
        <v>50</v>
      </c>
      <c r="C22" s="37"/>
      <c r="D22" s="279">
        <v>7249.7395333929999</v>
      </c>
      <c r="E22" s="121"/>
      <c r="F22" s="619">
        <v>6001.0508628337002</v>
      </c>
      <c r="G22" s="619">
        <v>110.24221566999999</v>
      </c>
      <c r="H22" s="121"/>
      <c r="I22" s="619">
        <v>6369.8527159630003</v>
      </c>
      <c r="J22" s="619">
        <v>104.3062497869</v>
      </c>
      <c r="K22" s="121"/>
      <c r="L22" s="619">
        <v>769.65240544289998</v>
      </c>
      <c r="M22" s="619">
        <v>19.574307453900001</v>
      </c>
      <c r="N22" s="121"/>
      <c r="O22" s="619">
        <v>0</v>
      </c>
      <c r="P22" s="81"/>
      <c r="Q22" s="81"/>
      <c r="R22" s="81"/>
      <c r="S22" s="81"/>
      <c r="T22" s="81"/>
      <c r="U22" s="81"/>
      <c r="V22" s="81"/>
      <c r="W22" s="81"/>
      <c r="X22" s="81"/>
    </row>
    <row r="23" spans="2:24" s="82" customFormat="1" ht="11.25" x14ac:dyDescent="0.2">
      <c r="B23" s="24" t="s">
        <v>51</v>
      </c>
      <c r="C23" s="37"/>
      <c r="D23" s="279">
        <v>6059.7613747628002</v>
      </c>
      <c r="E23" s="121"/>
      <c r="F23" s="619">
        <v>5618.8120955576996</v>
      </c>
      <c r="G23" s="619">
        <v>105.85553704909999</v>
      </c>
      <c r="H23" s="121"/>
      <c r="I23" s="619">
        <v>3444.8242824659001</v>
      </c>
      <c r="J23" s="619">
        <v>75.271373102200002</v>
      </c>
      <c r="K23" s="121"/>
      <c r="L23" s="619">
        <v>0</v>
      </c>
      <c r="M23" s="619">
        <v>0</v>
      </c>
      <c r="N23" s="121"/>
      <c r="O23" s="619">
        <v>960.08186658340003</v>
      </c>
      <c r="P23" s="81"/>
      <c r="Q23" s="81"/>
      <c r="R23" s="81"/>
      <c r="S23" s="81"/>
      <c r="T23" s="81"/>
      <c r="U23" s="81"/>
      <c r="V23" s="81"/>
      <c r="W23" s="81"/>
      <c r="X23" s="81"/>
    </row>
    <row r="24" spans="2:24" s="82" customFormat="1" ht="11.25" x14ac:dyDescent="0.2">
      <c r="B24" s="24" t="s">
        <v>52</v>
      </c>
      <c r="C24" s="37"/>
      <c r="D24" s="279">
        <v>42998.6438588491</v>
      </c>
      <c r="E24" s="121"/>
      <c r="F24" s="619">
        <v>30767.341516650398</v>
      </c>
      <c r="G24" s="619">
        <v>91.274896296600005</v>
      </c>
      <c r="H24" s="121"/>
      <c r="I24" s="619">
        <v>27895.1436243403</v>
      </c>
      <c r="J24" s="619">
        <v>72.5954015704</v>
      </c>
      <c r="K24" s="121"/>
      <c r="L24" s="141" t="s">
        <v>201</v>
      </c>
      <c r="M24" s="142" t="s">
        <v>201</v>
      </c>
      <c r="N24" s="121"/>
      <c r="O24" s="619">
        <v>6169.4751806680997</v>
      </c>
      <c r="P24" s="81"/>
      <c r="Q24" s="81"/>
      <c r="R24" s="81"/>
      <c r="S24" s="81"/>
      <c r="T24" s="81"/>
      <c r="U24" s="81"/>
      <c r="V24" s="81"/>
      <c r="W24" s="81"/>
      <c r="X24" s="81"/>
    </row>
    <row r="25" spans="2:24" s="82" customFormat="1" ht="11.25" x14ac:dyDescent="0.2">
      <c r="B25" s="24" t="s">
        <v>53</v>
      </c>
      <c r="C25" s="37"/>
      <c r="D25" s="279">
        <v>13848.8529519844</v>
      </c>
      <c r="E25" s="121"/>
      <c r="F25" s="619">
        <v>4048.8228855582001</v>
      </c>
      <c r="G25" s="619">
        <v>76.8805612532</v>
      </c>
      <c r="H25" s="121"/>
      <c r="I25" s="619">
        <v>12716.207496528599</v>
      </c>
      <c r="J25" s="619">
        <v>107.1585047033</v>
      </c>
      <c r="K25" s="121"/>
      <c r="L25" s="141" t="s">
        <v>201</v>
      </c>
      <c r="M25" s="142" t="s">
        <v>201</v>
      </c>
      <c r="N25" s="121"/>
      <c r="O25" s="619">
        <v>0</v>
      </c>
      <c r="P25" s="81"/>
      <c r="Q25" s="81"/>
      <c r="R25" s="81"/>
      <c r="S25" s="81"/>
      <c r="T25" s="81"/>
      <c r="U25" s="81"/>
      <c r="V25" s="81"/>
      <c r="W25" s="81"/>
      <c r="X25" s="81"/>
    </row>
    <row r="26" spans="2:24" s="82" customFormat="1" ht="6" customHeight="1" x14ac:dyDescent="0.2">
      <c r="B26" s="24"/>
      <c r="C26" s="37"/>
      <c r="D26" s="89"/>
      <c r="E26" s="121"/>
      <c r="F26" s="121"/>
      <c r="G26" s="120"/>
      <c r="H26" s="121"/>
      <c r="I26" s="121"/>
      <c r="J26" s="120"/>
      <c r="K26" s="121"/>
      <c r="L26" s="121"/>
      <c r="M26" s="120"/>
      <c r="N26" s="121"/>
      <c r="O26" s="121"/>
      <c r="P26" s="81"/>
      <c r="Q26" s="81"/>
      <c r="R26" s="81"/>
      <c r="S26" s="81"/>
      <c r="T26" s="81"/>
      <c r="U26" s="81"/>
      <c r="V26" s="81"/>
      <c r="W26" s="81"/>
      <c r="X26" s="81"/>
    </row>
    <row r="27" spans="2:24" s="80" customFormat="1" ht="11.25" x14ac:dyDescent="0.2">
      <c r="B27" s="636" t="s">
        <v>37</v>
      </c>
      <c r="C27" s="77"/>
      <c r="D27" s="334">
        <v>79196.8422533548</v>
      </c>
      <c r="E27" s="119"/>
      <c r="F27" s="620">
        <v>75754.302737362101</v>
      </c>
      <c r="G27" s="620">
        <v>100.3103879996</v>
      </c>
      <c r="H27" s="119"/>
      <c r="I27" s="620">
        <v>53713.186984584601</v>
      </c>
      <c r="J27" s="620">
        <v>73.844783734200007</v>
      </c>
      <c r="K27" s="119"/>
      <c r="L27" s="620">
        <v>727.33474741170005</v>
      </c>
      <c r="M27" s="620">
        <v>1.1214784897000001</v>
      </c>
      <c r="N27" s="119"/>
      <c r="O27" s="620">
        <v>6288.5852327893999</v>
      </c>
      <c r="P27" s="79"/>
      <c r="Q27" s="79"/>
      <c r="R27" s="79"/>
      <c r="S27" s="79"/>
      <c r="T27" s="79"/>
      <c r="U27" s="79"/>
      <c r="V27" s="79"/>
      <c r="W27" s="79"/>
      <c r="X27" s="79"/>
    </row>
    <row r="28" spans="2:24" s="82" customFormat="1" ht="6" customHeight="1" x14ac:dyDescent="0.2">
      <c r="B28" s="636"/>
      <c r="C28" s="37"/>
      <c r="D28" s="89"/>
      <c r="E28" s="121"/>
      <c r="F28" s="121"/>
      <c r="G28" s="120"/>
      <c r="H28" s="121"/>
      <c r="I28" s="121"/>
      <c r="J28" s="120"/>
      <c r="K28" s="121"/>
      <c r="L28" s="121"/>
      <c r="M28" s="120"/>
      <c r="N28" s="121"/>
      <c r="O28" s="121"/>
      <c r="P28" s="81"/>
      <c r="Q28" s="81"/>
      <c r="R28" s="81"/>
      <c r="S28" s="81"/>
      <c r="T28" s="81"/>
      <c r="U28" s="81"/>
      <c r="V28" s="81"/>
      <c r="W28" s="81"/>
      <c r="X28" s="81"/>
    </row>
    <row r="29" spans="2:24" s="82" customFormat="1" ht="11.25" x14ac:dyDescent="0.2">
      <c r="B29" s="24" t="s">
        <v>49</v>
      </c>
      <c r="C29" s="37"/>
      <c r="D29" s="279">
        <v>40300.065177129502</v>
      </c>
      <c r="E29" s="121"/>
      <c r="F29" s="619">
        <v>38677.826492940199</v>
      </c>
      <c r="G29" s="619">
        <v>102.4489100255</v>
      </c>
      <c r="H29" s="121"/>
      <c r="I29" s="619">
        <v>32202.516696152201</v>
      </c>
      <c r="J29" s="619">
        <v>91.139812160999995</v>
      </c>
      <c r="K29" s="121"/>
      <c r="L29" s="619">
        <v>0</v>
      </c>
      <c r="M29" s="619">
        <v>0</v>
      </c>
      <c r="N29" s="121"/>
      <c r="O29" s="619">
        <v>3669.2280775281001</v>
      </c>
      <c r="P29" s="81"/>
      <c r="Q29" s="81"/>
      <c r="R29" s="81"/>
      <c r="S29" s="81"/>
      <c r="T29" s="81"/>
      <c r="U29" s="81"/>
      <c r="V29" s="81"/>
      <c r="W29" s="81"/>
      <c r="X29" s="81"/>
    </row>
    <row r="30" spans="2:24" s="82" customFormat="1" ht="11.25" x14ac:dyDescent="0.2">
      <c r="B30" s="24" t="s">
        <v>50</v>
      </c>
      <c r="C30" s="37"/>
      <c r="D30" s="279">
        <v>8657.8311454399991</v>
      </c>
      <c r="E30" s="121"/>
      <c r="F30" s="619">
        <v>8320.6516783013994</v>
      </c>
      <c r="G30" s="619">
        <v>103.2756486264</v>
      </c>
      <c r="H30" s="121"/>
      <c r="I30" s="619">
        <v>5248.6099105019002</v>
      </c>
      <c r="J30" s="619">
        <v>78.129233092000007</v>
      </c>
      <c r="K30" s="121"/>
      <c r="L30" s="619">
        <v>0</v>
      </c>
      <c r="M30" s="619">
        <v>0</v>
      </c>
      <c r="N30" s="121"/>
      <c r="O30" s="619">
        <v>0</v>
      </c>
      <c r="P30" s="81"/>
      <c r="Q30" s="81"/>
      <c r="R30" s="81"/>
      <c r="S30" s="81"/>
      <c r="T30" s="81"/>
      <c r="U30" s="81"/>
      <c r="V30" s="81"/>
      <c r="W30" s="81"/>
      <c r="X30" s="81"/>
    </row>
    <row r="31" spans="2:24" s="82" customFormat="1" ht="11.25" x14ac:dyDescent="0.2">
      <c r="B31" s="24" t="s">
        <v>51</v>
      </c>
      <c r="C31" s="37"/>
      <c r="D31" s="279">
        <v>5634.1119186513997</v>
      </c>
      <c r="E31" s="121"/>
      <c r="F31" s="619">
        <v>5289.8920850023997</v>
      </c>
      <c r="G31" s="619">
        <v>106.3721080462</v>
      </c>
      <c r="H31" s="121"/>
      <c r="I31" s="619">
        <v>4959.3201029967004</v>
      </c>
      <c r="J31" s="619">
        <v>103.9498312879</v>
      </c>
      <c r="K31" s="121"/>
      <c r="L31" s="619">
        <v>727.33474741170005</v>
      </c>
      <c r="M31" s="619">
        <v>23.4626653736</v>
      </c>
      <c r="N31" s="121"/>
      <c r="O31" s="619">
        <v>0</v>
      </c>
      <c r="P31" s="81"/>
      <c r="Q31" s="81"/>
      <c r="R31" s="81"/>
      <c r="S31" s="81"/>
      <c r="T31" s="81"/>
      <c r="U31" s="81"/>
      <c r="V31" s="81"/>
      <c r="W31" s="81"/>
      <c r="X31" s="81"/>
    </row>
    <row r="32" spans="2:24" s="82" customFormat="1" ht="11.25" x14ac:dyDescent="0.2">
      <c r="B32" s="24" t="s">
        <v>137</v>
      </c>
      <c r="C32" s="37"/>
      <c r="D32" s="279">
        <v>30115.926682393601</v>
      </c>
      <c r="E32" s="121"/>
      <c r="F32" s="619">
        <v>28226.8301912799</v>
      </c>
      <c r="G32" s="619">
        <v>102.7722834411</v>
      </c>
      <c r="H32" s="121"/>
      <c r="I32" s="619">
        <v>15011.391333457899</v>
      </c>
      <c r="J32" s="619">
        <v>59.483377943500003</v>
      </c>
      <c r="K32" s="121"/>
      <c r="L32" s="141" t="s">
        <v>201</v>
      </c>
      <c r="M32" s="142" t="s">
        <v>201</v>
      </c>
      <c r="N32" s="121"/>
      <c r="O32" s="619">
        <v>3975.2150013081</v>
      </c>
      <c r="P32" s="81"/>
      <c r="Q32" s="81"/>
      <c r="R32" s="81"/>
      <c r="S32" s="81"/>
      <c r="T32" s="81"/>
      <c r="U32" s="81"/>
      <c r="V32" s="81"/>
      <c r="W32" s="81"/>
      <c r="X32" s="81"/>
    </row>
    <row r="33" spans="2:24" s="82" customFormat="1" ht="11.25" x14ac:dyDescent="0.2">
      <c r="B33" s="24" t="s">
        <v>138</v>
      </c>
      <c r="C33" s="37"/>
      <c r="D33" s="279">
        <v>10146.9833013275</v>
      </c>
      <c r="E33" s="121"/>
      <c r="F33" s="619">
        <v>9816.2622865017001</v>
      </c>
      <c r="G33" s="619">
        <v>102.8721973487</v>
      </c>
      <c r="H33" s="121"/>
      <c r="I33" s="619">
        <v>8703.5383508850991</v>
      </c>
      <c r="J33" s="619">
        <v>98.262225077500005</v>
      </c>
      <c r="K33" s="121"/>
      <c r="L33" s="141" t="s">
        <v>201</v>
      </c>
      <c r="M33" s="142" t="s">
        <v>201</v>
      </c>
      <c r="N33" s="121"/>
      <c r="O33" s="619">
        <v>0</v>
      </c>
      <c r="P33" s="81"/>
      <c r="Q33" s="81"/>
      <c r="R33" s="81"/>
      <c r="S33" s="81"/>
      <c r="T33" s="81"/>
      <c r="U33" s="81"/>
      <c r="V33" s="81"/>
      <c r="W33" s="81"/>
      <c r="X33" s="81"/>
    </row>
    <row r="34" spans="2:24" s="82" customFormat="1" ht="6" customHeight="1" x14ac:dyDescent="0.2">
      <c r="B34" s="24"/>
      <c r="C34" s="37"/>
      <c r="D34" s="89"/>
      <c r="E34" s="121"/>
      <c r="F34" s="121"/>
      <c r="G34" s="120"/>
      <c r="H34" s="121"/>
      <c r="I34" s="121"/>
      <c r="J34" s="120"/>
      <c r="K34" s="121"/>
      <c r="L34" s="121"/>
      <c r="M34" s="120"/>
      <c r="N34" s="121"/>
      <c r="O34" s="121"/>
      <c r="P34" s="81"/>
      <c r="Q34" s="81"/>
      <c r="R34" s="81"/>
      <c r="S34" s="81"/>
      <c r="T34" s="81"/>
      <c r="U34" s="81"/>
      <c r="V34" s="81"/>
      <c r="W34" s="81"/>
      <c r="X34" s="81"/>
    </row>
    <row r="35" spans="2:24" s="80" customFormat="1" ht="11.25" x14ac:dyDescent="0.2">
      <c r="B35" s="637" t="s">
        <v>38</v>
      </c>
      <c r="C35" s="77"/>
      <c r="D35" s="334">
        <v>105016.241068855</v>
      </c>
      <c r="E35" s="119"/>
      <c r="F35" s="620">
        <v>100840.30086153399</v>
      </c>
      <c r="G35" s="620">
        <v>98.887622462899998</v>
      </c>
      <c r="H35" s="119"/>
      <c r="I35" s="620">
        <v>54803.199752131601</v>
      </c>
      <c r="J35" s="620">
        <v>60.023640515499999</v>
      </c>
      <c r="K35" s="119"/>
      <c r="L35" s="620">
        <v>2803.2246059347999</v>
      </c>
      <c r="M35" s="620">
        <v>3.17477674</v>
      </c>
      <c r="N35" s="119"/>
      <c r="O35" s="620">
        <v>5910.8776446377997</v>
      </c>
      <c r="P35" s="79"/>
      <c r="Q35" s="79"/>
      <c r="R35" s="79"/>
      <c r="S35" s="79"/>
      <c r="T35" s="79"/>
      <c r="U35" s="79"/>
      <c r="V35" s="79"/>
      <c r="W35" s="79"/>
      <c r="X35" s="79"/>
    </row>
    <row r="36" spans="2:24" s="82" customFormat="1" ht="6" customHeight="1" x14ac:dyDescent="0.2">
      <c r="B36" s="24"/>
      <c r="C36" s="37"/>
      <c r="D36" s="89"/>
      <c r="E36" s="121"/>
      <c r="F36" s="121"/>
      <c r="G36" s="120"/>
      <c r="H36" s="121"/>
      <c r="I36" s="121"/>
      <c r="J36" s="120"/>
      <c r="K36" s="121"/>
      <c r="L36" s="121"/>
      <c r="M36" s="120"/>
      <c r="N36" s="121"/>
      <c r="O36" s="121"/>
      <c r="P36" s="81"/>
      <c r="Q36" s="81"/>
      <c r="R36" s="81"/>
      <c r="S36" s="81"/>
      <c r="T36" s="81"/>
      <c r="U36" s="81"/>
      <c r="V36" s="81"/>
      <c r="W36" s="81"/>
      <c r="X36" s="81"/>
    </row>
    <row r="37" spans="2:24" s="82" customFormat="1" ht="11.25" x14ac:dyDescent="0.2">
      <c r="B37" s="24" t="s">
        <v>49</v>
      </c>
      <c r="C37" s="37"/>
      <c r="D37" s="279">
        <v>27333.042023024402</v>
      </c>
      <c r="E37" s="121"/>
      <c r="F37" s="619">
        <v>27333.042023024402</v>
      </c>
      <c r="G37" s="619">
        <v>100</v>
      </c>
      <c r="H37" s="121"/>
      <c r="I37" s="619">
        <v>16625.443469827998</v>
      </c>
      <c r="J37" s="619">
        <v>91.810039057300003</v>
      </c>
      <c r="K37" s="121"/>
      <c r="L37" s="619">
        <v>2803.2246059347999</v>
      </c>
      <c r="M37" s="619">
        <v>15.5818084005</v>
      </c>
      <c r="N37" s="121"/>
      <c r="O37" s="619">
        <v>0</v>
      </c>
      <c r="P37" s="81"/>
      <c r="Q37" s="81"/>
      <c r="R37" s="81"/>
      <c r="S37" s="81"/>
      <c r="T37" s="81"/>
      <c r="U37" s="81"/>
      <c r="V37" s="81"/>
      <c r="W37" s="81"/>
      <c r="X37" s="81"/>
    </row>
    <row r="38" spans="2:24" s="82" customFormat="1" ht="11.25" x14ac:dyDescent="0.2">
      <c r="B38" s="24" t="s">
        <v>50</v>
      </c>
      <c r="C38" s="37"/>
      <c r="D38" s="279">
        <v>14057.432456963101</v>
      </c>
      <c r="E38" s="121"/>
      <c r="F38" s="619">
        <v>10122.5830060647</v>
      </c>
      <c r="G38" s="619">
        <v>92.054625605400005</v>
      </c>
      <c r="H38" s="121"/>
      <c r="I38" s="619">
        <v>6961.5108512395</v>
      </c>
      <c r="J38" s="619">
        <v>66.824175333499994</v>
      </c>
      <c r="K38" s="121"/>
      <c r="L38" s="619">
        <v>0</v>
      </c>
      <c r="M38" s="619">
        <v>0</v>
      </c>
      <c r="N38" s="121"/>
      <c r="O38" s="619">
        <v>4269.8078541754003</v>
      </c>
      <c r="P38" s="81"/>
      <c r="Q38" s="81"/>
      <c r="R38" s="81"/>
      <c r="S38" s="81"/>
      <c r="T38" s="81"/>
      <c r="U38" s="81"/>
      <c r="V38" s="81"/>
      <c r="W38" s="81"/>
      <c r="X38" s="81"/>
    </row>
    <row r="39" spans="2:24" s="82" customFormat="1" ht="11.25" x14ac:dyDescent="0.2">
      <c r="B39" s="24" t="s">
        <v>51</v>
      </c>
      <c r="C39" s="37"/>
      <c r="D39" s="279">
        <v>14245.039691170599</v>
      </c>
      <c r="E39" s="121"/>
      <c r="F39" s="619">
        <v>11516.608009547999</v>
      </c>
      <c r="G39" s="619">
        <v>97.1633720393</v>
      </c>
      <c r="H39" s="121"/>
      <c r="I39" s="619">
        <v>11957.0630518163</v>
      </c>
      <c r="J39" s="619">
        <v>96.990377506800002</v>
      </c>
      <c r="K39" s="121"/>
      <c r="L39" s="619">
        <v>0</v>
      </c>
      <c r="M39" s="619">
        <v>0</v>
      </c>
      <c r="N39" s="121"/>
      <c r="O39" s="619">
        <v>2248.1255829088</v>
      </c>
      <c r="P39" s="81"/>
      <c r="Q39" s="81"/>
      <c r="R39" s="81"/>
      <c r="S39" s="81"/>
      <c r="T39" s="81"/>
      <c r="U39" s="81"/>
      <c r="V39" s="81"/>
      <c r="W39" s="81"/>
      <c r="X39" s="81"/>
    </row>
    <row r="40" spans="2:24" s="82" customFormat="1" ht="11.25" x14ac:dyDescent="0.2">
      <c r="B40" s="24" t="s">
        <v>137</v>
      </c>
      <c r="C40" s="37"/>
      <c r="D40" s="279">
        <v>63066.0898465348</v>
      </c>
      <c r="E40" s="121"/>
      <c r="F40" s="619">
        <v>62382.731265535098</v>
      </c>
      <c r="G40" s="619">
        <v>99.797847838600006</v>
      </c>
      <c r="H40" s="121"/>
      <c r="I40" s="619">
        <v>26474.011415736801</v>
      </c>
      <c r="J40" s="619">
        <v>50.094549069700001</v>
      </c>
      <c r="K40" s="121"/>
      <c r="L40" s="141" t="s">
        <v>201</v>
      </c>
      <c r="M40" s="142" t="s">
        <v>201</v>
      </c>
      <c r="N40" s="121"/>
      <c r="O40" s="619">
        <v>893.96052590960005</v>
      </c>
      <c r="P40" s="81"/>
      <c r="Q40" s="81"/>
      <c r="R40" s="81"/>
      <c r="S40" s="81"/>
      <c r="T40" s="81"/>
      <c r="U40" s="81"/>
      <c r="V40" s="81"/>
      <c r="W40" s="81"/>
      <c r="X40" s="81"/>
    </row>
    <row r="41" spans="2:24" s="82" customFormat="1" ht="11.25" x14ac:dyDescent="0.2">
      <c r="B41" s="24" t="s">
        <v>138</v>
      </c>
      <c r="C41" s="37"/>
      <c r="D41" s="279">
        <v>13154.666524378399</v>
      </c>
      <c r="E41" s="121"/>
      <c r="F41" s="619">
        <v>13154.666524378399</v>
      </c>
      <c r="G41" s="619">
        <v>100</v>
      </c>
      <c r="H41" s="121"/>
      <c r="I41" s="619">
        <v>9407.4513870227001</v>
      </c>
      <c r="J41" s="619">
        <v>87.249383455399993</v>
      </c>
      <c r="K41" s="121"/>
      <c r="L41" s="141" t="s">
        <v>201</v>
      </c>
      <c r="M41" s="142" t="s">
        <v>201</v>
      </c>
      <c r="N41" s="121"/>
      <c r="O41" s="619">
        <v>0</v>
      </c>
      <c r="P41" s="81"/>
      <c r="Q41" s="81"/>
      <c r="R41" s="81"/>
      <c r="S41" s="81"/>
      <c r="T41" s="81"/>
      <c r="U41" s="81"/>
      <c r="V41" s="81"/>
      <c r="W41" s="81"/>
      <c r="X41" s="81"/>
    </row>
    <row r="42" spans="2:24" s="82" customFormat="1" ht="6" customHeight="1" x14ac:dyDescent="0.2">
      <c r="B42" s="37"/>
      <c r="C42" s="37"/>
      <c r="D42" s="121"/>
      <c r="E42" s="121"/>
      <c r="F42" s="121"/>
      <c r="G42" s="120"/>
      <c r="H42" s="121"/>
      <c r="I42" s="121"/>
      <c r="J42" s="120"/>
      <c r="K42" s="121"/>
      <c r="L42" s="121"/>
      <c r="M42" s="120"/>
      <c r="N42" s="121"/>
      <c r="O42" s="121"/>
      <c r="P42" s="81"/>
      <c r="Q42" s="81"/>
      <c r="R42" s="81"/>
      <c r="S42" s="81"/>
      <c r="T42" s="81"/>
      <c r="U42" s="81"/>
      <c r="V42" s="81"/>
      <c r="W42" s="81"/>
      <c r="X42" s="81"/>
    </row>
    <row r="43" spans="2:24" s="80" customFormat="1" ht="11.25" x14ac:dyDescent="0.2">
      <c r="B43" s="637" t="s">
        <v>54</v>
      </c>
      <c r="C43" s="77"/>
      <c r="D43" s="334">
        <v>278680.62182392302</v>
      </c>
      <c r="E43" s="119"/>
      <c r="F43" s="620">
        <v>267818.41803066898</v>
      </c>
      <c r="G43" s="620">
        <v>97.429956857899995</v>
      </c>
      <c r="H43" s="119"/>
      <c r="I43" s="620">
        <v>143477.46138636101</v>
      </c>
      <c r="J43" s="620">
        <v>54.608581035299999</v>
      </c>
      <c r="K43" s="119"/>
      <c r="L43" s="620">
        <v>4331.1168437662</v>
      </c>
      <c r="M43" s="620">
        <v>1.7008668914</v>
      </c>
      <c r="N43" s="119"/>
      <c r="O43" s="620">
        <v>12147.4388242435</v>
      </c>
      <c r="P43" s="79"/>
      <c r="Q43" s="79"/>
      <c r="R43" s="79"/>
      <c r="S43" s="79"/>
      <c r="T43" s="79"/>
      <c r="U43" s="79"/>
      <c r="V43" s="79"/>
      <c r="W43" s="79"/>
      <c r="X43" s="79"/>
    </row>
    <row r="44" spans="2:24" s="82" customFormat="1" ht="6" customHeight="1" x14ac:dyDescent="0.2">
      <c r="B44" s="24"/>
      <c r="C44" s="37"/>
      <c r="D44" s="89"/>
      <c r="E44" s="121"/>
      <c r="F44" s="121"/>
      <c r="G44" s="120"/>
      <c r="H44" s="121"/>
      <c r="I44" s="121"/>
      <c r="J44" s="120"/>
      <c r="K44" s="121"/>
      <c r="L44" s="121"/>
      <c r="M44" s="120"/>
      <c r="N44" s="121"/>
      <c r="O44" s="121"/>
      <c r="P44" s="81"/>
      <c r="Q44" s="81"/>
      <c r="R44" s="81"/>
      <c r="S44" s="81"/>
      <c r="T44" s="81"/>
      <c r="U44" s="81"/>
      <c r="V44" s="81"/>
      <c r="W44" s="81"/>
      <c r="X44" s="81"/>
    </row>
    <row r="45" spans="2:24" s="82" customFormat="1" ht="12" customHeight="1" x14ac:dyDescent="0.2">
      <c r="B45" s="24" t="s">
        <v>49</v>
      </c>
      <c r="C45" s="37"/>
      <c r="D45" s="279">
        <v>43786.575684515497</v>
      </c>
      <c r="E45" s="121"/>
      <c r="F45" s="619">
        <v>42511.702765144299</v>
      </c>
      <c r="G45" s="619">
        <v>100.1904997753</v>
      </c>
      <c r="H45" s="121"/>
      <c r="I45" s="619">
        <v>31773.0830652478</v>
      </c>
      <c r="J45" s="619">
        <v>81.779774052799993</v>
      </c>
      <c r="K45" s="121"/>
      <c r="L45" s="619">
        <v>2435.2947794450001</v>
      </c>
      <c r="M45" s="619">
        <v>7.0337500192000002</v>
      </c>
      <c r="N45" s="121"/>
      <c r="O45" s="619">
        <v>2473.9371462611998</v>
      </c>
      <c r="P45" s="81"/>
      <c r="Q45" s="81"/>
      <c r="R45" s="81"/>
      <c r="S45" s="81"/>
      <c r="T45" s="81"/>
      <c r="U45" s="81"/>
      <c r="V45" s="81"/>
      <c r="W45" s="81"/>
      <c r="X45" s="81"/>
    </row>
    <row r="46" spans="2:24" s="82" customFormat="1" ht="11.25" x14ac:dyDescent="0.2">
      <c r="B46" s="24" t="s">
        <v>50</v>
      </c>
      <c r="C46" s="37"/>
      <c r="D46" s="279">
        <v>22109.6960464777</v>
      </c>
      <c r="E46" s="121"/>
      <c r="F46" s="619">
        <v>21015.246950945799</v>
      </c>
      <c r="G46" s="619">
        <v>100.3713839645</v>
      </c>
      <c r="H46" s="121"/>
      <c r="I46" s="619">
        <v>15831.541168325701</v>
      </c>
      <c r="J46" s="619">
        <v>90.233390485200005</v>
      </c>
      <c r="K46" s="121"/>
      <c r="L46" s="619">
        <v>2258.7214762488002</v>
      </c>
      <c r="M46" s="619">
        <v>15.3641616795</v>
      </c>
      <c r="N46" s="121"/>
      <c r="O46" s="619">
        <v>1354.1650569992</v>
      </c>
      <c r="P46" s="81"/>
      <c r="Q46" s="81"/>
      <c r="R46" s="81"/>
      <c r="S46" s="81"/>
      <c r="T46" s="81"/>
      <c r="U46" s="81"/>
      <c r="V46" s="81"/>
      <c r="W46" s="81"/>
      <c r="X46" s="81"/>
    </row>
    <row r="47" spans="2:24" s="82" customFormat="1" ht="11.25" x14ac:dyDescent="0.2">
      <c r="B47" s="24" t="s">
        <v>51</v>
      </c>
      <c r="C47" s="37"/>
      <c r="D47" s="279">
        <v>24344.197897669001</v>
      </c>
      <c r="E47" s="121"/>
      <c r="F47" s="619">
        <v>23224.652361383</v>
      </c>
      <c r="G47" s="619">
        <v>100.5852086626</v>
      </c>
      <c r="H47" s="121"/>
      <c r="I47" s="619">
        <v>16372.130526695501</v>
      </c>
      <c r="J47" s="619">
        <v>83.227916287499994</v>
      </c>
      <c r="K47" s="121"/>
      <c r="L47" s="619">
        <v>740.55901554640002</v>
      </c>
      <c r="M47" s="619">
        <v>4.2845781067999997</v>
      </c>
      <c r="N47" s="121"/>
      <c r="O47" s="619">
        <v>2072.7989181423</v>
      </c>
      <c r="P47" s="81"/>
      <c r="Q47" s="81"/>
      <c r="R47" s="81"/>
      <c r="S47" s="81"/>
      <c r="T47" s="81"/>
      <c r="U47" s="81"/>
      <c r="V47" s="81"/>
      <c r="W47" s="81"/>
      <c r="X47" s="81"/>
    </row>
    <row r="48" spans="2:24" s="82" customFormat="1" ht="11.25" x14ac:dyDescent="0.2">
      <c r="B48" s="24" t="s">
        <v>137</v>
      </c>
      <c r="C48" s="37"/>
      <c r="D48" s="279">
        <v>195916.58832126501</v>
      </c>
      <c r="E48" s="121"/>
      <c r="F48" s="619">
        <v>189073.031088155</v>
      </c>
      <c r="G48" s="619">
        <v>98.011714770899999</v>
      </c>
      <c r="H48" s="121"/>
      <c r="I48" s="619">
        <v>93745.959173272306</v>
      </c>
      <c r="J48" s="619">
        <v>51.501283688400001</v>
      </c>
      <c r="K48" s="121"/>
      <c r="L48" s="141" t="s">
        <v>201</v>
      </c>
      <c r="M48" s="142" t="s">
        <v>201</v>
      </c>
      <c r="N48" s="121"/>
      <c r="O48" s="619">
        <v>7190.6842602105999</v>
      </c>
      <c r="P48" s="81"/>
      <c r="Q48" s="81"/>
      <c r="R48" s="81"/>
      <c r="S48" s="81"/>
      <c r="T48" s="81"/>
      <c r="U48" s="81"/>
      <c r="V48" s="81"/>
      <c r="W48" s="81"/>
      <c r="X48" s="81"/>
    </row>
    <row r="49" spans="2:24" s="82" customFormat="1" ht="11.25" x14ac:dyDescent="0.2">
      <c r="B49" s="24" t="s">
        <v>138</v>
      </c>
      <c r="C49" s="37"/>
      <c r="D49" s="279">
        <v>58722.764001863798</v>
      </c>
      <c r="E49" s="121"/>
      <c r="F49" s="619">
        <v>53331.130067654602</v>
      </c>
      <c r="G49" s="619">
        <v>97.804479854799993</v>
      </c>
      <c r="H49" s="121"/>
      <c r="I49" s="619">
        <v>22526.4479753704</v>
      </c>
      <c r="J49" s="619">
        <v>46.179748797599999</v>
      </c>
      <c r="K49" s="121"/>
      <c r="L49" s="141" t="s">
        <v>201</v>
      </c>
      <c r="M49" s="142" t="s">
        <v>201</v>
      </c>
      <c r="N49" s="121"/>
      <c r="O49" s="619">
        <v>5113.0662748809</v>
      </c>
      <c r="P49" s="81"/>
      <c r="Q49" s="81"/>
      <c r="R49" s="81"/>
      <c r="S49" s="81"/>
      <c r="T49" s="81"/>
      <c r="U49" s="81"/>
      <c r="V49" s="81"/>
      <c r="W49" s="81"/>
      <c r="X49" s="81"/>
    </row>
    <row r="50" spans="2:24" s="82" customFormat="1" ht="6" customHeight="1" x14ac:dyDescent="0.2">
      <c r="B50" s="11"/>
      <c r="C50" s="38"/>
      <c r="D50" s="12"/>
      <c r="E50" s="132"/>
      <c r="F50" s="132"/>
      <c r="G50" s="132"/>
      <c r="H50" s="132"/>
      <c r="I50" s="132"/>
      <c r="J50" s="132"/>
      <c r="K50" s="132"/>
      <c r="L50" s="132"/>
      <c r="M50" s="132"/>
      <c r="N50" s="132"/>
      <c r="O50" s="132"/>
      <c r="P50" s="81"/>
      <c r="Q50" s="81"/>
      <c r="R50" s="81"/>
      <c r="S50" s="81"/>
      <c r="T50" s="81"/>
      <c r="U50" s="81"/>
      <c r="V50" s="81"/>
      <c r="W50" s="81"/>
      <c r="X50" s="81"/>
    </row>
    <row r="51" spans="2:24" ht="6" customHeight="1" x14ac:dyDescent="0.2">
      <c r="B51" s="23"/>
      <c r="C51" s="4"/>
      <c r="D51" s="4"/>
      <c r="E51" s="37"/>
      <c r="F51" s="33"/>
      <c r="G51" s="33"/>
      <c r="H51" s="33"/>
      <c r="I51" s="33"/>
      <c r="J51" s="33"/>
      <c r="K51" s="33"/>
      <c r="L51" s="33"/>
      <c r="M51" s="33"/>
      <c r="N51" s="2"/>
      <c r="O51" s="2"/>
      <c r="P51" s="1"/>
      <c r="Q51" s="1"/>
      <c r="R51" s="1"/>
      <c r="S51" s="1"/>
      <c r="T51" s="1"/>
      <c r="U51" s="1"/>
      <c r="V51" s="1"/>
      <c r="W51" s="1"/>
      <c r="X51" s="1"/>
    </row>
    <row r="52" spans="2:24" x14ac:dyDescent="0.2">
      <c r="B52" s="23" t="s">
        <v>139</v>
      </c>
      <c r="C52" s="4"/>
      <c r="D52" s="4"/>
      <c r="E52" s="37"/>
      <c r="F52" s="33"/>
      <c r="G52" s="33"/>
      <c r="H52" s="33"/>
      <c r="I52" s="33"/>
      <c r="J52" s="33"/>
      <c r="K52" s="33"/>
      <c r="L52" s="33"/>
      <c r="M52" s="33"/>
      <c r="N52" s="2"/>
      <c r="O52" s="2"/>
      <c r="P52" s="1"/>
      <c r="Q52" s="1"/>
      <c r="R52" s="1"/>
      <c r="S52" s="1"/>
      <c r="T52" s="1"/>
      <c r="U52" s="1"/>
      <c r="V52" s="1"/>
      <c r="W52" s="1"/>
      <c r="X52" s="1"/>
    </row>
    <row r="53" spans="2:24" x14ac:dyDescent="0.2">
      <c r="B53" s="23" t="s">
        <v>143</v>
      </c>
      <c r="C53" s="4"/>
      <c r="D53" s="4"/>
      <c r="E53" s="37"/>
      <c r="F53" s="33"/>
      <c r="G53" s="33"/>
      <c r="H53" s="33"/>
      <c r="I53" s="33"/>
      <c r="J53" s="33"/>
      <c r="K53" s="33"/>
      <c r="L53" s="33"/>
      <c r="M53" s="33"/>
      <c r="N53" s="2"/>
      <c r="O53" s="2"/>
      <c r="P53" s="1"/>
      <c r="Q53" s="1"/>
      <c r="R53" s="1"/>
      <c r="S53" s="1"/>
      <c r="T53" s="1"/>
      <c r="U53" s="1"/>
      <c r="V53" s="1"/>
      <c r="W53" s="1"/>
      <c r="X53" s="1"/>
    </row>
    <row r="54" spans="2:24" x14ac:dyDescent="0.2">
      <c r="B54" s="23" t="s">
        <v>141</v>
      </c>
      <c r="C54" s="4"/>
      <c r="D54" s="4"/>
      <c r="E54" s="37"/>
      <c r="F54" s="33"/>
      <c r="G54" s="33"/>
      <c r="H54" s="33"/>
      <c r="I54" s="33"/>
      <c r="J54" s="33"/>
      <c r="K54" s="33"/>
      <c r="L54" s="33"/>
      <c r="M54" s="33"/>
      <c r="N54" s="2"/>
      <c r="O54" s="2"/>
      <c r="P54" s="1"/>
      <c r="Q54" s="1"/>
      <c r="R54" s="1"/>
      <c r="S54" s="1"/>
      <c r="T54" s="1"/>
      <c r="U54" s="1"/>
      <c r="V54" s="1"/>
      <c r="W54" s="1"/>
      <c r="X54" s="1"/>
    </row>
    <row r="55" spans="2:24" x14ac:dyDescent="0.2">
      <c r="B55" s="23" t="s">
        <v>142</v>
      </c>
      <c r="C55" s="4"/>
      <c r="D55" s="4"/>
      <c r="E55" s="37"/>
      <c r="F55" s="33"/>
      <c r="G55" s="33"/>
      <c r="H55" s="33"/>
      <c r="I55" s="33"/>
      <c r="J55" s="33"/>
      <c r="K55" s="33"/>
      <c r="L55" s="33"/>
      <c r="M55" s="33"/>
      <c r="N55" s="2"/>
      <c r="O55" s="2"/>
      <c r="P55" s="1"/>
      <c r="Q55" s="1"/>
      <c r="R55" s="1"/>
      <c r="S55" s="1"/>
      <c r="T55" s="1"/>
      <c r="U55" s="1"/>
      <c r="V55" s="1"/>
      <c r="W55" s="1"/>
      <c r="X55" s="1"/>
    </row>
    <row r="56" spans="2:24" s="13" customFormat="1" ht="14.25" x14ac:dyDescent="0.2">
      <c r="B56" s="109" t="s">
        <v>57</v>
      </c>
    </row>
    <row r="57" spans="2:24" x14ac:dyDescent="0.2"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1"/>
      <c r="Q57" s="1"/>
      <c r="R57" s="1"/>
      <c r="S57" s="1"/>
      <c r="T57" s="1"/>
      <c r="U57" s="1"/>
      <c r="V57" s="1"/>
      <c r="W57" s="1"/>
      <c r="X57" s="1"/>
    </row>
    <row r="58" spans="2:24" x14ac:dyDescent="0.2"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1"/>
      <c r="Q58" s="1"/>
      <c r="R58" s="1"/>
      <c r="S58" s="1"/>
      <c r="T58" s="1"/>
      <c r="U58" s="1"/>
      <c r="V58" s="1"/>
      <c r="W58" s="1"/>
      <c r="X58" s="1"/>
    </row>
    <row r="59" spans="2:24" x14ac:dyDescent="0.2"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1"/>
      <c r="Q59" s="1"/>
      <c r="R59" s="1"/>
      <c r="S59" s="1"/>
      <c r="T59" s="1"/>
      <c r="U59" s="1"/>
      <c r="V59" s="1"/>
      <c r="W59" s="1"/>
      <c r="X59" s="1"/>
    </row>
    <row r="60" spans="2:24" x14ac:dyDescent="0.2"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1"/>
      <c r="Q60" s="1"/>
      <c r="R60" s="1"/>
      <c r="S60" s="1"/>
      <c r="T60" s="1"/>
      <c r="U60" s="1"/>
      <c r="V60" s="1"/>
      <c r="W60" s="1"/>
      <c r="X60" s="1"/>
    </row>
    <row r="61" spans="2:24" x14ac:dyDescent="0.2"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1"/>
      <c r="Q61" s="1"/>
      <c r="R61" s="1"/>
      <c r="S61" s="1"/>
      <c r="T61" s="1"/>
      <c r="U61" s="1"/>
      <c r="V61" s="1"/>
      <c r="W61" s="1"/>
      <c r="X61" s="1"/>
    </row>
    <row r="62" spans="2:24" x14ac:dyDescent="0.2"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1"/>
      <c r="Q62" s="1"/>
      <c r="R62" s="1"/>
      <c r="S62" s="1"/>
      <c r="T62" s="1"/>
      <c r="U62" s="1"/>
      <c r="V62" s="1"/>
      <c r="W62" s="1"/>
      <c r="X62" s="1"/>
    </row>
    <row r="63" spans="2:24" x14ac:dyDescent="0.2"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1"/>
      <c r="Q63" s="1"/>
      <c r="R63" s="1"/>
      <c r="S63" s="1"/>
      <c r="T63" s="1"/>
      <c r="U63" s="1"/>
      <c r="V63" s="1"/>
      <c r="W63" s="1"/>
      <c r="X63" s="1"/>
    </row>
    <row r="64" spans="2:24" x14ac:dyDescent="0.2"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1"/>
      <c r="Q64" s="1"/>
      <c r="R64" s="1"/>
      <c r="S64" s="1"/>
      <c r="T64" s="1"/>
      <c r="U64" s="1"/>
      <c r="V64" s="1"/>
      <c r="W64" s="1"/>
      <c r="X64" s="1"/>
    </row>
    <row r="65" spans="2:24" x14ac:dyDescent="0.2"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1"/>
      <c r="Q65" s="1"/>
      <c r="R65" s="1"/>
      <c r="S65" s="1"/>
      <c r="T65" s="1"/>
      <c r="U65" s="1"/>
      <c r="V65" s="1"/>
      <c r="W65" s="1"/>
      <c r="X65" s="1"/>
    </row>
    <row r="66" spans="2:24" x14ac:dyDescent="0.2"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1"/>
      <c r="Q66" s="1"/>
      <c r="R66" s="1"/>
      <c r="S66" s="1"/>
      <c r="T66" s="1"/>
      <c r="U66" s="1"/>
      <c r="V66" s="1"/>
      <c r="W66" s="1"/>
      <c r="X66" s="1"/>
    </row>
    <row r="67" spans="2:24" x14ac:dyDescent="0.2"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1"/>
      <c r="Q67" s="1"/>
      <c r="R67" s="1"/>
      <c r="S67" s="1"/>
      <c r="T67" s="1"/>
      <c r="U67" s="1"/>
      <c r="V67" s="1"/>
      <c r="W67" s="1"/>
      <c r="X67" s="1"/>
    </row>
    <row r="68" spans="2:24" x14ac:dyDescent="0.2"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1"/>
      <c r="Q68" s="1"/>
      <c r="R68" s="1"/>
      <c r="S68" s="1"/>
      <c r="T68" s="1"/>
      <c r="U68" s="1"/>
      <c r="V68" s="1"/>
      <c r="W68" s="1"/>
      <c r="X68" s="1"/>
    </row>
    <row r="69" spans="2:24" x14ac:dyDescent="0.2"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1"/>
      <c r="Q69" s="1"/>
      <c r="R69" s="1"/>
      <c r="S69" s="1"/>
      <c r="T69" s="1"/>
      <c r="U69" s="1"/>
      <c r="V69" s="1"/>
      <c r="W69" s="1"/>
      <c r="X69" s="1"/>
    </row>
    <row r="70" spans="2:24" x14ac:dyDescent="0.2"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1"/>
      <c r="Q70" s="1"/>
      <c r="R70" s="1"/>
      <c r="S70" s="1"/>
      <c r="T70" s="1"/>
      <c r="U70" s="1"/>
      <c r="V70" s="1"/>
      <c r="W70" s="1"/>
      <c r="X70" s="1"/>
    </row>
    <row r="71" spans="2:24" x14ac:dyDescent="0.2"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1"/>
      <c r="Q71" s="1"/>
      <c r="R71" s="1"/>
      <c r="S71" s="1"/>
      <c r="T71" s="1"/>
      <c r="U71" s="1"/>
      <c r="V71" s="1"/>
      <c r="W71" s="1"/>
      <c r="X71" s="1"/>
    </row>
    <row r="72" spans="2:24" x14ac:dyDescent="0.2"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1"/>
      <c r="Q72" s="1"/>
      <c r="R72" s="1"/>
      <c r="S72" s="1"/>
      <c r="T72" s="1"/>
      <c r="U72" s="1"/>
      <c r="V72" s="1"/>
      <c r="W72" s="1"/>
      <c r="X72" s="1"/>
    </row>
    <row r="73" spans="2:24" x14ac:dyDescent="0.2"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1"/>
      <c r="Q73" s="1"/>
      <c r="R73" s="1"/>
      <c r="S73" s="1"/>
      <c r="T73" s="1"/>
      <c r="U73" s="1"/>
      <c r="V73" s="1"/>
      <c r="W73" s="1"/>
      <c r="X73" s="1"/>
    </row>
    <row r="74" spans="2:24" x14ac:dyDescent="0.2"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1"/>
      <c r="Q74" s="1"/>
      <c r="R74" s="1"/>
      <c r="S74" s="1"/>
      <c r="T74" s="1"/>
      <c r="U74" s="1"/>
      <c r="V74" s="1"/>
      <c r="W74" s="1"/>
      <c r="X74" s="1"/>
    </row>
    <row r="75" spans="2:24" x14ac:dyDescent="0.2"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1"/>
      <c r="Q75" s="1"/>
      <c r="R75" s="1"/>
      <c r="S75" s="1"/>
      <c r="T75" s="1"/>
      <c r="U75" s="1"/>
      <c r="V75" s="1"/>
      <c r="W75" s="1"/>
      <c r="X75" s="1"/>
    </row>
    <row r="76" spans="2:24" x14ac:dyDescent="0.2"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1"/>
      <c r="Q76" s="1"/>
      <c r="R76" s="1"/>
      <c r="S76" s="1"/>
      <c r="T76" s="1"/>
      <c r="U76" s="1"/>
      <c r="V76" s="1"/>
      <c r="W76" s="1"/>
      <c r="X76" s="1"/>
    </row>
    <row r="77" spans="2:24" x14ac:dyDescent="0.2"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1"/>
      <c r="Q77" s="1"/>
      <c r="R77" s="1"/>
      <c r="S77" s="1"/>
      <c r="T77" s="1"/>
      <c r="U77" s="1"/>
      <c r="V77" s="1"/>
      <c r="W77" s="1"/>
      <c r="X77" s="1"/>
    </row>
    <row r="78" spans="2:24" x14ac:dyDescent="0.2"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1"/>
      <c r="Q78" s="1"/>
      <c r="R78" s="1"/>
      <c r="S78" s="1"/>
      <c r="T78" s="1"/>
      <c r="U78" s="1"/>
      <c r="V78" s="1"/>
      <c r="W78" s="1"/>
      <c r="X78" s="1"/>
    </row>
    <row r="79" spans="2:24" x14ac:dyDescent="0.2"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1"/>
      <c r="Q79" s="1"/>
      <c r="R79" s="1"/>
      <c r="S79" s="1"/>
      <c r="T79" s="1"/>
      <c r="U79" s="1"/>
      <c r="V79" s="1"/>
      <c r="W79" s="1"/>
      <c r="X79" s="1"/>
    </row>
    <row r="80" spans="2:24" x14ac:dyDescent="0.2"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1"/>
      <c r="Q80" s="1"/>
      <c r="R80" s="1"/>
      <c r="S80" s="1"/>
      <c r="T80" s="1"/>
      <c r="U80" s="1"/>
      <c r="V80" s="1"/>
      <c r="W80" s="1"/>
      <c r="X80" s="1"/>
    </row>
    <row r="81" spans="2:24" x14ac:dyDescent="0.2"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1"/>
      <c r="Q81" s="1"/>
      <c r="R81" s="1"/>
      <c r="S81" s="1"/>
      <c r="T81" s="1"/>
      <c r="U81" s="1"/>
      <c r="V81" s="1"/>
      <c r="W81" s="1"/>
      <c r="X81" s="1"/>
    </row>
    <row r="82" spans="2:24" x14ac:dyDescent="0.2"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1"/>
      <c r="Q82" s="1"/>
      <c r="R82" s="1"/>
      <c r="S82" s="1"/>
      <c r="T82" s="1"/>
      <c r="U82" s="1"/>
      <c r="V82" s="1"/>
      <c r="W82" s="1"/>
      <c r="X82" s="1"/>
    </row>
    <row r="83" spans="2:24" x14ac:dyDescent="0.2"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1"/>
      <c r="Q83" s="1"/>
      <c r="R83" s="1"/>
      <c r="S83" s="1"/>
      <c r="T83" s="1"/>
      <c r="U83" s="1"/>
      <c r="V83" s="1"/>
      <c r="W83" s="1"/>
      <c r="X83" s="1"/>
    </row>
    <row r="84" spans="2:24" x14ac:dyDescent="0.2"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1"/>
      <c r="Q84" s="1"/>
      <c r="R84" s="1"/>
      <c r="S84" s="1"/>
      <c r="T84" s="1"/>
      <c r="U84" s="1"/>
      <c r="V84" s="1"/>
      <c r="W84" s="1"/>
      <c r="X84" s="1"/>
    </row>
    <row r="85" spans="2:24" x14ac:dyDescent="0.2"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1"/>
      <c r="Q85" s="1"/>
      <c r="R85" s="1"/>
      <c r="S85" s="1"/>
      <c r="T85" s="1"/>
      <c r="U85" s="1"/>
      <c r="V85" s="1"/>
      <c r="W85" s="1"/>
      <c r="X85" s="1"/>
    </row>
    <row r="86" spans="2:24" x14ac:dyDescent="0.2"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1"/>
      <c r="Q86" s="1"/>
      <c r="R86" s="1"/>
      <c r="S86" s="1"/>
      <c r="T86" s="1"/>
      <c r="U86" s="1"/>
      <c r="V86" s="1"/>
      <c r="W86" s="1"/>
      <c r="X86" s="1"/>
    </row>
    <row r="87" spans="2:24" x14ac:dyDescent="0.2"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1"/>
      <c r="Q87" s="1"/>
      <c r="R87" s="1"/>
      <c r="S87" s="1"/>
      <c r="T87" s="1"/>
      <c r="U87" s="1"/>
      <c r="V87" s="1"/>
      <c r="W87" s="1"/>
      <c r="X87" s="1"/>
    </row>
    <row r="88" spans="2:24" x14ac:dyDescent="0.2"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1"/>
      <c r="Q88" s="1"/>
      <c r="R88" s="1"/>
      <c r="S88" s="1"/>
      <c r="T88" s="1"/>
      <c r="U88" s="1"/>
      <c r="V88" s="1"/>
      <c r="W88" s="1"/>
      <c r="X88" s="1"/>
    </row>
    <row r="89" spans="2:24" x14ac:dyDescent="0.2"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1"/>
      <c r="Q89" s="1"/>
      <c r="R89" s="1"/>
      <c r="S89" s="1"/>
      <c r="T89" s="1"/>
      <c r="U89" s="1"/>
      <c r="V89" s="1"/>
      <c r="W89" s="1"/>
      <c r="X89" s="1"/>
    </row>
    <row r="90" spans="2:24" x14ac:dyDescent="0.2"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1"/>
      <c r="Q90" s="1"/>
      <c r="R90" s="1"/>
      <c r="S90" s="1"/>
      <c r="T90" s="1"/>
      <c r="U90" s="1"/>
      <c r="V90" s="1"/>
      <c r="W90" s="1"/>
      <c r="X90" s="1"/>
    </row>
    <row r="91" spans="2:24" x14ac:dyDescent="0.2"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1"/>
      <c r="Q91" s="1"/>
      <c r="R91" s="1"/>
      <c r="S91" s="1"/>
      <c r="T91" s="1"/>
      <c r="U91" s="1"/>
      <c r="V91" s="1"/>
      <c r="W91" s="1"/>
      <c r="X91" s="1"/>
    </row>
    <row r="92" spans="2:24" x14ac:dyDescent="0.2"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1"/>
      <c r="Q92" s="1"/>
      <c r="R92" s="1"/>
      <c r="S92" s="1"/>
      <c r="T92" s="1"/>
      <c r="U92" s="1"/>
      <c r="V92" s="1"/>
      <c r="W92" s="1"/>
      <c r="X92" s="1"/>
    </row>
    <row r="93" spans="2:24" x14ac:dyDescent="0.2"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1"/>
      <c r="Q93" s="1"/>
      <c r="R93" s="1"/>
      <c r="S93" s="1"/>
      <c r="T93" s="1"/>
      <c r="U93" s="1"/>
      <c r="V93" s="1"/>
      <c r="W93" s="1"/>
      <c r="X93" s="1"/>
    </row>
    <row r="94" spans="2:24" x14ac:dyDescent="0.2"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1"/>
      <c r="Q94" s="1"/>
      <c r="R94" s="1"/>
      <c r="S94" s="1"/>
      <c r="T94" s="1"/>
      <c r="U94" s="1"/>
      <c r="V94" s="1"/>
      <c r="W94" s="1"/>
      <c r="X94" s="1"/>
    </row>
    <row r="95" spans="2:24" x14ac:dyDescent="0.2"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1"/>
      <c r="Q95" s="1"/>
      <c r="R95" s="1"/>
      <c r="S95" s="1"/>
      <c r="T95" s="1"/>
      <c r="U95" s="1"/>
      <c r="V95" s="1"/>
      <c r="W95" s="1"/>
      <c r="X95" s="1"/>
    </row>
    <row r="96" spans="2:24" x14ac:dyDescent="0.2"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1"/>
      <c r="Q96" s="1"/>
      <c r="R96" s="1"/>
      <c r="S96" s="1"/>
      <c r="T96" s="1"/>
      <c r="U96" s="1"/>
      <c r="V96" s="1"/>
      <c r="W96" s="1"/>
      <c r="X96" s="1"/>
    </row>
    <row r="97" spans="2:24" x14ac:dyDescent="0.2"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1"/>
      <c r="Q97" s="1"/>
      <c r="R97" s="1"/>
      <c r="S97" s="1"/>
      <c r="T97" s="1"/>
      <c r="U97" s="1"/>
      <c r="V97" s="1"/>
      <c r="W97" s="1"/>
      <c r="X97" s="1"/>
    </row>
    <row r="98" spans="2:24" x14ac:dyDescent="0.2"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</row>
    <row r="99" spans="2:24" x14ac:dyDescent="0.2"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</row>
    <row r="100" spans="2:24" x14ac:dyDescent="0.2"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</row>
    <row r="101" spans="2:24" x14ac:dyDescent="0.2"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</row>
    <row r="102" spans="2:24" x14ac:dyDescent="0.2"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</row>
    <row r="103" spans="2:24" x14ac:dyDescent="0.2"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</row>
    <row r="104" spans="2:24" x14ac:dyDescent="0.2"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</row>
    <row r="105" spans="2:24" x14ac:dyDescent="0.2"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</row>
    <row r="106" spans="2:24" x14ac:dyDescent="0.2"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</row>
    <row r="107" spans="2:24" x14ac:dyDescent="0.2"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</row>
    <row r="108" spans="2:24" x14ac:dyDescent="0.2"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</row>
    <row r="109" spans="2:24" x14ac:dyDescent="0.2"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</row>
    <row r="110" spans="2:24" x14ac:dyDescent="0.2"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</row>
    <row r="111" spans="2:24" x14ac:dyDescent="0.2"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</row>
    <row r="112" spans="2:24" x14ac:dyDescent="0.2"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</row>
    <row r="113" spans="2:24" x14ac:dyDescent="0.2"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</row>
    <row r="114" spans="2:24" x14ac:dyDescent="0.2"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</row>
    <row r="115" spans="2:24" x14ac:dyDescent="0.2"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</row>
    <row r="116" spans="2:24" x14ac:dyDescent="0.2"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</row>
    <row r="117" spans="2:24" x14ac:dyDescent="0.2"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</row>
    <row r="118" spans="2:24" x14ac:dyDescent="0.2"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</row>
    <row r="119" spans="2:24" x14ac:dyDescent="0.2"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</row>
    <row r="120" spans="2:24" x14ac:dyDescent="0.2"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</row>
    <row r="121" spans="2:24" x14ac:dyDescent="0.2"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</row>
    <row r="122" spans="2:24" x14ac:dyDescent="0.2"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</row>
    <row r="123" spans="2:24" x14ac:dyDescent="0.2"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</row>
    <row r="124" spans="2:24" x14ac:dyDescent="0.2"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</row>
    <row r="125" spans="2:24" x14ac:dyDescent="0.2"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</row>
    <row r="126" spans="2:24" x14ac:dyDescent="0.2"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</row>
    <row r="127" spans="2:24" x14ac:dyDescent="0.2"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</row>
    <row r="128" spans="2:24" x14ac:dyDescent="0.2"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</row>
    <row r="129" spans="2:24" x14ac:dyDescent="0.2"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</row>
    <row r="130" spans="2:24" x14ac:dyDescent="0.2"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</row>
    <row r="131" spans="2:24" x14ac:dyDescent="0.2"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</row>
    <row r="132" spans="2:24" x14ac:dyDescent="0.2"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</row>
    <row r="133" spans="2:24" x14ac:dyDescent="0.2"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</row>
    <row r="134" spans="2:24" x14ac:dyDescent="0.2"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</row>
    <row r="135" spans="2:24" x14ac:dyDescent="0.2"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</row>
    <row r="136" spans="2:24" x14ac:dyDescent="0.2"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</row>
    <row r="137" spans="2:24" x14ac:dyDescent="0.2"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</row>
    <row r="138" spans="2:24" x14ac:dyDescent="0.2"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</row>
    <row r="139" spans="2:24" x14ac:dyDescent="0.2"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</row>
    <row r="140" spans="2:24" x14ac:dyDescent="0.2"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</row>
    <row r="141" spans="2:24" x14ac:dyDescent="0.2"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</row>
    <row r="142" spans="2:24" x14ac:dyDescent="0.2"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</row>
    <row r="143" spans="2:24" x14ac:dyDescent="0.2"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</row>
    <row r="144" spans="2:24" x14ac:dyDescent="0.2"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</row>
    <row r="145" spans="2:24" x14ac:dyDescent="0.2"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</row>
    <row r="146" spans="2:24" x14ac:dyDescent="0.2"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</row>
    <row r="147" spans="2:24" x14ac:dyDescent="0.2"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</row>
    <row r="148" spans="2:24" x14ac:dyDescent="0.2"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</row>
    <row r="149" spans="2:24" x14ac:dyDescent="0.2"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</row>
    <row r="150" spans="2:24" x14ac:dyDescent="0.2"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</row>
    <row r="151" spans="2:24" x14ac:dyDescent="0.2"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</row>
    <row r="152" spans="2:24" x14ac:dyDescent="0.2"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</row>
    <row r="153" spans="2:24" x14ac:dyDescent="0.2"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</row>
    <row r="154" spans="2:24" x14ac:dyDescent="0.2"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</row>
    <row r="155" spans="2:24" x14ac:dyDescent="0.2"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</row>
    <row r="156" spans="2:24" x14ac:dyDescent="0.2"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</row>
    <row r="157" spans="2:24" x14ac:dyDescent="0.2"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</row>
    <row r="158" spans="2:24" x14ac:dyDescent="0.2"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</row>
    <row r="159" spans="2:24" x14ac:dyDescent="0.2"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</row>
    <row r="160" spans="2:24" x14ac:dyDescent="0.2"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</row>
    <row r="161" spans="2:24" x14ac:dyDescent="0.2"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</row>
    <row r="162" spans="2:24" x14ac:dyDescent="0.2"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</row>
    <row r="163" spans="2:24" x14ac:dyDescent="0.2"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</row>
    <row r="164" spans="2:24" x14ac:dyDescent="0.2"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</row>
    <row r="165" spans="2:24" x14ac:dyDescent="0.2"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</row>
    <row r="166" spans="2:24" x14ac:dyDescent="0.2"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</row>
    <row r="167" spans="2:24" x14ac:dyDescent="0.2"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</row>
    <row r="168" spans="2:24" x14ac:dyDescent="0.2"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</row>
    <row r="169" spans="2:24" x14ac:dyDescent="0.2"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</row>
    <row r="170" spans="2:24" x14ac:dyDescent="0.2"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</row>
    <row r="171" spans="2:24" x14ac:dyDescent="0.2"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</row>
    <row r="172" spans="2:24" x14ac:dyDescent="0.2"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</row>
    <row r="173" spans="2:24" x14ac:dyDescent="0.2"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</row>
    <row r="174" spans="2:24" x14ac:dyDescent="0.2"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</row>
    <row r="175" spans="2:24" x14ac:dyDescent="0.2"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</row>
    <row r="176" spans="2:24" x14ac:dyDescent="0.2"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</row>
    <row r="177" spans="2:24" x14ac:dyDescent="0.2"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</row>
    <row r="178" spans="2:24" x14ac:dyDescent="0.2"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</row>
    <row r="179" spans="2:24" x14ac:dyDescent="0.2"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</row>
    <row r="180" spans="2:24" x14ac:dyDescent="0.2"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</row>
    <row r="181" spans="2:24" x14ac:dyDescent="0.2"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</row>
    <row r="182" spans="2:24" x14ac:dyDescent="0.2"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</row>
    <row r="183" spans="2:24" x14ac:dyDescent="0.2"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</row>
    <row r="184" spans="2:24" x14ac:dyDescent="0.2"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</row>
    <row r="185" spans="2:24" x14ac:dyDescent="0.2"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</row>
    <row r="186" spans="2:24" x14ac:dyDescent="0.2"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</row>
    <row r="187" spans="2:24" x14ac:dyDescent="0.2"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</row>
    <row r="188" spans="2:24" x14ac:dyDescent="0.2"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</row>
    <row r="189" spans="2:24" x14ac:dyDescent="0.2"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</row>
    <row r="190" spans="2:24" x14ac:dyDescent="0.2"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</row>
    <row r="191" spans="2:24" x14ac:dyDescent="0.2"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</row>
    <row r="192" spans="2:24" x14ac:dyDescent="0.2"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</row>
    <row r="193" spans="2:24" x14ac:dyDescent="0.2"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</row>
    <row r="194" spans="2:24" x14ac:dyDescent="0.2"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</row>
    <row r="195" spans="2:24" x14ac:dyDescent="0.2"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</row>
    <row r="196" spans="2:24" x14ac:dyDescent="0.2"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</row>
    <row r="197" spans="2:24" x14ac:dyDescent="0.2"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</row>
    <row r="198" spans="2:24" x14ac:dyDescent="0.2"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</row>
    <row r="199" spans="2:24" x14ac:dyDescent="0.2"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</row>
    <row r="200" spans="2:24" x14ac:dyDescent="0.2"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</row>
    <row r="201" spans="2:24" x14ac:dyDescent="0.2"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</row>
    <row r="202" spans="2:24" x14ac:dyDescent="0.2"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</row>
    <row r="203" spans="2:24" x14ac:dyDescent="0.2"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</row>
    <row r="204" spans="2:24" x14ac:dyDescent="0.2"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</row>
    <row r="205" spans="2:24" x14ac:dyDescent="0.2"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</row>
    <row r="206" spans="2:24" x14ac:dyDescent="0.2"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</row>
    <row r="207" spans="2:24" x14ac:dyDescent="0.2"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</row>
    <row r="208" spans="2:24" x14ac:dyDescent="0.2"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</row>
    <row r="209" spans="14:24" x14ac:dyDescent="0.2"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</row>
    <row r="210" spans="14:24" x14ac:dyDescent="0.2"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</row>
    <row r="211" spans="14:24" x14ac:dyDescent="0.2"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</row>
    <row r="212" spans="14:24" x14ac:dyDescent="0.2"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</row>
    <row r="213" spans="14:24" x14ac:dyDescent="0.2"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</row>
    <row r="214" spans="14:24" x14ac:dyDescent="0.2"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</row>
    <row r="215" spans="14:24" x14ac:dyDescent="0.2"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</row>
    <row r="216" spans="14:24" x14ac:dyDescent="0.2"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</row>
    <row r="217" spans="14:24" x14ac:dyDescent="0.2"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</row>
    <row r="218" spans="14:24" x14ac:dyDescent="0.2"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</row>
    <row r="219" spans="14:24" x14ac:dyDescent="0.2"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</row>
    <row r="220" spans="14:24" x14ac:dyDescent="0.2"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</row>
    <row r="221" spans="14:24" x14ac:dyDescent="0.2"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</row>
    <row r="222" spans="14:24" x14ac:dyDescent="0.2"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</row>
    <row r="223" spans="14:24" x14ac:dyDescent="0.2"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</row>
    <row r="224" spans="14:24" x14ac:dyDescent="0.2"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</row>
    <row r="225" spans="14:24" x14ac:dyDescent="0.2"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</row>
    <row r="226" spans="14:24" x14ac:dyDescent="0.2"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</row>
    <row r="227" spans="14:24" x14ac:dyDescent="0.2"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</row>
    <row r="228" spans="14:24" x14ac:dyDescent="0.2"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</row>
    <row r="229" spans="14:24" x14ac:dyDescent="0.2"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</row>
    <row r="230" spans="14:24" x14ac:dyDescent="0.2"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</row>
    <row r="231" spans="14:24" x14ac:dyDescent="0.2"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</row>
    <row r="232" spans="14:24" x14ac:dyDescent="0.2"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</row>
    <row r="233" spans="14:24" x14ac:dyDescent="0.2"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</row>
    <row r="234" spans="14:24" x14ac:dyDescent="0.2"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</row>
    <row r="235" spans="14:24" x14ac:dyDescent="0.2"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</row>
    <row r="236" spans="14:24" x14ac:dyDescent="0.2"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</row>
    <row r="237" spans="14:24" x14ac:dyDescent="0.2"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</row>
    <row r="238" spans="14:24" x14ac:dyDescent="0.2"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</row>
  </sheetData>
  <mergeCells count="8">
    <mergeCell ref="B5:L5"/>
    <mergeCell ref="B7:B9"/>
    <mergeCell ref="D7:D9"/>
    <mergeCell ref="F7:M7"/>
    <mergeCell ref="O7:O9"/>
    <mergeCell ref="F8:G8"/>
    <mergeCell ref="I8:J8"/>
    <mergeCell ref="L8:M8"/>
  </mergeCells>
  <hyperlinks>
    <hyperlink ref="O1" location="Índice!A1" tooltip="Ir a ÍNDICE" display="INDICE" xr:uid="{4982A2CA-4F9B-4418-9E5F-1A415AA7654D}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73C3F6-E403-403D-95F0-906D6C062B12}">
  <dimension ref="A1:S23"/>
  <sheetViews>
    <sheetView showGridLines="0" zoomScaleNormal="100" workbookViewId="0"/>
  </sheetViews>
  <sheetFormatPr baseColWidth="10" defaultColWidth="11.42578125" defaultRowHeight="12.75" x14ac:dyDescent="0.2"/>
  <cols>
    <col min="1" max="1" width="1.7109375" style="21" customWidth="1"/>
    <col min="2" max="2" width="51.5703125" style="21" customWidth="1"/>
    <col min="3" max="3" width="1.7109375" style="21" customWidth="1"/>
    <col min="4" max="4" width="28.7109375" style="21" customWidth="1"/>
    <col min="5" max="5" width="1.7109375" style="21" customWidth="1"/>
    <col min="6" max="7" width="15.7109375" style="21" customWidth="1"/>
    <col min="8" max="8" width="1.7109375" style="21" customWidth="1"/>
    <col min="9" max="10" width="15.7109375" style="21" customWidth="1"/>
    <col min="11" max="11" width="1.7109375" style="21" customWidth="1"/>
    <col min="12" max="13" width="15.7109375" style="21" customWidth="1"/>
    <col min="14" max="14" width="1.7109375" style="21" customWidth="1"/>
    <col min="15" max="16" width="15.7109375" style="21" customWidth="1"/>
    <col min="17" max="16384" width="11.42578125" style="21"/>
  </cols>
  <sheetData>
    <row r="1" spans="1:19" s="48" customFormat="1" ht="12" customHeight="1" x14ac:dyDescent="0.2">
      <c r="B1" s="639" t="s">
        <v>202</v>
      </c>
      <c r="C1" s="49"/>
      <c r="D1" s="49"/>
      <c r="E1" s="49"/>
      <c r="F1" s="50"/>
      <c r="G1" s="50"/>
      <c r="P1" s="72" t="s">
        <v>151</v>
      </c>
    </row>
    <row r="2" spans="1:19" s="48" customFormat="1" ht="6.95" customHeight="1" x14ac:dyDescent="0.2">
      <c r="B2" s="639"/>
      <c r="C2" s="49"/>
      <c r="D2" s="49"/>
      <c r="E2" s="49"/>
      <c r="F2" s="50"/>
      <c r="G2" s="50"/>
    </row>
    <row r="3" spans="1:19" s="48" customFormat="1" x14ac:dyDescent="0.2">
      <c r="B3" s="639" t="s">
        <v>199</v>
      </c>
      <c r="C3" s="638"/>
      <c r="D3" s="638"/>
      <c r="E3" s="638"/>
      <c r="F3" s="638"/>
      <c r="G3" s="638"/>
      <c r="H3" s="638"/>
      <c r="I3" s="638"/>
      <c r="J3" s="638"/>
      <c r="K3" s="638"/>
      <c r="L3" s="638"/>
      <c r="M3" s="638"/>
      <c r="N3" s="638"/>
      <c r="O3" s="638"/>
      <c r="P3" s="638"/>
      <c r="Q3" s="638"/>
      <c r="R3" s="638"/>
      <c r="S3" s="638"/>
    </row>
    <row r="4" spans="1:19" s="48" customFormat="1" ht="6.95" customHeight="1" x14ac:dyDescent="0.2">
      <c r="B4" s="638"/>
      <c r="C4" s="49"/>
      <c r="D4" s="49"/>
      <c r="E4" s="49"/>
      <c r="F4" s="50"/>
      <c r="G4" s="50"/>
    </row>
    <row r="5" spans="1:19" s="48" customFormat="1" ht="25.5" customHeight="1" x14ac:dyDescent="0.2">
      <c r="B5" s="741" t="s">
        <v>160</v>
      </c>
      <c r="C5" s="741"/>
      <c r="D5" s="741"/>
      <c r="E5" s="741"/>
      <c r="F5" s="741"/>
      <c r="G5" s="741"/>
      <c r="H5" s="741"/>
      <c r="I5" s="741"/>
      <c r="J5" s="741"/>
      <c r="K5" s="741"/>
      <c r="L5" s="741"/>
      <c r="M5" s="741"/>
      <c r="N5" s="741"/>
      <c r="O5" s="56"/>
      <c r="P5" s="71" t="s">
        <v>123</v>
      </c>
    </row>
    <row r="6" spans="1:19" ht="6" customHeight="1" x14ac:dyDescent="0.2">
      <c r="B6" s="25"/>
      <c r="C6" s="622"/>
      <c r="D6" s="622"/>
      <c r="E6" s="622"/>
      <c r="F6" s="623"/>
      <c r="G6" s="623"/>
      <c r="H6" s="39"/>
      <c r="I6" s="39"/>
      <c r="J6" s="39"/>
      <c r="K6" s="39"/>
      <c r="L6" s="39"/>
      <c r="M6" s="39"/>
      <c r="N6" s="39"/>
      <c r="O6" s="39"/>
      <c r="P6" s="39"/>
    </row>
    <row r="7" spans="1:19" ht="33.75" customHeight="1" x14ac:dyDescent="0.2">
      <c r="B7" s="734" t="s">
        <v>97</v>
      </c>
      <c r="C7" s="6"/>
      <c r="D7" s="737" t="s">
        <v>194</v>
      </c>
      <c r="E7" s="6"/>
      <c r="F7" s="742" t="s">
        <v>98</v>
      </c>
      <c r="G7" s="742"/>
      <c r="H7" s="40"/>
      <c r="I7" s="40"/>
      <c r="J7" s="744" t="s">
        <v>95</v>
      </c>
      <c r="K7" s="745"/>
      <c r="L7" s="745"/>
      <c r="M7" s="745"/>
      <c r="N7" s="745"/>
      <c r="O7" s="745"/>
      <c r="P7" s="41"/>
    </row>
    <row r="8" spans="1:19" ht="24" customHeight="1" x14ac:dyDescent="0.2">
      <c r="B8" s="735"/>
      <c r="C8" s="4"/>
      <c r="D8" s="738"/>
      <c r="E8" s="4"/>
      <c r="F8" s="743"/>
      <c r="G8" s="743"/>
      <c r="H8" s="39"/>
      <c r="I8" s="745" t="s">
        <v>46</v>
      </c>
      <c r="J8" s="745"/>
      <c r="K8" s="42"/>
      <c r="L8" s="745" t="s">
        <v>47</v>
      </c>
      <c r="M8" s="745"/>
      <c r="N8" s="634"/>
      <c r="O8" s="745" t="s">
        <v>48</v>
      </c>
      <c r="P8" s="745"/>
    </row>
    <row r="9" spans="1:19" ht="29.25" customHeight="1" x14ac:dyDescent="0.2">
      <c r="B9" s="736"/>
      <c r="C9" s="7"/>
      <c r="D9" s="739"/>
      <c r="E9" s="7"/>
      <c r="F9" s="633" t="s">
        <v>187</v>
      </c>
      <c r="G9" s="633" t="s">
        <v>189</v>
      </c>
      <c r="H9" s="74"/>
      <c r="I9" s="633" t="s">
        <v>187</v>
      </c>
      <c r="J9" s="633" t="s">
        <v>188</v>
      </c>
      <c r="K9" s="75"/>
      <c r="L9" s="633" t="s">
        <v>187</v>
      </c>
      <c r="M9" s="633" t="s">
        <v>189</v>
      </c>
      <c r="N9" s="76"/>
      <c r="O9" s="633" t="s">
        <v>187</v>
      </c>
      <c r="P9" s="633" t="s">
        <v>189</v>
      </c>
    </row>
    <row r="10" spans="1:19" ht="6" customHeight="1" x14ac:dyDescent="0.2">
      <c r="B10" s="4"/>
      <c r="C10" s="4"/>
      <c r="D10" s="632"/>
      <c r="E10" s="123"/>
      <c r="F10" s="117"/>
      <c r="G10" s="117"/>
      <c r="H10" s="124"/>
      <c r="I10" s="124"/>
      <c r="J10" s="124"/>
      <c r="K10" s="124"/>
      <c r="L10" s="124"/>
      <c r="M10" s="124"/>
      <c r="N10" s="124"/>
      <c r="O10" s="124"/>
      <c r="P10" s="124"/>
    </row>
    <row r="11" spans="1:19" s="84" customFormat="1" ht="11.25" x14ac:dyDescent="0.2">
      <c r="A11" s="78"/>
      <c r="B11" s="36" t="s">
        <v>35</v>
      </c>
      <c r="C11" s="8"/>
      <c r="D11" s="631">
        <v>482468.36777665903</v>
      </c>
      <c r="E11" s="125"/>
      <c r="F11" s="624">
        <v>15607236365.2498</v>
      </c>
      <c r="G11" s="624">
        <v>34424.3895478759</v>
      </c>
      <c r="H11" s="126"/>
      <c r="I11" s="630">
        <v>10594510168.811199</v>
      </c>
      <c r="J11" s="624">
        <v>24183.852903482199</v>
      </c>
      <c r="K11" s="127"/>
      <c r="L11" s="629">
        <v>5124904989.6505203</v>
      </c>
      <c r="M11" s="624">
        <v>20011.188757161301</v>
      </c>
      <c r="N11" s="127"/>
      <c r="O11" s="629">
        <v>166033825.363426</v>
      </c>
      <c r="P11" s="624">
        <v>37825.754571853002</v>
      </c>
    </row>
    <row r="12" spans="1:19" s="86" customFormat="1" ht="6" customHeight="1" x14ac:dyDescent="0.2">
      <c r="A12" s="22"/>
      <c r="B12" s="43"/>
      <c r="C12" s="8"/>
      <c r="D12" s="125"/>
      <c r="E12" s="125"/>
      <c r="F12" s="85"/>
      <c r="G12" s="108"/>
      <c r="H12" s="128"/>
      <c r="I12" s="128"/>
      <c r="J12" s="108"/>
      <c r="K12" s="129"/>
      <c r="L12" s="129"/>
      <c r="M12" s="108"/>
      <c r="N12" s="129"/>
      <c r="O12" s="129"/>
      <c r="P12" s="108"/>
    </row>
    <row r="13" spans="1:19" s="86" customFormat="1" ht="11.25" x14ac:dyDescent="0.2">
      <c r="A13" s="22"/>
      <c r="B13" s="24" t="s">
        <v>49</v>
      </c>
      <c r="C13" s="44"/>
      <c r="D13" s="625">
        <v>108245.992138013</v>
      </c>
      <c r="E13" s="129"/>
      <c r="F13" s="626">
        <v>8180155941.8263903</v>
      </c>
      <c r="G13" s="626">
        <v>86181.846716570202</v>
      </c>
      <c r="H13" s="128"/>
      <c r="I13" s="628">
        <v>5218326323.7217999</v>
      </c>
      <c r="J13" s="626">
        <v>55234.004826238299</v>
      </c>
      <c r="K13" s="129"/>
      <c r="L13" s="625">
        <v>3067615398.6121302</v>
      </c>
      <c r="M13" s="626">
        <v>43444.1915508167</v>
      </c>
      <c r="N13" s="129"/>
      <c r="O13" s="625">
        <v>9848578.5744581893</v>
      </c>
      <c r="P13" s="626">
        <v>3208.6477207389999</v>
      </c>
    </row>
    <row r="14" spans="1:19" s="86" customFormat="1" ht="11.25" x14ac:dyDescent="0.2">
      <c r="A14" s="22"/>
      <c r="B14" s="24" t="s">
        <v>50</v>
      </c>
      <c r="C14" s="44"/>
      <c r="D14" s="625">
        <v>39429.495967773102</v>
      </c>
      <c r="E14" s="129"/>
      <c r="F14" s="626">
        <v>2393801357.6988001</v>
      </c>
      <c r="G14" s="626">
        <v>72507.117070475506</v>
      </c>
      <c r="H14" s="128"/>
      <c r="I14" s="628">
        <v>1700848643.1243801</v>
      </c>
      <c r="J14" s="626">
        <v>53513.173848504201</v>
      </c>
      <c r="K14" s="129"/>
      <c r="L14" s="625">
        <v>638648356.65959096</v>
      </c>
      <c r="M14" s="626">
        <v>28348.438396867699</v>
      </c>
      <c r="N14" s="129"/>
      <c r="O14" s="625">
        <v>151741972.13096201</v>
      </c>
      <c r="P14" s="626">
        <v>95048.0747814403</v>
      </c>
    </row>
    <row r="15" spans="1:19" s="86" customFormat="1" ht="11.25" x14ac:dyDescent="0.2">
      <c r="A15" s="22"/>
      <c r="B15" s="24" t="s">
        <v>51</v>
      </c>
      <c r="C15" s="44"/>
      <c r="D15" s="625">
        <v>39804.239534485103</v>
      </c>
      <c r="E15" s="129"/>
      <c r="F15" s="627">
        <v>1041649510.9482501</v>
      </c>
      <c r="G15" s="627">
        <v>32355.974274665001</v>
      </c>
      <c r="H15" s="128"/>
      <c r="I15" s="628">
        <v>763464830.86987495</v>
      </c>
      <c r="J15" s="627">
        <v>24334.242609433</v>
      </c>
      <c r="K15" s="129"/>
      <c r="L15" s="625">
        <v>294589163.715922</v>
      </c>
      <c r="M15" s="627">
        <v>12559.256498070699</v>
      </c>
      <c r="N15" s="129"/>
      <c r="O15" s="625">
        <v>12275671.841645701</v>
      </c>
      <c r="P15" s="627">
        <v>15846.910602477999</v>
      </c>
    </row>
    <row r="16" spans="1:19" s="86" customFormat="1" ht="11.25" x14ac:dyDescent="0.2">
      <c r="A16" s="22"/>
      <c r="B16" s="24" t="s">
        <v>190</v>
      </c>
      <c r="C16" s="44"/>
      <c r="D16" s="625">
        <v>298888.491027985</v>
      </c>
      <c r="E16" s="129"/>
      <c r="F16" s="627">
        <v>3330206286.9256301</v>
      </c>
      <c r="G16" s="627">
        <v>11969.744992296701</v>
      </c>
      <c r="H16" s="128"/>
      <c r="I16" s="628">
        <v>2254124440.3965502</v>
      </c>
      <c r="J16" s="627">
        <v>8368.7940474286006</v>
      </c>
      <c r="K16" s="129"/>
      <c r="L16" s="625">
        <v>1152505595.8652899</v>
      </c>
      <c r="M16" s="627">
        <v>8607.6697962003</v>
      </c>
      <c r="N16" s="129"/>
      <c r="O16" s="143" t="s">
        <v>201</v>
      </c>
      <c r="P16" s="144" t="s">
        <v>201</v>
      </c>
    </row>
    <row r="17" spans="1:16" s="86" customFormat="1" ht="11.25" x14ac:dyDescent="0.2">
      <c r="A17" s="22"/>
      <c r="B17" s="24" t="s">
        <v>191</v>
      </c>
      <c r="C17" s="44"/>
      <c r="D17" s="625">
        <v>78537.020526650595</v>
      </c>
      <c r="E17" s="129"/>
      <c r="F17" s="627">
        <v>2492134824.35322</v>
      </c>
      <c r="G17" s="627">
        <v>37340.7028308058</v>
      </c>
      <c r="H17" s="128"/>
      <c r="I17" s="628">
        <v>1958989544.9985299</v>
      </c>
      <c r="J17" s="627">
        <v>31753.918909788001</v>
      </c>
      <c r="K17" s="129"/>
      <c r="L17" s="625">
        <v>638714057.07184696</v>
      </c>
      <c r="M17" s="627">
        <v>16779.771248815399</v>
      </c>
      <c r="N17" s="129"/>
      <c r="O17" s="143" t="s">
        <v>201</v>
      </c>
      <c r="P17" s="144" t="s">
        <v>201</v>
      </c>
    </row>
    <row r="18" spans="1:16" ht="6" customHeight="1" x14ac:dyDescent="0.2">
      <c r="B18" s="11"/>
      <c r="C18" s="45"/>
      <c r="D18" s="130"/>
      <c r="E18" s="130"/>
      <c r="F18" s="12"/>
      <c r="G18" s="12"/>
      <c r="H18" s="74"/>
      <c r="I18" s="74"/>
      <c r="J18" s="74"/>
      <c r="K18" s="74"/>
      <c r="L18" s="74"/>
      <c r="M18" s="74"/>
      <c r="N18" s="74"/>
      <c r="O18" s="74"/>
      <c r="P18" s="74"/>
    </row>
    <row r="19" spans="1:16" ht="6" customHeight="1" x14ac:dyDescent="0.2">
      <c r="B19" s="23"/>
      <c r="C19" s="4"/>
      <c r="D19" s="4"/>
      <c r="E19" s="4"/>
      <c r="F19" s="4"/>
      <c r="G19" s="4"/>
      <c r="H19" s="44"/>
      <c r="I19" s="44"/>
      <c r="J19" s="39"/>
      <c r="K19" s="39"/>
      <c r="L19" s="39"/>
      <c r="M19" s="39"/>
      <c r="N19" s="39"/>
      <c r="O19" s="39"/>
      <c r="P19" s="39"/>
    </row>
    <row r="20" spans="1:16" ht="12.75" customHeight="1" x14ac:dyDescent="0.2">
      <c r="B20" s="23" t="s">
        <v>195</v>
      </c>
      <c r="C20" s="4"/>
      <c r="D20" s="4"/>
      <c r="E20" s="4"/>
      <c r="F20" s="4"/>
      <c r="G20" s="4"/>
      <c r="H20" s="44"/>
      <c r="I20" s="44"/>
      <c r="J20" s="39"/>
      <c r="K20" s="39"/>
      <c r="L20" s="39"/>
      <c r="M20" s="39"/>
      <c r="N20" s="39"/>
      <c r="O20" s="39"/>
      <c r="P20" s="39"/>
    </row>
    <row r="21" spans="1:16" x14ac:dyDescent="0.2">
      <c r="B21" s="23" t="s">
        <v>193</v>
      </c>
      <c r="C21" s="4"/>
      <c r="D21" s="4"/>
      <c r="E21" s="4"/>
      <c r="F21" s="4"/>
      <c r="G21" s="4"/>
      <c r="H21" s="44"/>
      <c r="I21" s="44"/>
      <c r="J21" s="39"/>
      <c r="K21" s="39"/>
      <c r="L21" s="39"/>
      <c r="M21" s="39"/>
      <c r="N21" s="39"/>
      <c r="O21" s="39"/>
      <c r="P21" s="39"/>
    </row>
    <row r="22" spans="1:16" x14ac:dyDescent="0.2">
      <c r="B22" s="23" t="s">
        <v>141</v>
      </c>
      <c r="C22" s="4"/>
      <c r="D22" s="4"/>
      <c r="E22" s="4"/>
      <c r="F22" s="4"/>
      <c r="G22" s="4"/>
      <c r="H22" s="44"/>
      <c r="I22" s="44"/>
      <c r="J22" s="39"/>
      <c r="K22" s="39"/>
      <c r="L22" s="39"/>
      <c r="M22" s="39"/>
      <c r="N22" s="39"/>
      <c r="O22" s="39"/>
      <c r="P22" s="39"/>
    </row>
    <row r="23" spans="1:16" s="13" customFormat="1" ht="14.25" x14ac:dyDescent="0.2">
      <c r="B23" s="146" t="s">
        <v>181</v>
      </c>
      <c r="C23" s="147"/>
      <c r="D23" s="147"/>
      <c r="E23" s="147"/>
      <c r="F23" s="147"/>
      <c r="G23" s="147"/>
      <c r="H23" s="147"/>
      <c r="I23" s="147"/>
      <c r="J23" s="147"/>
      <c r="K23" s="147"/>
      <c r="L23" s="147"/>
      <c r="M23" s="147"/>
      <c r="N23" s="147"/>
      <c r="O23" s="147"/>
      <c r="P23" s="147"/>
    </row>
  </sheetData>
  <mergeCells count="8">
    <mergeCell ref="B5:N5"/>
    <mergeCell ref="B7:B9"/>
    <mergeCell ref="D7:D9"/>
    <mergeCell ref="F7:G8"/>
    <mergeCell ref="J7:O7"/>
    <mergeCell ref="I8:J8"/>
    <mergeCell ref="L8:M8"/>
    <mergeCell ref="O8:P8"/>
  </mergeCells>
  <hyperlinks>
    <hyperlink ref="P1" location="Índice!A1" tooltip="Ir a ÍNDICE" display="INDICE" xr:uid="{45F6C38F-5EF3-4A47-A960-C39665E28B59}"/>
  </hyperlink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9DD17FF0D63874BBC9730A271367D92" ma:contentTypeVersion="2" ma:contentTypeDescription="Crear nuevo documento." ma:contentTypeScope="" ma:versionID="9ace95b72e23775feccc1952b6288c4d">
  <xsd:schema xmlns:xsd="http://www.w3.org/2001/XMLSchema" xmlns:xs="http://www.w3.org/2001/XMLSchema" xmlns:p="http://schemas.microsoft.com/office/2006/metadata/properties" xmlns:ns2="e829ce69-67eb-47dd-9407-4f8adfa19fc2" targetNamespace="http://schemas.microsoft.com/office/2006/metadata/properties" ma:root="true" ma:fieldsID="f0fa613857d2432827017075419e7e72" ns2:_="">
    <xsd:import namespace="e829ce69-67eb-47dd-9407-4f8adfa19fc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829ce69-67eb-47dd-9407-4f8adfa19fc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86C7400-BE4E-4BDA-9D0A-214196E368C1}">
  <ds:schemaRefs>
    <ds:schemaRef ds:uri="http://purl.org/dc/elements/1.1/"/>
    <ds:schemaRef ds:uri="http://www.w3.org/XML/1998/namespace"/>
    <ds:schemaRef ds:uri="http://schemas.microsoft.com/office/infopath/2007/PartnerControls"/>
    <ds:schemaRef ds:uri="e829ce69-67eb-47dd-9407-4f8adfa19fc2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schemas.microsoft.com/office/2006/metadata/properties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6D6752EE-580E-4709-953B-8888C83818F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904E1E3-D17F-4181-AB23-0580709AA5C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829ce69-67eb-47dd-9407-4f8adfa19fc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19</vt:i4>
      </vt:variant>
    </vt:vector>
  </HeadingPairs>
  <TitlesOfParts>
    <vt:vector size="19" baseType="lpstr">
      <vt:lpstr>Índice</vt:lpstr>
      <vt:lpstr>Cuadro 4.1</vt:lpstr>
      <vt:lpstr>Cuadro 4.2</vt:lpstr>
      <vt:lpstr>Cuadro 4.3</vt:lpstr>
      <vt:lpstr>Cuadro 4.4</vt:lpstr>
      <vt:lpstr>Cuadro 4.5</vt:lpstr>
      <vt:lpstr>Cuadro 4.6</vt:lpstr>
      <vt:lpstr>Cuadro 4.7</vt:lpstr>
      <vt:lpstr>Cuadro 4.8</vt:lpstr>
      <vt:lpstr>Cuadro 4.9</vt:lpstr>
      <vt:lpstr>Cuadro 4.10</vt:lpstr>
      <vt:lpstr>Cuadro 4.11</vt:lpstr>
      <vt:lpstr>Cuadro 4.12</vt:lpstr>
      <vt:lpstr>Cuadro 4.13</vt:lpstr>
      <vt:lpstr>Cuadro 4.14</vt:lpstr>
      <vt:lpstr>Cuadro 4.15</vt:lpstr>
      <vt:lpstr>Cuadro 4.16</vt:lpstr>
      <vt:lpstr>Cuadro 4.17</vt:lpstr>
      <vt:lpstr>Cuadro 4.18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Encuesta Nacional de Vivienda. ENVI2020</dc:title>
  <dc:subject>Tabulados básicos</dc:subject>
  <dc:creator>INEGI</dc:creator>
  <cp:keywords/>
  <dc:description>2021</dc:description>
  <cp:lastModifiedBy>INEGI</cp:lastModifiedBy>
  <cp:revision/>
  <dcterms:created xsi:type="dcterms:W3CDTF">2020-10-22T17:47:01Z</dcterms:created>
  <dcterms:modified xsi:type="dcterms:W3CDTF">2021-08-19T16:02:23Z</dcterms:modified>
  <cp:category>ENVI2020</cp:category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0x01010079DD17FF0D63874BBC9730A271367D92</vt:lpwstr>
  </property>
</Properties>
</file>