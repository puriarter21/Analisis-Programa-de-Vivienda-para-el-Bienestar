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C34782D3-2875-49EE-BC08-F7D074F2B3E3}" xr6:coauthVersionLast="47" xr6:coauthVersionMax="47" xr10:uidLastSave="{00000000-0000-0000-0000-000000000000}"/>
  <bookViews>
    <workbookView xWindow="20370" yWindow="-120" windowWidth="29040" windowHeight="15840" tabRatio="827" xr2:uid="{00000000-000D-0000-FFFF-FFFF00000000}"/>
  </bookViews>
  <sheets>
    <sheet name="Índice" sheetId="77" r:id="rId1"/>
    <sheet name="Cuadro 4.1" sheetId="101" r:id="rId2"/>
    <sheet name="Cuadro 4.2" sheetId="102" r:id="rId3"/>
    <sheet name="Cuadro 4.3" sheetId="103" r:id="rId4"/>
    <sheet name="Cuadro 4.4" sheetId="104" r:id="rId5"/>
    <sheet name="Cuadro 4.5" sheetId="105" r:id="rId6"/>
    <sheet name="Cuadro 4.6" sheetId="106" r:id="rId7"/>
    <sheet name="Cuadro 4.7" sheetId="107" r:id="rId8"/>
    <sheet name="Cuadro 4.8" sheetId="108" r:id="rId9"/>
    <sheet name="Cuadro 4.9" sheetId="109" r:id="rId10"/>
    <sheet name="Cuadro 4.10" sheetId="110" r:id="rId11"/>
    <sheet name="Cuadro 4.11" sheetId="111" r:id="rId12"/>
    <sheet name="Cuadro 4.12" sheetId="112" r:id="rId13"/>
    <sheet name="Cuadro 4.13" sheetId="113" r:id="rId14"/>
    <sheet name="Cuadro 4.14" sheetId="115" r:id="rId15"/>
    <sheet name="Cuadro 4.15" sheetId="117" r:id="rId16"/>
    <sheet name="Cuadro 4.16" sheetId="118" r:id="rId17"/>
    <sheet name="Cuadro 4.17" sheetId="119" r:id="rId18"/>
    <sheet name="Cuadro 4.18" sheetId="120" r:id="rId19"/>
  </sheets>
  <externalReferences>
    <externalReference r:id="rId20"/>
  </externalReferences>
  <definedNames>
    <definedName name="\p">#N/A</definedName>
    <definedName name="\s">#N/A</definedName>
    <definedName name="_xlnm._FilterDatabase" localSheetId="10" hidden="1">'Cuadro 4.10'!$D$9:$F$43</definedName>
    <definedName name="_xlnm._FilterDatabase" localSheetId="11" hidden="1">'Cuadro 4.11'!$D$11:$J$45</definedName>
    <definedName name="_xlnm._FilterDatabase" localSheetId="12" hidden="1">'Cuadro 4.12'!$D$11:$P$45</definedName>
    <definedName name="_xlnm._FilterDatabase" localSheetId="13" hidden="1">'Cuadro 4.13'!#REF!</definedName>
    <definedName name="_xlnm._FilterDatabase" localSheetId="14" hidden="1">'Cuadro 4.14'!#REF!</definedName>
    <definedName name="_xlnm._FilterDatabase" localSheetId="5" hidden="1">'Cuadro 4.5'!#REF!</definedName>
    <definedName name="_xlnm._FilterDatabase" localSheetId="6" hidden="1">'Cuadro 4.6'!$D$11:$P$45</definedName>
    <definedName name="_xlnm._FilterDatabase" localSheetId="7" hidden="1">'Cuadro 4.7'!$D$11:$P$45</definedName>
    <definedName name="_xlnm._FilterDatabase" localSheetId="8" hidden="1">'Cuadro 4.8'!$D$11:$P$45</definedName>
    <definedName name="_xlnm._FilterDatabase" localSheetId="9" hidden="1">'Cuadro 4.9'!$D$11:$J$45</definedName>
    <definedName name="A_impresión_IM" localSheetId="1">#REF!</definedName>
    <definedName name="A_impresión_IM" localSheetId="10">#REF!</definedName>
    <definedName name="A_impresión_IM" localSheetId="11">#REF!</definedName>
    <definedName name="A_impresión_IM" localSheetId="12">#REF!</definedName>
    <definedName name="A_impresión_IM" localSheetId="13">#REF!</definedName>
    <definedName name="A_impresión_IM" localSheetId="14">#REF!</definedName>
    <definedName name="A_impresión_IM" localSheetId="16">#REF!</definedName>
    <definedName name="A_impresión_IM" localSheetId="18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0">#REF!</definedName>
    <definedName name="A_impresión_IM">#REF!</definedName>
    <definedName name="Cuadro_2.1" localSheetId="10">#REF!</definedName>
    <definedName name="Cuadro_2.1" localSheetId="11">#REF!</definedName>
    <definedName name="Cuadro_2.1" localSheetId="12">#REF!</definedName>
    <definedName name="Cuadro_2.1" localSheetId="13">#REF!</definedName>
    <definedName name="Cuadro_2.1" localSheetId="14">#REF!</definedName>
    <definedName name="Cuadro_2.1" localSheetId="16">#REF!</definedName>
    <definedName name="Cuadro_2.1" localSheetId="18">#REF!</definedName>
    <definedName name="Cuadro_2.1" localSheetId="2">#REF!</definedName>
    <definedName name="Cuadro_2.1" localSheetId="4">#REF!</definedName>
    <definedName name="Cuadro_2.1" localSheetId="5">#REF!</definedName>
    <definedName name="Cuadro_2.1" localSheetId="6">#REF!</definedName>
    <definedName name="Cuadro_2.1" localSheetId="7">#REF!</definedName>
    <definedName name="Cuadro_2.1" localSheetId="8">#REF!</definedName>
    <definedName name="Cuadro_2.1" localSheetId="9">#REF!</definedName>
    <definedName name="Cuadro_2.1" localSheetId="0">#REF!</definedName>
    <definedName name="Cuadro_2.1">#REF!</definedName>
    <definedName name="Cuadro_2.2" localSheetId="10">#REF!</definedName>
    <definedName name="Cuadro_2.2" localSheetId="11">#REF!</definedName>
    <definedName name="Cuadro_2.2" localSheetId="12">#REF!</definedName>
    <definedName name="Cuadro_2.2" localSheetId="13">#REF!</definedName>
    <definedName name="Cuadro_2.2" localSheetId="14">#REF!</definedName>
    <definedName name="Cuadro_2.2" localSheetId="16">#REF!</definedName>
    <definedName name="Cuadro_2.2" localSheetId="18">#REF!</definedName>
    <definedName name="Cuadro_2.2" localSheetId="2">#REF!</definedName>
    <definedName name="Cuadro_2.2" localSheetId="4">#REF!</definedName>
    <definedName name="Cuadro_2.2" localSheetId="5">#REF!</definedName>
    <definedName name="Cuadro_2.2" localSheetId="6">#REF!</definedName>
    <definedName name="Cuadro_2.2" localSheetId="7">#REF!</definedName>
    <definedName name="Cuadro_2.2" localSheetId="8">#REF!</definedName>
    <definedName name="Cuadro_2.2" localSheetId="9">#REF!</definedName>
    <definedName name="Cuadro_2.2" localSheetId="0">#REF!</definedName>
    <definedName name="Cuadro_2.2">#REF!</definedName>
    <definedName name="Cuadro_2.3" localSheetId="10">#REF!</definedName>
    <definedName name="Cuadro_2.3" localSheetId="11">#REF!</definedName>
    <definedName name="Cuadro_2.3" localSheetId="12">#REF!</definedName>
    <definedName name="Cuadro_2.3" localSheetId="13">#REF!</definedName>
    <definedName name="Cuadro_2.3" localSheetId="14">#REF!</definedName>
    <definedName name="Cuadro_2.3" localSheetId="16">#REF!</definedName>
    <definedName name="Cuadro_2.3" localSheetId="18">#REF!</definedName>
    <definedName name="Cuadro_2.3" localSheetId="2">#REF!</definedName>
    <definedName name="Cuadro_2.3" localSheetId="4">#REF!</definedName>
    <definedName name="Cuadro_2.3" localSheetId="5">#REF!</definedName>
    <definedName name="Cuadro_2.3" localSheetId="6">#REF!</definedName>
    <definedName name="Cuadro_2.3" localSheetId="7">#REF!</definedName>
    <definedName name="Cuadro_2.3" localSheetId="8">#REF!</definedName>
    <definedName name="Cuadro_2.3" localSheetId="9">#REF!</definedName>
    <definedName name="Cuadro_2.3" localSheetId="0">#REF!</definedName>
    <definedName name="Cuadro_2.3">#REF!</definedName>
    <definedName name="Ir_a_inicio">'[1]Cuadro 1'!#REF!</definedName>
    <definedName name="paso" localSheetId="1">#REF!</definedName>
    <definedName name="paso" localSheetId="10">#REF!</definedName>
    <definedName name="paso" localSheetId="11">#REF!</definedName>
    <definedName name="paso" localSheetId="12">#REF!</definedName>
    <definedName name="paso" localSheetId="13">#REF!</definedName>
    <definedName name="paso" localSheetId="14">#REF!</definedName>
    <definedName name="paso" localSheetId="16">#REF!</definedName>
    <definedName name="paso" localSheetId="18">#REF!</definedName>
    <definedName name="paso" localSheetId="2">#REF!</definedName>
    <definedName name="paso" localSheetId="3">#REF!</definedName>
    <definedName name="paso" localSheetId="4">#REF!</definedName>
    <definedName name="paso" localSheetId="5">#REF!</definedName>
    <definedName name="paso" localSheetId="6">#REF!</definedName>
    <definedName name="paso" localSheetId="7">#REF!</definedName>
    <definedName name="paso" localSheetId="8">#REF!</definedName>
    <definedName name="paso" localSheetId="9">#REF!</definedName>
    <definedName name="paso" localSheetId="0">#REF!</definedName>
    <definedName name="paso">#REF!</definedName>
    <definedName name="prueba" localSheetId="1">#REF!</definedName>
    <definedName name="prueba" localSheetId="10">#REF!</definedName>
    <definedName name="prueba" localSheetId="11">#REF!</definedName>
    <definedName name="prueba" localSheetId="12">#REF!</definedName>
    <definedName name="prueba" localSheetId="13">#REF!</definedName>
    <definedName name="prueba" localSheetId="14">#REF!</definedName>
    <definedName name="prueba" localSheetId="16">#REF!</definedName>
    <definedName name="prueba" localSheetId="18">#REF!</definedName>
    <definedName name="prueba" localSheetId="2">#REF!</definedName>
    <definedName name="prueba" localSheetId="3">#REF!</definedName>
    <definedName name="prueba" localSheetId="4">#REF!</definedName>
    <definedName name="prueba" localSheetId="5">#REF!</definedName>
    <definedName name="prueba" localSheetId="6">#REF!</definedName>
    <definedName name="prueba" localSheetId="7">#REF!</definedName>
    <definedName name="prueba" localSheetId="8">#REF!</definedName>
    <definedName name="prueba" localSheetId="9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77" l="1"/>
</calcChain>
</file>

<file path=xl/sharedStrings.xml><?xml version="1.0" encoding="utf-8"?>
<sst xmlns="http://schemas.openxmlformats.org/spreadsheetml/2006/main" count="911" uniqueCount="203">
  <si>
    <t>Absolutos</t>
  </si>
  <si>
    <t>Relativos</t>
  </si>
  <si>
    <t xml:space="preserve">Estados Unidos Mexicanos 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</si>
  <si>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</si>
  <si>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</si>
  <si>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</si>
  <si>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</si>
  <si>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</si>
  <si>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</si>
  <si>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</si>
  <si>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</si>
  <si>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</si>
  <si>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</si>
  <si>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</si>
  <si>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</si>
  <si>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</si>
  <si>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</si>
  <si>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</si>
  <si>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</si>
  <si>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</si>
  <si>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</si>
  <si>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</si>
  <si>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</si>
  <si>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</si>
  <si>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</si>
  <si>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</si>
  <si>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</si>
  <si>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</si>
  <si>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</si>
  <si>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</si>
  <si>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</si>
  <si>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</si>
  <si>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</si>
  <si>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</si>
  <si>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</si>
  <si>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 xml:space="preserve">Estados Unidos Mexicanos                                    </t>
  </si>
  <si>
    <t>1 a 2 499 habitantes</t>
  </si>
  <si>
    <t xml:space="preserve">De 2 500 a 14 999 habitantes </t>
  </si>
  <si>
    <t xml:space="preserve">De 15 000 a 99 999 habitantes </t>
  </si>
  <si>
    <t>No especificado</t>
  </si>
  <si>
    <t>Forma de adquisición</t>
  </si>
  <si>
    <t>Se compró nueva</t>
  </si>
  <si>
    <t>Se compró usada</t>
  </si>
  <si>
    <t>Se obtuvo de otra manera</t>
  </si>
  <si>
    <t>Subsidios federal, estatal o municipal</t>
  </si>
  <si>
    <t>Tamaño de localidad y tipo de acción en la vivienda</t>
  </si>
  <si>
    <t>Materiales</t>
  </si>
  <si>
    <t>Sueldos y salarios</t>
  </si>
  <si>
    <t>Licencias</t>
  </si>
  <si>
    <t>Construcción</t>
  </si>
  <si>
    <t>Ampliación</t>
  </si>
  <si>
    <t>Renovación, rehabilitación o reforzamiento de la parte estructural</t>
  </si>
  <si>
    <t>Reparación menor o mantenimiento</t>
  </si>
  <si>
    <t>Remodelación</t>
  </si>
  <si>
    <t>100 000 y más habitantes</t>
  </si>
  <si>
    <t>Tamaño de localidad</t>
  </si>
  <si>
    <t>100 000  o más habitantes</t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</si>
  <si>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</si>
  <si>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t>Total de hogares</t>
  </si>
  <si>
    <t>Sí</t>
  </si>
  <si>
    <t>No</t>
  </si>
  <si>
    <t>Está habitada</t>
  </si>
  <si>
    <t>Otra</t>
  </si>
  <si>
    <r>
      <t>Hasta 45 m</t>
    </r>
    <r>
      <rPr>
        <b/>
        <vertAlign val="superscript"/>
        <sz val="8"/>
        <color theme="1"/>
        <rFont val="Arial"/>
        <family val="2"/>
      </rPr>
      <t>2</t>
    </r>
  </si>
  <si>
    <r>
      <t>De 46 a 75 m</t>
    </r>
    <r>
      <rPr>
        <b/>
        <vertAlign val="superscript"/>
        <sz val="8"/>
        <color theme="1"/>
        <rFont val="Arial"/>
        <family val="2"/>
      </rPr>
      <t>2</t>
    </r>
  </si>
  <si>
    <r>
      <t>De 76 a 100 m</t>
    </r>
    <r>
      <rPr>
        <b/>
        <vertAlign val="superscript"/>
        <sz val="8"/>
        <color theme="1"/>
        <rFont val="Arial"/>
        <family val="2"/>
      </rPr>
      <t>2</t>
    </r>
  </si>
  <si>
    <r>
      <t>De 101 a 150 m</t>
    </r>
    <r>
      <rPr>
        <b/>
        <vertAlign val="superscript"/>
        <sz val="8"/>
        <color theme="1"/>
        <rFont val="Arial"/>
        <family val="2"/>
      </rPr>
      <t>2</t>
    </r>
  </si>
  <si>
    <r>
      <t>Más de 150 m</t>
    </r>
    <r>
      <rPr>
        <b/>
        <vertAlign val="superscript"/>
        <sz val="8"/>
        <color theme="1"/>
        <rFont val="Arial"/>
        <family val="2"/>
      </rPr>
      <t>2</t>
    </r>
  </si>
  <si>
    <t>Tipo de vivienda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</si>
  <si>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viviendas que están en proceso de venta o renta, las usan para vacaciones o deshabitadas.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</si>
  <si>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viviendas en proceso de construcción o que son inadecuadas para habitarse.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</si>
  <si>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viviendas que se usan con fines distintos a los de habitación (bodega, negocio, etcétera).</t>
    </r>
  </si>
  <si>
    <r>
      <t>Casa independiente</t>
    </r>
    <r>
      <rPr>
        <b/>
        <vertAlign val="superscript"/>
        <sz val="8"/>
        <rFont val="Arial"/>
        <family val="2"/>
      </rPr>
      <t>2</t>
    </r>
  </si>
  <si>
    <t>Uso de la vivienda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</si>
  <si>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La suma puede ser mayor al total de viviendas porque se pudo responder más de una razón para adquirir la vivienda.</t>
    </r>
  </si>
  <si>
    <t>Metros de construcción (m2) de la vivienda</t>
  </si>
  <si>
    <t>Entidad federativa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</si>
  <si>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"Por las características de la vivienda (tamaño, dimensión o tipo)", "Por las vías de acceso y cercanía a los servicios" y "Seguridad de la zona".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</si>
  <si>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Incluye:  "Por inversión", "Para aprovechar un crédito" y "Es la que pudo comprar (con crédito, subsidio o recursos propios)".</t>
    </r>
  </si>
  <si>
    <r>
      <rPr>
        <vertAlign val="superscript"/>
        <sz val="8"/>
        <rFont val="Arial"/>
        <family val="2"/>
      </rPr>
      <t>5</t>
    </r>
    <r>
      <rPr>
        <sz val="8"/>
        <rFont val="Arial"/>
        <family val="2"/>
      </rPr>
      <t xml:space="preserve"> Incluye: "Fue herencia (la vivienda o el terreno)" y "Por motivos personales (independizarse, creció en ese lugar, cercanía a la familia, etcétera)".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</si>
  <si>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 en coto o unidad habitacional. 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</si>
  <si>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vivienda en edificio, vivienda en vecindad, vivienda en cuarto de azotea y local no construido para habitación.</t>
    </r>
  </si>
  <si>
    <t>Promedio de cuartos por vivienda</t>
  </si>
  <si>
    <t>Una vivienda secundaria</t>
  </si>
  <si>
    <t>Dos o más viviendas secundarias</t>
  </si>
  <si>
    <t>Total de hogares con viviendas secundarias</t>
  </si>
  <si>
    <r>
      <t>Total de viviendas secundarias con más gastos durante 2020</t>
    </r>
    <r>
      <rPr>
        <b/>
        <vertAlign val="superscript"/>
        <sz val="8"/>
        <color theme="1"/>
        <rFont val="Arial"/>
        <family val="2"/>
      </rPr>
      <t>1</t>
    </r>
  </si>
  <si>
    <t>Total de hogares que realizaron alguna construcción, ampliación, renovación, reparación o remodelación en la vivienda secundaria con más gastos durante 2020</t>
  </si>
  <si>
    <t>Total de hogares que realizaron alguna construcción, ampliación, renovación, reparación o remodelación en la vivienda secundaria con más gastos durante 2019</t>
  </si>
  <si>
    <t>Total de viviendas secundarias por entidad federativa</t>
  </si>
  <si>
    <t>Total de viviendas secundarias</t>
  </si>
  <si>
    <t>Total de viviendas secundarias con gastos en construcción, ampliación, renovación, rehabilitación o reforzamiento durante 2019</t>
  </si>
  <si>
    <t>Total de viviendas secundarias con gastos en construcción, ampliación, renovación, rehabilitación o reforzamiento durante 2020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</si>
  <si>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Cuando hay más de una vivienda secundaria por hogar, corresponde exclusivamente a las viviendas con más gastos de compra, construcción o mantenimiento durante 2020.</t>
    </r>
  </si>
  <si>
    <t>Condición de tenencia de viviendas secundarias propias</t>
  </si>
  <si>
    <t xml:space="preserve"> Tipo de gasto
</t>
  </si>
  <si>
    <t>Gasto de los hogares que reportaron algún gasto en construcción, ampliación, renovación, reparación o remodelación a la vivienda secundaria con más gastos durante 2019</t>
  </si>
  <si>
    <t>Tipo de acción en vivienda</t>
  </si>
  <si>
    <t>Gasto de los hogares que reportaron algún gasto en construcción, ampliación, renovación, reparación o remodelación a la vivienda secundaria con más gastos durante 2020</t>
  </si>
  <si>
    <t>Cuadro 4.1</t>
  </si>
  <si>
    <t>Cuadro 4.2</t>
  </si>
  <si>
    <t>Hogares por entidad federativa, según condición de tenencia de viviendas secundarias propias</t>
  </si>
  <si>
    <t>Cuadro 4.3</t>
  </si>
  <si>
    <t>Hogares con viviendas secundarias por tamaño de localidad, según número de viviendas secundarias propias</t>
  </si>
  <si>
    <t>Hogares con viviendas secundarias por entidad federativa, según número de viviendas secundarias propias</t>
  </si>
  <si>
    <t>Cuadro 4.4</t>
  </si>
  <si>
    <t>Cuadro 4.5</t>
  </si>
  <si>
    <t>Cuadro 4.6</t>
  </si>
  <si>
    <r>
      <t>Total de viviendas secundarias con más gastos durante 2020</t>
    </r>
    <r>
      <rPr>
        <b/>
        <vertAlign val="superscript"/>
        <sz val="8"/>
        <rFont val="Arial"/>
        <family val="2"/>
      </rPr>
      <t>1</t>
    </r>
  </si>
  <si>
    <r>
      <t>Está deshabitada</t>
    </r>
    <r>
      <rPr>
        <b/>
        <vertAlign val="superscript"/>
        <sz val="8"/>
        <rFont val="Arial"/>
        <family val="2"/>
      </rPr>
      <t>2</t>
    </r>
  </si>
  <si>
    <r>
      <t>Está en proceso de construcción</t>
    </r>
    <r>
      <rPr>
        <b/>
        <vertAlign val="superscript"/>
        <sz val="8"/>
        <rFont val="Arial"/>
        <family val="2"/>
      </rPr>
      <t>3</t>
    </r>
  </si>
  <si>
    <r>
      <t>Otra situación</t>
    </r>
    <r>
      <rPr>
        <b/>
        <vertAlign val="superscript"/>
        <sz val="8"/>
        <rFont val="Arial"/>
        <family val="2"/>
      </rPr>
      <t>4</t>
    </r>
  </si>
  <si>
    <t>Cuadro 4.7</t>
  </si>
  <si>
    <t>Cuadro 4.8</t>
  </si>
  <si>
    <t>Cuadro 4.9</t>
  </si>
  <si>
    <t>Cuadro 4.10</t>
  </si>
  <si>
    <t>Cuadro 4.11</t>
  </si>
  <si>
    <t>Cuadro 4.12</t>
  </si>
  <si>
    <t>Cuadro 4.13</t>
  </si>
  <si>
    <t>Cuadro 4.14</t>
  </si>
  <si>
    <t>Cuadro 4.15</t>
  </si>
  <si>
    <t>Cuadro 4.16</t>
  </si>
  <si>
    <t>Cuadro 4.17</t>
  </si>
  <si>
    <t>Cuadro 4.18</t>
  </si>
  <si>
    <r>
      <t>Razones de adquisición</t>
    </r>
    <r>
      <rPr>
        <b/>
        <vertAlign val="superscript"/>
        <sz val="8"/>
        <rFont val="Arial"/>
        <family val="2"/>
      </rPr>
      <t>2</t>
    </r>
  </si>
  <si>
    <r>
      <t>Infraestructura de la vivienda y localidad</t>
    </r>
    <r>
      <rPr>
        <b/>
        <vertAlign val="superscript"/>
        <sz val="8"/>
        <rFont val="Arial"/>
        <family val="2"/>
      </rPr>
      <t>3</t>
    </r>
  </si>
  <si>
    <r>
      <t>Económicas</t>
    </r>
    <r>
      <rPr>
        <b/>
        <vertAlign val="superscript"/>
        <sz val="8"/>
        <rFont val="Arial"/>
        <family val="2"/>
      </rPr>
      <t>4</t>
    </r>
  </si>
  <si>
    <r>
      <t>Personales</t>
    </r>
    <r>
      <rPr>
        <b/>
        <vertAlign val="superscript"/>
        <sz val="8"/>
        <rFont val="Arial"/>
        <family val="2"/>
      </rPr>
      <t>5</t>
    </r>
  </si>
  <si>
    <r>
      <t>Se construyó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</si>
  <si>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las viviendas que las construyó un(a) albañil o trabajador(a) por su cuenta, un(a) ingeniero(a) o arquitecto(a), una empresa constructora, o alguna persona del hogar.</t>
    </r>
  </si>
  <si>
    <r>
      <t>Otro</t>
    </r>
    <r>
      <rPr>
        <b/>
        <vertAlign val="superscript"/>
        <sz val="8"/>
        <rFont val="Arial"/>
        <family val="2"/>
      </rPr>
      <t>3</t>
    </r>
  </si>
  <si>
    <r>
      <t>Total de hogares con viviendas secundarias que tuvieron gastos en construcción, ampliación, renovación, rehabilitación o reforzamiento durante 2019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</si>
  <si>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los hogares que reportaron sí haber realizado alguna construcción, ampliación, renovación, reparación o mantenimiento durante 2019, pero que no gastaron o no especificaron monto.</t>
    </r>
  </si>
  <si>
    <r>
      <t>Total de hogares con viviendas secundarias que tuvieron gastos en construcción, ampliación, renovación, rehabilitación o reforzamiento durante 2020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</si>
  <si>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los hogares que reportaron sí haber realizado alguna construcción, ampliación, renovación, reparación o mantenimiento durante 2020, pero que no gastaron o no especificaron monto.</t>
    </r>
  </si>
  <si>
    <r>
      <t>Tipo de gasto</t>
    </r>
    <r>
      <rPr>
        <b/>
        <vertAlign val="superscript"/>
        <sz val="8"/>
        <rFont val="Arial"/>
        <family val="2"/>
      </rPr>
      <t>1</t>
    </r>
  </si>
  <si>
    <r>
      <t>Hogares que no reportaron gastos</t>
    </r>
    <r>
      <rPr>
        <b/>
        <vertAlign val="superscript"/>
        <sz val="8"/>
        <rFont val="Arial"/>
        <family val="2"/>
      </rPr>
      <t>2</t>
    </r>
  </si>
  <si>
    <r>
      <t>Reparación menor o mantenimiento</t>
    </r>
    <r>
      <rPr>
        <vertAlign val="superscript"/>
        <sz val="8"/>
        <rFont val="Arial"/>
        <family val="2"/>
      </rPr>
      <t>3</t>
    </r>
  </si>
  <si>
    <r>
      <t>Remodelación</t>
    </r>
    <r>
      <rPr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</si>
  <si>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superior al total de hogares porque se pudo escoger más de una opción.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</si>
  <si>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los hogares que realizaron alguna construcción, ampliación, renovación, reparación o remodelación en la vivienda durante 2019, pero no especificaron el monto gastado.</t>
    </r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</si>
  <si>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>Solo reportan gastos de materiales, sueldos y salarios. No se incluyen en gastos por licencias.</t>
    </r>
  </si>
  <si>
    <r>
      <rPr>
        <vertAlign val="superscript"/>
        <sz val="8"/>
        <rFont val="Arial"/>
        <family val="2"/>
      </rPr>
      <t xml:space="preserve">4 </t>
    </r>
    <r>
      <rPr>
        <sz val="8"/>
        <rFont val="Arial"/>
        <family val="2"/>
      </rPr>
      <t>Solo reportan gastos de materiales, sueldos y salarios. No se incluyen en gastos por licencias.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</si>
  <si>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los hogares que realizaron alguna construcción, ampliación, renovación, reparación o remodelación en la vivienda durante 2020, pero no especificaron el monto gastado.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</si>
  <si>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metros de construcción de la vivienda</t>
    </r>
  </si>
  <si>
    <t>Encuesta Nacional de Vivienda (ENVI) 2020</t>
  </si>
  <si>
    <t>TABULADOS BÁSICOS</t>
  </si>
  <si>
    <t>Nivel de confianza del 90%</t>
  </si>
  <si>
    <t>Tema</t>
  </si>
  <si>
    <t>ID Cuadro</t>
  </si>
  <si>
    <t>Título</t>
  </si>
  <si>
    <t>ÍNDICE</t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</si>
  <si>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promedio de cuartos de la vivienda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</si>
  <si>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razones para la adquisición de la vivienda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</si>
  <si>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 según forma de adquisición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</si>
  <si>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 según tipo de vivienda</t>
    </r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</si>
  <si>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uso de la vivienda</t>
    </r>
  </si>
  <si>
    <r>
      <t xml:space="preserve">Hogares que realizaron alguna construcción, ampliación, renovación, reparación o remodelación en la vivienda secundaria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2019 por tamaño de localidad y tipo de acción en la vivienda, según tipo de gasto</t>
    </r>
  </si>
  <si>
    <t>Hogares que reportaron algún gasto en construcción, ampliación, renovación, reparación o remodelación a la vivienda secundaria con más gastos durante 2019, Gasto y Promedio del gasto en acciones a la vivienda por tipo de acción, según tipo de gasto</t>
  </si>
  <si>
    <r>
      <t xml:space="preserve">Hogares que realizaron alguna construcción, ampliación, renovación, reparación o remodelación en la vivienda secundaria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tamaño de localidad y tipo de acción en la vivienda, según tipo de gasto 2020</t>
    </r>
  </si>
  <si>
    <t>Hogares que reportaron algún gasto en construcción, ampliación, renovación, reparación o remodelación a la vivienda secundaria con más gastos durante 2020, Gasto y Promedio del gasto en acciones a la vivienda por tipo de acción, según tipo de gasto</t>
  </si>
  <si>
    <t>Hogares por tamaño de localidad, según condición de tenencia de viviendas secundarias propias</t>
  </si>
  <si>
    <t>Viviendas secundarias con más gastos durante 2020 por entidad federativa, según uso de la vivienda</t>
  </si>
  <si>
    <t>Viviendas secundarias con más gastos durante 2020 por entidad federativa, según razones para la adquisición de la vivienda</t>
  </si>
  <si>
    <t>Viviendas secundarias con más gastos durante 2020 por entidad federativa,  según forma de adquisición</t>
  </si>
  <si>
    <t>Viviendas secundarias con más gastos durante 2020 por entidad federativa según tipo de vivienda</t>
  </si>
  <si>
    <t>Viviendas secundarias con más gastos durante 2020 por entidad federativa, según promedio de cuartos de la vivienda</t>
  </si>
  <si>
    <t>Viviendas secundarias con más gastos durante 2020 por entidad federativa, según metros de construcción de la vivienda</t>
  </si>
  <si>
    <t>Hogares que realizaron alguna construcción, ampliación, renovación, reparación o remodelación en la vivienda secundaria con más gastos durante 2019 por tamaño de localidad y tipo de acción en la vivienda, según tipo de gasto</t>
  </si>
  <si>
    <t>Hogares que realizaron alguna construcción, ampliación, renovación, reparación o remodelación en la vivienda secundaria con más gastos durante 2020 por tamaño de localidad y tipo de acción en la vivienda, según tipo de gasto 2020</t>
  </si>
  <si>
    <t>Hogares con viviendas secundarias que tuvieron gastos en construcción, ampliación, renovación, rehabilitación o reforzamiento durante 2019 y número de viviendas secundarias por entidad federativa, según gasto realizado y su promedio</t>
  </si>
  <si>
    <t>Hogares con viviendas secundarias que tuvieron gastos en construcción, ampliación, renovación, rehabilitación o reforzamiento durante 2020 y número de viviendas secundarias por entidad federativa, según gasto realizado y su promedio</t>
  </si>
  <si>
    <t>Tema 4. Gastos en las viviendas secundarias</t>
  </si>
  <si>
    <t>Crédito de INFONAVIT</t>
  </si>
  <si>
    <t>Viviendas secundarias con más gastos durante 2020 sin financiamiento</t>
  </si>
  <si>
    <r>
      <t>Fuente de financiamiento</t>
    </r>
    <r>
      <rPr>
        <b/>
        <vertAlign val="superscript"/>
        <sz val="8"/>
        <rFont val="Arial"/>
        <family val="2"/>
      </rPr>
      <t>2</t>
    </r>
  </si>
  <si>
    <r>
      <t>Crédito de una institución financiera privada</t>
    </r>
    <r>
      <rPr>
        <b/>
        <vertAlign val="superscript"/>
        <sz val="8"/>
        <rFont val="Arial"/>
        <family val="2"/>
      </rPr>
      <t>3</t>
    </r>
  </si>
  <si>
    <r>
      <t>Préstamos informales o recursos propios</t>
    </r>
    <r>
      <rPr>
        <b/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</si>
  <si>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superior al total de viviendas secundarias porque una vivienda pudo tener más de una fuente de financiamiento.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</si>
  <si>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créditos una institución financiera privada (banco, sofol, caja de ahorro) y créditos de alguna organización no lucrativa.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</si>
  <si>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préstamos de un familiar, amigo u otra persona, así como sus propios recursos.</t>
    </r>
  </si>
  <si>
    <r>
      <t>Fuente:</t>
    </r>
    <r>
      <rPr>
        <b/>
        <sz val="8"/>
        <rFont val="Arial"/>
        <family val="2"/>
      </rPr>
      <t xml:space="preserve"> INEGI.</t>
    </r>
    <r>
      <rPr>
        <sz val="8"/>
        <rFont val="Arial"/>
        <family val="2"/>
      </rPr>
      <t xml:space="preserve"> Encuesta Nacional de Vivienda 2020.</t>
    </r>
  </si>
  <si>
    <r>
      <t xml:space="preserve">Gasto en las viviendas secundarias durante 2019
</t>
    </r>
    <r>
      <rPr>
        <sz val="8"/>
        <rFont val="Arial"/>
        <family val="2"/>
      </rPr>
      <t>Pesos</t>
    </r>
  </si>
  <si>
    <r>
      <t xml:space="preserve">Promedio de gasto por hogar en las viviendas secundarias durante 2019
</t>
    </r>
    <r>
      <rPr>
        <sz val="8"/>
        <rFont val="Arial"/>
        <family val="2"/>
      </rPr>
      <t>Pesos</t>
    </r>
  </si>
  <si>
    <r>
      <t xml:space="preserve">Gasto en las viviendas secundarias durante 2020
</t>
    </r>
    <r>
      <rPr>
        <sz val="8"/>
        <rFont val="Arial"/>
        <family val="2"/>
      </rPr>
      <t>Pesos</t>
    </r>
  </si>
  <si>
    <r>
      <t xml:space="preserve">Promedio de gasto por hogar en las viviendas secundarias durante 2020
</t>
    </r>
    <r>
      <rPr>
        <sz val="8"/>
        <rFont val="Arial"/>
        <family val="2"/>
      </rPr>
      <t>Pesos</t>
    </r>
  </si>
  <si>
    <r>
      <t>Total de hogares que reportaron algún gasto en construcción, ampliación, renovación, reparación o remodelación en la vivienda secundaria con más gastos durante 2019</t>
    </r>
    <r>
      <rPr>
        <b/>
        <vertAlign val="superscript"/>
        <sz val="8"/>
        <rFont val="Arial"/>
        <family val="2"/>
      </rPr>
      <t>1</t>
    </r>
  </si>
  <si>
    <r>
      <t xml:space="preserve">Total
</t>
    </r>
    <r>
      <rPr>
        <sz val="8"/>
        <rFont val="Arial"/>
        <family val="2"/>
      </rPr>
      <t>(Pesos)</t>
    </r>
  </si>
  <si>
    <r>
      <t xml:space="preserve">Promedio
</t>
    </r>
    <r>
      <rPr>
        <sz val="8"/>
        <rFont val="Arial"/>
        <family val="2"/>
      </rPr>
      <t xml:space="preserve">(Pesos) </t>
    </r>
  </si>
  <si>
    <r>
      <t xml:space="preserve">Promedio
</t>
    </r>
    <r>
      <rPr>
        <sz val="8"/>
        <rFont val="Arial"/>
        <family val="2"/>
      </rPr>
      <t>(Pesos)</t>
    </r>
  </si>
  <si>
    <r>
      <t>Reparación menor o mantenimiento</t>
    </r>
    <r>
      <rPr>
        <vertAlign val="superscript"/>
        <sz val="8"/>
        <rFont val="Arial"/>
        <family val="2"/>
      </rPr>
      <t>2</t>
    </r>
  </si>
  <si>
    <r>
      <t>Remodelación</t>
    </r>
    <r>
      <rPr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</si>
  <si>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superior al total de hogares porque un hogar pudo realizar más de una acción en la vivienda secundaria durante 2019.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</si>
  <si>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Solo reportan gastos de materiales, sueldos y salarios. No se incluyen en gastos por licencias.</t>
    </r>
  </si>
  <si>
    <r>
      <t>Total de hogares que reportaron algún gasto en construcción, ampliación, renovación, reparación o remodelación en la vivienda secundaria con más gastos durante 2020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</si>
  <si>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superior al total de hogares porque un hogar pudo realizar más de una acción en la vivienda secundaria durante 2020.</t>
    </r>
  </si>
  <si>
    <t>Crédito de FOVISSSTE y otras instituciones públicas</t>
  </si>
  <si>
    <r>
      <t xml:space="preserve">Viviendas secundarias con </t>
    </r>
    <r>
      <rPr>
        <b/>
        <i/>
        <sz val="9"/>
        <rFont val="Arial"/>
        <family val="2"/>
      </rPr>
      <t>más gastos</t>
    </r>
    <r>
      <rPr>
        <b/>
        <sz val="9"/>
        <rFont val="Arial"/>
        <family val="2"/>
      </rPr>
      <t xml:space="preserve"> durante 2020 por entidad federativa, según fuente de financiamiento para la adquisición</t>
    </r>
  </si>
  <si>
    <t>Agosto 2021</t>
  </si>
  <si>
    <t>Observaciones muestrales.</t>
  </si>
  <si>
    <t>Viviendas secundarias con más gastos durante 2020 por entidad federativa, según fuente de financiamiento para la adquisición</t>
  </si>
  <si>
    <t>NA</t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</si>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</sst>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#\ ###\ ##0"/>
    <numFmt numFmtId="167" formatCode="\ ###\ ###\ ##0"/>
    <numFmt numFmtId="168" formatCode="\ ###\ ###\ ##0.0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80"/>
      <name val="Arial"/>
      <family val="2"/>
    </font>
    <font>
      <sz val="9"/>
      <color rgb="FF00008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vertAlign val="superscript"/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b/>
      <sz val="8"/>
      <color indexed="8"/>
      <name val="Arial"/>
      <family val="2"/>
    </font>
    <font>
      <b/>
      <vertAlign val="superscript"/>
      <sz val="8"/>
      <color theme="1"/>
      <name val="Arial"/>
      <family val="2"/>
    </font>
    <font>
      <sz val="11"/>
      <color rgb="FF000000"/>
      <name val="Calibri"/>
      <family val="2"/>
    </font>
    <font>
      <b/>
      <sz val="8"/>
      <color rgb="FF000000"/>
      <name val="Arial"/>
      <family val="2"/>
    </font>
    <font>
      <sz val="11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sz val="8"/>
      <color rgb="FF000000"/>
      <name val="Arial"/>
      <family val="2"/>
    </font>
    <font>
      <b/>
      <vertAlign val="superscript"/>
      <sz val="8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9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i/>
      <sz val="9"/>
      <name val="Arial"/>
      <family val="2"/>
    </font>
    <font>
      <u/>
      <sz val="9"/>
      <name val="Arial"/>
      <family val="2"/>
    </font>
    <font>
      <b/>
      <sz val="9"/>
      <color theme="1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1"/>
      <color rgb="FF000080"/>
      <name val="Arial"/>
      <family val="2"/>
    </font>
    <font>
      <b/>
      <i/>
      <sz val="12"/>
      <color rgb="FF000080"/>
      <name val="Arial"/>
      <family val="2"/>
    </font>
    <font>
      <b/>
      <sz val="11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theme="10"/>
      <name val="Arial"/>
      <family val="2"/>
    </font>
    <font>
      <u/>
      <sz val="9"/>
      <color rgb="FF00339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 style="thin">
        <color rgb="FF337AB7"/>
      </bottom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/>
      <top style="thin">
        <color rgb="FF337AB7"/>
      </top>
      <bottom style="medium">
        <color rgb="FF0070C0"/>
      </bottom>
      <diagonal/>
    </border>
    <border>
      <left style="thin">
        <color rgb="FF337AB7"/>
      </left>
      <right/>
      <top style="thin">
        <color rgb="FF337AB7"/>
      </top>
      <bottom style="medium">
        <color rgb="FF0070C0"/>
      </bottom>
      <diagonal/>
    </border>
    <border>
      <left/>
      <right style="medium">
        <color rgb="FF0070C0"/>
      </right>
      <top style="thin">
        <color rgb="FF337AB7"/>
      </top>
      <bottom style="medium">
        <color rgb="FF0070C0"/>
      </bottom>
      <diagonal/>
    </border>
  </borders>
  <cellStyleXfs count="115">
    <xf numFmtId="0" fontId="0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37" fillId="0" borderId="0" applyNumberFormat="0" applyFill="0" applyBorder="0" applyAlignment="0" applyProtection="0">
      <alignment vertical="top"/>
      <protection locked="0"/>
    </xf>
    <xf numFmtId="164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0" fontId="42" fillId="0" borderId="0"/>
    <xf numFmtId="0" fontId="28" fillId="0" borderId="0"/>
    <xf numFmtId="0" fontId="39" fillId="0" borderId="0"/>
    <xf numFmtId="0" fontId="30" fillId="0" borderId="0"/>
    <xf numFmtId="0" fontId="30" fillId="0" borderId="0"/>
    <xf numFmtId="0" fontId="27" fillId="0" borderId="0"/>
    <xf numFmtId="43" fontId="42" fillId="0" borderId="0" applyFont="0" applyFill="0" applyBorder="0" applyAlignment="0" applyProtection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0" fontId="26" fillId="0" borderId="0"/>
    <xf numFmtId="0" fontId="26" fillId="0" borderId="0"/>
    <xf numFmtId="164" fontId="26" fillId="0" borderId="0" applyFont="0" applyFill="0" applyBorder="0" applyAlignment="0" applyProtection="0"/>
    <xf numFmtId="0" fontId="39" fillId="0" borderId="0"/>
    <xf numFmtId="0" fontId="25" fillId="0" borderId="0"/>
    <xf numFmtId="0" fontId="30" fillId="0" borderId="0"/>
    <xf numFmtId="0" fontId="56" fillId="0" borderId="0" applyNumberFormat="0" applyFill="0" applyBorder="0" applyAlignment="0" applyProtection="0"/>
    <xf numFmtId="0" fontId="24" fillId="0" borderId="0"/>
    <xf numFmtId="0" fontId="68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16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723">
    <xf numFmtId="0" fontId="0" fillId="0" borderId="0" xfId="0"/>
    <xf numFmtId="0" fontId="0" fillId="2" borderId="0" xfId="0" applyFill="1"/>
    <xf numFmtId="0" fontId="30" fillId="2" borderId="0" xfId="0" applyFont="1" applyFill="1"/>
    <xf numFmtId="0" fontId="39" fillId="2" borderId="0" xfId="13" applyFill="1"/>
    <xf numFmtId="0" fontId="35" fillId="2" borderId="0" xfId="2" applyFont="1" applyFill="1"/>
    <xf numFmtId="0" fontId="35" fillId="2" borderId="0" xfId="2" applyFont="1" applyFill="1" applyAlignment="1">
      <alignment horizontal="left" vertical="center"/>
    </xf>
    <xf numFmtId="0" fontId="35" fillId="2" borderId="3" xfId="2" applyFont="1" applyFill="1" applyBorder="1"/>
    <xf numFmtId="0" fontId="36" fillId="2" borderId="1" xfId="2" applyFont="1" applyFill="1" applyBorder="1" applyAlignment="1">
      <alignment vertical="center"/>
    </xf>
    <xf numFmtId="0" fontId="36" fillId="2" borderId="0" xfId="2" applyFont="1" applyFill="1"/>
    <xf numFmtId="0" fontId="38" fillId="2" borderId="0" xfId="14" applyFont="1" applyFill="1" applyAlignment="1">
      <alignment horizontal="left" vertical="center"/>
    </xf>
    <xf numFmtId="0" fontId="45" fillId="6" borderId="0" xfId="0" applyFont="1" applyFill="1" applyAlignment="1">
      <alignment vertical="center"/>
    </xf>
    <xf numFmtId="0" fontId="35" fillId="2" borderId="1" xfId="2" applyFont="1" applyFill="1" applyBorder="1" applyAlignment="1">
      <alignment horizontal="left" indent="1"/>
    </xf>
    <xf numFmtId="2" fontId="35" fillId="2" borderId="1" xfId="2" applyNumberFormat="1" applyFont="1" applyFill="1" applyBorder="1" applyAlignment="1">
      <alignment horizontal="right" vertical="center"/>
    </xf>
    <xf numFmtId="0" fontId="47" fillId="0" borderId="0" xfId="11" applyFont="1"/>
    <xf numFmtId="0" fontId="49" fillId="0" borderId="0" xfId="11" applyFont="1" applyAlignment="1">
      <alignment vertical="center" readingOrder="1"/>
    </xf>
    <xf numFmtId="0" fontId="47" fillId="4" borderId="5" xfId="11" applyFont="1" applyFill="1" applyBorder="1"/>
    <xf numFmtId="0" fontId="47" fillId="4" borderId="1" xfId="11" applyFont="1" applyFill="1" applyBorder="1"/>
    <xf numFmtId="0" fontId="49" fillId="4" borderId="1" xfId="11" applyFont="1" applyFill="1" applyBorder="1" applyAlignment="1">
      <alignment horizontal="right"/>
    </xf>
    <xf numFmtId="0" fontId="49" fillId="4" borderId="0" xfId="11" applyFont="1" applyFill="1"/>
    <xf numFmtId="0" fontId="47" fillId="4" borderId="0" xfId="11" applyFont="1" applyFill="1"/>
    <xf numFmtId="0" fontId="35" fillId="2" borderId="0" xfId="2" applyFont="1" applyFill="1" applyAlignment="1">
      <alignment horizontal="left" vertical="top" justifyLastLine="1"/>
    </xf>
    <xf numFmtId="0" fontId="39" fillId="2" borderId="0" xfId="27" applyFill="1"/>
    <xf numFmtId="0" fontId="33" fillId="2" borderId="0" xfId="27" applyFont="1" applyFill="1"/>
    <xf numFmtId="0" fontId="35" fillId="5" borderId="0" xfId="2" applyFont="1" applyFill="1" applyAlignment="1">
      <alignment vertical="center"/>
    </xf>
    <xf numFmtId="0" fontId="35" fillId="2" borderId="0" xfId="2" applyFont="1" applyFill="1" applyAlignment="1">
      <alignment horizontal="left" indent="1"/>
    </xf>
    <xf numFmtId="0" fontId="36" fillId="2" borderId="0" xfId="14" applyFont="1" applyFill="1" applyAlignment="1">
      <alignment horizontal="left" vertical="center"/>
    </xf>
    <xf numFmtId="0" fontId="36" fillId="0" borderId="3" xfId="11" applyFont="1" applyBorder="1" applyAlignment="1">
      <alignment horizontal="center" vertical="center" wrapText="1"/>
    </xf>
    <xf numFmtId="0" fontId="35" fillId="0" borderId="0" xfId="11" applyFont="1" applyAlignment="1">
      <alignment vertical="center" readingOrder="1"/>
    </xf>
    <xf numFmtId="0" fontId="52" fillId="4" borderId="5" xfId="11" applyFont="1" applyFill="1" applyBorder="1"/>
    <xf numFmtId="0" fontId="52" fillId="4" borderId="1" xfId="11" applyFont="1" applyFill="1" applyBorder="1"/>
    <xf numFmtId="0" fontId="35" fillId="4" borderId="1" xfId="11" applyFont="1" applyFill="1" applyBorder="1" applyAlignment="1">
      <alignment horizontal="right"/>
    </xf>
    <xf numFmtId="0" fontId="54" fillId="6" borderId="0" xfId="0" applyFont="1" applyFill="1" applyAlignment="1">
      <alignment vertical="center"/>
    </xf>
    <xf numFmtId="0" fontId="36" fillId="6" borderId="2" xfId="0" applyFont="1" applyFill="1" applyBorder="1" applyAlignment="1">
      <alignment vertical="center" wrapText="1"/>
    </xf>
    <xf numFmtId="0" fontId="30" fillId="2" borderId="0" xfId="13" applyFont="1" applyFill="1"/>
    <xf numFmtId="0" fontId="30" fillId="2" borderId="3" xfId="13" applyFont="1" applyFill="1" applyBorder="1"/>
    <xf numFmtId="0" fontId="30" fillId="2" borderId="1" xfId="13" applyFont="1" applyFill="1" applyBorder="1"/>
    <xf numFmtId="0" fontId="36" fillId="2" borderId="4" xfId="11" applyFont="1" applyFill="1" applyBorder="1" applyAlignment="1" applyProtection="1">
      <alignment vertical="center" wrapText="1" readingOrder="1"/>
      <protection locked="0"/>
    </xf>
    <xf numFmtId="0" fontId="35" fillId="2" borderId="0" xfId="13" applyFont="1" applyFill="1"/>
    <xf numFmtId="0" fontId="35" fillId="2" borderId="1" xfId="13" applyFont="1" applyFill="1" applyBorder="1"/>
    <xf numFmtId="0" fontId="30" fillId="2" borderId="0" xfId="27" applyFont="1" applyFill="1"/>
    <xf numFmtId="0" fontId="30" fillId="2" borderId="3" xfId="27" applyFont="1" applyFill="1" applyBorder="1"/>
    <xf numFmtId="0" fontId="30" fillId="2" borderId="2" xfId="27" applyFont="1" applyFill="1" applyBorder="1"/>
    <xf numFmtId="0" fontId="35" fillId="2" borderId="2" xfId="27" applyFont="1" applyFill="1" applyBorder="1" applyAlignment="1">
      <alignment horizontal="center" vertical="center"/>
    </xf>
    <xf numFmtId="0" fontId="36" fillId="2" borderId="0" xfId="11" applyFont="1" applyFill="1" applyAlignment="1" applyProtection="1">
      <alignment vertical="center" wrapText="1" readingOrder="1"/>
      <protection locked="0"/>
    </xf>
    <xf numFmtId="0" fontId="35" fillId="2" borderId="0" xfId="27" applyFont="1" applyFill="1"/>
    <xf numFmtId="0" fontId="35" fillId="2" borderId="1" xfId="27" applyFont="1" applyFill="1" applyBorder="1"/>
    <xf numFmtId="0" fontId="30" fillId="2" borderId="3" xfId="0" applyFont="1" applyFill="1" applyBorder="1"/>
    <xf numFmtId="0" fontId="30" fillId="2" borderId="1" xfId="0" applyFont="1" applyFill="1" applyBorder="1"/>
    <xf numFmtId="0" fontId="58" fillId="2" borderId="0" xfId="27" applyFont="1" applyFill="1"/>
    <xf numFmtId="0" fontId="55" fillId="2" borderId="0" xfId="2" applyFont="1" applyFill="1"/>
    <xf numFmtId="0" fontId="55" fillId="2" borderId="0" xfId="2" applyFont="1" applyFill="1" applyAlignment="1">
      <alignment horizontal="left" vertical="center"/>
    </xf>
    <xf numFmtId="0" fontId="55" fillId="0" borderId="0" xfId="0" applyFont="1"/>
    <xf numFmtId="0" fontId="58" fillId="2" borderId="0" xfId="13" applyFont="1" applyFill="1"/>
    <xf numFmtId="0" fontId="59" fillId="2" borderId="0" xfId="13" applyFont="1" applyFill="1"/>
    <xf numFmtId="0" fontId="55" fillId="2" borderId="0" xfId="0" applyFont="1" applyFill="1"/>
    <xf numFmtId="0" fontId="55" fillId="2" borderId="0" xfId="13" applyFont="1" applyFill="1"/>
    <xf numFmtId="0" fontId="55" fillId="2" borderId="0" xfId="27" applyFont="1" applyFill="1"/>
    <xf numFmtId="0" fontId="61" fillId="2" borderId="0" xfId="6" applyNumberFormat="1" applyFont="1" applyFill="1" applyBorder="1" applyAlignment="1" applyProtection="1">
      <alignment horizontal="right" vertical="center"/>
    </xf>
    <xf numFmtId="0" fontId="63" fillId="0" borderId="0" xfId="11" applyFont="1"/>
    <xf numFmtId="0" fontId="57" fillId="0" borderId="0" xfId="31" applyFont="1"/>
    <xf numFmtId="0" fontId="65" fillId="0" borderId="0" xfId="31" applyFont="1"/>
    <xf numFmtId="0" fontId="67" fillId="0" borderId="0" xfId="31" applyFont="1" applyFill="1" applyAlignment="1">
      <alignment horizontal="center" vertical="center"/>
    </xf>
    <xf numFmtId="0" fontId="67" fillId="0" borderId="0" xfId="31" applyFont="1" applyFill="1" applyAlignment="1">
      <alignment vertical="center"/>
    </xf>
    <xf numFmtId="0" fontId="57" fillId="0" borderId="0" xfId="31" applyFont="1" applyFill="1"/>
    <xf numFmtId="17" fontId="31" fillId="0" borderId="0" xfId="31" quotePrefix="1" applyNumberFormat="1" applyFont="1"/>
    <xf numFmtId="0" fontId="39" fillId="0" borderId="0" xfId="31" applyFont="1"/>
    <xf numFmtId="0" fontId="67" fillId="8" borderId="6" xfId="31" applyFont="1" applyFill="1" applyBorder="1" applyAlignment="1">
      <alignment horizontal="center" vertical="center"/>
    </xf>
    <xf numFmtId="0" fontId="67" fillId="8" borderId="7" xfId="31" applyFont="1" applyFill="1" applyBorder="1" applyAlignment="1">
      <alignment horizontal="center" vertical="center"/>
    </xf>
    <xf numFmtId="0" fontId="71" fillId="0" borderId="10" xfId="30" applyFont="1" applyBorder="1" applyAlignment="1" applyProtection="1">
      <alignment horizontal="center" vertical="center"/>
    </xf>
    <xf numFmtId="0" fontId="71" fillId="0" borderId="15" xfId="30" applyFont="1" applyBorder="1" applyAlignment="1" applyProtection="1">
      <alignment horizontal="center" vertical="center"/>
    </xf>
    <xf numFmtId="0" fontId="71" fillId="0" borderId="19" xfId="30" applyFont="1" applyBorder="1" applyAlignment="1" applyProtection="1">
      <alignment horizontal="center" vertical="center"/>
    </xf>
    <xf numFmtId="0" fontId="55" fillId="2" borderId="0" xfId="0" applyFont="1" applyFill="1" applyAlignment="1">
      <alignment horizontal="right"/>
    </xf>
    <xf numFmtId="0" fontId="72" fillId="2" borderId="0" xfId="32" applyFont="1" applyFill="1" applyAlignment="1" applyProtection="1">
      <alignment horizontal="right"/>
    </xf>
    <xf numFmtId="0" fontId="36" fillId="6" borderId="1" xfId="0" applyFont="1" applyFill="1" applyBorder="1" applyAlignment="1">
      <alignment horizontal="right" vertical="center"/>
    </xf>
    <xf numFmtId="0" fontId="30" fillId="2" borderId="1" xfId="27" applyFont="1" applyFill="1" applyBorder="1" applyAlignment="1">
      <alignment horizontal="right"/>
    </xf>
    <xf numFmtId="0" fontId="35" fillId="2" borderId="1" xfId="27" applyFont="1" applyFill="1" applyBorder="1" applyAlignment="1">
      <alignment horizontal="right" vertical="center"/>
    </xf>
    <xf numFmtId="0" fontId="36" fillId="2" borderId="1" xfId="27" applyFont="1" applyFill="1" applyBorder="1" applyAlignment="1">
      <alignment horizontal="right" vertical="center"/>
    </xf>
    <xf numFmtId="0" fontId="36" fillId="2" borderId="0" xfId="13" applyFont="1" applyFill="1"/>
    <xf numFmtId="0" fontId="34" fillId="2" borderId="0" xfId="27" applyFont="1" applyFill="1"/>
    <xf numFmtId="0" fontId="36" fillId="2" borderId="0" xfId="0" applyFont="1" applyFill="1"/>
    <xf numFmtId="0" fontId="36" fillId="0" borderId="0" xfId="0" applyFont="1"/>
    <xf numFmtId="0" fontId="35" fillId="2" borderId="0" xfId="0" applyFont="1" applyFill="1"/>
    <xf numFmtId="0" fontId="35" fillId="0" borderId="0" xfId="0" applyFont="1"/>
    <xf numFmtId="167" fontId="36" fillId="2" borderId="0" xfId="2" applyNumberFormat="1" applyFont="1" applyFill="1"/>
    <xf numFmtId="167" fontId="36" fillId="0" borderId="0" xfId="2" applyNumberFormat="1" applyFont="1" applyAlignment="1">
      <alignment horizontal="right" wrapText="1"/>
    </xf>
    <xf numFmtId="167" fontId="34" fillId="2" borderId="0" xfId="27" applyNumberFormat="1" applyFont="1" applyFill="1"/>
    <xf numFmtId="167" fontId="36" fillId="0" borderId="0" xfId="2" applyNumberFormat="1" applyFont="1" applyAlignment="1">
      <alignment horizontal="right" vertical="center"/>
    </xf>
    <xf numFmtId="167" fontId="33" fillId="2" borderId="0" xfId="27" applyNumberFormat="1" applyFont="1" applyFill="1"/>
    <xf numFmtId="167" fontId="35" fillId="0" borderId="0" xfId="2" applyNumberFormat="1" applyFont="1" applyAlignment="1">
      <alignment horizontal="right" vertical="center"/>
    </xf>
    <xf numFmtId="167" fontId="36" fillId="2" borderId="0" xfId="2" applyNumberFormat="1" applyFont="1" applyFill="1" applyAlignment="1">
      <alignment horizontal="right" vertical="center"/>
    </xf>
    <xf numFmtId="167" fontId="36" fillId="2" borderId="0" xfId="13" applyNumberFormat="1" applyFont="1" applyFill="1"/>
    <xf numFmtId="167" fontId="35" fillId="2" borderId="0" xfId="2" applyNumberFormat="1" applyFont="1" applyFill="1" applyAlignment="1">
      <alignment horizontal="right" vertical="center"/>
    </xf>
    <xf numFmtId="167" fontId="35" fillId="2" borderId="0" xfId="13" applyNumberFormat="1" applyFont="1" applyFill="1"/>
    <xf numFmtId="167" fontId="36" fillId="2" borderId="4" xfId="11" applyNumberFormat="1" applyFont="1" applyFill="1" applyBorder="1" applyAlignment="1" applyProtection="1">
      <alignment vertical="center" wrapText="1" readingOrder="1"/>
      <protection locked="0"/>
    </xf>
    <xf numFmtId="167" fontId="34" fillId="2" borderId="0" xfId="13" applyNumberFormat="1" applyFont="1" applyFill="1"/>
    <xf numFmtId="167" fontId="33" fillId="2" borderId="0" xfId="13" applyNumberFormat="1" applyFont="1" applyFill="1"/>
    <xf numFmtId="167" fontId="36" fillId="6" borderId="0" xfId="0" applyNumberFormat="1" applyFont="1" applyFill="1"/>
    <xf numFmtId="167" fontId="35" fillId="6" borderId="0" xfId="0" applyNumberFormat="1" applyFont="1" applyFill="1" applyAlignment="1">
      <alignment horizontal="left" indent="1"/>
    </xf>
    <xf numFmtId="167" fontId="46" fillId="6" borderId="0" xfId="0" applyNumberFormat="1" applyFont="1" applyFill="1"/>
    <xf numFmtId="167" fontId="36" fillId="0" borderId="4" xfId="11" applyNumberFormat="1" applyFont="1" applyBorder="1" applyAlignment="1" applyProtection="1">
      <alignment vertical="center" wrapText="1" readingOrder="1"/>
      <protection locked="0"/>
    </xf>
    <xf numFmtId="167" fontId="43" fillId="0" borderId="0" xfId="11" applyNumberFormat="1" applyFont="1" applyAlignment="1">
      <alignment vertical="center" readingOrder="1"/>
    </xf>
    <xf numFmtId="167" fontId="49" fillId="0" borderId="0" xfId="11" applyNumberFormat="1" applyFont="1" applyAlignment="1">
      <alignment vertical="center" readingOrder="1"/>
    </xf>
    <xf numFmtId="167" fontId="36" fillId="0" borderId="0" xfId="17" applyNumberFormat="1" applyFont="1" applyAlignment="1">
      <alignment horizontal="right" vertical="center" readingOrder="1"/>
    </xf>
    <xf numFmtId="167" fontId="36" fillId="0" borderId="0" xfId="17" applyNumberFormat="1" applyFont="1" applyFill="1" applyAlignment="1">
      <alignment horizontal="right" vertical="center" readingOrder="1"/>
    </xf>
    <xf numFmtId="167" fontId="43" fillId="0" borderId="4" xfId="11" applyNumberFormat="1" applyFont="1" applyBorder="1" applyAlignment="1" applyProtection="1">
      <alignment vertical="center" wrapText="1" readingOrder="1"/>
      <protection locked="0"/>
    </xf>
    <xf numFmtId="167" fontId="43" fillId="0" borderId="0" xfId="11" applyNumberFormat="1" applyFont="1"/>
    <xf numFmtId="167" fontId="49" fillId="0" borderId="0" xfId="11" applyNumberFormat="1" applyFont="1"/>
    <xf numFmtId="168" fontId="35" fillId="4" borderId="1" xfId="11" applyNumberFormat="1" applyFont="1" applyFill="1" applyBorder="1" applyAlignment="1">
      <alignment horizontal="right"/>
    </xf>
    <xf numFmtId="168" fontId="36" fillId="0" borderId="0" xfId="17" applyNumberFormat="1" applyFont="1" applyFill="1" applyAlignment="1">
      <alignment horizontal="right" vertical="center" readingOrder="1"/>
    </xf>
    <xf numFmtId="168" fontId="36" fillId="0" borderId="0" xfId="17" applyNumberFormat="1" applyFont="1" applyBorder="1" applyAlignment="1">
      <alignment horizontal="right" vertical="center" readingOrder="1"/>
    </xf>
    <xf numFmtId="168" fontId="36" fillId="0" borderId="0" xfId="2" applyNumberFormat="1" applyFont="1" applyAlignment="1">
      <alignment horizontal="right" wrapText="1"/>
    </xf>
    <xf numFmtId="168" fontId="36" fillId="0" borderId="0" xfId="2" applyNumberFormat="1" applyFont="1" applyAlignment="1">
      <alignment horizontal="right" vertical="center"/>
    </xf>
    <xf numFmtId="168" fontId="35" fillId="0" borderId="0" xfId="2" applyNumberFormat="1" applyFont="1" applyAlignment="1">
      <alignment horizontal="right" vertical="center"/>
    </xf>
    <xf numFmtId="0" fontId="50" fillId="6" borderId="0" xfId="0" applyFont="1" applyFill="1" applyAlignment="1">
      <alignment horizontal="left" vertical="top"/>
    </xf>
    <xf numFmtId="167" fontId="35" fillId="0" borderId="0" xfId="17" applyNumberFormat="1" applyFont="1" applyAlignment="1">
      <alignment horizontal="right" vertical="center" readingOrder="1"/>
    </xf>
    <xf numFmtId="167" fontId="35" fillId="0" borderId="0" xfId="17" applyNumberFormat="1" applyFont="1" applyFill="1" applyAlignment="1">
      <alignment horizontal="right" vertical="center" readingOrder="1"/>
    </xf>
    <xf numFmtId="168" fontId="35" fillId="0" borderId="0" xfId="17" applyNumberFormat="1" applyFont="1" applyFill="1" applyAlignment="1">
      <alignment horizontal="right" vertical="center" readingOrder="1"/>
    </xf>
    <xf numFmtId="168" fontId="35" fillId="0" borderId="0" xfId="17" applyNumberFormat="1" applyFont="1" applyBorder="1" applyAlignment="1">
      <alignment horizontal="right" vertical="center" readingOrder="1"/>
    </xf>
    <xf numFmtId="167" fontId="49" fillId="0" borderId="0" xfId="17" applyNumberFormat="1" applyFont="1" applyAlignment="1">
      <alignment horizontal="right" vertical="center" readingOrder="1"/>
    </xf>
    <xf numFmtId="167" fontId="49" fillId="0" borderId="0" xfId="17" applyNumberFormat="1" applyFont="1" applyFill="1" applyAlignment="1">
      <alignment horizontal="right" vertical="center" readingOrder="1"/>
    </xf>
    <xf numFmtId="168" fontId="49" fillId="0" borderId="0" xfId="17" applyNumberFormat="1" applyFont="1" applyFill="1" applyAlignment="1">
      <alignment horizontal="right" vertical="center" readingOrder="1"/>
    </xf>
    <xf numFmtId="168" fontId="49" fillId="0" borderId="0" xfId="17" applyNumberFormat="1" applyFont="1" applyBorder="1" applyAlignment="1">
      <alignment horizontal="right" vertical="center" readingOrder="1"/>
    </xf>
    <xf numFmtId="167" fontId="35" fillId="0" borderId="0" xfId="17" applyNumberFormat="1" applyFont="1" applyBorder="1" applyAlignment="1">
      <alignment horizontal="right" vertical="center" readingOrder="1"/>
    </xf>
    <xf numFmtId="167" fontId="36" fillId="0" borderId="0" xfId="11" applyNumberFormat="1" applyFont="1" applyAlignment="1">
      <alignment horizontal="right" vertical="center" readingOrder="1"/>
    </xf>
    <xf numFmtId="168" fontId="36" fillId="0" borderId="0" xfId="11" applyNumberFormat="1" applyFont="1" applyAlignment="1">
      <alignment horizontal="right" vertical="center" readingOrder="1"/>
    </xf>
    <xf numFmtId="167" fontId="35" fillId="0" borderId="0" xfId="11" applyNumberFormat="1" applyFont="1" applyAlignment="1">
      <alignment horizontal="right" vertical="center" readingOrder="1"/>
    </xf>
    <xf numFmtId="168" fontId="35" fillId="0" borderId="0" xfId="11" applyNumberFormat="1" applyFont="1" applyAlignment="1">
      <alignment horizontal="right" vertical="center" readingOrder="1"/>
    </xf>
    <xf numFmtId="0" fontId="35" fillId="2" borderId="0" xfId="2" applyFont="1" applyFill="1" applyAlignment="1">
      <alignment horizontal="right" vertical="center"/>
    </xf>
    <xf numFmtId="0" fontId="30" fillId="2" borderId="0" xfId="13" applyFont="1" applyFill="1" applyAlignment="1">
      <alignment horizontal="right"/>
    </xf>
    <xf numFmtId="168" fontId="36" fillId="2" borderId="0" xfId="13" applyNumberFormat="1" applyFont="1" applyFill="1" applyAlignment="1">
      <alignment horizontal="right"/>
    </xf>
    <xf numFmtId="167" fontId="36" fillId="2" borderId="0" xfId="13" applyNumberFormat="1" applyFont="1" applyFill="1" applyAlignment="1">
      <alignment horizontal="right"/>
    </xf>
    <xf numFmtId="168" fontId="35" fillId="2" borderId="0" xfId="13" applyNumberFormat="1" applyFont="1" applyFill="1" applyAlignment="1">
      <alignment horizontal="right"/>
    </xf>
    <xf numFmtId="167" fontId="35" fillId="2" borderId="0" xfId="13" applyNumberFormat="1" applyFont="1" applyFill="1" applyAlignment="1">
      <alignment horizontal="right"/>
    </xf>
    <xf numFmtId="0" fontId="30" fillId="2" borderId="1" xfId="13" applyFont="1" applyFill="1" applyBorder="1" applyAlignment="1">
      <alignment horizontal="right"/>
    </xf>
    <xf numFmtId="0" fontId="35" fillId="2" borderId="0" xfId="2" applyFont="1" applyFill="1" applyAlignment="1">
      <alignment horizontal="right"/>
    </xf>
    <xf numFmtId="0" fontId="30" fillId="2" borderId="0" xfId="27" applyFont="1" applyFill="1" applyAlignment="1">
      <alignment horizontal="right"/>
    </xf>
    <xf numFmtId="167" fontId="36" fillId="2" borderId="0" xfId="2" applyNumberFormat="1" applyFont="1" applyFill="1" applyAlignment="1">
      <alignment horizontal="right"/>
    </xf>
    <xf numFmtId="167" fontId="36" fillId="0" borderId="0" xfId="27" applyNumberFormat="1" applyFont="1" applyAlignment="1">
      <alignment horizontal="right"/>
    </xf>
    <xf numFmtId="167" fontId="36" fillId="2" borderId="0" xfId="27" applyNumberFormat="1" applyFont="1" applyFill="1" applyAlignment="1">
      <alignment horizontal="right"/>
    </xf>
    <xf numFmtId="167" fontId="35" fillId="0" borderId="0" xfId="27" applyNumberFormat="1" applyFont="1" applyAlignment="1">
      <alignment horizontal="right"/>
    </xf>
    <xf numFmtId="167" fontId="35" fillId="2" borderId="0" xfId="27" applyNumberFormat="1" applyFont="1" applyFill="1" applyAlignment="1">
      <alignment horizontal="right"/>
    </xf>
    <xf numFmtId="167" fontId="35" fillId="0" borderId="0" xfId="14" applyNumberFormat="1" applyFont="1" applyAlignment="1">
      <alignment horizontal="right" vertical="center"/>
    </xf>
    <xf numFmtId="168" fontId="35" fillId="0" borderId="0" xfId="14" applyNumberFormat="1" applyFont="1" applyAlignment="1">
      <alignment horizontal="right" vertical="center"/>
    </xf>
    <xf numFmtId="0" fontId="35" fillId="2" borderId="1" xfId="27" applyFont="1" applyFill="1" applyBorder="1" applyAlignment="1">
      <alignment horizontal="right"/>
    </xf>
    <xf numFmtId="0" fontId="30" fillId="2" borderId="0" xfId="0" applyFont="1" applyFill="1" applyAlignment="1">
      <alignment horizontal="right"/>
    </xf>
    <xf numFmtId="0" fontId="35" fillId="2" borderId="1" xfId="13" applyFont="1" applyFill="1" applyBorder="1" applyAlignment="1">
      <alignment horizontal="right"/>
    </xf>
    <xf numFmtId="167" fontId="43" fillId="0" borderId="0" xfId="11" applyNumberFormat="1" applyFont="1" applyAlignment="1">
      <alignment horizontal="right" vertical="center"/>
    </xf>
    <xf numFmtId="167" fontId="49" fillId="0" borderId="0" xfId="11" applyNumberFormat="1" applyFont="1" applyAlignment="1">
      <alignment horizontal="right" vertical="center"/>
    </xf>
    <xf numFmtId="167" fontId="49" fillId="0" borderId="0" xfId="17" applyNumberFormat="1" applyFont="1" applyAlignment="1">
      <alignment horizontal="right" vertical="center"/>
    </xf>
    <xf numFmtId="167" fontId="49" fillId="0" borderId="0" xfId="17" applyNumberFormat="1" applyFont="1" applyFill="1" applyAlignment="1">
      <alignment horizontal="right" vertical="center"/>
    </xf>
    <xf numFmtId="167" fontId="49" fillId="0" borderId="0" xfId="17" applyNumberFormat="1" applyFont="1" applyBorder="1" applyAlignment="1">
      <alignment horizontal="right" vertical="center"/>
    </xf>
    <xf numFmtId="167" fontId="36" fillId="0" borderId="0" xfId="11" applyNumberFormat="1" applyFont="1" applyAlignment="1">
      <alignment horizontal="right" vertical="center"/>
    </xf>
    <xf numFmtId="168" fontId="36" fillId="0" borderId="0" xfId="11" applyNumberFormat="1" applyFont="1" applyAlignment="1">
      <alignment horizontal="right" vertical="center"/>
    </xf>
    <xf numFmtId="0" fontId="49" fillId="4" borderId="1" xfId="11" applyFont="1" applyFill="1" applyBorder="1" applyAlignment="1">
      <alignment horizontal="right" vertical="center"/>
    </xf>
    <xf numFmtId="167" fontId="35" fillId="0" borderId="0" xfId="17" applyNumberFormat="1" applyFont="1" applyAlignment="1">
      <alignment horizontal="right" vertical="center"/>
    </xf>
    <xf numFmtId="167" fontId="35" fillId="0" borderId="0" xfId="17" applyNumberFormat="1" applyFont="1" applyFill="1" applyAlignment="1">
      <alignment horizontal="right" vertical="center"/>
    </xf>
    <xf numFmtId="168" fontId="35" fillId="0" borderId="0" xfId="17" applyNumberFormat="1" applyFont="1" applyFill="1" applyAlignment="1">
      <alignment horizontal="right" vertical="center"/>
    </xf>
    <xf numFmtId="168" fontId="35" fillId="0" borderId="0" xfId="17" applyNumberFormat="1" applyFont="1" applyBorder="1" applyAlignment="1">
      <alignment horizontal="right" vertical="center"/>
    </xf>
    <xf numFmtId="167" fontId="35" fillId="9" borderId="0" xfId="13" applyNumberFormat="1" applyFont="1" applyFill="1" applyAlignment="1">
      <alignment horizontal="right"/>
    </xf>
    <xf numFmtId="168" fontId="35" fillId="9" borderId="0" xfId="13" applyNumberFormat="1" applyFont="1" applyFill="1" applyAlignment="1">
      <alignment horizontal="right"/>
    </xf>
    <xf numFmtId="167" fontId="35" fillId="9" borderId="0" xfId="27" applyNumberFormat="1" applyFont="1" applyFill="1" applyAlignment="1">
      <alignment horizontal="right"/>
    </xf>
    <xf numFmtId="168" fontId="35" fillId="9" borderId="0" xfId="2" applyNumberFormat="1" applyFont="1" applyFill="1" applyAlignment="1">
      <alignment horizontal="right" vertical="center"/>
    </xf>
    <xf numFmtId="166" fontId="35" fillId="2" borderId="0" xfId="2" applyNumberFormat="1" applyFont="1" applyFill="1" applyAlignment="1">
      <alignment horizontal="right"/>
    </xf>
    <xf numFmtId="0" fontId="35" fillId="6" borderId="0" xfId="0" applyFont="1" applyFill="1" applyAlignment="1">
      <alignment horizontal="left" vertical="top"/>
    </xf>
    <xf numFmtId="0" fontId="52" fillId="0" borderId="0" xfId="11" applyFont="1"/>
    <xf numFmtId="0" fontId="36" fillId="0" borderId="3" xfId="11" applyFont="1" applyBorder="1" applyAlignment="1">
      <alignment horizontal="left" vertical="center" wrapText="1"/>
    </xf>
    <xf numFmtId="0" fontId="36" fillId="0" borderId="1" xfId="11" applyFont="1" applyBorder="1" applyAlignment="1">
      <alignment horizontal="left" vertical="center" wrapText="1"/>
    </xf>
    <xf numFmtId="0" fontId="36" fillId="0" borderId="3" xfId="11" applyFont="1" applyBorder="1" applyAlignment="1">
      <alignment horizontal="right" vertical="center" wrapText="1"/>
    </xf>
    <xf numFmtId="0" fontId="36" fillId="0" borderId="1" xfId="11" applyFont="1" applyBorder="1" applyAlignment="1">
      <alignment horizontal="right" vertical="center" wrapText="1"/>
    </xf>
    <xf numFmtId="0" fontId="41" fillId="0" borderId="0" xfId="11" applyFont="1" applyAlignment="1">
      <alignment vertical="top"/>
    </xf>
    <xf numFmtId="0" fontId="41" fillId="0" borderId="0" xfId="11" applyFont="1" applyAlignment="1">
      <alignment vertical="top" wrapText="1"/>
    </xf>
    <xf numFmtId="0" fontId="35" fillId="0" borderId="0" xfId="11" applyFont="1" applyAlignment="1">
      <alignment horizontal="right" vertical="top"/>
    </xf>
    <xf numFmtId="0" fontId="36" fillId="0" borderId="0" xfId="11" applyFont="1" applyAlignment="1">
      <alignment horizontal="left" vertical="center" wrapText="1"/>
    </xf>
    <xf numFmtId="0" fontId="36" fillId="0" borderId="0" xfId="11" applyFont="1" applyAlignment="1">
      <alignment horizontal="right" vertical="center" wrapText="1"/>
    </xf>
    <xf numFmtId="0" fontId="35" fillId="4" borderId="0" xfId="11" applyFont="1" applyFill="1"/>
    <xf numFmtId="0" fontId="35" fillId="4" borderId="0" xfId="11" applyFont="1" applyFill="1" applyAlignment="1">
      <alignment horizontal="right" vertical="center"/>
    </xf>
    <xf numFmtId="167" fontId="36" fillId="0" borderId="0" xfId="11" applyNumberFormat="1" applyFont="1" applyAlignment="1" applyProtection="1">
      <alignment vertical="center" wrapText="1" readingOrder="1"/>
      <protection locked="0"/>
    </xf>
    <xf numFmtId="167" fontId="35" fillId="0" borderId="0" xfId="11" applyNumberFormat="1" applyFont="1" applyAlignment="1" applyProtection="1">
      <alignment vertical="center" wrapText="1" readingOrder="1"/>
      <protection locked="0"/>
    </xf>
    <xf numFmtId="167" fontId="49" fillId="0" borderId="0" xfId="11" applyNumberFormat="1" applyFont="1" applyAlignment="1" applyProtection="1">
      <alignment vertical="center" wrapText="1" readingOrder="1"/>
      <protection locked="0"/>
    </xf>
    <xf numFmtId="0" fontId="49" fillId="4" borderId="0" xfId="11" applyFont="1" applyFill="1" applyAlignment="1">
      <alignment horizontal="right"/>
    </xf>
    <xf numFmtId="0" fontId="36" fillId="0" borderId="3" xfId="11" applyFont="1" applyBorder="1" applyAlignment="1">
      <alignment horizontal="left" vertical="center" wrapText="1"/>
    </xf>
    <xf numFmtId="0" fontId="36" fillId="0" borderId="1" xfId="11" applyFont="1" applyBorder="1" applyAlignment="1">
      <alignment horizontal="left" vertical="center" wrapText="1"/>
    </xf>
    <xf numFmtId="0" fontId="36" fillId="0" borderId="3" xfId="11" applyFont="1" applyBorder="1" applyAlignment="1">
      <alignment horizontal="right" vertical="center" wrapText="1"/>
    </xf>
    <xf numFmtId="0" fontId="36" fillId="0" borderId="1" xfId="11" applyFont="1" applyBorder="1" applyAlignment="1">
      <alignment horizontal="right" vertical="center" wrapText="1"/>
    </xf>
    <xf numFmtId="0" fontId="36" fillId="0" borderId="0" xfId="11" applyFont="1" applyAlignment="1">
      <alignment horizontal="left" vertical="center" wrapText="1"/>
    </xf>
    <xf numFmtId="0" fontId="36" fillId="0" borderId="0" xfId="11" applyFont="1" applyAlignment="1">
      <alignment horizontal="right" vertical="center" wrapText="1"/>
    </xf>
    <xf numFmtId="0" fontId="32" fillId="0" borderId="0" xfId="54" applyFont="1"/>
    <xf numFmtId="0" fontId="38" fillId="0" borderId="0" xfId="11" applyFont="1" applyAlignment="1">
      <alignment vertical="top" wrapText="1"/>
    </xf>
    <xf numFmtId="0" fontId="35" fillId="4" borderId="0" xfId="11" applyFont="1" applyFill="1" applyAlignment="1">
      <alignment horizontal="right"/>
    </xf>
    <xf numFmtId="167" fontId="35" fillId="2" borderId="0" xfId="11" applyNumberFormat="1" applyFont="1" applyFill="1" applyAlignment="1">
      <alignment horizontal="left" indent="1" readingOrder="1"/>
    </xf>
    <xf numFmtId="167" fontId="35" fillId="2" borderId="0" xfId="0" applyNumberFormat="1" applyFont="1" applyFill="1"/>
    <xf numFmtId="167" fontId="35" fillId="0" borderId="0" xfId="11" applyNumberFormat="1" applyFont="1" applyAlignment="1">
      <alignment horizontal="left" indent="1" readingOrder="1"/>
    </xf>
    <xf numFmtId="0" fontId="43" fillId="0" borderId="3" xfId="11" applyFont="1" applyBorder="1" applyAlignment="1">
      <alignment horizontal="left" vertical="center" wrapText="1"/>
    </xf>
    <xf numFmtId="0" fontId="43" fillId="0" borderId="1" xfId="11" applyFont="1" applyBorder="1" applyAlignment="1">
      <alignment horizontal="left" vertical="center" wrapText="1"/>
    </xf>
    <xf numFmtId="0" fontId="43" fillId="0" borderId="3" xfId="11" applyFont="1" applyBorder="1" applyAlignment="1">
      <alignment horizontal="right" vertical="center" wrapText="1"/>
    </xf>
    <xf numFmtId="0" fontId="43" fillId="0" borderId="1" xfId="11" applyFont="1" applyBorder="1" applyAlignment="1">
      <alignment horizontal="right" vertical="center" wrapText="1"/>
    </xf>
    <xf numFmtId="0" fontId="34" fillId="0" borderId="3" xfId="11" applyFont="1" applyBorder="1" applyAlignment="1">
      <alignment horizontal="right" vertical="center" wrapText="1"/>
    </xf>
    <xf numFmtId="0" fontId="34" fillId="0" borderId="1" xfId="11" applyFont="1" applyBorder="1" applyAlignment="1">
      <alignment horizontal="right" vertical="center" wrapText="1"/>
    </xf>
    <xf numFmtId="0" fontId="32" fillId="0" borderId="0" xfId="55" applyFont="1"/>
    <xf numFmtId="0" fontId="36" fillId="0" borderId="3" xfId="11" applyFont="1" applyBorder="1" applyAlignment="1">
      <alignment horizontal="left" vertical="center" wrapText="1"/>
    </xf>
    <xf numFmtId="0" fontId="36" fillId="0" borderId="1" xfId="11" applyFont="1" applyBorder="1" applyAlignment="1">
      <alignment horizontal="left" vertical="center" wrapText="1"/>
    </xf>
    <xf numFmtId="0" fontId="36" fillId="0" borderId="3" xfId="11" applyFont="1" applyBorder="1" applyAlignment="1">
      <alignment horizontal="right" vertical="center" wrapText="1"/>
    </xf>
    <xf numFmtId="0" fontId="36" fillId="0" borderId="1" xfId="11" applyFont="1" applyBorder="1" applyAlignment="1">
      <alignment horizontal="right" vertical="center" wrapText="1"/>
    </xf>
    <xf numFmtId="0" fontId="38" fillId="0" borderId="0" xfId="11" applyFont="1" applyAlignment="1">
      <alignment horizontal="left" vertical="top" wrapText="1"/>
    </xf>
    <xf numFmtId="0" fontId="32" fillId="0" borderId="0" xfId="56" applyFont="1"/>
    <xf numFmtId="0" fontId="64" fillId="0" borderId="0" xfId="11" applyFont="1" applyAlignment="1">
      <alignment horizontal="left" vertical="top" wrapText="1"/>
    </xf>
    <xf numFmtId="0" fontId="48" fillId="0" borderId="0" xfId="11" applyFont="1" applyAlignment="1">
      <alignment vertical="top"/>
    </xf>
    <xf numFmtId="0" fontId="48" fillId="0" borderId="0" xfId="11" applyFont="1" applyAlignment="1">
      <alignment vertical="top" wrapText="1"/>
    </xf>
    <xf numFmtId="167" fontId="43" fillId="0" borderId="0" xfId="11" applyNumberFormat="1" applyFont="1" applyAlignment="1" applyProtection="1">
      <alignment vertical="center" wrapText="1" readingOrder="1"/>
      <protection locked="0"/>
    </xf>
    <xf numFmtId="0" fontId="46" fillId="6" borderId="3" xfId="0" applyFont="1" applyFill="1" applyBorder="1" applyAlignment="1">
      <alignment horizontal="left" vertical="center" wrapText="1"/>
    </xf>
    <xf numFmtId="0" fontId="46" fillId="6" borderId="1" xfId="0" applyFont="1" applyFill="1" applyBorder="1" applyAlignment="1">
      <alignment horizontal="left" vertical="center" wrapText="1"/>
    </xf>
    <xf numFmtId="0" fontId="32" fillId="0" borderId="0" xfId="57" applyFont="1"/>
    <xf numFmtId="0" fontId="32" fillId="0" borderId="0" xfId="58" applyFont="1"/>
    <xf numFmtId="0" fontId="58" fillId="0" borderId="0" xfId="58" applyFont="1"/>
    <xf numFmtId="0" fontId="58" fillId="0" borderId="0" xfId="58" applyFont="1" applyAlignment="1">
      <alignment horizontal="left"/>
    </xf>
    <xf numFmtId="0" fontId="62" fillId="2" borderId="0" xfId="59" applyFont="1" applyFill="1" applyAlignment="1">
      <alignment vertical="top"/>
    </xf>
    <xf numFmtId="0" fontId="16" fillId="0" borderId="1" xfId="58" applyBorder="1"/>
    <xf numFmtId="0" fontId="16" fillId="0" borderId="0" xfId="58" applyAlignment="1">
      <alignment horizontal="left"/>
    </xf>
    <xf numFmtId="0" fontId="16" fillId="0" borderId="0" xfId="58"/>
    <xf numFmtId="0" fontId="46" fillId="6" borderId="0" xfId="0" applyFont="1" applyFill="1" applyAlignment="1">
      <alignment horizontal="left" vertical="center" wrapText="1"/>
    </xf>
    <xf numFmtId="0" fontId="34" fillId="0" borderId="0" xfId="58" applyFont="1" applyAlignment="1">
      <alignment horizontal="left" vertical="center" wrapText="1"/>
    </xf>
    <xf numFmtId="167" fontId="34" fillId="0" borderId="0" xfId="58" applyNumberFormat="1" applyFont="1" applyAlignment="1">
      <alignment horizontal="right" vertical="center"/>
    </xf>
    <xf numFmtId="167" fontId="34" fillId="0" borderId="0" xfId="58" applyNumberFormat="1" applyFont="1"/>
    <xf numFmtId="167" fontId="33" fillId="0" borderId="0" xfId="58" applyNumberFormat="1" applyFont="1" applyAlignment="1">
      <alignment horizontal="right" vertical="center"/>
    </xf>
    <xf numFmtId="167" fontId="35" fillId="0" borderId="0" xfId="58" applyNumberFormat="1" applyFont="1" applyAlignment="1">
      <alignment horizontal="right" vertical="center"/>
    </xf>
    <xf numFmtId="167" fontId="33" fillId="0" borderId="0" xfId="58" applyNumberFormat="1" applyFont="1"/>
    <xf numFmtId="0" fontId="16" fillId="0" borderId="1" xfId="58" applyBorder="1" applyAlignment="1">
      <alignment horizontal="left"/>
    </xf>
    <xf numFmtId="166" fontId="35" fillId="0" borderId="1" xfId="58" applyNumberFormat="1" applyFont="1" applyBorder="1"/>
    <xf numFmtId="0" fontId="35" fillId="6" borderId="0" xfId="0" applyFont="1" applyFill="1" applyAlignment="1">
      <alignment horizontal="left" indent="1"/>
    </xf>
    <xf numFmtId="166" fontId="35" fillId="0" borderId="0" xfId="58" applyNumberFormat="1" applyFont="1"/>
    <xf numFmtId="0" fontId="32" fillId="0" borderId="0" xfId="61" applyFont="1"/>
    <xf numFmtId="0" fontId="58" fillId="0" borderId="0" xfId="61" applyFont="1"/>
    <xf numFmtId="0" fontId="58" fillId="0" borderId="0" xfId="61" applyFont="1" applyAlignment="1">
      <alignment horizontal="center"/>
    </xf>
    <xf numFmtId="0" fontId="58" fillId="0" borderId="0" xfId="61" applyFont="1" applyAlignment="1">
      <alignment horizontal="left"/>
    </xf>
    <xf numFmtId="0" fontId="55" fillId="2" borderId="0" xfId="61" applyFont="1" applyFill="1"/>
    <xf numFmtId="0" fontId="53" fillId="0" borderId="1" xfId="61" applyFont="1" applyBorder="1"/>
    <xf numFmtId="0" fontId="53" fillId="0" borderId="0" xfId="61" applyFont="1" applyAlignment="1">
      <alignment horizontal="left"/>
    </xf>
    <xf numFmtId="0" fontId="53" fillId="0" borderId="0" xfId="61" applyFont="1" applyAlignment="1">
      <alignment horizontal="center"/>
    </xf>
    <xf numFmtId="0" fontId="53" fillId="0" borderId="0" xfId="61" applyFont="1"/>
    <xf numFmtId="0" fontId="15" fillId="0" borderId="0" xfId="61"/>
    <xf numFmtId="0" fontId="36" fillId="2" borderId="3" xfId="61" applyFont="1" applyFill="1" applyBorder="1" applyAlignment="1">
      <alignment horizontal="center" vertical="center" wrapText="1"/>
    </xf>
    <xf numFmtId="0" fontId="36" fillId="2" borderId="0" xfId="61" applyFont="1" applyFill="1" applyAlignment="1">
      <alignment horizontal="center" vertical="center" wrapText="1"/>
    </xf>
    <xf numFmtId="0" fontId="35" fillId="2" borderId="0" xfId="13" applyFont="1" applyFill="1" applyAlignment="1">
      <alignment vertical="center"/>
    </xf>
    <xf numFmtId="0" fontId="36" fillId="2" borderId="0" xfId="13" applyFont="1" applyFill="1" applyAlignment="1">
      <alignment vertical="center"/>
    </xf>
    <xf numFmtId="0" fontId="36" fillId="2" borderId="1" xfId="61" applyFont="1" applyFill="1" applyBorder="1" applyAlignment="1">
      <alignment horizontal="center" vertical="center" wrapText="1"/>
    </xf>
    <xf numFmtId="0" fontId="36" fillId="2" borderId="1" xfId="61" applyFont="1" applyFill="1" applyBorder="1" applyAlignment="1">
      <alignment horizontal="right" vertical="center" wrapText="1"/>
    </xf>
    <xf numFmtId="0" fontId="36" fillId="0" borderId="0" xfId="61" applyFont="1" applyAlignment="1">
      <alignment horizontal="left" vertical="center" wrapText="1"/>
    </xf>
    <xf numFmtId="0" fontId="36" fillId="0" borderId="0" xfId="61" applyFont="1" applyAlignment="1">
      <alignment horizontal="right" vertical="center" wrapText="1"/>
    </xf>
    <xf numFmtId="0" fontId="53" fillId="0" borderId="0" xfId="61" applyFont="1" applyAlignment="1">
      <alignment horizontal="right" vertical="center"/>
    </xf>
    <xf numFmtId="167" fontId="36" fillId="0" borderId="0" xfId="61" applyNumberFormat="1" applyFont="1"/>
    <xf numFmtId="167" fontId="36" fillId="2" borderId="0" xfId="62" applyNumberFormat="1" applyFont="1" applyFill="1" applyAlignment="1">
      <alignment horizontal="right" vertical="center"/>
    </xf>
    <xf numFmtId="168" fontId="36" fillId="2" borderId="0" xfId="62" applyNumberFormat="1" applyFont="1" applyFill="1" applyAlignment="1">
      <alignment horizontal="right" vertical="center"/>
    </xf>
    <xf numFmtId="167" fontId="34" fillId="0" borderId="0" xfId="61" applyNumberFormat="1" applyFont="1"/>
    <xf numFmtId="167" fontId="36" fillId="0" borderId="0" xfId="0" applyNumberFormat="1" applyFont="1"/>
    <xf numFmtId="167" fontId="35" fillId="0" borderId="0" xfId="61" applyNumberFormat="1" applyFont="1"/>
    <xf numFmtId="167" fontId="35" fillId="2" borderId="0" xfId="62" applyNumberFormat="1" applyFont="1" applyFill="1" applyAlignment="1">
      <alignment horizontal="right" vertical="center"/>
    </xf>
    <xf numFmtId="168" fontId="35" fillId="2" borderId="0" xfId="62" applyNumberFormat="1" applyFont="1" applyFill="1" applyAlignment="1">
      <alignment horizontal="right" vertical="center"/>
    </xf>
    <xf numFmtId="167" fontId="33" fillId="0" borderId="0" xfId="61" applyNumberFormat="1" applyFont="1"/>
    <xf numFmtId="167" fontId="35" fillId="0" borderId="0" xfId="61" applyNumberFormat="1" applyFont="1" applyAlignment="1">
      <alignment horizontal="left"/>
    </xf>
    <xf numFmtId="167" fontId="35" fillId="3" borderId="0" xfId="61" applyNumberFormat="1" applyFont="1" applyFill="1" applyAlignment="1">
      <alignment horizontal="right" vertical="center"/>
    </xf>
    <xf numFmtId="167" fontId="35" fillId="2" borderId="0" xfId="63" applyNumberFormat="1" applyFont="1" applyFill="1" applyAlignment="1">
      <alignment horizontal="right" vertical="center"/>
    </xf>
    <xf numFmtId="167" fontId="35" fillId="6" borderId="0" xfId="0" applyNumberFormat="1" applyFont="1" applyFill="1" applyAlignment="1">
      <alignment horizontal="right" vertical="center"/>
    </xf>
    <xf numFmtId="0" fontId="53" fillId="0" borderId="5" xfId="61" applyFont="1" applyBorder="1"/>
    <xf numFmtId="0" fontId="53" fillId="0" borderId="1" xfId="61" applyFont="1" applyBorder="1" applyAlignment="1">
      <alignment horizontal="left"/>
    </xf>
    <xf numFmtId="166" fontId="35" fillId="2" borderId="1" xfId="2" applyNumberFormat="1" applyFont="1" applyFill="1" applyBorder="1" applyAlignment="1">
      <alignment horizontal="right" vertical="center"/>
    </xf>
    <xf numFmtId="166" fontId="35" fillId="2" borderId="1" xfId="62" applyNumberFormat="1" applyFont="1" applyFill="1" applyBorder="1" applyAlignment="1">
      <alignment horizontal="right" vertical="center"/>
    </xf>
    <xf numFmtId="165" fontId="35" fillId="2" borderId="1" xfId="62" applyNumberFormat="1" applyFont="1" applyFill="1" applyBorder="1" applyAlignment="1">
      <alignment horizontal="right" vertical="center"/>
    </xf>
    <xf numFmtId="165" fontId="35" fillId="3" borderId="1" xfId="61" applyNumberFormat="1" applyFont="1" applyFill="1" applyBorder="1" applyAlignment="1">
      <alignment horizontal="right" vertical="center"/>
    </xf>
    <xf numFmtId="165" fontId="35" fillId="2" borderId="1" xfId="63" applyNumberFormat="1" applyFont="1" applyFill="1" applyBorder="1" applyAlignment="1">
      <alignment horizontal="right" vertical="center"/>
    </xf>
    <xf numFmtId="166" fontId="35" fillId="2" borderId="0" xfId="62" applyNumberFormat="1" applyFont="1" applyFill="1"/>
    <xf numFmtId="165" fontId="35" fillId="2" borderId="0" xfId="62" applyNumberFormat="1" applyFont="1" applyFill="1"/>
    <xf numFmtId="165" fontId="35" fillId="3" borderId="0" xfId="61" applyNumberFormat="1" applyFont="1" applyFill="1"/>
    <xf numFmtId="165" fontId="35" fillId="2" borderId="0" xfId="63" applyNumberFormat="1" applyFont="1" applyFill="1"/>
    <xf numFmtId="0" fontId="35" fillId="6" borderId="0" xfId="0" applyFont="1" applyFill="1" applyAlignment="1">
      <alignment horizontal="left"/>
    </xf>
    <xf numFmtId="0" fontId="15" fillId="0" borderId="0" xfId="61" applyAlignment="1">
      <alignment horizontal="left"/>
    </xf>
    <xf numFmtId="0" fontId="15" fillId="0" borderId="0" xfId="61" applyAlignment="1">
      <alignment horizontal="center"/>
    </xf>
    <xf numFmtId="165" fontId="15" fillId="0" borderId="0" xfId="61" applyNumberFormat="1" applyAlignment="1">
      <alignment horizontal="center"/>
    </xf>
    <xf numFmtId="165" fontId="15" fillId="0" borderId="0" xfId="61" applyNumberFormat="1"/>
    <xf numFmtId="0" fontId="32" fillId="0" borderId="0" xfId="64" applyFont="1"/>
    <xf numFmtId="0" fontId="58" fillId="0" borderId="0" xfId="64" applyFont="1"/>
    <xf numFmtId="0" fontId="58" fillId="0" borderId="0" xfId="64" applyFont="1" applyAlignment="1">
      <alignment horizontal="center"/>
    </xf>
    <xf numFmtId="0" fontId="58" fillId="0" borderId="0" xfId="64" applyFont="1" applyAlignment="1">
      <alignment horizontal="left"/>
    </xf>
    <xf numFmtId="0" fontId="55" fillId="2" borderId="0" xfId="64" applyFont="1" applyFill="1"/>
    <xf numFmtId="164" fontId="55" fillId="2" borderId="0" xfId="66" applyFont="1" applyFill="1" applyBorder="1" applyAlignment="1">
      <alignment horizontal="right" vertical="top"/>
    </xf>
    <xf numFmtId="0" fontId="55" fillId="0" borderId="0" xfId="65" applyFont="1" applyAlignment="1">
      <alignment vertical="center"/>
    </xf>
    <xf numFmtId="0" fontId="53" fillId="0" borderId="1" xfId="64" applyFont="1" applyBorder="1"/>
    <xf numFmtId="0" fontId="53" fillId="0" borderId="0" xfId="64" applyFont="1" applyAlignment="1">
      <alignment horizontal="left"/>
    </xf>
    <xf numFmtId="0" fontId="53" fillId="0" borderId="0" xfId="64" applyFont="1" applyAlignment="1">
      <alignment horizontal="center"/>
    </xf>
    <xf numFmtId="0" fontId="53" fillId="0" borderId="0" xfId="64" applyFont="1"/>
    <xf numFmtId="0" fontId="14" fillId="0" borderId="0" xfId="64"/>
    <xf numFmtId="0" fontId="36" fillId="2" borderId="3" xfId="64" applyFont="1" applyFill="1" applyBorder="1" applyAlignment="1">
      <alignment horizontal="center" vertical="center" wrapText="1"/>
    </xf>
    <xf numFmtId="0" fontId="36" fillId="2" borderId="0" xfId="64" applyFont="1" applyFill="1" applyAlignment="1">
      <alignment horizontal="center" vertical="center" wrapText="1"/>
    </xf>
    <xf numFmtId="0" fontId="36" fillId="2" borderId="0" xfId="68" applyFont="1" applyFill="1" applyAlignment="1">
      <alignment horizontal="center" vertical="center" wrapText="1"/>
    </xf>
    <xf numFmtId="0" fontId="53" fillId="2" borderId="0" xfId="68" applyFont="1" applyFill="1" applyAlignment="1">
      <alignment vertical="center"/>
    </xf>
    <xf numFmtId="0" fontId="36" fillId="2" borderId="1" xfId="64" applyFont="1" applyFill="1" applyBorder="1" applyAlignment="1">
      <alignment horizontal="center" vertical="center" wrapText="1"/>
    </xf>
    <xf numFmtId="0" fontId="36" fillId="2" borderId="1" xfId="68" applyFont="1" applyFill="1" applyBorder="1" applyAlignment="1">
      <alignment horizontal="right" vertical="center"/>
    </xf>
    <xf numFmtId="0" fontId="53" fillId="2" borderId="1" xfId="68" applyFont="1" applyFill="1" applyBorder="1" applyAlignment="1">
      <alignment vertical="center"/>
    </xf>
    <xf numFmtId="0" fontId="36" fillId="0" borderId="0" xfId="64" applyFont="1" applyAlignment="1">
      <alignment horizontal="left" vertical="center" wrapText="1"/>
    </xf>
    <xf numFmtId="0" fontId="36" fillId="0" borderId="0" xfId="64" applyFont="1" applyAlignment="1">
      <alignment horizontal="right" vertical="center"/>
    </xf>
    <xf numFmtId="0" fontId="53" fillId="0" borderId="0" xfId="64" applyFont="1" applyAlignment="1">
      <alignment horizontal="right" vertical="center"/>
    </xf>
    <xf numFmtId="0" fontId="14" fillId="0" borderId="0" xfId="64" applyAlignment="1">
      <alignment horizontal="right"/>
    </xf>
    <xf numFmtId="167" fontId="36" fillId="0" borderId="0" xfId="64" applyNumberFormat="1" applyFont="1"/>
    <xf numFmtId="168" fontId="36" fillId="2" borderId="0" xfId="2" applyNumberFormat="1" applyFont="1" applyFill="1" applyAlignment="1">
      <alignment horizontal="right" vertical="center"/>
    </xf>
    <xf numFmtId="167" fontId="34" fillId="0" borderId="0" xfId="64" applyNumberFormat="1" applyFont="1" applyAlignment="1">
      <alignment horizontal="right"/>
    </xf>
    <xf numFmtId="167" fontId="34" fillId="0" borderId="0" xfId="64" applyNumberFormat="1" applyFont="1"/>
    <xf numFmtId="167" fontId="35" fillId="0" borderId="0" xfId="64" applyNumberFormat="1" applyFont="1"/>
    <xf numFmtId="168" fontId="35" fillId="2" borderId="0" xfId="2" applyNumberFormat="1" applyFont="1" applyFill="1" applyAlignment="1">
      <alignment horizontal="right" vertical="center"/>
    </xf>
    <xf numFmtId="167" fontId="33" fillId="0" borderId="0" xfId="64" applyNumberFormat="1" applyFont="1" applyAlignment="1">
      <alignment horizontal="right"/>
    </xf>
    <xf numFmtId="167" fontId="33" fillId="0" borderId="0" xfId="64" applyNumberFormat="1" applyFont="1"/>
    <xf numFmtId="167" fontId="35" fillId="0" borderId="0" xfId="64" applyNumberFormat="1" applyFont="1" applyAlignment="1">
      <alignment horizontal="left"/>
    </xf>
    <xf numFmtId="167" fontId="35" fillId="2" borderId="0" xfId="65" applyNumberFormat="1" applyFont="1" applyFill="1" applyAlignment="1">
      <alignment horizontal="right" vertical="center"/>
    </xf>
    <xf numFmtId="168" fontId="35" fillId="2" borderId="0" xfId="65" applyNumberFormat="1" applyFont="1" applyFill="1" applyAlignment="1">
      <alignment horizontal="right" vertical="center"/>
    </xf>
    <xf numFmtId="167" fontId="35" fillId="3" borderId="0" xfId="64" applyNumberFormat="1" applyFont="1" applyFill="1" applyAlignment="1">
      <alignment horizontal="right" vertical="center"/>
    </xf>
    <xf numFmtId="167" fontId="35" fillId="2" borderId="0" xfId="67" applyNumberFormat="1" applyFont="1" applyFill="1" applyAlignment="1">
      <alignment horizontal="right" vertical="center"/>
    </xf>
    <xf numFmtId="167" fontId="35" fillId="0" borderId="0" xfId="64" applyNumberFormat="1" applyFont="1" applyAlignment="1">
      <alignment horizontal="right" vertical="center"/>
    </xf>
    <xf numFmtId="168" fontId="35" fillId="0" borderId="0" xfId="64" applyNumberFormat="1" applyFont="1" applyAlignment="1">
      <alignment horizontal="right" vertical="center"/>
    </xf>
    <xf numFmtId="0" fontId="53" fillId="0" borderId="5" xfId="64" applyFont="1" applyBorder="1"/>
    <xf numFmtId="0" fontId="53" fillId="0" borderId="1" xfId="64" applyFont="1" applyBorder="1" applyAlignment="1">
      <alignment horizontal="left"/>
    </xf>
    <xf numFmtId="166" fontId="35" fillId="2" borderId="1" xfId="65" applyNumberFormat="1" applyFont="1" applyFill="1" applyBorder="1" applyAlignment="1">
      <alignment horizontal="right" vertical="center"/>
    </xf>
    <xf numFmtId="165" fontId="35" fillId="2" borderId="1" xfId="65" applyNumberFormat="1" applyFont="1" applyFill="1" applyBorder="1" applyAlignment="1">
      <alignment horizontal="right" vertical="center"/>
    </xf>
    <xf numFmtId="165" fontId="35" fillId="3" borderId="1" xfId="64" applyNumberFormat="1" applyFont="1" applyFill="1" applyBorder="1" applyAlignment="1">
      <alignment horizontal="right" vertical="center"/>
    </xf>
    <xf numFmtId="165" fontId="35" fillId="2" borderId="1" xfId="67" applyNumberFormat="1" applyFont="1" applyFill="1" applyBorder="1" applyAlignment="1">
      <alignment horizontal="right" vertical="center"/>
    </xf>
    <xf numFmtId="166" fontId="35" fillId="2" borderId="0" xfId="65" applyNumberFormat="1" applyFont="1" applyFill="1"/>
    <xf numFmtId="165" fontId="35" fillId="2" borderId="0" xfId="65" applyNumberFormat="1" applyFont="1" applyFill="1"/>
    <xf numFmtId="165" fontId="35" fillId="3" borderId="0" xfId="64" applyNumberFormat="1" applyFont="1" applyFill="1"/>
    <xf numFmtId="165" fontId="35" fillId="2" borderId="0" xfId="67" applyNumberFormat="1" applyFont="1" applyFill="1"/>
    <xf numFmtId="166" fontId="35" fillId="0" borderId="0" xfId="64" applyNumberFormat="1" applyFont="1"/>
    <xf numFmtId="0" fontId="35" fillId="2" borderId="0" xfId="64" applyFont="1" applyFill="1" applyAlignment="1">
      <alignment horizontal="left" vertical="top"/>
    </xf>
    <xf numFmtId="0" fontId="14" fillId="0" borderId="0" xfId="64" applyAlignment="1">
      <alignment horizontal="left"/>
    </xf>
    <xf numFmtId="0" fontId="14" fillId="0" borderId="0" xfId="64" applyAlignment="1">
      <alignment horizontal="center"/>
    </xf>
    <xf numFmtId="165" fontId="14" fillId="0" borderId="0" xfId="64" applyNumberFormat="1" applyAlignment="1">
      <alignment horizontal="center"/>
    </xf>
    <xf numFmtId="165" fontId="14" fillId="0" borderId="0" xfId="64" applyNumberFormat="1"/>
    <xf numFmtId="0" fontId="32" fillId="0" borderId="0" xfId="70" applyFont="1"/>
    <xf numFmtId="0" fontId="58" fillId="0" borderId="0" xfId="70" applyFont="1"/>
    <xf numFmtId="0" fontId="58" fillId="0" borderId="0" xfId="70" applyFont="1" applyAlignment="1">
      <alignment horizontal="center"/>
    </xf>
    <xf numFmtId="0" fontId="58" fillId="0" borderId="0" xfId="70" applyFont="1" applyAlignment="1">
      <alignment horizontal="left"/>
    </xf>
    <xf numFmtId="0" fontId="55" fillId="2" borderId="0" xfId="70" applyFont="1" applyFill="1"/>
    <xf numFmtId="0" fontId="53" fillId="0" borderId="1" xfId="70" applyFont="1" applyBorder="1"/>
    <xf numFmtId="0" fontId="53" fillId="0" borderId="0" xfId="70" applyFont="1" applyAlignment="1">
      <alignment horizontal="left"/>
    </xf>
    <xf numFmtId="0" fontId="53" fillId="0" borderId="0" xfId="70" applyFont="1" applyAlignment="1">
      <alignment horizontal="center"/>
    </xf>
    <xf numFmtId="0" fontId="53" fillId="0" borderId="0" xfId="70" applyFont="1"/>
    <xf numFmtId="0" fontId="13" fillId="0" borderId="0" xfId="70"/>
    <xf numFmtId="0" fontId="36" fillId="2" borderId="3" xfId="70" applyFont="1" applyFill="1" applyBorder="1" applyAlignment="1">
      <alignment horizontal="center" vertical="center" wrapText="1"/>
    </xf>
    <xf numFmtId="0" fontId="36" fillId="2" borderId="0" xfId="70" applyFont="1" applyFill="1" applyAlignment="1">
      <alignment horizontal="center" vertical="center" wrapText="1"/>
    </xf>
    <xf numFmtId="0" fontId="36" fillId="2" borderId="0" xfId="72" applyFont="1" applyFill="1" applyAlignment="1">
      <alignment horizontal="right" vertical="center" wrapText="1"/>
    </xf>
    <xf numFmtId="0" fontId="36" fillId="2" borderId="0" xfId="72" applyFont="1" applyFill="1" applyAlignment="1">
      <alignment horizontal="center" vertical="center" wrapText="1"/>
    </xf>
    <xf numFmtId="0" fontId="36" fillId="2" borderId="1" xfId="70" applyFont="1" applyFill="1" applyBorder="1" applyAlignment="1">
      <alignment horizontal="center" vertical="center" wrapText="1"/>
    </xf>
    <xf numFmtId="0" fontId="36" fillId="2" borderId="1" xfId="73" applyFont="1" applyFill="1" applyBorder="1" applyAlignment="1">
      <alignment horizontal="right" vertical="center"/>
    </xf>
    <xf numFmtId="0" fontId="53" fillId="2" borderId="1" xfId="73" applyFont="1" applyFill="1" applyBorder="1" applyAlignment="1">
      <alignment vertical="center"/>
    </xf>
    <xf numFmtId="0" fontId="34" fillId="0" borderId="0" xfId="70" applyFont="1" applyAlignment="1">
      <alignment horizontal="left" vertical="center" wrapText="1"/>
    </xf>
    <xf numFmtId="0" fontId="34" fillId="0" borderId="0" xfId="70" applyFont="1" applyAlignment="1">
      <alignment horizontal="right" vertical="center" wrapText="1"/>
    </xf>
    <xf numFmtId="0" fontId="36" fillId="0" borderId="0" xfId="70" applyFont="1" applyAlignment="1">
      <alignment horizontal="right" vertical="center" wrapText="1"/>
    </xf>
    <xf numFmtId="0" fontId="13" fillId="0" borderId="0" xfId="70" applyAlignment="1">
      <alignment horizontal="right" vertical="center"/>
    </xf>
    <xf numFmtId="167" fontId="34" fillId="0" borderId="0" xfId="70" applyNumberFormat="1" applyFont="1"/>
    <xf numFmtId="167" fontId="33" fillId="0" borderId="0" xfId="70" applyNumberFormat="1" applyFont="1"/>
    <xf numFmtId="167" fontId="33" fillId="0" borderId="0" xfId="70" applyNumberFormat="1" applyFont="1" applyAlignment="1">
      <alignment horizontal="left"/>
    </xf>
    <xf numFmtId="167" fontId="35" fillId="2" borderId="0" xfId="71" applyNumberFormat="1" applyFont="1" applyFill="1" applyAlignment="1">
      <alignment horizontal="right" vertical="center"/>
    </xf>
    <xf numFmtId="168" fontId="35" fillId="2" borderId="0" xfId="71" applyNumberFormat="1" applyFont="1" applyFill="1" applyAlignment="1">
      <alignment horizontal="right" vertical="center"/>
    </xf>
    <xf numFmtId="167" fontId="35" fillId="3" borderId="0" xfId="70" applyNumberFormat="1" applyFont="1" applyFill="1" applyAlignment="1">
      <alignment horizontal="right" vertical="center"/>
    </xf>
    <xf numFmtId="167" fontId="35" fillId="2" borderId="0" xfId="72" applyNumberFormat="1" applyFont="1" applyFill="1" applyAlignment="1">
      <alignment horizontal="right" vertical="center"/>
    </xf>
    <xf numFmtId="0" fontId="13" fillId="0" borderId="5" xfId="70" applyBorder="1"/>
    <xf numFmtId="0" fontId="13" fillId="0" borderId="1" xfId="70" applyBorder="1" applyAlignment="1">
      <alignment horizontal="left"/>
    </xf>
    <xf numFmtId="166" fontId="35" fillId="2" borderId="1" xfId="71" applyNumberFormat="1" applyFont="1" applyFill="1" applyBorder="1" applyAlignment="1">
      <alignment horizontal="right" vertical="center"/>
    </xf>
    <xf numFmtId="165" fontId="35" fillId="2" borderId="1" xfId="71" applyNumberFormat="1" applyFont="1" applyFill="1" applyBorder="1" applyAlignment="1">
      <alignment horizontal="right" vertical="center"/>
    </xf>
    <xf numFmtId="165" fontId="35" fillId="3" borderId="1" xfId="70" applyNumberFormat="1" applyFont="1" applyFill="1" applyBorder="1" applyAlignment="1">
      <alignment horizontal="right" vertical="center"/>
    </xf>
    <xf numFmtId="165" fontId="35" fillId="2" borderId="1" xfId="72" applyNumberFormat="1" applyFont="1" applyFill="1" applyBorder="1" applyAlignment="1">
      <alignment horizontal="right" vertical="center"/>
    </xf>
    <xf numFmtId="0" fontId="13" fillId="0" borderId="0" xfId="70" applyAlignment="1">
      <alignment horizontal="left"/>
    </xf>
    <xf numFmtId="166" fontId="35" fillId="2" borderId="0" xfId="71" applyNumberFormat="1" applyFont="1" applyFill="1"/>
    <xf numFmtId="165" fontId="35" fillId="2" borderId="0" xfId="71" applyNumberFormat="1" applyFont="1" applyFill="1"/>
    <xf numFmtId="165" fontId="35" fillId="3" borderId="0" xfId="70" applyNumberFormat="1" applyFont="1" applyFill="1"/>
    <xf numFmtId="165" fontId="35" fillId="2" borderId="0" xfId="72" applyNumberFormat="1" applyFont="1" applyFill="1"/>
    <xf numFmtId="0" fontId="35" fillId="2" borderId="0" xfId="71" applyFont="1" applyFill="1" applyAlignment="1">
      <alignment horizontal="left" vertical="top" justifyLastLine="1"/>
    </xf>
    <xf numFmtId="0" fontId="13" fillId="0" borderId="0" xfId="70" applyAlignment="1">
      <alignment horizontal="center"/>
    </xf>
    <xf numFmtId="165" fontId="13" fillId="0" borderId="0" xfId="70" applyNumberFormat="1" applyAlignment="1">
      <alignment horizontal="center"/>
    </xf>
    <xf numFmtId="165" fontId="13" fillId="0" borderId="0" xfId="70" applyNumberFormat="1"/>
    <xf numFmtId="0" fontId="32" fillId="0" borderId="0" xfId="74" applyFont="1"/>
    <xf numFmtId="0" fontId="58" fillId="0" borderId="0" xfId="74" applyFont="1"/>
    <xf numFmtId="0" fontId="58" fillId="0" borderId="0" xfId="74" applyFont="1" applyAlignment="1">
      <alignment horizontal="center"/>
    </xf>
    <xf numFmtId="0" fontId="58" fillId="0" borderId="0" xfId="74" applyFont="1" applyAlignment="1">
      <alignment horizontal="left"/>
    </xf>
    <xf numFmtId="0" fontId="53" fillId="0" borderId="1" xfId="74" applyFont="1" applyBorder="1"/>
    <xf numFmtId="0" fontId="53" fillId="0" borderId="0" xfId="74" applyFont="1" applyAlignment="1">
      <alignment horizontal="left"/>
    </xf>
    <xf numFmtId="0" fontId="53" fillId="0" borderId="0" xfId="74" applyFont="1" applyAlignment="1">
      <alignment horizontal="center"/>
    </xf>
    <xf numFmtId="0" fontId="12" fillId="0" borderId="0" xfId="74"/>
    <xf numFmtId="0" fontId="36" fillId="2" borderId="3" xfId="74" applyFont="1" applyFill="1" applyBorder="1" applyAlignment="1">
      <alignment horizontal="center" vertical="center" wrapText="1"/>
    </xf>
    <xf numFmtId="0" fontId="36" fillId="2" borderId="0" xfId="74" applyFont="1" applyFill="1" applyAlignment="1">
      <alignment horizontal="center" vertical="center" wrapText="1"/>
    </xf>
    <xf numFmtId="0" fontId="36" fillId="2" borderId="0" xfId="76" applyFont="1" applyFill="1" applyAlignment="1">
      <alignment horizontal="right" vertical="center" wrapText="1"/>
    </xf>
    <xf numFmtId="0" fontId="36" fillId="2" borderId="1" xfId="74" applyFont="1" applyFill="1" applyBorder="1" applyAlignment="1">
      <alignment horizontal="center" vertical="center" wrapText="1"/>
    </xf>
    <xf numFmtId="0" fontId="36" fillId="2" borderId="1" xfId="77" applyFont="1" applyFill="1" applyBorder="1" applyAlignment="1">
      <alignment horizontal="right" vertical="center"/>
    </xf>
    <xf numFmtId="0" fontId="36" fillId="0" borderId="0" xfId="74" applyFont="1" applyAlignment="1">
      <alignment horizontal="right" vertical="center" wrapText="1"/>
    </xf>
    <xf numFmtId="167" fontId="36" fillId="0" borderId="0" xfId="74" applyNumberFormat="1" applyFont="1" applyAlignment="1">
      <alignment horizontal="right" vertical="center"/>
    </xf>
    <xf numFmtId="167" fontId="34" fillId="0" borderId="0" xfId="74" applyNumberFormat="1" applyFont="1"/>
    <xf numFmtId="167" fontId="35" fillId="0" borderId="0" xfId="74" applyNumberFormat="1" applyFont="1" applyAlignment="1">
      <alignment horizontal="right" vertical="center"/>
    </xf>
    <xf numFmtId="167" fontId="33" fillId="0" borderId="0" xfId="74" applyNumberFormat="1" applyFont="1"/>
    <xf numFmtId="167" fontId="35" fillId="2" borderId="0" xfId="75" applyNumberFormat="1" applyFont="1" applyFill="1" applyAlignment="1">
      <alignment horizontal="right" vertical="center"/>
    </xf>
    <xf numFmtId="168" fontId="35" fillId="2" borderId="0" xfId="75" applyNumberFormat="1" applyFont="1" applyFill="1" applyAlignment="1">
      <alignment horizontal="right" vertical="center"/>
    </xf>
    <xf numFmtId="0" fontId="53" fillId="0" borderId="5" xfId="74" applyFont="1" applyBorder="1"/>
    <xf numFmtId="0" fontId="53" fillId="0" borderId="1" xfId="74" applyFont="1" applyBorder="1" applyAlignment="1">
      <alignment horizontal="right" vertical="center"/>
    </xf>
    <xf numFmtId="166" fontId="35" fillId="2" borderId="1" xfId="75" applyNumberFormat="1" applyFont="1" applyFill="1" applyBorder="1" applyAlignment="1">
      <alignment horizontal="right" vertical="center"/>
    </xf>
    <xf numFmtId="165" fontId="35" fillId="2" borderId="1" xfId="75" applyNumberFormat="1" applyFont="1" applyFill="1" applyBorder="1" applyAlignment="1">
      <alignment horizontal="right" vertical="center"/>
    </xf>
    <xf numFmtId="166" fontId="35" fillId="2" borderId="0" xfId="75" applyNumberFormat="1" applyFont="1" applyFill="1"/>
    <xf numFmtId="165" fontId="35" fillId="2" borderId="0" xfId="75" applyNumberFormat="1" applyFont="1" applyFill="1"/>
    <xf numFmtId="0" fontId="35" fillId="2" borderId="0" xfId="79" applyFont="1" applyFill="1" applyAlignment="1">
      <alignment horizontal="left" vertical="top"/>
    </xf>
    <xf numFmtId="0" fontId="12" fillId="0" borderId="0" xfId="74" applyAlignment="1">
      <alignment horizontal="left"/>
    </xf>
    <xf numFmtId="0" fontId="12" fillId="0" borderId="0" xfId="74" applyAlignment="1">
      <alignment horizontal="center"/>
    </xf>
    <xf numFmtId="165" fontId="12" fillId="0" borderId="0" xfId="74" applyNumberFormat="1" applyAlignment="1">
      <alignment horizontal="center"/>
    </xf>
    <xf numFmtId="0" fontId="32" fillId="0" borderId="0" xfId="80" applyFont="1"/>
    <xf numFmtId="0" fontId="58" fillId="0" borderId="0" xfId="80" applyFont="1"/>
    <xf numFmtId="0" fontId="58" fillId="0" borderId="0" xfId="80" applyFont="1" applyAlignment="1">
      <alignment horizontal="center"/>
    </xf>
    <xf numFmtId="0" fontId="58" fillId="0" borderId="0" xfId="80" applyFont="1" applyAlignment="1">
      <alignment horizontal="left"/>
    </xf>
    <xf numFmtId="0" fontId="55" fillId="0" borderId="0" xfId="80" applyFont="1"/>
    <xf numFmtId="0" fontId="53" fillId="0" borderId="0" xfId="80" applyFont="1"/>
    <xf numFmtId="0" fontId="53" fillId="0" borderId="0" xfId="80" applyFont="1" applyAlignment="1">
      <alignment horizontal="left"/>
    </xf>
    <xf numFmtId="0" fontId="53" fillId="0" borderId="0" xfId="80" applyFont="1" applyAlignment="1">
      <alignment horizontal="center"/>
    </xf>
    <xf numFmtId="0" fontId="11" fillId="0" borderId="0" xfId="80"/>
    <xf numFmtId="0" fontId="36" fillId="2" borderId="2" xfId="82" applyFont="1" applyFill="1" applyBorder="1" applyAlignment="1">
      <alignment horizontal="right" vertical="center" wrapText="1"/>
    </xf>
    <xf numFmtId="0" fontId="36" fillId="2" borderId="2" xfId="80" applyFont="1" applyFill="1" applyBorder="1" applyAlignment="1">
      <alignment horizontal="center" vertical="center" wrapText="1"/>
    </xf>
    <xf numFmtId="0" fontId="36" fillId="2" borderId="2" xfId="83" applyFont="1" applyFill="1" applyBorder="1" applyAlignment="1">
      <alignment horizontal="right" vertical="center" wrapText="1"/>
    </xf>
    <xf numFmtId="0" fontId="36" fillId="0" borderId="0" xfId="80" applyFont="1" applyAlignment="1">
      <alignment horizontal="left" vertical="center" wrapText="1"/>
    </xf>
    <xf numFmtId="0" fontId="36" fillId="0" borderId="0" xfId="80" applyFont="1" applyAlignment="1">
      <alignment horizontal="right" vertical="center" wrapText="1"/>
    </xf>
    <xf numFmtId="167" fontId="36" fillId="0" borderId="0" xfId="80" applyNumberFormat="1" applyFont="1"/>
    <xf numFmtId="167" fontId="34" fillId="0" borderId="0" xfId="80" applyNumberFormat="1" applyFont="1"/>
    <xf numFmtId="167" fontId="35" fillId="0" borderId="0" xfId="80" applyNumberFormat="1" applyFont="1"/>
    <xf numFmtId="167" fontId="33" fillId="0" borderId="0" xfId="80" applyNumberFormat="1" applyFont="1"/>
    <xf numFmtId="167" fontId="35" fillId="0" borderId="0" xfId="80" applyNumberFormat="1" applyFont="1" applyAlignment="1">
      <alignment horizontal="left"/>
    </xf>
    <xf numFmtId="167" fontId="35" fillId="2" borderId="0" xfId="81" applyNumberFormat="1" applyFont="1" applyFill="1" applyAlignment="1">
      <alignment horizontal="right" vertical="center"/>
    </xf>
    <xf numFmtId="0" fontId="53" fillId="0" borderId="5" xfId="80" applyFont="1" applyBorder="1"/>
    <xf numFmtId="0" fontId="53" fillId="0" borderId="1" xfId="80" applyFont="1" applyBorder="1" applyAlignment="1">
      <alignment horizontal="left"/>
    </xf>
    <xf numFmtId="166" fontId="35" fillId="2" borderId="1" xfId="81" applyNumberFormat="1" applyFont="1" applyFill="1" applyBorder="1" applyAlignment="1">
      <alignment horizontal="right" vertical="center"/>
    </xf>
    <xf numFmtId="165" fontId="35" fillId="2" borderId="1" xfId="81" applyNumberFormat="1" applyFont="1" applyFill="1" applyBorder="1" applyAlignment="1">
      <alignment horizontal="right" vertical="center"/>
    </xf>
    <xf numFmtId="166" fontId="35" fillId="2" borderId="0" xfId="81" applyNumberFormat="1" applyFont="1" applyFill="1"/>
    <xf numFmtId="165" fontId="35" fillId="2" borderId="0" xfId="81" applyNumberFormat="1" applyFont="1" applyFill="1"/>
    <xf numFmtId="0" fontId="11" fillId="0" borderId="0" xfId="80" applyAlignment="1">
      <alignment horizontal="left"/>
    </xf>
    <xf numFmtId="0" fontId="11" fillId="0" borderId="0" xfId="80" applyAlignment="1">
      <alignment horizontal="center"/>
    </xf>
    <xf numFmtId="165" fontId="11" fillId="0" borderId="0" xfId="80" applyNumberFormat="1" applyAlignment="1">
      <alignment horizontal="center"/>
    </xf>
    <xf numFmtId="0" fontId="32" fillId="0" borderId="0" xfId="85" applyFont="1"/>
    <xf numFmtId="0" fontId="58" fillId="0" borderId="0" xfId="85" applyFont="1"/>
    <xf numFmtId="0" fontId="58" fillId="0" borderId="0" xfId="85" applyFont="1" applyAlignment="1">
      <alignment horizontal="center"/>
    </xf>
    <xf numFmtId="0" fontId="58" fillId="0" borderId="0" xfId="85" applyFont="1" applyAlignment="1">
      <alignment horizontal="left"/>
    </xf>
    <xf numFmtId="0" fontId="10" fillId="0" borderId="1" xfId="85" applyBorder="1"/>
    <xf numFmtId="0" fontId="10" fillId="0" borderId="0" xfId="85" applyAlignment="1">
      <alignment horizontal="left"/>
    </xf>
    <xf numFmtId="0" fontId="10" fillId="0" borderId="0" xfId="85" applyAlignment="1">
      <alignment horizontal="center"/>
    </xf>
    <xf numFmtId="0" fontId="10" fillId="0" borderId="0" xfId="85"/>
    <xf numFmtId="0" fontId="34" fillId="2" borderId="3" xfId="85" applyFont="1" applyFill="1" applyBorder="1" applyAlignment="1">
      <alignment horizontal="center" vertical="center" wrapText="1"/>
    </xf>
    <xf numFmtId="0" fontId="34" fillId="2" borderId="0" xfId="85" applyFont="1" applyFill="1" applyAlignment="1">
      <alignment horizontal="center" vertical="center" wrapText="1"/>
    </xf>
    <xf numFmtId="0" fontId="34" fillId="2" borderId="3" xfId="89" applyFont="1" applyFill="1" applyBorder="1" applyAlignment="1">
      <alignment horizontal="right" vertical="center" wrapText="1"/>
    </xf>
    <xf numFmtId="0" fontId="34" fillId="2" borderId="3" xfId="89" applyFont="1" applyFill="1" applyBorder="1" applyAlignment="1">
      <alignment horizontal="center" vertical="center" wrapText="1"/>
    </xf>
    <xf numFmtId="0" fontId="10" fillId="0" borderId="3" xfId="89" applyBorder="1" applyAlignment="1">
      <alignment vertical="center"/>
    </xf>
    <xf numFmtId="0" fontId="10" fillId="2" borderId="3" xfId="89" applyFill="1" applyBorder="1" applyAlignment="1">
      <alignment vertical="center"/>
    </xf>
    <xf numFmtId="0" fontId="34" fillId="2" borderId="1" xfId="85" applyFont="1" applyFill="1" applyBorder="1" applyAlignment="1">
      <alignment horizontal="center" vertical="center" wrapText="1"/>
    </xf>
    <xf numFmtId="0" fontId="34" fillId="2" borderId="1" xfId="88" applyFont="1" applyFill="1" applyBorder="1" applyAlignment="1">
      <alignment horizontal="right" vertical="center"/>
    </xf>
    <xf numFmtId="0" fontId="10" fillId="0" borderId="1" xfId="85" applyBorder="1" applyAlignment="1">
      <alignment horizontal="right"/>
    </xf>
    <xf numFmtId="0" fontId="34" fillId="0" borderId="0" xfId="85" applyFont="1" applyAlignment="1">
      <alignment horizontal="left" vertical="center" wrapText="1"/>
    </xf>
    <xf numFmtId="0" fontId="34" fillId="0" borderId="0" xfId="85" applyFont="1" applyAlignment="1">
      <alignment horizontal="right" vertical="center" wrapText="1"/>
    </xf>
    <xf numFmtId="0" fontId="36" fillId="0" borderId="0" xfId="85" applyFont="1" applyAlignment="1">
      <alignment horizontal="right" vertical="center" wrapText="1"/>
    </xf>
    <xf numFmtId="0" fontId="10" fillId="0" borderId="0" xfId="85" applyAlignment="1">
      <alignment horizontal="right"/>
    </xf>
    <xf numFmtId="167" fontId="34" fillId="0" borderId="0" xfId="85" applyNumberFormat="1" applyFont="1"/>
    <xf numFmtId="167" fontId="34" fillId="0" borderId="0" xfId="85" applyNumberFormat="1" applyFont="1" applyAlignment="1">
      <alignment horizontal="right"/>
    </xf>
    <xf numFmtId="168" fontId="34" fillId="0" borderId="0" xfId="85" applyNumberFormat="1" applyFont="1" applyAlignment="1">
      <alignment horizontal="right"/>
    </xf>
    <xf numFmtId="167" fontId="33" fillId="0" borderId="0" xfId="85" applyNumberFormat="1" applyFont="1"/>
    <xf numFmtId="167" fontId="33" fillId="0" borderId="0" xfId="85" applyNumberFormat="1" applyFont="1" applyAlignment="1">
      <alignment horizontal="right"/>
    </xf>
    <xf numFmtId="168" fontId="33" fillId="0" borderId="0" xfId="85" applyNumberFormat="1" applyFont="1" applyAlignment="1">
      <alignment horizontal="right"/>
    </xf>
    <xf numFmtId="167" fontId="33" fillId="0" borderId="0" xfId="85" applyNumberFormat="1" applyFont="1" applyAlignment="1">
      <alignment horizontal="left"/>
    </xf>
    <xf numFmtId="167" fontId="35" fillId="2" borderId="0" xfId="2" applyNumberFormat="1" applyFont="1" applyFill="1" applyAlignment="1">
      <alignment horizontal="right"/>
    </xf>
    <xf numFmtId="167" fontId="35" fillId="2" borderId="0" xfId="86" applyNumberFormat="1" applyFont="1" applyFill="1" applyAlignment="1">
      <alignment horizontal="right"/>
    </xf>
    <xf numFmtId="168" fontId="35" fillId="2" borderId="0" xfId="86" applyNumberFormat="1" applyFont="1" applyFill="1" applyAlignment="1">
      <alignment horizontal="right"/>
    </xf>
    <xf numFmtId="0" fontId="10" fillId="0" borderId="5" xfId="85" applyBorder="1"/>
    <xf numFmtId="0" fontId="10" fillId="0" borderId="1" xfId="85" applyBorder="1" applyAlignment="1">
      <alignment horizontal="left"/>
    </xf>
    <xf numFmtId="166" fontId="35" fillId="2" borderId="1" xfId="2" applyNumberFormat="1" applyFont="1" applyFill="1" applyBorder="1" applyAlignment="1">
      <alignment horizontal="right"/>
    </xf>
    <xf numFmtId="166" fontId="35" fillId="2" borderId="1" xfId="86" applyNumberFormat="1" applyFont="1" applyFill="1" applyBorder="1" applyAlignment="1">
      <alignment horizontal="right"/>
    </xf>
    <xf numFmtId="165" fontId="35" fillId="2" borderId="1" xfId="86" applyNumberFormat="1" applyFont="1" applyFill="1" applyBorder="1" applyAlignment="1">
      <alignment horizontal="right"/>
    </xf>
    <xf numFmtId="166" fontId="35" fillId="2" borderId="0" xfId="86" applyNumberFormat="1" applyFont="1" applyFill="1"/>
    <xf numFmtId="165" fontId="35" fillId="2" borderId="0" xfId="86" applyNumberFormat="1" applyFont="1" applyFill="1"/>
    <xf numFmtId="165" fontId="10" fillId="0" borderId="0" xfId="85" applyNumberFormat="1" applyAlignment="1">
      <alignment horizontal="center"/>
    </xf>
    <xf numFmtId="0" fontId="36" fillId="6" borderId="3" xfId="0" applyFont="1" applyFill="1" applyBorder="1" applyAlignment="1">
      <alignment horizontal="left" vertical="center" wrapText="1"/>
    </xf>
    <xf numFmtId="0" fontId="36" fillId="6" borderId="0" xfId="0" applyFont="1" applyFill="1" applyAlignment="1">
      <alignment horizontal="left" vertical="center" wrapText="1"/>
    </xf>
    <xf numFmtId="0" fontId="36" fillId="6" borderId="1" xfId="0" applyFont="1" applyFill="1" applyBorder="1" applyAlignment="1">
      <alignment horizontal="left" vertical="center" wrapText="1"/>
    </xf>
    <xf numFmtId="0" fontId="32" fillId="0" borderId="0" xfId="90" applyFont="1"/>
    <xf numFmtId="0" fontId="58" fillId="0" borderId="0" xfId="90" applyFont="1"/>
    <xf numFmtId="0" fontId="58" fillId="0" borderId="0" xfId="90" applyFont="1" applyAlignment="1">
      <alignment horizontal="center"/>
    </xf>
    <xf numFmtId="0" fontId="55" fillId="0" borderId="0" xfId="90" applyFont="1"/>
    <xf numFmtId="0" fontId="55" fillId="0" borderId="0" xfId="90" applyFont="1" applyAlignment="1">
      <alignment horizontal="left"/>
    </xf>
    <xf numFmtId="0" fontId="55" fillId="0" borderId="0" xfId="90" applyFont="1" applyAlignment="1">
      <alignment horizontal="center"/>
    </xf>
    <xf numFmtId="0" fontId="55" fillId="2" borderId="0" xfId="90" applyFont="1" applyFill="1"/>
    <xf numFmtId="164" fontId="55" fillId="2" borderId="0" xfId="92" applyFont="1" applyFill="1" applyBorder="1" applyAlignment="1">
      <alignment horizontal="right" vertical="top"/>
    </xf>
    <xf numFmtId="0" fontId="55" fillId="0" borderId="0" xfId="91" applyFont="1" applyAlignment="1">
      <alignment vertical="center"/>
    </xf>
    <xf numFmtId="0" fontId="53" fillId="0" borderId="1" xfId="90" applyFont="1" applyBorder="1"/>
    <xf numFmtId="0" fontId="53" fillId="0" borderId="0" xfId="90" applyFont="1" applyAlignment="1">
      <alignment horizontal="left"/>
    </xf>
    <xf numFmtId="0" fontId="53" fillId="0" borderId="0" xfId="90" applyFont="1" applyAlignment="1">
      <alignment horizontal="center"/>
    </xf>
    <xf numFmtId="0" fontId="53" fillId="0" borderId="0" xfId="90" applyFont="1"/>
    <xf numFmtId="0" fontId="36" fillId="2" borderId="3" xfId="90" applyFont="1" applyFill="1" applyBorder="1" applyAlignment="1">
      <alignment horizontal="center" vertical="center" wrapText="1"/>
    </xf>
    <xf numFmtId="0" fontId="36" fillId="2" borderId="3" xfId="94" applyFont="1" applyFill="1" applyBorder="1" applyAlignment="1">
      <alignment horizontal="center" vertical="center" wrapText="1"/>
    </xf>
    <xf numFmtId="0" fontId="36" fillId="2" borderId="0" xfId="90" applyFont="1" applyFill="1" applyAlignment="1">
      <alignment horizontal="center" vertical="center" wrapText="1"/>
    </xf>
    <xf numFmtId="0" fontId="36" fillId="2" borderId="0" xfId="95" applyFont="1" applyFill="1" applyAlignment="1">
      <alignment horizontal="center" vertical="center"/>
    </xf>
    <xf numFmtId="0" fontId="36" fillId="2" borderId="1" xfId="90" applyFont="1" applyFill="1" applyBorder="1" applyAlignment="1">
      <alignment horizontal="center" vertical="center" wrapText="1"/>
    </xf>
    <xf numFmtId="0" fontId="36" fillId="2" borderId="1" xfId="94" applyFont="1" applyFill="1" applyBorder="1" applyAlignment="1">
      <alignment horizontal="right" vertical="center"/>
    </xf>
    <xf numFmtId="0" fontId="53" fillId="2" borderId="1" xfId="94" applyFont="1" applyFill="1" applyBorder="1" applyAlignment="1">
      <alignment horizontal="right" vertical="center"/>
    </xf>
    <xf numFmtId="0" fontId="53" fillId="0" borderId="1" xfId="90" applyFont="1" applyBorder="1" applyAlignment="1">
      <alignment horizontal="right"/>
    </xf>
    <xf numFmtId="0" fontId="36" fillId="0" borderId="0" xfId="90" applyFont="1" applyAlignment="1">
      <alignment horizontal="left" vertical="center" wrapText="1"/>
    </xf>
    <xf numFmtId="0" fontId="36" fillId="0" borderId="0" xfId="90" applyFont="1" applyAlignment="1">
      <alignment horizontal="right" vertical="center" wrapText="1"/>
    </xf>
    <xf numFmtId="0" fontId="53" fillId="0" borderId="0" xfId="90" applyFont="1" applyAlignment="1">
      <alignment horizontal="right" vertical="center"/>
    </xf>
    <xf numFmtId="167" fontId="36" fillId="0" borderId="0" xfId="90" applyNumberFormat="1" applyFont="1"/>
    <xf numFmtId="167" fontId="35" fillId="0" borderId="0" xfId="90" applyNumberFormat="1" applyFont="1"/>
    <xf numFmtId="167" fontId="35" fillId="0" borderId="0" xfId="90" applyNumberFormat="1" applyFont="1" applyAlignment="1">
      <alignment horizontal="left"/>
    </xf>
    <xf numFmtId="167" fontId="35" fillId="2" borderId="0" xfId="91" applyNumberFormat="1" applyFont="1" applyFill="1" applyAlignment="1">
      <alignment horizontal="right" vertical="center"/>
    </xf>
    <xf numFmtId="168" fontId="35" fillId="2" borderId="0" xfId="91" applyNumberFormat="1" applyFont="1" applyFill="1" applyAlignment="1">
      <alignment horizontal="right" vertical="center"/>
    </xf>
    <xf numFmtId="167" fontId="35" fillId="3" borderId="0" xfId="90" applyNumberFormat="1" applyFont="1" applyFill="1" applyAlignment="1">
      <alignment horizontal="right" vertical="center"/>
    </xf>
    <xf numFmtId="167" fontId="35" fillId="2" borderId="0" xfId="93" applyNumberFormat="1" applyFont="1" applyFill="1" applyAlignment="1">
      <alignment horizontal="right" vertical="center"/>
    </xf>
    <xf numFmtId="167" fontId="35" fillId="0" borderId="0" xfId="90" applyNumberFormat="1" applyFont="1" applyAlignment="1">
      <alignment horizontal="right" vertical="center"/>
    </xf>
    <xf numFmtId="0" fontId="53" fillId="0" borderId="5" xfId="90" applyFont="1" applyBorder="1"/>
    <xf numFmtId="0" fontId="53" fillId="0" borderId="1" xfId="90" applyFont="1" applyBorder="1" applyAlignment="1">
      <alignment horizontal="left"/>
    </xf>
    <xf numFmtId="166" fontId="35" fillId="2" borderId="1" xfId="91" applyNumberFormat="1" applyFont="1" applyFill="1" applyBorder="1" applyAlignment="1">
      <alignment horizontal="right" vertical="center"/>
    </xf>
    <xf numFmtId="165" fontId="35" fillId="2" borderId="1" xfId="91" applyNumberFormat="1" applyFont="1" applyFill="1" applyBorder="1" applyAlignment="1">
      <alignment horizontal="right" vertical="center"/>
    </xf>
    <xf numFmtId="165" fontId="35" fillId="3" borderId="1" xfId="90" applyNumberFormat="1" applyFont="1" applyFill="1" applyBorder="1" applyAlignment="1">
      <alignment horizontal="right" vertical="center"/>
    </xf>
    <xf numFmtId="165" fontId="35" fillId="2" borderId="1" xfId="93" applyNumberFormat="1" applyFont="1" applyFill="1" applyBorder="1" applyAlignment="1">
      <alignment horizontal="right" vertical="center"/>
    </xf>
    <xf numFmtId="0" fontId="9" fillId="0" borderId="0" xfId="90"/>
    <xf numFmtId="166" fontId="35" fillId="2" borderId="0" xfId="91" applyNumberFormat="1" applyFont="1" applyFill="1"/>
    <xf numFmtId="165" fontId="35" fillId="2" borderId="0" xfId="91" applyNumberFormat="1" applyFont="1" applyFill="1"/>
    <xf numFmtId="165" fontId="35" fillId="3" borderId="0" xfId="90" applyNumberFormat="1" applyFont="1" applyFill="1"/>
    <xf numFmtId="165" fontId="35" fillId="2" borderId="0" xfId="93" applyNumberFormat="1" applyFont="1" applyFill="1"/>
    <xf numFmtId="166" fontId="35" fillId="0" borderId="0" xfId="90" applyNumberFormat="1" applyFont="1"/>
    <xf numFmtId="0" fontId="53" fillId="0" borderId="0" xfId="96" applyFont="1" applyAlignment="1">
      <alignment horizontal="left"/>
    </xf>
    <xf numFmtId="166" fontId="35" fillId="2" borderId="0" xfId="97" applyNumberFormat="1" applyFont="1" applyFill="1"/>
    <xf numFmtId="165" fontId="35" fillId="2" borderId="0" xfId="97" applyNumberFormat="1" applyFont="1" applyFill="1"/>
    <xf numFmtId="165" fontId="35" fillId="3" borderId="0" xfId="96" applyNumberFormat="1" applyFont="1" applyFill="1"/>
    <xf numFmtId="165" fontId="35" fillId="2" borderId="0" xfId="98" applyNumberFormat="1" applyFont="1" applyFill="1"/>
    <xf numFmtId="166" fontId="35" fillId="0" borderId="0" xfId="96" applyNumberFormat="1" applyFont="1"/>
    <xf numFmtId="0" fontId="53" fillId="0" borderId="0" xfId="96" applyFont="1"/>
    <xf numFmtId="0" fontId="9" fillId="0" borderId="0" xfId="96"/>
    <xf numFmtId="0" fontId="9" fillId="0" borderId="0" xfId="90" applyAlignment="1">
      <alignment horizontal="left"/>
    </xf>
    <xf numFmtId="0" fontId="9" fillId="0" borderId="0" xfId="90" applyAlignment="1">
      <alignment horizontal="center"/>
    </xf>
    <xf numFmtId="165" fontId="9" fillId="0" borderId="0" xfId="90" applyNumberFormat="1" applyAlignment="1">
      <alignment horizontal="center"/>
    </xf>
    <xf numFmtId="165" fontId="9" fillId="0" borderId="0" xfId="90" applyNumberFormat="1"/>
    <xf numFmtId="0" fontId="32" fillId="0" borderId="0" xfId="99" applyFont="1"/>
    <xf numFmtId="0" fontId="58" fillId="0" borderId="0" xfId="99" applyFont="1"/>
    <xf numFmtId="0" fontId="58" fillId="0" borderId="0" xfId="99" applyFont="1" applyAlignment="1">
      <alignment horizontal="left"/>
    </xf>
    <xf numFmtId="0" fontId="55" fillId="0" borderId="0" xfId="99" applyFont="1"/>
    <xf numFmtId="0" fontId="53" fillId="0" borderId="1" xfId="99" applyFont="1" applyBorder="1"/>
    <xf numFmtId="0" fontId="53" fillId="0" borderId="0" xfId="99" applyFont="1" applyAlignment="1">
      <alignment horizontal="left"/>
    </xf>
    <xf numFmtId="0" fontId="53" fillId="0" borderId="0" xfId="99" applyFont="1"/>
    <xf numFmtId="0" fontId="8" fillId="0" borderId="0" xfId="99"/>
    <xf numFmtId="0" fontId="36" fillId="0" borderId="3" xfId="101" applyFont="1" applyBorder="1" applyAlignment="1">
      <alignment horizontal="right" vertical="center" wrapText="1"/>
    </xf>
    <xf numFmtId="0" fontId="53" fillId="0" borderId="3" xfId="99" applyFont="1" applyBorder="1"/>
    <xf numFmtId="0" fontId="36" fillId="0" borderId="0" xfId="101" applyFont="1" applyAlignment="1">
      <alignment horizontal="right" vertical="center" wrapText="1"/>
    </xf>
    <xf numFmtId="0" fontId="36" fillId="0" borderId="1" xfId="101" applyFont="1" applyBorder="1" applyAlignment="1">
      <alignment horizontal="right" vertical="center" wrapText="1"/>
    </xf>
    <xf numFmtId="0" fontId="36" fillId="0" borderId="0" xfId="99" applyFont="1" applyAlignment="1">
      <alignment horizontal="left" vertical="center" wrapText="1"/>
    </xf>
    <xf numFmtId="0" fontId="36" fillId="0" borderId="0" xfId="99" applyFont="1" applyAlignment="1">
      <alignment horizontal="right" vertical="center" wrapText="1"/>
    </xf>
    <xf numFmtId="0" fontId="53" fillId="0" borderId="0" xfId="99" applyFont="1" applyAlignment="1">
      <alignment horizontal="right"/>
    </xf>
    <xf numFmtId="167" fontId="36" fillId="0" borderId="0" xfId="99" applyNumberFormat="1" applyFont="1"/>
    <xf numFmtId="167" fontId="36" fillId="0" borderId="0" xfId="99" applyNumberFormat="1" applyFont="1" applyAlignment="1">
      <alignment horizontal="right"/>
    </xf>
    <xf numFmtId="167" fontId="34" fillId="0" borderId="0" xfId="99" applyNumberFormat="1" applyFont="1"/>
    <xf numFmtId="167" fontId="35" fillId="0" borderId="0" xfId="99" applyNumberFormat="1" applyFont="1"/>
    <xf numFmtId="167" fontId="35" fillId="0" borderId="0" xfId="99" applyNumberFormat="1" applyFont="1" applyAlignment="1">
      <alignment horizontal="right"/>
    </xf>
    <xf numFmtId="167" fontId="33" fillId="0" borderId="0" xfId="99" applyNumberFormat="1" applyFont="1"/>
    <xf numFmtId="167" fontId="35" fillId="0" borderId="0" xfId="99" applyNumberFormat="1" applyFont="1" applyAlignment="1">
      <alignment horizontal="left"/>
    </xf>
    <xf numFmtId="0" fontId="53" fillId="0" borderId="5" xfId="99" applyFont="1" applyBorder="1"/>
    <xf numFmtId="0" fontId="53" fillId="0" borderId="1" xfId="99" applyFont="1" applyBorder="1" applyAlignment="1">
      <alignment horizontal="left"/>
    </xf>
    <xf numFmtId="0" fontId="53" fillId="0" borderId="1" xfId="99" applyFont="1" applyBorder="1" applyAlignment="1">
      <alignment horizontal="right"/>
    </xf>
    <xf numFmtId="166" fontId="35" fillId="0" borderId="1" xfId="99" applyNumberFormat="1" applyFont="1" applyBorder="1" applyAlignment="1">
      <alignment horizontal="right"/>
    </xf>
    <xf numFmtId="166" fontId="35" fillId="0" borderId="0" xfId="99" applyNumberFormat="1" applyFont="1"/>
    <xf numFmtId="0" fontId="8" fillId="0" borderId="0" xfId="99" applyAlignment="1">
      <alignment horizontal="left"/>
    </xf>
    <xf numFmtId="0" fontId="36" fillId="6" borderId="3" xfId="0" applyFont="1" applyFill="1" applyBorder="1" applyAlignment="1">
      <alignment horizontal="left" vertical="center" wrapText="1"/>
    </xf>
    <xf numFmtId="0" fontId="36" fillId="6" borderId="0" xfId="0" applyFont="1" applyFill="1" applyAlignment="1">
      <alignment horizontal="left" vertical="center" wrapText="1"/>
    </xf>
    <xf numFmtId="0" fontId="36" fillId="6" borderId="1" xfId="0" applyFont="1" applyFill="1" applyBorder="1" applyAlignment="1">
      <alignment horizontal="left" vertical="center" wrapText="1"/>
    </xf>
    <xf numFmtId="167" fontId="36" fillId="2" borderId="0" xfId="102" applyNumberFormat="1" applyFont="1" applyFill="1" applyAlignment="1">
      <alignment horizontal="right"/>
    </xf>
    <xf numFmtId="167" fontId="35" fillId="2" borderId="0" xfId="102" applyNumberFormat="1" applyFont="1" applyFill="1" applyAlignment="1">
      <alignment horizontal="right"/>
    </xf>
    <xf numFmtId="0" fontId="32" fillId="0" borderId="0" xfId="105" applyFont="1"/>
    <xf numFmtId="0" fontId="58" fillId="0" borderId="0" xfId="105" applyFont="1"/>
    <xf numFmtId="0" fontId="58" fillId="0" borderId="0" xfId="105" applyFont="1" applyAlignment="1">
      <alignment horizontal="left"/>
    </xf>
    <xf numFmtId="0" fontId="53" fillId="0" borderId="1" xfId="105" applyFont="1" applyBorder="1"/>
    <xf numFmtId="0" fontId="53" fillId="0" borderId="0" xfId="105" applyFont="1" applyAlignment="1">
      <alignment horizontal="left"/>
    </xf>
    <xf numFmtId="0" fontId="53" fillId="0" borderId="0" xfId="105" applyFont="1"/>
    <xf numFmtId="0" fontId="6" fillId="0" borderId="0" xfId="105"/>
    <xf numFmtId="0" fontId="36" fillId="0" borderId="3" xfId="107" applyFont="1" applyBorder="1" applyAlignment="1">
      <alignment horizontal="right" vertical="center" wrapText="1"/>
    </xf>
    <xf numFmtId="0" fontId="53" fillId="0" borderId="3" xfId="105" applyFont="1" applyBorder="1"/>
    <xf numFmtId="0" fontId="36" fillId="0" borderId="0" xfId="107" applyFont="1" applyAlignment="1">
      <alignment horizontal="right" vertical="center" wrapText="1"/>
    </xf>
    <xf numFmtId="0" fontId="36" fillId="0" borderId="1" xfId="107" applyFont="1" applyBorder="1" applyAlignment="1">
      <alignment horizontal="right" vertical="center" wrapText="1"/>
    </xf>
    <xf numFmtId="0" fontId="36" fillId="0" borderId="0" xfId="105" applyFont="1" applyAlignment="1">
      <alignment horizontal="left" vertical="center" wrapText="1"/>
    </xf>
    <xf numFmtId="0" fontId="36" fillId="0" borderId="0" xfId="105" applyFont="1" applyAlignment="1">
      <alignment horizontal="right" vertical="center" wrapText="1"/>
    </xf>
    <xf numFmtId="0" fontId="53" fillId="0" borderId="0" xfId="105" applyFont="1" applyAlignment="1">
      <alignment horizontal="right"/>
    </xf>
    <xf numFmtId="167" fontId="36" fillId="0" borderId="0" xfId="105" applyNumberFormat="1" applyFont="1"/>
    <xf numFmtId="167" fontId="36" fillId="0" borderId="0" xfId="105" applyNumberFormat="1" applyFont="1" applyAlignment="1">
      <alignment horizontal="right"/>
    </xf>
    <xf numFmtId="167" fontId="34" fillId="0" borderId="0" xfId="105" applyNumberFormat="1" applyFont="1"/>
    <xf numFmtId="167" fontId="35" fillId="0" borderId="0" xfId="105" applyNumberFormat="1" applyFont="1"/>
    <xf numFmtId="167" fontId="35" fillId="0" borderId="0" xfId="105" applyNumberFormat="1" applyFont="1" applyAlignment="1">
      <alignment horizontal="right"/>
    </xf>
    <xf numFmtId="167" fontId="33" fillId="0" borderId="0" xfId="105" applyNumberFormat="1" applyFont="1"/>
    <xf numFmtId="167" fontId="35" fillId="0" borderId="0" xfId="105" applyNumberFormat="1" applyFont="1" applyAlignment="1">
      <alignment horizontal="left"/>
    </xf>
    <xf numFmtId="0" fontId="53" fillId="0" borderId="5" xfId="105" applyFont="1" applyBorder="1"/>
    <xf numFmtId="0" fontId="53" fillId="0" borderId="1" xfId="105" applyFont="1" applyBorder="1" applyAlignment="1">
      <alignment horizontal="left"/>
    </xf>
    <xf numFmtId="0" fontId="53" fillId="0" borderId="1" xfId="105" applyFont="1" applyBorder="1" applyAlignment="1">
      <alignment horizontal="right"/>
    </xf>
    <xf numFmtId="166" fontId="35" fillId="0" borderId="1" xfId="105" applyNumberFormat="1" applyFont="1" applyBorder="1" applyAlignment="1">
      <alignment horizontal="right"/>
    </xf>
    <xf numFmtId="166" fontId="35" fillId="0" borderId="0" xfId="105" applyNumberFormat="1" applyFont="1"/>
    <xf numFmtId="0" fontId="6" fillId="0" borderId="0" xfId="105" applyAlignment="1">
      <alignment horizontal="left"/>
    </xf>
    <xf numFmtId="167" fontId="36" fillId="2" borderId="0" xfId="108" applyNumberFormat="1" applyFont="1" applyFill="1" applyAlignment="1">
      <alignment horizontal="right"/>
    </xf>
    <xf numFmtId="167" fontId="35" fillId="2" borderId="0" xfId="108" applyNumberFormat="1" applyFont="1" applyFill="1" applyAlignment="1">
      <alignment horizontal="right"/>
    </xf>
    <xf numFmtId="0" fontId="36" fillId="2" borderId="1" xfId="2" applyFont="1" applyFill="1" applyBorder="1" applyAlignment="1">
      <alignment horizontal="right" vertical="center" wrapText="1"/>
    </xf>
    <xf numFmtId="0" fontId="36" fillId="2" borderId="2" xfId="27" applyFont="1" applyFill="1" applyBorder="1" applyAlignment="1">
      <alignment horizontal="center" vertical="center"/>
    </xf>
    <xf numFmtId="0" fontId="36" fillId="2" borderId="0" xfId="2" applyFont="1" applyFill="1" applyAlignment="1">
      <alignment horizontal="right" vertical="center" wrapText="1"/>
    </xf>
    <xf numFmtId="0" fontId="32" fillId="0" borderId="0" xfId="111" applyFont="1"/>
    <xf numFmtId="0" fontId="35" fillId="2" borderId="0" xfId="13" applyFont="1" applyFill="1" applyAlignment="1">
      <alignment horizontal="left" vertical="center"/>
    </xf>
    <xf numFmtId="0" fontId="36" fillId="2" borderId="0" xfId="2" applyFont="1" applyFill="1" applyAlignment="1">
      <alignment vertical="center"/>
    </xf>
    <xf numFmtId="0" fontId="36" fillId="0" borderId="1" xfId="2" applyFont="1" applyBorder="1" applyAlignment="1">
      <alignment horizontal="right" vertical="center" wrapText="1"/>
    </xf>
    <xf numFmtId="167" fontId="36" fillId="2" borderId="0" xfId="11" applyNumberFormat="1" applyFont="1" applyFill="1" applyAlignment="1" applyProtection="1">
      <alignment vertical="center" wrapText="1" readingOrder="1"/>
      <protection locked="0"/>
    </xf>
    <xf numFmtId="167" fontId="35" fillId="2" borderId="0" xfId="2" applyNumberFormat="1" applyFont="1" applyFill="1" applyAlignment="1">
      <alignment horizontal="left" indent="1"/>
    </xf>
    <xf numFmtId="167" fontId="36" fillId="2" borderId="0" xfId="11" applyNumberFormat="1" applyFont="1" applyFill="1" applyAlignment="1">
      <alignment horizontal="left" readingOrder="1"/>
    </xf>
    <xf numFmtId="167" fontId="36" fillId="0" borderId="0" xfId="11" applyNumberFormat="1" applyFont="1" applyAlignment="1">
      <alignment horizontal="left" readingOrder="1"/>
    </xf>
    <xf numFmtId="0" fontId="32" fillId="2" borderId="0" xfId="112" applyFont="1" applyFill="1"/>
    <xf numFmtId="0" fontId="30" fillId="2" borderId="0" xfId="2" applyFill="1"/>
    <xf numFmtId="0" fontId="30" fillId="2" borderId="0" xfId="2" applyFill="1" applyAlignment="1">
      <alignment horizontal="left" vertical="center"/>
    </xf>
    <xf numFmtId="0" fontId="36" fillId="2" borderId="0" xfId="2" applyFont="1" applyFill="1" applyAlignment="1">
      <alignment horizontal="right" vertical="center" wrapText="1"/>
    </xf>
    <xf numFmtId="0" fontId="36" fillId="2" borderId="1" xfId="2" applyFont="1" applyFill="1" applyBorder="1" applyAlignment="1">
      <alignment horizontal="right" vertical="center" wrapText="1"/>
    </xf>
    <xf numFmtId="0" fontId="36" fillId="2" borderId="2" xfId="27" applyFont="1" applyFill="1" applyBorder="1" applyAlignment="1">
      <alignment horizontal="center" vertical="center"/>
    </xf>
    <xf numFmtId="0" fontId="32" fillId="0" borderId="0" xfId="113" applyFont="1"/>
    <xf numFmtId="0" fontId="36" fillId="2" borderId="0" xfId="11" applyFont="1" applyFill="1" applyAlignment="1">
      <alignment horizontal="left" readingOrder="1"/>
    </xf>
    <xf numFmtId="0" fontId="36" fillId="0" borderId="0" xfId="11" applyFont="1" applyAlignment="1">
      <alignment horizontal="left" readingOrder="1"/>
    </xf>
    <xf numFmtId="0" fontId="32" fillId="2" borderId="0" xfId="114" applyFont="1" applyFill="1"/>
    <xf numFmtId="168" fontId="35" fillId="2" borderId="0" xfId="81" applyNumberFormat="1" applyFont="1" applyFill="1" applyAlignment="1">
      <alignment horizontal="right" vertical="center"/>
    </xf>
    <xf numFmtId="0" fontId="31" fillId="0" borderId="0" xfId="0" applyFont="1" applyAlignment="1">
      <alignment vertical="center"/>
    </xf>
    <xf numFmtId="0" fontId="67" fillId="8" borderId="7" xfId="31" applyFont="1" applyFill="1" applyBorder="1" applyAlignment="1">
      <alignment horizontal="center" vertical="center"/>
    </xf>
    <xf numFmtId="0" fontId="67" fillId="8" borderId="8" xfId="31" applyFont="1" applyFill="1" applyBorder="1" applyAlignment="1">
      <alignment horizontal="center" vertical="center"/>
    </xf>
    <xf numFmtId="0" fontId="52" fillId="0" borderId="16" xfId="31" applyFont="1" applyBorder="1" applyAlignment="1">
      <alignment horizontal="left" vertical="center" wrapText="1" indent="1"/>
    </xf>
    <xf numFmtId="0" fontId="52" fillId="0" borderId="15" xfId="31" applyFont="1" applyBorder="1" applyAlignment="1">
      <alignment horizontal="left" vertical="center" wrapText="1" indent="1"/>
    </xf>
    <xf numFmtId="0" fontId="52" fillId="0" borderId="17" xfId="31" applyFont="1" applyBorder="1" applyAlignment="1">
      <alignment horizontal="left" vertical="center" wrapText="1" indent="1"/>
    </xf>
    <xf numFmtId="0" fontId="65" fillId="0" borderId="0" xfId="31" applyFont="1" applyAlignment="1">
      <alignment horizontal="center" vertical="center"/>
    </xf>
    <xf numFmtId="0" fontId="66" fillId="0" borderId="0" xfId="31" applyFont="1" applyAlignment="1">
      <alignment horizontal="center" vertical="center"/>
    </xf>
    <xf numFmtId="0" fontId="67" fillId="7" borderId="0" xfId="31" applyFont="1" applyFill="1" applyAlignment="1">
      <alignment horizontal="center" vertical="center"/>
    </xf>
    <xf numFmtId="0" fontId="31" fillId="0" borderId="0" xfId="11" applyFont="1" applyAlignment="1">
      <alignment horizontal="center" vertical="center"/>
    </xf>
    <xf numFmtId="0" fontId="31" fillId="0" borderId="0" xfId="31" applyFont="1" applyAlignment="1">
      <alignment horizontal="right"/>
    </xf>
    <xf numFmtId="0" fontId="52" fillId="0" borderId="20" xfId="31" applyFont="1" applyBorder="1" applyAlignment="1">
      <alignment horizontal="left" vertical="center" wrapText="1" indent="1"/>
    </xf>
    <xf numFmtId="0" fontId="52" fillId="0" borderId="19" xfId="31" applyFont="1" applyBorder="1" applyAlignment="1">
      <alignment horizontal="left" vertical="center" wrapText="1" indent="1"/>
    </xf>
    <xf numFmtId="0" fontId="52" fillId="0" borderId="21" xfId="31" applyFont="1" applyBorder="1" applyAlignment="1">
      <alignment horizontal="left" vertical="center" wrapText="1" indent="1"/>
    </xf>
    <xf numFmtId="0" fontId="69" fillId="0" borderId="9" xfId="32" applyFont="1" applyFill="1" applyBorder="1" applyAlignment="1">
      <alignment horizontal="center" vertical="center" wrapText="1"/>
    </xf>
    <xf numFmtId="0" fontId="70" fillId="0" borderId="14" xfId="32" applyFont="1" applyFill="1" applyBorder="1" applyAlignment="1">
      <alignment horizontal="center" vertical="center" wrapText="1"/>
    </xf>
    <xf numFmtId="0" fontId="70" fillId="0" borderId="18" xfId="32" applyFont="1" applyFill="1" applyBorder="1" applyAlignment="1">
      <alignment horizontal="center" vertical="center" wrapText="1"/>
    </xf>
    <xf numFmtId="0" fontId="52" fillId="0" borderId="11" xfId="31" applyFont="1" applyBorder="1" applyAlignment="1">
      <alignment horizontal="left" vertical="center" wrapText="1" indent="1"/>
    </xf>
    <xf numFmtId="0" fontId="52" fillId="0" borderId="12" xfId="31" applyFont="1" applyBorder="1" applyAlignment="1">
      <alignment horizontal="left" vertical="center" wrapText="1" indent="1"/>
    </xf>
    <xf numFmtId="0" fontId="52" fillId="0" borderId="13" xfId="31" applyFont="1" applyBorder="1" applyAlignment="1">
      <alignment horizontal="left" vertical="center" wrapText="1" indent="1"/>
    </xf>
    <xf numFmtId="0" fontId="38" fillId="0" borderId="0" xfId="11" applyFont="1" applyAlignment="1">
      <alignment horizontal="left" vertical="center" wrapText="1"/>
    </xf>
    <xf numFmtId="0" fontId="36" fillId="0" borderId="3" xfId="11" applyFont="1" applyBorder="1" applyAlignment="1">
      <alignment horizontal="left" vertical="center" wrapText="1"/>
    </xf>
    <xf numFmtId="0" fontId="36" fillId="0" borderId="0" xfId="11" applyFont="1" applyAlignment="1">
      <alignment horizontal="left" vertical="center" wrapText="1"/>
    </xf>
    <xf numFmtId="0" fontId="36" fillId="0" borderId="1" xfId="11" applyFont="1" applyBorder="1" applyAlignment="1">
      <alignment horizontal="left" vertical="center" wrapText="1"/>
    </xf>
    <xf numFmtId="0" fontId="36" fillId="0" borderId="3" xfId="11" applyFont="1" applyBorder="1" applyAlignment="1">
      <alignment horizontal="right" vertical="center" wrapText="1"/>
    </xf>
    <xf numFmtId="0" fontId="36" fillId="0" borderId="0" xfId="11" applyFont="1" applyAlignment="1">
      <alignment horizontal="right" vertical="center" wrapText="1"/>
    </xf>
    <xf numFmtId="0" fontId="36" fillId="0" borderId="1" xfId="11" applyFont="1" applyBorder="1" applyAlignment="1">
      <alignment horizontal="right" vertical="center" wrapText="1"/>
    </xf>
    <xf numFmtId="0" fontId="36" fillId="0" borderId="2" xfId="11" applyFont="1" applyBorder="1" applyAlignment="1">
      <alignment horizontal="center" vertical="center" wrapText="1"/>
    </xf>
    <xf numFmtId="0" fontId="38" fillId="0" borderId="0" xfId="11" applyFont="1" applyAlignment="1">
      <alignment horizontal="left" vertical="top" wrapText="1"/>
    </xf>
    <xf numFmtId="0" fontId="43" fillId="0" borderId="3" xfId="11" applyFont="1" applyBorder="1" applyAlignment="1">
      <alignment horizontal="left" vertical="center" wrapText="1"/>
    </xf>
    <xf numFmtId="0" fontId="43" fillId="0" borderId="1" xfId="11" applyFont="1" applyBorder="1" applyAlignment="1">
      <alignment horizontal="left" vertical="center" wrapText="1"/>
    </xf>
    <xf numFmtId="0" fontId="43" fillId="0" borderId="3" xfId="11" applyFont="1" applyBorder="1" applyAlignment="1">
      <alignment horizontal="right" vertical="center" wrapText="1"/>
    </xf>
    <xf numFmtId="0" fontId="43" fillId="0" borderId="1" xfId="11" applyFont="1" applyBorder="1" applyAlignment="1">
      <alignment horizontal="right" vertical="center" wrapText="1"/>
    </xf>
    <xf numFmtId="0" fontId="34" fillId="0" borderId="3" xfId="11" applyFont="1" applyBorder="1" applyAlignment="1">
      <alignment horizontal="right" vertical="center" wrapText="1"/>
    </xf>
    <xf numFmtId="0" fontId="34" fillId="0" borderId="1" xfId="11" applyFont="1" applyBorder="1" applyAlignment="1">
      <alignment horizontal="right" vertical="center" wrapText="1"/>
    </xf>
    <xf numFmtId="0" fontId="46" fillId="6" borderId="3" xfId="0" applyFont="1" applyFill="1" applyBorder="1" applyAlignment="1">
      <alignment horizontal="left" vertical="center" wrapText="1"/>
    </xf>
    <xf numFmtId="0" fontId="46" fillId="6" borderId="0" xfId="0" applyFont="1" applyFill="1" applyAlignment="1">
      <alignment horizontal="left" vertical="center" wrapText="1"/>
    </xf>
    <xf numFmtId="0" fontId="46" fillId="6" borderId="1" xfId="0" applyFont="1" applyFill="1" applyBorder="1" applyAlignment="1">
      <alignment horizontal="left" vertical="center" wrapText="1"/>
    </xf>
    <xf numFmtId="0" fontId="34" fillId="2" borderId="3" xfId="60" applyFont="1" applyFill="1" applyBorder="1" applyAlignment="1">
      <alignment horizontal="right" vertical="center" wrapText="1"/>
    </xf>
    <xf numFmtId="0" fontId="34" fillId="2" borderId="0" xfId="60" applyFont="1" applyFill="1" applyAlignment="1">
      <alignment horizontal="right" vertical="center" wrapText="1"/>
    </xf>
    <xf numFmtId="0" fontId="34" fillId="2" borderId="1" xfId="60" applyFont="1" applyFill="1" applyBorder="1" applyAlignment="1">
      <alignment horizontal="right" vertical="center" wrapText="1"/>
    </xf>
    <xf numFmtId="0" fontId="38" fillId="2" borderId="0" xfId="62" applyFont="1" applyFill="1" applyAlignment="1">
      <alignment horizontal="left" vertical="top" wrapText="1"/>
    </xf>
    <xf numFmtId="0" fontId="36" fillId="6" borderId="3" xfId="0" applyFont="1" applyFill="1" applyBorder="1" applyAlignment="1">
      <alignment horizontal="left" vertical="center" wrapText="1"/>
    </xf>
    <xf numFmtId="0" fontId="36" fillId="6" borderId="0" xfId="0" applyFont="1" applyFill="1" applyAlignment="1">
      <alignment horizontal="left" vertical="center" wrapText="1"/>
    </xf>
    <xf numFmtId="0" fontId="36" fillId="6" borderId="1" xfId="0" applyFont="1" applyFill="1" applyBorder="1" applyAlignment="1">
      <alignment horizontal="left" vertical="center" wrapText="1"/>
    </xf>
    <xf numFmtId="0" fontId="36" fillId="2" borderId="3" xfId="63" applyFont="1" applyFill="1" applyBorder="1" applyAlignment="1">
      <alignment horizontal="right" vertical="center" wrapText="1"/>
    </xf>
    <xf numFmtId="0" fontId="36" fillId="2" borderId="0" xfId="63" applyFont="1" applyFill="1" applyAlignment="1">
      <alignment horizontal="right" vertical="center" wrapText="1"/>
    </xf>
    <xf numFmtId="0" fontId="36" fillId="2" borderId="1" xfId="63" applyFont="1" applyFill="1" applyBorder="1" applyAlignment="1">
      <alignment horizontal="right" vertical="center" wrapText="1"/>
    </xf>
    <xf numFmtId="0" fontId="36" fillId="0" borderId="2" xfId="61" applyFont="1" applyBorder="1" applyAlignment="1">
      <alignment horizontal="center" vertical="center" wrapText="1"/>
    </xf>
    <xf numFmtId="0" fontId="36" fillId="2" borderId="1" xfId="13" applyFont="1" applyFill="1" applyBorder="1" applyAlignment="1">
      <alignment horizontal="center" vertical="center"/>
    </xf>
    <xf numFmtId="0" fontId="36" fillId="2" borderId="1" xfId="13" applyFont="1" applyFill="1" applyBorder="1" applyAlignment="1">
      <alignment horizontal="center" vertical="center" wrapText="1"/>
    </xf>
    <xf numFmtId="0" fontId="38" fillId="2" borderId="0" xfId="65" applyFont="1" applyFill="1" applyAlignment="1">
      <alignment horizontal="left" vertical="top" wrapText="1"/>
    </xf>
    <xf numFmtId="0" fontId="36" fillId="2" borderId="3" xfId="67" applyFont="1" applyFill="1" applyBorder="1" applyAlignment="1">
      <alignment horizontal="right" vertical="center" wrapText="1"/>
    </xf>
    <xf numFmtId="0" fontId="36" fillId="2" borderId="0" xfId="67" applyFont="1" applyFill="1" applyAlignment="1">
      <alignment horizontal="right" vertical="center" wrapText="1"/>
    </xf>
    <xf numFmtId="0" fontId="36" fillId="2" borderId="1" xfId="67" applyFont="1" applyFill="1" applyBorder="1" applyAlignment="1">
      <alignment horizontal="right" vertical="center" wrapText="1"/>
    </xf>
    <xf numFmtId="0" fontId="36" fillId="2" borderId="2" xfId="68" applyFont="1" applyFill="1" applyBorder="1" applyAlignment="1">
      <alignment horizontal="center" vertical="center" wrapText="1"/>
    </xf>
    <xf numFmtId="0" fontId="36" fillId="2" borderId="5" xfId="69" applyFont="1" applyFill="1" applyBorder="1" applyAlignment="1">
      <alignment horizontal="center" vertical="center" wrapText="1"/>
    </xf>
    <xf numFmtId="0" fontId="38" fillId="2" borderId="0" xfId="71" applyFont="1" applyFill="1" applyAlignment="1">
      <alignment horizontal="left" vertical="top" wrapText="1"/>
    </xf>
    <xf numFmtId="0" fontId="36" fillId="2" borderId="3" xfId="72" applyFont="1" applyFill="1" applyBorder="1" applyAlignment="1">
      <alignment horizontal="right" vertical="center" wrapText="1"/>
    </xf>
    <xf numFmtId="0" fontId="36" fillId="2" borderId="0" xfId="72" applyFont="1" applyFill="1" applyAlignment="1">
      <alignment horizontal="right" vertical="center" wrapText="1"/>
    </xf>
    <xf numFmtId="0" fontId="36" fillId="2" borderId="1" xfId="72" applyFont="1" applyFill="1" applyBorder="1" applyAlignment="1">
      <alignment horizontal="right" vertical="center" wrapText="1"/>
    </xf>
    <xf numFmtId="0" fontId="36" fillId="2" borderId="2" xfId="73" applyFont="1" applyFill="1" applyBorder="1" applyAlignment="1">
      <alignment horizontal="center" vertical="center" wrapText="1"/>
    </xf>
    <xf numFmtId="0" fontId="36" fillId="2" borderId="2" xfId="72" applyFont="1" applyFill="1" applyBorder="1" applyAlignment="1">
      <alignment horizontal="center" vertical="center" wrapText="1"/>
    </xf>
    <xf numFmtId="0" fontId="35" fillId="6" borderId="0" xfId="0" applyFont="1" applyFill="1" applyAlignment="1">
      <alignment horizontal="left" vertical="center" wrapText="1"/>
    </xf>
    <xf numFmtId="0" fontId="38" fillId="2" borderId="0" xfId="75" applyFont="1" applyFill="1" applyAlignment="1">
      <alignment horizontal="left" vertical="top" wrapText="1"/>
    </xf>
    <xf numFmtId="0" fontId="36" fillId="2" borderId="3" xfId="76" applyFont="1" applyFill="1" applyBorder="1" applyAlignment="1">
      <alignment horizontal="right" vertical="center" wrapText="1"/>
    </xf>
    <xf numFmtId="0" fontId="36" fillId="2" borderId="0" xfId="76" applyFont="1" applyFill="1" applyAlignment="1">
      <alignment horizontal="right" vertical="center" wrapText="1"/>
    </xf>
    <xf numFmtId="0" fontId="36" fillId="2" borderId="1" xfId="76" applyFont="1" applyFill="1" applyBorder="1" applyAlignment="1">
      <alignment horizontal="right" vertical="center" wrapText="1"/>
    </xf>
    <xf numFmtId="0" fontId="36" fillId="2" borderId="2" xfId="77" applyFont="1" applyFill="1" applyBorder="1" applyAlignment="1">
      <alignment horizontal="center" vertical="center" wrapText="1"/>
    </xf>
    <xf numFmtId="0" fontId="36" fillId="2" borderId="2" xfId="78" applyFont="1" applyFill="1" applyBorder="1" applyAlignment="1">
      <alignment horizontal="center" vertical="center"/>
    </xf>
    <xf numFmtId="0" fontId="36" fillId="2" borderId="2" xfId="79" applyFont="1" applyFill="1" applyBorder="1" applyAlignment="1">
      <alignment horizontal="center" vertical="center" wrapText="1"/>
    </xf>
    <xf numFmtId="0" fontId="38" fillId="2" borderId="0" xfId="81" applyFont="1" applyFill="1" applyAlignment="1">
      <alignment horizontal="left" vertical="top" wrapText="1"/>
    </xf>
    <xf numFmtId="0" fontId="38" fillId="2" borderId="0" xfId="86" applyFont="1" applyFill="1" applyAlignment="1">
      <alignment horizontal="left" vertical="top" wrapText="1"/>
    </xf>
    <xf numFmtId="0" fontId="34" fillId="2" borderId="3" xfId="87" applyFont="1" applyFill="1" applyBorder="1" applyAlignment="1">
      <alignment horizontal="right" vertical="center" wrapText="1"/>
    </xf>
    <xf numFmtId="0" fontId="34" fillId="2" borderId="0" xfId="87" applyFont="1" applyFill="1" applyAlignment="1">
      <alignment horizontal="right" vertical="center" wrapText="1"/>
    </xf>
    <xf numFmtId="0" fontId="34" fillId="2" borderId="1" xfId="87" applyFont="1" applyFill="1" applyBorder="1" applyAlignment="1">
      <alignment horizontal="right" vertical="center" wrapText="1"/>
    </xf>
    <xf numFmtId="0" fontId="34" fillId="2" borderId="2" xfId="88" applyFont="1" applyFill="1" applyBorder="1" applyAlignment="1">
      <alignment horizontal="center" vertical="center" wrapText="1"/>
    </xf>
    <xf numFmtId="0" fontId="34" fillId="2" borderId="2" xfId="89" applyFont="1" applyFill="1" applyBorder="1" applyAlignment="1">
      <alignment horizontal="center" vertical="center" wrapText="1"/>
    </xf>
    <xf numFmtId="0" fontId="38" fillId="2" borderId="0" xfId="91" applyFont="1" applyFill="1" applyAlignment="1">
      <alignment horizontal="left" vertical="top" wrapText="1"/>
    </xf>
    <xf numFmtId="0" fontId="36" fillId="2" borderId="3" xfId="93" applyFont="1" applyFill="1" applyBorder="1" applyAlignment="1">
      <alignment horizontal="right" vertical="center" wrapText="1"/>
    </xf>
    <xf numFmtId="0" fontId="36" fillId="2" borderId="0" xfId="93" applyFont="1" applyFill="1" applyAlignment="1">
      <alignment horizontal="right" vertical="center" wrapText="1"/>
    </xf>
    <xf numFmtId="0" fontId="36" fillId="2" borderId="1" xfId="93" applyFont="1" applyFill="1" applyBorder="1" applyAlignment="1">
      <alignment horizontal="right" vertical="center" wrapText="1"/>
    </xf>
    <xf numFmtId="0" fontId="36" fillId="2" borderId="2" xfId="94" applyFont="1" applyFill="1" applyBorder="1" applyAlignment="1">
      <alignment horizontal="center" vertical="center" wrapText="1"/>
    </xf>
    <xf numFmtId="0" fontId="36" fillId="2" borderId="3" xfId="95" applyFont="1" applyFill="1" applyBorder="1" applyAlignment="1">
      <alignment horizontal="center" vertical="center" wrapText="1"/>
    </xf>
    <xf numFmtId="0" fontId="36" fillId="2" borderId="1" xfId="95" applyFont="1" applyFill="1" applyBorder="1" applyAlignment="1">
      <alignment horizontal="center" vertical="center" wrapText="1"/>
    </xf>
    <xf numFmtId="0" fontId="36" fillId="2" borderId="2" xfId="95" applyFont="1" applyFill="1" applyBorder="1" applyAlignment="1">
      <alignment horizontal="center" vertical="center" wrapText="1"/>
    </xf>
    <xf numFmtId="0" fontId="36" fillId="2" borderId="3" xfId="101" applyFont="1" applyFill="1" applyBorder="1" applyAlignment="1">
      <alignment horizontal="right" vertical="center" wrapText="1"/>
    </xf>
    <xf numFmtId="0" fontId="36" fillId="2" borderId="0" xfId="101" applyFont="1" applyFill="1" applyAlignment="1">
      <alignment horizontal="right" vertical="center" wrapText="1"/>
    </xf>
    <xf numFmtId="0" fontId="36" fillId="2" borderId="1" xfId="101" applyFont="1" applyFill="1" applyBorder="1" applyAlignment="1">
      <alignment horizontal="right" vertical="center" wrapText="1"/>
    </xf>
    <xf numFmtId="0" fontId="38" fillId="2" borderId="0" xfId="100" applyFont="1" applyFill="1" applyAlignment="1">
      <alignment horizontal="left" vertical="top" wrapText="1"/>
    </xf>
    <xf numFmtId="0" fontId="36" fillId="2" borderId="3" xfId="107" applyFont="1" applyFill="1" applyBorder="1" applyAlignment="1">
      <alignment horizontal="right" vertical="center" wrapText="1"/>
    </xf>
    <xf numFmtId="0" fontId="36" fillId="2" borderId="0" xfId="107" applyFont="1" applyFill="1" applyAlignment="1">
      <alignment horizontal="right" vertical="center" wrapText="1"/>
    </xf>
    <xf numFmtId="0" fontId="36" fillId="2" borderId="1" xfId="107" applyFont="1" applyFill="1" applyBorder="1" applyAlignment="1">
      <alignment horizontal="right" vertical="center" wrapText="1"/>
    </xf>
    <xf numFmtId="0" fontId="38" fillId="2" borderId="0" xfId="106" applyFont="1" applyFill="1" applyAlignment="1">
      <alignment horizontal="left" vertical="top" wrapText="1"/>
    </xf>
    <xf numFmtId="0" fontId="38" fillId="2" borderId="0" xfId="14" applyFont="1" applyFill="1" applyAlignment="1">
      <alignment horizontal="left" vertical="center" wrapText="1"/>
    </xf>
    <xf numFmtId="0" fontId="36" fillId="2" borderId="3" xfId="2" applyFont="1" applyFill="1" applyBorder="1" applyAlignment="1">
      <alignment horizontal="left" vertical="center" wrapText="1"/>
    </xf>
    <xf numFmtId="0" fontId="36" fillId="2" borderId="0" xfId="2" applyFont="1" applyFill="1" applyAlignment="1">
      <alignment horizontal="left" vertical="center" wrapText="1"/>
    </xf>
    <xf numFmtId="0" fontId="36" fillId="2" borderId="1" xfId="2" applyFont="1" applyFill="1" applyBorder="1" applyAlignment="1">
      <alignment horizontal="left" vertical="center" wrapText="1"/>
    </xf>
    <xf numFmtId="0" fontId="36" fillId="2" borderId="3" xfId="2" applyFont="1" applyFill="1" applyBorder="1" applyAlignment="1">
      <alignment horizontal="right" vertical="center" wrapText="1"/>
    </xf>
    <xf numFmtId="0" fontId="36" fillId="2" borderId="0" xfId="2" applyFont="1" applyFill="1" applyAlignment="1">
      <alignment horizontal="right" vertical="center" wrapText="1"/>
    </xf>
    <xf numFmtId="0" fontId="36" fillId="2" borderId="1" xfId="2" applyFont="1" applyFill="1" applyBorder="1" applyAlignment="1">
      <alignment horizontal="right" vertical="center" wrapText="1"/>
    </xf>
    <xf numFmtId="0" fontId="36" fillId="2" borderId="2" xfId="13" applyFont="1" applyFill="1" applyBorder="1" applyAlignment="1">
      <alignment horizontal="center" vertical="center"/>
    </xf>
    <xf numFmtId="0" fontId="38" fillId="0" borderId="0" xfId="14" applyFont="1" applyAlignment="1">
      <alignment horizontal="left" vertical="center" wrapText="1"/>
    </xf>
    <xf numFmtId="0" fontId="36" fillId="2" borderId="3" xfId="2" applyFont="1" applyFill="1" applyBorder="1" applyAlignment="1">
      <alignment horizontal="center" vertical="center" wrapText="1"/>
    </xf>
    <xf numFmtId="0" fontId="36" fillId="2" borderId="1" xfId="2" applyFont="1" applyFill="1" applyBorder="1" applyAlignment="1">
      <alignment horizontal="center" vertical="center" wrapText="1"/>
    </xf>
    <xf numFmtId="0" fontId="36" fillId="2" borderId="2" xfId="27" applyFont="1" applyFill="1" applyBorder="1" applyAlignment="1">
      <alignment horizontal="center" vertical="center" wrapText="1"/>
    </xf>
    <xf numFmtId="0" fontId="36" fillId="2" borderId="2" xfId="27" applyFont="1" applyFill="1" applyBorder="1" applyAlignment="1">
      <alignment horizontal="center" vertical="center"/>
    </xf>
  </cellXfs>
  <cellStyles count="115">
    <cellStyle name="Hipervínculo" xfId="30" builtinId="8"/>
    <cellStyle name="Hipervínculo 2" xfId="32" xr:uid="{BFCA8CD2-347E-4F7F-8004-319B664CADF1}"/>
    <cellStyle name="Hipervínculo 2 2" xfId="6" xr:uid="{00000000-0005-0000-0000-000000000000}"/>
    <cellStyle name="Millares 2" xfId="9" xr:uid="{00000000-0005-0000-0000-000001000000}"/>
    <cellStyle name="Millares 2 2" xfId="7" xr:uid="{00000000-0005-0000-0000-000002000000}"/>
    <cellStyle name="Millares 2 2 2" xfId="26" xr:uid="{156327F1-260E-4485-AD88-DF6ED2B2E58F}"/>
    <cellStyle name="Millares 2 2 3" xfId="66" xr:uid="{C7B86D24-447B-465A-90C2-78C407E67533}"/>
    <cellStyle name="Millares 2 2 4" xfId="92" xr:uid="{26D931BD-88B1-4F40-8744-88ADAF63C030}"/>
    <cellStyle name="Millares 3" xfId="23" xr:uid="{A26019EB-8C96-4E83-B30C-C1ECF248D920}"/>
    <cellStyle name="Millares 4" xfId="17" xr:uid="{D204205D-E9FD-42A6-B900-BD05AC771B65}"/>
    <cellStyle name="Normal" xfId="0" builtinId="0"/>
    <cellStyle name="Normal 10" xfId="3" xr:uid="{00000000-0005-0000-0000-000004000000}"/>
    <cellStyle name="Normal 10 2" xfId="15" xr:uid="{00000000-0005-0000-0000-000005000000}"/>
    <cellStyle name="Normal 10 2 2" xfId="29" xr:uid="{DB74D8B2-B73B-4B84-B4F4-5502A907A597}"/>
    <cellStyle name="Normal 10 3" xfId="19" xr:uid="{B1BAE04A-0714-4801-A9D6-196F03290DCF}"/>
    <cellStyle name="Normal 10 3 3 13" xfId="48" xr:uid="{A0E7FF2A-CA23-4102-BD35-88446877E5EF}"/>
    <cellStyle name="Normal 10 4" xfId="24" xr:uid="{C7E13E38-155F-41AE-8FAC-0131AF8C7E5C}"/>
    <cellStyle name="Normal 11" xfId="14" xr:uid="{00000000-0005-0000-0000-000006000000}"/>
    <cellStyle name="Normal 2" xfId="13" xr:uid="{00000000-0005-0000-0000-000007000000}"/>
    <cellStyle name="Normal 2 2" xfId="4" xr:uid="{00000000-0005-0000-0000-000008000000}"/>
    <cellStyle name="Normal 2 2 10" xfId="81" xr:uid="{DA2B96BE-9C96-41C3-B1B2-A5A1BDD2EE65}"/>
    <cellStyle name="Normal 2 2 11" xfId="86" xr:uid="{FB28CFD6-5530-4593-9FBB-529FD170C364}"/>
    <cellStyle name="Normal 2 2 12" xfId="91" xr:uid="{B5201A14-7C8B-40BA-93EC-D92AB88A981A}"/>
    <cellStyle name="Normal 2 2 13" xfId="100" xr:uid="{5F08F463-FDC9-4547-9EED-B845271FD37D}"/>
    <cellStyle name="Normal 2 2 14" xfId="103" xr:uid="{66934E18-8976-4BF4-88C4-20CF40692A84}"/>
    <cellStyle name="Normal 2 2 15" xfId="106" xr:uid="{7E5EB72A-034D-4F3A-9FD8-116C6BF1CC77}"/>
    <cellStyle name="Normal 2 2 16" xfId="109" xr:uid="{CDBB85DC-A2A1-417E-9482-23A52E6C43C7}"/>
    <cellStyle name="Normal 2 2 2" xfId="2" xr:uid="{00000000-0005-0000-0000-000009000000}"/>
    <cellStyle name="Normal 2 2 3" xfId="18" xr:uid="{0A18AC2A-06A0-47CC-9D13-5EF1C6CA39C0}"/>
    <cellStyle name="Normal 2 2 3 2" xfId="69" xr:uid="{CBB23EC1-E159-45EA-9D5B-E97CBED9C81E}"/>
    <cellStyle name="Normal 2 2 4" xfId="22" xr:uid="{86F74144-233B-40E5-B199-CA808D676A4D}"/>
    <cellStyle name="Normal 2 2 4 2" xfId="78" xr:uid="{4116AB7F-32BE-4D97-AFD4-78DE2A8B51EF}"/>
    <cellStyle name="Normal 2 2 4 3" xfId="83" xr:uid="{77BC1904-FEF0-4539-A23F-9829B930537B}"/>
    <cellStyle name="Normal 2 2 4 4" xfId="95" xr:uid="{CEEF09F3-C820-4459-84B7-6D889D8E2617}"/>
    <cellStyle name="Normal 2 2 5" xfId="59" xr:uid="{A385BADD-A0EA-4E67-AC1A-4F6AB9E3D947}"/>
    <cellStyle name="Normal 2 2 6" xfId="62" xr:uid="{5BAE4A2B-4643-47FF-BE64-5A9CA9FC0DFA}"/>
    <cellStyle name="Normal 2 2 7" xfId="65" xr:uid="{1CBEEF47-F22E-48CA-A0E2-7B54AAFD310A}"/>
    <cellStyle name="Normal 2 2 7 2" xfId="51" xr:uid="{EA611531-AB51-4511-B302-7CE1723F5593}"/>
    <cellStyle name="Normal 2 2 7 2 2" xfId="97" xr:uid="{520C3604-FCC4-4BC5-8848-6D7D544F5899}"/>
    <cellStyle name="Normal 2 2 8" xfId="71" xr:uid="{C9180A19-9C13-4625-AA20-2F6142722B7D}"/>
    <cellStyle name="Normal 2 2 9" xfId="75" xr:uid="{CB59C468-00A3-4248-9F45-D5B42FD72329}"/>
    <cellStyle name="Normal 2 3 2" xfId="33" xr:uid="{B7F6B4DF-B3F7-4931-A567-F302FD1F74BE}"/>
    <cellStyle name="Normal 2 3 2 2" xfId="41" xr:uid="{D8A4F4FB-EB2C-407A-905D-15A70C474674}"/>
    <cellStyle name="Normal 2 3 3 2" xfId="44" xr:uid="{4519C61C-7CD3-441A-9760-7AFC1B33D276}"/>
    <cellStyle name="Normal 2 4 2" xfId="34" xr:uid="{AA71D35C-AED6-48B4-8EBB-33C18C94E5D4}"/>
    <cellStyle name="Normal 2 4 2 2" xfId="38" xr:uid="{C0753D1C-86DA-437E-9DC8-BDB566D38A3C}"/>
    <cellStyle name="Normal 2 4 3 2" xfId="42" xr:uid="{906BB099-983E-4B98-A154-1B0732DE067E}"/>
    <cellStyle name="Normal 2 5" xfId="27" xr:uid="{1A168B70-BB9F-4B20-AA8E-1D80F7ED08AB}"/>
    <cellStyle name="Normal 3" xfId="1" xr:uid="{00000000-0005-0000-0000-00000A000000}"/>
    <cellStyle name="Normal 3 10" xfId="85" xr:uid="{AEF8C2C1-EAC7-4994-8C52-D287B688C294}"/>
    <cellStyle name="Normal 3 11" xfId="90" xr:uid="{11F71332-FA67-48CD-B058-F34BF0CA63FB}"/>
    <cellStyle name="Normal 3 12" xfId="99" xr:uid="{3E6A64EA-5925-4EE4-90CB-C0F71380A79A}"/>
    <cellStyle name="Normal 3 13" xfId="102" xr:uid="{08062C57-1463-4097-ADFD-9FB8B945033B}"/>
    <cellStyle name="Normal 3 14" xfId="105" xr:uid="{B8DB3328-D9F2-48FB-9F38-54D4B7EEA122}"/>
    <cellStyle name="Normal 3 15" xfId="108" xr:uid="{BB3B85AB-6966-499C-9105-9E621960AF4F}"/>
    <cellStyle name="Normal 3 2" xfId="12" xr:uid="{00000000-0005-0000-0000-00000B000000}"/>
    <cellStyle name="Normal 3 2 2" xfId="16" xr:uid="{A9BA29C9-3047-486A-9B12-293C846C455A}"/>
    <cellStyle name="Normal 3 2 2 10" xfId="68" xr:uid="{F76AC57B-B917-426A-9589-9FE2703535E7}"/>
    <cellStyle name="Normal 3 2 2 11" xfId="73" xr:uid="{E24512A9-7393-4491-A369-909A6ABF3A71}"/>
    <cellStyle name="Normal 3 2 2 12" xfId="77" xr:uid="{56FE2D78-6567-4A11-9E9A-4C21369F38C1}"/>
    <cellStyle name="Normal 3 2 2 13" xfId="88" xr:uid="{C0B7F3F5-B0C3-44E6-BA9D-52A7A1ABEE69}"/>
    <cellStyle name="Normal 3 2 2 14" xfId="94" xr:uid="{C49A2184-E615-49DB-8B74-FBC12C6C4604}"/>
    <cellStyle name="Normal 3 2 2 2" xfId="36" xr:uid="{75B2CC98-E890-4DD2-B0BD-D0392CACBD2B}"/>
    <cellStyle name="Normal 3 2 2 2 2" xfId="37" xr:uid="{D726D3F1-A1DD-402E-9A79-206704F8059B}"/>
    <cellStyle name="Normal 3 2 2 2 2 2" xfId="40" xr:uid="{EA62BD89-E0CF-4F3E-BA75-F06A2FC6E41D}"/>
    <cellStyle name="Normal 3 2 2 3" xfId="46" xr:uid="{F49D4989-CA43-40F9-BCE4-0EA989C8F11C}"/>
    <cellStyle name="Normal 3 2 2 4" xfId="43" xr:uid="{ACB268B8-1177-4655-81A5-F0212973CC17}"/>
    <cellStyle name="Normal 3 2 2 5" xfId="53" xr:uid="{FDC3B572-A765-4BAC-B7E5-DB83F3D3AE7C}"/>
    <cellStyle name="Normal 3 2 2 6" xfId="54" xr:uid="{EA5762E9-4A34-4BC3-BD93-A391E142AA86}"/>
    <cellStyle name="Normal 3 2 2 7" xfId="55" xr:uid="{17435D8D-8002-4E38-AC47-8BDB9FB55C96}"/>
    <cellStyle name="Normal 3 2 2 8" xfId="56" xr:uid="{E36366B9-3DCB-42F8-8614-1E2E339B1735}"/>
    <cellStyle name="Normal 3 2 2 9" xfId="57" xr:uid="{7AF8F73E-BDDE-4B5E-89B1-E8B24D045243}"/>
    <cellStyle name="Normal 3 2 3" xfId="25" xr:uid="{D4F64793-EFF9-407D-9C55-A3DAC5084745}"/>
    <cellStyle name="Normal 3 2 3 2" xfId="47" xr:uid="{5AE95DEB-DABB-4882-AA31-6B99ACF139B2}"/>
    <cellStyle name="Normal 3 2 3 3" xfId="79" xr:uid="{DEE2A844-774C-4C98-9DEA-8107CE683B9E}"/>
    <cellStyle name="Normal 3 2 3 4" xfId="84" xr:uid="{A1E0BEAC-7FB8-4EFF-A14D-8F3869306EDA}"/>
    <cellStyle name="Normal 3 2 4" xfId="49" xr:uid="{57A5B9BB-9834-4449-BEB9-0BA3D65D6E7D}"/>
    <cellStyle name="Normal 3 2 5" xfId="28" xr:uid="{4752A4CD-BEF0-4593-9DB5-6AE5559F64B7}"/>
    <cellStyle name="Normal 3 2 5 2" xfId="112" xr:uid="{60AA4DD8-E997-48DC-9A02-1F1898497555}"/>
    <cellStyle name="Normal 3 2 5 3" xfId="114" xr:uid="{4518BF25-7D1D-4DF9-9BA9-3832F14804B6}"/>
    <cellStyle name="Normal 3 2 6" xfId="111" xr:uid="{54C308A2-7A1C-4C96-86B2-D1854F70D8BA}"/>
    <cellStyle name="Normal 3 2 7" xfId="113" xr:uid="{18F8D593-6D13-4AFD-B42C-50AD6A509DE8}"/>
    <cellStyle name="Normal 3 3" xfId="20" xr:uid="{DFC31904-65FA-4DF6-93D7-E59D319F701C}"/>
    <cellStyle name="Normal 3 3 2" xfId="35" xr:uid="{7EEED5E9-EAF6-4ADC-8347-52A9360F724A}"/>
    <cellStyle name="Normal 3 3 2 2" xfId="39" xr:uid="{652AEFC9-7FFD-4596-B1F5-E6769306B2C4}"/>
    <cellStyle name="Normal 3 3 3" xfId="45" xr:uid="{61D6EF50-6413-4D78-8838-19746DB08167}"/>
    <cellStyle name="Normal 3 4" xfId="58" xr:uid="{7D7912D2-2198-4F92-AB7D-73459FC6C481}"/>
    <cellStyle name="Normal 3 5" xfId="61" xr:uid="{371945EB-E612-45A4-A0FE-D8AC06F92B3D}"/>
    <cellStyle name="Normal 3 6" xfId="64" xr:uid="{EAD87127-295E-4B38-82AC-B38AC4E6E280}"/>
    <cellStyle name="Normal 3 6 2" xfId="50" xr:uid="{2AC23972-7A09-42D6-B0BB-0C21196E18F0}"/>
    <cellStyle name="Normal 3 6 2 2" xfId="96" xr:uid="{565CD681-3022-42D9-BA27-291A90EB9DEA}"/>
    <cellStyle name="Normal 3 7" xfId="70" xr:uid="{944C5B66-ACF6-4620-B1D2-8B9D0950B430}"/>
    <cellStyle name="Normal 3 8" xfId="74" xr:uid="{0514C03C-CA3C-44D2-ACEA-B37E03ED43AF}"/>
    <cellStyle name="Normal 3 9" xfId="80" xr:uid="{50F3E6FD-2536-4DB9-AD8B-9B1CDEEC1B11}"/>
    <cellStyle name="Normal 4" xfId="5" xr:uid="{00000000-0005-0000-0000-00000C000000}"/>
    <cellStyle name="Normal 4 10" xfId="93" xr:uid="{8F06AA21-53EF-43FB-9176-BD452AA18E89}"/>
    <cellStyle name="Normal 4 11" xfId="101" xr:uid="{C338B854-7AD1-44FA-BED1-204456814606}"/>
    <cellStyle name="Normal 4 12" xfId="104" xr:uid="{3A88E0A5-B11D-4D84-8507-D910F07DA0AD}"/>
    <cellStyle name="Normal 4 13" xfId="107" xr:uid="{553CD88A-FA03-494E-A2B4-7427177F3EE9}"/>
    <cellStyle name="Normal 4 14" xfId="110" xr:uid="{AB067B50-EA6D-4DBF-8E3F-073DF848ED11}"/>
    <cellStyle name="Normal 4 2" xfId="21" xr:uid="{2B28C96F-BCA3-4DB9-8DE0-90497FFD5FA1}"/>
    <cellStyle name="Normal 4 2 2" xfId="89" xr:uid="{3CA7BA48-3847-4141-8D52-63CDAC08F41D}"/>
    <cellStyle name="Normal 4 3" xfId="60" xr:uid="{F08FD073-F761-48F5-86F1-3AFA34FD8775}"/>
    <cellStyle name="Normal 4 4" xfId="63" xr:uid="{27A1009D-AF56-4ACB-8D1F-C280159E41EB}"/>
    <cellStyle name="Normal 4 5" xfId="67" xr:uid="{3016F24D-1A5C-49E9-A8E2-92F92AE9139B}"/>
    <cellStyle name="Normal 4 5 2" xfId="52" xr:uid="{C31FEA28-BDA3-4DE7-A009-4997EDD5082C}"/>
    <cellStyle name="Normal 4 5 2 2" xfId="98" xr:uid="{8C459A1F-6FBA-49FC-8A33-2502F546B708}"/>
    <cellStyle name="Normal 4 6" xfId="72" xr:uid="{DF688A66-0B62-47F1-909F-93F586ED630D}"/>
    <cellStyle name="Normal 4 7" xfId="76" xr:uid="{60E0D789-5311-4623-9A5C-B1A174EBA39C}"/>
    <cellStyle name="Normal 4 8" xfId="82" xr:uid="{F1D6C225-56B1-44E1-86C1-CE2A7FB3FF54}"/>
    <cellStyle name="Normal 4 9" xfId="87" xr:uid="{48C49C4B-F0CE-42F7-9309-3AEF7525EB7F}"/>
    <cellStyle name="Normal 5 2" xfId="10" xr:uid="{00000000-0005-0000-0000-00000D000000}"/>
    <cellStyle name="Normal 6" xfId="11" xr:uid="{00000000-0005-0000-0000-00000E000000}"/>
    <cellStyle name="Normal 7 2" xfId="31" xr:uid="{38E174D6-6539-4C3E-B04C-99B0FBB21523}"/>
    <cellStyle name="Normal 9" xfId="8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4C879953-910A-4929-BB1B-677DF1553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9F44298D-A9DA-472A-AF74-FD484B423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4" name="Imagen 3">
          <a:extLst>
            <a:ext uri="{FF2B5EF4-FFF2-40B4-BE49-F238E27FC236}">
              <a16:creationId xmlns:a16="http://schemas.microsoft.com/office/drawing/2014/main" id="{BFE8D630-3D6E-4BDF-AFDB-F7C8BC226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5" name="Imagen 4">
          <a:extLst>
            <a:ext uri="{FF2B5EF4-FFF2-40B4-BE49-F238E27FC236}">
              <a16:creationId xmlns:a16="http://schemas.microsoft.com/office/drawing/2014/main" id="{26E63465-42EC-41B7-B03F-420063B21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4D7C-0D36-4D54-A1E6-DDA53EE235D8}">
  <dimension ref="A1:O37"/>
  <sheetViews>
    <sheetView showGridLines="0" tabSelected="1" zoomScaleNormal="100" workbookViewId="0"/>
  </sheetViews>
  <sheetFormatPr baseColWidth="10" defaultColWidth="11.42578125" defaultRowHeight="14.25" x14ac:dyDescent="0.2"/>
  <cols>
    <col min="1" max="1" width="1.7109375" style="59" customWidth="1"/>
    <col min="2" max="2" width="20.28515625" style="59" customWidth="1"/>
    <col min="3" max="3" width="17.42578125" style="59" customWidth="1"/>
    <col min="4" max="14" width="11.42578125" style="59"/>
    <col min="15" max="15" width="1.7109375" style="59" customWidth="1"/>
    <col min="16" max="16384" width="11.42578125" style="59"/>
  </cols>
  <sheetData>
    <row r="1" spans="1:15" x14ac:dyDescent="0.2">
      <c r="A1" s="616"/>
      <c r="B1" s="60"/>
      <c r="C1" s="60"/>
    </row>
    <row r="2" spans="1:15" ht="19.5" customHeight="1" x14ac:dyDescent="0.2">
      <c r="B2" s="622" t="s">
        <v>145</v>
      </c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</row>
    <row r="3" spans="1:15" ht="19.5" customHeight="1" x14ac:dyDescent="0.2">
      <c r="B3" s="623" t="s">
        <v>146</v>
      </c>
      <c r="C3" s="623"/>
      <c r="D3" s="623"/>
      <c r="E3" s="623"/>
      <c r="F3" s="623"/>
      <c r="G3" s="623"/>
      <c r="H3" s="623"/>
      <c r="I3" s="623"/>
      <c r="J3" s="623"/>
      <c r="K3" s="623"/>
      <c r="L3" s="623"/>
      <c r="M3" s="623"/>
      <c r="N3" s="623"/>
    </row>
    <row r="4" spans="1:15" ht="16.5" customHeight="1" x14ac:dyDescent="0.2">
      <c r="A4" s="624" t="s">
        <v>199</v>
      </c>
      <c r="B4" s="624"/>
      <c r="C4" s="624"/>
      <c r="D4" s="624"/>
      <c r="E4" s="624"/>
      <c r="F4" s="624"/>
      <c r="G4" s="624"/>
      <c r="H4" s="624"/>
      <c r="I4" s="624"/>
      <c r="J4" s="624"/>
      <c r="K4" s="624"/>
      <c r="L4" s="624"/>
      <c r="M4" s="624"/>
      <c r="N4" s="624"/>
      <c r="O4" s="624"/>
    </row>
    <row r="5" spans="1:15" s="63" customFormat="1" ht="6.95" customHeight="1" x14ac:dyDescent="0.2">
      <c r="A5" s="61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1"/>
    </row>
    <row r="6" spans="1:15" s="63" customFormat="1" ht="16.5" customHeight="1" x14ac:dyDescent="0.2">
      <c r="A6" s="61"/>
      <c r="B6" s="625" t="s">
        <v>147</v>
      </c>
      <c r="C6" s="625"/>
      <c r="D6" s="625"/>
      <c r="E6" s="625"/>
      <c r="F6" s="625"/>
      <c r="G6" s="625"/>
      <c r="H6" s="625"/>
      <c r="I6" s="625"/>
      <c r="J6" s="625"/>
      <c r="K6" s="625"/>
      <c r="L6" s="625"/>
      <c r="M6" s="625"/>
      <c r="N6" s="625"/>
      <c r="O6" s="61"/>
    </row>
    <row r="7" spans="1:15" ht="19.5" customHeight="1" x14ac:dyDescent="0.2">
      <c r="B7" s="64" t="s">
        <v>198</v>
      </c>
      <c r="C7" s="64"/>
      <c r="D7" s="65"/>
      <c r="E7" s="65"/>
      <c r="F7" s="65"/>
      <c r="G7" s="65"/>
      <c r="H7" s="65"/>
      <c r="I7" s="65"/>
      <c r="J7" s="65"/>
      <c r="K7" s="65"/>
      <c r="L7" s="65"/>
      <c r="M7" s="626" t="str">
        <f>CONCATENATE("Total de tabulados: ", COUNTIF(D10:D35,"&lt;&gt;"))</f>
        <v>Total de tabulados: 18</v>
      </c>
      <c r="N7" s="626"/>
    </row>
    <row r="8" spans="1:15" ht="6.95" customHeight="1" thickBot="1" x14ac:dyDescent="0.25"/>
    <row r="9" spans="1:15" ht="18.75" customHeight="1" thickBot="1" x14ac:dyDescent="0.25">
      <c r="B9" s="66" t="s">
        <v>148</v>
      </c>
      <c r="C9" s="67" t="s">
        <v>149</v>
      </c>
      <c r="D9" s="617" t="s">
        <v>150</v>
      </c>
      <c r="E9" s="617"/>
      <c r="F9" s="617"/>
      <c r="G9" s="617"/>
      <c r="H9" s="617"/>
      <c r="I9" s="617"/>
      <c r="J9" s="617"/>
      <c r="K9" s="617"/>
      <c r="L9" s="617"/>
      <c r="M9" s="617"/>
      <c r="N9" s="618"/>
    </row>
    <row r="10" spans="1:15" ht="39.950000000000003" customHeight="1" x14ac:dyDescent="0.2">
      <c r="B10" s="630" t="s">
        <v>172</v>
      </c>
      <c r="C10" s="68" t="s">
        <v>99</v>
      </c>
      <c r="D10" s="633" t="s">
        <v>161</v>
      </c>
      <c r="E10" s="634"/>
      <c r="F10" s="634"/>
      <c r="G10" s="634"/>
      <c r="H10" s="634"/>
      <c r="I10" s="634"/>
      <c r="J10" s="634"/>
      <c r="K10" s="634"/>
      <c r="L10" s="634"/>
      <c r="M10" s="634"/>
      <c r="N10" s="635"/>
    </row>
    <row r="11" spans="1:15" ht="39.950000000000003" customHeight="1" x14ac:dyDescent="0.2">
      <c r="B11" s="631"/>
      <c r="C11" s="69" t="s">
        <v>100</v>
      </c>
      <c r="D11" s="619" t="s">
        <v>101</v>
      </c>
      <c r="E11" s="620"/>
      <c r="F11" s="620"/>
      <c r="G11" s="620"/>
      <c r="H11" s="620"/>
      <c r="I11" s="620"/>
      <c r="J11" s="620"/>
      <c r="K11" s="620"/>
      <c r="L11" s="620"/>
      <c r="M11" s="620"/>
      <c r="N11" s="621"/>
    </row>
    <row r="12" spans="1:15" ht="39.950000000000003" customHeight="1" x14ac:dyDescent="0.2">
      <c r="B12" s="631"/>
      <c r="C12" s="69" t="s">
        <v>102</v>
      </c>
      <c r="D12" s="619" t="s">
        <v>103</v>
      </c>
      <c r="E12" s="620"/>
      <c r="F12" s="620"/>
      <c r="G12" s="620"/>
      <c r="H12" s="620"/>
      <c r="I12" s="620"/>
      <c r="J12" s="620"/>
      <c r="K12" s="620"/>
      <c r="L12" s="620"/>
      <c r="M12" s="620"/>
      <c r="N12" s="621"/>
    </row>
    <row r="13" spans="1:15" ht="39.950000000000003" customHeight="1" x14ac:dyDescent="0.2">
      <c r="B13" s="631"/>
      <c r="C13" s="69" t="s">
        <v>105</v>
      </c>
      <c r="D13" s="619" t="s">
        <v>104</v>
      </c>
      <c r="E13" s="620"/>
      <c r="F13" s="620"/>
      <c r="G13" s="620"/>
      <c r="H13" s="620"/>
      <c r="I13" s="620"/>
      <c r="J13" s="620"/>
      <c r="K13" s="620"/>
      <c r="L13" s="620"/>
      <c r="M13" s="620"/>
      <c r="N13" s="621"/>
    </row>
    <row r="14" spans="1:15" ht="39.950000000000003" customHeight="1" x14ac:dyDescent="0.2">
      <c r="B14" s="631"/>
      <c r="C14" s="69" t="s">
        <v>106</v>
      </c>
      <c r="D14" s="619" t="s">
        <v>89</v>
      </c>
      <c r="E14" s="620"/>
      <c r="F14" s="620"/>
      <c r="G14" s="620"/>
      <c r="H14" s="620"/>
      <c r="I14" s="620"/>
      <c r="J14" s="620"/>
      <c r="K14" s="620"/>
      <c r="L14" s="620"/>
      <c r="M14" s="620"/>
      <c r="N14" s="621"/>
    </row>
    <row r="15" spans="1:15" ht="39.950000000000003" customHeight="1" x14ac:dyDescent="0.2">
      <c r="B15" s="631"/>
      <c r="C15" s="69" t="s">
        <v>107</v>
      </c>
      <c r="D15" s="619" t="s">
        <v>162</v>
      </c>
      <c r="E15" s="620"/>
      <c r="F15" s="620"/>
      <c r="G15" s="620"/>
      <c r="H15" s="620"/>
      <c r="I15" s="620"/>
      <c r="J15" s="620"/>
      <c r="K15" s="620"/>
      <c r="L15" s="620"/>
      <c r="M15" s="620"/>
      <c r="N15" s="621"/>
    </row>
    <row r="16" spans="1:15" ht="39.950000000000003" customHeight="1" x14ac:dyDescent="0.2">
      <c r="B16" s="631"/>
      <c r="C16" s="69" t="s">
        <v>112</v>
      </c>
      <c r="D16" s="619" t="s">
        <v>163</v>
      </c>
      <c r="E16" s="620"/>
      <c r="F16" s="620"/>
      <c r="G16" s="620"/>
      <c r="H16" s="620"/>
      <c r="I16" s="620"/>
      <c r="J16" s="620"/>
      <c r="K16" s="620"/>
      <c r="L16" s="620"/>
      <c r="M16" s="620"/>
      <c r="N16" s="621"/>
    </row>
    <row r="17" spans="2:14" ht="39.950000000000003" customHeight="1" x14ac:dyDescent="0.2">
      <c r="B17" s="631"/>
      <c r="C17" s="69" t="s">
        <v>113</v>
      </c>
      <c r="D17" s="619" t="s">
        <v>164</v>
      </c>
      <c r="E17" s="620"/>
      <c r="F17" s="620"/>
      <c r="G17" s="620"/>
      <c r="H17" s="620"/>
      <c r="I17" s="620"/>
      <c r="J17" s="620"/>
      <c r="K17" s="620"/>
      <c r="L17" s="620"/>
      <c r="M17" s="620"/>
      <c r="N17" s="621"/>
    </row>
    <row r="18" spans="2:14" ht="39.950000000000003" customHeight="1" x14ac:dyDescent="0.2">
      <c r="B18" s="631"/>
      <c r="C18" s="69" t="s">
        <v>114</v>
      </c>
      <c r="D18" s="619" t="s">
        <v>165</v>
      </c>
      <c r="E18" s="620"/>
      <c r="F18" s="620"/>
      <c r="G18" s="620"/>
      <c r="H18" s="620"/>
      <c r="I18" s="620"/>
      <c r="J18" s="620"/>
      <c r="K18" s="620"/>
      <c r="L18" s="620"/>
      <c r="M18" s="620"/>
      <c r="N18" s="621"/>
    </row>
    <row r="19" spans="2:14" ht="39.950000000000003" customHeight="1" x14ac:dyDescent="0.2">
      <c r="B19" s="631"/>
      <c r="C19" s="69" t="s">
        <v>115</v>
      </c>
      <c r="D19" s="619" t="s">
        <v>166</v>
      </c>
      <c r="E19" s="620"/>
      <c r="F19" s="620"/>
      <c r="G19" s="620"/>
      <c r="H19" s="620"/>
      <c r="I19" s="620"/>
      <c r="J19" s="620"/>
      <c r="K19" s="620"/>
      <c r="L19" s="620"/>
      <c r="M19" s="620"/>
      <c r="N19" s="621"/>
    </row>
    <row r="20" spans="2:14" ht="39.950000000000003" customHeight="1" x14ac:dyDescent="0.2">
      <c r="B20" s="631"/>
      <c r="C20" s="69" t="s">
        <v>116</v>
      </c>
      <c r="D20" s="619" t="s">
        <v>167</v>
      </c>
      <c r="E20" s="620"/>
      <c r="F20" s="620"/>
      <c r="G20" s="620"/>
      <c r="H20" s="620"/>
      <c r="I20" s="620"/>
      <c r="J20" s="620"/>
      <c r="K20" s="620"/>
      <c r="L20" s="620"/>
      <c r="M20" s="620"/>
      <c r="N20" s="621"/>
    </row>
    <row r="21" spans="2:14" ht="39.950000000000003" customHeight="1" x14ac:dyDescent="0.2">
      <c r="B21" s="631"/>
      <c r="C21" s="69" t="s">
        <v>117</v>
      </c>
      <c r="D21" s="619" t="s">
        <v>200</v>
      </c>
      <c r="E21" s="620"/>
      <c r="F21" s="620"/>
      <c r="G21" s="620"/>
      <c r="H21" s="620"/>
      <c r="I21" s="620"/>
      <c r="J21" s="620"/>
      <c r="K21" s="620"/>
      <c r="L21" s="620"/>
      <c r="M21" s="620"/>
      <c r="N21" s="621"/>
    </row>
    <row r="22" spans="2:14" ht="39.950000000000003" customHeight="1" x14ac:dyDescent="0.2">
      <c r="B22" s="631"/>
      <c r="C22" s="69" t="s">
        <v>118</v>
      </c>
      <c r="D22" s="619" t="s">
        <v>170</v>
      </c>
      <c r="E22" s="620"/>
      <c r="F22" s="620"/>
      <c r="G22" s="620"/>
      <c r="H22" s="620"/>
      <c r="I22" s="620"/>
      <c r="J22" s="620"/>
      <c r="K22" s="620"/>
      <c r="L22" s="620"/>
      <c r="M22" s="620"/>
      <c r="N22" s="621"/>
    </row>
    <row r="23" spans="2:14" ht="39.950000000000003" customHeight="1" x14ac:dyDescent="0.2">
      <c r="B23" s="631"/>
      <c r="C23" s="69" t="s">
        <v>119</v>
      </c>
      <c r="D23" s="619" t="s">
        <v>171</v>
      </c>
      <c r="E23" s="620"/>
      <c r="F23" s="620"/>
      <c r="G23" s="620"/>
      <c r="H23" s="620"/>
      <c r="I23" s="620"/>
      <c r="J23" s="620"/>
      <c r="K23" s="620"/>
      <c r="L23" s="620"/>
      <c r="M23" s="620"/>
      <c r="N23" s="621"/>
    </row>
    <row r="24" spans="2:14" ht="39.950000000000003" customHeight="1" x14ac:dyDescent="0.2">
      <c r="B24" s="631"/>
      <c r="C24" s="69" t="s">
        <v>120</v>
      </c>
      <c r="D24" s="619" t="s">
        <v>168</v>
      </c>
      <c r="E24" s="620"/>
      <c r="F24" s="620"/>
      <c r="G24" s="620"/>
      <c r="H24" s="620"/>
      <c r="I24" s="620"/>
      <c r="J24" s="620"/>
      <c r="K24" s="620"/>
      <c r="L24" s="620"/>
      <c r="M24" s="620"/>
      <c r="N24" s="621"/>
    </row>
    <row r="25" spans="2:14" ht="39.950000000000003" customHeight="1" x14ac:dyDescent="0.2">
      <c r="B25" s="631"/>
      <c r="C25" s="69" t="s">
        <v>121</v>
      </c>
      <c r="D25" s="619" t="s">
        <v>158</v>
      </c>
      <c r="E25" s="620"/>
      <c r="F25" s="620"/>
      <c r="G25" s="620"/>
      <c r="H25" s="620"/>
      <c r="I25" s="620"/>
      <c r="J25" s="620"/>
      <c r="K25" s="620"/>
      <c r="L25" s="620"/>
      <c r="M25" s="620"/>
      <c r="N25" s="621"/>
    </row>
    <row r="26" spans="2:14" ht="39.950000000000003" customHeight="1" x14ac:dyDescent="0.2">
      <c r="B26" s="631"/>
      <c r="C26" s="69" t="s">
        <v>122</v>
      </c>
      <c r="D26" s="619" t="s">
        <v>169</v>
      </c>
      <c r="E26" s="620"/>
      <c r="F26" s="620"/>
      <c r="G26" s="620"/>
      <c r="H26" s="620"/>
      <c r="I26" s="620"/>
      <c r="J26" s="620"/>
      <c r="K26" s="620"/>
      <c r="L26" s="620"/>
      <c r="M26" s="620"/>
      <c r="N26" s="621"/>
    </row>
    <row r="27" spans="2:14" ht="39.950000000000003" customHeight="1" thickBot="1" x14ac:dyDescent="0.25">
      <c r="B27" s="632"/>
      <c r="C27" s="70" t="s">
        <v>123</v>
      </c>
      <c r="D27" s="627" t="s">
        <v>160</v>
      </c>
      <c r="E27" s="628"/>
      <c r="F27" s="628"/>
      <c r="G27" s="628"/>
      <c r="H27" s="628"/>
      <c r="I27" s="628"/>
      <c r="J27" s="628"/>
      <c r="K27" s="628"/>
      <c r="L27" s="628"/>
      <c r="M27" s="628"/>
      <c r="N27" s="629"/>
    </row>
    <row r="28" spans="2:14" ht="39.950000000000003" customHeight="1" x14ac:dyDescent="0.2"/>
    <row r="37" ht="14.25" customHeight="1" x14ac:dyDescent="0.2"/>
  </sheetData>
  <mergeCells count="25">
    <mergeCell ref="D27:N27"/>
    <mergeCell ref="B10:B27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24:N24"/>
    <mergeCell ref="D25:N25"/>
    <mergeCell ref="D26:N26"/>
    <mergeCell ref="B2:N2"/>
    <mergeCell ref="B3:N3"/>
    <mergeCell ref="A4:O4"/>
    <mergeCell ref="B6:N6"/>
    <mergeCell ref="M7:N7"/>
    <mergeCell ref="D9:N9"/>
    <mergeCell ref="D20:N20"/>
    <mergeCell ref="D21:N21"/>
    <mergeCell ref="D22:N22"/>
    <mergeCell ref="D23:N23"/>
    <mergeCell ref="D19:N19"/>
  </mergeCells>
  <hyperlinks>
    <hyperlink ref="C10" location="'Cuadro 4.1'!A1" tooltip="Ir a Cuadro 4.1" display="Cuadro 4.1" xr:uid="{0660BDC2-11A9-46A7-BCDD-A1B066DD6271}"/>
    <hyperlink ref="C11" location="'Cuadro 4.2'!A1" tooltip="Ir aCuadro 4.2" display="Cuadro 4.2" xr:uid="{C870324A-6A22-4AB0-A0F7-932424015743}"/>
    <hyperlink ref="C27" location="'Cuadro 4.18'!A1" tooltip="Ir a Cuadro 4.18" display="Cuadro 4.18" xr:uid="{7E82D795-B685-4085-844C-FD6866E4873D}"/>
    <hyperlink ref="C12" location="'Cuadro 4.3'!A1" tooltip="Ir a Cuadro 4.3" display="Cuadro 4.3" xr:uid="{9DCB6C33-6A2C-4ACC-9D38-0F4A7CCDBCF0}"/>
    <hyperlink ref="C13" location="'Cuadro 4.4'!A1" tooltip="Ir a Cuadro 4.4" display="Cuadro 4.4" xr:uid="{E3681ECA-6989-4628-8FEB-FFDF88D2C43E}"/>
    <hyperlink ref="C14" location="'Cuadro 4.5'!A1" tooltip="Ir a Cuadro 4.5" display="Cuadro 4.5" xr:uid="{58A06B1B-3329-41E6-A045-AD8C491885A8}"/>
    <hyperlink ref="C17" location="'Cuadro 4.8'!A1" tooltip="Ir a Cuadro 4.8" display="Cuadro 4.8" xr:uid="{459A78ED-9A1A-4AB4-A8D3-11F8DBC2AD52}"/>
    <hyperlink ref="C15" location="'Cuadro 4.6'!A1" tooltip="Ir a Cuadro 4.6" display="Cuadro 4.6" xr:uid="{6EA49552-D112-4243-A071-04636BA9B428}"/>
    <hyperlink ref="C18" location="'Cuadro 4.9'!A1" tooltip="Ir a Cuadro 4.9" display="Cuadro 4.9" xr:uid="{C1687548-5C4A-4B87-9D8B-1C601ED722A4}"/>
    <hyperlink ref="C16" location="'Cuadro 4.7'!A1" tooltip="ir a Cuadro 4.7" display="Cuadro 4.7" xr:uid="{EFA195A0-3B6F-4324-8F67-C64B1ED77B55}"/>
    <hyperlink ref="C19" location="'Cuadro 4.10'!A1" tooltip="Ir a Cuadro 4.10" display="Cuadro 4.10" xr:uid="{9C7A914D-EAE7-4AB6-BCDC-D7C9F5095344}"/>
    <hyperlink ref="C20" location="'Cuadro 4.11'!A1" tooltip="Ir a Cuadro 4.11" display="Cuadro 4.11" xr:uid="{CAA4FC25-E612-458A-B443-D1942C58E674}"/>
    <hyperlink ref="C23" location="'Cuadro 4.14'!A1" tooltip="Ir a Cuadro 4.14" display="Cuadro 4.14" xr:uid="{A99C4423-AB8A-44AD-B80F-30F8D4CEA414}"/>
    <hyperlink ref="C21" location="'Cuadro 4.12'!A1" tooltip="Ir a Cuadro 4.12" display="Cuadro 4.12" xr:uid="{A3D880E5-A42D-4F7A-8C9D-62D3E30795B3}"/>
    <hyperlink ref="C24" location="'Cuadro 4.15'!A1" tooltip="Ir a Cuadro 4.15" display="Cuadro 4.15" xr:uid="{3AAA1576-5DD2-43AA-A0AC-A3386B692B5F}"/>
    <hyperlink ref="C22" location="'Cuadro 4.13'!A1" tooltip="Ir a Cuadro 4.13" display="Cuadro 4.13" xr:uid="{E17C6688-BDC4-4225-9CAC-CC67C5A0DC44}"/>
    <hyperlink ref="C25" location="'Cuadro 4.16'!A1" tooltip="Ir a Cuadro 4.16" display="Cuadro 4.16" xr:uid="{1E25A5EE-4DD2-4EAB-9F21-2E20CD4D4FA0}"/>
    <hyperlink ref="C26" location="'Cuadro 4.17'!A1" tooltip="Ir a Cuadro 4.17" display="Cuadro 4.17" xr:uid="{780C7631-08E4-4034-8192-7031631D53D9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0497-F4DC-4000-BF3D-7A28D98AB2D0}">
  <dimension ref="A1:S19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13" customWidth="1"/>
    <col min="2" max="2" width="32.5703125" style="13" customWidth="1"/>
    <col min="3" max="3" width="1.7109375" style="13" customWidth="1"/>
    <col min="4" max="4" width="17.7109375" style="13" customWidth="1"/>
    <col min="5" max="5" width="1.7109375" style="13" customWidth="1"/>
    <col min="6" max="7" width="11.7109375" style="13" customWidth="1"/>
    <col min="8" max="8" width="0.85546875" style="13" customWidth="1"/>
    <col min="9" max="10" width="11.7109375" style="13" customWidth="1"/>
    <col min="11" max="16384" width="9.140625" style="13"/>
  </cols>
  <sheetData>
    <row r="1" spans="1:19" s="58" customFormat="1" ht="12" customHeight="1" x14ac:dyDescent="0.2">
      <c r="A1" s="616"/>
      <c r="B1" s="616" t="s">
        <v>202</v>
      </c>
      <c r="C1" s="186"/>
      <c r="J1" s="72" t="s">
        <v>151</v>
      </c>
    </row>
    <row r="2" spans="1:19" s="58" customFormat="1" ht="6.95" customHeight="1" x14ac:dyDescent="0.2">
      <c r="B2" s="616"/>
      <c r="C2" s="186"/>
    </row>
    <row r="3" spans="1:19" s="58" customFormat="1" ht="12.75" x14ac:dyDescent="0.2">
      <c r="B3" s="616" t="s">
        <v>199</v>
      </c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</row>
    <row r="4" spans="1:19" s="58" customFormat="1" ht="6.95" customHeight="1" x14ac:dyDescent="0.2"/>
    <row r="5" spans="1:19" s="58" customFormat="1" ht="25.5" customHeight="1" x14ac:dyDescent="0.2">
      <c r="B5" s="636" t="s">
        <v>161</v>
      </c>
      <c r="C5" s="636"/>
      <c r="D5" s="636"/>
      <c r="E5" s="636"/>
      <c r="F5" s="636"/>
      <c r="G5" s="636"/>
      <c r="H5" s="636"/>
      <c r="I5" s="187"/>
      <c r="J5" s="71" t="s">
        <v>99</v>
      </c>
    </row>
    <row r="6" spans="1:19" ht="6" customHeight="1" x14ac:dyDescent="0.2">
      <c r="B6" s="169"/>
      <c r="C6" s="169"/>
      <c r="D6" s="170"/>
      <c r="E6" s="170"/>
      <c r="F6" s="170"/>
      <c r="G6" s="170"/>
      <c r="H6" s="170"/>
      <c r="I6" s="170"/>
      <c r="J6" s="171"/>
    </row>
    <row r="7" spans="1:19" ht="21" customHeight="1" x14ac:dyDescent="0.2">
      <c r="B7" s="637" t="s">
        <v>55</v>
      </c>
      <c r="C7" s="165"/>
      <c r="D7" s="640" t="s">
        <v>58</v>
      </c>
      <c r="E7" s="167"/>
      <c r="F7" s="643" t="s">
        <v>94</v>
      </c>
      <c r="G7" s="643"/>
      <c r="H7" s="643"/>
      <c r="I7" s="643"/>
      <c r="J7" s="643"/>
    </row>
    <row r="8" spans="1:19" ht="16.5" customHeight="1" x14ac:dyDescent="0.2">
      <c r="B8" s="638"/>
      <c r="C8" s="172"/>
      <c r="D8" s="641"/>
      <c r="E8" s="173"/>
      <c r="F8" s="643" t="s">
        <v>59</v>
      </c>
      <c r="G8" s="643"/>
      <c r="H8" s="26"/>
      <c r="I8" s="643" t="s">
        <v>60</v>
      </c>
      <c r="J8" s="643"/>
    </row>
    <row r="9" spans="1:19" ht="15" customHeight="1" x14ac:dyDescent="0.2">
      <c r="B9" s="639"/>
      <c r="C9" s="166"/>
      <c r="D9" s="642"/>
      <c r="E9" s="168"/>
      <c r="F9" s="73" t="s">
        <v>0</v>
      </c>
      <c r="G9" s="73" t="s">
        <v>1</v>
      </c>
      <c r="H9" s="73"/>
      <c r="I9" s="73" t="s">
        <v>0</v>
      </c>
      <c r="J9" s="73" t="s">
        <v>1</v>
      </c>
    </row>
    <row r="10" spans="1:19" s="19" customFormat="1" ht="6" customHeight="1" x14ac:dyDescent="0.2">
      <c r="B10" s="174"/>
      <c r="C10" s="174"/>
      <c r="D10" s="188"/>
      <c r="E10" s="188"/>
      <c r="F10" s="188"/>
      <c r="G10" s="188"/>
      <c r="H10" s="188"/>
      <c r="I10" s="188"/>
      <c r="J10" s="188"/>
    </row>
    <row r="11" spans="1:19" s="100" customFormat="1" ht="11.25" x14ac:dyDescent="0.2">
      <c r="B11" s="99" t="s">
        <v>35</v>
      </c>
      <c r="C11" s="176"/>
      <c r="D11" s="123">
        <v>56578</v>
      </c>
      <c r="E11" s="123"/>
      <c r="F11" s="123">
        <v>4626</v>
      </c>
      <c r="G11" s="124">
        <v>8.1763229523999996</v>
      </c>
      <c r="H11" s="123"/>
      <c r="I11" s="123">
        <v>51952</v>
      </c>
      <c r="J11" s="124">
        <v>91.8236770476</v>
      </c>
    </row>
    <row r="12" spans="1:19" s="101" customFormat="1" ht="6" customHeight="1" x14ac:dyDescent="0.2">
      <c r="B12" s="176"/>
      <c r="C12" s="176"/>
      <c r="D12" s="125"/>
      <c r="E12" s="125"/>
      <c r="F12" s="125"/>
      <c r="G12" s="126"/>
      <c r="H12" s="125"/>
      <c r="I12" s="125"/>
      <c r="J12" s="126"/>
    </row>
    <row r="13" spans="1:19" s="101" customFormat="1" ht="15" customHeight="1" x14ac:dyDescent="0.2">
      <c r="B13" s="189" t="s">
        <v>36</v>
      </c>
      <c r="C13" s="189"/>
      <c r="D13" s="125">
        <v>12995</v>
      </c>
      <c r="E13" s="125"/>
      <c r="F13" s="125">
        <v>628</v>
      </c>
      <c r="G13" s="126">
        <v>4.8326279338000004</v>
      </c>
      <c r="H13" s="125"/>
      <c r="I13" s="125">
        <v>12367</v>
      </c>
      <c r="J13" s="126">
        <v>95.167372066200002</v>
      </c>
      <c r="K13" s="190"/>
      <c r="L13" s="190"/>
    </row>
    <row r="14" spans="1:19" s="106" customFormat="1" ht="15" customHeight="1" x14ac:dyDescent="0.2">
      <c r="B14" s="189" t="s">
        <v>37</v>
      </c>
      <c r="C14" s="189"/>
      <c r="D14" s="154">
        <v>9131</v>
      </c>
      <c r="E14" s="154"/>
      <c r="F14" s="155">
        <v>567</v>
      </c>
      <c r="G14" s="156">
        <v>6.2096155951999998</v>
      </c>
      <c r="H14" s="155"/>
      <c r="I14" s="155">
        <v>8564</v>
      </c>
      <c r="J14" s="157">
        <v>93.790384404799994</v>
      </c>
    </row>
    <row r="15" spans="1:19" s="106" customFormat="1" ht="15" customHeight="1" x14ac:dyDescent="0.2">
      <c r="B15" s="191" t="s">
        <v>38</v>
      </c>
      <c r="C15" s="191"/>
      <c r="D15" s="154">
        <v>9016</v>
      </c>
      <c r="E15" s="154"/>
      <c r="F15" s="155">
        <v>742</v>
      </c>
      <c r="G15" s="156">
        <v>8.2298136646</v>
      </c>
      <c r="H15" s="155"/>
      <c r="I15" s="155">
        <v>8274</v>
      </c>
      <c r="J15" s="157">
        <v>91.770186335399998</v>
      </c>
    </row>
    <row r="16" spans="1:19" s="106" customFormat="1" ht="15" customHeight="1" x14ac:dyDescent="0.2">
      <c r="B16" s="191" t="s">
        <v>56</v>
      </c>
      <c r="C16" s="191"/>
      <c r="D16" s="154">
        <v>25436</v>
      </c>
      <c r="E16" s="154"/>
      <c r="F16" s="155">
        <v>2689</v>
      </c>
      <c r="G16" s="156">
        <v>10.5716307596</v>
      </c>
      <c r="H16" s="155"/>
      <c r="I16" s="155">
        <v>22747</v>
      </c>
      <c r="J16" s="157">
        <v>89.428369240400002</v>
      </c>
    </row>
    <row r="17" spans="2:10" s="19" customFormat="1" ht="6" customHeight="1" x14ac:dyDescent="0.2">
      <c r="B17" s="28"/>
      <c r="C17" s="29"/>
      <c r="D17" s="30"/>
      <c r="E17" s="30"/>
      <c r="F17" s="30"/>
      <c r="G17" s="30"/>
      <c r="H17" s="30"/>
      <c r="I17" s="30"/>
      <c r="J17" s="107"/>
    </row>
    <row r="18" spans="2:10" s="19" customFormat="1" ht="6" customHeight="1" x14ac:dyDescent="0.2">
      <c r="B18" s="174"/>
      <c r="C18" s="174"/>
      <c r="D18" s="188"/>
      <c r="E18" s="188"/>
      <c r="F18" s="188"/>
      <c r="G18" s="188"/>
      <c r="H18" s="188"/>
      <c r="I18" s="188"/>
      <c r="J18" s="188"/>
    </row>
    <row r="19" spans="2:10" x14ac:dyDescent="0.2">
      <c r="B19" s="113" t="s">
        <v>57</v>
      </c>
    </row>
  </sheetData>
  <mergeCells count="6">
    <mergeCell ref="B5:H5"/>
    <mergeCell ref="B7:B9"/>
    <mergeCell ref="D7:D9"/>
    <mergeCell ref="F7:J7"/>
    <mergeCell ref="F8:G8"/>
    <mergeCell ref="I8:J8"/>
  </mergeCells>
  <hyperlinks>
    <hyperlink ref="J1" location="Índice!A1" tooltip="Ir a ÍNDICE" display="INDICE" xr:uid="{6B85D02E-4276-4BCC-B2F3-3CF5ACA93FE5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79AB8-DAC5-4A97-8818-6DAD0D7C3195}">
  <dimension ref="A1:S47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13" customWidth="1"/>
    <col min="2" max="2" width="32.5703125" style="13" customWidth="1"/>
    <col min="3" max="3" width="1.7109375" style="13" customWidth="1"/>
    <col min="4" max="4" width="17.7109375" style="13" customWidth="1"/>
    <col min="5" max="5" width="1.7109375" style="13" customWidth="1"/>
    <col min="6" max="7" width="11.7109375" style="13" customWidth="1"/>
    <col min="8" max="8" width="0.85546875" style="13" customWidth="1"/>
    <col min="9" max="10" width="11.7109375" style="13" customWidth="1"/>
    <col min="11" max="16384" width="9.140625" style="13"/>
  </cols>
  <sheetData>
    <row r="1" spans="1:19" s="58" customFormat="1" ht="12" customHeight="1" x14ac:dyDescent="0.2">
      <c r="A1" s="616"/>
      <c r="B1" s="616" t="s">
        <v>202</v>
      </c>
      <c r="C1" s="198"/>
      <c r="J1" s="72" t="s">
        <v>151</v>
      </c>
    </row>
    <row r="2" spans="1:19" s="58" customFormat="1" ht="6.95" customHeight="1" x14ac:dyDescent="0.2">
      <c r="B2" s="616"/>
      <c r="C2" s="198"/>
    </row>
    <row r="3" spans="1:19" s="58" customFormat="1" ht="12.75" x14ac:dyDescent="0.2">
      <c r="B3" s="616" t="s">
        <v>199</v>
      </c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</row>
    <row r="4" spans="1:19" s="58" customFormat="1" ht="6.95" customHeight="1" x14ac:dyDescent="0.2"/>
    <row r="5" spans="1:19" s="58" customFormat="1" ht="25.5" customHeight="1" x14ac:dyDescent="0.2">
      <c r="B5" s="644" t="s">
        <v>101</v>
      </c>
      <c r="C5" s="644"/>
      <c r="D5" s="644"/>
      <c r="E5" s="644"/>
      <c r="F5" s="644"/>
      <c r="G5" s="644"/>
      <c r="H5" s="644"/>
      <c r="I5" s="644"/>
      <c r="J5" s="71" t="s">
        <v>100</v>
      </c>
    </row>
    <row r="6" spans="1:19" ht="6" customHeight="1" x14ac:dyDescent="0.2">
      <c r="B6" s="169"/>
      <c r="C6" s="169"/>
      <c r="D6" s="170"/>
      <c r="E6" s="170"/>
      <c r="F6" s="170"/>
      <c r="G6" s="170"/>
      <c r="H6" s="170"/>
      <c r="I6" s="170"/>
      <c r="J6" s="171"/>
    </row>
    <row r="7" spans="1:19" ht="21" customHeight="1" x14ac:dyDescent="0.2">
      <c r="B7" s="637" t="s">
        <v>76</v>
      </c>
      <c r="C7" s="180"/>
      <c r="D7" s="640" t="s">
        <v>58</v>
      </c>
      <c r="E7" s="182"/>
      <c r="F7" s="643" t="s">
        <v>94</v>
      </c>
      <c r="G7" s="643"/>
      <c r="H7" s="643"/>
      <c r="I7" s="643"/>
      <c r="J7" s="643"/>
    </row>
    <row r="8" spans="1:19" ht="16.5" customHeight="1" x14ac:dyDescent="0.2">
      <c r="B8" s="638"/>
      <c r="C8" s="184"/>
      <c r="D8" s="641"/>
      <c r="E8" s="185"/>
      <c r="F8" s="643" t="s">
        <v>59</v>
      </c>
      <c r="G8" s="643"/>
      <c r="H8" s="26"/>
      <c r="I8" s="643" t="s">
        <v>60</v>
      </c>
      <c r="J8" s="643"/>
    </row>
    <row r="9" spans="1:19" ht="15" customHeight="1" x14ac:dyDescent="0.2">
      <c r="B9" s="639"/>
      <c r="C9" s="181"/>
      <c r="D9" s="642"/>
      <c r="E9" s="183"/>
      <c r="F9" s="73" t="s">
        <v>0</v>
      </c>
      <c r="G9" s="73" t="s">
        <v>1</v>
      </c>
      <c r="H9" s="73"/>
      <c r="I9" s="73" t="s">
        <v>0</v>
      </c>
      <c r="J9" s="73" t="s">
        <v>1</v>
      </c>
    </row>
    <row r="10" spans="1:19" s="19" customFormat="1" ht="6" customHeight="1" x14ac:dyDescent="0.2">
      <c r="B10" s="174"/>
      <c r="C10" s="174"/>
      <c r="D10" s="175"/>
      <c r="E10" s="175"/>
      <c r="F10" s="175"/>
      <c r="G10" s="175"/>
      <c r="H10" s="175"/>
      <c r="I10" s="175"/>
      <c r="J10" s="175"/>
      <c r="K10" s="18"/>
    </row>
    <row r="11" spans="1:19" s="100" customFormat="1" ht="11.25" x14ac:dyDescent="0.2">
      <c r="B11" s="99" t="s">
        <v>35</v>
      </c>
      <c r="C11" s="176"/>
      <c r="D11" s="151">
        <v>56578</v>
      </c>
      <c r="E11" s="151"/>
      <c r="F11" s="151">
        <v>4626</v>
      </c>
      <c r="G11" s="152">
        <v>8.1763229523999996</v>
      </c>
      <c r="H11" s="151"/>
      <c r="I11" s="151">
        <v>51952</v>
      </c>
      <c r="J11" s="152">
        <v>91.8236770476</v>
      </c>
      <c r="K11" s="105"/>
      <c r="L11" s="105"/>
      <c r="M11" s="105"/>
    </row>
    <row r="12" spans="1:19" s="101" customFormat="1" ht="6" customHeight="1" x14ac:dyDescent="0.2">
      <c r="B12" s="176"/>
      <c r="C12" s="176"/>
      <c r="D12" s="102"/>
      <c r="E12" s="102"/>
      <c r="F12" s="103"/>
      <c r="G12" s="108"/>
      <c r="H12" s="103"/>
      <c r="I12" s="103"/>
      <c r="J12" s="109"/>
    </row>
    <row r="13" spans="1:19" s="101" customFormat="1" ht="12.75" customHeight="1" x14ac:dyDescent="0.2">
      <c r="B13" s="97" t="s">
        <v>3</v>
      </c>
      <c r="C13" s="177"/>
      <c r="D13" s="114">
        <v>1838</v>
      </c>
      <c r="E13" s="114"/>
      <c r="F13" s="115">
        <v>213</v>
      </c>
      <c r="G13" s="116">
        <v>11.5886833515</v>
      </c>
      <c r="H13" s="115"/>
      <c r="I13" s="115">
        <v>1625</v>
      </c>
      <c r="J13" s="117">
        <v>88.411316648500005</v>
      </c>
    </row>
    <row r="14" spans="1:19" s="101" customFormat="1" ht="12.75" customHeight="1" x14ac:dyDescent="0.2">
      <c r="B14" s="97" t="s">
        <v>4</v>
      </c>
      <c r="C14" s="177"/>
      <c r="D14" s="114">
        <v>1770</v>
      </c>
      <c r="E14" s="114"/>
      <c r="F14" s="115">
        <v>166</v>
      </c>
      <c r="G14" s="116">
        <v>9.3785310733999996</v>
      </c>
      <c r="H14" s="115"/>
      <c r="I14" s="115">
        <v>1604</v>
      </c>
      <c r="J14" s="117">
        <v>90.621468926600002</v>
      </c>
    </row>
    <row r="15" spans="1:19" s="101" customFormat="1" ht="12.75" customHeight="1" x14ac:dyDescent="0.2">
      <c r="B15" s="97" t="s">
        <v>5</v>
      </c>
      <c r="C15" s="177"/>
      <c r="D15" s="114">
        <v>1672</v>
      </c>
      <c r="E15" s="114"/>
      <c r="F15" s="115">
        <v>157</v>
      </c>
      <c r="G15" s="116">
        <v>9.3899521530999994</v>
      </c>
      <c r="H15" s="115"/>
      <c r="I15" s="115">
        <v>1515</v>
      </c>
      <c r="J15" s="117">
        <v>90.610047846900002</v>
      </c>
    </row>
    <row r="16" spans="1:19" s="101" customFormat="1" ht="12.75" customHeight="1" x14ac:dyDescent="0.2">
      <c r="B16" s="97" t="s">
        <v>6</v>
      </c>
      <c r="C16" s="177"/>
      <c r="D16" s="114">
        <v>1758</v>
      </c>
      <c r="E16" s="114"/>
      <c r="F16" s="115">
        <v>139</v>
      </c>
      <c r="G16" s="116">
        <v>7.9067121728999998</v>
      </c>
      <c r="H16" s="115"/>
      <c r="I16" s="115">
        <v>1619</v>
      </c>
      <c r="J16" s="117">
        <v>92.093287827099999</v>
      </c>
    </row>
    <row r="17" spans="2:10" s="101" customFormat="1" ht="12.75" customHeight="1" x14ac:dyDescent="0.2">
      <c r="B17" s="97" t="s">
        <v>7</v>
      </c>
      <c r="C17" s="177"/>
      <c r="D17" s="114">
        <v>1667</v>
      </c>
      <c r="E17" s="114"/>
      <c r="F17" s="115">
        <v>144</v>
      </c>
      <c r="G17" s="116">
        <v>8.6382723455000008</v>
      </c>
      <c r="H17" s="115"/>
      <c r="I17" s="115">
        <v>1523</v>
      </c>
      <c r="J17" s="117">
        <v>91.361727654500001</v>
      </c>
    </row>
    <row r="18" spans="2:10" s="101" customFormat="1" ht="12.75" customHeight="1" x14ac:dyDescent="0.2">
      <c r="B18" s="97" t="s">
        <v>8</v>
      </c>
      <c r="C18" s="178"/>
      <c r="D18" s="118">
        <v>1741</v>
      </c>
      <c r="E18" s="118"/>
      <c r="F18" s="119">
        <v>190</v>
      </c>
      <c r="G18" s="120">
        <v>10.9132682366</v>
      </c>
      <c r="H18" s="119"/>
      <c r="I18" s="119">
        <v>1551</v>
      </c>
      <c r="J18" s="121">
        <v>89.086731763399996</v>
      </c>
    </row>
    <row r="19" spans="2:10" s="101" customFormat="1" ht="12.75" customHeight="1" x14ac:dyDescent="0.2">
      <c r="B19" s="97" t="s">
        <v>9</v>
      </c>
      <c r="C19" s="178"/>
      <c r="D19" s="118">
        <v>1856</v>
      </c>
      <c r="E19" s="118"/>
      <c r="F19" s="119">
        <v>90</v>
      </c>
      <c r="G19" s="120">
        <v>4.8491379309999996</v>
      </c>
      <c r="H19" s="119"/>
      <c r="I19" s="119">
        <v>1766</v>
      </c>
      <c r="J19" s="121">
        <v>95.150862068999999</v>
      </c>
    </row>
    <row r="20" spans="2:10" s="101" customFormat="1" ht="12.75" customHeight="1" x14ac:dyDescent="0.2">
      <c r="B20" s="97" t="s">
        <v>10</v>
      </c>
      <c r="C20" s="178"/>
      <c r="D20" s="118">
        <v>1729</v>
      </c>
      <c r="E20" s="118"/>
      <c r="F20" s="119">
        <v>135</v>
      </c>
      <c r="G20" s="120">
        <v>7.8079814921999997</v>
      </c>
      <c r="H20" s="119"/>
      <c r="I20" s="119">
        <v>1594</v>
      </c>
      <c r="J20" s="121">
        <v>92.1920185078</v>
      </c>
    </row>
    <row r="21" spans="2:10" s="101" customFormat="1" ht="12.75" customHeight="1" x14ac:dyDescent="0.2">
      <c r="B21" s="97" t="s">
        <v>11</v>
      </c>
      <c r="C21" s="178"/>
      <c r="D21" s="118">
        <v>1718</v>
      </c>
      <c r="E21" s="118"/>
      <c r="F21" s="119">
        <v>111</v>
      </c>
      <c r="G21" s="120">
        <v>6.4610011640999998</v>
      </c>
      <c r="H21" s="119"/>
      <c r="I21" s="119">
        <v>1607</v>
      </c>
      <c r="J21" s="121">
        <v>93.538998835900003</v>
      </c>
    </row>
    <row r="22" spans="2:10" s="101" customFormat="1" ht="12.75" customHeight="1" x14ac:dyDescent="0.2">
      <c r="B22" s="97" t="s">
        <v>12</v>
      </c>
      <c r="C22" s="178"/>
      <c r="D22" s="118">
        <v>1715</v>
      </c>
      <c r="E22" s="118"/>
      <c r="F22" s="119">
        <v>160</v>
      </c>
      <c r="G22" s="120">
        <v>9.3294460641000008</v>
      </c>
      <c r="H22" s="119"/>
      <c r="I22" s="119">
        <v>1555</v>
      </c>
      <c r="J22" s="121">
        <v>90.670553935900003</v>
      </c>
    </row>
    <row r="23" spans="2:10" s="101" customFormat="1" ht="12.75" customHeight="1" x14ac:dyDescent="0.2">
      <c r="B23" s="97" t="s">
        <v>13</v>
      </c>
      <c r="C23" s="178"/>
      <c r="D23" s="118">
        <v>1869</v>
      </c>
      <c r="E23" s="118"/>
      <c r="F23" s="119">
        <v>120</v>
      </c>
      <c r="G23" s="120">
        <v>6.4205457464000002</v>
      </c>
      <c r="H23" s="119"/>
      <c r="I23" s="119">
        <v>1749</v>
      </c>
      <c r="J23" s="121">
        <v>93.579454253600005</v>
      </c>
    </row>
    <row r="24" spans="2:10" s="101" customFormat="1" ht="12.75" customHeight="1" x14ac:dyDescent="0.2">
      <c r="B24" s="97" t="s">
        <v>14</v>
      </c>
      <c r="C24" s="178"/>
      <c r="D24" s="118">
        <v>1752</v>
      </c>
      <c r="E24" s="118"/>
      <c r="F24" s="119">
        <v>95</v>
      </c>
      <c r="G24" s="120">
        <v>5.4223744291999996</v>
      </c>
      <c r="H24" s="119"/>
      <c r="I24" s="119">
        <v>1657</v>
      </c>
      <c r="J24" s="121">
        <v>94.577625570799995</v>
      </c>
    </row>
    <row r="25" spans="2:10" s="101" customFormat="1" ht="12.75" customHeight="1" x14ac:dyDescent="0.2">
      <c r="B25" s="97" t="s">
        <v>15</v>
      </c>
      <c r="C25" s="178"/>
      <c r="D25" s="118">
        <v>1744</v>
      </c>
      <c r="E25" s="118"/>
      <c r="F25" s="119">
        <v>94</v>
      </c>
      <c r="G25" s="120">
        <v>5.3899082569000001</v>
      </c>
      <c r="H25" s="119"/>
      <c r="I25" s="119">
        <v>1650</v>
      </c>
      <c r="J25" s="121">
        <v>94.6100917431</v>
      </c>
    </row>
    <row r="26" spans="2:10" s="101" customFormat="1" ht="12.75" customHeight="1" x14ac:dyDescent="0.2">
      <c r="B26" s="97" t="s">
        <v>16</v>
      </c>
      <c r="C26" s="178"/>
      <c r="D26" s="118">
        <v>1754</v>
      </c>
      <c r="E26" s="118"/>
      <c r="F26" s="119">
        <v>216</v>
      </c>
      <c r="G26" s="120">
        <v>12.314709236000001</v>
      </c>
      <c r="H26" s="119"/>
      <c r="I26" s="119">
        <v>1538</v>
      </c>
      <c r="J26" s="121">
        <v>87.685290764000001</v>
      </c>
    </row>
    <row r="27" spans="2:10" s="101" customFormat="1" ht="12.75" customHeight="1" x14ac:dyDescent="0.2">
      <c r="B27" s="97" t="s">
        <v>17</v>
      </c>
      <c r="C27" s="178"/>
      <c r="D27" s="118">
        <v>1815</v>
      </c>
      <c r="E27" s="118"/>
      <c r="F27" s="119">
        <v>80</v>
      </c>
      <c r="G27" s="120">
        <v>4.4077134985999997</v>
      </c>
      <c r="H27" s="119"/>
      <c r="I27" s="119">
        <v>1735</v>
      </c>
      <c r="J27" s="121">
        <v>95.592286501399997</v>
      </c>
    </row>
    <row r="28" spans="2:10" s="101" customFormat="1" ht="12.75" customHeight="1" x14ac:dyDescent="0.2">
      <c r="B28" s="97" t="s">
        <v>18</v>
      </c>
      <c r="C28" s="178"/>
      <c r="D28" s="118">
        <v>1899</v>
      </c>
      <c r="E28" s="118"/>
      <c r="F28" s="119">
        <v>129</v>
      </c>
      <c r="G28" s="120">
        <v>6.7930489731000003</v>
      </c>
      <c r="H28" s="119"/>
      <c r="I28" s="119">
        <v>1770</v>
      </c>
      <c r="J28" s="121">
        <v>93.206951026900001</v>
      </c>
    </row>
    <row r="29" spans="2:10" s="101" customFormat="1" ht="12.75" customHeight="1" x14ac:dyDescent="0.2">
      <c r="B29" s="97" t="s">
        <v>19</v>
      </c>
      <c r="C29" s="178"/>
      <c r="D29" s="118">
        <v>1754</v>
      </c>
      <c r="E29" s="118"/>
      <c r="F29" s="119">
        <v>84</v>
      </c>
      <c r="G29" s="120">
        <v>4.7890535918000001</v>
      </c>
      <c r="H29" s="119"/>
      <c r="I29" s="119">
        <v>1670</v>
      </c>
      <c r="J29" s="121">
        <v>95.210946408200002</v>
      </c>
    </row>
    <row r="30" spans="2:10" s="101" customFormat="1" ht="12.75" customHeight="1" x14ac:dyDescent="0.2">
      <c r="B30" s="97" t="s">
        <v>20</v>
      </c>
      <c r="C30" s="178"/>
      <c r="D30" s="118">
        <v>1776</v>
      </c>
      <c r="E30" s="118"/>
      <c r="F30" s="119">
        <v>193</v>
      </c>
      <c r="G30" s="120">
        <v>10.867117117099999</v>
      </c>
      <c r="H30" s="119"/>
      <c r="I30" s="119">
        <v>1583</v>
      </c>
      <c r="J30" s="121">
        <v>89.132882882900006</v>
      </c>
    </row>
    <row r="31" spans="2:10" s="101" customFormat="1" ht="12.75" customHeight="1" x14ac:dyDescent="0.2">
      <c r="B31" s="97" t="s">
        <v>21</v>
      </c>
      <c r="C31" s="178"/>
      <c r="D31" s="118">
        <v>1776</v>
      </c>
      <c r="E31" s="118"/>
      <c r="F31" s="119">
        <v>232</v>
      </c>
      <c r="G31" s="120">
        <v>13.0630630631</v>
      </c>
      <c r="H31" s="119"/>
      <c r="I31" s="119">
        <v>1544</v>
      </c>
      <c r="J31" s="121">
        <v>86.936936936899997</v>
      </c>
    </row>
    <row r="32" spans="2:10" s="101" customFormat="1" ht="12.75" customHeight="1" x14ac:dyDescent="0.2">
      <c r="B32" s="97" t="s">
        <v>22</v>
      </c>
      <c r="C32" s="178"/>
      <c r="D32" s="118">
        <v>1799</v>
      </c>
      <c r="E32" s="118"/>
      <c r="F32" s="119">
        <v>117</v>
      </c>
      <c r="G32" s="120">
        <v>6.5036131183999997</v>
      </c>
      <c r="H32" s="119"/>
      <c r="I32" s="119">
        <v>1682</v>
      </c>
      <c r="J32" s="121">
        <v>93.496386881600003</v>
      </c>
    </row>
    <row r="33" spans="2:11" s="101" customFormat="1" ht="12.75" customHeight="1" x14ac:dyDescent="0.2">
      <c r="B33" s="97" t="s">
        <v>23</v>
      </c>
      <c r="C33" s="178"/>
      <c r="D33" s="118">
        <v>1809</v>
      </c>
      <c r="E33" s="118"/>
      <c r="F33" s="119">
        <v>76</v>
      </c>
      <c r="G33" s="120">
        <v>4.2012161414999998</v>
      </c>
      <c r="H33" s="119"/>
      <c r="I33" s="119">
        <v>1733</v>
      </c>
      <c r="J33" s="121">
        <v>95.798783858500002</v>
      </c>
    </row>
    <row r="34" spans="2:11" s="101" customFormat="1" ht="12.75" customHeight="1" x14ac:dyDescent="0.2">
      <c r="B34" s="97" t="s">
        <v>24</v>
      </c>
      <c r="C34" s="178"/>
      <c r="D34" s="118">
        <v>1762</v>
      </c>
      <c r="E34" s="118"/>
      <c r="F34" s="119">
        <v>179</v>
      </c>
      <c r="G34" s="120">
        <v>10.158910329199999</v>
      </c>
      <c r="H34" s="119"/>
      <c r="I34" s="119">
        <v>1583</v>
      </c>
      <c r="J34" s="121">
        <v>89.841089670800002</v>
      </c>
    </row>
    <row r="35" spans="2:11" s="101" customFormat="1" ht="12.75" customHeight="1" x14ac:dyDescent="0.2">
      <c r="B35" s="97" t="s">
        <v>25</v>
      </c>
      <c r="C35" s="178"/>
      <c r="D35" s="118">
        <v>1683</v>
      </c>
      <c r="E35" s="118"/>
      <c r="F35" s="119">
        <v>182</v>
      </c>
      <c r="G35" s="120">
        <v>10.814022578699999</v>
      </c>
      <c r="H35" s="119"/>
      <c r="I35" s="119">
        <v>1501</v>
      </c>
      <c r="J35" s="121">
        <v>89.185977421299995</v>
      </c>
    </row>
    <row r="36" spans="2:11" s="101" customFormat="1" ht="12.75" customHeight="1" x14ac:dyDescent="0.2">
      <c r="B36" s="97" t="s">
        <v>26</v>
      </c>
      <c r="C36" s="178"/>
      <c r="D36" s="118">
        <v>1774</v>
      </c>
      <c r="E36" s="118"/>
      <c r="F36" s="119">
        <v>118</v>
      </c>
      <c r="G36" s="120">
        <v>6.6516347238</v>
      </c>
      <c r="H36" s="119"/>
      <c r="I36" s="119">
        <v>1656</v>
      </c>
      <c r="J36" s="121">
        <v>93.348365276199999</v>
      </c>
    </row>
    <row r="37" spans="2:11" s="101" customFormat="1" ht="12.75" customHeight="1" x14ac:dyDescent="0.2">
      <c r="B37" s="97" t="s">
        <v>27</v>
      </c>
      <c r="C37" s="178"/>
      <c r="D37" s="118">
        <v>1789</v>
      </c>
      <c r="E37" s="118"/>
      <c r="F37" s="119">
        <v>132</v>
      </c>
      <c r="G37" s="120">
        <v>7.3784237004</v>
      </c>
      <c r="H37" s="119"/>
      <c r="I37" s="119">
        <v>1657</v>
      </c>
      <c r="J37" s="121">
        <v>92.621576299599994</v>
      </c>
    </row>
    <row r="38" spans="2:11" s="101" customFormat="1" ht="12.75" customHeight="1" x14ac:dyDescent="0.2">
      <c r="B38" s="97" t="s">
        <v>28</v>
      </c>
      <c r="C38" s="178"/>
      <c r="D38" s="118">
        <v>1793</v>
      </c>
      <c r="E38" s="118"/>
      <c r="F38" s="119">
        <v>246</v>
      </c>
      <c r="G38" s="120">
        <v>13.720022309000001</v>
      </c>
      <c r="H38" s="119"/>
      <c r="I38" s="119">
        <v>1547</v>
      </c>
      <c r="J38" s="121">
        <v>86.279977690999999</v>
      </c>
    </row>
    <row r="39" spans="2:11" s="101" customFormat="1" ht="12.75" customHeight="1" x14ac:dyDescent="0.2">
      <c r="B39" s="97" t="s">
        <v>29</v>
      </c>
      <c r="C39" s="178"/>
      <c r="D39" s="118">
        <v>1771</v>
      </c>
      <c r="E39" s="118"/>
      <c r="F39" s="119">
        <v>133</v>
      </c>
      <c r="G39" s="120">
        <v>7.5098814229000004</v>
      </c>
      <c r="H39" s="119"/>
      <c r="I39" s="119">
        <v>1638</v>
      </c>
      <c r="J39" s="121">
        <v>92.490118577100006</v>
      </c>
    </row>
    <row r="40" spans="2:11" s="101" customFormat="1" ht="12.75" customHeight="1" x14ac:dyDescent="0.2">
      <c r="B40" s="97" t="s">
        <v>30</v>
      </c>
      <c r="C40" s="178"/>
      <c r="D40" s="118">
        <v>1658</v>
      </c>
      <c r="E40" s="118"/>
      <c r="F40" s="119">
        <v>168</v>
      </c>
      <c r="G40" s="120">
        <v>10.132689987899999</v>
      </c>
      <c r="H40" s="119"/>
      <c r="I40" s="119">
        <v>1490</v>
      </c>
      <c r="J40" s="121">
        <v>89.867310012100006</v>
      </c>
    </row>
    <row r="41" spans="2:11" s="101" customFormat="1" ht="12.75" customHeight="1" x14ac:dyDescent="0.2">
      <c r="B41" s="97" t="s">
        <v>31</v>
      </c>
      <c r="C41" s="178"/>
      <c r="D41" s="118">
        <v>1854</v>
      </c>
      <c r="E41" s="118"/>
      <c r="F41" s="119">
        <v>59</v>
      </c>
      <c r="G41" s="120">
        <v>3.1823085221</v>
      </c>
      <c r="H41" s="119"/>
      <c r="I41" s="119">
        <v>1795</v>
      </c>
      <c r="J41" s="121">
        <v>96.817691477899999</v>
      </c>
    </row>
    <row r="42" spans="2:11" s="101" customFormat="1" ht="12.75" customHeight="1" x14ac:dyDescent="0.2">
      <c r="B42" s="97" t="s">
        <v>32</v>
      </c>
      <c r="C42" s="178"/>
      <c r="D42" s="118">
        <v>1737</v>
      </c>
      <c r="E42" s="118"/>
      <c r="F42" s="119">
        <v>96</v>
      </c>
      <c r="G42" s="120">
        <v>5.5267702936000003</v>
      </c>
      <c r="H42" s="119"/>
      <c r="I42" s="119">
        <v>1641</v>
      </c>
      <c r="J42" s="121">
        <v>94.473229706400005</v>
      </c>
    </row>
    <row r="43" spans="2:11" s="101" customFormat="1" ht="12.75" customHeight="1" x14ac:dyDescent="0.2">
      <c r="B43" s="97" t="s">
        <v>33</v>
      </c>
      <c r="C43" s="178"/>
      <c r="D43" s="118">
        <v>1809</v>
      </c>
      <c r="E43" s="118"/>
      <c r="F43" s="119">
        <v>222</v>
      </c>
      <c r="G43" s="120">
        <v>12.271973466</v>
      </c>
      <c r="H43" s="119"/>
      <c r="I43" s="119">
        <v>1587</v>
      </c>
      <c r="J43" s="121">
        <v>87.728026533999994</v>
      </c>
    </row>
    <row r="44" spans="2:11" s="101" customFormat="1" ht="12.75" customHeight="1" x14ac:dyDescent="0.2">
      <c r="B44" s="97" t="s">
        <v>34</v>
      </c>
      <c r="C44" s="178"/>
      <c r="D44" s="118">
        <v>1737</v>
      </c>
      <c r="E44" s="118"/>
      <c r="F44" s="119">
        <v>150</v>
      </c>
      <c r="G44" s="120">
        <v>8.6355785837999992</v>
      </c>
      <c r="H44" s="119"/>
      <c r="I44" s="119">
        <v>1587</v>
      </c>
      <c r="J44" s="121">
        <v>91.364421416200003</v>
      </c>
    </row>
    <row r="45" spans="2:11" s="19" customFormat="1" ht="6" customHeight="1" x14ac:dyDescent="0.2">
      <c r="B45" s="15"/>
      <c r="C45" s="16"/>
      <c r="D45" s="153"/>
      <c r="E45" s="153"/>
      <c r="F45" s="153"/>
      <c r="G45" s="153"/>
      <c r="H45" s="153"/>
      <c r="I45" s="153"/>
      <c r="J45" s="153"/>
      <c r="K45" s="18"/>
    </row>
    <row r="46" spans="2:11" s="19" customFormat="1" ht="6" customHeight="1" x14ac:dyDescent="0.2">
      <c r="B46" s="18"/>
      <c r="C46" s="18"/>
      <c r="D46" s="179"/>
      <c r="E46" s="179"/>
      <c r="F46" s="179"/>
      <c r="G46" s="179"/>
      <c r="H46" s="179"/>
      <c r="I46" s="179"/>
      <c r="J46" s="179"/>
      <c r="K46" s="18"/>
    </row>
    <row r="47" spans="2:11" x14ac:dyDescent="0.2">
      <c r="B47" s="113" t="s">
        <v>57</v>
      </c>
    </row>
  </sheetData>
  <mergeCells count="6">
    <mergeCell ref="B5:I5"/>
    <mergeCell ref="B7:B9"/>
    <mergeCell ref="D7:D9"/>
    <mergeCell ref="F7:J7"/>
    <mergeCell ref="F8:G8"/>
    <mergeCell ref="I8:J8"/>
  </mergeCells>
  <hyperlinks>
    <hyperlink ref="J1" location="Índice!A1" tooltip="Ir a ÍNDICE" display="INDICE" xr:uid="{9F3A9A96-2226-4721-87F9-F9F976E24331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1D655-DD68-4A58-A2B8-EBA12519D7B3}">
  <dimension ref="A1:S18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13" customWidth="1"/>
    <col min="2" max="2" width="32.5703125" style="13" customWidth="1"/>
    <col min="3" max="3" width="1.7109375" style="13" customWidth="1"/>
    <col min="4" max="4" width="17.7109375" style="13" customWidth="1"/>
    <col min="5" max="5" width="1.7109375" style="13" customWidth="1"/>
    <col min="6" max="6" width="17.7109375" style="13" customWidth="1"/>
    <col min="7" max="7" width="1.7109375" style="13" customWidth="1"/>
    <col min="8" max="8" width="17.7109375" style="13" customWidth="1"/>
    <col min="9" max="16384" width="9.140625" style="13"/>
  </cols>
  <sheetData>
    <row r="1" spans="1:19" s="58" customFormat="1" ht="12" customHeight="1" x14ac:dyDescent="0.2">
      <c r="A1" s="616"/>
      <c r="B1" s="616" t="s">
        <v>202</v>
      </c>
      <c r="C1" s="204"/>
      <c r="H1" s="72" t="s">
        <v>151</v>
      </c>
    </row>
    <row r="2" spans="1:19" s="58" customFormat="1" ht="6.95" customHeight="1" x14ac:dyDescent="0.2">
      <c r="B2" s="616"/>
      <c r="C2" s="204"/>
    </row>
    <row r="3" spans="1:19" s="58" customFormat="1" ht="12.75" x14ac:dyDescent="0.2">
      <c r="B3" s="616" t="s">
        <v>199</v>
      </c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</row>
    <row r="4" spans="1:19" s="58" customFormat="1" ht="6.95" customHeight="1" x14ac:dyDescent="0.2"/>
    <row r="5" spans="1:19" s="58" customFormat="1" ht="25.5" customHeight="1" x14ac:dyDescent="0.2">
      <c r="B5" s="644" t="s">
        <v>103</v>
      </c>
      <c r="C5" s="644"/>
      <c r="D5" s="644"/>
      <c r="E5" s="644"/>
      <c r="F5" s="644"/>
      <c r="G5" s="205"/>
      <c r="H5" s="71" t="s">
        <v>102</v>
      </c>
    </row>
    <row r="6" spans="1:19" ht="6" customHeight="1" x14ac:dyDescent="0.2">
      <c r="B6" s="206"/>
      <c r="C6" s="206"/>
      <c r="D6" s="207"/>
      <c r="E6" s="207"/>
      <c r="F6" s="207"/>
      <c r="G6" s="207"/>
      <c r="H6" s="171"/>
    </row>
    <row r="7" spans="1:19" ht="16.5" customHeight="1" x14ac:dyDescent="0.2">
      <c r="B7" s="645" t="s">
        <v>55</v>
      </c>
      <c r="C7" s="192"/>
      <c r="D7" s="647" t="s">
        <v>85</v>
      </c>
      <c r="E7" s="194"/>
      <c r="F7" s="649" t="s">
        <v>83</v>
      </c>
      <c r="G7" s="196"/>
      <c r="H7" s="640" t="s">
        <v>84</v>
      </c>
    </row>
    <row r="8" spans="1:19" ht="23.25" customHeight="1" x14ac:dyDescent="0.2">
      <c r="B8" s="646"/>
      <c r="C8" s="193"/>
      <c r="D8" s="648"/>
      <c r="E8" s="195"/>
      <c r="F8" s="650"/>
      <c r="G8" s="197"/>
      <c r="H8" s="642"/>
    </row>
    <row r="9" spans="1:19" s="19" customFormat="1" ht="6" customHeight="1" x14ac:dyDescent="0.2">
      <c r="B9" s="18"/>
      <c r="C9" s="18"/>
      <c r="D9" s="179"/>
      <c r="E9" s="179"/>
      <c r="F9" s="179"/>
      <c r="G9" s="179"/>
      <c r="H9" s="179"/>
      <c r="I9" s="18"/>
    </row>
    <row r="10" spans="1:19" s="100" customFormat="1" ht="11.25" x14ac:dyDescent="0.2">
      <c r="B10" s="104" t="s">
        <v>35</v>
      </c>
      <c r="C10" s="105"/>
      <c r="D10" s="146">
        <v>4626</v>
      </c>
      <c r="E10" s="146"/>
      <c r="F10" s="146">
        <v>3909</v>
      </c>
      <c r="G10" s="146"/>
      <c r="H10" s="146">
        <v>717</v>
      </c>
      <c r="I10" s="105"/>
      <c r="J10" s="105"/>
      <c r="K10" s="105"/>
    </row>
    <row r="11" spans="1:19" s="101" customFormat="1" ht="6" customHeight="1" x14ac:dyDescent="0.2">
      <c r="B11" s="208"/>
      <c r="C11" s="106"/>
      <c r="D11" s="147"/>
      <c r="E11" s="147"/>
      <c r="F11" s="147"/>
      <c r="G11" s="147"/>
      <c r="H11" s="147"/>
      <c r="I11" s="106"/>
      <c r="J11" s="106"/>
      <c r="K11" s="106"/>
    </row>
    <row r="12" spans="1:19" s="101" customFormat="1" ht="15" customHeight="1" x14ac:dyDescent="0.2">
      <c r="B12" s="189" t="s">
        <v>36</v>
      </c>
      <c r="C12" s="106"/>
      <c r="D12" s="147">
        <v>628</v>
      </c>
      <c r="E12" s="147"/>
      <c r="F12" s="147">
        <v>553</v>
      </c>
      <c r="G12" s="147"/>
      <c r="H12" s="147">
        <v>75</v>
      </c>
      <c r="I12" s="106"/>
      <c r="J12" s="106"/>
      <c r="K12" s="106"/>
    </row>
    <row r="13" spans="1:19" s="106" customFormat="1" ht="15" customHeight="1" x14ac:dyDescent="0.2">
      <c r="B13" s="189" t="s">
        <v>37</v>
      </c>
      <c r="C13" s="189"/>
      <c r="D13" s="148">
        <v>567</v>
      </c>
      <c r="E13" s="148"/>
      <c r="F13" s="149">
        <v>478</v>
      </c>
      <c r="G13" s="149"/>
      <c r="H13" s="150">
        <v>89</v>
      </c>
    </row>
    <row r="14" spans="1:19" s="106" customFormat="1" ht="15" customHeight="1" x14ac:dyDescent="0.2">
      <c r="B14" s="191" t="s">
        <v>38</v>
      </c>
      <c r="C14" s="191"/>
      <c r="D14" s="148">
        <v>742</v>
      </c>
      <c r="E14" s="148"/>
      <c r="F14" s="149">
        <v>635</v>
      </c>
      <c r="G14" s="149"/>
      <c r="H14" s="150">
        <v>107</v>
      </c>
    </row>
    <row r="15" spans="1:19" s="106" customFormat="1" ht="15" customHeight="1" x14ac:dyDescent="0.2">
      <c r="B15" s="191" t="s">
        <v>56</v>
      </c>
      <c r="C15" s="191"/>
      <c r="D15" s="148">
        <v>2689</v>
      </c>
      <c r="E15" s="148"/>
      <c r="F15" s="149">
        <v>2243</v>
      </c>
      <c r="G15" s="149"/>
      <c r="H15" s="150">
        <v>446</v>
      </c>
    </row>
    <row r="16" spans="1:19" s="19" customFormat="1" ht="6" customHeight="1" x14ac:dyDescent="0.2">
      <c r="B16" s="15"/>
      <c r="C16" s="16"/>
      <c r="D16" s="17"/>
      <c r="E16" s="17"/>
      <c r="F16" s="17"/>
      <c r="G16" s="17"/>
      <c r="H16" s="17"/>
      <c r="I16" s="18"/>
    </row>
    <row r="17" spans="2:9" s="19" customFormat="1" ht="6" customHeight="1" x14ac:dyDescent="0.2">
      <c r="B17" s="18"/>
      <c r="C17" s="18"/>
      <c r="D17" s="179"/>
      <c r="E17" s="179"/>
      <c r="F17" s="179"/>
      <c r="G17" s="179"/>
      <c r="H17" s="179"/>
      <c r="I17" s="18"/>
    </row>
    <row r="18" spans="2:9" x14ac:dyDescent="0.2">
      <c r="B18" s="113" t="s">
        <v>57</v>
      </c>
    </row>
  </sheetData>
  <mergeCells count="5">
    <mergeCell ref="B5:F5"/>
    <mergeCell ref="B7:B8"/>
    <mergeCell ref="D7:D8"/>
    <mergeCell ref="F7:F8"/>
    <mergeCell ref="H7:H8"/>
  </mergeCells>
  <hyperlinks>
    <hyperlink ref="H1" location="Índice!A1" tooltip="Ir a ÍNDICE" display="INDICE" xr:uid="{B46A97EA-B760-4676-B0C1-C518B29BFAE6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4BA8-39CD-4C17-B665-F2145AD2A641}">
  <dimension ref="A1:S46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13" customWidth="1"/>
    <col min="2" max="2" width="32.5703125" style="13" customWidth="1"/>
    <col min="3" max="3" width="1.7109375" style="13" customWidth="1"/>
    <col min="4" max="4" width="17.7109375" style="13" customWidth="1"/>
    <col min="5" max="5" width="1.7109375" style="13" customWidth="1"/>
    <col min="6" max="6" width="16.28515625" style="13" customWidth="1"/>
    <col min="7" max="7" width="1.7109375" style="13" customWidth="1"/>
    <col min="8" max="8" width="17.7109375" style="13" customWidth="1"/>
    <col min="9" max="16384" width="9.140625" style="13"/>
  </cols>
  <sheetData>
    <row r="1" spans="1:19" s="58" customFormat="1" ht="12" customHeight="1" x14ac:dyDescent="0.2">
      <c r="A1" s="616"/>
      <c r="B1" s="616" t="s">
        <v>202</v>
      </c>
      <c r="C1" s="211"/>
      <c r="H1" s="72" t="s">
        <v>151</v>
      </c>
    </row>
    <row r="2" spans="1:19" s="58" customFormat="1" ht="6.95" customHeight="1" x14ac:dyDescent="0.2">
      <c r="B2" s="616"/>
      <c r="C2" s="211"/>
    </row>
    <row r="3" spans="1:19" s="58" customFormat="1" ht="12.75" x14ac:dyDescent="0.2">
      <c r="B3" s="616" t="s">
        <v>199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</row>
    <row r="4" spans="1:19" s="58" customFormat="1" ht="6.95" customHeight="1" x14ac:dyDescent="0.2"/>
    <row r="5" spans="1:19" s="58" customFormat="1" ht="25.5" customHeight="1" x14ac:dyDescent="0.2">
      <c r="B5" s="644" t="s">
        <v>104</v>
      </c>
      <c r="C5" s="644"/>
      <c r="D5" s="644"/>
      <c r="E5" s="644"/>
      <c r="F5" s="644"/>
      <c r="G5" s="203"/>
      <c r="H5" s="71" t="s">
        <v>105</v>
      </c>
    </row>
    <row r="6" spans="1:19" ht="6" customHeight="1" x14ac:dyDescent="0.2">
      <c r="B6" s="169"/>
      <c r="C6" s="169"/>
      <c r="D6" s="170"/>
      <c r="E6" s="170"/>
      <c r="F6" s="170"/>
      <c r="G6" s="170"/>
      <c r="H6" s="171"/>
    </row>
    <row r="7" spans="1:19" ht="16.5" customHeight="1" x14ac:dyDescent="0.2">
      <c r="B7" s="637" t="s">
        <v>76</v>
      </c>
      <c r="C7" s="199"/>
      <c r="D7" s="640" t="s">
        <v>85</v>
      </c>
      <c r="E7" s="201"/>
      <c r="F7" s="640" t="s">
        <v>83</v>
      </c>
      <c r="G7" s="201"/>
      <c r="H7" s="640" t="s">
        <v>84</v>
      </c>
    </row>
    <row r="8" spans="1:19" ht="23.25" customHeight="1" x14ac:dyDescent="0.2">
      <c r="B8" s="639"/>
      <c r="C8" s="200"/>
      <c r="D8" s="642"/>
      <c r="E8" s="202"/>
      <c r="F8" s="642"/>
      <c r="G8" s="202"/>
      <c r="H8" s="642"/>
    </row>
    <row r="9" spans="1:19" s="19" customFormat="1" ht="6" customHeight="1" x14ac:dyDescent="0.2">
      <c r="B9" s="174"/>
      <c r="C9" s="174"/>
      <c r="D9" s="27"/>
      <c r="E9" s="27"/>
      <c r="F9" s="27"/>
      <c r="G9" s="27"/>
      <c r="H9" s="27"/>
      <c r="I9" s="14"/>
      <c r="J9" s="14"/>
      <c r="K9" s="14"/>
      <c r="L9" s="14"/>
    </row>
    <row r="10" spans="1:19" s="100" customFormat="1" ht="11.25" x14ac:dyDescent="0.2">
      <c r="B10" s="99" t="s">
        <v>35</v>
      </c>
      <c r="C10" s="176"/>
      <c r="D10" s="123">
        <v>4626</v>
      </c>
      <c r="E10" s="123"/>
      <c r="F10" s="123">
        <v>3909</v>
      </c>
      <c r="G10" s="123"/>
      <c r="H10" s="123">
        <v>717</v>
      </c>
    </row>
    <row r="11" spans="1:19" s="101" customFormat="1" ht="6" customHeight="1" x14ac:dyDescent="0.2">
      <c r="B11" s="176"/>
      <c r="C11" s="176"/>
      <c r="D11" s="125"/>
      <c r="E11" s="125"/>
      <c r="F11" s="125"/>
      <c r="G11" s="125"/>
      <c r="H11" s="125"/>
    </row>
    <row r="12" spans="1:19" s="101" customFormat="1" ht="12.75" customHeight="1" x14ac:dyDescent="0.2">
      <c r="B12" s="97" t="s">
        <v>3</v>
      </c>
      <c r="C12" s="177"/>
      <c r="D12" s="125">
        <v>213</v>
      </c>
      <c r="E12" s="125"/>
      <c r="F12" s="125">
        <v>156</v>
      </c>
      <c r="G12" s="125"/>
      <c r="H12" s="125">
        <v>57</v>
      </c>
    </row>
    <row r="13" spans="1:19" s="101" customFormat="1" ht="12.75" customHeight="1" x14ac:dyDescent="0.2">
      <c r="B13" s="97" t="s">
        <v>4</v>
      </c>
      <c r="C13" s="177"/>
      <c r="D13" s="125">
        <v>166</v>
      </c>
      <c r="E13" s="125"/>
      <c r="F13" s="125">
        <v>145</v>
      </c>
      <c r="G13" s="125"/>
      <c r="H13" s="125">
        <v>21</v>
      </c>
    </row>
    <row r="14" spans="1:19" s="101" customFormat="1" ht="12.75" customHeight="1" x14ac:dyDescent="0.2">
      <c r="B14" s="97" t="s">
        <v>5</v>
      </c>
      <c r="C14" s="177"/>
      <c r="D14" s="125">
        <v>157</v>
      </c>
      <c r="E14" s="125"/>
      <c r="F14" s="125">
        <v>127</v>
      </c>
      <c r="G14" s="125"/>
      <c r="H14" s="125">
        <v>30</v>
      </c>
    </row>
    <row r="15" spans="1:19" s="101" customFormat="1" ht="12.75" customHeight="1" x14ac:dyDescent="0.2">
      <c r="B15" s="97" t="s">
        <v>6</v>
      </c>
      <c r="C15" s="177"/>
      <c r="D15" s="114">
        <v>139</v>
      </c>
      <c r="E15" s="114"/>
      <c r="F15" s="115">
        <v>100</v>
      </c>
      <c r="G15" s="115"/>
      <c r="H15" s="122">
        <v>39</v>
      </c>
    </row>
    <row r="16" spans="1:19" s="101" customFormat="1" ht="12.75" customHeight="1" x14ac:dyDescent="0.2">
      <c r="B16" s="97" t="s">
        <v>7</v>
      </c>
      <c r="C16" s="177"/>
      <c r="D16" s="114">
        <v>144</v>
      </c>
      <c r="E16" s="114"/>
      <c r="F16" s="115">
        <v>107</v>
      </c>
      <c r="G16" s="115"/>
      <c r="H16" s="122">
        <v>37</v>
      </c>
    </row>
    <row r="17" spans="2:8" s="101" customFormat="1" ht="12.75" customHeight="1" x14ac:dyDescent="0.2">
      <c r="B17" s="97" t="s">
        <v>8</v>
      </c>
      <c r="C17" s="177"/>
      <c r="D17" s="114">
        <v>190</v>
      </c>
      <c r="E17" s="114"/>
      <c r="F17" s="115">
        <v>164</v>
      </c>
      <c r="G17" s="115"/>
      <c r="H17" s="122">
        <v>26</v>
      </c>
    </row>
    <row r="18" spans="2:8" s="101" customFormat="1" ht="12.75" customHeight="1" x14ac:dyDescent="0.2">
      <c r="B18" s="97" t="s">
        <v>9</v>
      </c>
      <c r="C18" s="177"/>
      <c r="D18" s="114">
        <v>90</v>
      </c>
      <c r="E18" s="114"/>
      <c r="F18" s="115">
        <v>83</v>
      </c>
      <c r="G18" s="115"/>
      <c r="H18" s="122">
        <v>7</v>
      </c>
    </row>
    <row r="19" spans="2:8" s="101" customFormat="1" ht="12.75" customHeight="1" x14ac:dyDescent="0.2">
      <c r="B19" s="97" t="s">
        <v>10</v>
      </c>
      <c r="C19" s="177"/>
      <c r="D19" s="114">
        <v>135</v>
      </c>
      <c r="E19" s="114"/>
      <c r="F19" s="115">
        <v>120</v>
      </c>
      <c r="G19" s="115"/>
      <c r="H19" s="122">
        <v>15</v>
      </c>
    </row>
    <row r="20" spans="2:8" s="101" customFormat="1" ht="12.75" customHeight="1" x14ac:dyDescent="0.2">
      <c r="B20" s="97" t="s">
        <v>11</v>
      </c>
      <c r="C20" s="177"/>
      <c r="D20" s="114">
        <v>111</v>
      </c>
      <c r="E20" s="114"/>
      <c r="F20" s="115">
        <v>100</v>
      </c>
      <c r="G20" s="115"/>
      <c r="H20" s="122">
        <v>11</v>
      </c>
    </row>
    <row r="21" spans="2:8" s="101" customFormat="1" ht="12.75" customHeight="1" x14ac:dyDescent="0.2">
      <c r="B21" s="97" t="s">
        <v>12</v>
      </c>
      <c r="C21" s="177"/>
      <c r="D21" s="114">
        <v>160</v>
      </c>
      <c r="E21" s="114"/>
      <c r="F21" s="115">
        <v>142</v>
      </c>
      <c r="G21" s="115"/>
      <c r="H21" s="122">
        <v>18</v>
      </c>
    </row>
    <row r="22" spans="2:8" s="101" customFormat="1" ht="12.75" customHeight="1" x14ac:dyDescent="0.2">
      <c r="B22" s="97" t="s">
        <v>13</v>
      </c>
      <c r="C22" s="177"/>
      <c r="D22" s="114">
        <v>120</v>
      </c>
      <c r="E22" s="114"/>
      <c r="F22" s="115">
        <v>98</v>
      </c>
      <c r="G22" s="115"/>
      <c r="H22" s="122">
        <v>22</v>
      </c>
    </row>
    <row r="23" spans="2:8" s="101" customFormat="1" ht="12.75" customHeight="1" x14ac:dyDescent="0.2">
      <c r="B23" s="97" t="s">
        <v>14</v>
      </c>
      <c r="C23" s="177"/>
      <c r="D23" s="114">
        <v>95</v>
      </c>
      <c r="E23" s="114"/>
      <c r="F23" s="115">
        <v>83</v>
      </c>
      <c r="G23" s="115"/>
      <c r="H23" s="122">
        <v>12</v>
      </c>
    </row>
    <row r="24" spans="2:8" s="101" customFormat="1" ht="12.75" customHeight="1" x14ac:dyDescent="0.2">
      <c r="B24" s="97" t="s">
        <v>15</v>
      </c>
      <c r="C24" s="177"/>
      <c r="D24" s="114">
        <v>94</v>
      </c>
      <c r="E24" s="114"/>
      <c r="F24" s="115">
        <v>77</v>
      </c>
      <c r="G24" s="115"/>
      <c r="H24" s="122">
        <v>17</v>
      </c>
    </row>
    <row r="25" spans="2:8" s="101" customFormat="1" ht="12.75" customHeight="1" x14ac:dyDescent="0.2">
      <c r="B25" s="97" t="s">
        <v>16</v>
      </c>
      <c r="C25" s="177"/>
      <c r="D25" s="114">
        <v>216</v>
      </c>
      <c r="E25" s="114"/>
      <c r="F25" s="115">
        <v>185</v>
      </c>
      <c r="G25" s="115"/>
      <c r="H25" s="122">
        <v>31</v>
      </c>
    </row>
    <row r="26" spans="2:8" s="101" customFormat="1" ht="12.75" customHeight="1" x14ac:dyDescent="0.2">
      <c r="B26" s="97" t="s">
        <v>17</v>
      </c>
      <c r="C26" s="177"/>
      <c r="D26" s="114">
        <v>80</v>
      </c>
      <c r="E26" s="114"/>
      <c r="F26" s="115">
        <v>71</v>
      </c>
      <c r="G26" s="115"/>
      <c r="H26" s="122">
        <v>9</v>
      </c>
    </row>
    <row r="27" spans="2:8" s="101" customFormat="1" ht="12.75" customHeight="1" x14ac:dyDescent="0.2">
      <c r="B27" s="97" t="s">
        <v>18</v>
      </c>
      <c r="C27" s="177"/>
      <c r="D27" s="114">
        <v>129</v>
      </c>
      <c r="E27" s="114"/>
      <c r="F27" s="115">
        <v>104</v>
      </c>
      <c r="G27" s="115"/>
      <c r="H27" s="122">
        <v>25</v>
      </c>
    </row>
    <row r="28" spans="2:8" s="101" customFormat="1" ht="12.75" customHeight="1" x14ac:dyDescent="0.2">
      <c r="B28" s="97" t="s">
        <v>19</v>
      </c>
      <c r="C28" s="177"/>
      <c r="D28" s="114">
        <v>84</v>
      </c>
      <c r="E28" s="114"/>
      <c r="F28" s="115">
        <v>61</v>
      </c>
      <c r="G28" s="115"/>
      <c r="H28" s="122">
        <v>23</v>
      </c>
    </row>
    <row r="29" spans="2:8" s="101" customFormat="1" ht="12.75" customHeight="1" x14ac:dyDescent="0.2">
      <c r="B29" s="97" t="s">
        <v>20</v>
      </c>
      <c r="C29" s="177"/>
      <c r="D29" s="114">
        <v>193</v>
      </c>
      <c r="E29" s="114"/>
      <c r="F29" s="115">
        <v>165</v>
      </c>
      <c r="G29" s="115"/>
      <c r="H29" s="122">
        <v>28</v>
      </c>
    </row>
    <row r="30" spans="2:8" s="101" customFormat="1" ht="12.75" customHeight="1" x14ac:dyDescent="0.2">
      <c r="B30" s="97" t="s">
        <v>21</v>
      </c>
      <c r="C30" s="177"/>
      <c r="D30" s="114">
        <v>232</v>
      </c>
      <c r="E30" s="114"/>
      <c r="F30" s="115">
        <v>196</v>
      </c>
      <c r="G30" s="115"/>
      <c r="H30" s="122">
        <v>36</v>
      </c>
    </row>
    <row r="31" spans="2:8" s="101" customFormat="1" ht="12.75" customHeight="1" x14ac:dyDescent="0.2">
      <c r="B31" s="97" t="s">
        <v>22</v>
      </c>
      <c r="C31" s="177"/>
      <c r="D31" s="114">
        <v>117</v>
      </c>
      <c r="E31" s="114"/>
      <c r="F31" s="115">
        <v>103</v>
      </c>
      <c r="G31" s="115"/>
      <c r="H31" s="122">
        <v>14</v>
      </c>
    </row>
    <row r="32" spans="2:8" s="101" customFormat="1" ht="12.75" customHeight="1" x14ac:dyDescent="0.2">
      <c r="B32" s="97" t="s">
        <v>23</v>
      </c>
      <c r="C32" s="177"/>
      <c r="D32" s="114">
        <v>76</v>
      </c>
      <c r="E32" s="114"/>
      <c r="F32" s="115">
        <v>66</v>
      </c>
      <c r="G32" s="115"/>
      <c r="H32" s="122">
        <v>10</v>
      </c>
    </row>
    <row r="33" spans="2:9" s="101" customFormat="1" ht="12.75" customHeight="1" x14ac:dyDescent="0.2">
      <c r="B33" s="97" t="s">
        <v>24</v>
      </c>
      <c r="C33" s="177"/>
      <c r="D33" s="114">
        <v>179</v>
      </c>
      <c r="E33" s="114"/>
      <c r="F33" s="115">
        <v>145</v>
      </c>
      <c r="G33" s="115"/>
      <c r="H33" s="122">
        <v>34</v>
      </c>
    </row>
    <row r="34" spans="2:9" s="101" customFormat="1" ht="12.75" customHeight="1" x14ac:dyDescent="0.2">
      <c r="B34" s="97" t="s">
        <v>25</v>
      </c>
      <c r="C34" s="177"/>
      <c r="D34" s="114">
        <v>182</v>
      </c>
      <c r="E34" s="114"/>
      <c r="F34" s="115">
        <v>160</v>
      </c>
      <c r="G34" s="115"/>
      <c r="H34" s="122">
        <v>22</v>
      </c>
    </row>
    <row r="35" spans="2:9" s="101" customFormat="1" ht="12.75" customHeight="1" x14ac:dyDescent="0.2">
      <c r="B35" s="97" t="s">
        <v>26</v>
      </c>
      <c r="C35" s="177"/>
      <c r="D35" s="114">
        <v>118</v>
      </c>
      <c r="E35" s="114"/>
      <c r="F35" s="115">
        <v>89</v>
      </c>
      <c r="G35" s="115"/>
      <c r="H35" s="122">
        <v>29</v>
      </c>
    </row>
    <row r="36" spans="2:9" s="101" customFormat="1" ht="12.75" customHeight="1" x14ac:dyDescent="0.2">
      <c r="B36" s="97" t="s">
        <v>27</v>
      </c>
      <c r="C36" s="177"/>
      <c r="D36" s="114">
        <v>132</v>
      </c>
      <c r="E36" s="114"/>
      <c r="F36" s="115">
        <v>117</v>
      </c>
      <c r="G36" s="115"/>
      <c r="H36" s="122">
        <v>15</v>
      </c>
    </row>
    <row r="37" spans="2:9" s="101" customFormat="1" ht="12.75" customHeight="1" x14ac:dyDescent="0.2">
      <c r="B37" s="97" t="s">
        <v>28</v>
      </c>
      <c r="C37" s="177"/>
      <c r="D37" s="114">
        <v>246</v>
      </c>
      <c r="E37" s="114"/>
      <c r="F37" s="115">
        <v>212</v>
      </c>
      <c r="G37" s="115"/>
      <c r="H37" s="122">
        <v>34</v>
      </c>
    </row>
    <row r="38" spans="2:9" s="101" customFormat="1" ht="12.75" customHeight="1" x14ac:dyDescent="0.2">
      <c r="B38" s="97" t="s">
        <v>29</v>
      </c>
      <c r="C38" s="177"/>
      <c r="D38" s="114">
        <v>133</v>
      </c>
      <c r="E38" s="114"/>
      <c r="F38" s="115">
        <v>121</v>
      </c>
      <c r="G38" s="115"/>
      <c r="H38" s="122">
        <v>12</v>
      </c>
    </row>
    <row r="39" spans="2:9" s="101" customFormat="1" ht="12.75" customHeight="1" x14ac:dyDescent="0.2">
      <c r="B39" s="97" t="s">
        <v>30</v>
      </c>
      <c r="C39" s="177"/>
      <c r="D39" s="114">
        <v>168</v>
      </c>
      <c r="E39" s="114"/>
      <c r="F39" s="115">
        <v>153</v>
      </c>
      <c r="G39" s="115"/>
      <c r="H39" s="122">
        <v>15</v>
      </c>
    </row>
    <row r="40" spans="2:9" s="101" customFormat="1" ht="12.75" customHeight="1" x14ac:dyDescent="0.2">
      <c r="B40" s="97" t="s">
        <v>31</v>
      </c>
      <c r="C40" s="177"/>
      <c r="D40" s="114">
        <v>59</v>
      </c>
      <c r="E40" s="114"/>
      <c r="F40" s="115">
        <v>53</v>
      </c>
      <c r="G40" s="115"/>
      <c r="H40" s="122">
        <v>6</v>
      </c>
    </row>
    <row r="41" spans="2:9" s="101" customFormat="1" ht="12.75" customHeight="1" x14ac:dyDescent="0.2">
      <c r="B41" s="97" t="s">
        <v>32</v>
      </c>
      <c r="C41" s="177"/>
      <c r="D41" s="114">
        <v>96</v>
      </c>
      <c r="E41" s="114"/>
      <c r="F41" s="115">
        <v>86</v>
      </c>
      <c r="G41" s="115"/>
      <c r="H41" s="122">
        <v>10</v>
      </c>
    </row>
    <row r="42" spans="2:9" s="101" customFormat="1" ht="12.75" customHeight="1" x14ac:dyDescent="0.2">
      <c r="B42" s="97" t="s">
        <v>33</v>
      </c>
      <c r="C42" s="177"/>
      <c r="D42" s="114">
        <v>222</v>
      </c>
      <c r="E42" s="114"/>
      <c r="F42" s="115">
        <v>196</v>
      </c>
      <c r="G42" s="115"/>
      <c r="H42" s="122">
        <v>26</v>
      </c>
    </row>
    <row r="43" spans="2:9" s="101" customFormat="1" ht="12.75" customHeight="1" x14ac:dyDescent="0.2">
      <c r="B43" s="97" t="s">
        <v>34</v>
      </c>
      <c r="C43" s="177"/>
      <c r="D43" s="114">
        <v>150</v>
      </c>
      <c r="E43" s="114"/>
      <c r="F43" s="115">
        <v>124</v>
      </c>
      <c r="G43" s="115"/>
      <c r="H43" s="122">
        <v>26</v>
      </c>
    </row>
    <row r="44" spans="2:9" s="19" customFormat="1" ht="6" customHeight="1" x14ac:dyDescent="0.2">
      <c r="B44" s="28"/>
      <c r="C44" s="29"/>
      <c r="D44" s="30"/>
      <c r="E44" s="30"/>
      <c r="F44" s="30"/>
      <c r="G44" s="30"/>
      <c r="H44" s="30"/>
      <c r="I44" s="18"/>
    </row>
    <row r="45" spans="2:9" s="19" customFormat="1" ht="6" customHeight="1" x14ac:dyDescent="0.2">
      <c r="B45" s="174"/>
      <c r="C45" s="174"/>
      <c r="D45" s="188"/>
      <c r="E45" s="188"/>
      <c r="F45" s="188"/>
      <c r="G45" s="188"/>
      <c r="H45" s="188"/>
      <c r="I45" s="18"/>
    </row>
    <row r="46" spans="2:9" x14ac:dyDescent="0.2">
      <c r="B46" s="113" t="s">
        <v>57</v>
      </c>
    </row>
  </sheetData>
  <mergeCells count="5">
    <mergeCell ref="B5:F5"/>
    <mergeCell ref="B7:B8"/>
    <mergeCell ref="D7:D8"/>
    <mergeCell ref="F7:F8"/>
    <mergeCell ref="H7:H8"/>
  </mergeCells>
  <hyperlinks>
    <hyperlink ref="H1" location="Índice!A1" tooltip="Ir a ÍNDICE" display="INDICE" xr:uid="{AD334687-9F68-406E-A9B6-7640E73A6FB2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13F1-7D32-4720-9866-A6C66B4647E2}">
  <dimension ref="A1:S47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218" customWidth="1"/>
    <col min="2" max="2" width="31.85546875" style="218" customWidth="1"/>
    <col min="3" max="3" width="33.7109375" style="217" customWidth="1"/>
    <col min="4" max="4" width="14.5703125" style="218" customWidth="1"/>
    <col min="5" max="16384" width="11.42578125" style="218"/>
  </cols>
  <sheetData>
    <row r="1" spans="1:19" s="213" customFormat="1" ht="12" customHeight="1" x14ac:dyDescent="0.2">
      <c r="A1" s="616"/>
      <c r="B1" s="616" t="s">
        <v>202</v>
      </c>
      <c r="D1" s="72" t="s">
        <v>151</v>
      </c>
    </row>
    <row r="2" spans="1:19" s="213" customFormat="1" ht="6.95" customHeight="1" x14ac:dyDescent="0.2">
      <c r="B2" s="616"/>
    </row>
    <row r="3" spans="1:19" s="213" customFormat="1" ht="15" customHeight="1" x14ac:dyDescent="0.2">
      <c r="B3" s="616" t="s">
        <v>199</v>
      </c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</row>
    <row r="4" spans="1:19" s="213" customFormat="1" ht="6.95" customHeight="1" x14ac:dyDescent="0.2">
      <c r="C4" s="214"/>
    </row>
    <row r="5" spans="1:19" s="213" customFormat="1" ht="25.5" customHeight="1" x14ac:dyDescent="0.2">
      <c r="B5" s="215" t="s">
        <v>89</v>
      </c>
      <c r="C5" s="215"/>
      <c r="D5" s="71" t="s">
        <v>106</v>
      </c>
    </row>
    <row r="6" spans="1:19" ht="6" customHeight="1" x14ac:dyDescent="0.25">
      <c r="B6" s="216"/>
    </row>
    <row r="7" spans="1:19" ht="6.95" customHeight="1" x14ac:dyDescent="0.25">
      <c r="B7" s="651" t="s">
        <v>76</v>
      </c>
      <c r="C7" s="209"/>
      <c r="D7" s="654" t="s">
        <v>90</v>
      </c>
    </row>
    <row r="8" spans="1:19" ht="24.75" customHeight="1" x14ac:dyDescent="0.25">
      <c r="B8" s="652"/>
      <c r="C8" s="219"/>
      <c r="D8" s="655"/>
    </row>
    <row r="9" spans="1:19" ht="6.95" customHeight="1" x14ac:dyDescent="0.25">
      <c r="B9" s="653"/>
      <c r="C9" s="210"/>
      <c r="D9" s="656"/>
    </row>
    <row r="10" spans="1:19" ht="6" customHeight="1" x14ac:dyDescent="0.25">
      <c r="B10" s="10"/>
      <c r="C10" s="220"/>
    </row>
    <row r="11" spans="1:19" s="222" customFormat="1" ht="11.25" x14ac:dyDescent="0.2">
      <c r="B11" s="98" t="s">
        <v>2</v>
      </c>
      <c r="C11" s="221"/>
      <c r="D11" s="221">
        <v>5542</v>
      </c>
    </row>
    <row r="12" spans="1:19" s="225" customFormat="1" ht="6" customHeight="1" x14ac:dyDescent="0.2">
      <c r="B12" s="98"/>
      <c r="C12" s="223"/>
      <c r="D12" s="224"/>
    </row>
    <row r="13" spans="1:19" s="225" customFormat="1" ht="12.75" customHeight="1" x14ac:dyDescent="0.2">
      <c r="B13" s="97" t="s">
        <v>3</v>
      </c>
      <c r="C13" s="223"/>
      <c r="D13" s="224">
        <v>290</v>
      </c>
    </row>
    <row r="14" spans="1:19" s="225" customFormat="1" ht="12.75" customHeight="1" x14ac:dyDescent="0.2">
      <c r="B14" s="97" t="s">
        <v>4</v>
      </c>
      <c r="C14" s="223"/>
      <c r="D14" s="224">
        <v>201</v>
      </c>
    </row>
    <row r="15" spans="1:19" s="225" customFormat="1" ht="12.75" customHeight="1" x14ac:dyDescent="0.2">
      <c r="B15" s="97" t="s">
        <v>5</v>
      </c>
      <c r="C15" s="223"/>
      <c r="D15" s="224">
        <v>192</v>
      </c>
    </row>
    <row r="16" spans="1:19" s="225" customFormat="1" ht="12.75" customHeight="1" x14ac:dyDescent="0.2">
      <c r="B16" s="97" t="s">
        <v>6</v>
      </c>
      <c r="C16" s="223"/>
      <c r="D16" s="224">
        <v>194</v>
      </c>
    </row>
    <row r="17" spans="2:4" s="225" customFormat="1" ht="12.75" customHeight="1" x14ac:dyDescent="0.2">
      <c r="B17" s="97" t="s">
        <v>7</v>
      </c>
      <c r="C17" s="223"/>
      <c r="D17" s="224">
        <v>190</v>
      </c>
    </row>
    <row r="18" spans="2:4" s="225" customFormat="1" ht="12.75" customHeight="1" x14ac:dyDescent="0.2">
      <c r="B18" s="97" t="s">
        <v>8</v>
      </c>
      <c r="C18" s="223"/>
      <c r="D18" s="224">
        <v>224</v>
      </c>
    </row>
    <row r="19" spans="2:4" s="225" customFormat="1" ht="12.75" customHeight="1" x14ac:dyDescent="0.2">
      <c r="B19" s="97" t="s">
        <v>9</v>
      </c>
      <c r="C19" s="223"/>
      <c r="D19" s="224">
        <v>98</v>
      </c>
    </row>
    <row r="20" spans="2:4" s="225" customFormat="1" ht="12.75" customHeight="1" x14ac:dyDescent="0.2">
      <c r="B20" s="97" t="s">
        <v>10</v>
      </c>
      <c r="C20" s="223"/>
      <c r="D20" s="224">
        <v>151</v>
      </c>
    </row>
    <row r="21" spans="2:4" s="225" customFormat="1" ht="12.75" customHeight="1" x14ac:dyDescent="0.2">
      <c r="B21" s="97" t="s">
        <v>11</v>
      </c>
      <c r="C21" s="223"/>
      <c r="D21" s="224">
        <v>123</v>
      </c>
    </row>
    <row r="22" spans="2:4" s="225" customFormat="1" ht="12.75" customHeight="1" x14ac:dyDescent="0.2">
      <c r="B22" s="97" t="s">
        <v>12</v>
      </c>
      <c r="C22" s="223"/>
      <c r="D22" s="224">
        <v>179</v>
      </c>
    </row>
    <row r="23" spans="2:4" s="225" customFormat="1" ht="12.75" customHeight="1" x14ac:dyDescent="0.2">
      <c r="B23" s="97" t="s">
        <v>13</v>
      </c>
      <c r="C23" s="223"/>
      <c r="D23" s="224">
        <v>152</v>
      </c>
    </row>
    <row r="24" spans="2:4" s="225" customFormat="1" ht="12.75" customHeight="1" x14ac:dyDescent="0.2">
      <c r="B24" s="97" t="s">
        <v>14</v>
      </c>
      <c r="C24" s="223"/>
      <c r="D24" s="224">
        <v>108</v>
      </c>
    </row>
    <row r="25" spans="2:4" s="225" customFormat="1" ht="12.75" customHeight="1" x14ac:dyDescent="0.2">
      <c r="B25" s="97" t="s">
        <v>15</v>
      </c>
      <c r="C25" s="223"/>
      <c r="D25" s="224">
        <v>122</v>
      </c>
    </row>
    <row r="26" spans="2:4" s="225" customFormat="1" ht="12.75" customHeight="1" x14ac:dyDescent="0.2">
      <c r="B26" s="97" t="s">
        <v>16</v>
      </c>
      <c r="C26" s="223"/>
      <c r="D26" s="224">
        <v>253</v>
      </c>
    </row>
    <row r="27" spans="2:4" s="225" customFormat="1" ht="12.75" customHeight="1" x14ac:dyDescent="0.2">
      <c r="B27" s="97" t="s">
        <v>17</v>
      </c>
      <c r="C27" s="223"/>
      <c r="D27" s="224">
        <v>91</v>
      </c>
    </row>
    <row r="28" spans="2:4" s="225" customFormat="1" ht="12.75" customHeight="1" x14ac:dyDescent="0.2">
      <c r="B28" s="97" t="s">
        <v>18</v>
      </c>
      <c r="C28" s="223"/>
      <c r="D28" s="224">
        <v>159</v>
      </c>
    </row>
    <row r="29" spans="2:4" s="225" customFormat="1" ht="12.75" customHeight="1" x14ac:dyDescent="0.2">
      <c r="B29" s="97" t="s">
        <v>19</v>
      </c>
      <c r="C29" s="223"/>
      <c r="D29" s="224">
        <v>112</v>
      </c>
    </row>
    <row r="30" spans="2:4" s="225" customFormat="1" ht="12.75" customHeight="1" x14ac:dyDescent="0.2">
      <c r="B30" s="97" t="s">
        <v>20</v>
      </c>
      <c r="C30" s="223"/>
      <c r="D30" s="224">
        <v>242</v>
      </c>
    </row>
    <row r="31" spans="2:4" s="225" customFormat="1" ht="12.75" customHeight="1" x14ac:dyDescent="0.2">
      <c r="B31" s="97" t="s">
        <v>21</v>
      </c>
      <c r="C31" s="223"/>
      <c r="D31" s="224">
        <v>272</v>
      </c>
    </row>
    <row r="32" spans="2:4" s="225" customFormat="1" ht="12.75" customHeight="1" x14ac:dyDescent="0.2">
      <c r="B32" s="97" t="s">
        <v>22</v>
      </c>
      <c r="C32" s="223"/>
      <c r="D32" s="224">
        <v>131</v>
      </c>
    </row>
    <row r="33" spans="2:4" s="225" customFormat="1" ht="12.75" customHeight="1" x14ac:dyDescent="0.2">
      <c r="B33" s="97" t="s">
        <v>23</v>
      </c>
      <c r="C33" s="223"/>
      <c r="D33" s="224">
        <v>89</v>
      </c>
    </row>
    <row r="34" spans="2:4" s="225" customFormat="1" ht="12.75" customHeight="1" x14ac:dyDescent="0.2">
      <c r="B34" s="97" t="s">
        <v>24</v>
      </c>
      <c r="C34" s="223"/>
      <c r="D34" s="224">
        <v>219</v>
      </c>
    </row>
    <row r="35" spans="2:4" s="225" customFormat="1" ht="12.75" customHeight="1" x14ac:dyDescent="0.2">
      <c r="B35" s="97" t="s">
        <v>25</v>
      </c>
      <c r="C35" s="223"/>
      <c r="D35" s="224">
        <v>216</v>
      </c>
    </row>
    <row r="36" spans="2:4" s="225" customFormat="1" ht="12.75" customHeight="1" x14ac:dyDescent="0.2">
      <c r="B36" s="97" t="s">
        <v>26</v>
      </c>
      <c r="C36" s="223"/>
      <c r="D36" s="224">
        <v>155</v>
      </c>
    </row>
    <row r="37" spans="2:4" s="225" customFormat="1" ht="12.75" customHeight="1" x14ac:dyDescent="0.2">
      <c r="B37" s="97" t="s">
        <v>27</v>
      </c>
      <c r="C37" s="223"/>
      <c r="D37" s="224">
        <v>149</v>
      </c>
    </row>
    <row r="38" spans="2:4" s="225" customFormat="1" ht="12.75" customHeight="1" x14ac:dyDescent="0.2">
      <c r="B38" s="97" t="s">
        <v>28</v>
      </c>
      <c r="C38" s="223"/>
      <c r="D38" s="224">
        <v>285</v>
      </c>
    </row>
    <row r="39" spans="2:4" s="225" customFormat="1" ht="12.75" customHeight="1" x14ac:dyDescent="0.2">
      <c r="B39" s="97" t="s">
        <v>29</v>
      </c>
      <c r="C39" s="223"/>
      <c r="D39" s="224">
        <v>151</v>
      </c>
    </row>
    <row r="40" spans="2:4" s="225" customFormat="1" ht="12.75" customHeight="1" x14ac:dyDescent="0.2">
      <c r="B40" s="97" t="s">
        <v>30</v>
      </c>
      <c r="C40" s="223"/>
      <c r="D40" s="224">
        <v>184</v>
      </c>
    </row>
    <row r="41" spans="2:4" s="225" customFormat="1" ht="12.75" customHeight="1" x14ac:dyDescent="0.2">
      <c r="B41" s="97" t="s">
        <v>31</v>
      </c>
      <c r="C41" s="223"/>
      <c r="D41" s="224">
        <v>65</v>
      </c>
    </row>
    <row r="42" spans="2:4" s="225" customFormat="1" ht="12.75" customHeight="1" x14ac:dyDescent="0.2">
      <c r="B42" s="97" t="s">
        <v>32</v>
      </c>
      <c r="C42" s="223"/>
      <c r="D42" s="224">
        <v>108</v>
      </c>
    </row>
    <row r="43" spans="2:4" s="225" customFormat="1" ht="12.75" customHeight="1" x14ac:dyDescent="0.2">
      <c r="B43" s="97" t="s">
        <v>33</v>
      </c>
      <c r="C43" s="223"/>
      <c r="D43" s="224">
        <v>258</v>
      </c>
    </row>
    <row r="44" spans="2:4" s="225" customFormat="1" ht="12.75" customHeight="1" x14ac:dyDescent="0.2">
      <c r="B44" s="97" t="s">
        <v>34</v>
      </c>
      <c r="C44" s="223"/>
      <c r="D44" s="224">
        <v>179</v>
      </c>
    </row>
    <row r="45" spans="2:4" ht="6" customHeight="1" x14ac:dyDescent="0.25">
      <c r="B45" s="216"/>
      <c r="C45" s="226"/>
      <c r="D45" s="227"/>
    </row>
    <row r="46" spans="2:4" ht="6" customHeight="1" x14ac:dyDescent="0.25">
      <c r="B46" s="228"/>
      <c r="D46" s="229"/>
    </row>
    <row r="47" spans="2:4" s="13" customFormat="1" ht="14.25" x14ac:dyDescent="0.2">
      <c r="B47" s="113" t="s">
        <v>57</v>
      </c>
    </row>
  </sheetData>
  <mergeCells count="2">
    <mergeCell ref="B7:B9"/>
    <mergeCell ref="D7:D9"/>
  </mergeCells>
  <hyperlinks>
    <hyperlink ref="D1" location="Índice!A1" tooltip="Ir a ÍNDICE" display="INDICE" xr:uid="{CD2CEE56-BFF7-4B6D-872E-EB279A3FB984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F3ED4-3587-47A8-A7D4-A29E7E888AAF}">
  <dimension ref="A1:S51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239" customWidth="1"/>
    <col min="2" max="2" width="24.28515625" style="239" customWidth="1"/>
    <col min="3" max="3" width="0.85546875" style="274" customWidth="1"/>
    <col min="4" max="4" width="18.7109375" style="275" customWidth="1"/>
    <col min="5" max="5" width="1.7109375" style="275" customWidth="1"/>
    <col min="6" max="6" width="12.7109375" style="275" customWidth="1"/>
    <col min="7" max="7" width="12.7109375" style="276" customWidth="1"/>
    <col min="8" max="8" width="1.7109375" style="275" customWidth="1"/>
    <col min="9" max="9" width="12.7109375" style="275" customWidth="1"/>
    <col min="10" max="10" width="12.7109375" style="276" customWidth="1"/>
    <col min="11" max="11" width="1.7109375" style="275" customWidth="1"/>
    <col min="12" max="12" width="12.7109375" style="275" customWidth="1"/>
    <col min="13" max="13" width="12.7109375" style="276" customWidth="1"/>
    <col min="14" max="14" width="1.7109375" style="275" customWidth="1"/>
    <col min="15" max="15" width="12.7109375" style="239" customWidth="1"/>
    <col min="16" max="16" width="12.7109375" style="277" customWidth="1"/>
    <col min="17" max="16384" width="11.42578125" style="239"/>
  </cols>
  <sheetData>
    <row r="1" spans="1:19" s="231" customFormat="1" ht="12" customHeight="1" x14ac:dyDescent="0.2">
      <c r="A1" s="616"/>
      <c r="B1" s="616" t="s">
        <v>202</v>
      </c>
      <c r="D1" s="232"/>
      <c r="E1" s="232"/>
      <c r="F1" s="232"/>
      <c r="G1" s="232"/>
      <c r="H1" s="232"/>
      <c r="I1" s="232"/>
      <c r="K1" s="232"/>
      <c r="L1" s="232"/>
      <c r="M1" s="232"/>
      <c r="N1" s="232"/>
      <c r="P1" s="72" t="s">
        <v>151</v>
      </c>
    </row>
    <row r="2" spans="1:19" s="231" customFormat="1" ht="6.95" customHeight="1" x14ac:dyDescent="0.2">
      <c r="B2" s="616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</row>
    <row r="3" spans="1:19" s="231" customFormat="1" ht="15" customHeight="1" x14ac:dyDescent="0.2">
      <c r="B3" s="616" t="s">
        <v>199</v>
      </c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</row>
    <row r="4" spans="1:19" s="231" customFormat="1" ht="6.95" customHeight="1" x14ac:dyDescent="0.2">
      <c r="C4" s="233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</row>
    <row r="5" spans="1:19" s="231" customFormat="1" ht="25.5" customHeight="1" x14ac:dyDescent="0.2">
      <c r="B5" s="657" t="s">
        <v>156</v>
      </c>
      <c r="C5" s="657"/>
      <c r="D5" s="657"/>
      <c r="E5" s="657"/>
      <c r="F5" s="657"/>
      <c r="G5" s="657"/>
      <c r="H5" s="657"/>
      <c r="I5" s="657"/>
      <c r="J5" s="657"/>
      <c r="K5" s="657"/>
      <c r="L5" s="657"/>
      <c r="M5" s="657"/>
      <c r="N5" s="657"/>
      <c r="O5" s="234"/>
      <c r="P5" s="71" t="s">
        <v>107</v>
      </c>
    </row>
    <row r="6" spans="1:19" ht="6" customHeight="1" x14ac:dyDescent="0.25">
      <c r="B6" s="235"/>
      <c r="C6" s="236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8"/>
      <c r="P6" s="238"/>
    </row>
    <row r="7" spans="1:19" ht="15" customHeight="1" x14ac:dyDescent="0.25">
      <c r="B7" s="658" t="s">
        <v>76</v>
      </c>
      <c r="C7" s="658"/>
      <c r="D7" s="661" t="s">
        <v>108</v>
      </c>
      <c r="E7" s="240"/>
      <c r="F7" s="664" t="s">
        <v>73</v>
      </c>
      <c r="G7" s="664"/>
      <c r="H7" s="664"/>
      <c r="I7" s="664"/>
      <c r="J7" s="664"/>
      <c r="K7" s="664"/>
      <c r="L7" s="664"/>
      <c r="M7" s="664"/>
      <c r="N7" s="664"/>
      <c r="O7" s="664"/>
      <c r="P7" s="664"/>
    </row>
    <row r="8" spans="1:19" ht="24.75" customHeight="1" x14ac:dyDescent="0.25">
      <c r="B8" s="659"/>
      <c r="C8" s="659"/>
      <c r="D8" s="662"/>
      <c r="E8" s="241"/>
      <c r="F8" s="665" t="s">
        <v>61</v>
      </c>
      <c r="G8" s="665"/>
      <c r="H8" s="242"/>
      <c r="I8" s="665" t="s">
        <v>109</v>
      </c>
      <c r="J8" s="665"/>
      <c r="K8" s="243"/>
      <c r="L8" s="666" t="s">
        <v>110</v>
      </c>
      <c r="M8" s="666"/>
      <c r="N8" s="243"/>
      <c r="O8" s="665" t="s">
        <v>111</v>
      </c>
      <c r="P8" s="665"/>
    </row>
    <row r="9" spans="1:19" x14ac:dyDescent="0.25">
      <c r="B9" s="660"/>
      <c r="C9" s="660"/>
      <c r="D9" s="663"/>
      <c r="E9" s="244"/>
      <c r="F9" s="73" t="s">
        <v>0</v>
      </c>
      <c r="G9" s="73" t="s">
        <v>1</v>
      </c>
      <c r="H9" s="245"/>
      <c r="I9" s="73" t="s">
        <v>0</v>
      </c>
      <c r="J9" s="73" t="s">
        <v>1</v>
      </c>
      <c r="K9" s="245"/>
      <c r="L9" s="73" t="s">
        <v>0</v>
      </c>
      <c r="M9" s="73" t="s">
        <v>1</v>
      </c>
      <c r="N9" s="245"/>
      <c r="O9" s="73" t="s">
        <v>0</v>
      </c>
      <c r="P9" s="73" t="s">
        <v>1</v>
      </c>
    </row>
    <row r="10" spans="1:19" ht="6" customHeight="1" x14ac:dyDescent="0.25">
      <c r="B10" s="31"/>
      <c r="C10" s="246"/>
      <c r="D10" s="247"/>
      <c r="E10" s="247"/>
      <c r="F10" s="247"/>
      <c r="G10" s="247"/>
      <c r="H10" s="247"/>
      <c r="I10" s="247"/>
      <c r="J10" s="247"/>
      <c r="K10" s="247"/>
      <c r="L10" s="247"/>
      <c r="M10" s="247"/>
      <c r="N10" s="248"/>
      <c r="O10" s="248"/>
      <c r="P10" s="248"/>
    </row>
    <row r="11" spans="1:19" s="252" customFormat="1" ht="11.25" x14ac:dyDescent="0.2">
      <c r="B11" s="96" t="s">
        <v>2</v>
      </c>
      <c r="C11" s="249"/>
      <c r="D11" s="250">
        <v>4626</v>
      </c>
      <c r="E11" s="250"/>
      <c r="F11" s="250">
        <v>2458</v>
      </c>
      <c r="G11" s="251">
        <v>53.1344574146</v>
      </c>
      <c r="H11" s="250"/>
      <c r="I11" s="250">
        <v>1766</v>
      </c>
      <c r="J11" s="251">
        <v>38.175529615199999</v>
      </c>
      <c r="K11" s="250"/>
      <c r="L11" s="250">
        <v>222</v>
      </c>
      <c r="M11" s="251">
        <v>4.7989623865000004</v>
      </c>
      <c r="N11" s="250"/>
      <c r="O11" s="250">
        <v>180</v>
      </c>
      <c r="P11" s="251">
        <v>3.8910505836999998</v>
      </c>
    </row>
    <row r="12" spans="1:19" s="257" customFormat="1" ht="6" customHeight="1" x14ac:dyDescent="0.2">
      <c r="B12" s="253"/>
      <c r="C12" s="254"/>
      <c r="D12" s="255"/>
      <c r="E12" s="255"/>
      <c r="F12" s="255"/>
      <c r="G12" s="256"/>
      <c r="H12" s="255"/>
      <c r="I12" s="255"/>
      <c r="J12" s="256"/>
      <c r="K12" s="255"/>
      <c r="L12" s="255"/>
      <c r="M12" s="256"/>
      <c r="N12" s="255"/>
      <c r="O12" s="255"/>
      <c r="P12" s="256"/>
    </row>
    <row r="13" spans="1:19" s="257" customFormat="1" ht="12.75" customHeight="1" x14ac:dyDescent="0.2">
      <c r="B13" s="97" t="s">
        <v>3</v>
      </c>
      <c r="C13" s="258"/>
      <c r="D13" s="255">
        <v>213</v>
      </c>
      <c r="E13" s="255"/>
      <c r="F13" s="255">
        <v>128</v>
      </c>
      <c r="G13" s="256">
        <v>60.093896713600003</v>
      </c>
      <c r="H13" s="255"/>
      <c r="I13" s="255">
        <v>77</v>
      </c>
      <c r="J13" s="256">
        <v>36.150234741799999</v>
      </c>
      <c r="K13" s="255"/>
      <c r="L13" s="255">
        <v>3</v>
      </c>
      <c r="M13" s="256">
        <v>1.4084507042000001</v>
      </c>
      <c r="N13" s="255"/>
      <c r="O13" s="255">
        <v>5</v>
      </c>
      <c r="P13" s="256">
        <v>2.3474178403999999</v>
      </c>
    </row>
    <row r="14" spans="1:19" s="257" customFormat="1" ht="12.75" customHeight="1" x14ac:dyDescent="0.2">
      <c r="B14" s="97" t="s">
        <v>4</v>
      </c>
      <c r="C14" s="258"/>
      <c r="D14" s="255">
        <v>166</v>
      </c>
      <c r="E14" s="255"/>
      <c r="F14" s="255">
        <v>110</v>
      </c>
      <c r="G14" s="256">
        <v>66.265060241</v>
      </c>
      <c r="H14" s="255"/>
      <c r="I14" s="255">
        <v>45</v>
      </c>
      <c r="J14" s="256">
        <v>27.1084337349</v>
      </c>
      <c r="K14" s="255"/>
      <c r="L14" s="255">
        <v>9</v>
      </c>
      <c r="M14" s="256">
        <v>5.4216867469999999</v>
      </c>
      <c r="N14" s="255"/>
      <c r="O14" s="255">
        <v>2</v>
      </c>
      <c r="P14" s="256">
        <v>1.2048192770999999</v>
      </c>
    </row>
    <row r="15" spans="1:19" s="257" customFormat="1" ht="12.75" customHeight="1" x14ac:dyDescent="0.2">
      <c r="B15" s="97" t="s">
        <v>5</v>
      </c>
      <c r="C15" s="258"/>
      <c r="D15" s="91">
        <v>157</v>
      </c>
      <c r="E15" s="255"/>
      <c r="F15" s="91">
        <v>92</v>
      </c>
      <c r="G15" s="256">
        <v>58.598726114599998</v>
      </c>
      <c r="H15" s="255"/>
      <c r="I15" s="91">
        <v>57</v>
      </c>
      <c r="J15" s="256">
        <v>36.305732484099998</v>
      </c>
      <c r="K15" s="259"/>
      <c r="L15" s="91">
        <v>1</v>
      </c>
      <c r="M15" s="256">
        <v>0.63694267520000003</v>
      </c>
      <c r="N15" s="260"/>
      <c r="O15" s="91">
        <v>7</v>
      </c>
      <c r="P15" s="256">
        <v>4.4585987261</v>
      </c>
    </row>
    <row r="16" spans="1:19" s="257" customFormat="1" ht="12.75" customHeight="1" x14ac:dyDescent="0.2">
      <c r="B16" s="97" t="s">
        <v>6</v>
      </c>
      <c r="C16" s="258"/>
      <c r="D16" s="91">
        <v>139</v>
      </c>
      <c r="E16" s="255"/>
      <c r="F16" s="91">
        <v>67</v>
      </c>
      <c r="G16" s="256">
        <v>48.201438848899997</v>
      </c>
      <c r="H16" s="255"/>
      <c r="I16" s="91">
        <v>60</v>
      </c>
      <c r="J16" s="256">
        <v>43.1654676259</v>
      </c>
      <c r="K16" s="259"/>
      <c r="L16" s="91">
        <v>5</v>
      </c>
      <c r="M16" s="256">
        <v>3.5971223021999998</v>
      </c>
      <c r="N16" s="260"/>
      <c r="O16" s="91">
        <v>7</v>
      </c>
      <c r="P16" s="256">
        <v>5.0359712229999998</v>
      </c>
    </row>
    <row r="17" spans="2:16" s="257" customFormat="1" ht="12.75" customHeight="1" x14ac:dyDescent="0.2">
      <c r="B17" s="97" t="s">
        <v>7</v>
      </c>
      <c r="C17" s="258"/>
      <c r="D17" s="91">
        <v>144</v>
      </c>
      <c r="E17" s="255"/>
      <c r="F17" s="91">
        <v>105</v>
      </c>
      <c r="G17" s="256">
        <v>72.916666666699996</v>
      </c>
      <c r="H17" s="255"/>
      <c r="I17" s="91">
        <v>32</v>
      </c>
      <c r="J17" s="256">
        <v>22.222222222199999</v>
      </c>
      <c r="K17" s="259"/>
      <c r="L17" s="91">
        <v>4</v>
      </c>
      <c r="M17" s="256">
        <v>2.7777777777999999</v>
      </c>
      <c r="N17" s="260"/>
      <c r="O17" s="91">
        <v>3</v>
      </c>
      <c r="P17" s="256">
        <v>2.0833333333000001</v>
      </c>
    </row>
    <row r="18" spans="2:16" s="257" customFormat="1" ht="12.75" customHeight="1" x14ac:dyDescent="0.2">
      <c r="B18" s="97" t="s">
        <v>8</v>
      </c>
      <c r="C18" s="258"/>
      <c r="D18" s="91">
        <v>190</v>
      </c>
      <c r="E18" s="255"/>
      <c r="F18" s="91">
        <v>107</v>
      </c>
      <c r="G18" s="256">
        <v>56.315789473700001</v>
      </c>
      <c r="H18" s="255"/>
      <c r="I18" s="91">
        <v>74</v>
      </c>
      <c r="J18" s="256">
        <v>38.947368421100002</v>
      </c>
      <c r="K18" s="259"/>
      <c r="L18" s="91">
        <v>7</v>
      </c>
      <c r="M18" s="256">
        <v>3.6842105262999998</v>
      </c>
      <c r="N18" s="260"/>
      <c r="O18" s="91">
        <v>2</v>
      </c>
      <c r="P18" s="256">
        <v>1.0526315789</v>
      </c>
    </row>
    <row r="19" spans="2:16" s="257" customFormat="1" ht="12.75" customHeight="1" x14ac:dyDescent="0.2">
      <c r="B19" s="97" t="s">
        <v>9</v>
      </c>
      <c r="C19" s="258"/>
      <c r="D19" s="91">
        <v>90</v>
      </c>
      <c r="E19" s="255"/>
      <c r="F19" s="91">
        <v>34</v>
      </c>
      <c r="G19" s="256">
        <v>37.777777777799997</v>
      </c>
      <c r="H19" s="255"/>
      <c r="I19" s="91">
        <v>44</v>
      </c>
      <c r="J19" s="256">
        <v>48.888888888899999</v>
      </c>
      <c r="K19" s="259"/>
      <c r="L19" s="91">
        <v>5</v>
      </c>
      <c r="M19" s="256">
        <v>5.5555555555999998</v>
      </c>
      <c r="N19" s="260"/>
      <c r="O19" s="91">
        <v>7</v>
      </c>
      <c r="P19" s="256">
        <v>7.7777777777999999</v>
      </c>
    </row>
    <row r="20" spans="2:16" s="257" customFormat="1" ht="12.75" customHeight="1" x14ac:dyDescent="0.2">
      <c r="B20" s="97" t="s">
        <v>10</v>
      </c>
      <c r="C20" s="258"/>
      <c r="D20" s="91">
        <v>135</v>
      </c>
      <c r="E20" s="255"/>
      <c r="F20" s="91">
        <v>76</v>
      </c>
      <c r="G20" s="256">
        <v>56.2962962963</v>
      </c>
      <c r="H20" s="255"/>
      <c r="I20" s="91">
        <v>47</v>
      </c>
      <c r="J20" s="256">
        <v>34.814814814800002</v>
      </c>
      <c r="K20" s="259"/>
      <c r="L20" s="91">
        <v>7</v>
      </c>
      <c r="M20" s="256">
        <v>5.1851851851999999</v>
      </c>
      <c r="N20" s="260"/>
      <c r="O20" s="91">
        <v>5</v>
      </c>
      <c r="P20" s="256">
        <v>3.7037037037</v>
      </c>
    </row>
    <row r="21" spans="2:16" s="257" customFormat="1" ht="12.75" customHeight="1" x14ac:dyDescent="0.2">
      <c r="B21" s="97" t="s">
        <v>11</v>
      </c>
      <c r="C21" s="258"/>
      <c r="D21" s="91">
        <v>111</v>
      </c>
      <c r="E21" s="255"/>
      <c r="F21" s="91">
        <v>57</v>
      </c>
      <c r="G21" s="256">
        <v>51.351351351399998</v>
      </c>
      <c r="H21" s="255"/>
      <c r="I21" s="91">
        <v>51</v>
      </c>
      <c r="J21" s="256">
        <v>45.9459459459</v>
      </c>
      <c r="K21" s="259"/>
      <c r="L21" s="91">
        <v>3</v>
      </c>
      <c r="M21" s="256">
        <v>2.7027027026999999</v>
      </c>
      <c r="N21" s="260"/>
      <c r="O21" s="91">
        <v>0</v>
      </c>
      <c r="P21" s="256">
        <v>0</v>
      </c>
    </row>
    <row r="22" spans="2:16" s="257" customFormat="1" ht="12.75" customHeight="1" x14ac:dyDescent="0.2">
      <c r="B22" s="97" t="s">
        <v>12</v>
      </c>
      <c r="C22" s="258"/>
      <c r="D22" s="91">
        <v>160</v>
      </c>
      <c r="E22" s="255"/>
      <c r="F22" s="91">
        <v>85</v>
      </c>
      <c r="G22" s="256">
        <v>53.125</v>
      </c>
      <c r="H22" s="255"/>
      <c r="I22" s="91">
        <v>59</v>
      </c>
      <c r="J22" s="256">
        <v>36.875</v>
      </c>
      <c r="K22" s="259"/>
      <c r="L22" s="91">
        <v>10</v>
      </c>
      <c r="M22" s="256">
        <v>6.25</v>
      </c>
      <c r="N22" s="260"/>
      <c r="O22" s="91">
        <v>6</v>
      </c>
      <c r="P22" s="256">
        <v>3.75</v>
      </c>
    </row>
    <row r="23" spans="2:16" s="257" customFormat="1" ht="12.75" customHeight="1" x14ac:dyDescent="0.2">
      <c r="B23" s="97" t="s">
        <v>13</v>
      </c>
      <c r="C23" s="258"/>
      <c r="D23" s="91">
        <v>120</v>
      </c>
      <c r="E23" s="255"/>
      <c r="F23" s="91">
        <v>68</v>
      </c>
      <c r="G23" s="256">
        <v>56.666666666700003</v>
      </c>
      <c r="H23" s="255"/>
      <c r="I23" s="91">
        <v>45</v>
      </c>
      <c r="J23" s="256">
        <v>37.5</v>
      </c>
      <c r="K23" s="259"/>
      <c r="L23" s="91">
        <v>2</v>
      </c>
      <c r="M23" s="256">
        <v>1.6666666667000001</v>
      </c>
      <c r="N23" s="260"/>
      <c r="O23" s="91">
        <v>5</v>
      </c>
      <c r="P23" s="256">
        <v>4.1666666667000003</v>
      </c>
    </row>
    <row r="24" spans="2:16" s="257" customFormat="1" ht="12.75" customHeight="1" x14ac:dyDescent="0.2">
      <c r="B24" s="97" t="s">
        <v>14</v>
      </c>
      <c r="C24" s="258"/>
      <c r="D24" s="91">
        <v>95</v>
      </c>
      <c r="E24" s="255"/>
      <c r="F24" s="91">
        <v>31</v>
      </c>
      <c r="G24" s="256">
        <v>32.631578947400001</v>
      </c>
      <c r="H24" s="255"/>
      <c r="I24" s="91">
        <v>45</v>
      </c>
      <c r="J24" s="256">
        <v>47.368421052599999</v>
      </c>
      <c r="K24" s="259"/>
      <c r="L24" s="91">
        <v>11</v>
      </c>
      <c r="M24" s="256">
        <v>11.5789473684</v>
      </c>
      <c r="N24" s="260"/>
      <c r="O24" s="91">
        <v>8</v>
      </c>
      <c r="P24" s="256">
        <v>8.4210526316000003</v>
      </c>
    </row>
    <row r="25" spans="2:16" s="257" customFormat="1" ht="12.75" customHeight="1" x14ac:dyDescent="0.2">
      <c r="B25" s="97" t="s">
        <v>15</v>
      </c>
      <c r="C25" s="258"/>
      <c r="D25" s="91">
        <v>94</v>
      </c>
      <c r="E25" s="255"/>
      <c r="F25" s="91">
        <v>42</v>
      </c>
      <c r="G25" s="256">
        <v>44.680851063799999</v>
      </c>
      <c r="H25" s="255"/>
      <c r="I25" s="91">
        <v>41</v>
      </c>
      <c r="J25" s="256">
        <v>43.617021276599999</v>
      </c>
      <c r="K25" s="259"/>
      <c r="L25" s="91">
        <v>8</v>
      </c>
      <c r="M25" s="256">
        <v>8.5106382978999999</v>
      </c>
      <c r="N25" s="260"/>
      <c r="O25" s="91">
        <v>3</v>
      </c>
      <c r="P25" s="256">
        <v>3.1914893617</v>
      </c>
    </row>
    <row r="26" spans="2:16" s="257" customFormat="1" ht="12.75" customHeight="1" x14ac:dyDescent="0.2">
      <c r="B26" s="97" t="s">
        <v>16</v>
      </c>
      <c r="C26" s="258"/>
      <c r="D26" s="91">
        <v>216</v>
      </c>
      <c r="E26" s="255"/>
      <c r="F26" s="91">
        <v>125</v>
      </c>
      <c r="G26" s="256">
        <v>57.870370370400003</v>
      </c>
      <c r="H26" s="255"/>
      <c r="I26" s="91">
        <v>66</v>
      </c>
      <c r="J26" s="256">
        <v>30.555555555600002</v>
      </c>
      <c r="K26" s="259"/>
      <c r="L26" s="91">
        <v>20</v>
      </c>
      <c r="M26" s="256">
        <v>9.2592592593000003</v>
      </c>
      <c r="N26" s="260"/>
      <c r="O26" s="91">
        <v>5</v>
      </c>
      <c r="P26" s="256">
        <v>2.3148148148000001</v>
      </c>
    </row>
    <row r="27" spans="2:16" s="257" customFormat="1" ht="12.75" customHeight="1" x14ac:dyDescent="0.2">
      <c r="B27" s="97" t="s">
        <v>17</v>
      </c>
      <c r="C27" s="258"/>
      <c r="D27" s="91">
        <v>80</v>
      </c>
      <c r="E27" s="255"/>
      <c r="F27" s="91">
        <v>30</v>
      </c>
      <c r="G27" s="256">
        <v>37.5</v>
      </c>
      <c r="H27" s="255"/>
      <c r="I27" s="91">
        <v>43</v>
      </c>
      <c r="J27" s="256">
        <v>53.75</v>
      </c>
      <c r="K27" s="259"/>
      <c r="L27" s="91">
        <v>6</v>
      </c>
      <c r="M27" s="256">
        <v>7.5</v>
      </c>
      <c r="N27" s="260"/>
      <c r="O27" s="91">
        <v>1</v>
      </c>
      <c r="P27" s="256">
        <v>1.25</v>
      </c>
    </row>
    <row r="28" spans="2:16" s="257" customFormat="1" ht="12.75" customHeight="1" x14ac:dyDescent="0.2">
      <c r="B28" s="97" t="s">
        <v>18</v>
      </c>
      <c r="C28" s="258"/>
      <c r="D28" s="91">
        <v>129</v>
      </c>
      <c r="E28" s="255"/>
      <c r="F28" s="91">
        <v>65</v>
      </c>
      <c r="G28" s="256">
        <v>50.387596899199998</v>
      </c>
      <c r="H28" s="255"/>
      <c r="I28" s="91">
        <v>55</v>
      </c>
      <c r="J28" s="256">
        <v>42.635658914700002</v>
      </c>
      <c r="K28" s="259"/>
      <c r="L28" s="91">
        <v>4</v>
      </c>
      <c r="M28" s="256">
        <v>3.1007751938000001</v>
      </c>
      <c r="N28" s="260"/>
      <c r="O28" s="91">
        <v>5</v>
      </c>
      <c r="P28" s="256">
        <v>3.8759689921999998</v>
      </c>
    </row>
    <row r="29" spans="2:16" s="257" customFormat="1" ht="12.75" customHeight="1" x14ac:dyDescent="0.2">
      <c r="B29" s="97" t="s">
        <v>19</v>
      </c>
      <c r="C29" s="258"/>
      <c r="D29" s="91">
        <v>84</v>
      </c>
      <c r="E29" s="255"/>
      <c r="F29" s="91">
        <v>29</v>
      </c>
      <c r="G29" s="256">
        <v>34.523809523799997</v>
      </c>
      <c r="H29" s="255"/>
      <c r="I29" s="91">
        <v>44</v>
      </c>
      <c r="J29" s="256">
        <v>52.380952381</v>
      </c>
      <c r="K29" s="259"/>
      <c r="L29" s="91">
        <v>8</v>
      </c>
      <c r="M29" s="256">
        <v>9.5238095238000007</v>
      </c>
      <c r="N29" s="260"/>
      <c r="O29" s="91">
        <v>3</v>
      </c>
      <c r="P29" s="256">
        <v>3.5714285713999998</v>
      </c>
    </row>
    <row r="30" spans="2:16" s="257" customFormat="1" ht="12.75" customHeight="1" x14ac:dyDescent="0.2">
      <c r="B30" s="97" t="s">
        <v>20</v>
      </c>
      <c r="C30" s="258"/>
      <c r="D30" s="91">
        <v>193</v>
      </c>
      <c r="E30" s="255"/>
      <c r="F30" s="91">
        <v>105</v>
      </c>
      <c r="G30" s="256">
        <v>54.404145077700001</v>
      </c>
      <c r="H30" s="255"/>
      <c r="I30" s="91">
        <v>72</v>
      </c>
      <c r="J30" s="256">
        <v>37.3056994819</v>
      </c>
      <c r="K30" s="259"/>
      <c r="L30" s="91">
        <v>8</v>
      </c>
      <c r="M30" s="256">
        <v>4.1450777201999998</v>
      </c>
      <c r="N30" s="260"/>
      <c r="O30" s="91">
        <v>8</v>
      </c>
      <c r="P30" s="256">
        <v>4.1450777201999998</v>
      </c>
    </row>
    <row r="31" spans="2:16" s="257" customFormat="1" ht="12.75" customHeight="1" x14ac:dyDescent="0.2">
      <c r="B31" s="97" t="s">
        <v>21</v>
      </c>
      <c r="C31" s="258"/>
      <c r="D31" s="91">
        <v>232</v>
      </c>
      <c r="E31" s="255"/>
      <c r="F31" s="91">
        <v>126</v>
      </c>
      <c r="G31" s="256">
        <v>54.310344827599998</v>
      </c>
      <c r="H31" s="255"/>
      <c r="I31" s="91">
        <v>97</v>
      </c>
      <c r="J31" s="256">
        <v>41.810344827599998</v>
      </c>
      <c r="K31" s="259"/>
      <c r="L31" s="91">
        <v>5</v>
      </c>
      <c r="M31" s="256">
        <v>2.1551724137999999</v>
      </c>
      <c r="N31" s="260"/>
      <c r="O31" s="91">
        <v>4</v>
      </c>
      <c r="P31" s="256">
        <v>1.724137931</v>
      </c>
    </row>
    <row r="32" spans="2:16" s="257" customFormat="1" ht="12.75" customHeight="1" x14ac:dyDescent="0.2">
      <c r="B32" s="97" t="s">
        <v>22</v>
      </c>
      <c r="C32" s="258"/>
      <c r="D32" s="91">
        <v>117</v>
      </c>
      <c r="E32" s="255"/>
      <c r="F32" s="91">
        <v>39</v>
      </c>
      <c r="G32" s="256">
        <v>33.333333333299997</v>
      </c>
      <c r="H32" s="255"/>
      <c r="I32" s="91">
        <v>53</v>
      </c>
      <c r="J32" s="256">
        <v>45.299145299099997</v>
      </c>
      <c r="K32" s="259"/>
      <c r="L32" s="91">
        <v>11</v>
      </c>
      <c r="M32" s="256">
        <v>9.4017094016999998</v>
      </c>
      <c r="N32" s="260"/>
      <c r="O32" s="91">
        <v>14</v>
      </c>
      <c r="P32" s="256">
        <v>11.9658119658</v>
      </c>
    </row>
    <row r="33" spans="2:16" s="257" customFormat="1" ht="12.75" customHeight="1" x14ac:dyDescent="0.2">
      <c r="B33" s="97" t="s">
        <v>23</v>
      </c>
      <c r="C33" s="258"/>
      <c r="D33" s="91">
        <v>76</v>
      </c>
      <c r="E33" s="255"/>
      <c r="F33" s="91">
        <v>35</v>
      </c>
      <c r="G33" s="256">
        <v>46.052631578899998</v>
      </c>
      <c r="H33" s="255"/>
      <c r="I33" s="91">
        <v>36</v>
      </c>
      <c r="J33" s="256">
        <v>47.368421052599999</v>
      </c>
      <c r="K33" s="259"/>
      <c r="L33" s="91">
        <v>1</v>
      </c>
      <c r="M33" s="256">
        <v>1.3157894737</v>
      </c>
      <c r="N33" s="260"/>
      <c r="O33" s="91">
        <v>4</v>
      </c>
      <c r="P33" s="256">
        <v>5.2631578947</v>
      </c>
    </row>
    <row r="34" spans="2:16" s="257" customFormat="1" ht="12.75" customHeight="1" x14ac:dyDescent="0.2">
      <c r="B34" s="97" t="s">
        <v>24</v>
      </c>
      <c r="C34" s="258"/>
      <c r="D34" s="91">
        <v>179</v>
      </c>
      <c r="E34" s="255"/>
      <c r="F34" s="91">
        <v>94</v>
      </c>
      <c r="G34" s="256">
        <v>52.513966480400001</v>
      </c>
      <c r="H34" s="255"/>
      <c r="I34" s="91">
        <v>67</v>
      </c>
      <c r="J34" s="256">
        <v>37.430167597800001</v>
      </c>
      <c r="K34" s="259"/>
      <c r="L34" s="91">
        <v>8</v>
      </c>
      <c r="M34" s="256">
        <v>4.4692737429999996</v>
      </c>
      <c r="N34" s="260"/>
      <c r="O34" s="91">
        <v>10</v>
      </c>
      <c r="P34" s="256">
        <v>5.5865921788000001</v>
      </c>
    </row>
    <row r="35" spans="2:16" s="257" customFormat="1" ht="12.75" customHeight="1" x14ac:dyDescent="0.2">
      <c r="B35" s="97" t="s">
        <v>25</v>
      </c>
      <c r="C35" s="258"/>
      <c r="D35" s="91">
        <v>182</v>
      </c>
      <c r="E35" s="255"/>
      <c r="F35" s="91">
        <v>112</v>
      </c>
      <c r="G35" s="256">
        <v>61.538461538500002</v>
      </c>
      <c r="H35" s="255"/>
      <c r="I35" s="91">
        <v>60</v>
      </c>
      <c r="J35" s="256">
        <v>32.967032967000002</v>
      </c>
      <c r="K35" s="259"/>
      <c r="L35" s="91">
        <v>6</v>
      </c>
      <c r="M35" s="256">
        <v>3.2967032967000001</v>
      </c>
      <c r="N35" s="260"/>
      <c r="O35" s="91">
        <v>4</v>
      </c>
      <c r="P35" s="256">
        <v>2.1978021978000002</v>
      </c>
    </row>
    <row r="36" spans="2:16" s="257" customFormat="1" ht="12.75" customHeight="1" x14ac:dyDescent="0.2">
      <c r="B36" s="97" t="s">
        <v>26</v>
      </c>
      <c r="C36" s="258"/>
      <c r="D36" s="91">
        <v>118</v>
      </c>
      <c r="E36" s="255"/>
      <c r="F36" s="91">
        <v>67</v>
      </c>
      <c r="G36" s="256">
        <v>56.7796610169</v>
      </c>
      <c r="H36" s="255"/>
      <c r="I36" s="91">
        <v>39</v>
      </c>
      <c r="J36" s="256">
        <v>33.0508474576</v>
      </c>
      <c r="K36" s="259"/>
      <c r="L36" s="91">
        <v>5</v>
      </c>
      <c r="M36" s="256">
        <v>4.2372881356000001</v>
      </c>
      <c r="N36" s="260"/>
      <c r="O36" s="91">
        <v>7</v>
      </c>
      <c r="P36" s="256">
        <v>5.9322033897999997</v>
      </c>
    </row>
    <row r="37" spans="2:16" s="257" customFormat="1" ht="12.75" customHeight="1" x14ac:dyDescent="0.2">
      <c r="B37" s="97" t="s">
        <v>27</v>
      </c>
      <c r="C37" s="258"/>
      <c r="D37" s="91">
        <v>132</v>
      </c>
      <c r="E37" s="255"/>
      <c r="F37" s="91">
        <v>67</v>
      </c>
      <c r="G37" s="256">
        <v>50.757575757600002</v>
      </c>
      <c r="H37" s="255"/>
      <c r="I37" s="91">
        <v>57</v>
      </c>
      <c r="J37" s="256">
        <v>43.181818181799997</v>
      </c>
      <c r="K37" s="259"/>
      <c r="L37" s="91">
        <v>2</v>
      </c>
      <c r="M37" s="256">
        <v>1.5151515151999999</v>
      </c>
      <c r="N37" s="260"/>
      <c r="O37" s="91">
        <v>6</v>
      </c>
      <c r="P37" s="256">
        <v>4.5454545455000002</v>
      </c>
    </row>
    <row r="38" spans="2:16" s="257" customFormat="1" ht="12.75" customHeight="1" x14ac:dyDescent="0.2">
      <c r="B38" s="97" t="s">
        <v>28</v>
      </c>
      <c r="C38" s="258"/>
      <c r="D38" s="91">
        <v>246</v>
      </c>
      <c r="E38" s="255"/>
      <c r="F38" s="91">
        <v>154</v>
      </c>
      <c r="G38" s="256">
        <v>62.601626016300003</v>
      </c>
      <c r="H38" s="255"/>
      <c r="I38" s="91">
        <v>76</v>
      </c>
      <c r="J38" s="256">
        <v>30.8943089431</v>
      </c>
      <c r="K38" s="259"/>
      <c r="L38" s="91">
        <v>8</v>
      </c>
      <c r="M38" s="256">
        <v>3.2520325202999998</v>
      </c>
      <c r="N38" s="260"/>
      <c r="O38" s="91">
        <v>8</v>
      </c>
      <c r="P38" s="256">
        <v>3.2520325202999998</v>
      </c>
    </row>
    <row r="39" spans="2:16" s="257" customFormat="1" ht="12.75" customHeight="1" x14ac:dyDescent="0.2">
      <c r="B39" s="97" t="s">
        <v>29</v>
      </c>
      <c r="C39" s="258"/>
      <c r="D39" s="91">
        <v>133</v>
      </c>
      <c r="E39" s="255"/>
      <c r="F39" s="91">
        <v>60</v>
      </c>
      <c r="G39" s="256">
        <v>45.112781954900001</v>
      </c>
      <c r="H39" s="255"/>
      <c r="I39" s="91">
        <v>57</v>
      </c>
      <c r="J39" s="256">
        <v>42.857142857100001</v>
      </c>
      <c r="K39" s="259"/>
      <c r="L39" s="91">
        <v>11</v>
      </c>
      <c r="M39" s="256">
        <v>8.2706766917000003</v>
      </c>
      <c r="N39" s="260"/>
      <c r="O39" s="91">
        <v>5</v>
      </c>
      <c r="P39" s="256">
        <v>3.7593984962000002</v>
      </c>
    </row>
    <row r="40" spans="2:16" s="257" customFormat="1" ht="12.75" customHeight="1" x14ac:dyDescent="0.2">
      <c r="B40" s="97" t="s">
        <v>30</v>
      </c>
      <c r="C40" s="258"/>
      <c r="D40" s="91">
        <v>168</v>
      </c>
      <c r="E40" s="255"/>
      <c r="F40" s="91">
        <v>82</v>
      </c>
      <c r="G40" s="256">
        <v>48.8095238095</v>
      </c>
      <c r="H40" s="255"/>
      <c r="I40" s="91">
        <v>72</v>
      </c>
      <c r="J40" s="256">
        <v>42.857142857100001</v>
      </c>
      <c r="K40" s="259"/>
      <c r="L40" s="91">
        <v>6</v>
      </c>
      <c r="M40" s="256">
        <v>3.5714285713999998</v>
      </c>
      <c r="N40" s="260"/>
      <c r="O40" s="91">
        <v>8</v>
      </c>
      <c r="P40" s="256">
        <v>4.7619047619000003</v>
      </c>
    </row>
    <row r="41" spans="2:16" s="257" customFormat="1" ht="12.75" customHeight="1" x14ac:dyDescent="0.2">
      <c r="B41" s="97" t="s">
        <v>31</v>
      </c>
      <c r="C41" s="258"/>
      <c r="D41" s="91">
        <v>59</v>
      </c>
      <c r="E41" s="255"/>
      <c r="F41" s="91">
        <v>21</v>
      </c>
      <c r="G41" s="256">
        <v>35.593220338999998</v>
      </c>
      <c r="H41" s="255"/>
      <c r="I41" s="91">
        <v>28</v>
      </c>
      <c r="J41" s="256">
        <v>47.457627118600001</v>
      </c>
      <c r="K41" s="259"/>
      <c r="L41" s="91">
        <v>6</v>
      </c>
      <c r="M41" s="256">
        <v>10.1694915254</v>
      </c>
      <c r="N41" s="260"/>
      <c r="O41" s="91">
        <v>4</v>
      </c>
      <c r="P41" s="256">
        <v>6.7796610168999996</v>
      </c>
    </row>
    <row r="42" spans="2:16" s="257" customFormat="1" ht="12.75" customHeight="1" x14ac:dyDescent="0.2">
      <c r="B42" s="97" t="s">
        <v>32</v>
      </c>
      <c r="C42" s="258"/>
      <c r="D42" s="261">
        <v>96</v>
      </c>
      <c r="E42" s="255"/>
      <c r="F42" s="91">
        <v>54</v>
      </c>
      <c r="G42" s="256">
        <v>56.25</v>
      </c>
      <c r="H42" s="255"/>
      <c r="I42" s="91">
        <v>35</v>
      </c>
      <c r="J42" s="256">
        <v>36.458333333299997</v>
      </c>
      <c r="K42" s="259"/>
      <c r="L42" s="91">
        <v>6</v>
      </c>
      <c r="M42" s="256">
        <v>6.25</v>
      </c>
      <c r="N42" s="260"/>
      <c r="O42" s="91">
        <v>1</v>
      </c>
      <c r="P42" s="256">
        <v>1.0416666667000001</v>
      </c>
    </row>
    <row r="43" spans="2:16" s="257" customFormat="1" ht="12.75" customHeight="1" x14ac:dyDescent="0.2">
      <c r="B43" s="97" t="s">
        <v>33</v>
      </c>
      <c r="C43" s="258"/>
      <c r="D43" s="91">
        <v>222</v>
      </c>
      <c r="E43" s="255"/>
      <c r="F43" s="91">
        <v>118</v>
      </c>
      <c r="G43" s="256">
        <v>53.153153153200002</v>
      </c>
      <c r="H43" s="255"/>
      <c r="I43" s="91">
        <v>73</v>
      </c>
      <c r="J43" s="256">
        <v>32.882882882899999</v>
      </c>
      <c r="K43" s="259"/>
      <c r="L43" s="91">
        <v>13</v>
      </c>
      <c r="M43" s="256">
        <v>5.8558558558999998</v>
      </c>
      <c r="N43" s="260"/>
      <c r="O43" s="91">
        <v>18</v>
      </c>
      <c r="P43" s="256">
        <v>8.1081081080999997</v>
      </c>
    </row>
    <row r="44" spans="2:16" s="257" customFormat="1" ht="12.75" customHeight="1" x14ac:dyDescent="0.2">
      <c r="B44" s="97" t="s">
        <v>34</v>
      </c>
      <c r="C44" s="258"/>
      <c r="D44" s="91">
        <v>150</v>
      </c>
      <c r="E44" s="255"/>
      <c r="F44" s="91">
        <v>73</v>
      </c>
      <c r="G44" s="256">
        <v>48.666666666700003</v>
      </c>
      <c r="H44" s="255"/>
      <c r="I44" s="91">
        <v>59</v>
      </c>
      <c r="J44" s="256">
        <v>39.333333333299997</v>
      </c>
      <c r="K44" s="259"/>
      <c r="L44" s="91">
        <v>13</v>
      </c>
      <c r="M44" s="256">
        <v>8.6666666666999994</v>
      </c>
      <c r="N44" s="260"/>
      <c r="O44" s="91">
        <v>5</v>
      </c>
      <c r="P44" s="256">
        <v>3.3333333333000001</v>
      </c>
    </row>
    <row r="45" spans="2:16" ht="6" customHeight="1" x14ac:dyDescent="0.25">
      <c r="B45" s="262"/>
      <c r="C45" s="263"/>
      <c r="D45" s="264"/>
      <c r="E45" s="265"/>
      <c r="F45" s="264"/>
      <c r="G45" s="266"/>
      <c r="H45" s="266"/>
      <c r="I45" s="264"/>
      <c r="J45" s="266"/>
      <c r="K45" s="267"/>
      <c r="L45" s="264"/>
      <c r="M45" s="266"/>
      <c r="N45" s="268"/>
      <c r="O45" s="264"/>
      <c r="P45" s="266"/>
    </row>
    <row r="46" spans="2:16" ht="6" customHeight="1" x14ac:dyDescent="0.25">
      <c r="B46" s="228"/>
      <c r="C46" s="236"/>
      <c r="D46" s="162"/>
      <c r="E46" s="269"/>
      <c r="F46" s="162"/>
      <c r="G46" s="270"/>
      <c r="H46" s="270"/>
      <c r="I46" s="162"/>
      <c r="J46" s="270"/>
      <c r="K46" s="271"/>
      <c r="L46" s="162"/>
      <c r="M46" s="270"/>
      <c r="N46" s="272"/>
      <c r="O46" s="162"/>
      <c r="P46" s="270"/>
    </row>
    <row r="47" spans="2:16" ht="12.75" customHeight="1" x14ac:dyDescent="0.25">
      <c r="B47" s="273" t="s">
        <v>93</v>
      </c>
      <c r="C47" s="236"/>
      <c r="D47" s="162"/>
      <c r="E47" s="269"/>
      <c r="F47" s="162"/>
      <c r="G47" s="270"/>
      <c r="H47" s="270"/>
      <c r="I47" s="162"/>
      <c r="J47" s="270"/>
      <c r="K47" s="271"/>
      <c r="L47" s="162"/>
      <c r="M47" s="270"/>
      <c r="N47" s="272"/>
      <c r="O47" s="162"/>
      <c r="P47" s="270"/>
    </row>
    <row r="48" spans="2:16" ht="12" customHeight="1" x14ac:dyDescent="0.25">
      <c r="B48" s="4" t="s">
        <v>69</v>
      </c>
      <c r="C48" s="236"/>
      <c r="D48" s="162"/>
      <c r="E48" s="269"/>
      <c r="F48" s="162"/>
      <c r="G48" s="270"/>
      <c r="H48" s="270"/>
      <c r="I48" s="162"/>
      <c r="J48" s="270"/>
      <c r="K48" s="271"/>
      <c r="L48" s="162"/>
      <c r="M48" s="270"/>
      <c r="N48" s="272"/>
      <c r="O48" s="162"/>
      <c r="P48" s="270"/>
    </row>
    <row r="49" spans="2:16" ht="12" customHeight="1" x14ac:dyDescent="0.25">
      <c r="B49" s="4" t="s">
        <v>70</v>
      </c>
      <c r="C49" s="236"/>
      <c r="D49" s="162"/>
      <c r="E49" s="269"/>
      <c r="F49" s="162"/>
      <c r="G49" s="270"/>
      <c r="H49" s="270"/>
      <c r="I49" s="162"/>
      <c r="J49" s="270"/>
      <c r="K49" s="271"/>
      <c r="L49" s="162"/>
      <c r="M49" s="270"/>
      <c r="N49" s="272"/>
      <c r="O49" s="162"/>
      <c r="P49" s="270"/>
    </row>
    <row r="50" spans="2:16" ht="12" customHeight="1" x14ac:dyDescent="0.25">
      <c r="B50" s="4" t="s">
        <v>71</v>
      </c>
      <c r="C50" s="236"/>
      <c r="D50" s="162"/>
      <c r="E50" s="269"/>
      <c r="F50" s="162"/>
      <c r="G50" s="270"/>
      <c r="H50" s="270"/>
      <c r="I50" s="162"/>
      <c r="J50" s="270"/>
      <c r="K50" s="271"/>
      <c r="L50" s="162"/>
      <c r="M50" s="270"/>
      <c r="N50" s="272"/>
      <c r="O50" s="162"/>
      <c r="P50" s="270"/>
    </row>
    <row r="51" spans="2:16" s="13" customFormat="1" ht="14.25" x14ac:dyDescent="0.2">
      <c r="B51" s="113" t="s">
        <v>57</v>
      </c>
    </row>
  </sheetData>
  <mergeCells count="8">
    <mergeCell ref="B5:N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29BFFDB8-DED3-4686-83C3-18C970299DFF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B6D0-8312-4EB6-91C9-88D365EF758F}">
  <dimension ref="A1:T52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289" customWidth="1"/>
    <col min="2" max="2" width="24.28515625" style="289" customWidth="1"/>
    <col min="3" max="3" width="0.85546875" style="328" customWidth="1"/>
    <col min="4" max="4" width="18.7109375" style="329" customWidth="1"/>
    <col min="5" max="5" width="1.7109375" style="329" customWidth="1"/>
    <col min="6" max="6" width="12.7109375" style="329" customWidth="1"/>
    <col min="7" max="7" width="12.7109375" style="330" customWidth="1"/>
    <col min="8" max="8" width="1.7109375" style="329" customWidth="1"/>
    <col min="9" max="9" width="12.7109375" style="329" customWidth="1"/>
    <col min="10" max="10" width="12.7109375" style="330" customWidth="1"/>
    <col min="11" max="11" width="1.7109375" style="329" customWidth="1"/>
    <col min="12" max="12" width="12.7109375" style="329" customWidth="1"/>
    <col min="13" max="13" width="12.7109375" style="330" customWidth="1"/>
    <col min="14" max="14" width="1.7109375" style="329" customWidth="1"/>
    <col min="15" max="15" width="12.7109375" style="289" customWidth="1"/>
    <col min="16" max="16" width="12.7109375" style="331" customWidth="1"/>
    <col min="17" max="17" width="1.7109375" style="289" customWidth="1"/>
    <col min="18" max="16384" width="11.42578125" style="289"/>
  </cols>
  <sheetData>
    <row r="1" spans="1:20" s="279" customFormat="1" ht="12" customHeight="1" x14ac:dyDescent="0.2">
      <c r="A1" s="616"/>
      <c r="B1" s="616" t="s">
        <v>202</v>
      </c>
      <c r="D1" s="280"/>
      <c r="E1" s="280"/>
      <c r="F1" s="280"/>
      <c r="G1" s="280"/>
      <c r="H1" s="280"/>
      <c r="I1" s="280"/>
      <c r="K1" s="280"/>
      <c r="L1" s="280"/>
      <c r="M1" s="280"/>
      <c r="N1" s="280"/>
      <c r="S1" s="72" t="s">
        <v>151</v>
      </c>
    </row>
    <row r="2" spans="1:20" s="279" customFormat="1" ht="6.95" customHeight="1" x14ac:dyDescent="0.2">
      <c r="B2" s="616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</row>
    <row r="3" spans="1:20" s="279" customFormat="1" ht="15" customHeight="1" x14ac:dyDescent="0.2">
      <c r="B3" s="616" t="s">
        <v>199</v>
      </c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</row>
    <row r="4" spans="1:20" s="279" customFormat="1" ht="6.95" customHeight="1" x14ac:dyDescent="0.2">
      <c r="C4" s="281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</row>
    <row r="5" spans="1:20" s="279" customFormat="1" ht="25.5" customHeight="1" x14ac:dyDescent="0.2">
      <c r="B5" s="667" t="s">
        <v>153</v>
      </c>
      <c r="C5" s="667"/>
      <c r="D5" s="667"/>
      <c r="E5" s="667"/>
      <c r="F5" s="667"/>
      <c r="G5" s="667"/>
      <c r="H5" s="667"/>
      <c r="I5" s="667"/>
      <c r="J5" s="667"/>
      <c r="K5" s="667"/>
      <c r="L5" s="667"/>
      <c r="M5" s="667"/>
      <c r="N5" s="667"/>
      <c r="O5" s="282"/>
      <c r="P5" s="283"/>
      <c r="Q5" s="284"/>
      <c r="R5" s="57"/>
      <c r="S5" s="71" t="s">
        <v>112</v>
      </c>
    </row>
    <row r="6" spans="1:20" ht="6" customHeight="1" x14ac:dyDescent="0.25">
      <c r="B6" s="285"/>
      <c r="C6" s="286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8"/>
      <c r="P6" s="288"/>
      <c r="Q6" s="288"/>
      <c r="R6" s="288"/>
      <c r="S6" s="288"/>
    </row>
    <row r="7" spans="1:20" ht="15" customHeight="1" x14ac:dyDescent="0.25">
      <c r="B7" s="658" t="s">
        <v>76</v>
      </c>
      <c r="C7" s="658"/>
      <c r="D7" s="668" t="s">
        <v>108</v>
      </c>
      <c r="E7" s="290"/>
      <c r="F7" s="671" t="s">
        <v>124</v>
      </c>
      <c r="G7" s="671"/>
      <c r="H7" s="671"/>
      <c r="I7" s="671"/>
      <c r="J7" s="671"/>
      <c r="K7" s="671"/>
      <c r="L7" s="671"/>
      <c r="M7" s="671"/>
      <c r="N7" s="671"/>
      <c r="O7" s="671"/>
      <c r="P7" s="671"/>
      <c r="Q7" s="671"/>
      <c r="R7" s="671"/>
      <c r="S7" s="671"/>
    </row>
    <row r="8" spans="1:20" ht="24.75" customHeight="1" x14ac:dyDescent="0.25">
      <c r="B8" s="659"/>
      <c r="C8" s="659"/>
      <c r="D8" s="669"/>
      <c r="E8" s="291"/>
      <c r="F8" s="672" t="s">
        <v>125</v>
      </c>
      <c r="G8" s="672"/>
      <c r="H8" s="292"/>
      <c r="I8" s="671" t="s">
        <v>126</v>
      </c>
      <c r="J8" s="671"/>
      <c r="K8" s="293"/>
      <c r="L8" s="671" t="s">
        <v>127</v>
      </c>
      <c r="M8" s="671"/>
      <c r="N8" s="293"/>
      <c r="O8" s="671" t="s">
        <v>62</v>
      </c>
      <c r="P8" s="671"/>
      <c r="Q8" s="293"/>
      <c r="R8" s="671" t="s">
        <v>39</v>
      </c>
      <c r="S8" s="671"/>
    </row>
    <row r="9" spans="1:20" x14ac:dyDescent="0.25">
      <c r="B9" s="660"/>
      <c r="C9" s="660"/>
      <c r="D9" s="670"/>
      <c r="E9" s="294"/>
      <c r="F9" s="295" t="s">
        <v>0</v>
      </c>
      <c r="G9" s="295" t="s">
        <v>1</v>
      </c>
      <c r="H9" s="295"/>
      <c r="I9" s="295" t="s">
        <v>0</v>
      </c>
      <c r="J9" s="295" t="s">
        <v>1</v>
      </c>
      <c r="K9" s="296"/>
      <c r="L9" s="295" t="s">
        <v>0</v>
      </c>
      <c r="M9" s="295" t="s">
        <v>1</v>
      </c>
      <c r="N9" s="296"/>
      <c r="O9" s="295" t="s">
        <v>0</v>
      </c>
      <c r="P9" s="295" t="s">
        <v>1</v>
      </c>
      <c r="Q9" s="296"/>
      <c r="R9" s="295" t="s">
        <v>0</v>
      </c>
      <c r="S9" s="295" t="s">
        <v>1</v>
      </c>
    </row>
    <row r="10" spans="1:20" ht="6" customHeight="1" x14ac:dyDescent="0.25">
      <c r="B10" s="31"/>
      <c r="C10" s="297"/>
      <c r="D10" s="298"/>
      <c r="E10" s="298"/>
      <c r="F10" s="298"/>
      <c r="G10" s="298"/>
      <c r="H10" s="298"/>
      <c r="I10" s="298"/>
      <c r="J10" s="298"/>
      <c r="K10" s="298"/>
      <c r="L10" s="298"/>
      <c r="M10" s="298"/>
      <c r="N10" s="299"/>
      <c r="O10" s="299"/>
      <c r="P10" s="299"/>
      <c r="Q10" s="299"/>
      <c r="R10" s="299"/>
      <c r="S10" s="299"/>
      <c r="T10" s="300"/>
    </row>
    <row r="11" spans="1:20" s="304" customFormat="1" ht="11.25" x14ac:dyDescent="0.2">
      <c r="B11" s="96" t="s">
        <v>2</v>
      </c>
      <c r="C11" s="301"/>
      <c r="D11" s="89">
        <v>4626</v>
      </c>
      <c r="E11" s="89"/>
      <c r="F11" s="89">
        <v>1061</v>
      </c>
      <c r="G11" s="302">
        <v>22.935581495899999</v>
      </c>
      <c r="H11" s="89"/>
      <c r="I11" s="89">
        <v>3078</v>
      </c>
      <c r="J11" s="302">
        <v>66.536964980500002</v>
      </c>
      <c r="K11" s="89"/>
      <c r="L11" s="89">
        <v>2830</v>
      </c>
      <c r="M11" s="302">
        <v>61.175961954199998</v>
      </c>
      <c r="N11" s="89"/>
      <c r="O11" s="89">
        <v>63</v>
      </c>
      <c r="P11" s="302">
        <v>1.3618677043</v>
      </c>
      <c r="Q11" s="89"/>
      <c r="R11" s="89">
        <v>5</v>
      </c>
      <c r="S11" s="302">
        <v>0.1080847384</v>
      </c>
      <c r="T11" s="303"/>
    </row>
    <row r="12" spans="1:20" s="308" customFormat="1" ht="6" customHeight="1" x14ac:dyDescent="0.2">
      <c r="B12" s="253"/>
      <c r="C12" s="305"/>
      <c r="D12" s="91"/>
      <c r="E12" s="91"/>
      <c r="F12" s="91"/>
      <c r="G12" s="306"/>
      <c r="H12" s="91"/>
      <c r="I12" s="91"/>
      <c r="J12" s="306"/>
      <c r="K12" s="91"/>
      <c r="L12" s="91"/>
      <c r="M12" s="306"/>
      <c r="N12" s="91"/>
      <c r="O12" s="91"/>
      <c r="P12" s="306"/>
      <c r="Q12" s="91"/>
      <c r="R12" s="91"/>
      <c r="S12" s="306"/>
      <c r="T12" s="307"/>
    </row>
    <row r="13" spans="1:20" s="308" customFormat="1" ht="12.75" customHeight="1" x14ac:dyDescent="0.2">
      <c r="B13" s="97" t="s">
        <v>3</v>
      </c>
      <c r="C13" s="309"/>
      <c r="D13" s="91">
        <v>213</v>
      </c>
      <c r="E13" s="91"/>
      <c r="F13" s="91">
        <v>36</v>
      </c>
      <c r="G13" s="306">
        <v>16.9014084507</v>
      </c>
      <c r="H13" s="91"/>
      <c r="I13" s="91">
        <v>153</v>
      </c>
      <c r="J13" s="306">
        <v>71.830985915499994</v>
      </c>
      <c r="K13" s="91"/>
      <c r="L13" s="91">
        <v>109</v>
      </c>
      <c r="M13" s="306">
        <v>51.173708920199999</v>
      </c>
      <c r="N13" s="91"/>
      <c r="O13" s="91">
        <v>2</v>
      </c>
      <c r="P13" s="306">
        <v>0.93896713620000005</v>
      </c>
      <c r="Q13" s="91"/>
      <c r="R13" s="91">
        <v>0</v>
      </c>
      <c r="S13" s="306">
        <v>0</v>
      </c>
      <c r="T13" s="307"/>
    </row>
    <row r="14" spans="1:20" s="308" customFormat="1" ht="12.75" customHeight="1" x14ac:dyDescent="0.2">
      <c r="B14" s="97" t="s">
        <v>4</v>
      </c>
      <c r="C14" s="309"/>
      <c r="D14" s="91">
        <v>166</v>
      </c>
      <c r="E14" s="91"/>
      <c r="F14" s="91">
        <v>53</v>
      </c>
      <c r="G14" s="306">
        <v>31.9277108434</v>
      </c>
      <c r="H14" s="91"/>
      <c r="I14" s="91">
        <v>115</v>
      </c>
      <c r="J14" s="306">
        <v>69.277108433699993</v>
      </c>
      <c r="K14" s="91"/>
      <c r="L14" s="91">
        <v>97</v>
      </c>
      <c r="M14" s="306">
        <v>58.433734939799997</v>
      </c>
      <c r="N14" s="91"/>
      <c r="O14" s="91">
        <v>0</v>
      </c>
      <c r="P14" s="306">
        <v>0</v>
      </c>
      <c r="Q14" s="91"/>
      <c r="R14" s="91">
        <v>0</v>
      </c>
      <c r="S14" s="306">
        <v>0</v>
      </c>
      <c r="T14" s="307"/>
    </row>
    <row r="15" spans="1:20" s="308" customFormat="1" ht="12.75" customHeight="1" x14ac:dyDescent="0.2">
      <c r="B15" s="97" t="s">
        <v>5</v>
      </c>
      <c r="C15" s="309"/>
      <c r="D15" s="91">
        <v>157</v>
      </c>
      <c r="E15" s="91"/>
      <c r="F15" s="91">
        <v>50</v>
      </c>
      <c r="G15" s="306">
        <v>31.847133757999998</v>
      </c>
      <c r="H15" s="91"/>
      <c r="I15" s="91">
        <v>126</v>
      </c>
      <c r="J15" s="306">
        <v>80.254777070100005</v>
      </c>
      <c r="K15" s="91"/>
      <c r="L15" s="91">
        <v>85</v>
      </c>
      <c r="M15" s="306">
        <v>54.140127388499998</v>
      </c>
      <c r="N15" s="91"/>
      <c r="O15" s="91">
        <v>0</v>
      </c>
      <c r="P15" s="306">
        <v>0</v>
      </c>
      <c r="Q15" s="91"/>
      <c r="R15" s="91">
        <v>0</v>
      </c>
      <c r="S15" s="306">
        <v>0</v>
      </c>
      <c r="T15" s="307"/>
    </row>
    <row r="16" spans="1:20" s="308" customFormat="1" ht="12.75" customHeight="1" x14ac:dyDescent="0.2">
      <c r="B16" s="97" t="s">
        <v>6</v>
      </c>
      <c r="C16" s="309"/>
      <c r="D16" s="91">
        <v>139</v>
      </c>
      <c r="E16" s="91"/>
      <c r="F16" s="91">
        <v>41</v>
      </c>
      <c r="G16" s="306">
        <v>29.4964028777</v>
      </c>
      <c r="H16" s="91"/>
      <c r="I16" s="91">
        <v>76</v>
      </c>
      <c r="J16" s="306">
        <v>54.676258992800001</v>
      </c>
      <c r="K16" s="91"/>
      <c r="L16" s="91">
        <v>108</v>
      </c>
      <c r="M16" s="306">
        <v>77.697841726600004</v>
      </c>
      <c r="N16" s="91"/>
      <c r="O16" s="91">
        <v>3</v>
      </c>
      <c r="P16" s="306">
        <v>2.1582733812999999</v>
      </c>
      <c r="Q16" s="91"/>
      <c r="R16" s="91">
        <v>0</v>
      </c>
      <c r="S16" s="306">
        <v>0</v>
      </c>
      <c r="T16" s="307"/>
    </row>
    <row r="17" spans="2:20" s="308" customFormat="1" ht="12.75" customHeight="1" x14ac:dyDescent="0.2">
      <c r="B17" s="97" t="s">
        <v>7</v>
      </c>
      <c r="C17" s="309"/>
      <c r="D17" s="91">
        <v>144</v>
      </c>
      <c r="E17" s="91"/>
      <c r="F17" s="91">
        <v>35</v>
      </c>
      <c r="G17" s="306">
        <v>24.305555555600002</v>
      </c>
      <c r="H17" s="91"/>
      <c r="I17" s="91">
        <v>97</v>
      </c>
      <c r="J17" s="306">
        <v>67.361111111100001</v>
      </c>
      <c r="K17" s="91"/>
      <c r="L17" s="91">
        <v>89</v>
      </c>
      <c r="M17" s="306">
        <v>61.805555555600002</v>
      </c>
      <c r="N17" s="91"/>
      <c r="O17" s="91">
        <v>1</v>
      </c>
      <c r="P17" s="306">
        <v>0.69444444439999997</v>
      </c>
      <c r="Q17" s="91"/>
      <c r="R17" s="91">
        <v>0</v>
      </c>
      <c r="S17" s="306">
        <v>0</v>
      </c>
      <c r="T17" s="307"/>
    </row>
    <row r="18" spans="2:20" s="308" customFormat="1" ht="12.75" customHeight="1" x14ac:dyDescent="0.2">
      <c r="B18" s="97" t="s">
        <v>8</v>
      </c>
      <c r="C18" s="309"/>
      <c r="D18" s="91">
        <v>190</v>
      </c>
      <c r="E18" s="91"/>
      <c r="F18" s="91">
        <v>19</v>
      </c>
      <c r="G18" s="306">
        <v>10</v>
      </c>
      <c r="H18" s="91"/>
      <c r="I18" s="91">
        <v>130</v>
      </c>
      <c r="J18" s="306">
        <v>68.421052631600006</v>
      </c>
      <c r="K18" s="91"/>
      <c r="L18" s="91">
        <v>108</v>
      </c>
      <c r="M18" s="306">
        <v>56.842105263199997</v>
      </c>
      <c r="N18" s="91"/>
      <c r="O18" s="91">
        <v>3</v>
      </c>
      <c r="P18" s="306">
        <v>1.5789473683999999</v>
      </c>
      <c r="Q18" s="91"/>
      <c r="R18" s="91">
        <v>1</v>
      </c>
      <c r="S18" s="306">
        <v>0.52631578950000002</v>
      </c>
      <c r="T18" s="307"/>
    </row>
    <row r="19" spans="2:20" s="308" customFormat="1" ht="12.75" customHeight="1" x14ac:dyDescent="0.2">
      <c r="B19" s="97" t="s">
        <v>9</v>
      </c>
      <c r="C19" s="309"/>
      <c r="D19" s="91">
        <v>90</v>
      </c>
      <c r="E19" s="310"/>
      <c r="F19" s="91">
        <v>26</v>
      </c>
      <c r="G19" s="311">
        <v>28.888888888899999</v>
      </c>
      <c r="H19" s="310"/>
      <c r="I19" s="91">
        <v>54</v>
      </c>
      <c r="J19" s="311">
        <v>60</v>
      </c>
      <c r="K19" s="312"/>
      <c r="L19" s="91">
        <v>61</v>
      </c>
      <c r="M19" s="311">
        <v>67.777777777799997</v>
      </c>
      <c r="N19" s="313"/>
      <c r="O19" s="91">
        <v>3</v>
      </c>
      <c r="P19" s="311">
        <v>3.3333333333000001</v>
      </c>
      <c r="Q19" s="314"/>
      <c r="R19" s="314">
        <v>0</v>
      </c>
      <c r="S19" s="315">
        <v>0</v>
      </c>
      <c r="T19" s="307"/>
    </row>
    <row r="20" spans="2:20" s="308" customFormat="1" ht="12.75" customHeight="1" x14ac:dyDescent="0.2">
      <c r="B20" s="97" t="s">
        <v>10</v>
      </c>
      <c r="C20" s="309"/>
      <c r="D20" s="91">
        <v>135</v>
      </c>
      <c r="E20" s="310"/>
      <c r="F20" s="91">
        <v>31</v>
      </c>
      <c r="G20" s="311">
        <v>22.962962962999999</v>
      </c>
      <c r="H20" s="310"/>
      <c r="I20" s="91">
        <v>100</v>
      </c>
      <c r="J20" s="311">
        <v>74.074074074099997</v>
      </c>
      <c r="K20" s="312"/>
      <c r="L20" s="91">
        <v>76</v>
      </c>
      <c r="M20" s="311">
        <v>56.2962962963</v>
      </c>
      <c r="N20" s="313"/>
      <c r="O20" s="91">
        <v>1</v>
      </c>
      <c r="P20" s="311">
        <v>0.74074074069999996</v>
      </c>
      <c r="Q20" s="314"/>
      <c r="R20" s="314">
        <v>0</v>
      </c>
      <c r="S20" s="315">
        <v>0</v>
      </c>
      <c r="T20" s="307"/>
    </row>
    <row r="21" spans="2:20" s="308" customFormat="1" ht="12.75" customHeight="1" x14ac:dyDescent="0.2">
      <c r="B21" s="97" t="s">
        <v>11</v>
      </c>
      <c r="C21" s="309"/>
      <c r="D21" s="91">
        <v>111</v>
      </c>
      <c r="E21" s="310"/>
      <c r="F21" s="91">
        <v>19</v>
      </c>
      <c r="G21" s="311">
        <v>17.117117117100001</v>
      </c>
      <c r="H21" s="310"/>
      <c r="I21" s="91">
        <v>76</v>
      </c>
      <c r="J21" s="311">
        <v>68.468468468500006</v>
      </c>
      <c r="K21" s="312"/>
      <c r="L21" s="91">
        <v>55</v>
      </c>
      <c r="M21" s="311">
        <v>49.5495495495</v>
      </c>
      <c r="N21" s="313"/>
      <c r="O21" s="91">
        <v>1</v>
      </c>
      <c r="P21" s="311">
        <v>0.90090090089999997</v>
      </c>
      <c r="Q21" s="314"/>
      <c r="R21" s="314">
        <v>0</v>
      </c>
      <c r="S21" s="315">
        <v>0</v>
      </c>
      <c r="T21" s="307"/>
    </row>
    <row r="22" spans="2:20" s="308" customFormat="1" ht="12.75" customHeight="1" x14ac:dyDescent="0.2">
      <c r="B22" s="97" t="s">
        <v>12</v>
      </c>
      <c r="C22" s="309"/>
      <c r="D22" s="91">
        <v>160</v>
      </c>
      <c r="E22" s="310"/>
      <c r="F22" s="91">
        <v>48</v>
      </c>
      <c r="G22" s="311">
        <v>30</v>
      </c>
      <c r="H22" s="310"/>
      <c r="I22" s="91">
        <v>115</v>
      </c>
      <c r="J22" s="311">
        <v>71.875</v>
      </c>
      <c r="K22" s="312"/>
      <c r="L22" s="91">
        <v>102</v>
      </c>
      <c r="M22" s="311">
        <v>63.75</v>
      </c>
      <c r="N22" s="313"/>
      <c r="O22" s="91">
        <v>3</v>
      </c>
      <c r="P22" s="311">
        <v>1.875</v>
      </c>
      <c r="Q22" s="314"/>
      <c r="R22" s="314">
        <v>0</v>
      </c>
      <c r="S22" s="315">
        <v>0</v>
      </c>
      <c r="T22" s="307"/>
    </row>
    <row r="23" spans="2:20" s="308" customFormat="1" ht="12.75" customHeight="1" x14ac:dyDescent="0.2">
      <c r="B23" s="97" t="s">
        <v>13</v>
      </c>
      <c r="C23" s="309"/>
      <c r="D23" s="91">
        <v>120</v>
      </c>
      <c r="E23" s="310"/>
      <c r="F23" s="91">
        <v>26</v>
      </c>
      <c r="G23" s="311">
        <v>21.666666666699999</v>
      </c>
      <c r="H23" s="310"/>
      <c r="I23" s="91">
        <v>85</v>
      </c>
      <c r="J23" s="311">
        <v>70.833333333300004</v>
      </c>
      <c r="K23" s="312"/>
      <c r="L23" s="91">
        <v>66</v>
      </c>
      <c r="M23" s="311">
        <v>55</v>
      </c>
      <c r="N23" s="313"/>
      <c r="O23" s="91">
        <v>3</v>
      </c>
      <c r="P23" s="311">
        <v>2.5</v>
      </c>
      <c r="Q23" s="314"/>
      <c r="R23" s="314">
        <v>1</v>
      </c>
      <c r="S23" s="315">
        <v>0.83333333330000003</v>
      </c>
      <c r="T23" s="307"/>
    </row>
    <row r="24" spans="2:20" s="308" customFormat="1" ht="12.75" customHeight="1" x14ac:dyDescent="0.2">
      <c r="B24" s="97" t="s">
        <v>14</v>
      </c>
      <c r="C24" s="309"/>
      <c r="D24" s="91">
        <v>95</v>
      </c>
      <c r="E24" s="310"/>
      <c r="F24" s="91">
        <v>28</v>
      </c>
      <c r="G24" s="311">
        <v>29.4736842105</v>
      </c>
      <c r="H24" s="310"/>
      <c r="I24" s="91">
        <v>42</v>
      </c>
      <c r="J24" s="311">
        <v>44.210526315800003</v>
      </c>
      <c r="K24" s="312"/>
      <c r="L24" s="91">
        <v>68</v>
      </c>
      <c r="M24" s="311">
        <v>71.578947368399994</v>
      </c>
      <c r="N24" s="313"/>
      <c r="O24" s="91">
        <v>3</v>
      </c>
      <c r="P24" s="311">
        <v>3.1578947367999999</v>
      </c>
      <c r="Q24" s="314"/>
      <c r="R24" s="314">
        <v>0</v>
      </c>
      <c r="S24" s="315">
        <v>0</v>
      </c>
      <c r="T24" s="307"/>
    </row>
    <row r="25" spans="2:20" s="308" customFormat="1" ht="12.75" customHeight="1" x14ac:dyDescent="0.2">
      <c r="B25" s="97" t="s">
        <v>15</v>
      </c>
      <c r="C25" s="309"/>
      <c r="D25" s="91">
        <v>94</v>
      </c>
      <c r="E25" s="310"/>
      <c r="F25" s="91">
        <v>27</v>
      </c>
      <c r="G25" s="311">
        <v>28.7234042553</v>
      </c>
      <c r="H25" s="310"/>
      <c r="I25" s="91">
        <v>53</v>
      </c>
      <c r="J25" s="311">
        <v>56.382978723400001</v>
      </c>
      <c r="K25" s="312"/>
      <c r="L25" s="91">
        <v>62</v>
      </c>
      <c r="M25" s="311">
        <v>65.957446808499995</v>
      </c>
      <c r="N25" s="313"/>
      <c r="O25" s="91">
        <v>2</v>
      </c>
      <c r="P25" s="311">
        <v>2.1276595745</v>
      </c>
      <c r="Q25" s="314"/>
      <c r="R25" s="314">
        <v>0</v>
      </c>
      <c r="S25" s="315">
        <v>0</v>
      </c>
      <c r="T25" s="307"/>
    </row>
    <row r="26" spans="2:20" s="308" customFormat="1" ht="12.75" customHeight="1" x14ac:dyDescent="0.2">
      <c r="B26" s="97" t="s">
        <v>16</v>
      </c>
      <c r="C26" s="309"/>
      <c r="D26" s="91">
        <v>216</v>
      </c>
      <c r="E26" s="310"/>
      <c r="F26" s="91">
        <v>38</v>
      </c>
      <c r="G26" s="311">
        <v>17.592592592599999</v>
      </c>
      <c r="H26" s="310"/>
      <c r="I26" s="91">
        <v>181</v>
      </c>
      <c r="J26" s="311">
        <v>83.7962962963</v>
      </c>
      <c r="K26" s="312"/>
      <c r="L26" s="91">
        <v>125</v>
      </c>
      <c r="M26" s="311">
        <v>57.870370370400003</v>
      </c>
      <c r="N26" s="313"/>
      <c r="O26" s="91">
        <v>3</v>
      </c>
      <c r="P26" s="311">
        <v>1.3888888889</v>
      </c>
      <c r="Q26" s="314"/>
      <c r="R26" s="314">
        <v>0</v>
      </c>
      <c r="S26" s="315">
        <v>0</v>
      </c>
      <c r="T26" s="307"/>
    </row>
    <row r="27" spans="2:20" s="308" customFormat="1" ht="12.75" customHeight="1" x14ac:dyDescent="0.2">
      <c r="B27" s="97" t="s">
        <v>17</v>
      </c>
      <c r="C27" s="309"/>
      <c r="D27" s="91">
        <v>80</v>
      </c>
      <c r="E27" s="310"/>
      <c r="F27" s="91">
        <v>16</v>
      </c>
      <c r="G27" s="311">
        <v>20</v>
      </c>
      <c r="H27" s="310"/>
      <c r="I27" s="91">
        <v>55</v>
      </c>
      <c r="J27" s="311">
        <v>68.75</v>
      </c>
      <c r="K27" s="312"/>
      <c r="L27" s="91">
        <v>55</v>
      </c>
      <c r="M27" s="311">
        <v>68.75</v>
      </c>
      <c r="N27" s="313"/>
      <c r="O27" s="91">
        <v>0</v>
      </c>
      <c r="P27" s="311">
        <v>0</v>
      </c>
      <c r="Q27" s="314"/>
      <c r="R27" s="314">
        <v>0</v>
      </c>
      <c r="S27" s="315">
        <v>0</v>
      </c>
      <c r="T27" s="307"/>
    </row>
    <row r="28" spans="2:20" s="308" customFormat="1" ht="12.75" customHeight="1" x14ac:dyDescent="0.2">
      <c r="B28" s="97" t="s">
        <v>18</v>
      </c>
      <c r="C28" s="309"/>
      <c r="D28" s="91">
        <v>129</v>
      </c>
      <c r="E28" s="310"/>
      <c r="F28" s="91">
        <v>30</v>
      </c>
      <c r="G28" s="311">
        <v>23.255813953499999</v>
      </c>
      <c r="H28" s="310"/>
      <c r="I28" s="91">
        <v>88</v>
      </c>
      <c r="J28" s="311">
        <v>68.217054263600005</v>
      </c>
      <c r="K28" s="312"/>
      <c r="L28" s="91">
        <v>79</v>
      </c>
      <c r="M28" s="311">
        <v>61.240310077499998</v>
      </c>
      <c r="N28" s="313"/>
      <c r="O28" s="91">
        <v>2</v>
      </c>
      <c r="P28" s="311">
        <v>1.5503875969000001</v>
      </c>
      <c r="Q28" s="314"/>
      <c r="R28" s="314">
        <v>0</v>
      </c>
      <c r="S28" s="315">
        <v>0</v>
      </c>
      <c r="T28" s="307"/>
    </row>
    <row r="29" spans="2:20" s="308" customFormat="1" ht="12.75" customHeight="1" x14ac:dyDescent="0.2">
      <c r="B29" s="97" t="s">
        <v>19</v>
      </c>
      <c r="C29" s="309"/>
      <c r="D29" s="91">
        <v>84</v>
      </c>
      <c r="E29" s="310"/>
      <c r="F29" s="91">
        <v>14</v>
      </c>
      <c r="G29" s="311">
        <v>16.666666666699999</v>
      </c>
      <c r="H29" s="310"/>
      <c r="I29" s="91">
        <v>51</v>
      </c>
      <c r="J29" s="311">
        <v>60.714285714299997</v>
      </c>
      <c r="K29" s="312"/>
      <c r="L29" s="91">
        <v>52</v>
      </c>
      <c r="M29" s="311">
        <v>61.904761904799997</v>
      </c>
      <c r="N29" s="313"/>
      <c r="O29" s="91">
        <v>2</v>
      </c>
      <c r="P29" s="311">
        <v>2.3809523810000002</v>
      </c>
      <c r="Q29" s="314"/>
      <c r="R29" s="314">
        <v>0</v>
      </c>
      <c r="S29" s="315">
        <v>0</v>
      </c>
      <c r="T29" s="307"/>
    </row>
    <row r="30" spans="2:20" s="308" customFormat="1" ht="12.75" customHeight="1" x14ac:dyDescent="0.2">
      <c r="B30" s="97" t="s">
        <v>20</v>
      </c>
      <c r="C30" s="309"/>
      <c r="D30" s="91">
        <v>193</v>
      </c>
      <c r="E30" s="310"/>
      <c r="F30" s="91">
        <v>29</v>
      </c>
      <c r="G30" s="311">
        <v>15.0259067358</v>
      </c>
      <c r="H30" s="310"/>
      <c r="I30" s="91">
        <v>111</v>
      </c>
      <c r="J30" s="311">
        <v>57.512953367900003</v>
      </c>
      <c r="K30" s="312"/>
      <c r="L30" s="91">
        <v>120</v>
      </c>
      <c r="M30" s="311">
        <v>62.176165803099998</v>
      </c>
      <c r="N30" s="313"/>
      <c r="O30" s="91">
        <v>8</v>
      </c>
      <c r="P30" s="311">
        <v>4.1450777201999998</v>
      </c>
      <c r="Q30" s="314"/>
      <c r="R30" s="314">
        <v>0</v>
      </c>
      <c r="S30" s="315">
        <v>0</v>
      </c>
      <c r="T30" s="307"/>
    </row>
    <row r="31" spans="2:20" s="308" customFormat="1" ht="12.75" customHeight="1" x14ac:dyDescent="0.2">
      <c r="B31" s="97" t="s">
        <v>21</v>
      </c>
      <c r="C31" s="309"/>
      <c r="D31" s="91">
        <v>232</v>
      </c>
      <c r="E31" s="310"/>
      <c r="F31" s="91">
        <v>45</v>
      </c>
      <c r="G31" s="311">
        <v>19.3965517241</v>
      </c>
      <c r="H31" s="310"/>
      <c r="I31" s="91">
        <v>172</v>
      </c>
      <c r="J31" s="311">
        <v>74.137931034499999</v>
      </c>
      <c r="K31" s="312"/>
      <c r="L31" s="91">
        <v>132</v>
      </c>
      <c r="M31" s="311">
        <v>56.8965517241</v>
      </c>
      <c r="N31" s="313"/>
      <c r="O31" s="91">
        <v>0</v>
      </c>
      <c r="P31" s="311">
        <v>0</v>
      </c>
      <c r="Q31" s="314"/>
      <c r="R31" s="314">
        <v>0</v>
      </c>
      <c r="S31" s="315">
        <v>0</v>
      </c>
      <c r="T31" s="307"/>
    </row>
    <row r="32" spans="2:20" s="308" customFormat="1" ht="12.75" customHeight="1" x14ac:dyDescent="0.2">
      <c r="B32" s="97" t="s">
        <v>22</v>
      </c>
      <c r="C32" s="309"/>
      <c r="D32" s="91">
        <v>117</v>
      </c>
      <c r="E32" s="310"/>
      <c r="F32" s="91">
        <v>19</v>
      </c>
      <c r="G32" s="311">
        <v>16.239316239299999</v>
      </c>
      <c r="H32" s="310"/>
      <c r="I32" s="91">
        <v>49</v>
      </c>
      <c r="J32" s="311">
        <v>41.880341880300001</v>
      </c>
      <c r="K32" s="312"/>
      <c r="L32" s="91">
        <v>91</v>
      </c>
      <c r="M32" s="311">
        <v>77.777777777799997</v>
      </c>
      <c r="N32" s="313"/>
      <c r="O32" s="91">
        <v>0</v>
      </c>
      <c r="P32" s="311">
        <v>0</v>
      </c>
      <c r="Q32" s="314"/>
      <c r="R32" s="314">
        <v>0</v>
      </c>
      <c r="S32" s="315">
        <v>0</v>
      </c>
      <c r="T32" s="307"/>
    </row>
    <row r="33" spans="2:20" s="308" customFormat="1" ht="12.75" customHeight="1" x14ac:dyDescent="0.2">
      <c r="B33" s="97" t="s">
        <v>23</v>
      </c>
      <c r="C33" s="309"/>
      <c r="D33" s="91">
        <v>76</v>
      </c>
      <c r="E33" s="310"/>
      <c r="F33" s="91">
        <v>13</v>
      </c>
      <c r="G33" s="311">
        <v>17.105263157900001</v>
      </c>
      <c r="H33" s="310"/>
      <c r="I33" s="91">
        <v>45</v>
      </c>
      <c r="J33" s="311">
        <v>59.210526315800003</v>
      </c>
      <c r="K33" s="312"/>
      <c r="L33" s="91">
        <v>49</v>
      </c>
      <c r="M33" s="311">
        <v>64.473684210499997</v>
      </c>
      <c r="N33" s="313"/>
      <c r="O33" s="91">
        <v>0</v>
      </c>
      <c r="P33" s="311">
        <v>0</v>
      </c>
      <c r="Q33" s="314"/>
      <c r="R33" s="314">
        <v>0</v>
      </c>
      <c r="S33" s="315">
        <v>0</v>
      </c>
      <c r="T33" s="307"/>
    </row>
    <row r="34" spans="2:20" s="308" customFormat="1" ht="12.75" customHeight="1" x14ac:dyDescent="0.2">
      <c r="B34" s="97" t="s">
        <v>24</v>
      </c>
      <c r="C34" s="309"/>
      <c r="D34" s="91">
        <v>179</v>
      </c>
      <c r="E34" s="310"/>
      <c r="F34" s="91">
        <v>37</v>
      </c>
      <c r="G34" s="311">
        <v>20.670391061499998</v>
      </c>
      <c r="H34" s="310"/>
      <c r="I34" s="91">
        <v>125</v>
      </c>
      <c r="J34" s="311">
        <v>69.832402234599996</v>
      </c>
      <c r="K34" s="312"/>
      <c r="L34" s="91">
        <v>93</v>
      </c>
      <c r="M34" s="311">
        <v>51.955307262600002</v>
      </c>
      <c r="N34" s="313"/>
      <c r="O34" s="91">
        <v>4</v>
      </c>
      <c r="P34" s="311">
        <v>2.2346368714999998</v>
      </c>
      <c r="Q34" s="314"/>
      <c r="R34" s="314">
        <v>0</v>
      </c>
      <c r="S34" s="315">
        <v>0</v>
      </c>
      <c r="T34" s="307"/>
    </row>
    <row r="35" spans="2:20" s="308" customFormat="1" ht="12.75" customHeight="1" x14ac:dyDescent="0.2">
      <c r="B35" s="97" t="s">
        <v>25</v>
      </c>
      <c r="C35" s="309"/>
      <c r="D35" s="91">
        <v>182</v>
      </c>
      <c r="E35" s="310"/>
      <c r="F35" s="91">
        <v>31</v>
      </c>
      <c r="G35" s="311">
        <v>17.032967032999998</v>
      </c>
      <c r="H35" s="310"/>
      <c r="I35" s="91">
        <v>136</v>
      </c>
      <c r="J35" s="311">
        <v>74.725274725299997</v>
      </c>
      <c r="K35" s="312"/>
      <c r="L35" s="91">
        <v>92</v>
      </c>
      <c r="M35" s="311">
        <v>50.549450549500001</v>
      </c>
      <c r="N35" s="313"/>
      <c r="O35" s="91">
        <v>5</v>
      </c>
      <c r="P35" s="311">
        <v>2.7472527473000001</v>
      </c>
      <c r="Q35" s="314"/>
      <c r="R35" s="314">
        <v>0</v>
      </c>
      <c r="S35" s="315">
        <v>0</v>
      </c>
      <c r="T35" s="307"/>
    </row>
    <row r="36" spans="2:20" s="308" customFormat="1" ht="12.75" customHeight="1" x14ac:dyDescent="0.2">
      <c r="B36" s="97" t="s">
        <v>26</v>
      </c>
      <c r="C36" s="309"/>
      <c r="D36" s="91">
        <v>118</v>
      </c>
      <c r="E36" s="310"/>
      <c r="F36" s="91">
        <v>36</v>
      </c>
      <c r="G36" s="311">
        <v>30.508474576299999</v>
      </c>
      <c r="H36" s="310"/>
      <c r="I36" s="91">
        <v>87</v>
      </c>
      <c r="J36" s="311">
        <v>73.728813559299994</v>
      </c>
      <c r="K36" s="312"/>
      <c r="L36" s="91">
        <v>78</v>
      </c>
      <c r="M36" s="311">
        <v>66.101694915300001</v>
      </c>
      <c r="N36" s="313"/>
      <c r="O36" s="91">
        <v>3</v>
      </c>
      <c r="P36" s="311">
        <v>2.5423728814</v>
      </c>
      <c r="Q36" s="314"/>
      <c r="R36" s="314">
        <v>0</v>
      </c>
      <c r="S36" s="315">
        <v>0</v>
      </c>
      <c r="T36" s="307"/>
    </row>
    <row r="37" spans="2:20" s="308" customFormat="1" ht="12.75" customHeight="1" x14ac:dyDescent="0.2">
      <c r="B37" s="97" t="s">
        <v>27</v>
      </c>
      <c r="C37" s="309"/>
      <c r="D37" s="91">
        <v>132</v>
      </c>
      <c r="E37" s="310"/>
      <c r="F37" s="91">
        <v>19</v>
      </c>
      <c r="G37" s="311">
        <v>14.3939393939</v>
      </c>
      <c r="H37" s="310"/>
      <c r="I37" s="91">
        <v>95</v>
      </c>
      <c r="J37" s="311">
        <v>71.969696969699996</v>
      </c>
      <c r="K37" s="312"/>
      <c r="L37" s="91">
        <v>83</v>
      </c>
      <c r="M37" s="311">
        <v>62.878787878799997</v>
      </c>
      <c r="N37" s="313"/>
      <c r="O37" s="91">
        <v>1</v>
      </c>
      <c r="P37" s="311">
        <v>0.75757575759999995</v>
      </c>
      <c r="Q37" s="314"/>
      <c r="R37" s="314">
        <v>0</v>
      </c>
      <c r="S37" s="315">
        <v>0</v>
      </c>
      <c r="T37" s="307"/>
    </row>
    <row r="38" spans="2:20" s="308" customFormat="1" ht="12.75" customHeight="1" x14ac:dyDescent="0.2">
      <c r="B38" s="97" t="s">
        <v>28</v>
      </c>
      <c r="C38" s="309"/>
      <c r="D38" s="91">
        <v>246</v>
      </c>
      <c r="E38" s="310"/>
      <c r="F38" s="91">
        <v>50</v>
      </c>
      <c r="G38" s="311">
        <v>20.325203252000001</v>
      </c>
      <c r="H38" s="310"/>
      <c r="I38" s="91">
        <v>166</v>
      </c>
      <c r="J38" s="311">
        <v>67.479674796699996</v>
      </c>
      <c r="K38" s="312"/>
      <c r="L38" s="91">
        <v>153</v>
      </c>
      <c r="M38" s="311">
        <v>62.195121951200001</v>
      </c>
      <c r="N38" s="313"/>
      <c r="O38" s="91">
        <v>3</v>
      </c>
      <c r="P38" s="311">
        <v>1.2195121951000001</v>
      </c>
      <c r="Q38" s="314"/>
      <c r="R38" s="314">
        <v>0</v>
      </c>
      <c r="S38" s="315">
        <v>0</v>
      </c>
      <c r="T38" s="307"/>
    </row>
    <row r="39" spans="2:20" s="308" customFormat="1" ht="12.75" customHeight="1" x14ac:dyDescent="0.2">
      <c r="B39" s="97" t="s">
        <v>29</v>
      </c>
      <c r="C39" s="309"/>
      <c r="D39" s="91">
        <v>133</v>
      </c>
      <c r="E39" s="310"/>
      <c r="F39" s="91">
        <v>47</v>
      </c>
      <c r="G39" s="311">
        <v>35.338345864700003</v>
      </c>
      <c r="H39" s="310"/>
      <c r="I39" s="91">
        <v>64</v>
      </c>
      <c r="J39" s="311">
        <v>48.120300751899997</v>
      </c>
      <c r="K39" s="312"/>
      <c r="L39" s="91">
        <v>90</v>
      </c>
      <c r="M39" s="311">
        <v>67.6691729323</v>
      </c>
      <c r="N39" s="313"/>
      <c r="O39" s="91">
        <v>0</v>
      </c>
      <c r="P39" s="311">
        <v>0</v>
      </c>
      <c r="Q39" s="314"/>
      <c r="R39" s="314">
        <v>1</v>
      </c>
      <c r="S39" s="315">
        <v>0.75187969919999997</v>
      </c>
      <c r="T39" s="307"/>
    </row>
    <row r="40" spans="2:20" s="308" customFormat="1" ht="12.75" customHeight="1" x14ac:dyDescent="0.2">
      <c r="B40" s="97" t="s">
        <v>30</v>
      </c>
      <c r="C40" s="309"/>
      <c r="D40" s="91">
        <v>168</v>
      </c>
      <c r="E40" s="310"/>
      <c r="F40" s="91">
        <v>39</v>
      </c>
      <c r="G40" s="311">
        <v>23.214285714300001</v>
      </c>
      <c r="H40" s="310"/>
      <c r="I40" s="91">
        <v>129</v>
      </c>
      <c r="J40" s="311">
        <v>76.785714285699996</v>
      </c>
      <c r="K40" s="312"/>
      <c r="L40" s="91">
        <v>91</v>
      </c>
      <c r="M40" s="311">
        <v>54.166666666700003</v>
      </c>
      <c r="N40" s="313"/>
      <c r="O40" s="91">
        <v>2</v>
      </c>
      <c r="P40" s="311">
        <v>1.1904761905000001</v>
      </c>
      <c r="Q40" s="314"/>
      <c r="R40" s="314">
        <v>0</v>
      </c>
      <c r="S40" s="315">
        <v>0</v>
      </c>
      <c r="T40" s="307"/>
    </row>
    <row r="41" spans="2:20" s="308" customFormat="1" ht="12.75" customHeight="1" x14ac:dyDescent="0.2">
      <c r="B41" s="97" t="s">
        <v>31</v>
      </c>
      <c r="C41" s="309"/>
      <c r="D41" s="91">
        <v>59</v>
      </c>
      <c r="E41" s="310"/>
      <c r="F41" s="91">
        <v>20</v>
      </c>
      <c r="G41" s="311">
        <v>33.898305084699999</v>
      </c>
      <c r="H41" s="310"/>
      <c r="I41" s="91">
        <v>28</v>
      </c>
      <c r="J41" s="311">
        <v>47.457627118600001</v>
      </c>
      <c r="K41" s="312"/>
      <c r="L41" s="91">
        <v>45</v>
      </c>
      <c r="M41" s="311">
        <v>76.271186440700006</v>
      </c>
      <c r="N41" s="313"/>
      <c r="O41" s="91">
        <v>1</v>
      </c>
      <c r="P41" s="311">
        <v>1.6949152542000001</v>
      </c>
      <c r="Q41" s="314"/>
      <c r="R41" s="314">
        <v>0</v>
      </c>
      <c r="S41" s="315">
        <v>0</v>
      </c>
      <c r="T41" s="307"/>
    </row>
    <row r="42" spans="2:20" s="308" customFormat="1" ht="12.75" customHeight="1" x14ac:dyDescent="0.2">
      <c r="B42" s="97" t="s">
        <v>32</v>
      </c>
      <c r="C42" s="309"/>
      <c r="D42" s="91">
        <v>96</v>
      </c>
      <c r="E42" s="310"/>
      <c r="F42" s="91">
        <v>31</v>
      </c>
      <c r="G42" s="311">
        <v>32.291666666700003</v>
      </c>
      <c r="H42" s="310"/>
      <c r="I42" s="91">
        <v>65</v>
      </c>
      <c r="J42" s="311">
        <v>67.708333333300004</v>
      </c>
      <c r="K42" s="312"/>
      <c r="L42" s="91">
        <v>62</v>
      </c>
      <c r="M42" s="311">
        <v>64.583333333300004</v>
      </c>
      <c r="N42" s="313"/>
      <c r="O42" s="91">
        <v>0</v>
      </c>
      <c r="P42" s="311">
        <v>0</v>
      </c>
      <c r="Q42" s="314"/>
      <c r="R42" s="314">
        <v>0</v>
      </c>
      <c r="S42" s="315">
        <v>0</v>
      </c>
      <c r="T42" s="307"/>
    </row>
    <row r="43" spans="2:20" s="308" customFormat="1" ht="12.75" customHeight="1" x14ac:dyDescent="0.2">
      <c r="B43" s="97" t="s">
        <v>33</v>
      </c>
      <c r="C43" s="309"/>
      <c r="D43" s="91">
        <v>222</v>
      </c>
      <c r="E43" s="310"/>
      <c r="F43" s="91">
        <v>69</v>
      </c>
      <c r="G43" s="311">
        <v>31.081081081099999</v>
      </c>
      <c r="H43" s="310"/>
      <c r="I43" s="91">
        <v>123</v>
      </c>
      <c r="J43" s="311">
        <v>55.405405405400003</v>
      </c>
      <c r="K43" s="312"/>
      <c r="L43" s="91">
        <v>159</v>
      </c>
      <c r="M43" s="311">
        <v>71.621621621599999</v>
      </c>
      <c r="N43" s="313"/>
      <c r="O43" s="91">
        <v>1</v>
      </c>
      <c r="P43" s="311">
        <v>0.45045045049999999</v>
      </c>
      <c r="Q43" s="314"/>
      <c r="R43" s="314">
        <v>1</v>
      </c>
      <c r="S43" s="315">
        <v>0.45045045049999999</v>
      </c>
      <c r="T43" s="307"/>
    </row>
    <row r="44" spans="2:20" s="308" customFormat="1" ht="12.75" customHeight="1" x14ac:dyDescent="0.2">
      <c r="B44" s="97" t="s">
        <v>34</v>
      </c>
      <c r="C44" s="309"/>
      <c r="D44" s="91">
        <v>150</v>
      </c>
      <c r="E44" s="310"/>
      <c r="F44" s="91">
        <v>39</v>
      </c>
      <c r="G44" s="311">
        <v>26</v>
      </c>
      <c r="H44" s="310"/>
      <c r="I44" s="91">
        <v>86</v>
      </c>
      <c r="J44" s="311">
        <v>57.333333333299997</v>
      </c>
      <c r="K44" s="312"/>
      <c r="L44" s="91">
        <v>95</v>
      </c>
      <c r="M44" s="311">
        <v>63.333333333299997</v>
      </c>
      <c r="N44" s="313"/>
      <c r="O44" s="91">
        <v>3</v>
      </c>
      <c r="P44" s="311">
        <v>2</v>
      </c>
      <c r="Q44" s="314"/>
      <c r="R44" s="314">
        <v>1</v>
      </c>
      <c r="S44" s="315">
        <v>0.66666666669999997</v>
      </c>
      <c r="T44" s="307"/>
    </row>
    <row r="45" spans="2:20" ht="6" customHeight="1" x14ac:dyDescent="0.25">
      <c r="B45" s="316"/>
      <c r="C45" s="317"/>
      <c r="D45" s="264"/>
      <c r="E45" s="318"/>
      <c r="F45" s="264"/>
      <c r="G45" s="319"/>
      <c r="H45" s="319"/>
      <c r="I45" s="264"/>
      <c r="J45" s="319"/>
      <c r="K45" s="320"/>
      <c r="L45" s="264"/>
      <c r="M45" s="319"/>
      <c r="N45" s="321"/>
      <c r="O45" s="264"/>
      <c r="P45" s="319"/>
      <c r="Q45" s="264"/>
      <c r="R45" s="264"/>
      <c r="S45" s="264"/>
      <c r="T45" s="300"/>
    </row>
    <row r="46" spans="2:20" ht="6" customHeight="1" x14ac:dyDescent="0.25">
      <c r="B46" s="228"/>
      <c r="C46" s="286"/>
      <c r="D46" s="162"/>
      <c r="E46" s="322"/>
      <c r="F46" s="162"/>
      <c r="G46" s="323"/>
      <c r="H46" s="323"/>
      <c r="I46" s="162"/>
      <c r="J46" s="323"/>
      <c r="K46" s="324"/>
      <c r="L46" s="162"/>
      <c r="M46" s="323"/>
      <c r="N46" s="325"/>
      <c r="O46" s="162"/>
      <c r="P46" s="323"/>
      <c r="Q46" s="326"/>
      <c r="R46" s="288"/>
      <c r="S46" s="288"/>
    </row>
    <row r="47" spans="2:20" ht="12.75" customHeight="1" x14ac:dyDescent="0.25">
      <c r="B47" s="273" t="s">
        <v>93</v>
      </c>
      <c r="C47" s="286"/>
      <c r="D47" s="162"/>
      <c r="E47" s="322"/>
      <c r="F47" s="162"/>
      <c r="G47" s="323"/>
      <c r="H47" s="323"/>
      <c r="I47" s="162"/>
      <c r="J47" s="323"/>
      <c r="K47" s="324"/>
      <c r="L47" s="162"/>
      <c r="M47" s="323"/>
      <c r="N47" s="325"/>
      <c r="O47" s="162"/>
      <c r="P47" s="323"/>
      <c r="Q47" s="326"/>
      <c r="R47" s="288"/>
      <c r="S47" s="288"/>
    </row>
    <row r="48" spans="2:20" ht="12.75" customHeight="1" x14ac:dyDescent="0.25">
      <c r="B48" s="327" t="s">
        <v>74</v>
      </c>
      <c r="C48" s="286"/>
      <c r="D48" s="162"/>
      <c r="E48" s="322"/>
      <c r="F48" s="162"/>
      <c r="G48" s="323"/>
      <c r="H48" s="323"/>
      <c r="I48" s="162"/>
      <c r="J48" s="323"/>
      <c r="K48" s="324"/>
      <c r="L48" s="162"/>
      <c r="M48" s="323"/>
      <c r="N48" s="325"/>
      <c r="O48" s="162"/>
      <c r="P48" s="323"/>
      <c r="Q48" s="326"/>
      <c r="R48" s="288"/>
      <c r="S48" s="288"/>
    </row>
    <row r="49" spans="2:19" ht="12" customHeight="1" x14ac:dyDescent="0.25">
      <c r="B49" s="4" t="s">
        <v>77</v>
      </c>
      <c r="C49" s="286"/>
      <c r="D49" s="162"/>
      <c r="E49" s="322"/>
      <c r="F49" s="162"/>
      <c r="G49" s="323"/>
      <c r="H49" s="323"/>
      <c r="I49" s="162"/>
      <c r="J49" s="323"/>
      <c r="K49" s="324"/>
      <c r="L49" s="162"/>
      <c r="M49" s="323"/>
      <c r="N49" s="325"/>
      <c r="O49" s="162"/>
      <c r="P49" s="323"/>
      <c r="Q49" s="326"/>
      <c r="R49" s="288"/>
      <c r="S49" s="288"/>
    </row>
    <row r="50" spans="2:19" ht="12" customHeight="1" x14ac:dyDescent="0.25">
      <c r="B50" s="4" t="s">
        <v>78</v>
      </c>
      <c r="C50" s="286"/>
      <c r="D50" s="162"/>
      <c r="E50" s="322"/>
      <c r="F50" s="162"/>
      <c r="G50" s="323"/>
      <c r="H50" s="323"/>
      <c r="I50" s="162"/>
      <c r="J50" s="323"/>
      <c r="K50" s="324"/>
      <c r="L50" s="162"/>
      <c r="M50" s="323"/>
      <c r="N50" s="325"/>
      <c r="O50" s="162"/>
      <c r="P50" s="323"/>
      <c r="Q50" s="326"/>
      <c r="R50" s="288"/>
      <c r="S50" s="288"/>
    </row>
    <row r="51" spans="2:19" ht="12" customHeight="1" x14ac:dyDescent="0.25">
      <c r="B51" s="4" t="s">
        <v>79</v>
      </c>
      <c r="C51" s="286"/>
      <c r="D51" s="162"/>
      <c r="E51" s="322"/>
      <c r="F51" s="162"/>
      <c r="G51" s="323"/>
      <c r="H51" s="323"/>
      <c r="I51" s="162"/>
      <c r="J51" s="323"/>
      <c r="K51" s="324"/>
      <c r="L51" s="162"/>
      <c r="M51" s="323"/>
      <c r="N51" s="325"/>
      <c r="O51" s="162"/>
      <c r="P51" s="323"/>
      <c r="Q51" s="326"/>
      <c r="R51" s="288"/>
      <c r="S51" s="288"/>
    </row>
    <row r="52" spans="2:19" s="13" customFormat="1" ht="14.25" x14ac:dyDescent="0.2">
      <c r="B52" s="113" t="s">
        <v>57</v>
      </c>
    </row>
  </sheetData>
  <mergeCells count="9">
    <mergeCell ref="B5:N5"/>
    <mergeCell ref="B7:C9"/>
    <mergeCell ref="D7:D9"/>
    <mergeCell ref="F7:S7"/>
    <mergeCell ref="F8:G8"/>
    <mergeCell ref="I8:J8"/>
    <mergeCell ref="L8:M8"/>
    <mergeCell ref="O8:P8"/>
    <mergeCell ref="R8:S8"/>
  </mergeCells>
  <hyperlinks>
    <hyperlink ref="S1" location="Índice!A1" tooltip="Ir a ÍNDICE" display="INDICE" xr:uid="{21B04A1B-11B8-408F-AA89-A3073BCAA343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B906C-DAAD-40C7-9364-534E57A27CA4}">
  <dimension ref="A1:S49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341" customWidth="1"/>
    <col min="2" max="2" width="24.28515625" style="341" customWidth="1"/>
    <col min="3" max="3" width="0.85546875" style="366" customWidth="1"/>
    <col min="4" max="4" width="18.7109375" style="372" customWidth="1"/>
    <col min="5" max="5" width="1.7109375" style="372" customWidth="1"/>
    <col min="6" max="6" width="12.7109375" style="372" customWidth="1"/>
    <col min="7" max="7" width="12.7109375" style="373" customWidth="1"/>
    <col min="8" max="8" width="1.7109375" style="372" customWidth="1"/>
    <col min="9" max="9" width="12.7109375" style="372" customWidth="1"/>
    <col min="10" max="10" width="12.7109375" style="373" customWidth="1"/>
    <col min="11" max="11" width="1.7109375" style="372" customWidth="1"/>
    <col min="12" max="12" width="12.7109375" style="372" customWidth="1"/>
    <col min="13" max="13" width="12.7109375" style="373" customWidth="1"/>
    <col min="14" max="14" width="1.7109375" style="372" customWidth="1"/>
    <col min="15" max="15" width="12.7109375" style="341" customWidth="1"/>
    <col min="16" max="16" width="12.7109375" style="374" customWidth="1"/>
    <col min="17" max="16384" width="11.42578125" style="341"/>
  </cols>
  <sheetData>
    <row r="1" spans="1:19" s="333" customFormat="1" ht="12" customHeight="1" x14ac:dyDescent="0.2">
      <c r="A1" s="616"/>
      <c r="B1" s="616" t="s">
        <v>202</v>
      </c>
      <c r="D1" s="334"/>
      <c r="E1" s="334"/>
      <c r="F1" s="334"/>
      <c r="G1" s="334"/>
      <c r="H1" s="334"/>
      <c r="I1" s="334"/>
      <c r="K1" s="334"/>
      <c r="L1" s="334"/>
      <c r="M1" s="334"/>
      <c r="N1" s="334"/>
      <c r="P1" s="72" t="s">
        <v>151</v>
      </c>
    </row>
    <row r="2" spans="1:19" s="333" customFormat="1" ht="6.95" customHeight="1" x14ac:dyDescent="0.2">
      <c r="B2" s="616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</row>
    <row r="3" spans="1:19" s="333" customFormat="1" ht="15" customHeight="1" x14ac:dyDescent="0.2">
      <c r="B3" s="616" t="s">
        <v>199</v>
      </c>
      <c r="C3" s="332"/>
      <c r="D3" s="332"/>
      <c r="E3" s="332"/>
      <c r="F3" s="332"/>
      <c r="G3" s="332"/>
      <c r="H3" s="332"/>
      <c r="I3" s="332"/>
      <c r="J3" s="332"/>
      <c r="K3" s="332"/>
      <c r="L3" s="332"/>
      <c r="M3" s="332"/>
      <c r="N3" s="332"/>
      <c r="O3" s="332"/>
      <c r="P3" s="332"/>
      <c r="Q3" s="332"/>
      <c r="R3" s="332"/>
      <c r="S3" s="332"/>
    </row>
    <row r="4" spans="1:19" s="333" customFormat="1" ht="6.95" customHeight="1" x14ac:dyDescent="0.2">
      <c r="C4" s="335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4"/>
    </row>
    <row r="5" spans="1:19" s="333" customFormat="1" ht="25.5" customHeight="1" x14ac:dyDescent="0.2">
      <c r="B5" s="673" t="s">
        <v>154</v>
      </c>
      <c r="C5" s="673"/>
      <c r="D5" s="673"/>
      <c r="E5" s="673"/>
      <c r="F5" s="673"/>
      <c r="G5" s="673"/>
      <c r="H5" s="673"/>
      <c r="I5" s="673"/>
      <c r="J5" s="673"/>
      <c r="K5" s="673"/>
      <c r="L5" s="673"/>
      <c r="M5" s="673"/>
      <c r="N5" s="673"/>
      <c r="O5" s="336"/>
      <c r="P5" s="71" t="s">
        <v>113</v>
      </c>
    </row>
    <row r="6" spans="1:19" ht="6" customHeight="1" x14ac:dyDescent="0.25">
      <c r="B6" s="337"/>
      <c r="C6" s="338"/>
      <c r="D6" s="339"/>
      <c r="E6" s="339"/>
      <c r="F6" s="339"/>
      <c r="G6" s="339"/>
      <c r="H6" s="339"/>
      <c r="I6" s="339"/>
      <c r="J6" s="339"/>
      <c r="K6" s="339"/>
      <c r="L6" s="339"/>
      <c r="M6" s="339"/>
      <c r="N6" s="339"/>
      <c r="O6" s="340"/>
      <c r="P6" s="340"/>
    </row>
    <row r="7" spans="1:19" ht="15" customHeight="1" x14ac:dyDescent="0.25">
      <c r="B7" s="658" t="s">
        <v>76</v>
      </c>
      <c r="C7" s="658"/>
      <c r="D7" s="674" t="s">
        <v>108</v>
      </c>
      <c r="E7" s="342"/>
      <c r="F7" s="677" t="s">
        <v>40</v>
      </c>
      <c r="G7" s="677"/>
      <c r="H7" s="677"/>
      <c r="I7" s="677"/>
      <c r="J7" s="677"/>
      <c r="K7" s="677"/>
      <c r="L7" s="677"/>
      <c r="M7" s="677"/>
      <c r="N7" s="677"/>
      <c r="O7" s="677"/>
      <c r="P7" s="677"/>
    </row>
    <row r="8" spans="1:19" ht="24.75" customHeight="1" x14ac:dyDescent="0.25">
      <c r="B8" s="659"/>
      <c r="C8" s="659"/>
      <c r="D8" s="675"/>
      <c r="E8" s="343"/>
      <c r="F8" s="678" t="s">
        <v>41</v>
      </c>
      <c r="G8" s="678"/>
      <c r="H8" s="344"/>
      <c r="I8" s="678" t="s">
        <v>42</v>
      </c>
      <c r="J8" s="678"/>
      <c r="K8" s="344"/>
      <c r="L8" s="678" t="s">
        <v>128</v>
      </c>
      <c r="M8" s="678"/>
      <c r="N8" s="345"/>
      <c r="O8" s="678" t="s">
        <v>43</v>
      </c>
      <c r="P8" s="678"/>
    </row>
    <row r="9" spans="1:19" x14ac:dyDescent="0.25">
      <c r="B9" s="660"/>
      <c r="C9" s="660"/>
      <c r="D9" s="676"/>
      <c r="E9" s="346"/>
      <c r="F9" s="347" t="s">
        <v>0</v>
      </c>
      <c r="G9" s="347" t="s">
        <v>1</v>
      </c>
      <c r="H9" s="347"/>
      <c r="I9" s="347" t="s">
        <v>0</v>
      </c>
      <c r="J9" s="347" t="s">
        <v>1</v>
      </c>
      <c r="K9" s="348"/>
      <c r="L9" s="347" t="s">
        <v>0</v>
      </c>
      <c r="M9" s="347" t="s">
        <v>1</v>
      </c>
      <c r="N9" s="348"/>
      <c r="O9" s="347" t="s">
        <v>0</v>
      </c>
      <c r="P9" s="347" t="s">
        <v>1</v>
      </c>
    </row>
    <row r="10" spans="1:19" ht="6" customHeight="1" x14ac:dyDescent="0.25">
      <c r="B10" s="10"/>
      <c r="C10" s="349"/>
      <c r="D10" s="350"/>
      <c r="E10" s="350"/>
      <c r="F10" s="351"/>
      <c r="G10" s="351"/>
      <c r="H10" s="351"/>
      <c r="I10" s="351"/>
      <c r="J10" s="351"/>
      <c r="K10" s="351"/>
      <c r="L10" s="351"/>
      <c r="M10" s="351"/>
      <c r="N10" s="352"/>
      <c r="O10" s="352"/>
      <c r="P10" s="352"/>
    </row>
    <row r="11" spans="1:19" s="353" customFormat="1" ht="11.25" x14ac:dyDescent="0.2">
      <c r="B11" s="98" t="s">
        <v>2</v>
      </c>
      <c r="D11" s="89">
        <v>4626</v>
      </c>
      <c r="E11" s="89"/>
      <c r="F11" s="89">
        <v>1965</v>
      </c>
      <c r="G11" s="302">
        <v>42.477302204899999</v>
      </c>
      <c r="H11" s="89"/>
      <c r="I11" s="89">
        <v>825</v>
      </c>
      <c r="J11" s="302">
        <v>17.8339818418</v>
      </c>
      <c r="K11" s="89"/>
      <c r="L11" s="89">
        <v>1283</v>
      </c>
      <c r="M11" s="302">
        <v>27.734543882400001</v>
      </c>
      <c r="N11" s="89"/>
      <c r="O11" s="89">
        <v>553</v>
      </c>
      <c r="P11" s="302">
        <v>11.9541720709</v>
      </c>
    </row>
    <row r="12" spans="1:19" s="354" customFormat="1" ht="6" customHeight="1" x14ac:dyDescent="0.2">
      <c r="B12" s="98"/>
      <c r="D12" s="91"/>
      <c r="E12" s="91"/>
      <c r="F12" s="91"/>
      <c r="G12" s="306"/>
      <c r="H12" s="91"/>
      <c r="I12" s="91"/>
      <c r="J12" s="306"/>
      <c r="K12" s="91"/>
      <c r="L12" s="91"/>
      <c r="M12" s="306"/>
      <c r="N12" s="91"/>
      <c r="O12" s="91"/>
      <c r="P12" s="306"/>
    </row>
    <row r="13" spans="1:19" s="354" customFormat="1" ht="12.75" customHeight="1" x14ac:dyDescent="0.2">
      <c r="B13" s="97" t="s">
        <v>3</v>
      </c>
      <c r="C13" s="355"/>
      <c r="D13" s="91">
        <v>213</v>
      </c>
      <c r="E13" s="91"/>
      <c r="F13" s="91">
        <v>123</v>
      </c>
      <c r="G13" s="306">
        <v>57.746478873199997</v>
      </c>
      <c r="H13" s="91"/>
      <c r="I13" s="91">
        <v>38</v>
      </c>
      <c r="J13" s="306">
        <v>17.840375586899999</v>
      </c>
      <c r="K13" s="91"/>
      <c r="L13" s="91">
        <v>33</v>
      </c>
      <c r="M13" s="306">
        <v>15.4929577465</v>
      </c>
      <c r="N13" s="91"/>
      <c r="O13" s="91">
        <v>19</v>
      </c>
      <c r="P13" s="306">
        <v>8.9201877934000002</v>
      </c>
    </row>
    <row r="14" spans="1:19" s="354" customFormat="1" ht="12.75" customHeight="1" x14ac:dyDescent="0.2">
      <c r="B14" s="97" t="s">
        <v>4</v>
      </c>
      <c r="C14" s="355"/>
      <c r="D14" s="91">
        <v>166</v>
      </c>
      <c r="E14" s="91"/>
      <c r="F14" s="91">
        <v>79</v>
      </c>
      <c r="G14" s="306">
        <v>47.590361445799999</v>
      </c>
      <c r="H14" s="91"/>
      <c r="I14" s="91">
        <v>26</v>
      </c>
      <c r="J14" s="306">
        <v>15.662650602399999</v>
      </c>
      <c r="K14" s="91"/>
      <c r="L14" s="91">
        <v>39</v>
      </c>
      <c r="M14" s="306">
        <v>23.493975903599999</v>
      </c>
      <c r="N14" s="91"/>
      <c r="O14" s="91">
        <v>22</v>
      </c>
      <c r="P14" s="306">
        <v>13.2530120482</v>
      </c>
    </row>
    <row r="15" spans="1:19" s="354" customFormat="1" ht="12.75" customHeight="1" x14ac:dyDescent="0.2">
      <c r="B15" s="97" t="s">
        <v>5</v>
      </c>
      <c r="C15" s="355"/>
      <c r="D15" s="91">
        <v>157</v>
      </c>
      <c r="E15" s="91"/>
      <c r="F15" s="91">
        <v>68</v>
      </c>
      <c r="G15" s="306">
        <v>43.312101910800003</v>
      </c>
      <c r="H15" s="91"/>
      <c r="I15" s="91">
        <v>37</v>
      </c>
      <c r="J15" s="306">
        <v>23.5668789809</v>
      </c>
      <c r="K15" s="91"/>
      <c r="L15" s="91">
        <v>36</v>
      </c>
      <c r="M15" s="306">
        <v>22.9299363057</v>
      </c>
      <c r="N15" s="91"/>
      <c r="O15" s="91">
        <v>16</v>
      </c>
      <c r="P15" s="306">
        <v>10.1910828025</v>
      </c>
    </row>
    <row r="16" spans="1:19" s="354" customFormat="1" ht="12.75" customHeight="1" x14ac:dyDescent="0.2">
      <c r="B16" s="97" t="s">
        <v>6</v>
      </c>
      <c r="C16" s="355"/>
      <c r="D16" s="91">
        <v>139</v>
      </c>
      <c r="E16" s="356"/>
      <c r="F16" s="91">
        <v>35</v>
      </c>
      <c r="G16" s="357">
        <v>25.179856115100002</v>
      </c>
      <c r="H16" s="356"/>
      <c r="I16" s="91">
        <v>26</v>
      </c>
      <c r="J16" s="357">
        <v>18.705035971200001</v>
      </c>
      <c r="K16" s="358"/>
      <c r="L16" s="91">
        <v>52</v>
      </c>
      <c r="M16" s="357">
        <v>37.410071942400002</v>
      </c>
      <c r="N16" s="359"/>
      <c r="O16" s="91">
        <v>26</v>
      </c>
      <c r="P16" s="357">
        <v>18.705035971200001</v>
      </c>
    </row>
    <row r="17" spans="2:16" s="354" customFormat="1" ht="12.75" customHeight="1" x14ac:dyDescent="0.2">
      <c r="B17" s="97" t="s">
        <v>7</v>
      </c>
      <c r="C17" s="355"/>
      <c r="D17" s="91">
        <v>144</v>
      </c>
      <c r="E17" s="356"/>
      <c r="F17" s="91">
        <v>62</v>
      </c>
      <c r="G17" s="357">
        <v>43.055555555600002</v>
      </c>
      <c r="H17" s="356"/>
      <c r="I17" s="91">
        <v>38</v>
      </c>
      <c r="J17" s="357">
        <v>26.388888888899999</v>
      </c>
      <c r="K17" s="358"/>
      <c r="L17" s="91">
        <v>27</v>
      </c>
      <c r="M17" s="357">
        <v>18.75</v>
      </c>
      <c r="N17" s="359"/>
      <c r="O17" s="91">
        <v>17</v>
      </c>
      <c r="P17" s="357">
        <v>11.8055555556</v>
      </c>
    </row>
    <row r="18" spans="2:16" s="354" customFormat="1" ht="12.75" customHeight="1" x14ac:dyDescent="0.2">
      <c r="B18" s="97" t="s">
        <v>8</v>
      </c>
      <c r="C18" s="355"/>
      <c r="D18" s="91">
        <v>190</v>
      </c>
      <c r="E18" s="356"/>
      <c r="F18" s="91">
        <v>106</v>
      </c>
      <c r="G18" s="357">
        <v>55.789473684199997</v>
      </c>
      <c r="H18" s="356"/>
      <c r="I18" s="91">
        <v>34</v>
      </c>
      <c r="J18" s="357">
        <v>17.894736842099999</v>
      </c>
      <c r="K18" s="358"/>
      <c r="L18" s="91">
        <v>34</v>
      </c>
      <c r="M18" s="357">
        <v>17.894736842099999</v>
      </c>
      <c r="N18" s="359"/>
      <c r="O18" s="91">
        <v>16</v>
      </c>
      <c r="P18" s="357">
        <v>8.4210526316000003</v>
      </c>
    </row>
    <row r="19" spans="2:16" s="354" customFormat="1" ht="12.75" customHeight="1" x14ac:dyDescent="0.2">
      <c r="B19" s="97" t="s">
        <v>9</v>
      </c>
      <c r="C19" s="355"/>
      <c r="D19" s="91">
        <v>90</v>
      </c>
      <c r="E19" s="356"/>
      <c r="F19" s="91">
        <v>17</v>
      </c>
      <c r="G19" s="357">
        <v>18.888888888899999</v>
      </c>
      <c r="H19" s="356"/>
      <c r="I19" s="91">
        <v>12</v>
      </c>
      <c r="J19" s="357">
        <v>13.333333333300001</v>
      </c>
      <c r="K19" s="358"/>
      <c r="L19" s="91">
        <v>46</v>
      </c>
      <c r="M19" s="357">
        <v>51.111111111100001</v>
      </c>
      <c r="N19" s="359"/>
      <c r="O19" s="91">
        <v>15</v>
      </c>
      <c r="P19" s="357">
        <v>16.666666666699999</v>
      </c>
    </row>
    <row r="20" spans="2:16" s="354" customFormat="1" ht="12.75" customHeight="1" x14ac:dyDescent="0.2">
      <c r="B20" s="97" t="s">
        <v>10</v>
      </c>
      <c r="C20" s="355"/>
      <c r="D20" s="91">
        <v>135</v>
      </c>
      <c r="E20" s="356"/>
      <c r="F20" s="91">
        <v>62</v>
      </c>
      <c r="G20" s="357">
        <v>45.925925925900003</v>
      </c>
      <c r="H20" s="356"/>
      <c r="I20" s="91">
        <v>35</v>
      </c>
      <c r="J20" s="357">
        <v>25.9259259259</v>
      </c>
      <c r="K20" s="358"/>
      <c r="L20" s="91">
        <v>25</v>
      </c>
      <c r="M20" s="357">
        <v>18.518518518499999</v>
      </c>
      <c r="N20" s="359"/>
      <c r="O20" s="91">
        <v>13</v>
      </c>
      <c r="P20" s="357">
        <v>9.6296296296000001</v>
      </c>
    </row>
    <row r="21" spans="2:16" s="354" customFormat="1" ht="12.75" customHeight="1" x14ac:dyDescent="0.2">
      <c r="B21" s="97" t="s">
        <v>11</v>
      </c>
      <c r="C21" s="355"/>
      <c r="D21" s="91">
        <v>111</v>
      </c>
      <c r="E21" s="356"/>
      <c r="F21" s="91">
        <v>61</v>
      </c>
      <c r="G21" s="357">
        <v>54.954954954999998</v>
      </c>
      <c r="H21" s="356"/>
      <c r="I21" s="91">
        <v>25</v>
      </c>
      <c r="J21" s="357">
        <v>22.522522522500001</v>
      </c>
      <c r="K21" s="358"/>
      <c r="L21" s="91">
        <v>19</v>
      </c>
      <c r="M21" s="357">
        <v>17.117117117100001</v>
      </c>
      <c r="N21" s="359"/>
      <c r="O21" s="91">
        <v>6</v>
      </c>
      <c r="P21" s="357">
        <v>5.4054054053999998</v>
      </c>
    </row>
    <row r="22" spans="2:16" s="354" customFormat="1" ht="12.75" customHeight="1" x14ac:dyDescent="0.2">
      <c r="B22" s="97" t="s">
        <v>12</v>
      </c>
      <c r="C22" s="355"/>
      <c r="D22" s="91">
        <v>160</v>
      </c>
      <c r="E22" s="356"/>
      <c r="F22" s="91">
        <v>65</v>
      </c>
      <c r="G22" s="357">
        <v>40.625</v>
      </c>
      <c r="H22" s="356"/>
      <c r="I22" s="91">
        <v>29</v>
      </c>
      <c r="J22" s="357">
        <v>18.125</v>
      </c>
      <c r="K22" s="358"/>
      <c r="L22" s="91">
        <v>49</v>
      </c>
      <c r="M22" s="357">
        <v>30.625</v>
      </c>
      <c r="N22" s="359"/>
      <c r="O22" s="91">
        <v>17</v>
      </c>
      <c r="P22" s="357">
        <v>10.625</v>
      </c>
    </row>
    <row r="23" spans="2:16" s="354" customFormat="1" ht="12.75" customHeight="1" x14ac:dyDescent="0.2">
      <c r="B23" s="97" t="s">
        <v>13</v>
      </c>
      <c r="C23" s="355"/>
      <c r="D23" s="91">
        <v>120</v>
      </c>
      <c r="E23" s="356"/>
      <c r="F23" s="91">
        <v>52</v>
      </c>
      <c r="G23" s="357">
        <v>43.333333333299997</v>
      </c>
      <c r="H23" s="356"/>
      <c r="I23" s="91">
        <v>24</v>
      </c>
      <c r="J23" s="357">
        <v>20</v>
      </c>
      <c r="K23" s="358"/>
      <c r="L23" s="91">
        <v>34</v>
      </c>
      <c r="M23" s="357">
        <v>28.333333333300001</v>
      </c>
      <c r="N23" s="359"/>
      <c r="O23" s="91">
        <v>10</v>
      </c>
      <c r="P23" s="357">
        <v>8.3333333333000006</v>
      </c>
    </row>
    <row r="24" spans="2:16" s="354" customFormat="1" ht="12.75" customHeight="1" x14ac:dyDescent="0.2">
      <c r="B24" s="97" t="s">
        <v>14</v>
      </c>
      <c r="C24" s="355"/>
      <c r="D24" s="91">
        <v>95</v>
      </c>
      <c r="E24" s="356"/>
      <c r="F24" s="91">
        <v>15</v>
      </c>
      <c r="G24" s="357">
        <v>15.789473684200001</v>
      </c>
      <c r="H24" s="356"/>
      <c r="I24" s="91">
        <v>11</v>
      </c>
      <c r="J24" s="357">
        <v>11.5789473684</v>
      </c>
      <c r="K24" s="358"/>
      <c r="L24" s="91">
        <v>54</v>
      </c>
      <c r="M24" s="357">
        <v>56.842105263199997</v>
      </c>
      <c r="N24" s="359"/>
      <c r="O24" s="91">
        <v>15</v>
      </c>
      <c r="P24" s="357">
        <v>15.789473684200001</v>
      </c>
    </row>
    <row r="25" spans="2:16" s="354" customFormat="1" ht="12.75" customHeight="1" x14ac:dyDescent="0.2">
      <c r="B25" s="97" t="s">
        <v>15</v>
      </c>
      <c r="C25" s="355"/>
      <c r="D25" s="91">
        <v>94</v>
      </c>
      <c r="E25" s="356"/>
      <c r="F25" s="91">
        <v>37</v>
      </c>
      <c r="G25" s="357">
        <v>39.361702127699999</v>
      </c>
      <c r="H25" s="356"/>
      <c r="I25" s="91">
        <v>10</v>
      </c>
      <c r="J25" s="357">
        <v>10.638297872300001</v>
      </c>
      <c r="K25" s="358"/>
      <c r="L25" s="91">
        <v>39</v>
      </c>
      <c r="M25" s="357">
        <v>41.489361702099998</v>
      </c>
      <c r="N25" s="359"/>
      <c r="O25" s="91">
        <v>8</v>
      </c>
      <c r="P25" s="357">
        <v>8.5106382978999999</v>
      </c>
    </row>
    <row r="26" spans="2:16" s="354" customFormat="1" ht="12.75" customHeight="1" x14ac:dyDescent="0.2">
      <c r="B26" s="97" t="s">
        <v>16</v>
      </c>
      <c r="C26" s="355"/>
      <c r="D26" s="91">
        <v>216</v>
      </c>
      <c r="E26" s="356"/>
      <c r="F26" s="91">
        <v>121</v>
      </c>
      <c r="G26" s="357">
        <v>56.018518518500002</v>
      </c>
      <c r="H26" s="356"/>
      <c r="I26" s="91">
        <v>34</v>
      </c>
      <c r="J26" s="357">
        <v>15.7407407407</v>
      </c>
      <c r="K26" s="358"/>
      <c r="L26" s="91">
        <v>45</v>
      </c>
      <c r="M26" s="357">
        <v>20.833333333300001</v>
      </c>
      <c r="N26" s="359"/>
      <c r="O26" s="91">
        <v>16</v>
      </c>
      <c r="P26" s="357">
        <v>7.4074074074</v>
      </c>
    </row>
    <row r="27" spans="2:16" s="354" customFormat="1" ht="12.75" customHeight="1" x14ac:dyDescent="0.2">
      <c r="B27" s="97" t="s">
        <v>17</v>
      </c>
      <c r="C27" s="355"/>
      <c r="D27" s="91">
        <v>80</v>
      </c>
      <c r="E27" s="356"/>
      <c r="F27" s="91">
        <v>27</v>
      </c>
      <c r="G27" s="357">
        <v>33.75</v>
      </c>
      <c r="H27" s="356"/>
      <c r="I27" s="91">
        <v>13</v>
      </c>
      <c r="J27" s="357">
        <v>16.25</v>
      </c>
      <c r="K27" s="358"/>
      <c r="L27" s="91">
        <v>34</v>
      </c>
      <c r="M27" s="357">
        <v>42.5</v>
      </c>
      <c r="N27" s="359"/>
      <c r="O27" s="91">
        <v>6</v>
      </c>
      <c r="P27" s="357">
        <v>7.5</v>
      </c>
    </row>
    <row r="28" spans="2:16" s="354" customFormat="1" ht="12.75" customHeight="1" x14ac:dyDescent="0.2">
      <c r="B28" s="97" t="s">
        <v>18</v>
      </c>
      <c r="C28" s="355"/>
      <c r="D28" s="91">
        <v>129</v>
      </c>
      <c r="E28" s="356"/>
      <c r="F28" s="91">
        <v>55</v>
      </c>
      <c r="G28" s="357">
        <v>42.635658914700002</v>
      </c>
      <c r="H28" s="356"/>
      <c r="I28" s="91">
        <v>21</v>
      </c>
      <c r="J28" s="357">
        <v>16.279069767399999</v>
      </c>
      <c r="K28" s="358"/>
      <c r="L28" s="91">
        <v>38</v>
      </c>
      <c r="M28" s="357">
        <v>29.4573643411</v>
      </c>
      <c r="N28" s="359"/>
      <c r="O28" s="91">
        <v>15</v>
      </c>
      <c r="P28" s="357">
        <v>11.6279069767</v>
      </c>
    </row>
    <row r="29" spans="2:16" s="354" customFormat="1" ht="12.75" customHeight="1" x14ac:dyDescent="0.2">
      <c r="B29" s="97" t="s">
        <v>19</v>
      </c>
      <c r="C29" s="355"/>
      <c r="D29" s="91">
        <v>84</v>
      </c>
      <c r="E29" s="356"/>
      <c r="F29" s="91">
        <v>26</v>
      </c>
      <c r="G29" s="357">
        <v>30.952380952399999</v>
      </c>
      <c r="H29" s="356"/>
      <c r="I29" s="91">
        <v>7</v>
      </c>
      <c r="J29" s="357">
        <v>8.3333333333000006</v>
      </c>
      <c r="K29" s="358"/>
      <c r="L29" s="91">
        <v>43</v>
      </c>
      <c r="M29" s="357">
        <v>51.1904761905</v>
      </c>
      <c r="N29" s="359"/>
      <c r="O29" s="91">
        <v>8</v>
      </c>
      <c r="P29" s="357">
        <v>9.5238095238000007</v>
      </c>
    </row>
    <row r="30" spans="2:16" s="354" customFormat="1" ht="12.75" customHeight="1" x14ac:dyDescent="0.2">
      <c r="B30" s="97" t="s">
        <v>20</v>
      </c>
      <c r="C30" s="355"/>
      <c r="D30" s="91">
        <v>193</v>
      </c>
      <c r="E30" s="356"/>
      <c r="F30" s="91">
        <v>61</v>
      </c>
      <c r="G30" s="357">
        <v>31.606217616599999</v>
      </c>
      <c r="H30" s="356"/>
      <c r="I30" s="91">
        <v>41</v>
      </c>
      <c r="J30" s="357">
        <v>21.243523316099999</v>
      </c>
      <c r="K30" s="358"/>
      <c r="L30" s="91">
        <v>60</v>
      </c>
      <c r="M30" s="357">
        <v>31.0880829016</v>
      </c>
      <c r="N30" s="359"/>
      <c r="O30" s="91">
        <v>31</v>
      </c>
      <c r="P30" s="357">
        <v>16.0621761658</v>
      </c>
    </row>
    <row r="31" spans="2:16" s="354" customFormat="1" ht="12.75" customHeight="1" x14ac:dyDescent="0.2">
      <c r="B31" s="97" t="s">
        <v>21</v>
      </c>
      <c r="C31" s="355"/>
      <c r="D31" s="91">
        <v>232</v>
      </c>
      <c r="E31" s="356"/>
      <c r="F31" s="91">
        <v>157</v>
      </c>
      <c r="G31" s="357">
        <v>67.672413793100006</v>
      </c>
      <c r="H31" s="356"/>
      <c r="I31" s="91">
        <v>29</v>
      </c>
      <c r="J31" s="357">
        <v>12.5</v>
      </c>
      <c r="K31" s="358"/>
      <c r="L31" s="91">
        <v>29</v>
      </c>
      <c r="M31" s="357">
        <v>12.5</v>
      </c>
      <c r="N31" s="359"/>
      <c r="O31" s="91">
        <v>17</v>
      </c>
      <c r="P31" s="357">
        <v>7.3275862069000004</v>
      </c>
    </row>
    <row r="32" spans="2:16" s="354" customFormat="1" ht="12.75" customHeight="1" x14ac:dyDescent="0.2">
      <c r="B32" s="97" t="s">
        <v>22</v>
      </c>
      <c r="C32" s="355"/>
      <c r="D32" s="91">
        <v>117</v>
      </c>
      <c r="E32" s="356"/>
      <c r="F32" s="91">
        <v>15</v>
      </c>
      <c r="G32" s="357">
        <v>12.820512820499999</v>
      </c>
      <c r="H32" s="356"/>
      <c r="I32" s="91">
        <v>13</v>
      </c>
      <c r="J32" s="357">
        <v>11.1111111111</v>
      </c>
      <c r="K32" s="358"/>
      <c r="L32" s="91">
        <v>72</v>
      </c>
      <c r="M32" s="357">
        <v>61.538461538500002</v>
      </c>
      <c r="N32" s="359"/>
      <c r="O32" s="91">
        <v>17</v>
      </c>
      <c r="P32" s="357">
        <v>14.529914529899999</v>
      </c>
    </row>
    <row r="33" spans="2:16" s="354" customFormat="1" ht="12.75" customHeight="1" x14ac:dyDescent="0.2">
      <c r="B33" s="97" t="s">
        <v>23</v>
      </c>
      <c r="C33" s="355"/>
      <c r="D33" s="91">
        <v>76</v>
      </c>
      <c r="E33" s="356"/>
      <c r="F33" s="91">
        <v>26</v>
      </c>
      <c r="G33" s="357">
        <v>34.210526315800003</v>
      </c>
      <c r="H33" s="356"/>
      <c r="I33" s="91">
        <v>10</v>
      </c>
      <c r="J33" s="357">
        <v>13.157894736799999</v>
      </c>
      <c r="K33" s="358"/>
      <c r="L33" s="91">
        <v>25</v>
      </c>
      <c r="M33" s="357">
        <v>32.894736842100002</v>
      </c>
      <c r="N33" s="359"/>
      <c r="O33" s="91">
        <v>15</v>
      </c>
      <c r="P33" s="357">
        <v>19.736842105299999</v>
      </c>
    </row>
    <row r="34" spans="2:16" s="354" customFormat="1" ht="12.75" customHeight="1" x14ac:dyDescent="0.2">
      <c r="B34" s="97" t="s">
        <v>24</v>
      </c>
      <c r="C34" s="355"/>
      <c r="D34" s="91">
        <v>179</v>
      </c>
      <c r="E34" s="356"/>
      <c r="F34" s="91">
        <v>92</v>
      </c>
      <c r="G34" s="357">
        <v>51.396648044700001</v>
      </c>
      <c r="H34" s="356"/>
      <c r="I34" s="91">
        <v>28</v>
      </c>
      <c r="J34" s="357">
        <v>15.642458100600001</v>
      </c>
      <c r="K34" s="358"/>
      <c r="L34" s="91">
        <v>45</v>
      </c>
      <c r="M34" s="357">
        <v>25.139664804500001</v>
      </c>
      <c r="N34" s="359"/>
      <c r="O34" s="91">
        <v>14</v>
      </c>
      <c r="P34" s="357">
        <v>7.8212290503000004</v>
      </c>
    </row>
    <row r="35" spans="2:16" s="354" customFormat="1" ht="12.75" customHeight="1" x14ac:dyDescent="0.2">
      <c r="B35" s="97" t="s">
        <v>25</v>
      </c>
      <c r="C35" s="355"/>
      <c r="D35" s="91">
        <v>182</v>
      </c>
      <c r="E35" s="356"/>
      <c r="F35" s="91">
        <v>108</v>
      </c>
      <c r="G35" s="357">
        <v>59.3406593407</v>
      </c>
      <c r="H35" s="356"/>
      <c r="I35" s="91">
        <v>20</v>
      </c>
      <c r="J35" s="357">
        <v>10.989010989000001</v>
      </c>
      <c r="K35" s="358"/>
      <c r="L35" s="91">
        <v>41</v>
      </c>
      <c r="M35" s="357">
        <v>22.527472527499999</v>
      </c>
      <c r="N35" s="359"/>
      <c r="O35" s="91">
        <v>13</v>
      </c>
      <c r="P35" s="357">
        <v>7.1428571428999996</v>
      </c>
    </row>
    <row r="36" spans="2:16" s="354" customFormat="1" ht="12.75" customHeight="1" x14ac:dyDescent="0.2">
      <c r="B36" s="97" t="s">
        <v>26</v>
      </c>
      <c r="C36" s="355"/>
      <c r="D36" s="91">
        <v>118</v>
      </c>
      <c r="E36" s="356"/>
      <c r="F36" s="91">
        <v>51</v>
      </c>
      <c r="G36" s="357">
        <v>43.2203389831</v>
      </c>
      <c r="H36" s="356"/>
      <c r="I36" s="91">
        <v>24</v>
      </c>
      <c r="J36" s="357">
        <v>20.3389830508</v>
      </c>
      <c r="K36" s="358"/>
      <c r="L36" s="91">
        <v>34</v>
      </c>
      <c r="M36" s="357">
        <v>28.813559322</v>
      </c>
      <c r="N36" s="359"/>
      <c r="O36" s="91">
        <v>9</v>
      </c>
      <c r="P36" s="357">
        <v>7.6271186441000003</v>
      </c>
    </row>
    <row r="37" spans="2:16" s="354" customFormat="1" ht="12.75" customHeight="1" x14ac:dyDescent="0.2">
      <c r="B37" s="97" t="s">
        <v>27</v>
      </c>
      <c r="C37" s="355"/>
      <c r="D37" s="91">
        <v>132</v>
      </c>
      <c r="E37" s="356"/>
      <c r="F37" s="91">
        <v>75</v>
      </c>
      <c r="G37" s="357">
        <v>56.818181818200003</v>
      </c>
      <c r="H37" s="356"/>
      <c r="I37" s="91">
        <v>23</v>
      </c>
      <c r="J37" s="357">
        <v>17.424242424199999</v>
      </c>
      <c r="K37" s="358"/>
      <c r="L37" s="91">
        <v>22</v>
      </c>
      <c r="M37" s="357">
        <v>16.666666666699999</v>
      </c>
      <c r="N37" s="359"/>
      <c r="O37" s="91">
        <v>12</v>
      </c>
      <c r="P37" s="357">
        <v>9.0909090909000003</v>
      </c>
    </row>
    <row r="38" spans="2:16" s="354" customFormat="1" ht="12.75" customHeight="1" x14ac:dyDescent="0.2">
      <c r="B38" s="97" t="s">
        <v>28</v>
      </c>
      <c r="C38" s="355"/>
      <c r="D38" s="91">
        <v>246</v>
      </c>
      <c r="E38" s="356"/>
      <c r="F38" s="91">
        <v>100</v>
      </c>
      <c r="G38" s="357">
        <v>40.650406504099998</v>
      </c>
      <c r="H38" s="356"/>
      <c r="I38" s="91">
        <v>70</v>
      </c>
      <c r="J38" s="357">
        <v>28.455284552799998</v>
      </c>
      <c r="K38" s="358"/>
      <c r="L38" s="91">
        <v>44</v>
      </c>
      <c r="M38" s="357">
        <v>17.886178861800001</v>
      </c>
      <c r="N38" s="359"/>
      <c r="O38" s="91">
        <v>32</v>
      </c>
      <c r="P38" s="357">
        <v>13.008130081299999</v>
      </c>
    </row>
    <row r="39" spans="2:16" s="354" customFormat="1" ht="12.75" customHeight="1" x14ac:dyDescent="0.2">
      <c r="B39" s="97" t="s">
        <v>29</v>
      </c>
      <c r="C39" s="355"/>
      <c r="D39" s="91">
        <v>133</v>
      </c>
      <c r="E39" s="356"/>
      <c r="F39" s="91">
        <v>41</v>
      </c>
      <c r="G39" s="357">
        <v>30.827067669200002</v>
      </c>
      <c r="H39" s="356"/>
      <c r="I39" s="91">
        <v>27</v>
      </c>
      <c r="J39" s="357">
        <v>20.300751879700002</v>
      </c>
      <c r="K39" s="358"/>
      <c r="L39" s="91">
        <v>39</v>
      </c>
      <c r="M39" s="357">
        <v>29.3233082707</v>
      </c>
      <c r="N39" s="359"/>
      <c r="O39" s="91">
        <v>26</v>
      </c>
      <c r="P39" s="357">
        <v>19.548872180499998</v>
      </c>
    </row>
    <row r="40" spans="2:16" s="354" customFormat="1" ht="12.75" customHeight="1" x14ac:dyDescent="0.2">
      <c r="B40" s="97" t="s">
        <v>30</v>
      </c>
      <c r="C40" s="355"/>
      <c r="D40" s="91">
        <v>168</v>
      </c>
      <c r="E40" s="356"/>
      <c r="F40" s="91">
        <v>73</v>
      </c>
      <c r="G40" s="357">
        <v>43.452380952399999</v>
      </c>
      <c r="H40" s="356"/>
      <c r="I40" s="91">
        <v>31</v>
      </c>
      <c r="J40" s="357">
        <v>18.452380952399999</v>
      </c>
      <c r="K40" s="358"/>
      <c r="L40" s="91">
        <v>49</v>
      </c>
      <c r="M40" s="357">
        <v>29.166666666699999</v>
      </c>
      <c r="N40" s="359"/>
      <c r="O40" s="91">
        <v>15</v>
      </c>
      <c r="P40" s="357">
        <v>8.9285714285999997</v>
      </c>
    </row>
    <row r="41" spans="2:16" s="354" customFormat="1" ht="12.75" customHeight="1" x14ac:dyDescent="0.2">
      <c r="B41" s="97" t="s">
        <v>31</v>
      </c>
      <c r="C41" s="355"/>
      <c r="D41" s="91">
        <v>59</v>
      </c>
      <c r="E41" s="356"/>
      <c r="F41" s="91">
        <v>14</v>
      </c>
      <c r="G41" s="357">
        <v>23.728813559300001</v>
      </c>
      <c r="H41" s="356"/>
      <c r="I41" s="91">
        <v>4</v>
      </c>
      <c r="J41" s="357">
        <v>6.7796610168999996</v>
      </c>
      <c r="K41" s="358"/>
      <c r="L41" s="91">
        <v>26</v>
      </c>
      <c r="M41" s="357">
        <v>44.067796610199998</v>
      </c>
      <c r="N41" s="359"/>
      <c r="O41" s="91">
        <v>15</v>
      </c>
      <c r="P41" s="357">
        <v>25.4237288136</v>
      </c>
    </row>
    <row r="42" spans="2:16" s="354" customFormat="1" ht="12.75" customHeight="1" x14ac:dyDescent="0.2">
      <c r="B42" s="97" t="s">
        <v>32</v>
      </c>
      <c r="C42" s="355"/>
      <c r="D42" s="91">
        <v>96</v>
      </c>
      <c r="E42" s="356"/>
      <c r="F42" s="91">
        <v>30</v>
      </c>
      <c r="G42" s="357">
        <v>31.25</v>
      </c>
      <c r="H42" s="356"/>
      <c r="I42" s="91">
        <v>19</v>
      </c>
      <c r="J42" s="357">
        <v>19.791666666699999</v>
      </c>
      <c r="K42" s="358"/>
      <c r="L42" s="91">
        <v>27</v>
      </c>
      <c r="M42" s="357">
        <v>28.125</v>
      </c>
      <c r="N42" s="359"/>
      <c r="O42" s="91">
        <v>20</v>
      </c>
      <c r="P42" s="357">
        <v>20.833333333300001</v>
      </c>
    </row>
    <row r="43" spans="2:16" s="354" customFormat="1" ht="12.75" customHeight="1" x14ac:dyDescent="0.2">
      <c r="B43" s="97" t="s">
        <v>33</v>
      </c>
      <c r="C43" s="355"/>
      <c r="D43" s="91">
        <v>222</v>
      </c>
      <c r="E43" s="356"/>
      <c r="F43" s="91">
        <v>63</v>
      </c>
      <c r="G43" s="357">
        <v>28.378378378400001</v>
      </c>
      <c r="H43" s="356"/>
      <c r="I43" s="91">
        <v>41</v>
      </c>
      <c r="J43" s="357">
        <v>18.468468468499999</v>
      </c>
      <c r="K43" s="358"/>
      <c r="L43" s="91">
        <v>71</v>
      </c>
      <c r="M43" s="357">
        <v>31.981981982000001</v>
      </c>
      <c r="N43" s="359"/>
      <c r="O43" s="91">
        <v>47</v>
      </c>
      <c r="P43" s="357">
        <v>21.171171171200001</v>
      </c>
    </row>
    <row r="44" spans="2:16" s="354" customFormat="1" ht="12.75" customHeight="1" x14ac:dyDescent="0.2">
      <c r="B44" s="97" t="s">
        <v>34</v>
      </c>
      <c r="C44" s="355"/>
      <c r="D44" s="91">
        <v>150</v>
      </c>
      <c r="E44" s="356"/>
      <c r="F44" s="91">
        <v>48</v>
      </c>
      <c r="G44" s="357">
        <v>32</v>
      </c>
      <c r="H44" s="356"/>
      <c r="I44" s="91">
        <v>25</v>
      </c>
      <c r="J44" s="357">
        <v>16.666666666699999</v>
      </c>
      <c r="K44" s="358"/>
      <c r="L44" s="91">
        <v>52</v>
      </c>
      <c r="M44" s="357">
        <v>34.666666666700003</v>
      </c>
      <c r="N44" s="359"/>
      <c r="O44" s="91">
        <v>25</v>
      </c>
      <c r="P44" s="357">
        <v>16.666666666699999</v>
      </c>
    </row>
    <row r="45" spans="2:16" ht="6" customHeight="1" x14ac:dyDescent="0.25">
      <c r="B45" s="360"/>
      <c r="C45" s="361"/>
      <c r="D45" s="264"/>
      <c r="E45" s="362"/>
      <c r="F45" s="264"/>
      <c r="G45" s="363"/>
      <c r="H45" s="363"/>
      <c r="I45" s="264"/>
      <c r="J45" s="363"/>
      <c r="K45" s="364"/>
      <c r="L45" s="264"/>
      <c r="M45" s="363"/>
      <c r="N45" s="365"/>
      <c r="O45" s="264"/>
      <c r="P45" s="363"/>
    </row>
    <row r="46" spans="2:16" ht="6" customHeight="1" x14ac:dyDescent="0.25">
      <c r="B46" s="228"/>
      <c r="D46" s="162"/>
      <c r="E46" s="367"/>
      <c r="F46" s="162"/>
      <c r="G46" s="368"/>
      <c r="H46" s="368"/>
      <c r="I46" s="162"/>
      <c r="J46" s="368"/>
      <c r="K46" s="369"/>
      <c r="L46" s="162"/>
      <c r="M46" s="368"/>
      <c r="N46" s="370"/>
      <c r="O46" s="162"/>
      <c r="P46" s="368"/>
    </row>
    <row r="47" spans="2:16" ht="12.75" customHeight="1" x14ac:dyDescent="0.25">
      <c r="B47" s="273" t="s">
        <v>93</v>
      </c>
      <c r="C47" s="338"/>
      <c r="D47" s="162"/>
      <c r="E47" s="367"/>
      <c r="F47" s="162"/>
      <c r="G47" s="368"/>
      <c r="H47" s="368"/>
      <c r="I47" s="162"/>
      <c r="J47" s="368"/>
      <c r="K47" s="369"/>
      <c r="L47" s="162"/>
      <c r="M47" s="368"/>
      <c r="N47" s="370"/>
      <c r="O47" s="162"/>
      <c r="P47" s="368"/>
    </row>
    <row r="48" spans="2:16" ht="12" customHeight="1" x14ac:dyDescent="0.25">
      <c r="B48" s="371" t="s">
        <v>129</v>
      </c>
      <c r="C48" s="338"/>
      <c r="D48" s="162"/>
      <c r="E48" s="367"/>
      <c r="F48" s="162"/>
      <c r="G48" s="368"/>
      <c r="H48" s="368"/>
      <c r="I48" s="162"/>
      <c r="J48" s="368"/>
      <c r="K48" s="369"/>
      <c r="L48" s="162"/>
      <c r="M48" s="368"/>
      <c r="N48" s="370"/>
      <c r="O48" s="162"/>
      <c r="P48" s="368"/>
    </row>
    <row r="49" spans="2:2" s="13" customFormat="1" ht="14.25" x14ac:dyDescent="0.2">
      <c r="B49" s="113" t="s">
        <v>57</v>
      </c>
    </row>
  </sheetData>
  <mergeCells count="8">
    <mergeCell ref="B5:N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EAE43805-B1CD-4D86-9E52-7F02359D2025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02B52-B8E5-43E0-9D1E-0C44236FDB7F}">
  <dimension ref="A1:S50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382" customWidth="1"/>
    <col min="2" max="2" width="24.28515625" style="382" customWidth="1"/>
    <col min="3" max="3" width="0.85546875" style="402" customWidth="1"/>
    <col min="4" max="4" width="18.7109375" style="403" customWidth="1"/>
    <col min="5" max="5" width="1.7109375" style="403" customWidth="1"/>
    <col min="6" max="6" width="12.7109375" style="403" customWidth="1"/>
    <col min="7" max="7" width="12.7109375" style="404" customWidth="1"/>
    <col min="8" max="8" width="1.7109375" style="403" customWidth="1"/>
    <col min="9" max="9" width="12.7109375" style="403" customWidth="1"/>
    <col min="10" max="10" width="12.5703125" style="404" customWidth="1"/>
    <col min="11" max="16384" width="11.42578125" style="382"/>
  </cols>
  <sheetData>
    <row r="1" spans="1:19" s="376" customFormat="1" ht="12" customHeight="1" x14ac:dyDescent="0.2">
      <c r="A1" s="616"/>
      <c r="B1" s="616" t="s">
        <v>202</v>
      </c>
      <c r="D1" s="377"/>
      <c r="E1" s="377"/>
      <c r="F1" s="377"/>
      <c r="G1" s="377"/>
      <c r="H1" s="377"/>
      <c r="I1" s="377"/>
      <c r="J1" s="72" t="s">
        <v>151</v>
      </c>
    </row>
    <row r="2" spans="1:19" s="376" customFormat="1" ht="6.95" customHeight="1" x14ac:dyDescent="0.2">
      <c r="B2" s="616"/>
      <c r="D2" s="377"/>
      <c r="E2" s="377"/>
      <c r="F2" s="377"/>
      <c r="G2" s="377"/>
      <c r="H2" s="377"/>
      <c r="I2" s="377"/>
      <c r="J2" s="377"/>
    </row>
    <row r="3" spans="1:19" s="376" customFormat="1" ht="15" customHeight="1" x14ac:dyDescent="0.2">
      <c r="B3" s="616" t="s">
        <v>199</v>
      </c>
      <c r="C3" s="375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  <c r="S3" s="375"/>
    </row>
    <row r="4" spans="1:19" s="376" customFormat="1" ht="6.95" customHeight="1" x14ac:dyDescent="0.2">
      <c r="C4" s="378"/>
      <c r="D4" s="377"/>
      <c r="E4" s="377"/>
      <c r="F4" s="377"/>
      <c r="G4" s="377"/>
      <c r="H4" s="377"/>
      <c r="I4" s="377"/>
      <c r="J4" s="377"/>
    </row>
    <row r="5" spans="1:19" s="376" customFormat="1" ht="25.5" customHeight="1" x14ac:dyDescent="0.2">
      <c r="B5" s="680" t="s">
        <v>155</v>
      </c>
      <c r="C5" s="680"/>
      <c r="D5" s="680"/>
      <c r="E5" s="680"/>
      <c r="F5" s="680"/>
      <c r="G5" s="680"/>
      <c r="H5" s="680"/>
      <c r="I5" s="680"/>
      <c r="J5" s="71" t="s">
        <v>114</v>
      </c>
    </row>
    <row r="6" spans="1:19" ht="6" customHeight="1" x14ac:dyDescent="0.25">
      <c r="B6" s="379"/>
      <c r="C6" s="380"/>
      <c r="D6" s="381"/>
      <c r="E6" s="381"/>
      <c r="F6" s="381"/>
      <c r="G6" s="381"/>
      <c r="H6" s="381"/>
      <c r="I6" s="381"/>
      <c r="J6" s="381"/>
    </row>
    <row r="7" spans="1:19" ht="15" customHeight="1" x14ac:dyDescent="0.25">
      <c r="B7" s="658" t="s">
        <v>76</v>
      </c>
      <c r="C7" s="658"/>
      <c r="D7" s="681" t="s">
        <v>108</v>
      </c>
      <c r="E7" s="383"/>
      <c r="F7" s="684" t="s">
        <v>68</v>
      </c>
      <c r="G7" s="684"/>
      <c r="H7" s="684"/>
      <c r="I7" s="684"/>
      <c r="J7" s="684"/>
    </row>
    <row r="8" spans="1:19" ht="24.75" customHeight="1" x14ac:dyDescent="0.25">
      <c r="B8" s="659"/>
      <c r="C8" s="659"/>
      <c r="D8" s="682"/>
      <c r="E8" s="384"/>
      <c r="F8" s="685" t="s">
        <v>72</v>
      </c>
      <c r="G8" s="685"/>
      <c r="H8" s="385"/>
      <c r="I8" s="686" t="s">
        <v>130</v>
      </c>
      <c r="J8" s="686"/>
    </row>
    <row r="9" spans="1:19" x14ac:dyDescent="0.25">
      <c r="B9" s="660"/>
      <c r="C9" s="660"/>
      <c r="D9" s="683"/>
      <c r="E9" s="386"/>
      <c r="F9" s="387" t="s">
        <v>0</v>
      </c>
      <c r="G9" s="387" t="s">
        <v>1</v>
      </c>
      <c r="H9" s="387"/>
      <c r="I9" s="387" t="s">
        <v>0</v>
      </c>
      <c r="J9" s="387" t="s">
        <v>1</v>
      </c>
    </row>
    <row r="10" spans="1:19" ht="6" customHeight="1" x14ac:dyDescent="0.25">
      <c r="B10" s="31"/>
      <c r="C10" s="388"/>
      <c r="D10" s="388"/>
      <c r="E10" s="388"/>
      <c r="F10" s="388"/>
      <c r="G10" s="388"/>
      <c r="H10" s="388"/>
      <c r="I10" s="388"/>
      <c r="J10" s="388"/>
    </row>
    <row r="11" spans="1:19" s="390" customFormat="1" ht="11.25" x14ac:dyDescent="0.2">
      <c r="B11" s="96" t="s">
        <v>2</v>
      </c>
      <c r="C11" s="389"/>
      <c r="D11" s="89">
        <v>4626</v>
      </c>
      <c r="E11" s="89"/>
      <c r="F11" s="89">
        <v>4291</v>
      </c>
      <c r="G11" s="302">
        <v>92.758322524899995</v>
      </c>
      <c r="H11" s="89"/>
      <c r="I11" s="89">
        <v>335</v>
      </c>
      <c r="J11" s="302">
        <v>7.2416774751000004</v>
      </c>
    </row>
    <row r="12" spans="1:19" s="392" customFormat="1" ht="6" customHeight="1" x14ac:dyDescent="0.2">
      <c r="B12" s="96"/>
      <c r="C12" s="391"/>
      <c r="D12" s="91"/>
      <c r="E12" s="91"/>
      <c r="F12" s="91"/>
      <c r="G12" s="306"/>
      <c r="H12" s="91"/>
      <c r="I12" s="91"/>
      <c r="J12" s="306"/>
    </row>
    <row r="13" spans="1:19" s="392" customFormat="1" ht="12.75" customHeight="1" x14ac:dyDescent="0.2">
      <c r="B13" s="97" t="s">
        <v>3</v>
      </c>
      <c r="C13" s="391"/>
      <c r="D13" s="91">
        <v>213</v>
      </c>
      <c r="E13" s="91"/>
      <c r="F13" s="91">
        <v>195</v>
      </c>
      <c r="G13" s="306">
        <v>91.549295774599997</v>
      </c>
      <c r="H13" s="91"/>
      <c r="I13" s="91">
        <v>18</v>
      </c>
      <c r="J13" s="306">
        <v>8.4507042254000009</v>
      </c>
    </row>
    <row r="14" spans="1:19" s="392" customFormat="1" ht="12.75" customHeight="1" x14ac:dyDescent="0.2">
      <c r="B14" s="97" t="s">
        <v>4</v>
      </c>
      <c r="C14" s="391"/>
      <c r="D14" s="91">
        <v>166</v>
      </c>
      <c r="E14" s="393"/>
      <c r="F14" s="91">
        <v>156</v>
      </c>
      <c r="G14" s="394">
        <v>93.975903614499998</v>
      </c>
      <c r="H14" s="393"/>
      <c r="I14" s="91">
        <v>10</v>
      </c>
      <c r="J14" s="394">
        <v>6.0240963855</v>
      </c>
    </row>
    <row r="15" spans="1:19" s="392" customFormat="1" ht="12.75" customHeight="1" x14ac:dyDescent="0.2">
      <c r="B15" s="97" t="s">
        <v>5</v>
      </c>
      <c r="C15" s="391"/>
      <c r="D15" s="91">
        <v>157</v>
      </c>
      <c r="E15" s="393"/>
      <c r="F15" s="91">
        <v>143</v>
      </c>
      <c r="G15" s="394">
        <v>91.0828025478</v>
      </c>
      <c r="H15" s="393"/>
      <c r="I15" s="91">
        <v>14</v>
      </c>
      <c r="J15" s="394">
        <v>8.9171974521999999</v>
      </c>
    </row>
    <row r="16" spans="1:19" s="392" customFormat="1" ht="12.75" customHeight="1" x14ac:dyDescent="0.2">
      <c r="B16" s="97" t="s">
        <v>6</v>
      </c>
      <c r="C16" s="391"/>
      <c r="D16" s="91">
        <v>139</v>
      </c>
      <c r="E16" s="393"/>
      <c r="F16" s="91">
        <v>132</v>
      </c>
      <c r="G16" s="394">
        <v>94.964028776999996</v>
      </c>
      <c r="H16" s="393"/>
      <c r="I16" s="91">
        <v>7</v>
      </c>
      <c r="J16" s="394">
        <v>5.0359712229999998</v>
      </c>
    </row>
    <row r="17" spans="2:10" s="392" customFormat="1" ht="12.75" customHeight="1" x14ac:dyDescent="0.2">
      <c r="B17" s="97" t="s">
        <v>7</v>
      </c>
      <c r="C17" s="391"/>
      <c r="D17" s="91">
        <v>144</v>
      </c>
      <c r="E17" s="393"/>
      <c r="F17" s="91">
        <v>144</v>
      </c>
      <c r="G17" s="394">
        <v>100</v>
      </c>
      <c r="H17" s="393"/>
      <c r="I17" s="91">
        <v>0</v>
      </c>
      <c r="J17" s="394">
        <v>0</v>
      </c>
    </row>
    <row r="18" spans="2:10" s="392" customFormat="1" ht="12.75" customHeight="1" x14ac:dyDescent="0.2">
      <c r="B18" s="97" t="s">
        <v>8</v>
      </c>
      <c r="C18" s="391"/>
      <c r="D18" s="91">
        <v>190</v>
      </c>
      <c r="E18" s="393"/>
      <c r="F18" s="91">
        <v>185</v>
      </c>
      <c r="G18" s="394">
        <v>97.368421052599999</v>
      </c>
      <c r="H18" s="393"/>
      <c r="I18" s="91">
        <v>5</v>
      </c>
      <c r="J18" s="394">
        <v>2.6315789474</v>
      </c>
    </row>
    <row r="19" spans="2:10" s="392" customFormat="1" ht="12.75" customHeight="1" x14ac:dyDescent="0.2">
      <c r="B19" s="97" t="s">
        <v>9</v>
      </c>
      <c r="C19" s="391"/>
      <c r="D19" s="91">
        <v>90</v>
      </c>
      <c r="E19" s="393"/>
      <c r="F19" s="91">
        <v>84</v>
      </c>
      <c r="G19" s="394">
        <v>93.333333333300004</v>
      </c>
      <c r="H19" s="393"/>
      <c r="I19" s="91">
        <v>6</v>
      </c>
      <c r="J19" s="394">
        <v>6.6666666667000003</v>
      </c>
    </row>
    <row r="20" spans="2:10" s="392" customFormat="1" ht="12.75" customHeight="1" x14ac:dyDescent="0.2">
      <c r="B20" s="97" t="s">
        <v>10</v>
      </c>
      <c r="C20" s="391"/>
      <c r="D20" s="91">
        <v>135</v>
      </c>
      <c r="E20" s="393"/>
      <c r="F20" s="91">
        <v>132</v>
      </c>
      <c r="G20" s="394">
        <v>97.777777777799997</v>
      </c>
      <c r="H20" s="393"/>
      <c r="I20" s="91">
        <v>3</v>
      </c>
      <c r="J20" s="394">
        <v>2.2222222222000001</v>
      </c>
    </row>
    <row r="21" spans="2:10" s="392" customFormat="1" ht="12.75" customHeight="1" x14ac:dyDescent="0.2">
      <c r="B21" s="97" t="s">
        <v>11</v>
      </c>
      <c r="C21" s="391"/>
      <c r="D21" s="91">
        <v>111</v>
      </c>
      <c r="E21" s="393"/>
      <c r="F21" s="91">
        <v>82</v>
      </c>
      <c r="G21" s="394">
        <v>73.873873873899996</v>
      </c>
      <c r="H21" s="393"/>
      <c r="I21" s="91">
        <v>29</v>
      </c>
      <c r="J21" s="394">
        <v>26.126126126100001</v>
      </c>
    </row>
    <row r="22" spans="2:10" s="392" customFormat="1" ht="12.75" customHeight="1" x14ac:dyDescent="0.2">
      <c r="B22" s="97" t="s">
        <v>12</v>
      </c>
      <c r="C22" s="391"/>
      <c r="D22" s="91">
        <v>160</v>
      </c>
      <c r="E22" s="393"/>
      <c r="F22" s="91">
        <v>156</v>
      </c>
      <c r="G22" s="394">
        <v>97.5</v>
      </c>
      <c r="H22" s="393"/>
      <c r="I22" s="91">
        <v>4</v>
      </c>
      <c r="J22" s="394">
        <v>2.5</v>
      </c>
    </row>
    <row r="23" spans="2:10" s="392" customFormat="1" ht="12.75" customHeight="1" x14ac:dyDescent="0.2">
      <c r="B23" s="97" t="s">
        <v>13</v>
      </c>
      <c r="C23" s="391"/>
      <c r="D23" s="91">
        <v>120</v>
      </c>
      <c r="E23" s="393"/>
      <c r="F23" s="91">
        <v>111</v>
      </c>
      <c r="G23" s="394">
        <v>92.5</v>
      </c>
      <c r="H23" s="393"/>
      <c r="I23" s="91">
        <v>9</v>
      </c>
      <c r="J23" s="394">
        <v>7.5</v>
      </c>
    </row>
    <row r="24" spans="2:10" s="392" customFormat="1" ht="12.75" customHeight="1" x14ac:dyDescent="0.2">
      <c r="B24" s="97" t="s">
        <v>14</v>
      </c>
      <c r="C24" s="391"/>
      <c r="D24" s="91">
        <v>95</v>
      </c>
      <c r="E24" s="393"/>
      <c r="F24" s="91">
        <v>84</v>
      </c>
      <c r="G24" s="394">
        <v>88.421052631600006</v>
      </c>
      <c r="H24" s="393"/>
      <c r="I24" s="91">
        <v>11</v>
      </c>
      <c r="J24" s="394">
        <v>11.5789473684</v>
      </c>
    </row>
    <row r="25" spans="2:10" s="392" customFormat="1" ht="12.75" customHeight="1" x14ac:dyDescent="0.2">
      <c r="B25" s="97" t="s">
        <v>15</v>
      </c>
      <c r="C25" s="391"/>
      <c r="D25" s="91">
        <v>94</v>
      </c>
      <c r="E25" s="393"/>
      <c r="F25" s="91">
        <v>90</v>
      </c>
      <c r="G25" s="394">
        <v>95.7446808511</v>
      </c>
      <c r="H25" s="393"/>
      <c r="I25" s="91">
        <v>4</v>
      </c>
      <c r="J25" s="394">
        <v>4.2553191489</v>
      </c>
    </row>
    <row r="26" spans="2:10" s="392" customFormat="1" ht="12.75" customHeight="1" x14ac:dyDescent="0.2">
      <c r="B26" s="97" t="s">
        <v>16</v>
      </c>
      <c r="C26" s="391"/>
      <c r="D26" s="91">
        <v>216</v>
      </c>
      <c r="E26" s="393"/>
      <c r="F26" s="91">
        <v>183</v>
      </c>
      <c r="G26" s="394">
        <v>84.722222222200003</v>
      </c>
      <c r="H26" s="393"/>
      <c r="I26" s="91">
        <v>33</v>
      </c>
      <c r="J26" s="394">
        <v>15.277777777800001</v>
      </c>
    </row>
    <row r="27" spans="2:10" s="392" customFormat="1" ht="12.75" customHeight="1" x14ac:dyDescent="0.2">
      <c r="B27" s="97" t="s">
        <v>17</v>
      </c>
      <c r="C27" s="391"/>
      <c r="D27" s="91">
        <v>80</v>
      </c>
      <c r="E27" s="393"/>
      <c r="F27" s="91">
        <v>67</v>
      </c>
      <c r="G27" s="394">
        <v>83.75</v>
      </c>
      <c r="H27" s="393"/>
      <c r="I27" s="91">
        <v>13</v>
      </c>
      <c r="J27" s="394">
        <v>16.25</v>
      </c>
    </row>
    <row r="28" spans="2:10" s="392" customFormat="1" ht="12.75" customHeight="1" x14ac:dyDescent="0.2">
      <c r="B28" s="97" t="s">
        <v>18</v>
      </c>
      <c r="C28" s="391"/>
      <c r="D28" s="91">
        <v>129</v>
      </c>
      <c r="E28" s="393"/>
      <c r="F28" s="91">
        <v>119</v>
      </c>
      <c r="G28" s="394">
        <v>92.248062015499997</v>
      </c>
      <c r="H28" s="393"/>
      <c r="I28" s="91">
        <v>10</v>
      </c>
      <c r="J28" s="394">
        <v>7.7519379844999996</v>
      </c>
    </row>
    <row r="29" spans="2:10" s="392" customFormat="1" ht="12.75" customHeight="1" x14ac:dyDescent="0.2">
      <c r="B29" s="97" t="s">
        <v>19</v>
      </c>
      <c r="C29" s="391"/>
      <c r="D29" s="91">
        <v>84</v>
      </c>
      <c r="E29" s="393"/>
      <c r="F29" s="91">
        <v>77</v>
      </c>
      <c r="G29" s="394">
        <v>91.666666666699996</v>
      </c>
      <c r="H29" s="393"/>
      <c r="I29" s="91">
        <v>7</v>
      </c>
      <c r="J29" s="394">
        <v>8.3333333333000006</v>
      </c>
    </row>
    <row r="30" spans="2:10" s="392" customFormat="1" ht="12.75" customHeight="1" x14ac:dyDescent="0.2">
      <c r="B30" s="97" t="s">
        <v>20</v>
      </c>
      <c r="C30" s="391"/>
      <c r="D30" s="91">
        <v>193</v>
      </c>
      <c r="E30" s="393"/>
      <c r="F30" s="91">
        <v>175</v>
      </c>
      <c r="G30" s="394">
        <v>90.673575129499994</v>
      </c>
      <c r="H30" s="393"/>
      <c r="I30" s="91">
        <v>18</v>
      </c>
      <c r="J30" s="394">
        <v>9.3264248705000004</v>
      </c>
    </row>
    <row r="31" spans="2:10" s="392" customFormat="1" ht="12.75" customHeight="1" x14ac:dyDescent="0.2">
      <c r="B31" s="97" t="s">
        <v>21</v>
      </c>
      <c r="C31" s="391"/>
      <c r="D31" s="91">
        <v>232</v>
      </c>
      <c r="E31" s="393"/>
      <c r="F31" s="91">
        <v>220</v>
      </c>
      <c r="G31" s="394">
        <v>94.827586206899994</v>
      </c>
      <c r="H31" s="393"/>
      <c r="I31" s="91">
        <v>12</v>
      </c>
      <c r="J31" s="394">
        <v>5.1724137930999996</v>
      </c>
    </row>
    <row r="32" spans="2:10" s="392" customFormat="1" ht="12.75" customHeight="1" x14ac:dyDescent="0.2">
      <c r="B32" s="97" t="s">
        <v>22</v>
      </c>
      <c r="C32" s="391"/>
      <c r="D32" s="91">
        <v>117</v>
      </c>
      <c r="E32" s="393"/>
      <c r="F32" s="91">
        <v>113</v>
      </c>
      <c r="G32" s="394">
        <v>96.581196581200004</v>
      </c>
      <c r="H32" s="393"/>
      <c r="I32" s="91">
        <v>4</v>
      </c>
      <c r="J32" s="394">
        <v>3.4188034188</v>
      </c>
    </row>
    <row r="33" spans="2:10" s="392" customFormat="1" ht="12.75" customHeight="1" x14ac:dyDescent="0.2">
      <c r="B33" s="97" t="s">
        <v>23</v>
      </c>
      <c r="C33" s="391"/>
      <c r="D33" s="91">
        <v>76</v>
      </c>
      <c r="E33" s="393"/>
      <c r="F33" s="91">
        <v>63</v>
      </c>
      <c r="G33" s="394">
        <v>82.894736842100002</v>
      </c>
      <c r="H33" s="393"/>
      <c r="I33" s="91">
        <v>13</v>
      </c>
      <c r="J33" s="394">
        <v>17.105263157900001</v>
      </c>
    </row>
    <row r="34" spans="2:10" s="392" customFormat="1" ht="12.75" customHeight="1" x14ac:dyDescent="0.2">
      <c r="B34" s="97" t="s">
        <v>24</v>
      </c>
      <c r="C34" s="391"/>
      <c r="D34" s="91">
        <v>179</v>
      </c>
      <c r="E34" s="393"/>
      <c r="F34" s="91">
        <v>162</v>
      </c>
      <c r="G34" s="394">
        <v>90.502793296099995</v>
      </c>
      <c r="H34" s="393"/>
      <c r="I34" s="91">
        <v>17</v>
      </c>
      <c r="J34" s="394">
        <v>9.4972067038999999</v>
      </c>
    </row>
    <row r="35" spans="2:10" s="392" customFormat="1" ht="12.75" customHeight="1" x14ac:dyDescent="0.2">
      <c r="B35" s="97" t="s">
        <v>25</v>
      </c>
      <c r="C35" s="391"/>
      <c r="D35" s="91">
        <v>182</v>
      </c>
      <c r="E35" s="393"/>
      <c r="F35" s="91">
        <v>152</v>
      </c>
      <c r="G35" s="394">
        <v>83.516483516500003</v>
      </c>
      <c r="H35" s="393"/>
      <c r="I35" s="91">
        <v>30</v>
      </c>
      <c r="J35" s="394">
        <v>16.483516483500001</v>
      </c>
    </row>
    <row r="36" spans="2:10" s="392" customFormat="1" ht="12.75" customHeight="1" x14ac:dyDescent="0.2">
      <c r="B36" s="97" t="s">
        <v>26</v>
      </c>
      <c r="C36" s="391"/>
      <c r="D36" s="91">
        <v>118</v>
      </c>
      <c r="E36" s="393"/>
      <c r="F36" s="91">
        <v>115</v>
      </c>
      <c r="G36" s="394">
        <v>97.457627118600001</v>
      </c>
      <c r="H36" s="393"/>
      <c r="I36" s="91">
        <v>3</v>
      </c>
      <c r="J36" s="394">
        <v>2.5423728814</v>
      </c>
    </row>
    <row r="37" spans="2:10" s="392" customFormat="1" ht="12.75" customHeight="1" x14ac:dyDescent="0.2">
      <c r="B37" s="97" t="s">
        <v>27</v>
      </c>
      <c r="C37" s="391"/>
      <c r="D37" s="91">
        <v>132</v>
      </c>
      <c r="E37" s="393"/>
      <c r="F37" s="91">
        <v>125</v>
      </c>
      <c r="G37" s="394">
        <v>94.696969697</v>
      </c>
      <c r="H37" s="393"/>
      <c r="I37" s="91">
        <v>7</v>
      </c>
      <c r="J37" s="394">
        <v>5.3030303029999999</v>
      </c>
    </row>
    <row r="38" spans="2:10" s="392" customFormat="1" ht="12.75" customHeight="1" x14ac:dyDescent="0.2">
      <c r="B38" s="97" t="s">
        <v>28</v>
      </c>
      <c r="C38" s="391"/>
      <c r="D38" s="91">
        <v>246</v>
      </c>
      <c r="E38" s="393"/>
      <c r="F38" s="91">
        <v>246</v>
      </c>
      <c r="G38" s="394">
        <v>100</v>
      </c>
      <c r="H38" s="393"/>
      <c r="I38" s="91">
        <v>0</v>
      </c>
      <c r="J38" s="394">
        <v>0</v>
      </c>
    </row>
    <row r="39" spans="2:10" s="392" customFormat="1" ht="12.75" customHeight="1" x14ac:dyDescent="0.2">
      <c r="B39" s="97" t="s">
        <v>29</v>
      </c>
      <c r="C39" s="391"/>
      <c r="D39" s="91">
        <v>133</v>
      </c>
      <c r="E39" s="393"/>
      <c r="F39" s="91">
        <v>125</v>
      </c>
      <c r="G39" s="394">
        <v>93.984962405999994</v>
      </c>
      <c r="H39" s="393"/>
      <c r="I39" s="91">
        <v>8</v>
      </c>
      <c r="J39" s="394">
        <v>6.0150375939999998</v>
      </c>
    </row>
    <row r="40" spans="2:10" s="392" customFormat="1" ht="12.75" customHeight="1" x14ac:dyDescent="0.2">
      <c r="B40" s="97" t="s">
        <v>30</v>
      </c>
      <c r="C40" s="391"/>
      <c r="D40" s="91">
        <v>168</v>
      </c>
      <c r="E40" s="393"/>
      <c r="F40" s="91">
        <v>154</v>
      </c>
      <c r="G40" s="394">
        <v>91.666666666699996</v>
      </c>
      <c r="H40" s="393"/>
      <c r="I40" s="91">
        <v>14</v>
      </c>
      <c r="J40" s="394">
        <v>8.3333333333000006</v>
      </c>
    </row>
    <row r="41" spans="2:10" s="392" customFormat="1" ht="12.75" customHeight="1" x14ac:dyDescent="0.2">
      <c r="B41" s="97" t="s">
        <v>31</v>
      </c>
      <c r="C41" s="391"/>
      <c r="D41" s="91">
        <v>59</v>
      </c>
      <c r="E41" s="393"/>
      <c r="F41" s="91">
        <v>57</v>
      </c>
      <c r="G41" s="394">
        <v>96.610169491500002</v>
      </c>
      <c r="H41" s="393"/>
      <c r="I41" s="91">
        <v>2</v>
      </c>
      <c r="J41" s="394">
        <v>3.3898305084999998</v>
      </c>
    </row>
    <row r="42" spans="2:10" s="392" customFormat="1" ht="12.75" customHeight="1" x14ac:dyDescent="0.2">
      <c r="B42" s="97" t="s">
        <v>32</v>
      </c>
      <c r="C42" s="391"/>
      <c r="D42" s="91">
        <v>96</v>
      </c>
      <c r="E42" s="393"/>
      <c r="F42" s="91">
        <v>84</v>
      </c>
      <c r="G42" s="394">
        <v>87.5</v>
      </c>
      <c r="H42" s="393"/>
      <c r="I42" s="91">
        <v>12</v>
      </c>
      <c r="J42" s="394">
        <v>12.5</v>
      </c>
    </row>
    <row r="43" spans="2:10" s="392" customFormat="1" ht="12.75" customHeight="1" x14ac:dyDescent="0.2">
      <c r="B43" s="97" t="s">
        <v>33</v>
      </c>
      <c r="C43" s="391"/>
      <c r="D43" s="91">
        <v>222</v>
      </c>
      <c r="E43" s="393"/>
      <c r="F43" s="91">
        <v>215</v>
      </c>
      <c r="G43" s="394">
        <v>96.846846846800005</v>
      </c>
      <c r="H43" s="393"/>
      <c r="I43" s="91">
        <v>7</v>
      </c>
      <c r="J43" s="394">
        <v>3.1531531531999999</v>
      </c>
    </row>
    <row r="44" spans="2:10" s="392" customFormat="1" ht="12.75" customHeight="1" x14ac:dyDescent="0.2">
      <c r="B44" s="97" t="s">
        <v>34</v>
      </c>
      <c r="C44" s="391"/>
      <c r="D44" s="91">
        <v>150</v>
      </c>
      <c r="E44" s="393"/>
      <c r="F44" s="91">
        <v>145</v>
      </c>
      <c r="G44" s="394">
        <v>96.666666666699996</v>
      </c>
      <c r="H44" s="393"/>
      <c r="I44" s="91">
        <v>5</v>
      </c>
      <c r="J44" s="394">
        <v>3.3333333333000001</v>
      </c>
    </row>
    <row r="45" spans="2:10" ht="6" customHeight="1" x14ac:dyDescent="0.25">
      <c r="B45" s="395"/>
      <c r="C45" s="396"/>
      <c r="D45" s="264"/>
      <c r="E45" s="397"/>
      <c r="F45" s="264"/>
      <c r="G45" s="398"/>
      <c r="H45" s="398"/>
      <c r="I45" s="264"/>
      <c r="J45" s="398"/>
    </row>
    <row r="46" spans="2:10" ht="6" customHeight="1" x14ac:dyDescent="0.25">
      <c r="B46" s="228"/>
      <c r="C46" s="380"/>
      <c r="D46" s="162"/>
      <c r="E46" s="399"/>
      <c r="F46" s="162"/>
      <c r="G46" s="400"/>
      <c r="H46" s="400"/>
      <c r="I46" s="162"/>
      <c r="J46" s="400"/>
    </row>
    <row r="47" spans="2:10" ht="25.5" customHeight="1" x14ac:dyDescent="0.25">
      <c r="B47" s="679" t="s">
        <v>93</v>
      </c>
      <c r="C47" s="679"/>
      <c r="D47" s="679"/>
      <c r="E47" s="679"/>
      <c r="F47" s="679"/>
      <c r="G47" s="679"/>
      <c r="H47" s="679"/>
      <c r="I47" s="679"/>
      <c r="J47" s="679"/>
    </row>
    <row r="48" spans="2:10" ht="12.75" customHeight="1" x14ac:dyDescent="0.25">
      <c r="B48" s="401" t="s">
        <v>80</v>
      </c>
      <c r="C48" s="380"/>
      <c r="D48" s="162"/>
      <c r="E48" s="399"/>
      <c r="F48" s="162"/>
      <c r="G48" s="400"/>
      <c r="H48" s="400"/>
      <c r="I48" s="162"/>
      <c r="J48" s="400"/>
    </row>
    <row r="49" spans="2:10" ht="12" customHeight="1" x14ac:dyDescent="0.25">
      <c r="B49" s="401" t="s">
        <v>81</v>
      </c>
      <c r="C49" s="380"/>
      <c r="D49" s="162"/>
      <c r="E49" s="399"/>
      <c r="F49" s="162"/>
      <c r="G49" s="400"/>
      <c r="H49" s="400"/>
      <c r="I49" s="162"/>
      <c r="J49" s="400"/>
    </row>
    <row r="50" spans="2:10" s="13" customFormat="1" ht="14.25" x14ac:dyDescent="0.2">
      <c r="B50" s="113" t="s">
        <v>57</v>
      </c>
    </row>
  </sheetData>
  <mergeCells count="7">
    <mergeCell ref="B47:J47"/>
    <mergeCell ref="B5:I5"/>
    <mergeCell ref="B7:C9"/>
    <mergeCell ref="D7:D9"/>
    <mergeCell ref="F7:J7"/>
    <mergeCell ref="F8:G8"/>
    <mergeCell ref="I8:J8"/>
  </mergeCells>
  <hyperlinks>
    <hyperlink ref="J1" location="Índice!A1" tooltip="Ir a ÍNDICE" display="INDICE" xr:uid="{9D73A91F-1856-41CA-A3CA-069703B2A13C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9BB44-EF85-4002-BEEF-EAC131DE8C95}">
  <dimension ref="A1:R46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413" customWidth="1"/>
    <col min="2" max="2" width="24.28515625" style="413" customWidth="1"/>
    <col min="3" max="3" width="0.85546875" style="431" customWidth="1"/>
    <col min="4" max="4" width="27" style="432" customWidth="1"/>
    <col min="5" max="5" width="1.7109375" style="432" customWidth="1"/>
    <col min="6" max="6" width="28.85546875" style="433" customWidth="1"/>
    <col min="7" max="16384" width="11.42578125" style="413"/>
  </cols>
  <sheetData>
    <row r="1" spans="1:18" s="406" customFormat="1" ht="12" customHeight="1" x14ac:dyDescent="0.2">
      <c r="A1" s="616"/>
      <c r="B1" s="616" t="s">
        <v>202</v>
      </c>
      <c r="D1" s="407"/>
      <c r="E1" s="407"/>
      <c r="F1" s="72" t="s">
        <v>151</v>
      </c>
    </row>
    <row r="2" spans="1:18" s="406" customFormat="1" ht="6.95" customHeight="1" x14ac:dyDescent="0.2">
      <c r="B2" s="616"/>
      <c r="D2" s="407"/>
      <c r="E2" s="407"/>
      <c r="F2" s="407"/>
    </row>
    <row r="3" spans="1:18" s="406" customFormat="1" ht="15" customHeight="1" x14ac:dyDescent="0.2">
      <c r="B3" s="616" t="s">
        <v>199</v>
      </c>
      <c r="C3" s="405"/>
      <c r="D3" s="405"/>
      <c r="E3" s="405"/>
      <c r="F3" s="405"/>
      <c r="G3" s="405"/>
      <c r="H3" s="405"/>
      <c r="I3" s="405"/>
      <c r="J3" s="405"/>
      <c r="K3" s="405"/>
      <c r="L3" s="405"/>
      <c r="M3" s="405"/>
      <c r="N3" s="405"/>
      <c r="O3" s="405"/>
      <c r="P3" s="405"/>
      <c r="Q3" s="405"/>
      <c r="R3" s="405"/>
    </row>
    <row r="4" spans="1:18" s="406" customFormat="1" ht="6.95" customHeight="1" x14ac:dyDescent="0.2">
      <c r="C4" s="408"/>
      <c r="D4" s="407"/>
      <c r="E4" s="407"/>
      <c r="F4" s="407"/>
    </row>
    <row r="5" spans="1:18" s="406" customFormat="1" ht="25.5" customHeight="1" x14ac:dyDescent="0.2">
      <c r="B5" s="687" t="s">
        <v>152</v>
      </c>
      <c r="C5" s="687"/>
      <c r="D5" s="687"/>
      <c r="E5" s="687"/>
      <c r="F5" s="71" t="s">
        <v>115</v>
      </c>
      <c r="G5" s="409"/>
      <c r="H5" s="409"/>
      <c r="I5" s="409"/>
      <c r="J5" s="409"/>
      <c r="K5" s="409"/>
    </row>
    <row r="6" spans="1:18" ht="6" customHeight="1" x14ac:dyDescent="0.25">
      <c r="B6" s="410"/>
      <c r="C6" s="411"/>
      <c r="D6" s="412"/>
      <c r="E6" s="412"/>
      <c r="F6" s="412"/>
      <c r="G6" s="410"/>
      <c r="H6" s="410"/>
      <c r="I6" s="410"/>
      <c r="J6" s="410"/>
      <c r="K6" s="410"/>
    </row>
    <row r="7" spans="1:18" ht="60.75" customHeight="1" x14ac:dyDescent="0.25">
      <c r="B7" s="32" t="s">
        <v>76</v>
      </c>
      <c r="C7" s="32"/>
      <c r="D7" s="414" t="s">
        <v>108</v>
      </c>
      <c r="E7" s="415"/>
      <c r="F7" s="416" t="s">
        <v>82</v>
      </c>
      <c r="G7" s="410"/>
      <c r="H7" s="410"/>
      <c r="I7" s="410"/>
      <c r="J7" s="410"/>
      <c r="K7" s="410"/>
    </row>
    <row r="8" spans="1:18" ht="6" customHeight="1" x14ac:dyDescent="0.25">
      <c r="B8" s="31"/>
      <c r="C8" s="417"/>
      <c r="D8" s="418"/>
      <c r="E8" s="418"/>
      <c r="F8" s="418"/>
      <c r="G8" s="410"/>
      <c r="H8" s="410"/>
      <c r="I8" s="410"/>
      <c r="J8" s="410"/>
      <c r="K8" s="410"/>
    </row>
    <row r="9" spans="1:18" s="420" customFormat="1" ht="11.25" x14ac:dyDescent="0.2">
      <c r="B9" s="96" t="s">
        <v>2</v>
      </c>
      <c r="C9" s="419"/>
      <c r="D9" s="89">
        <v>4626</v>
      </c>
      <c r="E9" s="89"/>
      <c r="F9" s="302">
        <v>3.4147027027027002</v>
      </c>
      <c r="G9" s="419"/>
      <c r="H9" s="419"/>
      <c r="I9" s="419"/>
      <c r="J9" s="419"/>
      <c r="K9" s="419"/>
    </row>
    <row r="10" spans="1:18" s="422" customFormat="1" ht="6" customHeight="1" x14ac:dyDescent="0.2">
      <c r="B10" s="96"/>
      <c r="C10" s="421"/>
      <c r="D10" s="91"/>
      <c r="E10" s="91"/>
      <c r="F10" s="306"/>
      <c r="G10" s="421"/>
      <c r="H10" s="421"/>
      <c r="I10" s="421"/>
      <c r="J10" s="421"/>
      <c r="K10" s="421"/>
    </row>
    <row r="11" spans="1:18" s="422" customFormat="1" ht="12.75" customHeight="1" x14ac:dyDescent="0.2">
      <c r="B11" s="97" t="s">
        <v>3</v>
      </c>
      <c r="C11" s="423"/>
      <c r="D11" s="91">
        <v>213</v>
      </c>
      <c r="E11" s="91"/>
      <c r="F11" s="306">
        <v>3.7464788732394401</v>
      </c>
      <c r="G11" s="421"/>
      <c r="H11" s="421"/>
      <c r="I11" s="421"/>
      <c r="J11" s="421"/>
      <c r="K11" s="421"/>
    </row>
    <row r="12" spans="1:18" s="422" customFormat="1" ht="12.75" customHeight="1" x14ac:dyDescent="0.2">
      <c r="B12" s="97" t="s">
        <v>4</v>
      </c>
      <c r="C12" s="423"/>
      <c r="D12" s="91">
        <v>166</v>
      </c>
      <c r="E12" s="91"/>
      <c r="F12" s="306">
        <v>3.3915662650602401</v>
      </c>
      <c r="G12" s="421"/>
      <c r="H12" s="421"/>
      <c r="I12" s="421"/>
      <c r="J12" s="421"/>
      <c r="K12" s="421"/>
    </row>
    <row r="13" spans="1:18" s="422" customFormat="1" ht="12.75" customHeight="1" x14ac:dyDescent="0.2">
      <c r="B13" s="97" t="s">
        <v>5</v>
      </c>
      <c r="C13" s="423"/>
      <c r="D13" s="91">
        <v>157</v>
      </c>
      <c r="E13" s="91"/>
      <c r="F13" s="306">
        <v>3.5668789808917198</v>
      </c>
      <c r="G13" s="421"/>
      <c r="H13" s="421"/>
      <c r="I13" s="421"/>
      <c r="J13" s="421"/>
      <c r="K13" s="421"/>
    </row>
    <row r="14" spans="1:18" s="422" customFormat="1" ht="12.75" customHeight="1" x14ac:dyDescent="0.2">
      <c r="B14" s="97" t="s">
        <v>6</v>
      </c>
      <c r="C14" s="423"/>
      <c r="D14" s="91">
        <v>139</v>
      </c>
      <c r="E14" s="424"/>
      <c r="F14" s="615">
        <v>3.2374100719424499</v>
      </c>
      <c r="G14" s="421"/>
      <c r="H14" s="421"/>
      <c r="I14" s="421"/>
      <c r="J14" s="421"/>
      <c r="K14" s="421"/>
    </row>
    <row r="15" spans="1:18" s="422" customFormat="1" ht="12.75" customHeight="1" x14ac:dyDescent="0.2">
      <c r="B15" s="97" t="s">
        <v>7</v>
      </c>
      <c r="C15" s="423"/>
      <c r="D15" s="91">
        <v>144</v>
      </c>
      <c r="E15" s="424"/>
      <c r="F15" s="615">
        <v>3.7638888888888902</v>
      </c>
      <c r="G15" s="421"/>
      <c r="H15" s="421"/>
      <c r="I15" s="421"/>
      <c r="J15" s="421"/>
      <c r="K15" s="421"/>
    </row>
    <row r="16" spans="1:18" s="422" customFormat="1" ht="12.75" customHeight="1" x14ac:dyDescent="0.2">
      <c r="B16" s="97" t="s">
        <v>8</v>
      </c>
      <c r="C16" s="423"/>
      <c r="D16" s="91">
        <v>190</v>
      </c>
      <c r="E16" s="424"/>
      <c r="F16" s="615">
        <v>2.8421052631578898</v>
      </c>
      <c r="G16" s="421"/>
      <c r="H16" s="421"/>
      <c r="I16" s="421"/>
      <c r="J16" s="421"/>
      <c r="K16" s="421"/>
    </row>
    <row r="17" spans="2:11" s="422" customFormat="1" ht="12.75" customHeight="1" x14ac:dyDescent="0.2">
      <c r="B17" s="97" t="s">
        <v>9</v>
      </c>
      <c r="C17" s="423"/>
      <c r="D17" s="91">
        <v>90</v>
      </c>
      <c r="E17" s="424"/>
      <c r="F17" s="615">
        <v>2.3555555555555601</v>
      </c>
      <c r="G17" s="421"/>
      <c r="H17" s="421"/>
      <c r="I17" s="421"/>
      <c r="J17" s="421"/>
      <c r="K17" s="421"/>
    </row>
    <row r="18" spans="2:11" s="422" customFormat="1" ht="12.75" customHeight="1" x14ac:dyDescent="0.2">
      <c r="B18" s="97" t="s">
        <v>10</v>
      </c>
      <c r="C18" s="423"/>
      <c r="D18" s="91">
        <v>135</v>
      </c>
      <c r="E18" s="424"/>
      <c r="F18" s="615">
        <v>3.7259259259259299</v>
      </c>
      <c r="G18" s="421"/>
      <c r="H18" s="421"/>
      <c r="I18" s="421"/>
      <c r="J18" s="421"/>
      <c r="K18" s="421"/>
    </row>
    <row r="19" spans="2:11" s="422" customFormat="1" ht="12.75" customHeight="1" x14ac:dyDescent="0.2">
      <c r="B19" s="97" t="s">
        <v>11</v>
      </c>
      <c r="C19" s="423"/>
      <c r="D19" s="91">
        <v>111</v>
      </c>
      <c r="E19" s="424"/>
      <c r="F19" s="615">
        <v>4.1351351351351404</v>
      </c>
      <c r="G19" s="421"/>
      <c r="H19" s="421"/>
      <c r="I19" s="421"/>
      <c r="J19" s="421"/>
      <c r="K19" s="421"/>
    </row>
    <row r="20" spans="2:11" s="422" customFormat="1" ht="12.75" customHeight="1" x14ac:dyDescent="0.2">
      <c r="B20" s="97" t="s">
        <v>12</v>
      </c>
      <c r="C20" s="423"/>
      <c r="D20" s="91">
        <v>160</v>
      </c>
      <c r="E20" s="424"/>
      <c r="F20" s="615">
        <v>3.6312500000000001</v>
      </c>
      <c r="G20" s="421"/>
      <c r="H20" s="421"/>
      <c r="I20" s="421"/>
      <c r="J20" s="421"/>
      <c r="K20" s="421"/>
    </row>
    <row r="21" spans="2:11" s="422" customFormat="1" ht="12.75" customHeight="1" x14ac:dyDescent="0.2">
      <c r="B21" s="97" t="s">
        <v>13</v>
      </c>
      <c r="C21" s="423"/>
      <c r="D21" s="91">
        <v>120</v>
      </c>
      <c r="E21" s="424"/>
      <c r="F21" s="615">
        <v>3.2083333333333299</v>
      </c>
      <c r="G21" s="421"/>
      <c r="H21" s="421"/>
      <c r="I21" s="421"/>
      <c r="J21" s="421"/>
      <c r="K21" s="421"/>
    </row>
    <row r="22" spans="2:11" s="422" customFormat="1" ht="12.75" customHeight="1" x14ac:dyDescent="0.2">
      <c r="B22" s="97" t="s">
        <v>14</v>
      </c>
      <c r="C22" s="423"/>
      <c r="D22" s="91">
        <v>95</v>
      </c>
      <c r="E22" s="424"/>
      <c r="F22" s="615">
        <v>2.6842105263157898</v>
      </c>
      <c r="G22" s="421"/>
      <c r="H22" s="421"/>
      <c r="I22" s="421"/>
      <c r="J22" s="421"/>
      <c r="K22" s="421"/>
    </row>
    <row r="23" spans="2:11" s="422" customFormat="1" ht="12.75" customHeight="1" x14ac:dyDescent="0.2">
      <c r="B23" s="97" t="s">
        <v>15</v>
      </c>
      <c r="C23" s="423"/>
      <c r="D23" s="91">
        <v>94</v>
      </c>
      <c r="E23" s="424"/>
      <c r="F23" s="615">
        <v>3.7553191489361701</v>
      </c>
      <c r="G23" s="421"/>
      <c r="H23" s="421"/>
      <c r="I23" s="421"/>
      <c r="J23" s="421"/>
      <c r="K23" s="421"/>
    </row>
    <row r="24" spans="2:11" s="422" customFormat="1" ht="12.75" customHeight="1" x14ac:dyDescent="0.2">
      <c r="B24" s="97" t="s">
        <v>16</v>
      </c>
      <c r="C24" s="423"/>
      <c r="D24" s="91">
        <v>216</v>
      </c>
      <c r="E24" s="424"/>
      <c r="F24" s="615">
        <v>3.3194444444444402</v>
      </c>
      <c r="G24" s="421"/>
      <c r="H24" s="421"/>
      <c r="I24" s="421"/>
      <c r="J24" s="421"/>
      <c r="K24" s="421"/>
    </row>
    <row r="25" spans="2:11" s="422" customFormat="1" ht="12.75" customHeight="1" x14ac:dyDescent="0.2">
      <c r="B25" s="97" t="s">
        <v>17</v>
      </c>
      <c r="C25" s="423"/>
      <c r="D25" s="91">
        <v>80</v>
      </c>
      <c r="E25" s="424"/>
      <c r="F25" s="615">
        <v>3.9624999999999999</v>
      </c>
      <c r="G25" s="421"/>
      <c r="H25" s="421"/>
      <c r="I25" s="421"/>
      <c r="J25" s="421"/>
      <c r="K25" s="421"/>
    </row>
    <row r="26" spans="2:11" s="422" customFormat="1" ht="12.75" customHeight="1" x14ac:dyDescent="0.2">
      <c r="B26" s="97" t="s">
        <v>18</v>
      </c>
      <c r="C26" s="423"/>
      <c r="D26" s="91">
        <v>129</v>
      </c>
      <c r="E26" s="424"/>
      <c r="F26" s="615">
        <v>3.3333333333333299</v>
      </c>
      <c r="G26" s="421"/>
      <c r="H26" s="421"/>
      <c r="I26" s="421"/>
      <c r="J26" s="421"/>
      <c r="K26" s="421"/>
    </row>
    <row r="27" spans="2:11" s="422" customFormat="1" ht="12.75" customHeight="1" x14ac:dyDescent="0.2">
      <c r="B27" s="97" t="s">
        <v>19</v>
      </c>
      <c r="C27" s="423"/>
      <c r="D27" s="91">
        <v>84</v>
      </c>
      <c r="E27" s="424"/>
      <c r="F27" s="615">
        <v>3.63095238095238</v>
      </c>
      <c r="G27" s="421"/>
      <c r="H27" s="421"/>
      <c r="I27" s="421"/>
      <c r="J27" s="421"/>
      <c r="K27" s="421"/>
    </row>
    <row r="28" spans="2:11" s="422" customFormat="1" ht="12.75" customHeight="1" x14ac:dyDescent="0.2">
      <c r="B28" s="97" t="s">
        <v>20</v>
      </c>
      <c r="C28" s="423"/>
      <c r="D28" s="91">
        <v>193</v>
      </c>
      <c r="E28" s="424"/>
      <c r="F28" s="615">
        <v>3.46113989637306</v>
      </c>
      <c r="G28" s="421"/>
      <c r="H28" s="421"/>
      <c r="I28" s="421"/>
      <c r="J28" s="421"/>
      <c r="K28" s="421"/>
    </row>
    <row r="29" spans="2:11" s="422" customFormat="1" ht="12.75" customHeight="1" x14ac:dyDescent="0.2">
      <c r="B29" s="97" t="s">
        <v>21</v>
      </c>
      <c r="C29" s="423"/>
      <c r="D29" s="91">
        <v>232</v>
      </c>
      <c r="E29" s="424"/>
      <c r="F29" s="615">
        <v>3.56034482758621</v>
      </c>
      <c r="G29" s="421"/>
      <c r="H29" s="421"/>
      <c r="I29" s="421"/>
      <c r="J29" s="421"/>
      <c r="K29" s="421"/>
    </row>
    <row r="30" spans="2:11" s="422" customFormat="1" ht="12.75" customHeight="1" x14ac:dyDescent="0.2">
      <c r="B30" s="97" t="s">
        <v>22</v>
      </c>
      <c r="C30" s="423"/>
      <c r="D30" s="91">
        <v>117</v>
      </c>
      <c r="E30" s="424"/>
      <c r="F30" s="615">
        <v>3.0427350427350399</v>
      </c>
      <c r="G30" s="421"/>
      <c r="H30" s="421"/>
      <c r="I30" s="421"/>
      <c r="J30" s="421"/>
      <c r="K30" s="421"/>
    </row>
    <row r="31" spans="2:11" s="422" customFormat="1" ht="12.75" customHeight="1" x14ac:dyDescent="0.2">
      <c r="B31" s="97" t="s">
        <v>23</v>
      </c>
      <c r="C31" s="423"/>
      <c r="D31" s="91">
        <v>76</v>
      </c>
      <c r="E31" s="424"/>
      <c r="F31" s="615">
        <v>3.5394736842105301</v>
      </c>
      <c r="G31" s="421"/>
      <c r="H31" s="421"/>
      <c r="I31" s="421"/>
      <c r="J31" s="421"/>
      <c r="K31" s="421"/>
    </row>
    <row r="32" spans="2:11" s="422" customFormat="1" ht="12.75" customHeight="1" x14ac:dyDescent="0.2">
      <c r="B32" s="97" t="s">
        <v>24</v>
      </c>
      <c r="C32" s="423"/>
      <c r="D32" s="91">
        <v>179</v>
      </c>
      <c r="E32" s="424"/>
      <c r="F32" s="615">
        <v>3.7094972067039098</v>
      </c>
      <c r="G32" s="421"/>
      <c r="H32" s="421"/>
      <c r="I32" s="421"/>
      <c r="J32" s="421"/>
      <c r="K32" s="421"/>
    </row>
    <row r="33" spans="2:11" s="422" customFormat="1" ht="12.75" customHeight="1" x14ac:dyDescent="0.2">
      <c r="B33" s="97" t="s">
        <v>25</v>
      </c>
      <c r="C33" s="423"/>
      <c r="D33" s="91">
        <v>182</v>
      </c>
      <c r="E33" s="424"/>
      <c r="F33" s="615">
        <v>2.7472527472527499</v>
      </c>
      <c r="G33" s="421"/>
      <c r="H33" s="421"/>
      <c r="I33" s="421"/>
      <c r="J33" s="421"/>
      <c r="K33" s="421"/>
    </row>
    <row r="34" spans="2:11" s="422" customFormat="1" ht="12.75" customHeight="1" x14ac:dyDescent="0.2">
      <c r="B34" s="97" t="s">
        <v>26</v>
      </c>
      <c r="C34" s="423"/>
      <c r="D34" s="91">
        <v>118</v>
      </c>
      <c r="E34" s="424"/>
      <c r="F34" s="615">
        <v>3.56779661016949</v>
      </c>
      <c r="G34" s="421"/>
      <c r="H34" s="421"/>
      <c r="I34" s="421"/>
      <c r="J34" s="421"/>
      <c r="K34" s="421"/>
    </row>
    <row r="35" spans="2:11" s="422" customFormat="1" ht="12.75" customHeight="1" x14ac:dyDescent="0.2">
      <c r="B35" s="97" t="s">
        <v>27</v>
      </c>
      <c r="C35" s="423"/>
      <c r="D35" s="91">
        <v>132</v>
      </c>
      <c r="E35" s="424"/>
      <c r="F35" s="615">
        <v>3.3787878787878798</v>
      </c>
      <c r="G35" s="421"/>
      <c r="H35" s="421"/>
      <c r="I35" s="421"/>
      <c r="J35" s="421"/>
      <c r="K35" s="421"/>
    </row>
    <row r="36" spans="2:11" s="422" customFormat="1" ht="12.75" customHeight="1" x14ac:dyDescent="0.2">
      <c r="B36" s="97" t="s">
        <v>28</v>
      </c>
      <c r="C36" s="423"/>
      <c r="D36" s="91">
        <v>246</v>
      </c>
      <c r="E36" s="424"/>
      <c r="F36" s="615">
        <v>3.3877551020408201</v>
      </c>
      <c r="G36" s="421"/>
      <c r="H36" s="421"/>
      <c r="I36" s="421"/>
      <c r="J36" s="421"/>
      <c r="K36" s="421"/>
    </row>
    <row r="37" spans="2:11" s="422" customFormat="1" ht="12.75" customHeight="1" x14ac:dyDescent="0.2">
      <c r="B37" s="97" t="s">
        <v>29</v>
      </c>
      <c r="C37" s="423"/>
      <c r="D37" s="91">
        <v>133</v>
      </c>
      <c r="E37" s="424"/>
      <c r="F37" s="615">
        <v>3.21804511278195</v>
      </c>
      <c r="G37" s="421"/>
      <c r="H37" s="421"/>
      <c r="I37" s="421"/>
      <c r="J37" s="421"/>
      <c r="K37" s="421"/>
    </row>
    <row r="38" spans="2:11" s="422" customFormat="1" ht="12.75" customHeight="1" x14ac:dyDescent="0.2">
      <c r="B38" s="97" t="s">
        <v>30</v>
      </c>
      <c r="C38" s="423"/>
      <c r="D38" s="91">
        <v>168</v>
      </c>
      <c r="E38" s="424"/>
      <c r="F38" s="615">
        <v>3.6011904761904798</v>
      </c>
      <c r="G38" s="421"/>
      <c r="H38" s="421"/>
      <c r="I38" s="421"/>
      <c r="J38" s="421"/>
      <c r="K38" s="421"/>
    </row>
    <row r="39" spans="2:11" s="422" customFormat="1" ht="12.75" customHeight="1" x14ac:dyDescent="0.2">
      <c r="B39" s="97" t="s">
        <v>31</v>
      </c>
      <c r="C39" s="423"/>
      <c r="D39" s="91">
        <v>59</v>
      </c>
      <c r="E39" s="424"/>
      <c r="F39" s="615">
        <v>4.1694915254237301</v>
      </c>
      <c r="G39" s="421"/>
      <c r="H39" s="421"/>
      <c r="I39" s="421"/>
      <c r="J39" s="421"/>
      <c r="K39" s="421"/>
    </row>
    <row r="40" spans="2:11" s="422" customFormat="1" ht="12.75" customHeight="1" x14ac:dyDescent="0.2">
      <c r="B40" s="97" t="s">
        <v>32</v>
      </c>
      <c r="C40" s="423"/>
      <c r="D40" s="91">
        <v>96</v>
      </c>
      <c r="E40" s="424"/>
      <c r="F40" s="615">
        <v>3.25</v>
      </c>
      <c r="G40" s="421"/>
      <c r="H40" s="421"/>
      <c r="I40" s="421"/>
      <c r="J40" s="421"/>
      <c r="K40" s="421"/>
    </row>
    <row r="41" spans="2:11" s="422" customFormat="1" ht="12.75" customHeight="1" x14ac:dyDescent="0.2">
      <c r="B41" s="97" t="s">
        <v>33</v>
      </c>
      <c r="C41" s="423"/>
      <c r="D41" s="91">
        <v>222</v>
      </c>
      <c r="E41" s="424"/>
      <c r="F41" s="615">
        <v>2.9954954954955002</v>
      </c>
      <c r="G41" s="421"/>
      <c r="H41" s="421"/>
      <c r="I41" s="421"/>
      <c r="J41" s="421"/>
      <c r="K41" s="421"/>
    </row>
    <row r="42" spans="2:11" s="422" customFormat="1" ht="12.75" customHeight="1" x14ac:dyDescent="0.2">
      <c r="B42" s="97" t="s">
        <v>34</v>
      </c>
      <c r="C42" s="423"/>
      <c r="D42" s="91">
        <v>150</v>
      </c>
      <c r="E42" s="424"/>
      <c r="F42" s="615">
        <v>3.91333333333333</v>
      </c>
      <c r="G42" s="421"/>
      <c r="H42" s="421"/>
      <c r="I42" s="421"/>
      <c r="J42" s="421"/>
      <c r="K42" s="421"/>
    </row>
    <row r="43" spans="2:11" ht="6" customHeight="1" x14ac:dyDescent="0.25">
      <c r="B43" s="425"/>
      <c r="C43" s="426"/>
      <c r="D43" s="264"/>
      <c r="E43" s="427"/>
      <c r="F43" s="428"/>
      <c r="G43" s="410"/>
      <c r="H43" s="410"/>
      <c r="I43" s="410"/>
      <c r="J43" s="410"/>
      <c r="K43" s="410"/>
    </row>
    <row r="44" spans="2:11" ht="6" customHeight="1" x14ac:dyDescent="0.25">
      <c r="B44" s="228"/>
      <c r="C44" s="411"/>
      <c r="D44" s="162"/>
      <c r="E44" s="429"/>
      <c r="F44" s="430"/>
      <c r="G44" s="410"/>
      <c r="H44" s="410"/>
      <c r="I44" s="410"/>
      <c r="J44" s="410"/>
      <c r="K44" s="410"/>
    </row>
    <row r="45" spans="2:11" ht="25.5" customHeight="1" x14ac:dyDescent="0.25">
      <c r="B45" s="679" t="s">
        <v>93</v>
      </c>
      <c r="C45" s="679"/>
      <c r="D45" s="679"/>
      <c r="E45" s="679"/>
      <c r="F45" s="679"/>
      <c r="G45" s="410"/>
      <c r="H45" s="410"/>
      <c r="I45" s="410"/>
      <c r="J45" s="410"/>
      <c r="K45" s="410"/>
    </row>
    <row r="46" spans="2:11" s="13" customFormat="1" ht="14.25" x14ac:dyDescent="0.2">
      <c r="B46" s="113" t="s">
        <v>57</v>
      </c>
    </row>
  </sheetData>
  <mergeCells count="2">
    <mergeCell ref="B5:E5"/>
    <mergeCell ref="B45:F45"/>
  </mergeCells>
  <hyperlinks>
    <hyperlink ref="F1" location="Índice!A1" tooltip="Ir a ÍNDICE" display="INDICE" xr:uid="{5E39ADEA-B83D-4423-BBC3-915900DDACBD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1526-166A-4C83-812A-87F4E5DCF142}">
  <dimension ref="A1:AA48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441" customWidth="1"/>
    <col min="2" max="2" width="24.28515625" style="441" customWidth="1"/>
    <col min="3" max="3" width="0.85546875" style="439" customWidth="1"/>
    <col min="4" max="4" width="18.7109375" style="440" customWidth="1"/>
    <col min="5" max="5" width="1.7109375" style="440" customWidth="1"/>
    <col min="6" max="6" width="15" style="440" customWidth="1"/>
    <col min="7" max="7" width="12.7109375" style="472" customWidth="1"/>
    <col min="8" max="8" width="1.7109375" style="440" customWidth="1"/>
    <col min="9" max="9" width="16.28515625" style="440" customWidth="1"/>
    <col min="10" max="10" width="12.7109375" style="472" customWidth="1"/>
    <col min="11" max="11" width="1.7109375" style="441" customWidth="1"/>
    <col min="12" max="12" width="16.85546875" style="441" customWidth="1"/>
    <col min="13" max="13" width="11.42578125" style="441"/>
    <col min="14" max="14" width="1.7109375" style="441" customWidth="1"/>
    <col min="15" max="15" width="17.140625" style="441" customWidth="1"/>
    <col min="16" max="16" width="11.42578125" style="441"/>
    <col min="17" max="17" width="1.7109375" style="441" customWidth="1"/>
    <col min="18" max="18" width="18" style="441" customWidth="1"/>
    <col min="19" max="19" width="11.42578125" style="441"/>
    <col min="20" max="20" width="1.7109375" style="441" customWidth="1"/>
    <col min="21" max="21" width="17" style="441" customWidth="1"/>
    <col min="22" max="16384" width="11.42578125" style="441"/>
  </cols>
  <sheetData>
    <row r="1" spans="1:27" s="435" customFormat="1" ht="12" customHeight="1" x14ac:dyDescent="0.2">
      <c r="A1" s="616"/>
      <c r="B1" s="616" t="s">
        <v>202</v>
      </c>
      <c r="D1" s="436"/>
      <c r="E1" s="436"/>
      <c r="F1" s="436"/>
      <c r="G1" s="436"/>
      <c r="H1" s="436"/>
      <c r="I1" s="436"/>
      <c r="V1" s="72" t="s">
        <v>151</v>
      </c>
    </row>
    <row r="2" spans="1:27" s="435" customFormat="1" ht="6.95" customHeight="1" x14ac:dyDescent="0.2">
      <c r="B2" s="616"/>
      <c r="D2" s="436"/>
      <c r="E2" s="436"/>
      <c r="F2" s="436"/>
      <c r="G2" s="436"/>
      <c r="H2" s="436"/>
      <c r="I2" s="436"/>
      <c r="J2" s="436"/>
    </row>
    <row r="3" spans="1:27" s="435" customFormat="1" ht="15" customHeight="1" x14ac:dyDescent="0.2">
      <c r="B3" s="616" t="s">
        <v>199</v>
      </c>
      <c r="C3" s="434"/>
      <c r="D3" s="434"/>
      <c r="E3" s="434"/>
      <c r="F3" s="434"/>
      <c r="G3" s="434"/>
      <c r="H3" s="434"/>
      <c r="I3" s="434"/>
      <c r="J3" s="434"/>
      <c r="K3" s="434"/>
      <c r="L3" s="434"/>
      <c r="M3" s="434"/>
      <c r="N3" s="434"/>
      <c r="O3" s="434"/>
      <c r="P3" s="434"/>
      <c r="Q3" s="434"/>
      <c r="R3" s="434"/>
      <c r="S3" s="434"/>
    </row>
    <row r="4" spans="1:27" s="435" customFormat="1" ht="6.95" customHeight="1" x14ac:dyDescent="0.2">
      <c r="C4" s="437"/>
      <c r="D4" s="436"/>
      <c r="E4" s="436"/>
      <c r="F4" s="436"/>
      <c r="G4" s="436"/>
      <c r="H4" s="436"/>
      <c r="I4" s="436"/>
      <c r="J4" s="436"/>
    </row>
    <row r="5" spans="1:27" s="435" customFormat="1" ht="25.5" customHeight="1" x14ac:dyDescent="0.2">
      <c r="B5" s="688" t="s">
        <v>144</v>
      </c>
      <c r="C5" s="688"/>
      <c r="D5" s="688"/>
      <c r="E5" s="688"/>
      <c r="F5" s="688"/>
      <c r="G5" s="688"/>
      <c r="H5" s="688"/>
      <c r="I5" s="688"/>
      <c r="J5" s="688"/>
      <c r="V5" s="71" t="s">
        <v>116</v>
      </c>
    </row>
    <row r="6" spans="1:27" ht="6" customHeight="1" x14ac:dyDescent="0.25">
      <c r="B6" s="438"/>
      <c r="G6" s="440"/>
      <c r="J6" s="440"/>
    </row>
    <row r="7" spans="1:27" ht="15" customHeight="1" x14ac:dyDescent="0.25">
      <c r="B7" s="651" t="s">
        <v>76</v>
      </c>
      <c r="C7" s="651"/>
      <c r="D7" s="689" t="s">
        <v>86</v>
      </c>
      <c r="E7" s="442"/>
      <c r="F7" s="692" t="s">
        <v>75</v>
      </c>
      <c r="G7" s="692"/>
      <c r="H7" s="692"/>
      <c r="I7" s="692"/>
      <c r="J7" s="692"/>
      <c r="K7" s="692"/>
      <c r="L7" s="692"/>
      <c r="M7" s="692"/>
      <c r="N7" s="692"/>
      <c r="O7" s="692"/>
      <c r="P7" s="692"/>
      <c r="Q7" s="692"/>
      <c r="R7" s="692"/>
      <c r="S7" s="692"/>
      <c r="T7" s="692"/>
      <c r="U7" s="692"/>
      <c r="V7" s="692"/>
    </row>
    <row r="8" spans="1:27" ht="24.75" customHeight="1" x14ac:dyDescent="0.25">
      <c r="B8" s="652"/>
      <c r="C8" s="652"/>
      <c r="D8" s="690"/>
      <c r="E8" s="443"/>
      <c r="F8" s="693" t="s">
        <v>63</v>
      </c>
      <c r="G8" s="693"/>
      <c r="H8" s="444"/>
      <c r="I8" s="693" t="s">
        <v>64</v>
      </c>
      <c r="J8" s="693"/>
      <c r="K8" s="445"/>
      <c r="L8" s="693" t="s">
        <v>65</v>
      </c>
      <c r="M8" s="693"/>
      <c r="N8" s="445"/>
      <c r="O8" s="693" t="s">
        <v>66</v>
      </c>
      <c r="P8" s="693"/>
      <c r="Q8" s="446"/>
      <c r="R8" s="693" t="s">
        <v>67</v>
      </c>
      <c r="S8" s="693"/>
      <c r="T8" s="447"/>
      <c r="U8" s="693" t="s">
        <v>39</v>
      </c>
      <c r="V8" s="693"/>
    </row>
    <row r="9" spans="1:27" x14ac:dyDescent="0.25">
      <c r="B9" s="653"/>
      <c r="C9" s="653"/>
      <c r="D9" s="691"/>
      <c r="E9" s="448"/>
      <c r="F9" s="449" t="s">
        <v>0</v>
      </c>
      <c r="G9" s="449" t="s">
        <v>1</v>
      </c>
      <c r="H9" s="449"/>
      <c r="I9" s="449" t="s">
        <v>0</v>
      </c>
      <c r="J9" s="449" t="s">
        <v>1</v>
      </c>
      <c r="K9" s="450"/>
      <c r="L9" s="449" t="s">
        <v>0</v>
      </c>
      <c r="M9" s="449" t="s">
        <v>1</v>
      </c>
      <c r="N9" s="450"/>
      <c r="O9" s="449" t="s">
        <v>0</v>
      </c>
      <c r="P9" s="449" t="s">
        <v>1</v>
      </c>
      <c r="Q9" s="450"/>
      <c r="R9" s="449" t="s">
        <v>0</v>
      </c>
      <c r="S9" s="449" t="s">
        <v>1</v>
      </c>
      <c r="T9" s="450"/>
      <c r="U9" s="449" t="s">
        <v>0</v>
      </c>
      <c r="V9" s="449" t="s">
        <v>1</v>
      </c>
    </row>
    <row r="10" spans="1:27" ht="6" customHeight="1" x14ac:dyDescent="0.25">
      <c r="B10" s="10"/>
      <c r="C10" s="451"/>
      <c r="D10" s="452"/>
      <c r="E10" s="452"/>
      <c r="F10" s="453"/>
      <c r="G10" s="453"/>
      <c r="H10" s="453"/>
      <c r="I10" s="453"/>
      <c r="J10" s="453"/>
      <c r="K10" s="454"/>
      <c r="L10" s="454"/>
      <c r="M10" s="454"/>
      <c r="N10" s="454"/>
      <c r="O10" s="454"/>
      <c r="P10" s="454"/>
      <c r="Q10" s="454"/>
      <c r="R10" s="454"/>
      <c r="S10" s="454"/>
      <c r="T10" s="454"/>
      <c r="U10" s="454"/>
      <c r="V10" s="454"/>
      <c r="W10" s="454"/>
      <c r="X10" s="454"/>
      <c r="Y10" s="454"/>
      <c r="Z10" s="454"/>
      <c r="AA10" s="454"/>
    </row>
    <row r="11" spans="1:27" s="455" customFormat="1" ht="11.25" x14ac:dyDescent="0.2">
      <c r="B11" s="98" t="s">
        <v>2</v>
      </c>
      <c r="D11" s="456">
        <v>4626</v>
      </c>
      <c r="E11" s="456"/>
      <c r="F11" s="456">
        <v>766</v>
      </c>
      <c r="G11" s="457">
        <v>16.558581928199999</v>
      </c>
      <c r="H11" s="456"/>
      <c r="I11" s="456">
        <v>1126</v>
      </c>
      <c r="J11" s="457">
        <v>24.340683095500001</v>
      </c>
      <c r="K11" s="456"/>
      <c r="L11" s="456">
        <v>962</v>
      </c>
      <c r="M11" s="457">
        <v>20.795503674900001</v>
      </c>
      <c r="N11" s="456"/>
      <c r="O11" s="456">
        <v>823</v>
      </c>
      <c r="P11" s="457">
        <v>17.7907479464</v>
      </c>
      <c r="Q11" s="456"/>
      <c r="R11" s="456">
        <v>733</v>
      </c>
      <c r="S11" s="457">
        <v>15.845222654600001</v>
      </c>
      <c r="T11" s="456"/>
      <c r="U11" s="456">
        <v>216</v>
      </c>
      <c r="V11" s="457">
        <v>4.6692607003999997</v>
      </c>
      <c r="W11" s="456"/>
      <c r="X11" s="456"/>
      <c r="Y11" s="456"/>
      <c r="Z11" s="456"/>
      <c r="AA11" s="456"/>
    </row>
    <row r="12" spans="1:27" s="458" customFormat="1" ht="6" customHeight="1" x14ac:dyDescent="0.2">
      <c r="B12" s="98"/>
      <c r="D12" s="459"/>
      <c r="E12" s="459"/>
      <c r="F12" s="459"/>
      <c r="G12" s="460"/>
      <c r="H12" s="459"/>
      <c r="I12" s="459"/>
      <c r="J12" s="460"/>
      <c r="K12" s="459"/>
      <c r="L12" s="459"/>
      <c r="M12" s="460"/>
      <c r="N12" s="459"/>
      <c r="O12" s="459"/>
      <c r="P12" s="460"/>
      <c r="Q12" s="459"/>
      <c r="R12" s="459"/>
      <c r="S12" s="460"/>
      <c r="T12" s="459"/>
      <c r="U12" s="459"/>
      <c r="V12" s="460"/>
      <c r="W12" s="459"/>
      <c r="X12" s="459"/>
      <c r="Y12" s="459"/>
      <c r="Z12" s="459"/>
      <c r="AA12" s="459"/>
    </row>
    <row r="13" spans="1:27" s="458" customFormat="1" ht="12.75" customHeight="1" x14ac:dyDescent="0.2">
      <c r="B13" s="97" t="s">
        <v>3</v>
      </c>
      <c r="C13" s="461"/>
      <c r="D13" s="459">
        <v>213</v>
      </c>
      <c r="E13" s="459"/>
      <c r="F13" s="459">
        <v>12</v>
      </c>
      <c r="G13" s="460">
        <v>5.6338028169000003</v>
      </c>
      <c r="H13" s="459"/>
      <c r="I13" s="459">
        <v>45</v>
      </c>
      <c r="J13" s="460">
        <v>21.126760563400001</v>
      </c>
      <c r="K13" s="459"/>
      <c r="L13" s="459">
        <v>73</v>
      </c>
      <c r="M13" s="460">
        <v>34.272300469500003</v>
      </c>
      <c r="N13" s="459"/>
      <c r="O13" s="459">
        <v>38</v>
      </c>
      <c r="P13" s="460">
        <v>17.840375586899999</v>
      </c>
      <c r="Q13" s="459"/>
      <c r="R13" s="459">
        <v>27</v>
      </c>
      <c r="S13" s="460">
        <v>12.676056338</v>
      </c>
      <c r="T13" s="459"/>
      <c r="U13" s="459">
        <v>18</v>
      </c>
      <c r="V13" s="460">
        <v>8.4507042254000009</v>
      </c>
      <c r="W13" s="459"/>
      <c r="X13" s="459"/>
      <c r="Y13" s="459"/>
      <c r="Z13" s="459"/>
      <c r="AA13" s="459"/>
    </row>
    <row r="14" spans="1:27" s="458" customFormat="1" ht="12.75" customHeight="1" x14ac:dyDescent="0.2">
      <c r="B14" s="97" t="s">
        <v>4</v>
      </c>
      <c r="C14" s="461"/>
      <c r="D14" s="459">
        <v>166</v>
      </c>
      <c r="E14" s="459"/>
      <c r="F14" s="459">
        <v>23</v>
      </c>
      <c r="G14" s="460">
        <v>13.8554216867</v>
      </c>
      <c r="H14" s="459"/>
      <c r="I14" s="459">
        <v>31</v>
      </c>
      <c r="J14" s="460">
        <v>18.674698795200001</v>
      </c>
      <c r="K14" s="459"/>
      <c r="L14" s="459">
        <v>30</v>
      </c>
      <c r="M14" s="460">
        <v>18.0722891566</v>
      </c>
      <c r="N14" s="459"/>
      <c r="O14" s="459">
        <v>28</v>
      </c>
      <c r="P14" s="460">
        <v>16.8674698795</v>
      </c>
      <c r="Q14" s="459"/>
      <c r="R14" s="459">
        <v>50</v>
      </c>
      <c r="S14" s="460">
        <v>30.120481927699998</v>
      </c>
      <c r="T14" s="459"/>
      <c r="U14" s="459">
        <v>4</v>
      </c>
      <c r="V14" s="460">
        <v>2.4096385541999998</v>
      </c>
      <c r="W14" s="459"/>
      <c r="X14" s="459"/>
      <c r="Y14" s="459"/>
      <c r="Z14" s="459"/>
      <c r="AA14" s="459"/>
    </row>
    <row r="15" spans="1:27" s="458" customFormat="1" ht="12.75" customHeight="1" x14ac:dyDescent="0.2">
      <c r="B15" s="97" t="s">
        <v>5</v>
      </c>
      <c r="C15" s="461"/>
      <c r="D15" s="459">
        <v>157</v>
      </c>
      <c r="E15" s="459"/>
      <c r="F15" s="459">
        <v>21</v>
      </c>
      <c r="G15" s="460">
        <v>13.3757961783</v>
      </c>
      <c r="H15" s="459"/>
      <c r="I15" s="459">
        <v>53</v>
      </c>
      <c r="J15" s="460">
        <v>33.757961783399999</v>
      </c>
      <c r="K15" s="459"/>
      <c r="L15" s="459">
        <v>25</v>
      </c>
      <c r="M15" s="460">
        <v>15.923566878999999</v>
      </c>
      <c r="N15" s="459"/>
      <c r="O15" s="459">
        <v>24</v>
      </c>
      <c r="P15" s="460">
        <v>15.286624203800001</v>
      </c>
      <c r="Q15" s="459"/>
      <c r="R15" s="459">
        <v>20</v>
      </c>
      <c r="S15" s="460">
        <v>12.7388535032</v>
      </c>
      <c r="T15" s="459"/>
      <c r="U15" s="459">
        <v>14</v>
      </c>
      <c r="V15" s="460">
        <v>8.9171974521999999</v>
      </c>
      <c r="W15" s="459"/>
      <c r="X15" s="459"/>
      <c r="Y15" s="459"/>
      <c r="Z15" s="459"/>
      <c r="AA15" s="459"/>
    </row>
    <row r="16" spans="1:27" s="458" customFormat="1" ht="12.75" customHeight="1" x14ac:dyDescent="0.2">
      <c r="B16" s="97" t="s">
        <v>6</v>
      </c>
      <c r="C16" s="461"/>
      <c r="D16" s="459">
        <v>139</v>
      </c>
      <c r="E16" s="459"/>
      <c r="F16" s="459">
        <v>40</v>
      </c>
      <c r="G16" s="460">
        <v>28.776978417300001</v>
      </c>
      <c r="H16" s="459"/>
      <c r="I16" s="459">
        <v>26</v>
      </c>
      <c r="J16" s="460">
        <v>18.705035971200001</v>
      </c>
      <c r="K16" s="459"/>
      <c r="L16" s="459">
        <v>21</v>
      </c>
      <c r="M16" s="460">
        <v>15.1079136691</v>
      </c>
      <c r="N16" s="459"/>
      <c r="O16" s="459">
        <v>9</v>
      </c>
      <c r="P16" s="460">
        <v>6.4748201438999997</v>
      </c>
      <c r="Q16" s="459"/>
      <c r="R16" s="459">
        <v>30</v>
      </c>
      <c r="S16" s="460">
        <v>21.582733812899999</v>
      </c>
      <c r="T16" s="459"/>
      <c r="U16" s="459">
        <v>13</v>
      </c>
      <c r="V16" s="460">
        <v>9.3525179856000005</v>
      </c>
      <c r="W16" s="459"/>
      <c r="X16" s="459"/>
      <c r="Y16" s="459"/>
      <c r="Z16" s="459"/>
      <c r="AA16" s="459"/>
    </row>
    <row r="17" spans="2:27" s="458" customFormat="1" ht="12.75" customHeight="1" x14ac:dyDescent="0.2">
      <c r="B17" s="97" t="s">
        <v>7</v>
      </c>
      <c r="C17" s="461"/>
      <c r="D17" s="462">
        <v>144</v>
      </c>
      <c r="E17" s="463"/>
      <c r="F17" s="462">
        <v>11</v>
      </c>
      <c r="G17" s="464">
        <v>7.6388888889000004</v>
      </c>
      <c r="H17" s="463"/>
      <c r="I17" s="462">
        <v>23</v>
      </c>
      <c r="J17" s="464">
        <v>15.972222222199999</v>
      </c>
      <c r="K17" s="459"/>
      <c r="L17" s="459">
        <v>25</v>
      </c>
      <c r="M17" s="464">
        <v>17.361111111100001</v>
      </c>
      <c r="N17" s="459"/>
      <c r="O17" s="459">
        <v>38</v>
      </c>
      <c r="P17" s="464">
        <v>26.388888888899999</v>
      </c>
      <c r="Q17" s="459"/>
      <c r="R17" s="459">
        <v>32</v>
      </c>
      <c r="S17" s="464">
        <v>22.222222222199999</v>
      </c>
      <c r="T17" s="459"/>
      <c r="U17" s="459">
        <v>15</v>
      </c>
      <c r="V17" s="464">
        <v>10.416666666699999</v>
      </c>
      <c r="W17" s="459"/>
      <c r="X17" s="459"/>
      <c r="Y17" s="459"/>
      <c r="Z17" s="459"/>
      <c r="AA17" s="459"/>
    </row>
    <row r="18" spans="2:27" s="458" customFormat="1" ht="12.75" customHeight="1" x14ac:dyDescent="0.2">
      <c r="B18" s="97" t="s">
        <v>8</v>
      </c>
      <c r="C18" s="461"/>
      <c r="D18" s="462">
        <v>190</v>
      </c>
      <c r="E18" s="463"/>
      <c r="F18" s="462">
        <v>15</v>
      </c>
      <c r="G18" s="464">
        <v>7.8947368421000004</v>
      </c>
      <c r="H18" s="463"/>
      <c r="I18" s="462">
        <v>29</v>
      </c>
      <c r="J18" s="464">
        <v>15.263157894700001</v>
      </c>
      <c r="K18" s="459"/>
      <c r="L18" s="459">
        <v>46</v>
      </c>
      <c r="M18" s="464">
        <v>24.210526315799999</v>
      </c>
      <c r="N18" s="459"/>
      <c r="O18" s="459">
        <v>52</v>
      </c>
      <c r="P18" s="464">
        <v>27.368421052599999</v>
      </c>
      <c r="Q18" s="459"/>
      <c r="R18" s="459">
        <v>34</v>
      </c>
      <c r="S18" s="464">
        <v>17.894736842099999</v>
      </c>
      <c r="T18" s="459"/>
      <c r="U18" s="459">
        <v>14</v>
      </c>
      <c r="V18" s="464">
        <v>7.3684210525999996</v>
      </c>
      <c r="W18" s="459"/>
      <c r="X18" s="459"/>
      <c r="Y18" s="459"/>
      <c r="Z18" s="459"/>
      <c r="AA18" s="459"/>
    </row>
    <row r="19" spans="2:27" s="458" customFormat="1" ht="12.75" customHeight="1" x14ac:dyDescent="0.2">
      <c r="B19" s="97" t="s">
        <v>9</v>
      </c>
      <c r="C19" s="461"/>
      <c r="D19" s="462">
        <v>90</v>
      </c>
      <c r="E19" s="463"/>
      <c r="F19" s="462">
        <v>38</v>
      </c>
      <c r="G19" s="464">
        <v>42.222222222200003</v>
      </c>
      <c r="H19" s="463"/>
      <c r="I19" s="462">
        <v>31</v>
      </c>
      <c r="J19" s="464">
        <v>34.444444444399998</v>
      </c>
      <c r="K19" s="459"/>
      <c r="L19" s="459">
        <v>7</v>
      </c>
      <c r="M19" s="464">
        <v>7.7777777777999999</v>
      </c>
      <c r="N19" s="459"/>
      <c r="O19" s="459">
        <v>9</v>
      </c>
      <c r="P19" s="464">
        <v>10</v>
      </c>
      <c r="Q19" s="459"/>
      <c r="R19" s="459">
        <v>4</v>
      </c>
      <c r="S19" s="464">
        <v>4.4444444444000002</v>
      </c>
      <c r="T19" s="459"/>
      <c r="U19" s="459">
        <v>1</v>
      </c>
      <c r="V19" s="464">
        <v>1.1111111111</v>
      </c>
      <c r="W19" s="459"/>
      <c r="X19" s="459"/>
      <c r="Y19" s="459"/>
      <c r="Z19" s="459"/>
      <c r="AA19" s="459"/>
    </row>
    <row r="20" spans="2:27" s="458" customFormat="1" ht="12.75" customHeight="1" x14ac:dyDescent="0.2">
      <c r="B20" s="97" t="s">
        <v>10</v>
      </c>
      <c r="C20" s="461"/>
      <c r="D20" s="462">
        <v>135</v>
      </c>
      <c r="E20" s="463"/>
      <c r="F20" s="462">
        <v>21</v>
      </c>
      <c r="G20" s="464">
        <v>15.5555555556</v>
      </c>
      <c r="H20" s="463"/>
      <c r="I20" s="462">
        <v>15</v>
      </c>
      <c r="J20" s="464">
        <v>11.1111111111</v>
      </c>
      <c r="K20" s="459"/>
      <c r="L20" s="459">
        <v>21</v>
      </c>
      <c r="M20" s="464">
        <v>15.5555555556</v>
      </c>
      <c r="N20" s="459"/>
      <c r="O20" s="459">
        <v>46</v>
      </c>
      <c r="P20" s="464">
        <v>34.074074074099997</v>
      </c>
      <c r="Q20" s="459"/>
      <c r="R20" s="459">
        <v>23</v>
      </c>
      <c r="S20" s="464">
        <v>17.037037037000001</v>
      </c>
      <c r="T20" s="459"/>
      <c r="U20" s="459">
        <v>9</v>
      </c>
      <c r="V20" s="464">
        <v>6.6666666667000003</v>
      </c>
      <c r="W20" s="459"/>
      <c r="X20" s="459"/>
      <c r="Y20" s="459"/>
      <c r="Z20" s="459"/>
      <c r="AA20" s="459"/>
    </row>
    <row r="21" spans="2:27" s="458" customFormat="1" ht="12.75" customHeight="1" x14ac:dyDescent="0.2">
      <c r="B21" s="97" t="s">
        <v>11</v>
      </c>
      <c r="C21" s="461"/>
      <c r="D21" s="462">
        <v>111</v>
      </c>
      <c r="E21" s="463"/>
      <c r="F21" s="462">
        <v>13</v>
      </c>
      <c r="G21" s="464">
        <v>11.7117117117</v>
      </c>
      <c r="H21" s="463"/>
      <c r="I21" s="462">
        <v>38</v>
      </c>
      <c r="J21" s="464">
        <v>34.234234234200002</v>
      </c>
      <c r="K21" s="459"/>
      <c r="L21" s="459">
        <v>23</v>
      </c>
      <c r="M21" s="464">
        <v>20.720720720700001</v>
      </c>
      <c r="N21" s="459"/>
      <c r="O21" s="459">
        <v>12</v>
      </c>
      <c r="P21" s="464">
        <v>10.8108108108</v>
      </c>
      <c r="Q21" s="459"/>
      <c r="R21" s="459">
        <v>19</v>
      </c>
      <c r="S21" s="464">
        <v>17.117117117100001</v>
      </c>
      <c r="T21" s="459"/>
      <c r="U21" s="459">
        <v>6</v>
      </c>
      <c r="V21" s="464">
        <v>5.4054054053999998</v>
      </c>
      <c r="W21" s="459"/>
      <c r="X21" s="459"/>
      <c r="Y21" s="459"/>
      <c r="Z21" s="459"/>
      <c r="AA21" s="459"/>
    </row>
    <row r="22" spans="2:27" s="458" customFormat="1" ht="12.75" customHeight="1" x14ac:dyDescent="0.2">
      <c r="B22" s="97" t="s">
        <v>12</v>
      </c>
      <c r="C22" s="461"/>
      <c r="D22" s="462">
        <v>160</v>
      </c>
      <c r="E22" s="463"/>
      <c r="F22" s="462">
        <v>24</v>
      </c>
      <c r="G22" s="464">
        <v>15</v>
      </c>
      <c r="H22" s="463"/>
      <c r="I22" s="462">
        <v>35</v>
      </c>
      <c r="J22" s="464">
        <v>21.875</v>
      </c>
      <c r="K22" s="459"/>
      <c r="L22" s="459">
        <v>36</v>
      </c>
      <c r="M22" s="464">
        <v>22.5</v>
      </c>
      <c r="N22" s="459"/>
      <c r="O22" s="459">
        <v>19</v>
      </c>
      <c r="P22" s="464">
        <v>11.875</v>
      </c>
      <c r="Q22" s="459"/>
      <c r="R22" s="459">
        <v>36</v>
      </c>
      <c r="S22" s="464">
        <v>22.5</v>
      </c>
      <c r="T22" s="459"/>
      <c r="U22" s="459">
        <v>10</v>
      </c>
      <c r="V22" s="464">
        <v>6.25</v>
      </c>
      <c r="W22" s="459"/>
      <c r="X22" s="459"/>
      <c r="Y22" s="459"/>
      <c r="Z22" s="459"/>
      <c r="AA22" s="459"/>
    </row>
    <row r="23" spans="2:27" s="458" customFormat="1" ht="12.75" customHeight="1" x14ac:dyDescent="0.2">
      <c r="B23" s="97" t="s">
        <v>13</v>
      </c>
      <c r="C23" s="461"/>
      <c r="D23" s="462">
        <v>120</v>
      </c>
      <c r="E23" s="463"/>
      <c r="F23" s="462">
        <v>17</v>
      </c>
      <c r="G23" s="464">
        <v>14.166666666699999</v>
      </c>
      <c r="H23" s="463"/>
      <c r="I23" s="462">
        <v>31</v>
      </c>
      <c r="J23" s="464">
        <v>25.833333333300001</v>
      </c>
      <c r="K23" s="459"/>
      <c r="L23" s="459">
        <v>23</v>
      </c>
      <c r="M23" s="464">
        <v>19.166666666699999</v>
      </c>
      <c r="N23" s="459"/>
      <c r="O23" s="459">
        <v>27</v>
      </c>
      <c r="P23" s="464">
        <v>22.5</v>
      </c>
      <c r="Q23" s="459"/>
      <c r="R23" s="459">
        <v>20</v>
      </c>
      <c r="S23" s="464">
        <v>16.666666666699999</v>
      </c>
      <c r="T23" s="459"/>
      <c r="U23" s="459">
        <v>2</v>
      </c>
      <c r="V23" s="464">
        <v>1.6666666667000001</v>
      </c>
      <c r="W23" s="459"/>
      <c r="X23" s="459"/>
      <c r="Y23" s="459"/>
      <c r="Z23" s="459"/>
      <c r="AA23" s="459"/>
    </row>
    <row r="24" spans="2:27" s="458" customFormat="1" ht="12.75" customHeight="1" x14ac:dyDescent="0.2">
      <c r="B24" s="97" t="s">
        <v>14</v>
      </c>
      <c r="C24" s="461"/>
      <c r="D24" s="462">
        <v>95</v>
      </c>
      <c r="E24" s="463"/>
      <c r="F24" s="462">
        <v>23</v>
      </c>
      <c r="G24" s="464">
        <v>24.210526315799999</v>
      </c>
      <c r="H24" s="463"/>
      <c r="I24" s="462">
        <v>29</v>
      </c>
      <c r="J24" s="464">
        <v>30.5263157895</v>
      </c>
      <c r="K24" s="459"/>
      <c r="L24" s="459">
        <v>19</v>
      </c>
      <c r="M24" s="464">
        <v>20</v>
      </c>
      <c r="N24" s="459"/>
      <c r="O24" s="459">
        <v>13</v>
      </c>
      <c r="P24" s="464">
        <v>13.684210526299999</v>
      </c>
      <c r="Q24" s="459"/>
      <c r="R24" s="459">
        <v>5</v>
      </c>
      <c r="S24" s="464">
        <v>5.2631578947</v>
      </c>
      <c r="T24" s="459"/>
      <c r="U24" s="459">
        <v>6</v>
      </c>
      <c r="V24" s="464">
        <v>6.3157894736999998</v>
      </c>
      <c r="W24" s="459"/>
      <c r="X24" s="459"/>
      <c r="Y24" s="459"/>
      <c r="Z24" s="459"/>
      <c r="AA24" s="459"/>
    </row>
    <row r="25" spans="2:27" s="458" customFormat="1" ht="12.75" customHeight="1" x14ac:dyDescent="0.2">
      <c r="B25" s="97" t="s">
        <v>15</v>
      </c>
      <c r="C25" s="461"/>
      <c r="D25" s="462">
        <v>94</v>
      </c>
      <c r="E25" s="463"/>
      <c r="F25" s="462">
        <v>15</v>
      </c>
      <c r="G25" s="464">
        <v>15.9574468085</v>
      </c>
      <c r="H25" s="463"/>
      <c r="I25" s="462">
        <v>23</v>
      </c>
      <c r="J25" s="464">
        <v>24.4680851064</v>
      </c>
      <c r="K25" s="459"/>
      <c r="L25" s="459">
        <v>24</v>
      </c>
      <c r="M25" s="464">
        <v>25.5319148936</v>
      </c>
      <c r="N25" s="459"/>
      <c r="O25" s="459">
        <v>13</v>
      </c>
      <c r="P25" s="464">
        <v>13.829787233999999</v>
      </c>
      <c r="Q25" s="459"/>
      <c r="R25" s="459">
        <v>14</v>
      </c>
      <c r="S25" s="464">
        <v>14.893617021300001</v>
      </c>
      <c r="T25" s="459"/>
      <c r="U25" s="459">
        <v>5</v>
      </c>
      <c r="V25" s="464">
        <v>5.3191489362000004</v>
      </c>
      <c r="W25" s="459"/>
      <c r="X25" s="459"/>
      <c r="Y25" s="459"/>
      <c r="Z25" s="459"/>
      <c r="AA25" s="459"/>
    </row>
    <row r="26" spans="2:27" s="458" customFormat="1" ht="12.75" customHeight="1" x14ac:dyDescent="0.2">
      <c r="B26" s="97" t="s">
        <v>16</v>
      </c>
      <c r="C26" s="461"/>
      <c r="D26" s="462">
        <v>216</v>
      </c>
      <c r="E26" s="463"/>
      <c r="F26" s="462">
        <v>25</v>
      </c>
      <c r="G26" s="464">
        <v>11.5740740741</v>
      </c>
      <c r="H26" s="463"/>
      <c r="I26" s="462">
        <v>73</v>
      </c>
      <c r="J26" s="464">
        <v>33.7962962963</v>
      </c>
      <c r="K26" s="459"/>
      <c r="L26" s="459">
        <v>55</v>
      </c>
      <c r="M26" s="464">
        <v>25.462962962999999</v>
      </c>
      <c r="N26" s="459"/>
      <c r="O26" s="459">
        <v>35</v>
      </c>
      <c r="P26" s="464">
        <v>16.2037037037</v>
      </c>
      <c r="Q26" s="459"/>
      <c r="R26" s="459">
        <v>22</v>
      </c>
      <c r="S26" s="464">
        <v>10.1851851852</v>
      </c>
      <c r="T26" s="459"/>
      <c r="U26" s="459">
        <v>6</v>
      </c>
      <c r="V26" s="464">
        <v>2.7777777777999999</v>
      </c>
      <c r="W26" s="459"/>
      <c r="X26" s="459"/>
      <c r="Y26" s="459"/>
      <c r="Z26" s="459"/>
      <c r="AA26" s="459"/>
    </row>
    <row r="27" spans="2:27" s="458" customFormat="1" ht="12.75" customHeight="1" x14ac:dyDescent="0.2">
      <c r="B27" s="97" t="s">
        <v>17</v>
      </c>
      <c r="C27" s="461"/>
      <c r="D27" s="462">
        <v>80</v>
      </c>
      <c r="E27" s="463"/>
      <c r="F27" s="462">
        <v>12</v>
      </c>
      <c r="G27" s="464">
        <v>15</v>
      </c>
      <c r="H27" s="463"/>
      <c r="I27" s="462">
        <v>21</v>
      </c>
      <c r="J27" s="464">
        <v>26.25</v>
      </c>
      <c r="K27" s="459"/>
      <c r="L27" s="459">
        <v>17</v>
      </c>
      <c r="M27" s="464">
        <v>21.25</v>
      </c>
      <c r="N27" s="459"/>
      <c r="O27" s="459">
        <v>13</v>
      </c>
      <c r="P27" s="464">
        <v>16.25</v>
      </c>
      <c r="Q27" s="459"/>
      <c r="R27" s="459">
        <v>13</v>
      </c>
      <c r="S27" s="464">
        <v>16.25</v>
      </c>
      <c r="T27" s="459"/>
      <c r="U27" s="459">
        <v>4</v>
      </c>
      <c r="V27" s="464">
        <v>5</v>
      </c>
      <c r="W27" s="459"/>
      <c r="X27" s="459"/>
      <c r="Y27" s="459"/>
      <c r="Z27" s="459"/>
      <c r="AA27" s="459"/>
    </row>
    <row r="28" spans="2:27" s="458" customFormat="1" ht="12.75" customHeight="1" x14ac:dyDescent="0.2">
      <c r="B28" s="97" t="s">
        <v>18</v>
      </c>
      <c r="C28" s="461"/>
      <c r="D28" s="462">
        <v>129</v>
      </c>
      <c r="E28" s="463"/>
      <c r="F28" s="462">
        <v>13</v>
      </c>
      <c r="G28" s="464">
        <v>10.0775193798</v>
      </c>
      <c r="H28" s="463"/>
      <c r="I28" s="462">
        <v>35</v>
      </c>
      <c r="J28" s="464">
        <v>27.131782945699999</v>
      </c>
      <c r="K28" s="459"/>
      <c r="L28" s="459">
        <v>26</v>
      </c>
      <c r="M28" s="464">
        <v>20.155038759699998</v>
      </c>
      <c r="N28" s="459"/>
      <c r="O28" s="459">
        <v>28</v>
      </c>
      <c r="P28" s="464">
        <v>21.7054263566</v>
      </c>
      <c r="Q28" s="459"/>
      <c r="R28" s="459">
        <v>24</v>
      </c>
      <c r="S28" s="464">
        <v>18.6046511628</v>
      </c>
      <c r="T28" s="459"/>
      <c r="U28" s="459">
        <v>3</v>
      </c>
      <c r="V28" s="464">
        <v>2.3255813953</v>
      </c>
      <c r="W28" s="459"/>
      <c r="X28" s="459"/>
      <c r="Y28" s="459"/>
      <c r="Z28" s="459"/>
      <c r="AA28" s="459"/>
    </row>
    <row r="29" spans="2:27" s="458" customFormat="1" ht="12.75" customHeight="1" x14ac:dyDescent="0.2">
      <c r="B29" s="97" t="s">
        <v>19</v>
      </c>
      <c r="C29" s="461"/>
      <c r="D29" s="462">
        <v>84</v>
      </c>
      <c r="E29" s="463"/>
      <c r="F29" s="462">
        <v>16</v>
      </c>
      <c r="G29" s="464">
        <v>19.047619047600001</v>
      </c>
      <c r="H29" s="463"/>
      <c r="I29" s="462">
        <v>28</v>
      </c>
      <c r="J29" s="464">
        <v>33.333333333299997</v>
      </c>
      <c r="K29" s="459"/>
      <c r="L29" s="459">
        <v>18</v>
      </c>
      <c r="M29" s="464">
        <v>21.428571428600002</v>
      </c>
      <c r="N29" s="459"/>
      <c r="O29" s="459">
        <v>11</v>
      </c>
      <c r="P29" s="464">
        <v>13.095238095199999</v>
      </c>
      <c r="Q29" s="459"/>
      <c r="R29" s="459">
        <v>10</v>
      </c>
      <c r="S29" s="464">
        <v>11.904761904800001</v>
      </c>
      <c r="T29" s="459"/>
      <c r="U29" s="459">
        <v>1</v>
      </c>
      <c r="V29" s="464">
        <v>1.1904761905000001</v>
      </c>
      <c r="W29" s="459"/>
      <c r="X29" s="459"/>
      <c r="Y29" s="459"/>
      <c r="Z29" s="459"/>
      <c r="AA29" s="459"/>
    </row>
    <row r="30" spans="2:27" s="458" customFormat="1" ht="12.75" customHeight="1" x14ac:dyDescent="0.2">
      <c r="B30" s="97" t="s">
        <v>20</v>
      </c>
      <c r="C30" s="461"/>
      <c r="D30" s="462">
        <v>193</v>
      </c>
      <c r="E30" s="463"/>
      <c r="F30" s="462">
        <v>27</v>
      </c>
      <c r="G30" s="464">
        <v>13.989637305700001</v>
      </c>
      <c r="H30" s="463"/>
      <c r="I30" s="462">
        <v>58</v>
      </c>
      <c r="J30" s="464">
        <v>30.051813471500001</v>
      </c>
      <c r="K30" s="459"/>
      <c r="L30" s="459">
        <v>45</v>
      </c>
      <c r="M30" s="464">
        <v>23.316062176199999</v>
      </c>
      <c r="N30" s="459"/>
      <c r="O30" s="459">
        <v>38</v>
      </c>
      <c r="P30" s="464">
        <v>19.689119171000002</v>
      </c>
      <c r="Q30" s="459"/>
      <c r="R30" s="459">
        <v>25</v>
      </c>
      <c r="S30" s="464">
        <v>12.9533678756</v>
      </c>
      <c r="T30" s="459"/>
      <c r="U30" s="459">
        <v>0</v>
      </c>
      <c r="V30" s="464">
        <v>0</v>
      </c>
      <c r="W30" s="459"/>
      <c r="X30" s="459"/>
      <c r="Y30" s="459"/>
      <c r="Z30" s="459"/>
      <c r="AA30" s="459"/>
    </row>
    <row r="31" spans="2:27" s="458" customFormat="1" ht="12.75" customHeight="1" x14ac:dyDescent="0.2">
      <c r="B31" s="97" t="s">
        <v>21</v>
      </c>
      <c r="C31" s="461"/>
      <c r="D31" s="462">
        <v>232</v>
      </c>
      <c r="E31" s="463"/>
      <c r="F31" s="462">
        <v>21</v>
      </c>
      <c r="G31" s="464">
        <v>9.0517241379000009</v>
      </c>
      <c r="H31" s="463"/>
      <c r="I31" s="462">
        <v>43</v>
      </c>
      <c r="J31" s="464">
        <v>18.534482758599999</v>
      </c>
      <c r="K31" s="459"/>
      <c r="L31" s="459">
        <v>73</v>
      </c>
      <c r="M31" s="464">
        <v>31.465517241400001</v>
      </c>
      <c r="N31" s="459"/>
      <c r="O31" s="459">
        <v>58</v>
      </c>
      <c r="P31" s="464">
        <v>25</v>
      </c>
      <c r="Q31" s="459"/>
      <c r="R31" s="459">
        <v>26</v>
      </c>
      <c r="S31" s="464">
        <v>11.2068965517</v>
      </c>
      <c r="T31" s="459"/>
      <c r="U31" s="459">
        <v>11</v>
      </c>
      <c r="V31" s="464">
        <v>4.7413793103000001</v>
      </c>
      <c r="W31" s="459"/>
      <c r="X31" s="459"/>
      <c r="Y31" s="459"/>
      <c r="Z31" s="459"/>
      <c r="AA31" s="459"/>
    </row>
    <row r="32" spans="2:27" s="458" customFormat="1" ht="12.75" customHeight="1" x14ac:dyDescent="0.2">
      <c r="B32" s="97" t="s">
        <v>22</v>
      </c>
      <c r="C32" s="461"/>
      <c r="D32" s="462">
        <v>117</v>
      </c>
      <c r="E32" s="463"/>
      <c r="F32" s="462">
        <v>41</v>
      </c>
      <c r="G32" s="464">
        <v>35.042735042700002</v>
      </c>
      <c r="H32" s="463"/>
      <c r="I32" s="462">
        <v>27</v>
      </c>
      <c r="J32" s="464">
        <v>23.076923076900002</v>
      </c>
      <c r="K32" s="459"/>
      <c r="L32" s="459">
        <v>18</v>
      </c>
      <c r="M32" s="464">
        <v>15.3846153846</v>
      </c>
      <c r="N32" s="459"/>
      <c r="O32" s="459">
        <v>16</v>
      </c>
      <c r="P32" s="464">
        <v>13.6752136752</v>
      </c>
      <c r="Q32" s="459"/>
      <c r="R32" s="459">
        <v>11</v>
      </c>
      <c r="S32" s="464">
        <v>9.4017094016999998</v>
      </c>
      <c r="T32" s="459"/>
      <c r="U32" s="459">
        <v>4</v>
      </c>
      <c r="V32" s="464">
        <v>3.4188034188</v>
      </c>
      <c r="W32" s="459"/>
      <c r="X32" s="459"/>
      <c r="Y32" s="459"/>
      <c r="Z32" s="459"/>
      <c r="AA32" s="459"/>
    </row>
    <row r="33" spans="2:27" s="458" customFormat="1" ht="12.75" customHeight="1" x14ac:dyDescent="0.2">
      <c r="B33" s="97" t="s">
        <v>23</v>
      </c>
      <c r="C33" s="461"/>
      <c r="D33" s="462">
        <v>76</v>
      </c>
      <c r="E33" s="463"/>
      <c r="F33" s="462">
        <v>25</v>
      </c>
      <c r="G33" s="464">
        <v>32.894736842100002</v>
      </c>
      <c r="H33" s="463"/>
      <c r="I33" s="462">
        <v>15</v>
      </c>
      <c r="J33" s="464">
        <v>19.736842105299999</v>
      </c>
      <c r="K33" s="459"/>
      <c r="L33" s="459">
        <v>15</v>
      </c>
      <c r="M33" s="464">
        <v>19.736842105299999</v>
      </c>
      <c r="N33" s="459"/>
      <c r="O33" s="459">
        <v>10</v>
      </c>
      <c r="P33" s="464">
        <v>13.157894736799999</v>
      </c>
      <c r="Q33" s="459"/>
      <c r="R33" s="459">
        <v>7</v>
      </c>
      <c r="S33" s="464">
        <v>9.2105263157999993</v>
      </c>
      <c r="T33" s="459"/>
      <c r="U33" s="459">
        <v>4</v>
      </c>
      <c r="V33" s="464">
        <v>5.2631578947</v>
      </c>
      <c r="W33" s="459"/>
      <c r="X33" s="459"/>
      <c r="Y33" s="459"/>
      <c r="Z33" s="459"/>
      <c r="AA33" s="459"/>
    </row>
    <row r="34" spans="2:27" s="458" customFormat="1" ht="12.75" customHeight="1" x14ac:dyDescent="0.2">
      <c r="B34" s="97" t="s">
        <v>24</v>
      </c>
      <c r="C34" s="461"/>
      <c r="D34" s="462">
        <v>179</v>
      </c>
      <c r="E34" s="463"/>
      <c r="F34" s="462">
        <v>22</v>
      </c>
      <c r="G34" s="464">
        <v>12.2905027933</v>
      </c>
      <c r="H34" s="463"/>
      <c r="I34" s="462">
        <v>45</v>
      </c>
      <c r="J34" s="464">
        <v>25.139664804500001</v>
      </c>
      <c r="K34" s="459"/>
      <c r="L34" s="459">
        <v>47</v>
      </c>
      <c r="M34" s="464">
        <v>26.2569832402</v>
      </c>
      <c r="N34" s="459"/>
      <c r="O34" s="459">
        <v>34</v>
      </c>
      <c r="P34" s="464">
        <v>18.9944134078</v>
      </c>
      <c r="Q34" s="459"/>
      <c r="R34" s="459">
        <v>28</v>
      </c>
      <c r="S34" s="464">
        <v>15.642458100600001</v>
      </c>
      <c r="T34" s="459"/>
      <c r="U34" s="459">
        <v>3</v>
      </c>
      <c r="V34" s="464">
        <v>1.6759776536</v>
      </c>
      <c r="W34" s="459"/>
      <c r="X34" s="459"/>
      <c r="Y34" s="459"/>
      <c r="Z34" s="459"/>
      <c r="AA34" s="459"/>
    </row>
    <row r="35" spans="2:27" s="458" customFormat="1" ht="12.75" customHeight="1" x14ac:dyDescent="0.2">
      <c r="B35" s="97" t="s">
        <v>25</v>
      </c>
      <c r="C35" s="461"/>
      <c r="D35" s="462">
        <v>182</v>
      </c>
      <c r="E35" s="463"/>
      <c r="F35" s="462">
        <v>49</v>
      </c>
      <c r="G35" s="464">
        <v>26.923076923099998</v>
      </c>
      <c r="H35" s="463"/>
      <c r="I35" s="462">
        <v>44</v>
      </c>
      <c r="J35" s="464">
        <v>24.175824175799999</v>
      </c>
      <c r="K35" s="459"/>
      <c r="L35" s="459">
        <v>28</v>
      </c>
      <c r="M35" s="464">
        <v>15.3846153846</v>
      </c>
      <c r="N35" s="459"/>
      <c r="O35" s="459">
        <v>23</v>
      </c>
      <c r="P35" s="464">
        <v>12.637362637400001</v>
      </c>
      <c r="Q35" s="459"/>
      <c r="R35" s="459">
        <v>25</v>
      </c>
      <c r="S35" s="464">
        <v>13.7362637363</v>
      </c>
      <c r="T35" s="459"/>
      <c r="U35" s="459">
        <v>13</v>
      </c>
      <c r="V35" s="464">
        <v>7.1428571428999996</v>
      </c>
      <c r="W35" s="459"/>
      <c r="X35" s="459"/>
      <c r="Y35" s="459"/>
      <c r="Z35" s="459"/>
      <c r="AA35" s="459"/>
    </row>
    <row r="36" spans="2:27" s="458" customFormat="1" ht="12.75" customHeight="1" x14ac:dyDescent="0.2">
      <c r="B36" s="97" t="s">
        <v>26</v>
      </c>
      <c r="C36" s="461"/>
      <c r="D36" s="462">
        <v>118</v>
      </c>
      <c r="E36" s="463"/>
      <c r="F36" s="462">
        <v>17</v>
      </c>
      <c r="G36" s="464">
        <v>14.406779661</v>
      </c>
      <c r="H36" s="463"/>
      <c r="I36" s="462">
        <v>24</v>
      </c>
      <c r="J36" s="464">
        <v>20.3389830508</v>
      </c>
      <c r="K36" s="459"/>
      <c r="L36" s="459">
        <v>37</v>
      </c>
      <c r="M36" s="464">
        <v>31.355932203399998</v>
      </c>
      <c r="N36" s="459"/>
      <c r="O36" s="459">
        <v>18</v>
      </c>
      <c r="P36" s="464">
        <v>15.254237288100001</v>
      </c>
      <c r="Q36" s="459"/>
      <c r="R36" s="459">
        <v>20</v>
      </c>
      <c r="S36" s="464">
        <v>16.9491525424</v>
      </c>
      <c r="T36" s="459"/>
      <c r="U36" s="459">
        <v>2</v>
      </c>
      <c r="V36" s="464">
        <v>1.6949152542000001</v>
      </c>
      <c r="W36" s="459"/>
      <c r="X36" s="459"/>
      <c r="Y36" s="459"/>
      <c r="Z36" s="459"/>
      <c r="AA36" s="459"/>
    </row>
    <row r="37" spans="2:27" s="458" customFormat="1" ht="12.75" customHeight="1" x14ac:dyDescent="0.2">
      <c r="B37" s="97" t="s">
        <v>27</v>
      </c>
      <c r="C37" s="461"/>
      <c r="D37" s="462">
        <v>132</v>
      </c>
      <c r="E37" s="463"/>
      <c r="F37" s="462">
        <v>19</v>
      </c>
      <c r="G37" s="464">
        <v>14.3939393939</v>
      </c>
      <c r="H37" s="463"/>
      <c r="I37" s="462">
        <v>36</v>
      </c>
      <c r="J37" s="464">
        <v>27.272727272699999</v>
      </c>
      <c r="K37" s="459"/>
      <c r="L37" s="459">
        <v>19</v>
      </c>
      <c r="M37" s="464">
        <v>14.3939393939</v>
      </c>
      <c r="N37" s="459"/>
      <c r="O37" s="459">
        <v>31</v>
      </c>
      <c r="P37" s="464">
        <v>23.484848484800001</v>
      </c>
      <c r="Q37" s="459"/>
      <c r="R37" s="459">
        <v>22</v>
      </c>
      <c r="S37" s="464">
        <v>16.666666666699999</v>
      </c>
      <c r="T37" s="459"/>
      <c r="U37" s="459">
        <v>5</v>
      </c>
      <c r="V37" s="464">
        <v>3.7878787879</v>
      </c>
      <c r="W37" s="459"/>
      <c r="X37" s="459"/>
      <c r="Y37" s="459"/>
      <c r="Z37" s="459"/>
      <c r="AA37" s="459"/>
    </row>
    <row r="38" spans="2:27" s="458" customFormat="1" ht="12.75" customHeight="1" x14ac:dyDescent="0.2">
      <c r="B38" s="97" t="s">
        <v>28</v>
      </c>
      <c r="C38" s="461"/>
      <c r="D38" s="462">
        <v>246</v>
      </c>
      <c r="E38" s="463"/>
      <c r="F38" s="462">
        <v>36</v>
      </c>
      <c r="G38" s="464">
        <v>14.634146341499999</v>
      </c>
      <c r="H38" s="463"/>
      <c r="I38" s="462">
        <v>61</v>
      </c>
      <c r="J38" s="464">
        <v>24.7967479675</v>
      </c>
      <c r="K38" s="459"/>
      <c r="L38" s="459">
        <v>53</v>
      </c>
      <c r="M38" s="464">
        <v>21.544715447200002</v>
      </c>
      <c r="N38" s="459"/>
      <c r="O38" s="459">
        <v>44</v>
      </c>
      <c r="P38" s="464">
        <v>17.886178861800001</v>
      </c>
      <c r="Q38" s="459"/>
      <c r="R38" s="459">
        <v>45</v>
      </c>
      <c r="S38" s="464">
        <v>18.292682926800001</v>
      </c>
      <c r="T38" s="459"/>
      <c r="U38" s="459">
        <v>7</v>
      </c>
      <c r="V38" s="464">
        <v>2.8455284553000002</v>
      </c>
      <c r="W38" s="459"/>
      <c r="X38" s="459"/>
      <c r="Y38" s="459"/>
      <c r="Z38" s="459"/>
      <c r="AA38" s="459"/>
    </row>
    <row r="39" spans="2:27" s="458" customFormat="1" ht="12.75" customHeight="1" x14ac:dyDescent="0.2">
      <c r="B39" s="97" t="s">
        <v>29</v>
      </c>
      <c r="C39" s="461"/>
      <c r="D39" s="462">
        <v>133</v>
      </c>
      <c r="E39" s="463"/>
      <c r="F39" s="462">
        <v>33</v>
      </c>
      <c r="G39" s="464">
        <v>24.812030075199999</v>
      </c>
      <c r="H39" s="463"/>
      <c r="I39" s="462">
        <v>33</v>
      </c>
      <c r="J39" s="464">
        <v>24.812030075199999</v>
      </c>
      <c r="K39" s="459"/>
      <c r="L39" s="459">
        <v>23</v>
      </c>
      <c r="M39" s="464">
        <v>17.293233082699999</v>
      </c>
      <c r="N39" s="459"/>
      <c r="O39" s="459">
        <v>23</v>
      </c>
      <c r="P39" s="464">
        <v>17.293233082699999</v>
      </c>
      <c r="Q39" s="459"/>
      <c r="R39" s="459">
        <v>16</v>
      </c>
      <c r="S39" s="464">
        <v>12.030075188</v>
      </c>
      <c r="T39" s="459"/>
      <c r="U39" s="459">
        <v>5</v>
      </c>
      <c r="V39" s="464">
        <v>3.7593984962000002</v>
      </c>
      <c r="W39" s="459"/>
      <c r="X39" s="459"/>
      <c r="Y39" s="459"/>
      <c r="Z39" s="459"/>
      <c r="AA39" s="459"/>
    </row>
    <row r="40" spans="2:27" s="458" customFormat="1" ht="12.75" customHeight="1" x14ac:dyDescent="0.2">
      <c r="B40" s="97" t="s">
        <v>30</v>
      </c>
      <c r="C40" s="461"/>
      <c r="D40" s="462">
        <v>168</v>
      </c>
      <c r="E40" s="463"/>
      <c r="F40" s="462">
        <v>31</v>
      </c>
      <c r="G40" s="464">
        <v>18.452380952399999</v>
      </c>
      <c r="H40" s="463"/>
      <c r="I40" s="462">
        <v>43</v>
      </c>
      <c r="J40" s="464">
        <v>25.595238095199999</v>
      </c>
      <c r="K40" s="459"/>
      <c r="L40" s="459">
        <v>35</v>
      </c>
      <c r="M40" s="464">
        <v>20.833333333300001</v>
      </c>
      <c r="N40" s="459"/>
      <c r="O40" s="459">
        <v>26</v>
      </c>
      <c r="P40" s="464">
        <v>15.476190476199999</v>
      </c>
      <c r="Q40" s="459"/>
      <c r="R40" s="459">
        <v>25</v>
      </c>
      <c r="S40" s="464">
        <v>14.880952381</v>
      </c>
      <c r="T40" s="459"/>
      <c r="U40" s="459">
        <v>8</v>
      </c>
      <c r="V40" s="464">
        <v>4.7619047619000003</v>
      </c>
      <c r="W40" s="459"/>
      <c r="X40" s="459"/>
      <c r="Y40" s="459"/>
      <c r="Z40" s="459"/>
      <c r="AA40" s="459"/>
    </row>
    <row r="41" spans="2:27" s="458" customFormat="1" ht="12.75" customHeight="1" x14ac:dyDescent="0.2">
      <c r="B41" s="97" t="s">
        <v>31</v>
      </c>
      <c r="C41" s="461"/>
      <c r="D41" s="462">
        <v>59</v>
      </c>
      <c r="E41" s="463"/>
      <c r="F41" s="462">
        <v>9</v>
      </c>
      <c r="G41" s="464">
        <v>15.254237288100001</v>
      </c>
      <c r="H41" s="463"/>
      <c r="I41" s="462">
        <v>14</v>
      </c>
      <c r="J41" s="464">
        <v>23.728813559300001</v>
      </c>
      <c r="K41" s="459"/>
      <c r="L41" s="459">
        <v>13</v>
      </c>
      <c r="M41" s="464">
        <v>22.033898305099999</v>
      </c>
      <c r="N41" s="459"/>
      <c r="O41" s="459">
        <v>9</v>
      </c>
      <c r="P41" s="464">
        <v>15.254237288100001</v>
      </c>
      <c r="Q41" s="459"/>
      <c r="R41" s="459">
        <v>13</v>
      </c>
      <c r="S41" s="464">
        <v>22.033898305099999</v>
      </c>
      <c r="T41" s="459"/>
      <c r="U41" s="459">
        <v>1</v>
      </c>
      <c r="V41" s="464">
        <v>1.6949152542000001</v>
      </c>
      <c r="W41" s="459"/>
      <c r="X41" s="459"/>
      <c r="Y41" s="459"/>
      <c r="Z41" s="459"/>
      <c r="AA41" s="459"/>
    </row>
    <row r="42" spans="2:27" s="458" customFormat="1" ht="12.75" customHeight="1" x14ac:dyDescent="0.2">
      <c r="B42" s="97" t="s">
        <v>32</v>
      </c>
      <c r="C42" s="461"/>
      <c r="D42" s="462">
        <v>96</v>
      </c>
      <c r="E42" s="463"/>
      <c r="F42" s="462">
        <v>22</v>
      </c>
      <c r="G42" s="464">
        <v>22.916666666699999</v>
      </c>
      <c r="H42" s="463"/>
      <c r="I42" s="462">
        <v>35</v>
      </c>
      <c r="J42" s="464">
        <v>36.458333333299997</v>
      </c>
      <c r="K42" s="459"/>
      <c r="L42" s="459">
        <v>9</v>
      </c>
      <c r="M42" s="464">
        <v>9.375</v>
      </c>
      <c r="N42" s="459"/>
      <c r="O42" s="459">
        <v>14</v>
      </c>
      <c r="P42" s="464">
        <v>14.583333333300001</v>
      </c>
      <c r="Q42" s="459"/>
      <c r="R42" s="459">
        <v>13</v>
      </c>
      <c r="S42" s="464">
        <v>13.541666666699999</v>
      </c>
      <c r="T42" s="459"/>
      <c r="U42" s="459">
        <v>3</v>
      </c>
      <c r="V42" s="464">
        <v>3.125</v>
      </c>
      <c r="W42" s="459"/>
      <c r="X42" s="459"/>
      <c r="Y42" s="459"/>
      <c r="Z42" s="459"/>
      <c r="AA42" s="459"/>
    </row>
    <row r="43" spans="2:27" s="458" customFormat="1" ht="12.75" customHeight="1" x14ac:dyDescent="0.2">
      <c r="B43" s="97" t="s">
        <v>33</v>
      </c>
      <c r="C43" s="461"/>
      <c r="D43" s="462">
        <v>222</v>
      </c>
      <c r="E43" s="463"/>
      <c r="F43" s="462">
        <v>56</v>
      </c>
      <c r="G43" s="464">
        <v>25.225225225199999</v>
      </c>
      <c r="H43" s="463"/>
      <c r="I43" s="462">
        <v>51</v>
      </c>
      <c r="J43" s="464">
        <v>22.972972973000001</v>
      </c>
      <c r="K43" s="459"/>
      <c r="L43" s="459">
        <v>24</v>
      </c>
      <c r="M43" s="464">
        <v>10.8108108108</v>
      </c>
      <c r="N43" s="459"/>
      <c r="O43" s="459">
        <v>31</v>
      </c>
      <c r="P43" s="464">
        <v>13.963963964</v>
      </c>
      <c r="Q43" s="459"/>
      <c r="R43" s="459">
        <v>47</v>
      </c>
      <c r="S43" s="464">
        <v>21.171171171200001</v>
      </c>
      <c r="T43" s="459"/>
      <c r="U43" s="459">
        <v>13</v>
      </c>
      <c r="V43" s="464">
        <v>5.8558558558999998</v>
      </c>
      <c r="W43" s="459"/>
      <c r="X43" s="459"/>
      <c r="Y43" s="459"/>
      <c r="Z43" s="459"/>
      <c r="AA43" s="459"/>
    </row>
    <row r="44" spans="2:27" s="458" customFormat="1" ht="12.75" customHeight="1" x14ac:dyDescent="0.2">
      <c r="B44" s="97" t="s">
        <v>34</v>
      </c>
      <c r="C44" s="461"/>
      <c r="D44" s="462">
        <v>150</v>
      </c>
      <c r="E44" s="463"/>
      <c r="F44" s="462">
        <v>19</v>
      </c>
      <c r="G44" s="464">
        <v>12.666666666699999</v>
      </c>
      <c r="H44" s="463"/>
      <c r="I44" s="462">
        <v>31</v>
      </c>
      <c r="J44" s="464">
        <v>20.666666666699999</v>
      </c>
      <c r="K44" s="459"/>
      <c r="L44" s="459">
        <v>34</v>
      </c>
      <c r="M44" s="464">
        <v>22.666666666699999</v>
      </c>
      <c r="N44" s="459"/>
      <c r="O44" s="459">
        <v>33</v>
      </c>
      <c r="P44" s="464">
        <v>22</v>
      </c>
      <c r="Q44" s="459"/>
      <c r="R44" s="459">
        <v>27</v>
      </c>
      <c r="S44" s="464">
        <v>18</v>
      </c>
      <c r="T44" s="459"/>
      <c r="U44" s="459">
        <v>6</v>
      </c>
      <c r="V44" s="464">
        <v>4</v>
      </c>
      <c r="W44" s="459"/>
      <c r="X44" s="459"/>
      <c r="Y44" s="459"/>
      <c r="Z44" s="459"/>
      <c r="AA44" s="459"/>
    </row>
    <row r="45" spans="2:27" ht="6" customHeight="1" x14ac:dyDescent="0.25">
      <c r="B45" s="465"/>
      <c r="C45" s="466"/>
      <c r="D45" s="467"/>
      <c r="E45" s="468"/>
      <c r="F45" s="467"/>
      <c r="G45" s="469"/>
      <c r="H45" s="469"/>
      <c r="I45" s="467"/>
      <c r="J45" s="467"/>
      <c r="K45" s="467"/>
      <c r="L45" s="467"/>
      <c r="M45" s="467"/>
      <c r="N45" s="467"/>
      <c r="O45" s="467"/>
      <c r="P45" s="467"/>
      <c r="Q45" s="467"/>
      <c r="R45" s="467"/>
      <c r="S45" s="467"/>
      <c r="T45" s="467"/>
      <c r="U45" s="467"/>
      <c r="V45" s="467"/>
      <c r="W45" s="454"/>
      <c r="X45" s="454"/>
      <c r="Y45" s="454"/>
      <c r="Z45" s="454"/>
      <c r="AA45" s="454"/>
    </row>
    <row r="46" spans="2:27" ht="6" customHeight="1" x14ac:dyDescent="0.25">
      <c r="B46" s="228"/>
      <c r="D46" s="162"/>
      <c r="E46" s="470"/>
      <c r="F46" s="162"/>
      <c r="G46" s="471"/>
      <c r="H46" s="471"/>
      <c r="I46" s="162"/>
      <c r="J46" s="471"/>
    </row>
    <row r="47" spans="2:27" ht="25.5" customHeight="1" x14ac:dyDescent="0.25">
      <c r="B47" s="679" t="s">
        <v>93</v>
      </c>
      <c r="C47" s="679"/>
      <c r="D47" s="679"/>
      <c r="E47" s="679"/>
      <c r="F47" s="679"/>
      <c r="G47" s="679"/>
      <c r="H47" s="679"/>
      <c r="I47" s="679"/>
      <c r="J47" s="679"/>
    </row>
    <row r="48" spans="2:27" s="13" customFormat="1" ht="14.25" x14ac:dyDescent="0.2">
      <c r="B48" s="113" t="s">
        <v>57</v>
      </c>
    </row>
  </sheetData>
  <mergeCells count="11">
    <mergeCell ref="B47:J47"/>
    <mergeCell ref="B5:J5"/>
    <mergeCell ref="B7:C9"/>
    <mergeCell ref="D7:D9"/>
    <mergeCell ref="F7:V7"/>
    <mergeCell ref="F8:G8"/>
    <mergeCell ref="I8:J8"/>
    <mergeCell ref="L8:M8"/>
    <mergeCell ref="O8:P8"/>
    <mergeCell ref="R8:S8"/>
    <mergeCell ref="U8:V8"/>
  </mergeCells>
  <hyperlinks>
    <hyperlink ref="V1" location="Índice!A1" tooltip="Ir a ÍNDICE" display="INDICE" xr:uid="{1F9BAE27-4D04-4CEC-8119-FFD45036EB27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9CB15-D333-4B9E-8A7D-E145D072A33B}">
  <dimension ref="A1:V51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514" customWidth="1"/>
    <col min="2" max="2" width="24.28515625" style="514" customWidth="1"/>
    <col min="3" max="3" width="0.85546875" style="528" customWidth="1"/>
    <col min="4" max="4" width="18.7109375" style="529" customWidth="1"/>
    <col min="5" max="5" width="1.7109375" style="529" customWidth="1"/>
    <col min="6" max="6" width="12.7109375" style="529" customWidth="1"/>
    <col min="7" max="7" width="12.7109375" style="530" customWidth="1"/>
    <col min="8" max="8" width="1.7109375" style="529" customWidth="1"/>
    <col min="9" max="9" width="12.7109375" style="529" customWidth="1"/>
    <col min="10" max="10" width="12.7109375" style="530" customWidth="1"/>
    <col min="11" max="11" width="1.7109375" style="529" customWidth="1"/>
    <col min="12" max="12" width="12.7109375" style="529" customWidth="1"/>
    <col min="13" max="13" width="12.7109375" style="530" customWidth="1"/>
    <col min="14" max="14" width="1.7109375" style="529" customWidth="1"/>
    <col min="15" max="15" width="14" style="514" customWidth="1"/>
    <col min="16" max="16" width="12.7109375" style="531" customWidth="1"/>
    <col min="17" max="17" width="1.7109375" style="514" customWidth="1"/>
    <col min="18" max="18" width="13.85546875" style="514" customWidth="1"/>
    <col min="19" max="19" width="11.42578125" style="514"/>
    <col min="20" max="20" width="1.7109375" style="514" customWidth="1"/>
    <col min="21" max="21" width="17" style="514" customWidth="1"/>
    <col min="22" max="16384" width="11.42578125" style="514"/>
  </cols>
  <sheetData>
    <row r="1" spans="1:22" s="477" customFormat="1" ht="12" customHeight="1" x14ac:dyDescent="0.2">
      <c r="A1" s="616"/>
      <c r="B1" s="616" t="s">
        <v>202</v>
      </c>
      <c r="D1" s="478"/>
      <c r="E1" s="478"/>
      <c r="F1" s="478"/>
      <c r="G1" s="478"/>
      <c r="H1" s="478"/>
      <c r="I1" s="478"/>
      <c r="K1" s="478"/>
      <c r="L1" s="478"/>
      <c r="M1" s="478"/>
      <c r="N1" s="478"/>
      <c r="V1" s="72" t="s">
        <v>151</v>
      </c>
    </row>
    <row r="2" spans="1:22" s="477" customFormat="1" ht="6.95" customHeight="1" x14ac:dyDescent="0.2">
      <c r="B2" s="616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478"/>
    </row>
    <row r="3" spans="1:22" s="477" customFormat="1" ht="15" customHeight="1" x14ac:dyDescent="0.2">
      <c r="B3" s="616" t="s">
        <v>199</v>
      </c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6"/>
      <c r="O3" s="476"/>
      <c r="P3" s="476"/>
      <c r="Q3" s="476"/>
      <c r="R3" s="476"/>
      <c r="S3" s="476"/>
    </row>
    <row r="4" spans="1:22" s="479" customFormat="1" ht="6.95" customHeight="1" x14ac:dyDescent="0.2">
      <c r="C4" s="480"/>
      <c r="D4" s="481"/>
      <c r="E4" s="481"/>
      <c r="F4" s="481"/>
      <c r="G4" s="481"/>
      <c r="H4" s="481"/>
      <c r="I4" s="481"/>
      <c r="J4" s="481"/>
      <c r="K4" s="481"/>
      <c r="L4" s="481"/>
      <c r="M4" s="481"/>
      <c r="N4" s="481"/>
    </row>
    <row r="5" spans="1:22" s="479" customFormat="1" ht="18" customHeight="1" x14ac:dyDescent="0.2">
      <c r="B5" s="694" t="s">
        <v>197</v>
      </c>
      <c r="C5" s="694"/>
      <c r="D5" s="694"/>
      <c r="E5" s="694"/>
      <c r="F5" s="694"/>
      <c r="G5" s="694"/>
      <c r="H5" s="694"/>
      <c r="I5" s="694"/>
      <c r="J5" s="694"/>
      <c r="K5" s="694"/>
      <c r="L5" s="694"/>
      <c r="M5" s="694"/>
      <c r="N5" s="694"/>
      <c r="O5" s="482"/>
      <c r="P5" s="483"/>
      <c r="Q5" s="484"/>
      <c r="R5" s="57"/>
      <c r="V5" s="71" t="s">
        <v>117</v>
      </c>
    </row>
    <row r="6" spans="1:22" s="488" customFormat="1" ht="6" customHeight="1" x14ac:dyDescent="0.25">
      <c r="B6" s="485"/>
      <c r="C6" s="486"/>
      <c r="D6" s="487"/>
      <c r="E6" s="487"/>
      <c r="F6" s="487"/>
      <c r="G6" s="487"/>
      <c r="H6" s="487"/>
      <c r="I6" s="487"/>
      <c r="J6" s="487"/>
      <c r="K6" s="487"/>
      <c r="L6" s="487"/>
      <c r="M6" s="487"/>
      <c r="N6" s="487"/>
    </row>
    <row r="7" spans="1:22" s="488" customFormat="1" ht="15" customHeight="1" x14ac:dyDescent="0.25">
      <c r="B7" s="658" t="s">
        <v>76</v>
      </c>
      <c r="C7" s="658"/>
      <c r="D7" s="695" t="s">
        <v>108</v>
      </c>
      <c r="E7" s="489"/>
      <c r="F7" s="698" t="s">
        <v>175</v>
      </c>
      <c r="G7" s="698"/>
      <c r="H7" s="698"/>
      <c r="I7" s="698"/>
      <c r="J7" s="698"/>
      <c r="K7" s="698"/>
      <c r="L7" s="698"/>
      <c r="M7" s="698"/>
      <c r="N7" s="698"/>
      <c r="O7" s="698"/>
      <c r="P7" s="698"/>
      <c r="Q7" s="698"/>
      <c r="R7" s="698"/>
      <c r="S7" s="698"/>
      <c r="T7" s="490"/>
      <c r="U7" s="699" t="s">
        <v>174</v>
      </c>
      <c r="V7" s="699"/>
    </row>
    <row r="8" spans="1:22" s="488" customFormat="1" ht="24.75" customHeight="1" x14ac:dyDescent="0.25">
      <c r="B8" s="659"/>
      <c r="C8" s="659"/>
      <c r="D8" s="696"/>
      <c r="E8" s="491"/>
      <c r="F8" s="700" t="s">
        <v>173</v>
      </c>
      <c r="G8" s="700"/>
      <c r="H8" s="492"/>
      <c r="I8" s="700" t="s">
        <v>196</v>
      </c>
      <c r="J8" s="700"/>
      <c r="K8" s="492"/>
      <c r="L8" s="701" t="s">
        <v>176</v>
      </c>
      <c r="M8" s="701"/>
      <c r="N8" s="492"/>
      <c r="O8" s="701" t="s">
        <v>177</v>
      </c>
      <c r="P8" s="701"/>
      <c r="Q8" s="492"/>
      <c r="R8" s="700" t="s">
        <v>44</v>
      </c>
      <c r="S8" s="700"/>
      <c r="T8" s="492"/>
      <c r="U8" s="700"/>
      <c r="V8" s="700"/>
    </row>
    <row r="9" spans="1:22" s="488" customFormat="1" x14ac:dyDescent="0.25">
      <c r="B9" s="660"/>
      <c r="C9" s="660"/>
      <c r="D9" s="697"/>
      <c r="E9" s="493"/>
      <c r="F9" s="494" t="s">
        <v>0</v>
      </c>
      <c r="G9" s="494" t="s">
        <v>1</v>
      </c>
      <c r="H9" s="494"/>
      <c r="I9" s="494" t="s">
        <v>0</v>
      </c>
      <c r="J9" s="494" t="s">
        <v>1</v>
      </c>
      <c r="K9" s="495"/>
      <c r="L9" s="494" t="s">
        <v>0</v>
      </c>
      <c r="M9" s="494" t="s">
        <v>1</v>
      </c>
      <c r="N9" s="495"/>
      <c r="O9" s="494" t="s">
        <v>0</v>
      </c>
      <c r="P9" s="494" t="s">
        <v>1</v>
      </c>
      <c r="Q9" s="495"/>
      <c r="R9" s="494" t="s">
        <v>0</v>
      </c>
      <c r="S9" s="494" t="s">
        <v>1</v>
      </c>
      <c r="T9" s="496"/>
      <c r="U9" s="494" t="s">
        <v>0</v>
      </c>
      <c r="V9" s="494" t="s">
        <v>1</v>
      </c>
    </row>
    <row r="10" spans="1:22" s="488" customFormat="1" ht="6" customHeight="1" x14ac:dyDescent="0.25">
      <c r="B10" s="31"/>
      <c r="C10" s="497"/>
      <c r="D10" s="498"/>
      <c r="E10" s="498"/>
      <c r="F10" s="498"/>
      <c r="G10" s="498"/>
      <c r="H10" s="498"/>
      <c r="I10" s="498"/>
      <c r="J10" s="498"/>
      <c r="K10" s="498"/>
      <c r="L10" s="498"/>
      <c r="M10" s="498"/>
      <c r="N10" s="499"/>
      <c r="O10" s="499"/>
      <c r="P10" s="499"/>
      <c r="Q10" s="499"/>
      <c r="R10" s="499"/>
      <c r="S10" s="499"/>
      <c r="T10" s="499"/>
      <c r="U10" s="499"/>
      <c r="V10" s="499"/>
    </row>
    <row r="11" spans="1:22" s="500" customFormat="1" ht="11.25" x14ac:dyDescent="0.2">
      <c r="B11" s="96" t="s">
        <v>2</v>
      </c>
      <c r="D11" s="89">
        <v>4626</v>
      </c>
      <c r="E11" s="89"/>
      <c r="F11" s="89">
        <v>1640</v>
      </c>
      <c r="G11" s="302">
        <v>35.451794206700001</v>
      </c>
      <c r="H11" s="89"/>
      <c r="I11" s="89">
        <v>443</v>
      </c>
      <c r="J11" s="302">
        <v>9.5763078253000007</v>
      </c>
      <c r="K11" s="89"/>
      <c r="L11" s="89">
        <v>304</v>
      </c>
      <c r="M11" s="302">
        <v>6.5715520967999996</v>
      </c>
      <c r="N11" s="89"/>
      <c r="O11" s="89">
        <v>1942</v>
      </c>
      <c r="P11" s="302">
        <v>41.980112408099998</v>
      </c>
      <c r="Q11" s="89"/>
      <c r="R11" s="89">
        <v>162</v>
      </c>
      <c r="S11" s="302">
        <v>3.5019455253</v>
      </c>
      <c r="U11" s="89">
        <v>131</v>
      </c>
      <c r="V11" s="302">
        <v>2.8318201470000002</v>
      </c>
    </row>
    <row r="12" spans="1:22" s="501" customFormat="1" ht="6" customHeight="1" x14ac:dyDescent="0.2">
      <c r="B12" s="96"/>
      <c r="D12" s="89"/>
      <c r="E12" s="89"/>
      <c r="F12" s="89"/>
      <c r="G12" s="302"/>
      <c r="H12" s="89"/>
      <c r="I12" s="89"/>
      <c r="J12" s="302"/>
      <c r="K12" s="89"/>
      <c r="L12" s="89"/>
      <c r="M12" s="302"/>
      <c r="N12" s="89"/>
      <c r="O12" s="89"/>
      <c r="P12" s="302"/>
      <c r="Q12" s="89"/>
      <c r="R12" s="89"/>
      <c r="S12" s="302"/>
      <c r="U12" s="89"/>
      <c r="V12" s="302"/>
    </row>
    <row r="13" spans="1:22" s="501" customFormat="1" ht="12.75" customHeight="1" x14ac:dyDescent="0.2">
      <c r="B13" s="97" t="s">
        <v>3</v>
      </c>
      <c r="C13" s="502"/>
      <c r="D13" s="91">
        <v>213</v>
      </c>
      <c r="E13" s="503"/>
      <c r="F13" s="91">
        <v>95</v>
      </c>
      <c r="G13" s="504">
        <v>44.600938967099999</v>
      </c>
      <c r="H13" s="503"/>
      <c r="I13" s="91">
        <v>20</v>
      </c>
      <c r="J13" s="504">
        <v>9.3896713614999996</v>
      </c>
      <c r="K13" s="505"/>
      <c r="L13" s="91">
        <v>15</v>
      </c>
      <c r="M13" s="504">
        <v>7.0422535211000001</v>
      </c>
      <c r="N13" s="506"/>
      <c r="O13" s="91">
        <v>79</v>
      </c>
      <c r="P13" s="504">
        <v>37.089201877900003</v>
      </c>
      <c r="Q13" s="507"/>
      <c r="R13" s="507">
        <v>7</v>
      </c>
      <c r="S13" s="504">
        <v>3.2863849764999999</v>
      </c>
      <c r="U13" s="507">
        <v>5</v>
      </c>
      <c r="V13" s="504">
        <v>2.3474178403999999</v>
      </c>
    </row>
    <row r="14" spans="1:22" s="501" customFormat="1" ht="12.75" customHeight="1" x14ac:dyDescent="0.2">
      <c r="B14" s="97" t="s">
        <v>4</v>
      </c>
      <c r="C14" s="502"/>
      <c r="D14" s="91">
        <v>166</v>
      </c>
      <c r="E14" s="503"/>
      <c r="F14" s="91">
        <v>65</v>
      </c>
      <c r="G14" s="504">
        <v>39.156626506000002</v>
      </c>
      <c r="H14" s="503"/>
      <c r="I14" s="91">
        <v>8</v>
      </c>
      <c r="J14" s="504">
        <v>4.8192771083999997</v>
      </c>
      <c r="K14" s="505"/>
      <c r="L14" s="91">
        <v>12</v>
      </c>
      <c r="M14" s="504">
        <v>7.2289156627000004</v>
      </c>
      <c r="N14" s="506"/>
      <c r="O14" s="91">
        <v>62</v>
      </c>
      <c r="P14" s="504">
        <v>37.349397590400002</v>
      </c>
      <c r="Q14" s="507"/>
      <c r="R14" s="507">
        <v>4</v>
      </c>
      <c r="S14" s="504">
        <v>2.4096385541999998</v>
      </c>
      <c r="U14" s="507">
        <v>4</v>
      </c>
      <c r="V14" s="504">
        <v>2.4096385541999998</v>
      </c>
    </row>
    <row r="15" spans="1:22" s="501" customFormat="1" ht="12.75" customHeight="1" x14ac:dyDescent="0.2">
      <c r="B15" s="97" t="s">
        <v>5</v>
      </c>
      <c r="C15" s="502"/>
      <c r="D15" s="91">
        <v>157</v>
      </c>
      <c r="E15" s="503"/>
      <c r="F15" s="91">
        <v>47</v>
      </c>
      <c r="G15" s="504">
        <v>29.936305732499999</v>
      </c>
      <c r="H15" s="503"/>
      <c r="I15" s="91">
        <v>31</v>
      </c>
      <c r="J15" s="504">
        <v>19.745222929899999</v>
      </c>
      <c r="K15" s="505"/>
      <c r="L15" s="91">
        <v>14</v>
      </c>
      <c r="M15" s="504">
        <v>8.9171974521999999</v>
      </c>
      <c r="N15" s="506"/>
      <c r="O15" s="91">
        <v>55</v>
      </c>
      <c r="P15" s="504">
        <v>35.031847133799999</v>
      </c>
      <c r="Q15" s="507"/>
      <c r="R15" s="507">
        <v>1</v>
      </c>
      <c r="S15" s="504">
        <v>0.63694267520000003</v>
      </c>
      <c r="U15" s="507">
        <v>2</v>
      </c>
      <c r="V15" s="504">
        <v>1.2738853503000001</v>
      </c>
    </row>
    <row r="16" spans="1:22" s="501" customFormat="1" ht="12.75" customHeight="1" x14ac:dyDescent="0.2">
      <c r="B16" s="97" t="s">
        <v>6</v>
      </c>
      <c r="C16" s="502"/>
      <c r="D16" s="91">
        <v>139</v>
      </c>
      <c r="E16" s="503"/>
      <c r="F16" s="91">
        <v>27</v>
      </c>
      <c r="G16" s="504">
        <v>19.424460431699998</v>
      </c>
      <c r="H16" s="503"/>
      <c r="I16" s="91">
        <v>13</v>
      </c>
      <c r="J16" s="504">
        <v>9.3525179856000005</v>
      </c>
      <c r="K16" s="505"/>
      <c r="L16" s="91">
        <v>10</v>
      </c>
      <c r="M16" s="504">
        <v>7.1942446042999997</v>
      </c>
      <c r="N16" s="506"/>
      <c r="O16" s="91">
        <v>65</v>
      </c>
      <c r="P16" s="504">
        <v>46.762589928099999</v>
      </c>
      <c r="Q16" s="507"/>
      <c r="R16" s="507">
        <v>4</v>
      </c>
      <c r="S16" s="504">
        <v>2.8776978416999999</v>
      </c>
      <c r="U16" s="507">
        <v>10</v>
      </c>
      <c r="V16" s="504">
        <v>7.1942446042999997</v>
      </c>
    </row>
    <row r="17" spans="2:22" s="501" customFormat="1" ht="12.75" customHeight="1" x14ac:dyDescent="0.2">
      <c r="B17" s="97" t="s">
        <v>7</v>
      </c>
      <c r="C17" s="502"/>
      <c r="D17" s="91">
        <v>144</v>
      </c>
      <c r="E17" s="503"/>
      <c r="F17" s="91">
        <v>74</v>
      </c>
      <c r="G17" s="504">
        <v>51.388888888899999</v>
      </c>
      <c r="H17" s="503"/>
      <c r="I17" s="91">
        <v>11</v>
      </c>
      <c r="J17" s="504">
        <v>7.6388888889000004</v>
      </c>
      <c r="K17" s="505"/>
      <c r="L17" s="91">
        <v>5</v>
      </c>
      <c r="M17" s="504">
        <v>3.4722222222000001</v>
      </c>
      <c r="N17" s="506"/>
      <c r="O17" s="91">
        <v>37</v>
      </c>
      <c r="P17" s="504">
        <v>25.694444444399998</v>
      </c>
      <c r="Q17" s="507"/>
      <c r="R17" s="507">
        <v>6</v>
      </c>
      <c r="S17" s="504">
        <v>4.1666666667000003</v>
      </c>
      <c r="U17" s="507">
        <v>2</v>
      </c>
      <c r="V17" s="504">
        <v>1.3888888889</v>
      </c>
    </row>
    <row r="18" spans="2:22" s="501" customFormat="1" ht="12.75" customHeight="1" x14ac:dyDescent="0.2">
      <c r="B18" s="97" t="s">
        <v>8</v>
      </c>
      <c r="C18" s="502"/>
      <c r="D18" s="91">
        <v>190</v>
      </c>
      <c r="E18" s="503"/>
      <c r="F18" s="91">
        <v>88</v>
      </c>
      <c r="G18" s="504">
        <v>46.315789473700001</v>
      </c>
      <c r="H18" s="503"/>
      <c r="I18" s="91">
        <v>19</v>
      </c>
      <c r="J18" s="504">
        <v>10</v>
      </c>
      <c r="K18" s="505"/>
      <c r="L18" s="91">
        <v>16</v>
      </c>
      <c r="M18" s="504">
        <v>8.4210526316000003</v>
      </c>
      <c r="N18" s="506"/>
      <c r="O18" s="91">
        <v>58</v>
      </c>
      <c r="P18" s="504">
        <v>30.5263157895</v>
      </c>
      <c r="Q18" s="507"/>
      <c r="R18" s="507">
        <v>9</v>
      </c>
      <c r="S18" s="504">
        <v>4.7368421053</v>
      </c>
      <c r="U18" s="507">
        <v>7</v>
      </c>
      <c r="V18" s="504">
        <v>3.6842105262999998</v>
      </c>
    </row>
    <row r="19" spans="2:22" s="501" customFormat="1" ht="12.75" customHeight="1" x14ac:dyDescent="0.2">
      <c r="B19" s="97" t="s">
        <v>9</v>
      </c>
      <c r="C19" s="502"/>
      <c r="D19" s="91">
        <v>90</v>
      </c>
      <c r="E19" s="503"/>
      <c r="F19" s="91">
        <v>11</v>
      </c>
      <c r="G19" s="504">
        <v>12.222222222199999</v>
      </c>
      <c r="H19" s="503"/>
      <c r="I19" s="91">
        <v>6</v>
      </c>
      <c r="J19" s="504">
        <v>6.6666666667000003</v>
      </c>
      <c r="K19" s="505"/>
      <c r="L19" s="91">
        <v>2</v>
      </c>
      <c r="M19" s="504">
        <v>2.2222222222000001</v>
      </c>
      <c r="N19" s="506"/>
      <c r="O19" s="91">
        <v>52</v>
      </c>
      <c r="P19" s="504">
        <v>57.777777777799997</v>
      </c>
      <c r="Q19" s="507"/>
      <c r="R19" s="507">
        <v>6</v>
      </c>
      <c r="S19" s="504">
        <v>6.6666666667000003</v>
      </c>
      <c r="U19" s="507">
        <v>4</v>
      </c>
      <c r="V19" s="504">
        <v>4.4444444444000002</v>
      </c>
    </row>
    <row r="20" spans="2:22" s="501" customFormat="1" ht="12.75" customHeight="1" x14ac:dyDescent="0.2">
      <c r="B20" s="97" t="s">
        <v>10</v>
      </c>
      <c r="C20" s="502"/>
      <c r="D20" s="91">
        <v>135</v>
      </c>
      <c r="E20" s="503"/>
      <c r="F20" s="91">
        <v>59</v>
      </c>
      <c r="G20" s="504">
        <v>43.7037037037</v>
      </c>
      <c r="H20" s="503"/>
      <c r="I20" s="91">
        <v>7</v>
      </c>
      <c r="J20" s="504">
        <v>5.1851851851999999</v>
      </c>
      <c r="K20" s="505"/>
      <c r="L20" s="91">
        <v>12</v>
      </c>
      <c r="M20" s="504">
        <v>8.8888888889000004</v>
      </c>
      <c r="N20" s="506"/>
      <c r="O20" s="91">
        <v>51</v>
      </c>
      <c r="P20" s="504">
        <v>37.777777777799997</v>
      </c>
      <c r="Q20" s="507"/>
      <c r="R20" s="507">
        <v>4</v>
      </c>
      <c r="S20" s="504">
        <v>2.9629629629999998</v>
      </c>
      <c r="U20" s="507">
        <v>0</v>
      </c>
      <c r="V20" s="504">
        <v>0</v>
      </c>
    </row>
    <row r="21" spans="2:22" s="501" customFormat="1" ht="12.75" customHeight="1" x14ac:dyDescent="0.2">
      <c r="B21" s="97" t="s">
        <v>11</v>
      </c>
      <c r="C21" s="502"/>
      <c r="D21" s="91">
        <v>111</v>
      </c>
      <c r="E21" s="503"/>
      <c r="F21" s="91">
        <v>35</v>
      </c>
      <c r="G21" s="504">
        <v>31.531531531500001</v>
      </c>
      <c r="H21" s="503"/>
      <c r="I21" s="91">
        <v>34</v>
      </c>
      <c r="J21" s="504">
        <v>30.630630630599999</v>
      </c>
      <c r="K21" s="505"/>
      <c r="L21" s="91">
        <v>13</v>
      </c>
      <c r="M21" s="504">
        <v>11.7117117117</v>
      </c>
      <c r="N21" s="506"/>
      <c r="O21" s="91">
        <v>53</v>
      </c>
      <c r="P21" s="504">
        <v>47.747747747699997</v>
      </c>
      <c r="Q21" s="507"/>
      <c r="R21" s="507">
        <v>4</v>
      </c>
      <c r="S21" s="504">
        <v>3.6036036035999999</v>
      </c>
      <c r="U21" s="507">
        <v>1</v>
      </c>
      <c r="V21" s="504">
        <v>0.90090090089999997</v>
      </c>
    </row>
    <row r="22" spans="2:22" s="501" customFormat="1" ht="12.75" customHeight="1" x14ac:dyDescent="0.2">
      <c r="B22" s="97" t="s">
        <v>12</v>
      </c>
      <c r="C22" s="502"/>
      <c r="D22" s="91">
        <v>160</v>
      </c>
      <c r="E22" s="503"/>
      <c r="F22" s="91">
        <v>54</v>
      </c>
      <c r="G22" s="504">
        <v>33.75</v>
      </c>
      <c r="H22" s="503"/>
      <c r="I22" s="91">
        <v>22</v>
      </c>
      <c r="J22" s="504">
        <v>13.75</v>
      </c>
      <c r="K22" s="505"/>
      <c r="L22" s="91">
        <v>9</v>
      </c>
      <c r="M22" s="504">
        <v>5.625</v>
      </c>
      <c r="N22" s="506"/>
      <c r="O22" s="91">
        <v>65</v>
      </c>
      <c r="P22" s="504">
        <v>40.625</v>
      </c>
      <c r="Q22" s="507"/>
      <c r="R22" s="507">
        <v>9</v>
      </c>
      <c r="S22" s="504">
        <v>5.625</v>
      </c>
      <c r="U22" s="507">
        <v>4</v>
      </c>
      <c r="V22" s="504">
        <v>2.5</v>
      </c>
    </row>
    <row r="23" spans="2:22" s="501" customFormat="1" ht="12.75" customHeight="1" x14ac:dyDescent="0.2">
      <c r="B23" s="97" t="s">
        <v>13</v>
      </c>
      <c r="C23" s="502"/>
      <c r="D23" s="91">
        <v>120</v>
      </c>
      <c r="E23" s="503"/>
      <c r="F23" s="91">
        <v>44</v>
      </c>
      <c r="G23" s="504">
        <v>36.666666666700003</v>
      </c>
      <c r="H23" s="503"/>
      <c r="I23" s="91">
        <v>8</v>
      </c>
      <c r="J23" s="504">
        <v>6.6666666667000003</v>
      </c>
      <c r="K23" s="505"/>
      <c r="L23" s="91">
        <v>8</v>
      </c>
      <c r="M23" s="504">
        <v>6.6666666667000003</v>
      </c>
      <c r="N23" s="506"/>
      <c r="O23" s="91">
        <v>50</v>
      </c>
      <c r="P23" s="504">
        <v>41.666666666700003</v>
      </c>
      <c r="Q23" s="507"/>
      <c r="R23" s="507">
        <v>4</v>
      </c>
      <c r="S23" s="504">
        <v>3.3333333333000001</v>
      </c>
      <c r="U23" s="507">
        <v>5</v>
      </c>
      <c r="V23" s="504">
        <v>4.1666666667000003</v>
      </c>
    </row>
    <row r="24" spans="2:22" s="501" customFormat="1" ht="12.75" customHeight="1" x14ac:dyDescent="0.2">
      <c r="B24" s="97" t="s">
        <v>14</v>
      </c>
      <c r="C24" s="502"/>
      <c r="D24" s="91">
        <v>95</v>
      </c>
      <c r="E24" s="503"/>
      <c r="F24" s="91">
        <v>8</v>
      </c>
      <c r="G24" s="504">
        <v>8.4210526316000003</v>
      </c>
      <c r="H24" s="503"/>
      <c r="I24" s="91">
        <v>9</v>
      </c>
      <c r="J24" s="504">
        <v>9.4736842105000001</v>
      </c>
      <c r="K24" s="505"/>
      <c r="L24" s="91">
        <v>6</v>
      </c>
      <c r="M24" s="504">
        <v>6.3157894736999998</v>
      </c>
      <c r="N24" s="506"/>
      <c r="O24" s="91">
        <v>66</v>
      </c>
      <c r="P24" s="504">
        <v>69.473684210499997</v>
      </c>
      <c r="Q24" s="507"/>
      <c r="R24" s="507">
        <v>2</v>
      </c>
      <c r="S24" s="504">
        <v>2.1052631579000001</v>
      </c>
      <c r="U24" s="507">
        <v>1</v>
      </c>
      <c r="V24" s="504">
        <v>1.0526315789</v>
      </c>
    </row>
    <row r="25" spans="2:22" s="501" customFormat="1" ht="12.75" customHeight="1" x14ac:dyDescent="0.2">
      <c r="B25" s="97" t="s">
        <v>15</v>
      </c>
      <c r="C25" s="502"/>
      <c r="D25" s="91">
        <v>94</v>
      </c>
      <c r="E25" s="503"/>
      <c r="F25" s="91">
        <v>20</v>
      </c>
      <c r="G25" s="504">
        <v>21.2765957447</v>
      </c>
      <c r="H25" s="503"/>
      <c r="I25" s="91">
        <v>13</v>
      </c>
      <c r="J25" s="504">
        <v>13.829787233999999</v>
      </c>
      <c r="K25" s="505"/>
      <c r="L25" s="91">
        <v>8</v>
      </c>
      <c r="M25" s="504">
        <v>8.5106382978999999</v>
      </c>
      <c r="N25" s="506"/>
      <c r="O25" s="91">
        <v>49</v>
      </c>
      <c r="P25" s="504">
        <v>52.127659574500001</v>
      </c>
      <c r="Q25" s="507"/>
      <c r="R25" s="507">
        <v>2</v>
      </c>
      <c r="S25" s="504">
        <v>2.1276595745</v>
      </c>
      <c r="U25" s="507">
        <v>3</v>
      </c>
      <c r="V25" s="504">
        <v>3.1914893617</v>
      </c>
    </row>
    <row r="26" spans="2:22" s="501" customFormat="1" ht="12.75" customHeight="1" x14ac:dyDescent="0.2">
      <c r="B26" s="97" t="s">
        <v>16</v>
      </c>
      <c r="C26" s="502"/>
      <c r="D26" s="91">
        <v>216</v>
      </c>
      <c r="E26" s="503"/>
      <c r="F26" s="91">
        <v>123</v>
      </c>
      <c r="G26" s="504">
        <v>56.944444444399998</v>
      </c>
      <c r="H26" s="503"/>
      <c r="I26" s="91">
        <v>8</v>
      </c>
      <c r="J26" s="504">
        <v>3.7037037037</v>
      </c>
      <c r="K26" s="505"/>
      <c r="L26" s="91">
        <v>14</v>
      </c>
      <c r="M26" s="504">
        <v>6.4814814815000004</v>
      </c>
      <c r="N26" s="506"/>
      <c r="O26" s="91">
        <v>85</v>
      </c>
      <c r="P26" s="504">
        <v>39.351851851900001</v>
      </c>
      <c r="Q26" s="507"/>
      <c r="R26" s="507">
        <v>17</v>
      </c>
      <c r="S26" s="504">
        <v>7.8703703703999999</v>
      </c>
      <c r="U26" s="507">
        <v>1</v>
      </c>
      <c r="V26" s="504">
        <v>0.46296296300000001</v>
      </c>
    </row>
    <row r="27" spans="2:22" s="501" customFormat="1" ht="12.75" customHeight="1" x14ac:dyDescent="0.2">
      <c r="B27" s="97" t="s">
        <v>17</v>
      </c>
      <c r="C27" s="502"/>
      <c r="D27" s="91">
        <v>80</v>
      </c>
      <c r="E27" s="503"/>
      <c r="F27" s="91">
        <v>24</v>
      </c>
      <c r="G27" s="504">
        <v>30</v>
      </c>
      <c r="H27" s="503"/>
      <c r="I27" s="91">
        <v>5</v>
      </c>
      <c r="J27" s="504">
        <v>6.25</v>
      </c>
      <c r="K27" s="505"/>
      <c r="L27" s="91">
        <v>1</v>
      </c>
      <c r="M27" s="504">
        <v>1.25</v>
      </c>
      <c r="N27" s="506"/>
      <c r="O27" s="91">
        <v>41</v>
      </c>
      <c r="P27" s="504">
        <v>51.25</v>
      </c>
      <c r="Q27" s="507"/>
      <c r="R27" s="507">
        <v>1</v>
      </c>
      <c r="S27" s="504">
        <v>1.25</v>
      </c>
      <c r="U27" s="507">
        <v>5</v>
      </c>
      <c r="V27" s="504">
        <v>6.25</v>
      </c>
    </row>
    <row r="28" spans="2:22" s="501" customFormat="1" ht="12.75" customHeight="1" x14ac:dyDescent="0.2">
      <c r="B28" s="97" t="s">
        <v>18</v>
      </c>
      <c r="C28" s="502"/>
      <c r="D28" s="91">
        <v>129</v>
      </c>
      <c r="E28" s="503"/>
      <c r="F28" s="91">
        <v>45</v>
      </c>
      <c r="G28" s="504">
        <v>34.883720930199999</v>
      </c>
      <c r="H28" s="503"/>
      <c r="I28" s="91">
        <v>12</v>
      </c>
      <c r="J28" s="504">
        <v>9.3023255813999999</v>
      </c>
      <c r="K28" s="505"/>
      <c r="L28" s="91">
        <v>10</v>
      </c>
      <c r="M28" s="504">
        <v>7.7519379844999996</v>
      </c>
      <c r="N28" s="506"/>
      <c r="O28" s="91">
        <v>64</v>
      </c>
      <c r="P28" s="504">
        <v>49.612403100800002</v>
      </c>
      <c r="Q28" s="507"/>
      <c r="R28" s="507">
        <v>7</v>
      </c>
      <c r="S28" s="504">
        <v>5.4263565891000001</v>
      </c>
      <c r="U28" s="507">
        <v>3</v>
      </c>
      <c r="V28" s="504">
        <v>2.3255813953</v>
      </c>
    </row>
    <row r="29" spans="2:22" s="501" customFormat="1" ht="12.75" customHeight="1" x14ac:dyDescent="0.2">
      <c r="B29" s="97" t="s">
        <v>19</v>
      </c>
      <c r="C29" s="502"/>
      <c r="D29" s="91">
        <v>84</v>
      </c>
      <c r="E29" s="503"/>
      <c r="F29" s="91">
        <v>19</v>
      </c>
      <c r="G29" s="504">
        <v>22.619047619</v>
      </c>
      <c r="H29" s="503"/>
      <c r="I29" s="91">
        <v>12</v>
      </c>
      <c r="J29" s="504">
        <v>14.285714285699999</v>
      </c>
      <c r="K29" s="505"/>
      <c r="L29" s="91">
        <v>1</v>
      </c>
      <c r="M29" s="504">
        <v>1.1904761905000001</v>
      </c>
      <c r="N29" s="506"/>
      <c r="O29" s="91">
        <v>49</v>
      </c>
      <c r="P29" s="504">
        <v>58.333333333299997</v>
      </c>
      <c r="Q29" s="507"/>
      <c r="R29" s="507">
        <v>2</v>
      </c>
      <c r="S29" s="504">
        <v>2.3809523810000002</v>
      </c>
      <c r="U29" s="507">
        <v>4</v>
      </c>
      <c r="V29" s="504">
        <v>4.7619047619000003</v>
      </c>
    </row>
    <row r="30" spans="2:22" s="501" customFormat="1" ht="12.75" customHeight="1" x14ac:dyDescent="0.2">
      <c r="B30" s="97" t="s">
        <v>20</v>
      </c>
      <c r="C30" s="502"/>
      <c r="D30" s="91">
        <v>193</v>
      </c>
      <c r="E30" s="503"/>
      <c r="F30" s="91">
        <v>45</v>
      </c>
      <c r="G30" s="504">
        <v>23.316062176199999</v>
      </c>
      <c r="H30" s="503"/>
      <c r="I30" s="91">
        <v>27</v>
      </c>
      <c r="J30" s="504">
        <v>13.989637305700001</v>
      </c>
      <c r="K30" s="505"/>
      <c r="L30" s="91">
        <v>9</v>
      </c>
      <c r="M30" s="504">
        <v>4.6632124352000002</v>
      </c>
      <c r="N30" s="506"/>
      <c r="O30" s="91">
        <v>91</v>
      </c>
      <c r="P30" s="504">
        <v>47.1502590674</v>
      </c>
      <c r="Q30" s="507"/>
      <c r="R30" s="507">
        <v>7</v>
      </c>
      <c r="S30" s="504">
        <v>3.6269430051999998</v>
      </c>
      <c r="U30" s="507">
        <v>5</v>
      </c>
      <c r="V30" s="504">
        <v>2.5906735750999998</v>
      </c>
    </row>
    <row r="31" spans="2:22" s="501" customFormat="1" ht="12.75" customHeight="1" x14ac:dyDescent="0.2">
      <c r="B31" s="97" t="s">
        <v>21</v>
      </c>
      <c r="C31" s="502"/>
      <c r="D31" s="91">
        <v>232</v>
      </c>
      <c r="E31" s="503"/>
      <c r="F31" s="91">
        <v>142</v>
      </c>
      <c r="G31" s="504">
        <v>61.206896551699998</v>
      </c>
      <c r="H31" s="503"/>
      <c r="I31" s="91">
        <v>13</v>
      </c>
      <c r="J31" s="504">
        <v>5.6034482758999999</v>
      </c>
      <c r="K31" s="505"/>
      <c r="L31" s="91">
        <v>11</v>
      </c>
      <c r="M31" s="504">
        <v>4.7413793103000001</v>
      </c>
      <c r="N31" s="506"/>
      <c r="O31" s="91">
        <v>51</v>
      </c>
      <c r="P31" s="504">
        <v>21.9827586207</v>
      </c>
      <c r="Q31" s="507"/>
      <c r="R31" s="507">
        <v>3</v>
      </c>
      <c r="S31" s="504">
        <v>1.2931034482999999</v>
      </c>
      <c r="U31" s="507">
        <v>8</v>
      </c>
      <c r="V31" s="504">
        <v>3.4482758621</v>
      </c>
    </row>
    <row r="32" spans="2:22" s="501" customFormat="1" ht="12.75" customHeight="1" x14ac:dyDescent="0.2">
      <c r="B32" s="97" t="s">
        <v>22</v>
      </c>
      <c r="C32" s="502"/>
      <c r="D32" s="91">
        <v>117</v>
      </c>
      <c r="E32" s="503"/>
      <c r="F32" s="91">
        <v>14</v>
      </c>
      <c r="G32" s="504">
        <v>11.9658119658</v>
      </c>
      <c r="H32" s="503"/>
      <c r="I32" s="91">
        <v>6</v>
      </c>
      <c r="J32" s="504">
        <v>5.1282051282000003</v>
      </c>
      <c r="K32" s="505"/>
      <c r="L32" s="91">
        <v>11</v>
      </c>
      <c r="M32" s="504">
        <v>9.4017094016999998</v>
      </c>
      <c r="N32" s="506"/>
      <c r="O32" s="91">
        <v>85</v>
      </c>
      <c r="P32" s="504">
        <v>72.649572649600003</v>
      </c>
      <c r="Q32" s="507"/>
      <c r="R32" s="507">
        <v>2</v>
      </c>
      <c r="S32" s="504">
        <v>1.7094017094</v>
      </c>
      <c r="U32" s="507">
        <v>0</v>
      </c>
      <c r="V32" s="504">
        <v>0</v>
      </c>
    </row>
    <row r="33" spans="2:22" s="501" customFormat="1" ht="12.75" customHeight="1" x14ac:dyDescent="0.2">
      <c r="B33" s="97" t="s">
        <v>23</v>
      </c>
      <c r="C33" s="502"/>
      <c r="D33" s="91">
        <v>76</v>
      </c>
      <c r="E33" s="503"/>
      <c r="F33" s="91">
        <v>23</v>
      </c>
      <c r="G33" s="504">
        <v>30.263157894700001</v>
      </c>
      <c r="H33" s="503"/>
      <c r="I33" s="91">
        <v>5</v>
      </c>
      <c r="J33" s="504">
        <v>6.5789473683999997</v>
      </c>
      <c r="K33" s="505"/>
      <c r="L33" s="91">
        <v>0</v>
      </c>
      <c r="M33" s="504">
        <v>0</v>
      </c>
      <c r="N33" s="506"/>
      <c r="O33" s="91">
        <v>36</v>
      </c>
      <c r="P33" s="504">
        <v>47.368421052599999</v>
      </c>
      <c r="Q33" s="507"/>
      <c r="R33" s="507">
        <v>6</v>
      </c>
      <c r="S33" s="504">
        <v>7.8947368421000004</v>
      </c>
      <c r="U33" s="507">
        <v>0</v>
      </c>
      <c r="V33" s="504">
        <v>0</v>
      </c>
    </row>
    <row r="34" spans="2:22" s="501" customFormat="1" ht="12.75" customHeight="1" x14ac:dyDescent="0.2">
      <c r="B34" s="97" t="s">
        <v>24</v>
      </c>
      <c r="C34" s="502"/>
      <c r="D34" s="91">
        <v>179</v>
      </c>
      <c r="E34" s="503"/>
      <c r="F34" s="91">
        <v>67</v>
      </c>
      <c r="G34" s="504">
        <v>37.430167597800001</v>
      </c>
      <c r="H34" s="503"/>
      <c r="I34" s="91">
        <v>16</v>
      </c>
      <c r="J34" s="504">
        <v>8.9385474859999992</v>
      </c>
      <c r="K34" s="505"/>
      <c r="L34" s="91">
        <v>18</v>
      </c>
      <c r="M34" s="504">
        <v>10.055865921800001</v>
      </c>
      <c r="N34" s="506"/>
      <c r="O34" s="91">
        <v>79</v>
      </c>
      <c r="P34" s="504">
        <v>44.134078212299997</v>
      </c>
      <c r="Q34" s="507"/>
      <c r="R34" s="507">
        <v>2</v>
      </c>
      <c r="S34" s="504">
        <v>1.1173184357999999</v>
      </c>
      <c r="U34" s="507">
        <v>6</v>
      </c>
      <c r="V34" s="504">
        <v>3.3519553072999999</v>
      </c>
    </row>
    <row r="35" spans="2:22" s="501" customFormat="1" ht="12.75" customHeight="1" x14ac:dyDescent="0.2">
      <c r="B35" s="97" t="s">
        <v>25</v>
      </c>
      <c r="C35" s="502"/>
      <c r="D35" s="91">
        <v>182</v>
      </c>
      <c r="E35" s="503"/>
      <c r="F35" s="91">
        <v>91</v>
      </c>
      <c r="G35" s="504">
        <v>50</v>
      </c>
      <c r="H35" s="503"/>
      <c r="I35" s="91">
        <v>16</v>
      </c>
      <c r="J35" s="504">
        <v>8.7912087912000008</v>
      </c>
      <c r="K35" s="505"/>
      <c r="L35" s="91">
        <v>5</v>
      </c>
      <c r="M35" s="504">
        <v>2.7472527473000001</v>
      </c>
      <c r="N35" s="506"/>
      <c r="O35" s="91">
        <v>62</v>
      </c>
      <c r="P35" s="504">
        <v>34.065934065900002</v>
      </c>
      <c r="Q35" s="507"/>
      <c r="R35" s="507">
        <v>6</v>
      </c>
      <c r="S35" s="504">
        <v>3.2967032967000001</v>
      </c>
      <c r="U35" s="507">
        <v>5</v>
      </c>
      <c r="V35" s="504">
        <v>2.7472527473000001</v>
      </c>
    </row>
    <row r="36" spans="2:22" s="501" customFormat="1" ht="12.75" customHeight="1" x14ac:dyDescent="0.2">
      <c r="B36" s="97" t="s">
        <v>26</v>
      </c>
      <c r="C36" s="502"/>
      <c r="D36" s="91">
        <v>118</v>
      </c>
      <c r="E36" s="503"/>
      <c r="F36" s="91">
        <v>43</v>
      </c>
      <c r="G36" s="504">
        <v>36.440677966099997</v>
      </c>
      <c r="H36" s="503"/>
      <c r="I36" s="91">
        <v>8</v>
      </c>
      <c r="J36" s="504">
        <v>6.7796610168999996</v>
      </c>
      <c r="K36" s="505"/>
      <c r="L36" s="91">
        <v>8</v>
      </c>
      <c r="M36" s="504">
        <v>6.7796610168999996</v>
      </c>
      <c r="N36" s="506"/>
      <c r="O36" s="91">
        <v>50</v>
      </c>
      <c r="P36" s="504">
        <v>42.372881355899999</v>
      </c>
      <c r="Q36" s="507"/>
      <c r="R36" s="507">
        <v>3</v>
      </c>
      <c r="S36" s="504">
        <v>2.5423728814</v>
      </c>
      <c r="U36" s="507">
        <v>5</v>
      </c>
      <c r="V36" s="504">
        <v>4.2372881356000001</v>
      </c>
    </row>
    <row r="37" spans="2:22" s="501" customFormat="1" ht="12.75" customHeight="1" x14ac:dyDescent="0.2">
      <c r="B37" s="97" t="s">
        <v>27</v>
      </c>
      <c r="C37" s="502"/>
      <c r="D37" s="91">
        <v>132</v>
      </c>
      <c r="E37" s="503"/>
      <c r="F37" s="91">
        <v>55</v>
      </c>
      <c r="G37" s="504">
        <v>41.666666666700003</v>
      </c>
      <c r="H37" s="503"/>
      <c r="I37" s="91">
        <v>18</v>
      </c>
      <c r="J37" s="504">
        <v>13.6363636364</v>
      </c>
      <c r="K37" s="505"/>
      <c r="L37" s="91">
        <v>13</v>
      </c>
      <c r="M37" s="504">
        <v>9.8484848485000001</v>
      </c>
      <c r="N37" s="506"/>
      <c r="O37" s="91">
        <v>44</v>
      </c>
      <c r="P37" s="504">
        <v>33.333333333299997</v>
      </c>
      <c r="Q37" s="507"/>
      <c r="R37" s="507">
        <v>8</v>
      </c>
      <c r="S37" s="504">
        <v>6.0606060605999996</v>
      </c>
      <c r="U37" s="507">
        <v>6</v>
      </c>
      <c r="V37" s="504">
        <v>4.5454545455000002</v>
      </c>
    </row>
    <row r="38" spans="2:22" s="501" customFormat="1" ht="12.75" customHeight="1" x14ac:dyDescent="0.2">
      <c r="B38" s="97" t="s">
        <v>28</v>
      </c>
      <c r="C38" s="502"/>
      <c r="D38" s="91">
        <v>246</v>
      </c>
      <c r="E38" s="503"/>
      <c r="F38" s="91">
        <v>104</v>
      </c>
      <c r="G38" s="504">
        <v>42.276422764199999</v>
      </c>
      <c r="H38" s="503"/>
      <c r="I38" s="91">
        <v>22</v>
      </c>
      <c r="J38" s="504">
        <v>8.9430894309000006</v>
      </c>
      <c r="K38" s="505"/>
      <c r="L38" s="91">
        <v>16</v>
      </c>
      <c r="M38" s="504">
        <v>6.5040650406999996</v>
      </c>
      <c r="N38" s="506"/>
      <c r="O38" s="91">
        <v>83</v>
      </c>
      <c r="P38" s="504">
        <v>33.739837398399999</v>
      </c>
      <c r="Q38" s="507"/>
      <c r="R38" s="507">
        <v>6</v>
      </c>
      <c r="S38" s="504">
        <v>2.4390243902000002</v>
      </c>
      <c r="U38" s="507">
        <v>9</v>
      </c>
      <c r="V38" s="504">
        <v>3.6585365853999998</v>
      </c>
    </row>
    <row r="39" spans="2:22" s="501" customFormat="1" ht="12.75" customHeight="1" x14ac:dyDescent="0.2">
      <c r="B39" s="97" t="s">
        <v>29</v>
      </c>
      <c r="C39" s="502"/>
      <c r="D39" s="91">
        <v>133</v>
      </c>
      <c r="E39" s="503"/>
      <c r="F39" s="91">
        <v>27</v>
      </c>
      <c r="G39" s="504">
        <v>20.300751879700002</v>
      </c>
      <c r="H39" s="503"/>
      <c r="I39" s="91">
        <v>18</v>
      </c>
      <c r="J39" s="504">
        <v>13.533834586499999</v>
      </c>
      <c r="K39" s="505"/>
      <c r="L39" s="91">
        <v>10</v>
      </c>
      <c r="M39" s="504">
        <v>7.5187969925000004</v>
      </c>
      <c r="N39" s="506"/>
      <c r="O39" s="91">
        <v>62</v>
      </c>
      <c r="P39" s="504">
        <v>46.616541353400002</v>
      </c>
      <c r="Q39" s="507"/>
      <c r="R39" s="507">
        <v>2</v>
      </c>
      <c r="S39" s="504">
        <v>1.5037593985</v>
      </c>
      <c r="U39" s="507">
        <v>3</v>
      </c>
      <c r="V39" s="504">
        <v>2.2556390977</v>
      </c>
    </row>
    <row r="40" spans="2:22" s="501" customFormat="1" ht="12.75" customHeight="1" x14ac:dyDescent="0.2">
      <c r="B40" s="97" t="s">
        <v>30</v>
      </c>
      <c r="C40" s="502"/>
      <c r="D40" s="91">
        <v>168</v>
      </c>
      <c r="E40" s="503"/>
      <c r="F40" s="91">
        <v>66</v>
      </c>
      <c r="G40" s="504">
        <v>39.285714285700003</v>
      </c>
      <c r="H40" s="503"/>
      <c r="I40" s="91">
        <v>17</v>
      </c>
      <c r="J40" s="504">
        <v>10.119047619</v>
      </c>
      <c r="K40" s="505"/>
      <c r="L40" s="91">
        <v>9</v>
      </c>
      <c r="M40" s="504">
        <v>5.3571428571000004</v>
      </c>
      <c r="N40" s="506"/>
      <c r="O40" s="91">
        <v>65</v>
      </c>
      <c r="P40" s="504">
        <v>38.6904761905</v>
      </c>
      <c r="Q40" s="507"/>
      <c r="R40" s="507">
        <v>4</v>
      </c>
      <c r="S40" s="504">
        <v>2.3809523810000002</v>
      </c>
      <c r="U40" s="507">
        <v>8</v>
      </c>
      <c r="V40" s="504">
        <v>4.7619047619000003</v>
      </c>
    </row>
    <row r="41" spans="2:22" s="501" customFormat="1" ht="12.75" customHeight="1" x14ac:dyDescent="0.2">
      <c r="B41" s="97" t="s">
        <v>31</v>
      </c>
      <c r="C41" s="502"/>
      <c r="D41" s="91">
        <v>59</v>
      </c>
      <c r="E41" s="503"/>
      <c r="F41" s="91">
        <v>10</v>
      </c>
      <c r="G41" s="504">
        <v>16.9491525424</v>
      </c>
      <c r="H41" s="503"/>
      <c r="I41" s="91">
        <v>0</v>
      </c>
      <c r="J41" s="504">
        <v>0</v>
      </c>
      <c r="K41" s="505"/>
      <c r="L41" s="91">
        <v>2</v>
      </c>
      <c r="M41" s="504">
        <v>3.3898305084999998</v>
      </c>
      <c r="N41" s="506"/>
      <c r="O41" s="91">
        <v>34</v>
      </c>
      <c r="P41" s="504">
        <v>57.627118644100001</v>
      </c>
      <c r="Q41" s="507"/>
      <c r="R41" s="507">
        <v>0</v>
      </c>
      <c r="S41" s="504">
        <v>0</v>
      </c>
      <c r="U41" s="507">
        <v>3</v>
      </c>
      <c r="V41" s="504">
        <v>5.0847457626999999</v>
      </c>
    </row>
    <row r="42" spans="2:22" s="501" customFormat="1" ht="12.75" customHeight="1" x14ac:dyDescent="0.2">
      <c r="B42" s="97" t="s">
        <v>32</v>
      </c>
      <c r="C42" s="502"/>
      <c r="D42" s="91">
        <v>96</v>
      </c>
      <c r="E42" s="503"/>
      <c r="F42" s="91">
        <v>22</v>
      </c>
      <c r="G42" s="504">
        <v>22.916666666699999</v>
      </c>
      <c r="H42" s="503"/>
      <c r="I42" s="91">
        <v>7</v>
      </c>
      <c r="J42" s="504">
        <v>7.2916666667000003</v>
      </c>
      <c r="K42" s="505"/>
      <c r="L42" s="91">
        <v>9</v>
      </c>
      <c r="M42" s="504">
        <v>9.375</v>
      </c>
      <c r="N42" s="506"/>
      <c r="O42" s="91">
        <v>41</v>
      </c>
      <c r="P42" s="504">
        <v>42.708333333299997</v>
      </c>
      <c r="Q42" s="507"/>
      <c r="R42" s="507">
        <v>4</v>
      </c>
      <c r="S42" s="504">
        <v>4.1666666667000003</v>
      </c>
      <c r="U42" s="507">
        <v>2</v>
      </c>
      <c r="V42" s="504">
        <v>2.0833333333000001</v>
      </c>
    </row>
    <row r="43" spans="2:22" s="501" customFormat="1" ht="12.75" customHeight="1" x14ac:dyDescent="0.2">
      <c r="B43" s="97" t="s">
        <v>33</v>
      </c>
      <c r="C43" s="502"/>
      <c r="D43" s="91">
        <v>222</v>
      </c>
      <c r="E43" s="503"/>
      <c r="F43" s="91">
        <v>67</v>
      </c>
      <c r="G43" s="504">
        <v>30.180180180200001</v>
      </c>
      <c r="H43" s="503"/>
      <c r="I43" s="91">
        <v>12</v>
      </c>
      <c r="J43" s="504">
        <v>5.4054054053999998</v>
      </c>
      <c r="K43" s="505"/>
      <c r="L43" s="91">
        <v>16</v>
      </c>
      <c r="M43" s="504">
        <v>7.2072072071999997</v>
      </c>
      <c r="N43" s="506"/>
      <c r="O43" s="91">
        <v>99</v>
      </c>
      <c r="P43" s="504">
        <v>44.594594594599997</v>
      </c>
      <c r="Q43" s="507"/>
      <c r="R43" s="507">
        <v>14</v>
      </c>
      <c r="S43" s="504">
        <v>6.3063063062999998</v>
      </c>
      <c r="U43" s="507">
        <v>6</v>
      </c>
      <c r="V43" s="504">
        <v>2.7027027026999999</v>
      </c>
    </row>
    <row r="44" spans="2:22" s="501" customFormat="1" ht="12.75" customHeight="1" x14ac:dyDescent="0.2">
      <c r="B44" s="97" t="s">
        <v>34</v>
      </c>
      <c r="C44" s="502"/>
      <c r="D44" s="91">
        <v>150</v>
      </c>
      <c r="E44" s="503"/>
      <c r="F44" s="91">
        <v>26</v>
      </c>
      <c r="G44" s="504">
        <v>17.333333333300001</v>
      </c>
      <c r="H44" s="503"/>
      <c r="I44" s="91">
        <v>20</v>
      </c>
      <c r="J44" s="504">
        <v>13.333333333300001</v>
      </c>
      <c r="K44" s="505"/>
      <c r="L44" s="91">
        <v>11</v>
      </c>
      <c r="M44" s="504">
        <v>7.3333333332999997</v>
      </c>
      <c r="N44" s="506"/>
      <c r="O44" s="91">
        <v>79</v>
      </c>
      <c r="P44" s="504">
        <v>52.666666666700003</v>
      </c>
      <c r="Q44" s="507"/>
      <c r="R44" s="507">
        <v>6</v>
      </c>
      <c r="S44" s="504">
        <v>4</v>
      </c>
      <c r="U44" s="507">
        <v>4</v>
      </c>
      <c r="V44" s="504">
        <v>2.6666666666999999</v>
      </c>
    </row>
    <row r="45" spans="2:22" ht="6" customHeight="1" x14ac:dyDescent="0.25">
      <c r="B45" s="508"/>
      <c r="C45" s="509"/>
      <c r="D45" s="264"/>
      <c r="E45" s="510"/>
      <c r="F45" s="264"/>
      <c r="G45" s="511"/>
      <c r="H45" s="511"/>
      <c r="I45" s="264"/>
      <c r="J45" s="511"/>
      <c r="K45" s="512"/>
      <c r="L45" s="264"/>
      <c r="M45" s="511"/>
      <c r="N45" s="513"/>
      <c r="O45" s="264"/>
      <c r="P45" s="511"/>
      <c r="Q45" s="511"/>
      <c r="R45" s="511"/>
      <c r="S45" s="511"/>
      <c r="T45" s="511"/>
      <c r="U45" s="511"/>
      <c r="V45" s="511"/>
    </row>
    <row r="46" spans="2:22" ht="6" customHeight="1" x14ac:dyDescent="0.25">
      <c r="B46" s="228"/>
      <c r="C46" s="486"/>
      <c r="D46" s="162"/>
      <c r="E46" s="515"/>
      <c r="F46" s="162"/>
      <c r="G46" s="516"/>
      <c r="H46" s="516"/>
      <c r="I46" s="162"/>
      <c r="J46" s="516"/>
      <c r="K46" s="517"/>
      <c r="L46" s="162"/>
      <c r="M46" s="516"/>
      <c r="N46" s="518"/>
      <c r="O46" s="162"/>
      <c r="P46" s="516"/>
      <c r="Q46" s="519"/>
      <c r="R46" s="488"/>
      <c r="S46" s="488"/>
      <c r="T46" s="488"/>
      <c r="U46" s="488"/>
      <c r="V46" s="488"/>
    </row>
    <row r="47" spans="2:22" ht="12.75" customHeight="1" x14ac:dyDescent="0.25">
      <c r="B47" s="273" t="s">
        <v>93</v>
      </c>
      <c r="C47" s="486"/>
      <c r="D47" s="162"/>
      <c r="E47" s="515"/>
      <c r="F47" s="162"/>
      <c r="G47" s="516"/>
      <c r="H47" s="516"/>
      <c r="I47" s="162"/>
      <c r="J47" s="516"/>
      <c r="K47" s="517"/>
      <c r="L47" s="162"/>
      <c r="M47" s="516"/>
      <c r="N47" s="518"/>
      <c r="O47" s="162"/>
      <c r="P47" s="516"/>
      <c r="Q47" s="519"/>
      <c r="R47" s="488"/>
      <c r="S47" s="488"/>
      <c r="T47" s="488"/>
      <c r="U47" s="488"/>
      <c r="V47" s="488"/>
    </row>
    <row r="48" spans="2:22" s="527" customFormat="1" ht="12.75" customHeight="1" x14ac:dyDescent="0.25">
      <c r="B48" s="20" t="s">
        <v>178</v>
      </c>
      <c r="C48" s="520"/>
      <c r="D48" s="162"/>
      <c r="E48" s="521"/>
      <c r="F48" s="162"/>
      <c r="G48" s="522"/>
      <c r="H48" s="522"/>
      <c r="I48" s="162"/>
      <c r="J48" s="522"/>
      <c r="K48" s="523"/>
      <c r="L48" s="162"/>
      <c r="M48" s="522"/>
      <c r="N48" s="524"/>
      <c r="O48" s="162"/>
      <c r="P48" s="522"/>
      <c r="Q48" s="525"/>
      <c r="R48" s="526"/>
      <c r="S48" s="526"/>
      <c r="T48" s="526"/>
      <c r="U48" s="526"/>
      <c r="V48" s="526"/>
    </row>
    <row r="49" spans="2:22" ht="12" customHeight="1" x14ac:dyDescent="0.25">
      <c r="B49" s="20" t="s">
        <v>179</v>
      </c>
      <c r="C49" s="486"/>
      <c r="D49" s="162"/>
      <c r="E49" s="515"/>
      <c r="F49" s="162"/>
      <c r="G49" s="516"/>
      <c r="H49" s="516"/>
      <c r="I49" s="162"/>
      <c r="J49" s="516"/>
      <c r="K49" s="517"/>
      <c r="L49" s="162"/>
      <c r="M49" s="516"/>
      <c r="N49" s="518"/>
      <c r="O49" s="162"/>
      <c r="P49" s="516"/>
      <c r="Q49" s="519"/>
      <c r="R49" s="488"/>
      <c r="S49" s="488"/>
      <c r="T49" s="488"/>
      <c r="U49" s="488"/>
      <c r="V49" s="488"/>
    </row>
    <row r="50" spans="2:22" ht="12" customHeight="1" x14ac:dyDescent="0.25">
      <c r="B50" s="20" t="s">
        <v>180</v>
      </c>
      <c r="C50" s="486"/>
      <c r="D50" s="162"/>
      <c r="E50" s="515"/>
      <c r="F50" s="162"/>
      <c r="G50" s="516"/>
      <c r="H50" s="516"/>
      <c r="I50" s="162"/>
      <c r="J50" s="516"/>
      <c r="K50" s="517"/>
      <c r="L50" s="162"/>
      <c r="M50" s="516"/>
      <c r="N50" s="518"/>
      <c r="O50" s="162"/>
      <c r="P50" s="516"/>
      <c r="Q50" s="519"/>
      <c r="R50" s="488"/>
      <c r="S50" s="488"/>
      <c r="T50" s="488"/>
      <c r="U50" s="488"/>
      <c r="V50" s="488"/>
    </row>
    <row r="51" spans="2:22" s="13" customFormat="1" ht="14.25" x14ac:dyDescent="0.2">
      <c r="B51" s="163" t="s">
        <v>181</v>
      </c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</row>
  </sheetData>
  <mergeCells count="10">
    <mergeCell ref="B5:N5"/>
    <mergeCell ref="B7:C9"/>
    <mergeCell ref="D7:D9"/>
    <mergeCell ref="F7:S7"/>
    <mergeCell ref="U7:V8"/>
    <mergeCell ref="F8:G8"/>
    <mergeCell ref="I8:J8"/>
    <mergeCell ref="L8:M8"/>
    <mergeCell ref="O8:P8"/>
    <mergeCell ref="R8:S8"/>
  </mergeCells>
  <hyperlinks>
    <hyperlink ref="V1" location="Índice!A1" tooltip="Ir a ÍNDICE" display="INDICE" xr:uid="{35A41F48-AAA3-47AF-8131-C5ABC3FFB214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F647-A2A0-4823-B83D-319FEC2295ED}">
  <dimension ref="A1:S52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539" customWidth="1"/>
    <col min="2" max="2" width="24.28515625" style="539" customWidth="1"/>
    <col min="3" max="3" width="0.85546875" style="559" customWidth="1"/>
    <col min="4" max="4" width="20.7109375" style="559" customWidth="1"/>
    <col min="5" max="5" width="0.85546875" style="559" customWidth="1"/>
    <col min="6" max="6" width="25.7109375" style="559" customWidth="1"/>
    <col min="7" max="7" width="2" style="559" customWidth="1"/>
    <col min="8" max="8" width="18.7109375" style="539" customWidth="1"/>
    <col min="9" max="9" width="1.7109375" style="539" customWidth="1"/>
    <col min="10" max="10" width="18.7109375" style="539" customWidth="1"/>
    <col min="11" max="16384" width="11.42578125" style="539"/>
  </cols>
  <sheetData>
    <row r="1" spans="1:19" s="533" customFormat="1" ht="12" customHeight="1" x14ac:dyDescent="0.2">
      <c r="A1" s="616"/>
      <c r="B1" s="616" t="s">
        <v>202</v>
      </c>
      <c r="J1" s="72" t="s">
        <v>151</v>
      </c>
    </row>
    <row r="2" spans="1:19" s="533" customFormat="1" ht="6.95" customHeight="1" x14ac:dyDescent="0.2">
      <c r="B2" s="616"/>
    </row>
    <row r="3" spans="1:19" s="533" customFormat="1" ht="15" customHeight="1" x14ac:dyDescent="0.2">
      <c r="B3" s="616" t="s">
        <v>199</v>
      </c>
      <c r="C3" s="532"/>
      <c r="D3" s="532"/>
      <c r="E3" s="532"/>
      <c r="F3" s="532"/>
      <c r="G3" s="532"/>
      <c r="H3" s="532"/>
      <c r="I3" s="532"/>
      <c r="J3" s="532"/>
      <c r="K3" s="532"/>
      <c r="L3" s="532"/>
      <c r="M3" s="532"/>
      <c r="N3" s="532"/>
      <c r="O3" s="532"/>
      <c r="P3" s="532"/>
      <c r="Q3" s="532"/>
      <c r="R3" s="532"/>
      <c r="S3" s="532"/>
    </row>
    <row r="4" spans="1:19" s="533" customFormat="1" ht="6.95" customHeight="1" x14ac:dyDescent="0.2">
      <c r="C4" s="534"/>
      <c r="D4" s="534"/>
      <c r="E4" s="534"/>
      <c r="F4" s="534"/>
      <c r="G4" s="534"/>
    </row>
    <row r="5" spans="1:19" s="533" customFormat="1" ht="38.25" customHeight="1" x14ac:dyDescent="0.2">
      <c r="B5" s="705" t="s">
        <v>170</v>
      </c>
      <c r="C5" s="705"/>
      <c r="D5" s="705"/>
      <c r="E5" s="705"/>
      <c r="F5" s="705"/>
      <c r="G5" s="705"/>
      <c r="H5" s="705"/>
      <c r="I5" s="57"/>
      <c r="J5" s="71" t="s">
        <v>118</v>
      </c>
      <c r="K5" s="535"/>
      <c r="L5" s="535"/>
    </row>
    <row r="6" spans="1:19" ht="6" customHeight="1" x14ac:dyDescent="0.25">
      <c r="B6" s="536"/>
      <c r="C6" s="537"/>
      <c r="D6" s="537"/>
      <c r="E6" s="537"/>
      <c r="F6" s="537"/>
      <c r="G6" s="537"/>
      <c r="H6" s="538"/>
      <c r="I6" s="538"/>
      <c r="J6" s="538"/>
      <c r="K6" s="538"/>
      <c r="L6" s="538"/>
    </row>
    <row r="7" spans="1:19" ht="24" customHeight="1" x14ac:dyDescent="0.25">
      <c r="B7" s="658" t="s">
        <v>76</v>
      </c>
      <c r="C7" s="658"/>
      <c r="D7" s="702" t="s">
        <v>131</v>
      </c>
      <c r="E7" s="473"/>
      <c r="F7" s="702" t="s">
        <v>91</v>
      </c>
      <c r="G7" s="540"/>
      <c r="H7" s="702" t="s">
        <v>182</v>
      </c>
      <c r="I7" s="541"/>
      <c r="J7" s="702" t="s">
        <v>183</v>
      </c>
      <c r="K7" s="538"/>
      <c r="L7" s="538"/>
    </row>
    <row r="8" spans="1:19" ht="42" customHeight="1" x14ac:dyDescent="0.25">
      <c r="B8" s="659"/>
      <c r="C8" s="659"/>
      <c r="D8" s="703"/>
      <c r="E8" s="474"/>
      <c r="F8" s="703"/>
      <c r="G8" s="542"/>
      <c r="H8" s="703"/>
      <c r="I8" s="538"/>
      <c r="J8" s="703"/>
      <c r="K8" s="538"/>
      <c r="L8" s="538"/>
    </row>
    <row r="9" spans="1:19" ht="25.5" customHeight="1" x14ac:dyDescent="0.25">
      <c r="B9" s="660"/>
      <c r="C9" s="660"/>
      <c r="D9" s="704"/>
      <c r="E9" s="475"/>
      <c r="F9" s="704"/>
      <c r="G9" s="543"/>
      <c r="H9" s="704"/>
      <c r="I9" s="536"/>
      <c r="J9" s="704"/>
      <c r="K9" s="538"/>
      <c r="L9" s="538"/>
    </row>
    <row r="10" spans="1:19" ht="6" customHeight="1" x14ac:dyDescent="0.25">
      <c r="B10" s="31"/>
      <c r="C10" s="544"/>
      <c r="D10" s="545"/>
      <c r="E10" s="545"/>
      <c r="F10" s="545"/>
      <c r="G10" s="545"/>
      <c r="H10" s="546"/>
      <c r="I10" s="546"/>
      <c r="J10" s="546"/>
      <c r="K10" s="538"/>
      <c r="L10" s="538"/>
    </row>
    <row r="11" spans="1:19" s="549" customFormat="1" ht="11.25" x14ac:dyDescent="0.2">
      <c r="B11" s="96" t="s">
        <v>2</v>
      </c>
      <c r="C11" s="547"/>
      <c r="D11" s="548">
        <v>1054</v>
      </c>
      <c r="E11" s="548"/>
      <c r="F11" s="563">
        <v>1114</v>
      </c>
      <c r="G11" s="548"/>
      <c r="H11" s="548">
        <v>47143703</v>
      </c>
      <c r="I11" s="548"/>
      <c r="J11" s="548">
        <v>44728.370967741903</v>
      </c>
      <c r="K11" s="547"/>
      <c r="L11" s="547"/>
    </row>
    <row r="12" spans="1:19" s="552" customFormat="1" ht="6" customHeight="1" x14ac:dyDescent="0.2">
      <c r="B12" s="96"/>
      <c r="C12" s="550"/>
      <c r="D12" s="551"/>
      <c r="E12" s="551"/>
      <c r="F12" s="564"/>
      <c r="G12" s="551"/>
      <c r="H12" s="551"/>
      <c r="I12" s="551"/>
      <c r="J12" s="551"/>
      <c r="K12" s="550"/>
      <c r="L12" s="550"/>
    </row>
    <row r="13" spans="1:19" s="552" customFormat="1" ht="12.75" customHeight="1" x14ac:dyDescent="0.2">
      <c r="B13" s="97" t="s">
        <v>3</v>
      </c>
      <c r="C13" s="553"/>
      <c r="D13" s="551">
        <v>43</v>
      </c>
      <c r="E13" s="551"/>
      <c r="F13" s="564">
        <v>45</v>
      </c>
      <c r="G13" s="551"/>
      <c r="H13" s="551">
        <v>1641300</v>
      </c>
      <c r="I13" s="551"/>
      <c r="J13" s="551">
        <v>38169.767441860502</v>
      </c>
      <c r="K13" s="550"/>
      <c r="L13" s="550"/>
    </row>
    <row r="14" spans="1:19" s="552" customFormat="1" ht="12.75" customHeight="1" x14ac:dyDescent="0.2">
      <c r="B14" s="97" t="s">
        <v>4</v>
      </c>
      <c r="C14" s="553"/>
      <c r="D14" s="551">
        <v>26</v>
      </c>
      <c r="E14" s="551"/>
      <c r="F14" s="564">
        <v>27</v>
      </c>
      <c r="G14" s="551"/>
      <c r="H14" s="551">
        <v>1822500</v>
      </c>
      <c r="I14" s="551"/>
      <c r="J14" s="551">
        <v>70096.1538461538</v>
      </c>
      <c r="K14" s="550"/>
      <c r="L14" s="550"/>
    </row>
    <row r="15" spans="1:19" s="552" customFormat="1" ht="12.75" customHeight="1" x14ac:dyDescent="0.2">
      <c r="B15" s="97" t="s">
        <v>5</v>
      </c>
      <c r="C15" s="553"/>
      <c r="D15" s="551">
        <v>34</v>
      </c>
      <c r="E15" s="551"/>
      <c r="F15" s="564">
        <v>36</v>
      </c>
      <c r="G15" s="551"/>
      <c r="H15" s="551">
        <v>1215500</v>
      </c>
      <c r="I15" s="551"/>
      <c r="J15" s="551">
        <v>35750</v>
      </c>
      <c r="K15" s="550"/>
      <c r="L15" s="550"/>
    </row>
    <row r="16" spans="1:19" s="552" customFormat="1" ht="12.75" customHeight="1" x14ac:dyDescent="0.2">
      <c r="B16" s="97" t="s">
        <v>6</v>
      </c>
      <c r="C16" s="553"/>
      <c r="D16" s="551">
        <v>48</v>
      </c>
      <c r="E16" s="551"/>
      <c r="F16" s="564">
        <v>51</v>
      </c>
      <c r="G16" s="551"/>
      <c r="H16" s="551">
        <v>1244800</v>
      </c>
      <c r="I16" s="551"/>
      <c r="J16" s="551">
        <v>25933.333333333299</v>
      </c>
      <c r="K16" s="550"/>
      <c r="L16" s="550"/>
    </row>
    <row r="17" spans="2:12" s="552" customFormat="1" ht="12.75" customHeight="1" x14ac:dyDescent="0.2">
      <c r="B17" s="97" t="s">
        <v>7</v>
      </c>
      <c r="C17" s="553"/>
      <c r="D17" s="551">
        <v>37</v>
      </c>
      <c r="E17" s="551"/>
      <c r="F17" s="564">
        <v>39</v>
      </c>
      <c r="G17" s="551"/>
      <c r="H17" s="551">
        <v>2421000</v>
      </c>
      <c r="I17" s="551"/>
      <c r="J17" s="551">
        <v>65432.432432432397</v>
      </c>
      <c r="K17" s="550"/>
      <c r="L17" s="550"/>
    </row>
    <row r="18" spans="2:12" s="552" customFormat="1" ht="12.75" customHeight="1" x14ac:dyDescent="0.2">
      <c r="B18" s="97" t="s">
        <v>8</v>
      </c>
      <c r="C18" s="553"/>
      <c r="D18" s="551">
        <v>41</v>
      </c>
      <c r="E18" s="551"/>
      <c r="F18" s="564">
        <v>43</v>
      </c>
      <c r="G18" s="551"/>
      <c r="H18" s="551">
        <v>1408422</v>
      </c>
      <c r="I18" s="551"/>
      <c r="J18" s="551">
        <v>34351.756097561003</v>
      </c>
      <c r="K18" s="550"/>
      <c r="L18" s="550"/>
    </row>
    <row r="19" spans="2:12" s="552" customFormat="1" ht="12.75" customHeight="1" x14ac:dyDescent="0.2">
      <c r="B19" s="97" t="s">
        <v>9</v>
      </c>
      <c r="C19" s="553"/>
      <c r="D19" s="551">
        <v>23</v>
      </c>
      <c r="E19" s="551"/>
      <c r="F19" s="564">
        <v>23</v>
      </c>
      <c r="G19" s="551"/>
      <c r="H19" s="551">
        <v>300800</v>
      </c>
      <c r="I19" s="551"/>
      <c r="J19" s="551">
        <v>13078.2608695652</v>
      </c>
      <c r="K19" s="550"/>
      <c r="L19" s="550"/>
    </row>
    <row r="20" spans="2:12" s="552" customFormat="1" ht="12.75" customHeight="1" x14ac:dyDescent="0.2">
      <c r="B20" s="97" t="s">
        <v>10</v>
      </c>
      <c r="C20" s="553"/>
      <c r="D20" s="551">
        <v>34</v>
      </c>
      <c r="E20" s="551"/>
      <c r="F20" s="564">
        <v>35</v>
      </c>
      <c r="G20" s="551"/>
      <c r="H20" s="551">
        <v>773600</v>
      </c>
      <c r="I20" s="551"/>
      <c r="J20" s="551">
        <v>22752.941176470598</v>
      </c>
      <c r="K20" s="550"/>
      <c r="L20" s="550"/>
    </row>
    <row r="21" spans="2:12" s="552" customFormat="1" ht="12.75" customHeight="1" x14ac:dyDescent="0.2">
      <c r="B21" s="97" t="s">
        <v>11</v>
      </c>
      <c r="C21" s="553"/>
      <c r="D21" s="551">
        <v>26</v>
      </c>
      <c r="E21" s="551"/>
      <c r="F21" s="564">
        <v>26</v>
      </c>
      <c r="G21" s="551"/>
      <c r="H21" s="551">
        <v>575700</v>
      </c>
      <c r="I21" s="551"/>
      <c r="J21" s="551">
        <v>22142.307692307699</v>
      </c>
      <c r="K21" s="550"/>
      <c r="L21" s="550"/>
    </row>
    <row r="22" spans="2:12" s="552" customFormat="1" ht="12.75" customHeight="1" x14ac:dyDescent="0.2">
      <c r="B22" s="97" t="s">
        <v>12</v>
      </c>
      <c r="C22" s="553"/>
      <c r="D22" s="551">
        <v>48</v>
      </c>
      <c r="E22" s="551"/>
      <c r="F22" s="564">
        <v>50</v>
      </c>
      <c r="G22" s="551"/>
      <c r="H22" s="551">
        <v>1799950</v>
      </c>
      <c r="I22" s="551"/>
      <c r="J22" s="551">
        <v>37498.958333333299</v>
      </c>
      <c r="K22" s="550"/>
      <c r="L22" s="550"/>
    </row>
    <row r="23" spans="2:12" s="552" customFormat="1" ht="12.75" customHeight="1" x14ac:dyDescent="0.2">
      <c r="B23" s="97" t="s">
        <v>13</v>
      </c>
      <c r="C23" s="553"/>
      <c r="D23" s="551">
        <v>21</v>
      </c>
      <c r="E23" s="551"/>
      <c r="F23" s="564">
        <v>24</v>
      </c>
      <c r="G23" s="551"/>
      <c r="H23" s="551">
        <v>991512</v>
      </c>
      <c r="I23" s="551"/>
      <c r="J23" s="551">
        <v>47214.857142857101</v>
      </c>
      <c r="K23" s="550"/>
      <c r="L23" s="550"/>
    </row>
    <row r="24" spans="2:12" s="552" customFormat="1" ht="12.75" customHeight="1" x14ac:dyDescent="0.2">
      <c r="B24" s="97" t="s">
        <v>14</v>
      </c>
      <c r="C24" s="553"/>
      <c r="D24" s="551">
        <v>18</v>
      </c>
      <c r="E24" s="551"/>
      <c r="F24" s="564">
        <v>19</v>
      </c>
      <c r="G24" s="551"/>
      <c r="H24" s="551">
        <v>1133400</v>
      </c>
      <c r="I24" s="551"/>
      <c r="J24" s="551">
        <v>62966.666666666701</v>
      </c>
      <c r="K24" s="550"/>
      <c r="L24" s="550"/>
    </row>
    <row r="25" spans="2:12" s="552" customFormat="1" ht="12.75" customHeight="1" x14ac:dyDescent="0.2">
      <c r="B25" s="97" t="s">
        <v>15</v>
      </c>
      <c r="C25" s="553"/>
      <c r="D25" s="551">
        <v>16</v>
      </c>
      <c r="E25" s="551"/>
      <c r="F25" s="564">
        <v>18</v>
      </c>
      <c r="G25" s="551"/>
      <c r="H25" s="551">
        <v>1419100</v>
      </c>
      <c r="I25" s="551"/>
      <c r="J25" s="551">
        <v>88693.75</v>
      </c>
      <c r="K25" s="550"/>
      <c r="L25" s="550"/>
    </row>
    <row r="26" spans="2:12" s="552" customFormat="1" ht="12.75" customHeight="1" x14ac:dyDescent="0.2">
      <c r="B26" s="97" t="s">
        <v>16</v>
      </c>
      <c r="C26" s="553"/>
      <c r="D26" s="551">
        <v>38</v>
      </c>
      <c r="E26" s="551"/>
      <c r="F26" s="564">
        <v>41</v>
      </c>
      <c r="G26" s="551"/>
      <c r="H26" s="551">
        <v>1482480</v>
      </c>
      <c r="I26" s="551"/>
      <c r="J26" s="551">
        <v>39012.631578947403</v>
      </c>
      <c r="K26" s="550"/>
      <c r="L26" s="550"/>
    </row>
    <row r="27" spans="2:12" s="552" customFormat="1" ht="12.75" customHeight="1" x14ac:dyDescent="0.2">
      <c r="B27" s="97" t="s">
        <v>17</v>
      </c>
      <c r="C27" s="553"/>
      <c r="D27" s="551">
        <v>13</v>
      </c>
      <c r="E27" s="551"/>
      <c r="F27" s="564">
        <v>13</v>
      </c>
      <c r="G27" s="551"/>
      <c r="H27" s="551">
        <v>1795050</v>
      </c>
      <c r="I27" s="551"/>
      <c r="J27" s="551">
        <v>138080.76923076899</v>
      </c>
      <c r="K27" s="550"/>
      <c r="L27" s="550"/>
    </row>
    <row r="28" spans="2:12" s="552" customFormat="1" ht="12.75" customHeight="1" x14ac:dyDescent="0.2">
      <c r="B28" s="97" t="s">
        <v>18</v>
      </c>
      <c r="C28" s="553"/>
      <c r="D28" s="551">
        <v>26</v>
      </c>
      <c r="E28" s="551"/>
      <c r="F28" s="564">
        <v>30</v>
      </c>
      <c r="G28" s="551"/>
      <c r="H28" s="551">
        <v>1588200</v>
      </c>
      <c r="I28" s="551"/>
      <c r="J28" s="551">
        <v>61084.615384615397</v>
      </c>
      <c r="K28" s="550"/>
      <c r="L28" s="550"/>
    </row>
    <row r="29" spans="2:12" s="552" customFormat="1" ht="12.75" customHeight="1" x14ac:dyDescent="0.2">
      <c r="B29" s="97" t="s">
        <v>19</v>
      </c>
      <c r="C29" s="553"/>
      <c r="D29" s="551">
        <v>28</v>
      </c>
      <c r="E29" s="551"/>
      <c r="F29" s="564">
        <v>30</v>
      </c>
      <c r="G29" s="551"/>
      <c r="H29" s="551">
        <v>1887800</v>
      </c>
      <c r="I29" s="551"/>
      <c r="J29" s="551">
        <v>67421.428571428594</v>
      </c>
      <c r="K29" s="550"/>
      <c r="L29" s="550"/>
    </row>
    <row r="30" spans="2:12" s="552" customFormat="1" ht="12.75" customHeight="1" x14ac:dyDescent="0.2">
      <c r="B30" s="97" t="s">
        <v>20</v>
      </c>
      <c r="C30" s="553"/>
      <c r="D30" s="551">
        <v>45</v>
      </c>
      <c r="E30" s="551"/>
      <c r="F30" s="564">
        <v>52</v>
      </c>
      <c r="G30" s="551"/>
      <c r="H30" s="551">
        <v>1402150</v>
      </c>
      <c r="I30" s="551"/>
      <c r="J30" s="551">
        <v>31158.888888888901</v>
      </c>
      <c r="K30" s="550"/>
      <c r="L30" s="550"/>
    </row>
    <row r="31" spans="2:12" s="552" customFormat="1" ht="12.75" customHeight="1" x14ac:dyDescent="0.2">
      <c r="B31" s="97" t="s">
        <v>21</v>
      </c>
      <c r="C31" s="553"/>
      <c r="D31" s="551">
        <v>27</v>
      </c>
      <c r="E31" s="551"/>
      <c r="F31" s="564">
        <v>29</v>
      </c>
      <c r="G31" s="551"/>
      <c r="H31" s="551">
        <v>792000</v>
      </c>
      <c r="I31" s="551"/>
      <c r="J31" s="551">
        <v>29333.333333333299</v>
      </c>
      <c r="K31" s="550"/>
      <c r="L31" s="550"/>
    </row>
    <row r="32" spans="2:12" s="552" customFormat="1" ht="12.75" customHeight="1" x14ac:dyDescent="0.2">
      <c r="B32" s="97" t="s">
        <v>22</v>
      </c>
      <c r="C32" s="553"/>
      <c r="D32" s="551">
        <v>33</v>
      </c>
      <c r="E32" s="551"/>
      <c r="F32" s="564">
        <v>34</v>
      </c>
      <c r="G32" s="551"/>
      <c r="H32" s="551">
        <v>2147700</v>
      </c>
      <c r="I32" s="551"/>
      <c r="J32" s="551">
        <v>65081.818181818198</v>
      </c>
      <c r="K32" s="550"/>
      <c r="L32" s="550"/>
    </row>
    <row r="33" spans="2:12" s="552" customFormat="1" ht="12.75" customHeight="1" x14ac:dyDescent="0.2">
      <c r="B33" s="97" t="s">
        <v>23</v>
      </c>
      <c r="C33" s="553"/>
      <c r="D33" s="551">
        <v>21</v>
      </c>
      <c r="E33" s="551"/>
      <c r="F33" s="564">
        <v>21</v>
      </c>
      <c r="G33" s="551"/>
      <c r="H33" s="551">
        <v>595980</v>
      </c>
      <c r="I33" s="551"/>
      <c r="J33" s="551">
        <v>28380</v>
      </c>
      <c r="K33" s="550"/>
      <c r="L33" s="550"/>
    </row>
    <row r="34" spans="2:12" s="552" customFormat="1" ht="12.75" customHeight="1" x14ac:dyDescent="0.2">
      <c r="B34" s="97" t="s">
        <v>24</v>
      </c>
      <c r="C34" s="553"/>
      <c r="D34" s="551">
        <v>20</v>
      </c>
      <c r="E34" s="551"/>
      <c r="F34" s="564">
        <v>21</v>
      </c>
      <c r="G34" s="551"/>
      <c r="H34" s="551">
        <v>1447400</v>
      </c>
      <c r="I34" s="551"/>
      <c r="J34" s="551">
        <v>72370</v>
      </c>
      <c r="K34" s="550"/>
      <c r="L34" s="550"/>
    </row>
    <row r="35" spans="2:12" s="552" customFormat="1" ht="12.75" customHeight="1" x14ac:dyDescent="0.2">
      <c r="B35" s="97" t="s">
        <v>25</v>
      </c>
      <c r="C35" s="553"/>
      <c r="D35" s="551">
        <v>36</v>
      </c>
      <c r="E35" s="551"/>
      <c r="F35" s="564">
        <v>40</v>
      </c>
      <c r="G35" s="551"/>
      <c r="H35" s="551">
        <v>906650</v>
      </c>
      <c r="I35" s="551"/>
      <c r="J35" s="551">
        <v>25184.722222222201</v>
      </c>
      <c r="K35" s="550"/>
      <c r="L35" s="550"/>
    </row>
    <row r="36" spans="2:12" s="552" customFormat="1" ht="12.75" customHeight="1" x14ac:dyDescent="0.2">
      <c r="B36" s="97" t="s">
        <v>26</v>
      </c>
      <c r="C36" s="553"/>
      <c r="D36" s="551">
        <v>23</v>
      </c>
      <c r="E36" s="551"/>
      <c r="F36" s="564">
        <v>24</v>
      </c>
      <c r="G36" s="551"/>
      <c r="H36" s="551">
        <v>1589000</v>
      </c>
      <c r="I36" s="551"/>
      <c r="J36" s="551">
        <v>69086.956521739106</v>
      </c>
      <c r="K36" s="550"/>
      <c r="L36" s="550"/>
    </row>
    <row r="37" spans="2:12" s="552" customFormat="1" ht="12.75" customHeight="1" x14ac:dyDescent="0.2">
      <c r="B37" s="97" t="s">
        <v>27</v>
      </c>
      <c r="C37" s="553"/>
      <c r="D37" s="551">
        <v>29</v>
      </c>
      <c r="E37" s="551"/>
      <c r="F37" s="564">
        <v>29</v>
      </c>
      <c r="G37" s="551"/>
      <c r="H37" s="551">
        <v>3251400</v>
      </c>
      <c r="I37" s="551"/>
      <c r="J37" s="551">
        <v>112117.24137931</v>
      </c>
      <c r="K37" s="550"/>
      <c r="L37" s="550"/>
    </row>
    <row r="38" spans="2:12" s="552" customFormat="1" ht="12.75" customHeight="1" x14ac:dyDescent="0.2">
      <c r="B38" s="97" t="s">
        <v>28</v>
      </c>
      <c r="C38" s="553"/>
      <c r="D38" s="551">
        <v>97</v>
      </c>
      <c r="E38" s="551"/>
      <c r="F38" s="564">
        <v>101</v>
      </c>
      <c r="G38" s="551"/>
      <c r="H38" s="551">
        <v>2316109</v>
      </c>
      <c r="I38" s="551"/>
      <c r="J38" s="551">
        <v>23877.412371134</v>
      </c>
      <c r="K38" s="550"/>
      <c r="L38" s="550"/>
    </row>
    <row r="39" spans="2:12" s="552" customFormat="1" ht="12.75" customHeight="1" x14ac:dyDescent="0.2">
      <c r="B39" s="97" t="s">
        <v>29</v>
      </c>
      <c r="C39" s="553"/>
      <c r="D39" s="551">
        <v>44</v>
      </c>
      <c r="E39" s="551"/>
      <c r="F39" s="564">
        <v>46</v>
      </c>
      <c r="G39" s="551"/>
      <c r="H39" s="551">
        <v>1255200</v>
      </c>
      <c r="I39" s="551"/>
      <c r="J39" s="551">
        <v>28527.272727272699</v>
      </c>
      <c r="K39" s="550"/>
      <c r="L39" s="550"/>
    </row>
    <row r="40" spans="2:12" s="552" customFormat="1" ht="12.75" customHeight="1" x14ac:dyDescent="0.2">
      <c r="B40" s="97" t="s">
        <v>30</v>
      </c>
      <c r="C40" s="553"/>
      <c r="D40" s="551">
        <v>34</v>
      </c>
      <c r="E40" s="551"/>
      <c r="F40" s="564">
        <v>34</v>
      </c>
      <c r="G40" s="551"/>
      <c r="H40" s="551">
        <v>999900</v>
      </c>
      <c r="I40" s="551"/>
      <c r="J40" s="551">
        <v>29408.823529411799</v>
      </c>
      <c r="K40" s="550"/>
      <c r="L40" s="550"/>
    </row>
    <row r="41" spans="2:12" s="552" customFormat="1" ht="12.75" customHeight="1" x14ac:dyDescent="0.2">
      <c r="B41" s="97" t="s">
        <v>31</v>
      </c>
      <c r="C41" s="553"/>
      <c r="D41" s="551">
        <v>13</v>
      </c>
      <c r="E41" s="551"/>
      <c r="F41" s="564">
        <v>13</v>
      </c>
      <c r="G41" s="551"/>
      <c r="H41" s="551">
        <v>405800</v>
      </c>
      <c r="I41" s="551"/>
      <c r="J41" s="551">
        <v>31215.384615384599</v>
      </c>
      <c r="K41" s="550"/>
      <c r="L41" s="550"/>
    </row>
    <row r="42" spans="2:12" s="552" customFormat="1" ht="12.75" customHeight="1" x14ac:dyDescent="0.2">
      <c r="B42" s="97" t="s">
        <v>32</v>
      </c>
      <c r="C42" s="553"/>
      <c r="D42" s="551">
        <v>18</v>
      </c>
      <c r="E42" s="551"/>
      <c r="F42" s="564">
        <v>18</v>
      </c>
      <c r="G42" s="551"/>
      <c r="H42" s="551">
        <v>306700</v>
      </c>
      <c r="I42" s="551"/>
      <c r="J42" s="551">
        <v>17038.888888888901</v>
      </c>
      <c r="K42" s="550"/>
      <c r="L42" s="550"/>
    </row>
    <row r="43" spans="2:12" s="552" customFormat="1" ht="12.75" customHeight="1" x14ac:dyDescent="0.2">
      <c r="B43" s="97" t="s">
        <v>33</v>
      </c>
      <c r="C43" s="553"/>
      <c r="D43" s="551">
        <v>56</v>
      </c>
      <c r="E43" s="551"/>
      <c r="F43" s="564">
        <v>62</v>
      </c>
      <c r="G43" s="551"/>
      <c r="H43" s="551">
        <v>2059400</v>
      </c>
      <c r="I43" s="551"/>
      <c r="J43" s="551">
        <v>36775</v>
      </c>
      <c r="K43" s="550"/>
      <c r="L43" s="550"/>
    </row>
    <row r="44" spans="2:12" s="552" customFormat="1" ht="12.75" customHeight="1" x14ac:dyDescent="0.2">
      <c r="B44" s="97" t="s">
        <v>34</v>
      </c>
      <c r="C44" s="553"/>
      <c r="D44" s="551">
        <v>38</v>
      </c>
      <c r="E44" s="551"/>
      <c r="F44" s="564">
        <v>40</v>
      </c>
      <c r="G44" s="551"/>
      <c r="H44" s="551">
        <v>4167200</v>
      </c>
      <c r="I44" s="551"/>
      <c r="J44" s="551">
        <v>109663.157894737</v>
      </c>
      <c r="K44" s="550"/>
      <c r="L44" s="550"/>
    </row>
    <row r="45" spans="2:12" ht="6" customHeight="1" x14ac:dyDescent="0.25">
      <c r="B45" s="554"/>
      <c r="C45" s="555"/>
      <c r="D45" s="556"/>
      <c r="E45" s="556"/>
      <c r="F45" s="556"/>
      <c r="G45" s="556"/>
      <c r="H45" s="557"/>
      <c r="I45" s="556"/>
      <c r="J45" s="556"/>
      <c r="K45" s="538"/>
      <c r="L45" s="538"/>
    </row>
    <row r="46" spans="2:12" ht="6" customHeight="1" x14ac:dyDescent="0.25">
      <c r="B46" s="228"/>
      <c r="C46" s="537"/>
      <c r="D46" s="537"/>
      <c r="E46" s="537"/>
      <c r="F46" s="537"/>
      <c r="G46" s="537"/>
      <c r="H46" s="558"/>
      <c r="I46" s="538"/>
      <c r="J46" s="538"/>
      <c r="K46" s="538"/>
      <c r="L46" s="538"/>
    </row>
    <row r="47" spans="2:12" ht="15" customHeight="1" x14ac:dyDescent="0.25">
      <c r="B47" s="273" t="s">
        <v>132</v>
      </c>
      <c r="C47" s="537"/>
      <c r="D47" s="537"/>
      <c r="E47" s="537"/>
      <c r="F47" s="537"/>
      <c r="G47" s="537"/>
      <c r="H47" s="558"/>
      <c r="I47" s="538"/>
      <c r="J47" s="538"/>
      <c r="K47" s="538"/>
      <c r="L47" s="538"/>
    </row>
    <row r="48" spans="2:12" s="13" customFormat="1" ht="14.25" x14ac:dyDescent="0.2">
      <c r="B48" s="163" t="s">
        <v>181</v>
      </c>
      <c r="C48" s="164"/>
      <c r="D48" s="164"/>
      <c r="E48" s="164"/>
      <c r="F48" s="164"/>
      <c r="G48" s="164"/>
      <c r="H48" s="164"/>
      <c r="I48" s="164"/>
      <c r="J48" s="164"/>
      <c r="K48" s="164"/>
      <c r="L48" s="164"/>
    </row>
    <row r="49" spans="2:12" x14ac:dyDescent="0.25">
      <c r="B49" s="538"/>
      <c r="C49" s="537"/>
      <c r="D49" s="537"/>
      <c r="E49" s="537"/>
      <c r="F49" s="537"/>
      <c r="G49" s="537"/>
      <c r="H49" s="538"/>
      <c r="I49" s="538"/>
      <c r="J49" s="538"/>
      <c r="K49" s="538"/>
      <c r="L49" s="538"/>
    </row>
    <row r="50" spans="2:12" x14ac:dyDescent="0.25">
      <c r="B50" s="538"/>
      <c r="C50" s="537"/>
      <c r="D50" s="537"/>
      <c r="E50" s="537"/>
      <c r="F50" s="537"/>
      <c r="G50" s="537"/>
      <c r="H50" s="538"/>
      <c r="I50" s="538"/>
      <c r="J50" s="538"/>
      <c r="K50" s="538"/>
      <c r="L50" s="538"/>
    </row>
    <row r="51" spans="2:12" x14ac:dyDescent="0.25">
      <c r="B51" s="538"/>
      <c r="C51" s="537"/>
      <c r="D51" s="537"/>
      <c r="E51" s="537"/>
      <c r="F51" s="537"/>
      <c r="G51" s="537"/>
      <c r="H51" s="538"/>
      <c r="I51" s="538"/>
      <c r="J51" s="538"/>
      <c r="K51" s="538"/>
      <c r="L51" s="538"/>
    </row>
    <row r="52" spans="2:12" x14ac:dyDescent="0.25">
      <c r="B52" s="538"/>
      <c r="C52" s="537"/>
      <c r="D52" s="537"/>
      <c r="E52" s="537"/>
      <c r="F52" s="537"/>
      <c r="G52" s="537"/>
      <c r="H52" s="538"/>
      <c r="I52" s="538"/>
      <c r="J52" s="538"/>
      <c r="K52" s="538"/>
      <c r="L52" s="538"/>
    </row>
  </sheetData>
  <mergeCells count="6">
    <mergeCell ref="J7:J9"/>
    <mergeCell ref="B5:H5"/>
    <mergeCell ref="B7:C9"/>
    <mergeCell ref="D7:D9"/>
    <mergeCell ref="F7:F9"/>
    <mergeCell ref="H7:H9"/>
  </mergeCells>
  <hyperlinks>
    <hyperlink ref="J1" location="Índice!A1" tooltip="Ir a ÍNDICE" display="INDICE" xr:uid="{ECBB5B05-C257-488F-AD90-B3B7B07D330B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15C9F-A6F2-4FDA-968D-A02507575421}">
  <dimension ref="A1:S48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571" customWidth="1"/>
    <col min="2" max="2" width="24.28515625" style="571" customWidth="1"/>
    <col min="3" max="3" width="0.85546875" style="591" customWidth="1"/>
    <col min="4" max="4" width="20.7109375" style="591" customWidth="1"/>
    <col min="5" max="5" width="0.85546875" style="591" customWidth="1"/>
    <col min="6" max="6" width="25.7109375" style="591" customWidth="1"/>
    <col min="7" max="7" width="2.5703125" style="591" customWidth="1"/>
    <col min="8" max="8" width="21.85546875" style="571" customWidth="1"/>
    <col min="9" max="9" width="1.7109375" style="571" customWidth="1"/>
    <col min="10" max="10" width="21.7109375" style="571" customWidth="1"/>
    <col min="11" max="16384" width="11.42578125" style="571"/>
  </cols>
  <sheetData>
    <row r="1" spans="1:19" s="566" customFormat="1" ht="12" customHeight="1" x14ac:dyDescent="0.2">
      <c r="A1" s="616"/>
      <c r="B1" s="616" t="s">
        <v>202</v>
      </c>
      <c r="J1" s="72" t="s">
        <v>151</v>
      </c>
    </row>
    <row r="2" spans="1:19" s="566" customFormat="1" ht="6.95" customHeight="1" x14ac:dyDescent="0.2">
      <c r="B2" s="616"/>
    </row>
    <row r="3" spans="1:19" s="566" customFormat="1" ht="15" customHeight="1" x14ac:dyDescent="0.2">
      <c r="B3" s="616" t="s">
        <v>199</v>
      </c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5"/>
      <c r="N3" s="565"/>
      <c r="O3" s="565"/>
      <c r="P3" s="565"/>
      <c r="Q3" s="565"/>
      <c r="R3" s="565"/>
      <c r="S3" s="565"/>
    </row>
    <row r="4" spans="1:19" s="566" customFormat="1" ht="6.95" customHeight="1" x14ac:dyDescent="0.2">
      <c r="C4" s="567"/>
      <c r="D4" s="567"/>
      <c r="E4" s="567"/>
      <c r="F4" s="567"/>
      <c r="G4" s="567"/>
    </row>
    <row r="5" spans="1:19" s="566" customFormat="1" ht="39" customHeight="1" x14ac:dyDescent="0.2">
      <c r="B5" s="709" t="s">
        <v>171</v>
      </c>
      <c r="C5" s="709"/>
      <c r="D5" s="709"/>
      <c r="E5" s="709"/>
      <c r="F5" s="709"/>
      <c r="G5" s="709"/>
      <c r="H5" s="709"/>
      <c r="I5" s="709"/>
      <c r="J5" s="71" t="s">
        <v>119</v>
      </c>
    </row>
    <row r="6" spans="1:19" ht="6" customHeight="1" x14ac:dyDescent="0.25">
      <c r="B6" s="568"/>
      <c r="C6" s="569"/>
      <c r="D6" s="569"/>
      <c r="E6" s="569"/>
      <c r="F6" s="569"/>
      <c r="G6" s="569"/>
      <c r="H6" s="570"/>
      <c r="I6" s="570"/>
      <c r="J6" s="570"/>
    </row>
    <row r="7" spans="1:19" ht="24" customHeight="1" x14ac:dyDescent="0.25">
      <c r="B7" s="658" t="s">
        <v>76</v>
      </c>
      <c r="C7" s="658"/>
      <c r="D7" s="706" t="s">
        <v>133</v>
      </c>
      <c r="E7" s="560"/>
      <c r="F7" s="706" t="s">
        <v>92</v>
      </c>
      <c r="G7" s="572"/>
      <c r="H7" s="706" t="s">
        <v>184</v>
      </c>
      <c r="I7" s="573"/>
      <c r="J7" s="706" t="s">
        <v>185</v>
      </c>
    </row>
    <row r="8" spans="1:19" ht="42" customHeight="1" x14ac:dyDescent="0.25">
      <c r="B8" s="659"/>
      <c r="C8" s="659"/>
      <c r="D8" s="707"/>
      <c r="E8" s="561"/>
      <c r="F8" s="707"/>
      <c r="G8" s="574"/>
      <c r="H8" s="707"/>
      <c r="I8" s="570"/>
      <c r="J8" s="707"/>
    </row>
    <row r="9" spans="1:19" ht="25.5" customHeight="1" x14ac:dyDescent="0.25">
      <c r="B9" s="660"/>
      <c r="C9" s="660"/>
      <c r="D9" s="708"/>
      <c r="E9" s="562"/>
      <c r="F9" s="708"/>
      <c r="G9" s="575"/>
      <c r="H9" s="708"/>
      <c r="I9" s="568"/>
      <c r="J9" s="708"/>
    </row>
    <row r="10" spans="1:19" ht="6" customHeight="1" x14ac:dyDescent="0.25">
      <c r="B10" s="31"/>
      <c r="C10" s="576"/>
      <c r="D10" s="577"/>
      <c r="E10" s="577"/>
      <c r="F10" s="577"/>
      <c r="G10" s="577"/>
      <c r="H10" s="578"/>
      <c r="I10" s="578"/>
      <c r="J10" s="578"/>
    </row>
    <row r="11" spans="1:19" s="581" customFormat="1" ht="11.25" x14ac:dyDescent="0.2">
      <c r="B11" s="96" t="s">
        <v>2</v>
      </c>
      <c r="C11" s="579"/>
      <c r="D11" s="580">
        <v>803</v>
      </c>
      <c r="E11" s="580"/>
      <c r="F11" s="592">
        <v>853</v>
      </c>
      <c r="G11" s="580"/>
      <c r="H11" s="580">
        <v>22702877</v>
      </c>
      <c r="I11" s="580"/>
      <c r="J11" s="580">
        <v>28272.574097135701</v>
      </c>
    </row>
    <row r="12" spans="1:19" s="584" customFormat="1" ht="6" customHeight="1" x14ac:dyDescent="0.2">
      <c r="B12" s="96"/>
      <c r="C12" s="582"/>
      <c r="D12" s="583"/>
      <c r="E12" s="583"/>
      <c r="F12" s="593"/>
      <c r="G12" s="583"/>
      <c r="H12" s="583"/>
      <c r="I12" s="583"/>
      <c r="J12" s="583"/>
    </row>
    <row r="13" spans="1:19" s="584" customFormat="1" ht="12.75" customHeight="1" x14ac:dyDescent="0.2">
      <c r="B13" s="97" t="s">
        <v>3</v>
      </c>
      <c r="C13" s="585"/>
      <c r="D13" s="583">
        <v>27</v>
      </c>
      <c r="E13" s="583"/>
      <c r="F13" s="593">
        <v>30</v>
      </c>
      <c r="G13" s="583"/>
      <c r="H13" s="583">
        <v>599420</v>
      </c>
      <c r="I13" s="583"/>
      <c r="J13" s="583">
        <v>22200.740740740701</v>
      </c>
    </row>
    <row r="14" spans="1:19" s="584" customFormat="1" ht="12.75" customHeight="1" x14ac:dyDescent="0.2">
      <c r="B14" s="97" t="s">
        <v>4</v>
      </c>
      <c r="C14" s="585"/>
      <c r="D14" s="583">
        <v>27</v>
      </c>
      <c r="E14" s="583"/>
      <c r="F14" s="593">
        <v>29</v>
      </c>
      <c r="G14" s="583"/>
      <c r="H14" s="583">
        <v>928900</v>
      </c>
      <c r="I14" s="583"/>
      <c r="J14" s="583">
        <v>34403.703703703701</v>
      </c>
    </row>
    <row r="15" spans="1:19" s="584" customFormat="1" ht="12.75" customHeight="1" x14ac:dyDescent="0.2">
      <c r="B15" s="97" t="s">
        <v>5</v>
      </c>
      <c r="C15" s="585"/>
      <c r="D15" s="583">
        <v>25</v>
      </c>
      <c r="E15" s="583"/>
      <c r="F15" s="593">
        <v>25</v>
      </c>
      <c r="G15" s="583"/>
      <c r="H15" s="583">
        <v>652140</v>
      </c>
      <c r="I15" s="583"/>
      <c r="J15" s="583">
        <v>26085.599999999999</v>
      </c>
    </row>
    <row r="16" spans="1:19" s="584" customFormat="1" ht="12.75" customHeight="1" x14ac:dyDescent="0.2">
      <c r="B16" s="97" t="s">
        <v>6</v>
      </c>
      <c r="C16" s="585"/>
      <c r="D16" s="583">
        <v>27</v>
      </c>
      <c r="E16" s="583"/>
      <c r="F16" s="593">
        <v>29</v>
      </c>
      <c r="G16" s="583"/>
      <c r="H16" s="583">
        <v>227300</v>
      </c>
      <c r="I16" s="583"/>
      <c r="J16" s="583">
        <v>8418.5185185185201</v>
      </c>
    </row>
    <row r="17" spans="2:10" s="584" customFormat="1" ht="12.75" customHeight="1" x14ac:dyDescent="0.2">
      <c r="B17" s="97" t="s">
        <v>7</v>
      </c>
      <c r="C17" s="585"/>
      <c r="D17" s="583">
        <v>16</v>
      </c>
      <c r="E17" s="583"/>
      <c r="F17" s="593">
        <v>20</v>
      </c>
      <c r="G17" s="583"/>
      <c r="H17" s="583">
        <v>1537600</v>
      </c>
      <c r="I17" s="583"/>
      <c r="J17" s="583">
        <v>96100</v>
      </c>
    </row>
    <row r="18" spans="2:10" s="584" customFormat="1" ht="12.75" customHeight="1" x14ac:dyDescent="0.2">
      <c r="B18" s="97" t="s">
        <v>8</v>
      </c>
      <c r="C18" s="585"/>
      <c r="D18" s="583">
        <v>42</v>
      </c>
      <c r="E18" s="583"/>
      <c r="F18" s="593">
        <v>44</v>
      </c>
      <c r="G18" s="583"/>
      <c r="H18" s="583">
        <v>665000</v>
      </c>
      <c r="I18" s="583"/>
      <c r="J18" s="583">
        <v>15833.333333333299</v>
      </c>
    </row>
    <row r="19" spans="2:10" s="584" customFormat="1" ht="12.75" customHeight="1" x14ac:dyDescent="0.2">
      <c r="B19" s="97" t="s">
        <v>9</v>
      </c>
      <c r="C19" s="585"/>
      <c r="D19" s="583">
        <v>10</v>
      </c>
      <c r="E19" s="583"/>
      <c r="F19" s="593">
        <v>10</v>
      </c>
      <c r="G19" s="583"/>
      <c r="H19" s="583">
        <v>163000</v>
      </c>
      <c r="I19" s="583"/>
      <c r="J19" s="583">
        <v>16300</v>
      </c>
    </row>
    <row r="20" spans="2:10" s="584" customFormat="1" ht="12.75" customHeight="1" x14ac:dyDescent="0.2">
      <c r="B20" s="97" t="s">
        <v>10</v>
      </c>
      <c r="C20" s="585"/>
      <c r="D20" s="583">
        <v>27</v>
      </c>
      <c r="E20" s="583"/>
      <c r="F20" s="593">
        <v>27</v>
      </c>
      <c r="G20" s="583"/>
      <c r="H20" s="583">
        <v>559510</v>
      </c>
      <c r="I20" s="583"/>
      <c r="J20" s="583">
        <v>20722.592592592599</v>
      </c>
    </row>
    <row r="21" spans="2:10" s="584" customFormat="1" ht="12.75" customHeight="1" x14ac:dyDescent="0.2">
      <c r="B21" s="97" t="s">
        <v>11</v>
      </c>
      <c r="C21" s="585"/>
      <c r="D21" s="583">
        <v>20</v>
      </c>
      <c r="E21" s="583"/>
      <c r="F21" s="593">
        <v>20</v>
      </c>
      <c r="G21" s="583"/>
      <c r="H21" s="583">
        <v>544250</v>
      </c>
      <c r="I21" s="583"/>
      <c r="J21" s="583">
        <v>27212.5</v>
      </c>
    </row>
    <row r="22" spans="2:10" s="584" customFormat="1" ht="12.75" customHeight="1" x14ac:dyDescent="0.2">
      <c r="B22" s="97" t="s">
        <v>12</v>
      </c>
      <c r="C22" s="585"/>
      <c r="D22" s="583">
        <v>33</v>
      </c>
      <c r="E22" s="583"/>
      <c r="F22" s="593">
        <v>36</v>
      </c>
      <c r="G22" s="583"/>
      <c r="H22" s="583">
        <v>881687</v>
      </c>
      <c r="I22" s="583"/>
      <c r="J22" s="583">
        <v>26717.787878787902</v>
      </c>
    </row>
    <row r="23" spans="2:10" s="584" customFormat="1" ht="12.75" customHeight="1" x14ac:dyDescent="0.2">
      <c r="B23" s="97" t="s">
        <v>13</v>
      </c>
      <c r="C23" s="585"/>
      <c r="D23" s="583">
        <v>18</v>
      </c>
      <c r="E23" s="583"/>
      <c r="F23" s="593">
        <v>21</v>
      </c>
      <c r="G23" s="583"/>
      <c r="H23" s="583">
        <v>329300</v>
      </c>
      <c r="I23" s="583"/>
      <c r="J23" s="583">
        <v>18294.444444444402</v>
      </c>
    </row>
    <row r="24" spans="2:10" s="584" customFormat="1" ht="12.75" customHeight="1" x14ac:dyDescent="0.2">
      <c r="B24" s="97" t="s">
        <v>14</v>
      </c>
      <c r="C24" s="585"/>
      <c r="D24" s="583">
        <v>22</v>
      </c>
      <c r="E24" s="583"/>
      <c r="F24" s="593">
        <v>25</v>
      </c>
      <c r="G24" s="583"/>
      <c r="H24" s="583">
        <v>976000</v>
      </c>
      <c r="I24" s="583"/>
      <c r="J24" s="583">
        <v>44363.636363636397</v>
      </c>
    </row>
    <row r="25" spans="2:10" s="584" customFormat="1" ht="12.75" customHeight="1" x14ac:dyDescent="0.2">
      <c r="B25" s="97" t="s">
        <v>15</v>
      </c>
      <c r="C25" s="585"/>
      <c r="D25" s="583">
        <v>13</v>
      </c>
      <c r="E25" s="583"/>
      <c r="F25" s="593">
        <v>20</v>
      </c>
      <c r="G25" s="583"/>
      <c r="H25" s="583">
        <v>607000</v>
      </c>
      <c r="I25" s="583"/>
      <c r="J25" s="583">
        <v>46692.307692307702</v>
      </c>
    </row>
    <row r="26" spans="2:10" s="584" customFormat="1" ht="12.75" customHeight="1" x14ac:dyDescent="0.2">
      <c r="B26" s="97" t="s">
        <v>16</v>
      </c>
      <c r="C26" s="585"/>
      <c r="D26" s="583">
        <v>33</v>
      </c>
      <c r="E26" s="583"/>
      <c r="F26" s="593">
        <v>36</v>
      </c>
      <c r="G26" s="583"/>
      <c r="H26" s="583">
        <v>1232630</v>
      </c>
      <c r="I26" s="583"/>
      <c r="J26" s="583">
        <v>37352.424242424197</v>
      </c>
    </row>
    <row r="27" spans="2:10" s="584" customFormat="1" ht="12.75" customHeight="1" x14ac:dyDescent="0.2">
      <c r="B27" s="97" t="s">
        <v>17</v>
      </c>
      <c r="C27" s="585"/>
      <c r="D27" s="583">
        <v>15</v>
      </c>
      <c r="E27" s="583"/>
      <c r="F27" s="593">
        <v>15</v>
      </c>
      <c r="G27" s="583"/>
      <c r="H27" s="583">
        <v>1002200</v>
      </c>
      <c r="I27" s="583"/>
      <c r="J27" s="583">
        <v>66813.333333333299</v>
      </c>
    </row>
    <row r="28" spans="2:10" s="584" customFormat="1" ht="12.75" customHeight="1" x14ac:dyDescent="0.2">
      <c r="B28" s="97" t="s">
        <v>18</v>
      </c>
      <c r="C28" s="585"/>
      <c r="D28" s="583">
        <v>20</v>
      </c>
      <c r="E28" s="583"/>
      <c r="F28" s="593">
        <v>21</v>
      </c>
      <c r="G28" s="583"/>
      <c r="H28" s="583">
        <v>703800</v>
      </c>
      <c r="I28" s="583"/>
      <c r="J28" s="583">
        <v>35190</v>
      </c>
    </row>
    <row r="29" spans="2:10" s="584" customFormat="1" ht="12.75" customHeight="1" x14ac:dyDescent="0.2">
      <c r="B29" s="97" t="s">
        <v>19</v>
      </c>
      <c r="C29" s="585"/>
      <c r="D29" s="583">
        <v>16</v>
      </c>
      <c r="E29" s="583"/>
      <c r="F29" s="593">
        <v>16</v>
      </c>
      <c r="G29" s="583"/>
      <c r="H29" s="583">
        <v>211200</v>
      </c>
      <c r="I29" s="583"/>
      <c r="J29" s="583">
        <v>13200</v>
      </c>
    </row>
    <row r="30" spans="2:10" s="584" customFormat="1" ht="12.75" customHeight="1" x14ac:dyDescent="0.2">
      <c r="B30" s="97" t="s">
        <v>20</v>
      </c>
      <c r="C30" s="585"/>
      <c r="D30" s="583">
        <v>47</v>
      </c>
      <c r="E30" s="583"/>
      <c r="F30" s="593">
        <v>51</v>
      </c>
      <c r="G30" s="583"/>
      <c r="H30" s="583">
        <v>943650</v>
      </c>
      <c r="I30" s="583"/>
      <c r="J30" s="583">
        <v>20077.6595744681</v>
      </c>
    </row>
    <row r="31" spans="2:10" s="584" customFormat="1" ht="12.75" customHeight="1" x14ac:dyDescent="0.2">
      <c r="B31" s="97" t="s">
        <v>21</v>
      </c>
      <c r="C31" s="585"/>
      <c r="D31" s="583">
        <v>17</v>
      </c>
      <c r="E31" s="583"/>
      <c r="F31" s="593">
        <v>19</v>
      </c>
      <c r="G31" s="583"/>
      <c r="H31" s="583">
        <v>489500</v>
      </c>
      <c r="I31" s="583"/>
      <c r="J31" s="583">
        <v>28794.1176470588</v>
      </c>
    </row>
    <row r="32" spans="2:10" s="584" customFormat="1" ht="12.75" customHeight="1" x14ac:dyDescent="0.2">
      <c r="B32" s="97" t="s">
        <v>22</v>
      </c>
      <c r="C32" s="585"/>
      <c r="D32" s="583">
        <v>19</v>
      </c>
      <c r="E32" s="583"/>
      <c r="F32" s="593">
        <v>20</v>
      </c>
      <c r="G32" s="583"/>
      <c r="H32" s="583">
        <v>540800</v>
      </c>
      <c r="I32" s="583"/>
      <c r="J32" s="583">
        <v>28463.1578947368</v>
      </c>
    </row>
    <row r="33" spans="2:10" s="584" customFormat="1" ht="12.75" customHeight="1" x14ac:dyDescent="0.2">
      <c r="B33" s="97" t="s">
        <v>23</v>
      </c>
      <c r="C33" s="585"/>
      <c r="D33" s="583">
        <v>13</v>
      </c>
      <c r="E33" s="583"/>
      <c r="F33" s="593">
        <v>13</v>
      </c>
      <c r="G33" s="583"/>
      <c r="H33" s="583">
        <v>457150</v>
      </c>
      <c r="I33" s="583"/>
      <c r="J33" s="583">
        <v>35165.384615384603</v>
      </c>
    </row>
    <row r="34" spans="2:10" s="584" customFormat="1" ht="12.75" customHeight="1" x14ac:dyDescent="0.2">
      <c r="B34" s="97" t="s">
        <v>24</v>
      </c>
      <c r="C34" s="585"/>
      <c r="D34" s="583">
        <v>24</v>
      </c>
      <c r="E34" s="583"/>
      <c r="F34" s="593">
        <v>24</v>
      </c>
      <c r="G34" s="583"/>
      <c r="H34" s="583">
        <v>1474600</v>
      </c>
      <c r="I34" s="583"/>
      <c r="J34" s="583">
        <v>61441.666666666701</v>
      </c>
    </row>
    <row r="35" spans="2:10" s="584" customFormat="1" ht="12.75" customHeight="1" x14ac:dyDescent="0.2">
      <c r="B35" s="97" t="s">
        <v>25</v>
      </c>
      <c r="C35" s="585"/>
      <c r="D35" s="583">
        <v>32</v>
      </c>
      <c r="E35" s="583"/>
      <c r="F35" s="593">
        <v>33</v>
      </c>
      <c r="G35" s="583"/>
      <c r="H35" s="583">
        <v>574350</v>
      </c>
      <c r="I35" s="583"/>
      <c r="J35" s="583">
        <v>17948.4375</v>
      </c>
    </row>
    <row r="36" spans="2:10" s="584" customFormat="1" ht="12.75" customHeight="1" x14ac:dyDescent="0.2">
      <c r="B36" s="97" t="s">
        <v>26</v>
      </c>
      <c r="C36" s="585"/>
      <c r="D36" s="583">
        <v>25</v>
      </c>
      <c r="E36" s="583"/>
      <c r="F36" s="593">
        <v>27</v>
      </c>
      <c r="G36" s="583"/>
      <c r="H36" s="583">
        <v>779000</v>
      </c>
      <c r="I36" s="583"/>
      <c r="J36" s="583">
        <v>31160</v>
      </c>
    </row>
    <row r="37" spans="2:10" s="584" customFormat="1" ht="12.75" customHeight="1" x14ac:dyDescent="0.2">
      <c r="B37" s="97" t="s">
        <v>27</v>
      </c>
      <c r="C37" s="585"/>
      <c r="D37" s="583">
        <v>19</v>
      </c>
      <c r="E37" s="583"/>
      <c r="F37" s="593">
        <v>20</v>
      </c>
      <c r="G37" s="583"/>
      <c r="H37" s="583">
        <v>763400</v>
      </c>
      <c r="I37" s="583"/>
      <c r="J37" s="583">
        <v>40178.947368421097</v>
      </c>
    </row>
    <row r="38" spans="2:10" s="584" customFormat="1" ht="12.75" customHeight="1" x14ac:dyDescent="0.2">
      <c r="B38" s="97" t="s">
        <v>28</v>
      </c>
      <c r="C38" s="585"/>
      <c r="D38" s="583">
        <v>66</v>
      </c>
      <c r="E38" s="583"/>
      <c r="F38" s="593">
        <v>68</v>
      </c>
      <c r="G38" s="583"/>
      <c r="H38" s="583">
        <v>1006770</v>
      </c>
      <c r="I38" s="583"/>
      <c r="J38" s="583">
        <v>15254.090909090901</v>
      </c>
    </row>
    <row r="39" spans="2:10" s="584" customFormat="1" ht="12.75" customHeight="1" x14ac:dyDescent="0.2">
      <c r="B39" s="97" t="s">
        <v>29</v>
      </c>
      <c r="C39" s="585"/>
      <c r="D39" s="583">
        <v>24</v>
      </c>
      <c r="E39" s="583"/>
      <c r="F39" s="593">
        <v>25</v>
      </c>
      <c r="G39" s="583"/>
      <c r="H39" s="583">
        <v>518020</v>
      </c>
      <c r="I39" s="583"/>
      <c r="J39" s="583">
        <v>21584.166666666701</v>
      </c>
    </row>
    <row r="40" spans="2:10" s="584" customFormat="1" ht="12.75" customHeight="1" x14ac:dyDescent="0.2">
      <c r="B40" s="97" t="s">
        <v>30</v>
      </c>
      <c r="C40" s="585"/>
      <c r="D40" s="583">
        <v>19</v>
      </c>
      <c r="E40" s="583"/>
      <c r="F40" s="593">
        <v>19</v>
      </c>
      <c r="G40" s="583"/>
      <c r="H40" s="583">
        <v>461500</v>
      </c>
      <c r="I40" s="583"/>
      <c r="J40" s="583">
        <v>24289.473684210501</v>
      </c>
    </row>
    <row r="41" spans="2:10" s="584" customFormat="1" ht="12.75" customHeight="1" x14ac:dyDescent="0.2">
      <c r="B41" s="97" t="s">
        <v>31</v>
      </c>
      <c r="C41" s="585"/>
      <c r="D41" s="583">
        <v>13</v>
      </c>
      <c r="E41" s="583"/>
      <c r="F41" s="593">
        <v>13</v>
      </c>
      <c r="G41" s="583"/>
      <c r="H41" s="583">
        <v>384400</v>
      </c>
      <c r="I41" s="583"/>
      <c r="J41" s="583">
        <v>29569.230769230799</v>
      </c>
    </row>
    <row r="42" spans="2:10" s="584" customFormat="1" ht="12.75" customHeight="1" x14ac:dyDescent="0.2">
      <c r="B42" s="97" t="s">
        <v>32</v>
      </c>
      <c r="C42" s="585"/>
      <c r="D42" s="583">
        <v>18</v>
      </c>
      <c r="E42" s="583"/>
      <c r="F42" s="593">
        <v>18</v>
      </c>
      <c r="G42" s="583"/>
      <c r="H42" s="583">
        <v>391050</v>
      </c>
      <c r="I42" s="583"/>
      <c r="J42" s="583">
        <v>21725</v>
      </c>
    </row>
    <row r="43" spans="2:10" s="584" customFormat="1" ht="12.75" customHeight="1" x14ac:dyDescent="0.2">
      <c r="B43" s="97" t="s">
        <v>33</v>
      </c>
      <c r="C43" s="585"/>
      <c r="D43" s="583">
        <v>51</v>
      </c>
      <c r="E43" s="583"/>
      <c r="F43" s="593">
        <v>53</v>
      </c>
      <c r="G43" s="583"/>
      <c r="H43" s="583">
        <v>589450</v>
      </c>
      <c r="I43" s="583"/>
      <c r="J43" s="583">
        <v>11557.8431372549</v>
      </c>
    </row>
    <row r="44" spans="2:10" s="584" customFormat="1" ht="12.75" customHeight="1" x14ac:dyDescent="0.2">
      <c r="B44" s="97" t="s">
        <v>34</v>
      </c>
      <c r="C44" s="585"/>
      <c r="D44" s="583">
        <v>25</v>
      </c>
      <c r="E44" s="583"/>
      <c r="F44" s="593">
        <v>26</v>
      </c>
      <c r="G44" s="583"/>
      <c r="H44" s="583">
        <v>1508300</v>
      </c>
      <c r="I44" s="583"/>
      <c r="J44" s="583">
        <v>60332</v>
      </c>
    </row>
    <row r="45" spans="2:10" ht="6" customHeight="1" x14ac:dyDescent="0.25">
      <c r="B45" s="586"/>
      <c r="C45" s="587"/>
      <c r="D45" s="588"/>
      <c r="E45" s="588"/>
      <c r="F45" s="588"/>
      <c r="G45" s="588"/>
      <c r="H45" s="589"/>
      <c r="I45" s="588"/>
      <c r="J45" s="588"/>
    </row>
    <row r="46" spans="2:10" ht="6" customHeight="1" x14ac:dyDescent="0.25">
      <c r="B46" s="228"/>
      <c r="C46" s="569"/>
      <c r="D46" s="569"/>
      <c r="E46" s="569"/>
      <c r="F46" s="569"/>
      <c r="G46" s="569"/>
      <c r="H46" s="590"/>
      <c r="I46" s="570"/>
      <c r="J46" s="570"/>
    </row>
    <row r="47" spans="2:10" x14ac:dyDescent="0.25">
      <c r="B47" s="273" t="s">
        <v>134</v>
      </c>
      <c r="C47" s="569"/>
      <c r="D47" s="569"/>
      <c r="E47" s="569"/>
      <c r="F47" s="569"/>
      <c r="G47" s="569"/>
      <c r="H47" s="590"/>
      <c r="I47" s="570"/>
      <c r="J47" s="570"/>
    </row>
    <row r="48" spans="2:10" s="13" customFormat="1" ht="14.25" x14ac:dyDescent="0.2">
      <c r="B48" s="163" t="s">
        <v>181</v>
      </c>
      <c r="C48" s="164"/>
      <c r="D48" s="164"/>
      <c r="E48" s="164"/>
      <c r="F48" s="164"/>
      <c r="G48" s="164"/>
      <c r="H48" s="164"/>
      <c r="I48" s="164"/>
      <c r="J48" s="164"/>
    </row>
  </sheetData>
  <mergeCells count="6">
    <mergeCell ref="J7:J9"/>
    <mergeCell ref="B5:I5"/>
    <mergeCell ref="B7:C9"/>
    <mergeCell ref="D7:D9"/>
    <mergeCell ref="F7:F9"/>
    <mergeCell ref="H7:H9"/>
  </mergeCells>
  <hyperlinks>
    <hyperlink ref="J1" location="Índice!A1" tooltip="Ir a ÍNDICE" display="INDICE" xr:uid="{7272CE22-5634-4F7C-AB08-2F2197B1389E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5B31-58DE-4518-90BE-ABBDFA12089D}">
  <dimension ref="A1:S56"/>
  <sheetViews>
    <sheetView showGridLines="0" zoomScaleNormal="100" workbookViewId="0"/>
  </sheetViews>
  <sheetFormatPr baseColWidth="10" defaultColWidth="11.42578125" defaultRowHeight="12.75" x14ac:dyDescent="0.2"/>
  <cols>
    <col min="1" max="1" width="1.7109375" style="3" customWidth="1"/>
    <col min="2" max="2" width="48.85546875" style="3" customWidth="1"/>
    <col min="3" max="3" width="1.7109375" style="3" customWidth="1"/>
    <col min="4" max="4" width="26.85546875" style="3" customWidth="1"/>
    <col min="5" max="5" width="1.7109375" style="3" customWidth="1"/>
    <col min="6" max="7" width="15.7109375" style="3" customWidth="1"/>
    <col min="8" max="8" width="1.7109375" style="3" customWidth="1"/>
    <col min="9" max="10" width="15.7109375" style="3" customWidth="1"/>
    <col min="11" max="11" width="1.7109375" style="3" customWidth="1"/>
    <col min="12" max="13" width="15.7109375" style="3" customWidth="1"/>
    <col min="14" max="14" width="1.7109375" style="3" customWidth="1"/>
    <col min="15" max="15" width="15.7109375" style="3" customWidth="1"/>
    <col min="16" max="16384" width="11.42578125" style="3"/>
  </cols>
  <sheetData>
    <row r="1" spans="1:19" s="52" customFormat="1" ht="12" customHeight="1" x14ac:dyDescent="0.2">
      <c r="A1" s="616"/>
      <c r="B1" s="616" t="s">
        <v>202</v>
      </c>
      <c r="C1" s="49"/>
      <c r="D1" s="50"/>
      <c r="O1" s="72" t="s">
        <v>151</v>
      </c>
    </row>
    <row r="2" spans="1:19" s="52" customFormat="1" ht="6.95" customHeight="1" x14ac:dyDescent="0.2">
      <c r="B2" s="616"/>
      <c r="C2" s="49"/>
      <c r="D2" s="50"/>
    </row>
    <row r="3" spans="1:19" s="52" customFormat="1" x14ac:dyDescent="0.2">
      <c r="B3" s="616" t="s">
        <v>199</v>
      </c>
      <c r="C3" s="597"/>
      <c r="D3" s="597"/>
      <c r="E3" s="597"/>
      <c r="F3" s="597"/>
      <c r="G3" s="597"/>
      <c r="H3" s="597"/>
      <c r="I3" s="597"/>
      <c r="J3" s="597"/>
      <c r="K3" s="597"/>
      <c r="L3" s="597"/>
      <c r="M3" s="597"/>
      <c r="N3" s="597"/>
      <c r="O3" s="597"/>
      <c r="P3" s="597"/>
      <c r="Q3" s="597"/>
      <c r="R3" s="597"/>
      <c r="S3" s="597"/>
    </row>
    <row r="4" spans="1:19" s="52" customFormat="1" ht="6.95" customHeight="1" x14ac:dyDescent="0.2">
      <c r="B4" s="9"/>
      <c r="C4" s="49"/>
      <c r="D4" s="50"/>
    </row>
    <row r="5" spans="1:19" s="52" customFormat="1" ht="25.5" customHeight="1" x14ac:dyDescent="0.2">
      <c r="B5" s="710" t="s">
        <v>157</v>
      </c>
      <c r="C5" s="710"/>
      <c r="D5" s="710"/>
      <c r="E5" s="710"/>
      <c r="F5" s="710"/>
      <c r="G5" s="710"/>
      <c r="H5" s="710"/>
      <c r="I5" s="710"/>
      <c r="J5" s="710"/>
      <c r="K5" s="710"/>
      <c r="L5" s="710"/>
      <c r="M5" s="55"/>
      <c r="N5" s="55"/>
      <c r="O5" s="71" t="s">
        <v>120</v>
      </c>
    </row>
    <row r="6" spans="1:19" ht="6" customHeight="1" x14ac:dyDescent="0.2">
      <c r="B6" s="598"/>
      <c r="C6" s="4"/>
      <c r="D6" s="5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spans="1:19" ht="19.5" customHeight="1" x14ac:dyDescent="0.2">
      <c r="B7" s="711" t="s">
        <v>45</v>
      </c>
      <c r="C7" s="6"/>
      <c r="D7" s="714" t="s">
        <v>88</v>
      </c>
      <c r="E7" s="34"/>
      <c r="F7" s="717" t="s">
        <v>135</v>
      </c>
      <c r="G7" s="717"/>
      <c r="H7" s="717"/>
      <c r="I7" s="717"/>
      <c r="J7" s="717"/>
      <c r="K7" s="717"/>
      <c r="L7" s="717"/>
      <c r="M7" s="717"/>
      <c r="N7" s="34"/>
      <c r="O7" s="714" t="s">
        <v>136</v>
      </c>
    </row>
    <row r="8" spans="1:19" ht="27" customHeight="1" x14ac:dyDescent="0.2">
      <c r="B8" s="712"/>
      <c r="C8" s="599"/>
      <c r="D8" s="715"/>
      <c r="E8" s="33"/>
      <c r="F8" s="665" t="s">
        <v>46</v>
      </c>
      <c r="G8" s="665"/>
      <c r="H8" s="242"/>
      <c r="I8" s="665" t="s">
        <v>47</v>
      </c>
      <c r="J8" s="665"/>
      <c r="K8" s="243"/>
      <c r="L8" s="665" t="s">
        <v>48</v>
      </c>
      <c r="M8" s="665"/>
      <c r="N8" s="33"/>
      <c r="O8" s="715"/>
    </row>
    <row r="9" spans="1:19" ht="33" customHeight="1" x14ac:dyDescent="0.2">
      <c r="B9" s="713"/>
      <c r="C9" s="7"/>
      <c r="D9" s="716"/>
      <c r="E9" s="35"/>
      <c r="F9" s="600" t="s">
        <v>0</v>
      </c>
      <c r="G9" s="600" t="s">
        <v>1</v>
      </c>
      <c r="H9" s="600"/>
      <c r="I9" s="600" t="s">
        <v>0</v>
      </c>
      <c r="J9" s="600" t="s">
        <v>1</v>
      </c>
      <c r="K9" s="600"/>
      <c r="L9" s="600" t="s">
        <v>0</v>
      </c>
      <c r="M9" s="600" t="s">
        <v>1</v>
      </c>
      <c r="N9" s="35"/>
      <c r="O9" s="716"/>
    </row>
    <row r="10" spans="1:19" ht="6" customHeight="1" x14ac:dyDescent="0.2">
      <c r="B10" s="4"/>
      <c r="C10" s="4"/>
      <c r="D10" s="127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</row>
    <row r="11" spans="1:19" s="94" customFormat="1" ht="11.25" x14ac:dyDescent="0.2">
      <c r="B11" s="93" t="s">
        <v>35</v>
      </c>
      <c r="C11" s="83"/>
      <c r="D11" s="89">
        <v>1034</v>
      </c>
      <c r="E11" s="89"/>
      <c r="F11" s="89">
        <v>976</v>
      </c>
      <c r="G11" s="129">
        <v>94.3907156673</v>
      </c>
      <c r="H11" s="130"/>
      <c r="I11" s="130">
        <v>594</v>
      </c>
      <c r="J11" s="129">
        <v>57.4468085106</v>
      </c>
      <c r="K11" s="130"/>
      <c r="L11" s="130">
        <v>33</v>
      </c>
      <c r="M11" s="129">
        <v>3.1914893617</v>
      </c>
      <c r="N11" s="130"/>
      <c r="O11" s="130">
        <v>40</v>
      </c>
    </row>
    <row r="12" spans="1:19" s="95" customFormat="1" ht="6" customHeight="1" x14ac:dyDescent="0.2">
      <c r="B12" s="601"/>
      <c r="C12" s="83"/>
      <c r="D12" s="91"/>
      <c r="E12" s="91"/>
      <c r="F12" s="91"/>
      <c r="G12" s="131"/>
      <c r="H12" s="132"/>
      <c r="I12" s="132"/>
      <c r="J12" s="131"/>
      <c r="K12" s="132"/>
      <c r="L12" s="132"/>
      <c r="M12" s="131"/>
      <c r="N12" s="132"/>
      <c r="O12" s="132"/>
    </row>
    <row r="13" spans="1:19" s="95" customFormat="1" ht="11.25" x14ac:dyDescent="0.2">
      <c r="B13" s="602" t="s">
        <v>49</v>
      </c>
      <c r="C13" s="92"/>
      <c r="D13" s="91">
        <v>240</v>
      </c>
      <c r="E13" s="91"/>
      <c r="F13" s="91">
        <v>220</v>
      </c>
      <c r="G13" s="131">
        <v>91.666666666699996</v>
      </c>
      <c r="H13" s="132"/>
      <c r="I13" s="132">
        <v>168</v>
      </c>
      <c r="J13" s="131">
        <v>70</v>
      </c>
      <c r="K13" s="132"/>
      <c r="L13" s="132">
        <v>17</v>
      </c>
      <c r="M13" s="131">
        <v>7.0833333332999997</v>
      </c>
      <c r="N13" s="132"/>
      <c r="O13" s="132">
        <v>9</v>
      </c>
    </row>
    <row r="14" spans="1:19" s="95" customFormat="1" ht="11.25" x14ac:dyDescent="0.2">
      <c r="B14" s="602" t="s">
        <v>50</v>
      </c>
      <c r="C14" s="92"/>
      <c r="D14" s="91">
        <v>89</v>
      </c>
      <c r="E14" s="91"/>
      <c r="F14" s="91">
        <v>78</v>
      </c>
      <c r="G14" s="131">
        <v>87.640449438199994</v>
      </c>
      <c r="H14" s="132"/>
      <c r="I14" s="132">
        <v>61</v>
      </c>
      <c r="J14" s="131">
        <v>68.539325842699995</v>
      </c>
      <c r="K14" s="132"/>
      <c r="L14" s="132">
        <v>14</v>
      </c>
      <c r="M14" s="131">
        <v>15.7303370787</v>
      </c>
      <c r="N14" s="132"/>
      <c r="O14" s="132">
        <v>7</v>
      </c>
    </row>
    <row r="15" spans="1:19" s="95" customFormat="1" ht="11.25" x14ac:dyDescent="0.2">
      <c r="B15" s="602" t="s">
        <v>51</v>
      </c>
      <c r="C15" s="92"/>
      <c r="D15" s="91">
        <v>99</v>
      </c>
      <c r="E15" s="91"/>
      <c r="F15" s="91">
        <v>94</v>
      </c>
      <c r="G15" s="131">
        <v>94.949494949499993</v>
      </c>
      <c r="H15" s="132"/>
      <c r="I15" s="132">
        <v>61</v>
      </c>
      <c r="J15" s="131">
        <v>61.616161616200003</v>
      </c>
      <c r="K15" s="132"/>
      <c r="L15" s="132">
        <v>5</v>
      </c>
      <c r="M15" s="131">
        <v>5.0505050505</v>
      </c>
      <c r="N15" s="132"/>
      <c r="O15" s="132">
        <v>4</v>
      </c>
    </row>
    <row r="16" spans="1:19" s="95" customFormat="1" ht="11.25" x14ac:dyDescent="0.2">
      <c r="B16" s="602" t="s">
        <v>137</v>
      </c>
      <c r="C16" s="92"/>
      <c r="D16" s="91">
        <v>630</v>
      </c>
      <c r="E16" s="91"/>
      <c r="F16" s="91">
        <v>604</v>
      </c>
      <c r="G16" s="131">
        <v>95.873015873</v>
      </c>
      <c r="H16" s="132"/>
      <c r="I16" s="132">
        <v>304</v>
      </c>
      <c r="J16" s="131">
        <v>48.253968254</v>
      </c>
      <c r="K16" s="132"/>
      <c r="L16" s="158" t="s">
        <v>201</v>
      </c>
      <c r="M16" s="159" t="s">
        <v>201</v>
      </c>
      <c r="N16" s="132"/>
      <c r="O16" s="132">
        <v>17</v>
      </c>
    </row>
    <row r="17" spans="2:15" s="95" customFormat="1" ht="11.25" x14ac:dyDescent="0.2">
      <c r="B17" s="602" t="s">
        <v>138</v>
      </c>
      <c r="C17" s="92"/>
      <c r="D17" s="91">
        <v>126</v>
      </c>
      <c r="E17" s="91"/>
      <c r="F17" s="91">
        <v>117</v>
      </c>
      <c r="G17" s="131">
        <v>92.857142857100001</v>
      </c>
      <c r="H17" s="132"/>
      <c r="I17" s="132">
        <v>73</v>
      </c>
      <c r="J17" s="131">
        <v>57.9365079365</v>
      </c>
      <c r="K17" s="132"/>
      <c r="L17" s="158" t="s">
        <v>201</v>
      </c>
      <c r="M17" s="159" t="s">
        <v>201</v>
      </c>
      <c r="N17" s="132"/>
      <c r="O17" s="132">
        <v>6</v>
      </c>
    </row>
    <row r="18" spans="2:15" s="95" customFormat="1" ht="6" customHeight="1" x14ac:dyDescent="0.2">
      <c r="B18" s="602"/>
      <c r="C18" s="92"/>
      <c r="D18" s="91"/>
      <c r="E18" s="132"/>
      <c r="F18" s="132"/>
      <c r="G18" s="131"/>
      <c r="H18" s="132"/>
      <c r="I18" s="132"/>
      <c r="J18" s="131"/>
      <c r="K18" s="132"/>
      <c r="L18" s="132"/>
      <c r="M18" s="131"/>
      <c r="N18" s="132"/>
      <c r="O18" s="132"/>
    </row>
    <row r="19" spans="2:15" s="94" customFormat="1" ht="11.25" x14ac:dyDescent="0.2">
      <c r="B19" s="603" t="s">
        <v>36</v>
      </c>
      <c r="C19" s="90"/>
      <c r="D19" s="89">
        <v>134</v>
      </c>
      <c r="E19" s="130"/>
      <c r="F19" s="130">
        <v>121</v>
      </c>
      <c r="G19" s="129">
        <v>90.298507462700002</v>
      </c>
      <c r="H19" s="130"/>
      <c r="I19" s="130">
        <v>67</v>
      </c>
      <c r="J19" s="129">
        <v>50</v>
      </c>
      <c r="K19" s="130"/>
      <c r="L19" s="130">
        <v>1</v>
      </c>
      <c r="M19" s="129">
        <v>0.74626865669999998</v>
      </c>
      <c r="N19" s="130"/>
      <c r="O19" s="130">
        <v>8</v>
      </c>
    </row>
    <row r="20" spans="2:15" s="95" customFormat="1" ht="6" customHeight="1" x14ac:dyDescent="0.2">
      <c r="B20" s="92"/>
      <c r="C20" s="92"/>
      <c r="D20" s="132"/>
      <c r="E20" s="132"/>
      <c r="F20" s="132"/>
      <c r="G20" s="131"/>
      <c r="H20" s="132"/>
      <c r="I20" s="132"/>
      <c r="J20" s="131"/>
      <c r="K20" s="132"/>
      <c r="L20" s="132"/>
      <c r="M20" s="131"/>
      <c r="N20" s="132"/>
      <c r="O20" s="132"/>
    </row>
    <row r="21" spans="2:15" s="95" customFormat="1" ht="11.25" x14ac:dyDescent="0.2">
      <c r="B21" s="602" t="s">
        <v>49</v>
      </c>
      <c r="C21" s="92"/>
      <c r="D21" s="91">
        <v>50</v>
      </c>
      <c r="E21" s="132"/>
      <c r="F21" s="132">
        <v>44</v>
      </c>
      <c r="G21" s="131">
        <v>88</v>
      </c>
      <c r="H21" s="132"/>
      <c r="I21" s="132">
        <v>30</v>
      </c>
      <c r="J21" s="131">
        <v>60</v>
      </c>
      <c r="K21" s="132"/>
      <c r="L21" s="132">
        <v>0</v>
      </c>
      <c r="M21" s="131">
        <v>0</v>
      </c>
      <c r="N21" s="132"/>
      <c r="O21" s="132">
        <v>3</v>
      </c>
    </row>
    <row r="22" spans="2:15" s="95" customFormat="1" ht="11.25" x14ac:dyDescent="0.2">
      <c r="B22" s="602" t="s">
        <v>50</v>
      </c>
      <c r="C22" s="92"/>
      <c r="D22" s="91">
        <v>18</v>
      </c>
      <c r="E22" s="132"/>
      <c r="F22" s="132">
        <v>14</v>
      </c>
      <c r="G22" s="131">
        <v>77.777777777799997</v>
      </c>
      <c r="H22" s="132"/>
      <c r="I22" s="132">
        <v>11</v>
      </c>
      <c r="J22" s="131">
        <v>61.111111111100001</v>
      </c>
      <c r="K22" s="132"/>
      <c r="L22" s="132">
        <v>1</v>
      </c>
      <c r="M22" s="131">
        <v>5.5555555555999998</v>
      </c>
      <c r="N22" s="132"/>
      <c r="O22" s="132">
        <v>2</v>
      </c>
    </row>
    <row r="23" spans="2:15" s="95" customFormat="1" ht="11.25" x14ac:dyDescent="0.2">
      <c r="B23" s="602" t="s">
        <v>51</v>
      </c>
      <c r="C23" s="92"/>
      <c r="D23" s="91">
        <v>14</v>
      </c>
      <c r="E23" s="132"/>
      <c r="F23" s="132">
        <v>13</v>
      </c>
      <c r="G23" s="131">
        <v>92.857142857100001</v>
      </c>
      <c r="H23" s="132"/>
      <c r="I23" s="132">
        <v>7</v>
      </c>
      <c r="J23" s="131">
        <v>50</v>
      </c>
      <c r="K23" s="132"/>
      <c r="L23" s="132">
        <v>0</v>
      </c>
      <c r="M23" s="131">
        <v>0</v>
      </c>
      <c r="N23" s="132"/>
      <c r="O23" s="132">
        <v>1</v>
      </c>
    </row>
    <row r="24" spans="2:15" s="95" customFormat="1" ht="11.25" x14ac:dyDescent="0.2">
      <c r="B24" s="602" t="s">
        <v>137</v>
      </c>
      <c r="C24" s="92"/>
      <c r="D24" s="91">
        <v>56</v>
      </c>
      <c r="E24" s="132"/>
      <c r="F24" s="132">
        <v>52</v>
      </c>
      <c r="G24" s="131">
        <v>92.857142857100001</v>
      </c>
      <c r="H24" s="132"/>
      <c r="I24" s="132">
        <v>19</v>
      </c>
      <c r="J24" s="131">
        <v>33.928571428600002</v>
      </c>
      <c r="K24" s="132"/>
      <c r="L24" s="158" t="s">
        <v>201</v>
      </c>
      <c r="M24" s="159" t="s">
        <v>201</v>
      </c>
      <c r="N24" s="132"/>
      <c r="O24" s="132">
        <v>2</v>
      </c>
    </row>
    <row r="25" spans="2:15" s="95" customFormat="1" ht="11.25" x14ac:dyDescent="0.2">
      <c r="B25" s="602" t="s">
        <v>138</v>
      </c>
      <c r="C25" s="92"/>
      <c r="D25" s="91">
        <v>14</v>
      </c>
      <c r="E25" s="132"/>
      <c r="F25" s="132">
        <v>12</v>
      </c>
      <c r="G25" s="131">
        <v>85.714285714300004</v>
      </c>
      <c r="H25" s="132"/>
      <c r="I25" s="132">
        <v>10</v>
      </c>
      <c r="J25" s="131">
        <v>71.428571428599994</v>
      </c>
      <c r="K25" s="132"/>
      <c r="L25" s="158" t="s">
        <v>201</v>
      </c>
      <c r="M25" s="159" t="s">
        <v>201</v>
      </c>
      <c r="N25" s="132"/>
      <c r="O25" s="132">
        <v>0</v>
      </c>
    </row>
    <row r="26" spans="2:15" s="95" customFormat="1" ht="6" customHeight="1" x14ac:dyDescent="0.2">
      <c r="B26" s="602"/>
      <c r="C26" s="92"/>
      <c r="D26" s="91"/>
      <c r="E26" s="132"/>
      <c r="F26" s="132"/>
      <c r="G26" s="131"/>
      <c r="H26" s="132"/>
      <c r="I26" s="132"/>
      <c r="J26" s="131"/>
      <c r="K26" s="132"/>
      <c r="L26" s="132"/>
      <c r="M26" s="131"/>
      <c r="N26" s="132"/>
      <c r="O26" s="132"/>
    </row>
    <row r="27" spans="2:15" s="94" customFormat="1" ht="11.25" x14ac:dyDescent="0.2">
      <c r="B27" s="603" t="s">
        <v>37</v>
      </c>
      <c r="C27" s="90"/>
      <c r="D27" s="89">
        <v>131</v>
      </c>
      <c r="E27" s="130"/>
      <c r="F27" s="130">
        <v>124</v>
      </c>
      <c r="G27" s="129">
        <v>94.656488549599999</v>
      </c>
      <c r="H27" s="130"/>
      <c r="I27" s="130">
        <v>86</v>
      </c>
      <c r="J27" s="129">
        <v>65.648854961799998</v>
      </c>
      <c r="K27" s="130"/>
      <c r="L27" s="130">
        <v>7</v>
      </c>
      <c r="M27" s="129">
        <v>5.3435114504000003</v>
      </c>
      <c r="N27" s="130"/>
      <c r="O27" s="130">
        <v>4</v>
      </c>
    </row>
    <row r="28" spans="2:15" s="95" customFormat="1" ht="6" customHeight="1" x14ac:dyDescent="0.2">
      <c r="B28" s="603"/>
      <c r="C28" s="92"/>
      <c r="D28" s="91"/>
      <c r="E28" s="132"/>
      <c r="F28" s="132"/>
      <c r="G28" s="131"/>
      <c r="H28" s="132"/>
      <c r="I28" s="132"/>
      <c r="J28" s="131"/>
      <c r="K28" s="132"/>
      <c r="L28" s="132"/>
      <c r="M28" s="131"/>
      <c r="N28" s="132"/>
      <c r="O28" s="132"/>
    </row>
    <row r="29" spans="2:15" s="95" customFormat="1" ht="9.75" customHeight="1" x14ac:dyDescent="0.2">
      <c r="B29" s="602" t="s">
        <v>49</v>
      </c>
      <c r="C29" s="92"/>
      <c r="D29" s="91">
        <v>50</v>
      </c>
      <c r="E29" s="132"/>
      <c r="F29" s="132">
        <v>49</v>
      </c>
      <c r="G29" s="131">
        <v>98</v>
      </c>
      <c r="H29" s="132"/>
      <c r="I29" s="132">
        <v>35</v>
      </c>
      <c r="J29" s="131">
        <v>70</v>
      </c>
      <c r="K29" s="132"/>
      <c r="L29" s="132">
        <v>5</v>
      </c>
      <c r="M29" s="131">
        <v>10</v>
      </c>
      <c r="N29" s="132"/>
      <c r="O29" s="132">
        <v>1</v>
      </c>
    </row>
    <row r="30" spans="2:15" s="95" customFormat="1" ht="11.25" x14ac:dyDescent="0.2">
      <c r="B30" s="602" t="s">
        <v>50</v>
      </c>
      <c r="C30" s="92"/>
      <c r="D30" s="91">
        <v>25</v>
      </c>
      <c r="E30" s="132"/>
      <c r="F30" s="132">
        <v>22</v>
      </c>
      <c r="G30" s="131">
        <v>88</v>
      </c>
      <c r="H30" s="132"/>
      <c r="I30" s="132">
        <v>15</v>
      </c>
      <c r="J30" s="131">
        <v>60</v>
      </c>
      <c r="K30" s="132"/>
      <c r="L30" s="132">
        <v>4</v>
      </c>
      <c r="M30" s="131">
        <v>16</v>
      </c>
      <c r="N30" s="132"/>
      <c r="O30" s="132">
        <v>2</v>
      </c>
    </row>
    <row r="31" spans="2:15" s="95" customFormat="1" ht="11.25" x14ac:dyDescent="0.2">
      <c r="B31" s="602" t="s">
        <v>51</v>
      </c>
      <c r="C31" s="92"/>
      <c r="D31" s="91">
        <v>13</v>
      </c>
      <c r="E31" s="132"/>
      <c r="F31" s="132">
        <v>13</v>
      </c>
      <c r="G31" s="131">
        <v>100</v>
      </c>
      <c r="H31" s="132"/>
      <c r="I31" s="132">
        <v>10</v>
      </c>
      <c r="J31" s="131">
        <v>76.923076923099998</v>
      </c>
      <c r="K31" s="132"/>
      <c r="L31" s="132">
        <v>1</v>
      </c>
      <c r="M31" s="131">
        <v>7.6923076923</v>
      </c>
      <c r="N31" s="132"/>
      <c r="O31" s="132">
        <v>0</v>
      </c>
    </row>
    <row r="32" spans="2:15" s="95" customFormat="1" ht="11.25" x14ac:dyDescent="0.2">
      <c r="B32" s="602" t="s">
        <v>137</v>
      </c>
      <c r="C32" s="92"/>
      <c r="D32" s="91">
        <v>54</v>
      </c>
      <c r="E32" s="132"/>
      <c r="F32" s="132">
        <v>50</v>
      </c>
      <c r="G32" s="131">
        <v>92.592592592599999</v>
      </c>
      <c r="H32" s="132"/>
      <c r="I32" s="132">
        <v>32</v>
      </c>
      <c r="J32" s="131">
        <v>59.259259259300002</v>
      </c>
      <c r="K32" s="132"/>
      <c r="L32" s="158" t="s">
        <v>201</v>
      </c>
      <c r="M32" s="159" t="s">
        <v>201</v>
      </c>
      <c r="N32" s="132"/>
      <c r="O32" s="132">
        <v>1</v>
      </c>
    </row>
    <row r="33" spans="2:15" s="95" customFormat="1" ht="11.25" x14ac:dyDescent="0.2">
      <c r="B33" s="602" t="s">
        <v>138</v>
      </c>
      <c r="C33" s="92"/>
      <c r="D33" s="91">
        <v>13</v>
      </c>
      <c r="E33" s="132"/>
      <c r="F33" s="132">
        <v>12</v>
      </c>
      <c r="G33" s="131">
        <v>92.307692307699995</v>
      </c>
      <c r="H33" s="132"/>
      <c r="I33" s="132">
        <v>9</v>
      </c>
      <c r="J33" s="131">
        <v>69.230769230800007</v>
      </c>
      <c r="K33" s="132"/>
      <c r="L33" s="158" t="s">
        <v>201</v>
      </c>
      <c r="M33" s="159" t="s">
        <v>201</v>
      </c>
      <c r="N33" s="132"/>
      <c r="O33" s="132">
        <v>1</v>
      </c>
    </row>
    <row r="34" spans="2:15" s="95" customFormat="1" ht="6" customHeight="1" x14ac:dyDescent="0.2">
      <c r="B34" s="602"/>
      <c r="C34" s="92"/>
      <c r="D34" s="91"/>
      <c r="E34" s="132"/>
      <c r="F34" s="132"/>
      <c r="G34" s="131"/>
      <c r="H34" s="132"/>
      <c r="I34" s="132"/>
      <c r="J34" s="131"/>
      <c r="K34" s="132"/>
      <c r="L34" s="132"/>
      <c r="M34" s="131"/>
      <c r="N34" s="132"/>
      <c r="O34" s="132"/>
    </row>
    <row r="35" spans="2:15" s="94" customFormat="1" ht="11.25" x14ac:dyDescent="0.2">
      <c r="B35" s="604" t="s">
        <v>38</v>
      </c>
      <c r="C35" s="90"/>
      <c r="D35" s="89">
        <v>164</v>
      </c>
      <c r="E35" s="130"/>
      <c r="F35" s="130">
        <v>155</v>
      </c>
      <c r="G35" s="129">
        <v>94.512195121999994</v>
      </c>
      <c r="H35" s="130"/>
      <c r="I35" s="130">
        <v>99</v>
      </c>
      <c r="J35" s="129">
        <v>60.365853658500001</v>
      </c>
      <c r="K35" s="130"/>
      <c r="L35" s="130">
        <v>3</v>
      </c>
      <c r="M35" s="129">
        <v>1.8292682926999999</v>
      </c>
      <c r="N35" s="130"/>
      <c r="O35" s="130">
        <v>7</v>
      </c>
    </row>
    <row r="36" spans="2:15" s="95" customFormat="1" ht="6" customHeight="1" x14ac:dyDescent="0.2">
      <c r="B36" s="602"/>
      <c r="C36" s="92"/>
      <c r="D36" s="91"/>
      <c r="E36" s="132"/>
      <c r="F36" s="132"/>
      <c r="G36" s="131"/>
      <c r="H36" s="132"/>
      <c r="I36" s="132"/>
      <c r="J36" s="131"/>
      <c r="K36" s="132"/>
      <c r="L36" s="132"/>
      <c r="M36" s="131"/>
      <c r="N36" s="132"/>
      <c r="O36" s="132"/>
    </row>
    <row r="37" spans="2:15" s="95" customFormat="1" ht="11.25" x14ac:dyDescent="0.2">
      <c r="B37" s="602" t="s">
        <v>49</v>
      </c>
      <c r="C37" s="92"/>
      <c r="D37" s="91">
        <v>39</v>
      </c>
      <c r="E37" s="132"/>
      <c r="F37" s="132">
        <v>34</v>
      </c>
      <c r="G37" s="131">
        <v>87.179487179500001</v>
      </c>
      <c r="H37" s="132"/>
      <c r="I37" s="132">
        <v>30</v>
      </c>
      <c r="J37" s="131">
        <v>76.923076923099998</v>
      </c>
      <c r="K37" s="132"/>
      <c r="L37" s="132">
        <v>0</v>
      </c>
      <c r="M37" s="131">
        <v>0</v>
      </c>
      <c r="N37" s="132"/>
      <c r="O37" s="132">
        <v>2</v>
      </c>
    </row>
    <row r="38" spans="2:15" s="95" customFormat="1" ht="11.25" x14ac:dyDescent="0.2">
      <c r="B38" s="602" t="s">
        <v>50</v>
      </c>
      <c r="C38" s="92"/>
      <c r="D38" s="91">
        <v>13</v>
      </c>
      <c r="E38" s="132"/>
      <c r="F38" s="132">
        <v>12</v>
      </c>
      <c r="G38" s="131">
        <v>92.307692307699995</v>
      </c>
      <c r="H38" s="132"/>
      <c r="I38" s="132">
        <v>11</v>
      </c>
      <c r="J38" s="131">
        <v>84.615384615400004</v>
      </c>
      <c r="K38" s="132"/>
      <c r="L38" s="132">
        <v>3</v>
      </c>
      <c r="M38" s="131">
        <v>23.076923076900002</v>
      </c>
      <c r="N38" s="132"/>
      <c r="O38" s="132">
        <v>1</v>
      </c>
    </row>
    <row r="39" spans="2:15" s="95" customFormat="1" ht="11.25" x14ac:dyDescent="0.2">
      <c r="B39" s="602" t="s">
        <v>51</v>
      </c>
      <c r="C39" s="92"/>
      <c r="D39" s="91">
        <v>14</v>
      </c>
      <c r="E39" s="132"/>
      <c r="F39" s="132">
        <v>14</v>
      </c>
      <c r="G39" s="131">
        <v>100</v>
      </c>
      <c r="H39" s="132"/>
      <c r="I39" s="132">
        <v>11</v>
      </c>
      <c r="J39" s="131">
        <v>78.571428571400006</v>
      </c>
      <c r="K39" s="132"/>
      <c r="L39" s="132">
        <v>0</v>
      </c>
      <c r="M39" s="131">
        <v>0</v>
      </c>
      <c r="N39" s="132"/>
      <c r="O39" s="132">
        <v>0</v>
      </c>
    </row>
    <row r="40" spans="2:15" s="95" customFormat="1" ht="11.25" x14ac:dyDescent="0.2">
      <c r="B40" s="602" t="s">
        <v>137</v>
      </c>
      <c r="C40" s="92"/>
      <c r="D40" s="91">
        <v>111</v>
      </c>
      <c r="E40" s="132"/>
      <c r="F40" s="132">
        <v>106</v>
      </c>
      <c r="G40" s="131">
        <v>95.495495495499995</v>
      </c>
      <c r="H40" s="132"/>
      <c r="I40" s="132">
        <v>56</v>
      </c>
      <c r="J40" s="131">
        <v>50.4504504505</v>
      </c>
      <c r="K40" s="132"/>
      <c r="L40" s="158" t="s">
        <v>201</v>
      </c>
      <c r="M40" s="159" t="s">
        <v>201</v>
      </c>
      <c r="N40" s="132"/>
      <c r="O40" s="132">
        <v>5</v>
      </c>
    </row>
    <row r="41" spans="2:15" s="95" customFormat="1" ht="11.25" x14ac:dyDescent="0.2">
      <c r="B41" s="602" t="s">
        <v>138</v>
      </c>
      <c r="C41" s="92"/>
      <c r="D41" s="91">
        <v>15</v>
      </c>
      <c r="E41" s="132"/>
      <c r="F41" s="132">
        <v>15</v>
      </c>
      <c r="G41" s="131">
        <v>100</v>
      </c>
      <c r="H41" s="132"/>
      <c r="I41" s="132">
        <v>6</v>
      </c>
      <c r="J41" s="131">
        <v>40</v>
      </c>
      <c r="K41" s="132"/>
      <c r="L41" s="158" t="s">
        <v>201</v>
      </c>
      <c r="M41" s="159" t="s">
        <v>201</v>
      </c>
      <c r="N41" s="132"/>
      <c r="O41" s="132">
        <v>0</v>
      </c>
    </row>
    <row r="42" spans="2:15" s="95" customFormat="1" ht="6" customHeight="1" x14ac:dyDescent="0.2">
      <c r="B42" s="92"/>
      <c r="C42" s="92"/>
      <c r="D42" s="132"/>
      <c r="E42" s="132"/>
      <c r="F42" s="132"/>
      <c r="G42" s="131"/>
      <c r="H42" s="132"/>
      <c r="I42" s="132"/>
      <c r="J42" s="131"/>
      <c r="K42" s="132"/>
      <c r="L42" s="132"/>
      <c r="M42" s="131"/>
      <c r="N42" s="132"/>
      <c r="O42" s="132"/>
    </row>
    <row r="43" spans="2:15" s="94" customFormat="1" ht="11.25" x14ac:dyDescent="0.2">
      <c r="B43" s="604" t="s">
        <v>54</v>
      </c>
      <c r="C43" s="90"/>
      <c r="D43" s="89">
        <v>605</v>
      </c>
      <c r="E43" s="130"/>
      <c r="F43" s="130">
        <v>576</v>
      </c>
      <c r="G43" s="129">
        <v>95.206611570199996</v>
      </c>
      <c r="H43" s="130"/>
      <c r="I43" s="130">
        <v>342</v>
      </c>
      <c r="J43" s="129">
        <v>56.528925619799999</v>
      </c>
      <c r="K43" s="130"/>
      <c r="L43" s="130">
        <v>22</v>
      </c>
      <c r="M43" s="129">
        <v>3.6363636364</v>
      </c>
      <c r="N43" s="130"/>
      <c r="O43" s="130">
        <v>21</v>
      </c>
    </row>
    <row r="44" spans="2:15" s="95" customFormat="1" ht="6" customHeight="1" x14ac:dyDescent="0.2">
      <c r="B44" s="602"/>
      <c r="C44" s="92"/>
      <c r="D44" s="91"/>
      <c r="E44" s="132"/>
      <c r="F44" s="132"/>
      <c r="G44" s="131"/>
      <c r="H44" s="132"/>
      <c r="I44" s="132"/>
      <c r="J44" s="131"/>
      <c r="K44" s="132"/>
      <c r="L44" s="132"/>
      <c r="M44" s="131"/>
      <c r="N44" s="132"/>
      <c r="O44" s="132"/>
    </row>
    <row r="45" spans="2:15" s="95" customFormat="1" ht="12" customHeight="1" x14ac:dyDescent="0.2">
      <c r="B45" s="602" t="s">
        <v>49</v>
      </c>
      <c r="C45" s="92"/>
      <c r="D45" s="91">
        <v>101</v>
      </c>
      <c r="E45" s="132"/>
      <c r="F45" s="132">
        <v>93</v>
      </c>
      <c r="G45" s="131">
        <v>92.079207920800002</v>
      </c>
      <c r="H45" s="132"/>
      <c r="I45" s="132">
        <v>73</v>
      </c>
      <c r="J45" s="131">
        <v>72.277227722800006</v>
      </c>
      <c r="K45" s="132"/>
      <c r="L45" s="132">
        <v>12</v>
      </c>
      <c r="M45" s="131">
        <v>11.881188118800001</v>
      </c>
      <c r="N45" s="132"/>
      <c r="O45" s="132">
        <v>3</v>
      </c>
    </row>
    <row r="46" spans="2:15" s="95" customFormat="1" ht="11.25" x14ac:dyDescent="0.2">
      <c r="B46" s="602" t="s">
        <v>50</v>
      </c>
      <c r="C46" s="92"/>
      <c r="D46" s="91">
        <v>33</v>
      </c>
      <c r="E46" s="132"/>
      <c r="F46" s="132">
        <v>30</v>
      </c>
      <c r="G46" s="131">
        <v>90.909090909100001</v>
      </c>
      <c r="H46" s="132"/>
      <c r="I46" s="132">
        <v>24</v>
      </c>
      <c r="J46" s="131">
        <v>72.727272727300004</v>
      </c>
      <c r="K46" s="132"/>
      <c r="L46" s="132">
        <v>6</v>
      </c>
      <c r="M46" s="131">
        <v>18.181818181800001</v>
      </c>
      <c r="N46" s="132"/>
      <c r="O46" s="132">
        <v>2</v>
      </c>
    </row>
    <row r="47" spans="2:15" s="95" customFormat="1" ht="11.25" x14ac:dyDescent="0.2">
      <c r="B47" s="602" t="s">
        <v>51</v>
      </c>
      <c r="C47" s="92"/>
      <c r="D47" s="91">
        <v>58</v>
      </c>
      <c r="E47" s="132"/>
      <c r="F47" s="132">
        <v>54</v>
      </c>
      <c r="G47" s="131">
        <v>93.103448275900007</v>
      </c>
      <c r="H47" s="132"/>
      <c r="I47" s="132">
        <v>33</v>
      </c>
      <c r="J47" s="131">
        <v>56.8965517241</v>
      </c>
      <c r="K47" s="132"/>
      <c r="L47" s="132">
        <v>4</v>
      </c>
      <c r="M47" s="131">
        <v>6.8965517241000001</v>
      </c>
      <c r="N47" s="132"/>
      <c r="O47" s="132">
        <v>3</v>
      </c>
    </row>
    <row r="48" spans="2:15" s="95" customFormat="1" ht="11.25" x14ac:dyDescent="0.2">
      <c r="B48" s="602" t="s">
        <v>137</v>
      </c>
      <c r="C48" s="92"/>
      <c r="D48" s="91">
        <v>409</v>
      </c>
      <c r="E48" s="132"/>
      <c r="F48" s="132">
        <v>396</v>
      </c>
      <c r="G48" s="131">
        <v>96.821515892400001</v>
      </c>
      <c r="H48" s="132"/>
      <c r="I48" s="132">
        <v>197</v>
      </c>
      <c r="J48" s="131">
        <v>48.166259168700002</v>
      </c>
      <c r="K48" s="132"/>
      <c r="L48" s="158" t="s">
        <v>201</v>
      </c>
      <c r="M48" s="159" t="s">
        <v>201</v>
      </c>
      <c r="N48" s="132"/>
      <c r="O48" s="132">
        <v>9</v>
      </c>
    </row>
    <row r="49" spans="2:15" s="95" customFormat="1" ht="13.5" customHeight="1" x14ac:dyDescent="0.2">
      <c r="B49" s="602" t="s">
        <v>138</v>
      </c>
      <c r="C49" s="92"/>
      <c r="D49" s="91">
        <v>84</v>
      </c>
      <c r="E49" s="132"/>
      <c r="F49" s="132">
        <v>78</v>
      </c>
      <c r="G49" s="131">
        <v>92.857142857100001</v>
      </c>
      <c r="H49" s="132"/>
      <c r="I49" s="132">
        <v>48</v>
      </c>
      <c r="J49" s="131">
        <v>57.142857142899999</v>
      </c>
      <c r="K49" s="132"/>
      <c r="L49" s="158" t="s">
        <v>201</v>
      </c>
      <c r="M49" s="159" t="s">
        <v>201</v>
      </c>
      <c r="N49" s="132"/>
      <c r="O49" s="132">
        <v>5</v>
      </c>
    </row>
    <row r="50" spans="2:15" ht="6" customHeight="1" x14ac:dyDescent="0.2">
      <c r="B50" s="11"/>
      <c r="C50" s="38"/>
      <c r="D50" s="12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</row>
    <row r="51" spans="2:15" ht="6" customHeight="1" x14ac:dyDescent="0.2">
      <c r="B51" s="23"/>
      <c r="C51" s="4"/>
      <c r="D51" s="4"/>
      <c r="E51" s="37"/>
      <c r="F51" s="33"/>
      <c r="G51" s="33"/>
      <c r="H51" s="33"/>
      <c r="I51" s="33"/>
      <c r="J51" s="33"/>
      <c r="K51" s="33"/>
      <c r="L51" s="33"/>
      <c r="M51" s="33"/>
      <c r="N51" s="33"/>
      <c r="O51" s="33"/>
    </row>
    <row r="52" spans="2:15" x14ac:dyDescent="0.2">
      <c r="B52" s="23" t="s">
        <v>139</v>
      </c>
      <c r="C52" s="4"/>
      <c r="D52" s="4"/>
      <c r="E52" s="37"/>
      <c r="F52" s="33"/>
      <c r="G52" s="33"/>
      <c r="H52" s="33"/>
      <c r="I52" s="33"/>
      <c r="J52" s="33"/>
      <c r="K52" s="33"/>
      <c r="L52" s="33"/>
      <c r="M52" s="33"/>
      <c r="N52" s="33"/>
      <c r="O52" s="33"/>
    </row>
    <row r="53" spans="2:15" x14ac:dyDescent="0.2">
      <c r="B53" s="23" t="s">
        <v>140</v>
      </c>
      <c r="C53" s="4"/>
      <c r="D53" s="4"/>
      <c r="E53" s="37"/>
      <c r="F53" s="33"/>
      <c r="G53" s="33"/>
      <c r="H53" s="33"/>
      <c r="I53" s="33"/>
      <c r="J53" s="33"/>
      <c r="K53" s="33"/>
      <c r="L53" s="33"/>
      <c r="M53" s="33"/>
      <c r="N53" s="33"/>
      <c r="O53" s="33"/>
    </row>
    <row r="54" spans="2:15" x14ac:dyDescent="0.2">
      <c r="B54" s="23" t="s">
        <v>141</v>
      </c>
      <c r="C54" s="4"/>
      <c r="D54" s="4"/>
      <c r="E54" s="37"/>
      <c r="F54" s="33"/>
      <c r="G54" s="33"/>
      <c r="H54" s="33"/>
      <c r="I54" s="33"/>
      <c r="J54" s="33"/>
      <c r="K54" s="33"/>
      <c r="L54" s="33"/>
      <c r="M54" s="33"/>
      <c r="N54" s="33"/>
      <c r="O54" s="33"/>
    </row>
    <row r="55" spans="2:15" ht="12.95" customHeight="1" x14ac:dyDescent="0.2">
      <c r="B55" s="23" t="s">
        <v>142</v>
      </c>
      <c r="C55" s="4"/>
      <c r="D55" s="4"/>
      <c r="E55" s="37"/>
      <c r="F55" s="33"/>
      <c r="G55" s="33"/>
      <c r="H55" s="33"/>
      <c r="I55" s="33"/>
      <c r="J55" s="33"/>
      <c r="K55" s="33"/>
      <c r="L55" s="33"/>
      <c r="M55" s="33"/>
      <c r="N55" s="33"/>
      <c r="O55" s="33"/>
    </row>
    <row r="56" spans="2:15" s="13" customFormat="1" ht="14.25" x14ac:dyDescent="0.2">
      <c r="B56" s="113" t="s">
        <v>57</v>
      </c>
    </row>
  </sheetData>
  <mergeCells count="8">
    <mergeCell ref="B5:L5"/>
    <mergeCell ref="B7:B9"/>
    <mergeCell ref="D7:D9"/>
    <mergeCell ref="F7:M7"/>
    <mergeCell ref="O7:O9"/>
    <mergeCell ref="F8:G8"/>
    <mergeCell ref="I8:J8"/>
    <mergeCell ref="L8:M8"/>
  </mergeCells>
  <hyperlinks>
    <hyperlink ref="O1" location="Índice!A1" tooltip="Ir a ÍNDICE" display="INDICE" xr:uid="{54C6F84E-CEAF-48D7-BA94-8D9947D75BC5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C775-FF5C-4FDB-ABD9-62E5695A9BA5}">
  <dimension ref="A1:S23"/>
  <sheetViews>
    <sheetView showGridLines="0" zoomScaleNormal="100" workbookViewId="0"/>
  </sheetViews>
  <sheetFormatPr baseColWidth="10" defaultColWidth="11.42578125" defaultRowHeight="12.75" x14ac:dyDescent="0.2"/>
  <cols>
    <col min="1" max="1" width="1.7109375" style="21" customWidth="1"/>
    <col min="2" max="2" width="51.5703125" style="21" customWidth="1"/>
    <col min="3" max="3" width="1.7109375" style="21" customWidth="1"/>
    <col min="4" max="4" width="28.7109375" style="21" customWidth="1"/>
    <col min="5" max="5" width="1.7109375" style="21" customWidth="1"/>
    <col min="6" max="7" width="15.7109375" style="21" customWidth="1"/>
    <col min="8" max="8" width="1.7109375" style="21" customWidth="1"/>
    <col min="9" max="10" width="15.7109375" style="21" customWidth="1"/>
    <col min="11" max="11" width="1.7109375" style="21" customWidth="1"/>
    <col min="12" max="13" width="15.7109375" style="21" customWidth="1"/>
    <col min="14" max="14" width="1.7109375" style="21" customWidth="1"/>
    <col min="15" max="16" width="15.7109375" style="21" customWidth="1"/>
    <col min="17" max="16384" width="11.42578125" style="21"/>
  </cols>
  <sheetData>
    <row r="1" spans="1:19" s="48" customFormat="1" ht="12" customHeight="1" x14ac:dyDescent="0.2">
      <c r="A1" s="616"/>
      <c r="B1" s="616" t="s">
        <v>202</v>
      </c>
      <c r="C1" s="49"/>
      <c r="D1" s="49"/>
      <c r="E1" s="49"/>
      <c r="F1" s="50"/>
      <c r="G1" s="50"/>
      <c r="P1" s="72" t="s">
        <v>151</v>
      </c>
    </row>
    <row r="2" spans="1:19" s="48" customFormat="1" ht="6.95" customHeight="1" x14ac:dyDescent="0.2">
      <c r="B2" s="616"/>
      <c r="C2" s="49"/>
      <c r="D2" s="49"/>
      <c r="E2" s="49"/>
      <c r="F2" s="50"/>
      <c r="G2" s="50"/>
    </row>
    <row r="3" spans="1:19" s="48" customFormat="1" x14ac:dyDescent="0.2">
      <c r="B3" s="616" t="s">
        <v>199</v>
      </c>
      <c r="C3" s="605"/>
      <c r="D3" s="605"/>
      <c r="E3" s="605"/>
      <c r="F3" s="605"/>
      <c r="G3" s="605"/>
      <c r="H3" s="605"/>
      <c r="I3" s="605"/>
      <c r="J3" s="605"/>
      <c r="K3" s="605"/>
      <c r="L3" s="605"/>
      <c r="M3" s="605"/>
      <c r="N3" s="605"/>
      <c r="O3" s="605"/>
      <c r="P3" s="605"/>
      <c r="Q3" s="605"/>
      <c r="R3" s="605"/>
      <c r="S3" s="605"/>
    </row>
    <row r="4" spans="1:19" s="48" customFormat="1" ht="6.95" customHeight="1" x14ac:dyDescent="0.2">
      <c r="B4" s="605"/>
      <c r="C4" s="49"/>
      <c r="D4" s="49"/>
      <c r="E4" s="49"/>
      <c r="F4" s="50"/>
      <c r="G4" s="50"/>
    </row>
    <row r="5" spans="1:19" s="48" customFormat="1" ht="25.5" customHeight="1" x14ac:dyDescent="0.2">
      <c r="B5" s="718" t="s">
        <v>158</v>
      </c>
      <c r="C5" s="718"/>
      <c r="D5" s="718"/>
      <c r="E5" s="718"/>
      <c r="F5" s="718"/>
      <c r="G5" s="718"/>
      <c r="H5" s="718"/>
      <c r="I5" s="718"/>
      <c r="J5" s="718"/>
      <c r="K5" s="718"/>
      <c r="L5" s="718"/>
      <c r="M5" s="718"/>
      <c r="N5" s="718"/>
      <c r="O5" s="56"/>
      <c r="P5" s="71" t="s">
        <v>121</v>
      </c>
    </row>
    <row r="6" spans="1:19" ht="6" customHeight="1" x14ac:dyDescent="0.2">
      <c r="B6" s="25"/>
      <c r="C6" s="606"/>
      <c r="D6" s="606"/>
      <c r="E6" s="606"/>
      <c r="F6" s="607"/>
      <c r="G6" s="607"/>
      <c r="H6" s="39"/>
      <c r="I6" s="39"/>
      <c r="J6" s="39"/>
      <c r="K6" s="39"/>
      <c r="L6" s="39"/>
      <c r="M6" s="39"/>
      <c r="N6" s="39"/>
      <c r="O6" s="39"/>
      <c r="P6" s="39"/>
    </row>
    <row r="7" spans="1:19" ht="33.75" customHeight="1" x14ac:dyDescent="0.2">
      <c r="B7" s="711" t="s">
        <v>97</v>
      </c>
      <c r="C7" s="6"/>
      <c r="D7" s="714" t="s">
        <v>186</v>
      </c>
      <c r="E7" s="6"/>
      <c r="F7" s="719" t="s">
        <v>96</v>
      </c>
      <c r="G7" s="719"/>
      <c r="H7" s="40"/>
      <c r="I7" s="40"/>
      <c r="J7" s="721" t="s">
        <v>95</v>
      </c>
      <c r="K7" s="722"/>
      <c r="L7" s="722"/>
      <c r="M7" s="722"/>
      <c r="N7" s="722"/>
      <c r="O7" s="722"/>
      <c r="P7" s="41"/>
    </row>
    <row r="8" spans="1:19" ht="24" customHeight="1" x14ac:dyDescent="0.2">
      <c r="B8" s="712"/>
      <c r="C8" s="4"/>
      <c r="D8" s="715"/>
      <c r="E8" s="4"/>
      <c r="F8" s="720"/>
      <c r="G8" s="720"/>
      <c r="H8" s="39"/>
      <c r="I8" s="722" t="s">
        <v>46</v>
      </c>
      <c r="J8" s="722"/>
      <c r="K8" s="42"/>
      <c r="L8" s="722" t="s">
        <v>47</v>
      </c>
      <c r="M8" s="722"/>
      <c r="N8" s="595"/>
      <c r="O8" s="722" t="s">
        <v>48</v>
      </c>
      <c r="P8" s="722"/>
    </row>
    <row r="9" spans="1:19" ht="29.25" customHeight="1" x14ac:dyDescent="0.2">
      <c r="B9" s="713"/>
      <c r="C9" s="7"/>
      <c r="D9" s="716"/>
      <c r="E9" s="7"/>
      <c r="F9" s="594" t="s">
        <v>187</v>
      </c>
      <c r="G9" s="594" t="s">
        <v>188</v>
      </c>
      <c r="H9" s="74"/>
      <c r="I9" s="594" t="s">
        <v>187</v>
      </c>
      <c r="J9" s="594" t="s">
        <v>189</v>
      </c>
      <c r="K9" s="75"/>
      <c r="L9" s="594" t="s">
        <v>187</v>
      </c>
      <c r="M9" s="594" t="s">
        <v>188</v>
      </c>
      <c r="N9" s="76"/>
      <c r="O9" s="594" t="s">
        <v>187</v>
      </c>
      <c r="P9" s="594" t="s">
        <v>189</v>
      </c>
    </row>
    <row r="10" spans="1:19" ht="6" customHeight="1" x14ac:dyDescent="0.2">
      <c r="B10" s="4"/>
      <c r="C10" s="4"/>
      <c r="D10" s="596"/>
      <c r="E10" s="134"/>
      <c r="F10" s="127"/>
      <c r="G10" s="127"/>
      <c r="H10" s="135"/>
      <c r="I10" s="135"/>
      <c r="J10" s="135"/>
      <c r="K10" s="135"/>
      <c r="L10" s="135"/>
      <c r="M10" s="135"/>
      <c r="N10" s="135"/>
      <c r="O10" s="135"/>
      <c r="P10" s="135"/>
    </row>
    <row r="11" spans="1:19" s="78" customFormat="1" ht="11.25" x14ac:dyDescent="0.2">
      <c r="B11" s="36" t="s">
        <v>35</v>
      </c>
      <c r="C11" s="8"/>
      <c r="D11" s="136">
        <v>994</v>
      </c>
      <c r="E11" s="136"/>
      <c r="F11" s="84">
        <v>39293891</v>
      </c>
      <c r="G11" s="110">
        <v>39531.077464788701</v>
      </c>
      <c r="H11" s="137"/>
      <c r="I11" s="137">
        <v>28270519</v>
      </c>
      <c r="J11" s="110">
        <v>28965.695696721301</v>
      </c>
      <c r="K11" s="138"/>
      <c r="L11" s="138">
        <v>10802450</v>
      </c>
      <c r="M11" s="110">
        <v>18185.942760942798</v>
      </c>
      <c r="N11" s="138"/>
      <c r="O11" s="138">
        <v>220922</v>
      </c>
      <c r="P11" s="110">
        <v>6694.6060606060601</v>
      </c>
    </row>
    <row r="12" spans="1:19" s="22" customFormat="1" ht="6" customHeight="1" x14ac:dyDescent="0.2">
      <c r="B12" s="43"/>
      <c r="C12" s="8"/>
      <c r="D12" s="136"/>
      <c r="E12" s="136"/>
      <c r="F12" s="86"/>
      <c r="G12" s="111"/>
      <c r="H12" s="139"/>
      <c r="I12" s="139"/>
      <c r="J12" s="111"/>
      <c r="K12" s="140"/>
      <c r="L12" s="140"/>
      <c r="M12" s="111"/>
      <c r="N12" s="140"/>
      <c r="O12" s="140"/>
      <c r="P12" s="111"/>
    </row>
    <row r="13" spans="1:19" s="22" customFormat="1" ht="11.25" x14ac:dyDescent="0.2">
      <c r="B13" s="24" t="s">
        <v>49</v>
      </c>
      <c r="C13" s="44"/>
      <c r="D13" s="140">
        <v>228</v>
      </c>
      <c r="E13" s="140"/>
      <c r="F13" s="141">
        <v>16410722</v>
      </c>
      <c r="G13" s="142">
        <v>71976.850877193006</v>
      </c>
      <c r="H13" s="139"/>
      <c r="I13" s="139">
        <v>11407600</v>
      </c>
      <c r="J13" s="142">
        <v>51852.727272727301</v>
      </c>
      <c r="K13" s="140"/>
      <c r="L13" s="140">
        <v>4853700</v>
      </c>
      <c r="M13" s="142">
        <v>28891.071428571398</v>
      </c>
      <c r="N13" s="140"/>
      <c r="O13" s="140">
        <v>149422</v>
      </c>
      <c r="P13" s="142">
        <v>8789.5294117647099</v>
      </c>
    </row>
    <row r="14" spans="1:19" s="22" customFormat="1" ht="11.25" x14ac:dyDescent="0.2">
      <c r="B14" s="24" t="s">
        <v>50</v>
      </c>
      <c r="C14" s="44"/>
      <c r="D14" s="140">
        <v>80</v>
      </c>
      <c r="E14" s="140"/>
      <c r="F14" s="141">
        <v>7873300</v>
      </c>
      <c r="G14" s="142">
        <v>98416.25</v>
      </c>
      <c r="H14" s="139"/>
      <c r="I14" s="139">
        <v>5206000</v>
      </c>
      <c r="J14" s="142">
        <v>66743.589743589706</v>
      </c>
      <c r="K14" s="140"/>
      <c r="L14" s="140">
        <v>2614500</v>
      </c>
      <c r="M14" s="142">
        <v>42860.655737704903</v>
      </c>
      <c r="N14" s="140"/>
      <c r="O14" s="140">
        <v>52800</v>
      </c>
      <c r="P14" s="142">
        <v>3771.4285714285702</v>
      </c>
    </row>
    <row r="15" spans="1:19" s="22" customFormat="1" ht="11.25" x14ac:dyDescent="0.2">
      <c r="B15" s="24" t="s">
        <v>51</v>
      </c>
      <c r="C15" s="44"/>
      <c r="D15" s="140">
        <v>94</v>
      </c>
      <c r="E15" s="140"/>
      <c r="F15" s="88">
        <v>3690600</v>
      </c>
      <c r="G15" s="112">
        <v>39261.702127659599</v>
      </c>
      <c r="H15" s="139"/>
      <c r="I15" s="139">
        <v>2814800</v>
      </c>
      <c r="J15" s="112">
        <v>29944.6808510638</v>
      </c>
      <c r="K15" s="140"/>
      <c r="L15" s="140">
        <v>857100</v>
      </c>
      <c r="M15" s="112">
        <v>14050.8196721311</v>
      </c>
      <c r="N15" s="140"/>
      <c r="O15" s="140">
        <v>18700</v>
      </c>
      <c r="P15" s="112">
        <v>3740</v>
      </c>
    </row>
    <row r="16" spans="1:19" s="22" customFormat="1" ht="11.25" x14ac:dyDescent="0.2">
      <c r="B16" s="24" t="s">
        <v>190</v>
      </c>
      <c r="C16" s="44"/>
      <c r="D16" s="140">
        <v>612</v>
      </c>
      <c r="E16" s="140"/>
      <c r="F16" s="88">
        <v>6308469</v>
      </c>
      <c r="G16" s="112">
        <v>10307.955882352901</v>
      </c>
      <c r="H16" s="139"/>
      <c r="I16" s="139">
        <v>4843919</v>
      </c>
      <c r="J16" s="112">
        <v>8019.7334437086101</v>
      </c>
      <c r="K16" s="140"/>
      <c r="L16" s="140">
        <v>1464550</v>
      </c>
      <c r="M16" s="112">
        <v>4817.5986842105303</v>
      </c>
      <c r="N16" s="140"/>
      <c r="O16" s="160" t="s">
        <v>201</v>
      </c>
      <c r="P16" s="161" t="s">
        <v>201</v>
      </c>
    </row>
    <row r="17" spans="2:16" s="22" customFormat="1" ht="11.25" x14ac:dyDescent="0.2">
      <c r="B17" s="24" t="s">
        <v>191</v>
      </c>
      <c r="C17" s="44"/>
      <c r="D17" s="140">
        <v>120</v>
      </c>
      <c r="E17" s="140"/>
      <c r="F17" s="88">
        <v>5010800</v>
      </c>
      <c r="G17" s="112">
        <v>41756.666666666701</v>
      </c>
      <c r="H17" s="139"/>
      <c r="I17" s="139">
        <v>3998200</v>
      </c>
      <c r="J17" s="112">
        <v>34172.6495726496</v>
      </c>
      <c r="K17" s="140"/>
      <c r="L17" s="140">
        <v>1012600</v>
      </c>
      <c r="M17" s="112">
        <v>13871.2328767123</v>
      </c>
      <c r="N17" s="140"/>
      <c r="O17" s="160" t="s">
        <v>201</v>
      </c>
      <c r="P17" s="161" t="s">
        <v>201</v>
      </c>
    </row>
    <row r="18" spans="2:16" ht="6" customHeight="1" x14ac:dyDescent="0.2">
      <c r="B18" s="11"/>
      <c r="C18" s="45"/>
      <c r="D18" s="143"/>
      <c r="E18" s="143"/>
      <c r="F18" s="12"/>
      <c r="G18" s="12"/>
      <c r="H18" s="74"/>
      <c r="I18" s="74"/>
      <c r="J18" s="74"/>
      <c r="K18" s="74"/>
      <c r="L18" s="74"/>
      <c r="M18" s="74"/>
      <c r="N18" s="74"/>
      <c r="O18" s="74"/>
      <c r="P18" s="74"/>
    </row>
    <row r="19" spans="2:16" ht="6" customHeight="1" x14ac:dyDescent="0.2">
      <c r="B19" s="23"/>
      <c r="C19" s="4"/>
      <c r="D19" s="4"/>
      <c r="E19" s="4"/>
      <c r="F19" s="4"/>
      <c r="G19" s="4"/>
      <c r="H19" s="44"/>
      <c r="I19" s="44"/>
      <c r="J19" s="39"/>
      <c r="K19" s="39"/>
      <c r="L19" s="39"/>
      <c r="M19" s="39"/>
      <c r="N19" s="39"/>
      <c r="O19" s="39"/>
      <c r="P19" s="39"/>
    </row>
    <row r="20" spans="2:16" ht="12.75" customHeight="1" x14ac:dyDescent="0.2">
      <c r="B20" s="23" t="s">
        <v>192</v>
      </c>
      <c r="C20" s="4"/>
      <c r="D20" s="4"/>
      <c r="E20" s="4"/>
      <c r="F20" s="4"/>
      <c r="G20" s="4"/>
      <c r="H20" s="44"/>
      <c r="I20" s="44"/>
      <c r="J20" s="39"/>
      <c r="K20" s="39"/>
      <c r="L20" s="39"/>
      <c r="M20" s="39"/>
      <c r="N20" s="39"/>
      <c r="O20" s="39"/>
      <c r="P20" s="39"/>
    </row>
    <row r="21" spans="2:16" ht="12.75" customHeight="1" x14ac:dyDescent="0.2">
      <c r="B21" s="23" t="s">
        <v>193</v>
      </c>
      <c r="C21" s="4"/>
      <c r="D21" s="4"/>
      <c r="E21" s="4"/>
      <c r="F21" s="4"/>
      <c r="G21" s="4"/>
      <c r="H21" s="44"/>
      <c r="I21" s="44"/>
      <c r="J21" s="39"/>
      <c r="K21" s="39"/>
      <c r="L21" s="39"/>
      <c r="M21" s="39"/>
      <c r="N21" s="39"/>
      <c r="O21" s="39"/>
      <c r="P21" s="39"/>
    </row>
    <row r="22" spans="2:16" ht="12.75" customHeight="1" x14ac:dyDescent="0.2">
      <c r="B22" s="23" t="s">
        <v>141</v>
      </c>
      <c r="C22" s="4"/>
      <c r="D22" s="4"/>
      <c r="E22" s="4"/>
      <c r="F22" s="4"/>
      <c r="G22" s="4"/>
      <c r="H22" s="44"/>
      <c r="I22" s="44"/>
      <c r="J22" s="39"/>
      <c r="K22" s="39"/>
      <c r="L22" s="39"/>
      <c r="M22" s="39"/>
      <c r="N22" s="39"/>
      <c r="O22" s="39"/>
      <c r="P22" s="39"/>
    </row>
    <row r="23" spans="2:16" s="13" customFormat="1" ht="14.25" x14ac:dyDescent="0.2">
      <c r="B23" s="163" t="s">
        <v>181</v>
      </c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</row>
  </sheetData>
  <mergeCells count="8">
    <mergeCell ref="B5:N5"/>
    <mergeCell ref="B7:B9"/>
    <mergeCell ref="D7:D9"/>
    <mergeCell ref="F7:G8"/>
    <mergeCell ref="J7:O7"/>
    <mergeCell ref="I8:J8"/>
    <mergeCell ref="L8:M8"/>
    <mergeCell ref="O8:P8"/>
  </mergeCells>
  <hyperlinks>
    <hyperlink ref="P1" location="Índice!A1" tooltip="Ir a ÍNDICE" display="INDICE" xr:uid="{E6105CF3-2E39-4A46-AD72-B474CE41211B}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E5C0-C2A0-4EA3-9E7E-E164F23662C3}">
  <dimension ref="A1:X238"/>
  <sheetViews>
    <sheetView showGridLines="0" zoomScaleNormal="100" workbookViewId="0"/>
  </sheetViews>
  <sheetFormatPr baseColWidth="10" defaultColWidth="11.42578125" defaultRowHeight="12.75" x14ac:dyDescent="0.2"/>
  <cols>
    <col min="1" max="1" width="1.7109375" customWidth="1"/>
    <col min="2" max="2" width="50.42578125" customWidth="1"/>
    <col min="3" max="3" width="1.7109375" customWidth="1"/>
    <col min="4" max="4" width="22" customWidth="1"/>
    <col min="5" max="5" width="1.7109375" customWidth="1"/>
    <col min="6" max="7" width="15.7109375" customWidth="1"/>
    <col min="8" max="8" width="1.7109375" customWidth="1"/>
    <col min="9" max="10" width="15.7109375" customWidth="1"/>
    <col min="11" max="11" width="1.7109375" customWidth="1"/>
    <col min="12" max="13" width="15.7109375" customWidth="1"/>
    <col min="14" max="14" width="1.7109375" customWidth="1"/>
    <col min="15" max="15" width="15.7109375" customWidth="1"/>
  </cols>
  <sheetData>
    <row r="1" spans="1:24" s="51" customFormat="1" ht="12" customHeight="1" x14ac:dyDescent="0.2">
      <c r="A1" s="616"/>
      <c r="B1" s="616" t="s">
        <v>202</v>
      </c>
      <c r="C1" s="49"/>
      <c r="D1" s="50"/>
      <c r="E1" s="52"/>
      <c r="F1" s="52"/>
      <c r="G1" s="52"/>
      <c r="H1" s="52"/>
      <c r="I1" s="52"/>
      <c r="K1" s="52"/>
      <c r="L1" s="52"/>
      <c r="M1" s="52"/>
      <c r="N1" s="52"/>
      <c r="O1" s="72" t="s">
        <v>151</v>
      </c>
      <c r="P1" s="54"/>
      <c r="Q1" s="54"/>
      <c r="R1" s="54"/>
      <c r="S1" s="54"/>
      <c r="T1" s="54"/>
      <c r="U1" s="54"/>
      <c r="V1" s="54"/>
      <c r="W1" s="54"/>
      <c r="X1" s="54"/>
    </row>
    <row r="2" spans="1:24" s="51" customFormat="1" ht="6.95" customHeight="1" x14ac:dyDescent="0.2">
      <c r="B2" s="616"/>
      <c r="C2" s="49"/>
      <c r="D2" s="50"/>
      <c r="E2" s="52"/>
      <c r="F2" s="52"/>
      <c r="G2" s="52"/>
      <c r="H2" s="52"/>
      <c r="I2" s="52"/>
      <c r="J2" s="53"/>
      <c r="K2" s="52"/>
      <c r="L2" s="52"/>
      <c r="M2" s="52"/>
      <c r="N2" s="52"/>
      <c r="O2" s="54"/>
      <c r="P2" s="54"/>
      <c r="Q2" s="54"/>
      <c r="R2" s="54"/>
      <c r="S2" s="54"/>
      <c r="T2" s="54"/>
      <c r="U2" s="54"/>
      <c r="V2" s="54"/>
      <c r="W2" s="54"/>
      <c r="X2" s="54"/>
    </row>
    <row r="3" spans="1:24" s="51" customFormat="1" x14ac:dyDescent="0.2">
      <c r="B3" s="616" t="s">
        <v>199</v>
      </c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1"/>
      <c r="N3" s="611"/>
      <c r="O3" s="611"/>
      <c r="P3" s="611"/>
      <c r="Q3" s="611"/>
      <c r="R3" s="611"/>
      <c r="S3" s="611"/>
      <c r="T3" s="54"/>
      <c r="U3" s="54"/>
      <c r="V3" s="54"/>
      <c r="W3" s="54"/>
      <c r="X3" s="54"/>
    </row>
    <row r="4" spans="1:24" s="51" customFormat="1" ht="6.95" customHeight="1" x14ac:dyDescent="0.2">
      <c r="B4" s="9"/>
      <c r="C4" s="49"/>
      <c r="D4" s="50"/>
      <c r="E4" s="52"/>
      <c r="F4" s="52"/>
      <c r="G4" s="52"/>
      <c r="H4" s="52"/>
      <c r="I4" s="52"/>
      <c r="K4" s="52"/>
      <c r="L4" s="52"/>
      <c r="M4" s="52"/>
      <c r="N4" s="52"/>
      <c r="O4" s="54"/>
      <c r="P4" s="54"/>
      <c r="Q4" s="54"/>
      <c r="R4" s="54"/>
      <c r="S4" s="54"/>
      <c r="T4" s="54"/>
      <c r="U4" s="54"/>
      <c r="V4" s="54"/>
      <c r="W4" s="54"/>
      <c r="X4" s="54"/>
    </row>
    <row r="5" spans="1:24" s="51" customFormat="1" ht="25.5" customHeight="1" x14ac:dyDescent="0.2">
      <c r="B5" s="710" t="s">
        <v>159</v>
      </c>
      <c r="C5" s="710"/>
      <c r="D5" s="710"/>
      <c r="E5" s="710"/>
      <c r="F5" s="710"/>
      <c r="G5" s="710"/>
      <c r="H5" s="710"/>
      <c r="I5" s="710"/>
      <c r="J5" s="710"/>
      <c r="K5" s="710"/>
      <c r="L5" s="710"/>
      <c r="M5" s="55"/>
      <c r="N5" s="55"/>
      <c r="O5" s="71" t="s">
        <v>122</v>
      </c>
      <c r="P5" s="54"/>
      <c r="Q5" s="54"/>
      <c r="R5" s="54"/>
      <c r="S5" s="54"/>
      <c r="T5" s="54"/>
      <c r="U5" s="54"/>
      <c r="V5" s="54"/>
      <c r="W5" s="54"/>
      <c r="X5" s="54"/>
    </row>
    <row r="6" spans="1:24" ht="6" customHeight="1" x14ac:dyDescent="0.2">
      <c r="B6" s="598"/>
      <c r="C6" s="4"/>
      <c r="D6" s="5"/>
      <c r="E6" s="33"/>
      <c r="F6" s="33"/>
      <c r="G6" s="33"/>
      <c r="H6" s="33"/>
      <c r="I6" s="33"/>
      <c r="J6" s="33"/>
      <c r="K6" s="33"/>
      <c r="L6" s="33"/>
      <c r="M6" s="33"/>
      <c r="N6" s="2"/>
      <c r="O6" s="2"/>
      <c r="P6" s="1"/>
      <c r="Q6" s="1"/>
      <c r="R6" s="1"/>
      <c r="S6" s="1"/>
      <c r="T6" s="1"/>
      <c r="U6" s="1"/>
      <c r="V6" s="1"/>
      <c r="W6" s="1"/>
      <c r="X6" s="1"/>
    </row>
    <row r="7" spans="1:24" ht="22.5" customHeight="1" x14ac:dyDescent="0.2">
      <c r="B7" s="711" t="s">
        <v>45</v>
      </c>
      <c r="C7" s="6"/>
      <c r="D7" s="714" t="s">
        <v>87</v>
      </c>
      <c r="E7" s="34"/>
      <c r="F7" s="717" t="s">
        <v>135</v>
      </c>
      <c r="G7" s="717"/>
      <c r="H7" s="717"/>
      <c r="I7" s="717"/>
      <c r="J7" s="717"/>
      <c r="K7" s="717"/>
      <c r="L7" s="717"/>
      <c r="M7" s="717"/>
      <c r="N7" s="46"/>
      <c r="O7" s="714" t="s">
        <v>136</v>
      </c>
      <c r="P7" s="1"/>
      <c r="Q7" s="1"/>
      <c r="R7" s="1"/>
      <c r="S7" s="1"/>
      <c r="T7" s="1"/>
      <c r="U7" s="1"/>
      <c r="V7" s="1"/>
      <c r="W7" s="1"/>
      <c r="X7" s="1"/>
    </row>
    <row r="8" spans="1:24" ht="37.5" customHeight="1" x14ac:dyDescent="0.2">
      <c r="B8" s="712"/>
      <c r="C8" s="599"/>
      <c r="D8" s="715"/>
      <c r="E8" s="33"/>
      <c r="F8" s="665" t="s">
        <v>46</v>
      </c>
      <c r="G8" s="665"/>
      <c r="H8" s="242"/>
      <c r="I8" s="665" t="s">
        <v>47</v>
      </c>
      <c r="J8" s="665"/>
      <c r="K8" s="243"/>
      <c r="L8" s="665" t="s">
        <v>48</v>
      </c>
      <c r="M8" s="665"/>
      <c r="N8" s="2"/>
      <c r="O8" s="715"/>
      <c r="P8" s="1"/>
      <c r="Q8" s="1"/>
      <c r="R8" s="1"/>
      <c r="S8" s="1"/>
      <c r="T8" s="1"/>
      <c r="U8" s="1"/>
      <c r="V8" s="1"/>
      <c r="W8" s="1"/>
      <c r="X8" s="1"/>
    </row>
    <row r="9" spans="1:24" ht="18.75" customHeight="1" x14ac:dyDescent="0.2">
      <c r="B9" s="713"/>
      <c r="C9" s="7"/>
      <c r="D9" s="716"/>
      <c r="E9" s="35"/>
      <c r="F9" s="600" t="s">
        <v>0</v>
      </c>
      <c r="G9" s="600" t="s">
        <v>1</v>
      </c>
      <c r="H9" s="600"/>
      <c r="I9" s="600" t="s">
        <v>0</v>
      </c>
      <c r="J9" s="600" t="s">
        <v>1</v>
      </c>
      <c r="K9" s="600"/>
      <c r="L9" s="600" t="s">
        <v>0</v>
      </c>
      <c r="M9" s="600" t="s">
        <v>1</v>
      </c>
      <c r="N9" s="47"/>
      <c r="O9" s="716"/>
      <c r="P9" s="1"/>
      <c r="Q9" s="1"/>
      <c r="R9" s="1"/>
      <c r="S9" s="1"/>
      <c r="T9" s="1"/>
      <c r="U9" s="1"/>
      <c r="V9" s="1"/>
      <c r="W9" s="1"/>
      <c r="X9" s="1"/>
    </row>
    <row r="10" spans="1:24" ht="6" customHeight="1" x14ac:dyDescent="0.2">
      <c r="B10" s="4"/>
      <c r="C10" s="4"/>
      <c r="D10" s="127"/>
      <c r="E10" s="128"/>
      <c r="F10" s="128"/>
      <c r="G10" s="128"/>
      <c r="H10" s="128"/>
      <c r="I10" s="128"/>
      <c r="J10" s="128"/>
      <c r="K10" s="128"/>
      <c r="L10" s="128"/>
      <c r="M10" s="128"/>
      <c r="N10" s="144"/>
      <c r="O10" s="144"/>
      <c r="P10" s="1"/>
      <c r="Q10" s="1"/>
      <c r="R10" s="1"/>
      <c r="S10" s="1"/>
      <c r="T10" s="1"/>
      <c r="U10" s="1"/>
      <c r="V10" s="1"/>
      <c r="W10" s="1"/>
      <c r="X10" s="1"/>
    </row>
    <row r="11" spans="1:24" s="80" customFormat="1" ht="11.25" x14ac:dyDescent="0.2">
      <c r="B11" s="36" t="s">
        <v>35</v>
      </c>
      <c r="C11" s="8"/>
      <c r="D11" s="89">
        <v>795</v>
      </c>
      <c r="E11" s="89"/>
      <c r="F11" s="89">
        <v>751</v>
      </c>
      <c r="G11" s="129">
        <v>94.465408804999996</v>
      </c>
      <c r="H11" s="130"/>
      <c r="I11" s="130">
        <v>417</v>
      </c>
      <c r="J11" s="129">
        <v>52.452830188699998</v>
      </c>
      <c r="K11" s="130"/>
      <c r="L11" s="130">
        <v>11</v>
      </c>
      <c r="M11" s="129">
        <v>1.3836477987</v>
      </c>
      <c r="N11" s="130"/>
      <c r="O11" s="130">
        <v>29</v>
      </c>
      <c r="P11" s="79"/>
      <c r="Q11" s="79"/>
      <c r="R11" s="79"/>
      <c r="S11" s="79"/>
      <c r="T11" s="79"/>
      <c r="U11" s="79"/>
      <c r="V11" s="79"/>
      <c r="W11" s="79"/>
      <c r="X11" s="79"/>
    </row>
    <row r="12" spans="1:24" s="82" customFormat="1" ht="6" customHeight="1" x14ac:dyDescent="0.2">
      <c r="B12" s="43"/>
      <c r="C12" s="8"/>
      <c r="D12" s="91"/>
      <c r="E12" s="91"/>
      <c r="F12" s="91"/>
      <c r="G12" s="131"/>
      <c r="H12" s="132"/>
      <c r="I12" s="132"/>
      <c r="J12" s="131"/>
      <c r="K12" s="132"/>
      <c r="L12" s="132"/>
      <c r="M12" s="131"/>
      <c r="N12" s="132"/>
      <c r="O12" s="132"/>
      <c r="P12" s="81"/>
      <c r="Q12" s="81"/>
      <c r="R12" s="81"/>
      <c r="S12" s="81"/>
      <c r="T12" s="81"/>
      <c r="U12" s="81"/>
      <c r="V12" s="81"/>
      <c r="W12" s="81"/>
      <c r="X12" s="81"/>
    </row>
    <row r="13" spans="1:24" s="82" customFormat="1" ht="11.25" x14ac:dyDescent="0.2">
      <c r="B13" s="24" t="s">
        <v>49</v>
      </c>
      <c r="C13" s="37"/>
      <c r="D13" s="91">
        <v>136</v>
      </c>
      <c r="E13" s="91"/>
      <c r="F13" s="91">
        <v>130</v>
      </c>
      <c r="G13" s="131">
        <v>95.588235294100002</v>
      </c>
      <c r="H13" s="132"/>
      <c r="I13" s="132">
        <v>92</v>
      </c>
      <c r="J13" s="131">
        <v>67.647058823500004</v>
      </c>
      <c r="K13" s="132"/>
      <c r="L13" s="132">
        <v>5</v>
      </c>
      <c r="M13" s="131">
        <v>3.6764705881999999</v>
      </c>
      <c r="N13" s="132"/>
      <c r="O13" s="132">
        <v>5</v>
      </c>
      <c r="P13" s="81"/>
      <c r="Q13" s="81"/>
      <c r="R13" s="81"/>
      <c r="S13" s="81"/>
      <c r="T13" s="81"/>
      <c r="U13" s="81"/>
      <c r="V13" s="81"/>
      <c r="W13" s="81"/>
      <c r="X13" s="81"/>
    </row>
    <row r="14" spans="1:24" s="82" customFormat="1" ht="11.25" x14ac:dyDescent="0.2">
      <c r="B14" s="24" t="s">
        <v>50</v>
      </c>
      <c r="C14" s="37"/>
      <c r="D14" s="91">
        <v>54</v>
      </c>
      <c r="E14" s="91"/>
      <c r="F14" s="91">
        <v>45</v>
      </c>
      <c r="G14" s="131">
        <v>83.333333333300004</v>
      </c>
      <c r="H14" s="132"/>
      <c r="I14" s="132">
        <v>32</v>
      </c>
      <c r="J14" s="131">
        <v>59.259259259300002</v>
      </c>
      <c r="K14" s="132"/>
      <c r="L14" s="132">
        <v>5</v>
      </c>
      <c r="M14" s="131">
        <v>9.2592592593000003</v>
      </c>
      <c r="N14" s="132"/>
      <c r="O14" s="132">
        <v>4</v>
      </c>
      <c r="P14" s="81"/>
      <c r="Q14" s="81"/>
      <c r="R14" s="81"/>
      <c r="S14" s="81"/>
      <c r="T14" s="81"/>
      <c r="U14" s="81"/>
      <c r="V14" s="81"/>
      <c r="W14" s="81"/>
      <c r="X14" s="81"/>
    </row>
    <row r="15" spans="1:24" s="82" customFormat="1" ht="11.25" x14ac:dyDescent="0.2">
      <c r="B15" s="24" t="s">
        <v>51</v>
      </c>
      <c r="C15" s="37"/>
      <c r="D15" s="91">
        <v>64</v>
      </c>
      <c r="E15" s="91"/>
      <c r="F15" s="91">
        <v>56</v>
      </c>
      <c r="G15" s="131">
        <v>87.5</v>
      </c>
      <c r="H15" s="132"/>
      <c r="I15" s="132">
        <v>41</v>
      </c>
      <c r="J15" s="131">
        <v>64.0625</v>
      </c>
      <c r="K15" s="132"/>
      <c r="L15" s="132">
        <v>2</v>
      </c>
      <c r="M15" s="131">
        <v>3.125</v>
      </c>
      <c r="N15" s="132"/>
      <c r="O15" s="132">
        <v>4</v>
      </c>
      <c r="P15" s="81"/>
      <c r="Q15" s="81"/>
      <c r="R15" s="81"/>
      <c r="S15" s="81"/>
      <c r="T15" s="81"/>
      <c r="U15" s="81"/>
      <c r="V15" s="81"/>
      <c r="W15" s="81"/>
      <c r="X15" s="81"/>
    </row>
    <row r="16" spans="1:24" s="82" customFormat="1" ht="11.25" x14ac:dyDescent="0.2">
      <c r="B16" s="24" t="s">
        <v>137</v>
      </c>
      <c r="C16" s="37"/>
      <c r="D16" s="91">
        <v>507</v>
      </c>
      <c r="E16" s="91"/>
      <c r="F16" s="91">
        <v>480</v>
      </c>
      <c r="G16" s="131">
        <v>94.674556213000002</v>
      </c>
      <c r="H16" s="132"/>
      <c r="I16" s="132">
        <v>235</v>
      </c>
      <c r="J16" s="131">
        <v>46.3510848126</v>
      </c>
      <c r="K16" s="132"/>
      <c r="L16" s="158" t="s">
        <v>201</v>
      </c>
      <c r="M16" s="159" t="s">
        <v>201</v>
      </c>
      <c r="N16" s="132"/>
      <c r="O16" s="132">
        <v>15</v>
      </c>
      <c r="P16" s="81"/>
      <c r="Q16" s="81"/>
      <c r="R16" s="81"/>
      <c r="S16" s="81"/>
      <c r="T16" s="81"/>
      <c r="U16" s="81"/>
      <c r="V16" s="81"/>
      <c r="W16" s="81"/>
      <c r="X16" s="81"/>
    </row>
    <row r="17" spans="2:24" s="82" customFormat="1" ht="11.25" x14ac:dyDescent="0.2">
      <c r="B17" s="24" t="s">
        <v>138</v>
      </c>
      <c r="C17" s="37"/>
      <c r="D17" s="91">
        <v>120</v>
      </c>
      <c r="E17" s="91"/>
      <c r="F17" s="91">
        <v>112</v>
      </c>
      <c r="G17" s="131">
        <v>93.333333333300004</v>
      </c>
      <c r="H17" s="132"/>
      <c r="I17" s="132">
        <v>61</v>
      </c>
      <c r="J17" s="131">
        <v>50.833333333299997</v>
      </c>
      <c r="K17" s="132"/>
      <c r="L17" s="158" t="s">
        <v>201</v>
      </c>
      <c r="M17" s="159" t="s">
        <v>201</v>
      </c>
      <c r="N17" s="132"/>
      <c r="O17" s="132">
        <v>4</v>
      </c>
      <c r="P17" s="81"/>
      <c r="Q17" s="81"/>
      <c r="R17" s="81"/>
      <c r="S17" s="81"/>
      <c r="T17" s="81"/>
      <c r="U17" s="81"/>
      <c r="V17" s="81"/>
      <c r="W17" s="81"/>
      <c r="X17" s="81"/>
    </row>
    <row r="18" spans="2:24" s="82" customFormat="1" ht="6" customHeight="1" x14ac:dyDescent="0.2">
      <c r="B18" s="24"/>
      <c r="C18" s="37"/>
      <c r="D18" s="91"/>
      <c r="E18" s="132"/>
      <c r="F18" s="132"/>
      <c r="G18" s="131"/>
      <c r="H18" s="132"/>
      <c r="I18" s="132"/>
      <c r="J18" s="131"/>
      <c r="K18" s="132"/>
      <c r="L18" s="132"/>
      <c r="M18" s="131"/>
      <c r="N18" s="132"/>
      <c r="O18" s="132"/>
      <c r="P18" s="81"/>
      <c r="Q18" s="81"/>
      <c r="R18" s="81"/>
      <c r="S18" s="81"/>
      <c r="T18" s="81"/>
      <c r="U18" s="81"/>
      <c r="V18" s="81"/>
      <c r="W18" s="81"/>
      <c r="X18" s="81"/>
    </row>
    <row r="19" spans="2:24" s="80" customFormat="1" ht="11.25" x14ac:dyDescent="0.2">
      <c r="B19" s="612" t="s">
        <v>36</v>
      </c>
      <c r="C19" s="77"/>
      <c r="D19" s="89">
        <v>102</v>
      </c>
      <c r="E19" s="130"/>
      <c r="F19" s="130">
        <v>90</v>
      </c>
      <c r="G19" s="129">
        <v>88.235294117600006</v>
      </c>
      <c r="H19" s="130"/>
      <c r="I19" s="130">
        <v>55</v>
      </c>
      <c r="J19" s="129">
        <v>53.921568627500001</v>
      </c>
      <c r="K19" s="130"/>
      <c r="L19" s="130">
        <v>1</v>
      </c>
      <c r="M19" s="129">
        <v>0.98039215690000003</v>
      </c>
      <c r="N19" s="130"/>
      <c r="O19" s="130">
        <v>5</v>
      </c>
      <c r="P19" s="79"/>
      <c r="Q19" s="79"/>
      <c r="R19" s="79"/>
      <c r="S19" s="79"/>
      <c r="T19" s="79"/>
      <c r="U19" s="79"/>
      <c r="V19" s="79"/>
      <c r="W19" s="79"/>
      <c r="X19" s="79"/>
    </row>
    <row r="20" spans="2:24" s="82" customFormat="1" ht="6" customHeight="1" x14ac:dyDescent="0.2">
      <c r="B20" s="37"/>
      <c r="C20" s="37"/>
      <c r="D20" s="132"/>
      <c r="E20" s="132"/>
      <c r="F20" s="132"/>
      <c r="G20" s="131"/>
      <c r="H20" s="132"/>
      <c r="I20" s="132"/>
      <c r="J20" s="131"/>
      <c r="K20" s="132"/>
      <c r="L20" s="132"/>
      <c r="M20" s="131"/>
      <c r="N20" s="132"/>
      <c r="O20" s="132"/>
      <c r="P20" s="81"/>
      <c r="Q20" s="81"/>
      <c r="R20" s="81"/>
      <c r="S20" s="81"/>
      <c r="T20" s="81"/>
      <c r="U20" s="81"/>
      <c r="V20" s="81"/>
      <c r="W20" s="81"/>
      <c r="X20" s="81"/>
    </row>
    <row r="21" spans="2:24" s="82" customFormat="1" ht="11.25" x14ac:dyDescent="0.2">
      <c r="B21" s="24" t="s">
        <v>49</v>
      </c>
      <c r="C21" s="37"/>
      <c r="D21" s="91">
        <v>26</v>
      </c>
      <c r="E21" s="132"/>
      <c r="F21" s="132">
        <v>25</v>
      </c>
      <c r="G21" s="131">
        <v>96.153846153800004</v>
      </c>
      <c r="H21" s="132"/>
      <c r="I21" s="132">
        <v>17</v>
      </c>
      <c r="J21" s="131">
        <v>65.384615384599996</v>
      </c>
      <c r="K21" s="132"/>
      <c r="L21" s="132">
        <v>1</v>
      </c>
      <c r="M21" s="131">
        <v>3.8461538462</v>
      </c>
      <c r="N21" s="132"/>
      <c r="O21" s="132">
        <v>0</v>
      </c>
      <c r="P21" s="81"/>
      <c r="Q21" s="81"/>
      <c r="R21" s="81"/>
      <c r="S21" s="81"/>
      <c r="T21" s="81"/>
      <c r="U21" s="81"/>
      <c r="V21" s="81"/>
      <c r="W21" s="81"/>
      <c r="X21" s="81"/>
    </row>
    <row r="22" spans="2:24" s="82" customFormat="1" ht="11.25" x14ac:dyDescent="0.2">
      <c r="B22" s="24" t="s">
        <v>50</v>
      </c>
      <c r="C22" s="37"/>
      <c r="D22" s="91">
        <v>7</v>
      </c>
      <c r="E22" s="132"/>
      <c r="F22" s="132">
        <v>6</v>
      </c>
      <c r="G22" s="131">
        <v>85.714285714300004</v>
      </c>
      <c r="H22" s="132"/>
      <c r="I22" s="132">
        <v>5</v>
      </c>
      <c r="J22" s="131">
        <v>71.428571428599994</v>
      </c>
      <c r="K22" s="132"/>
      <c r="L22" s="132">
        <v>1</v>
      </c>
      <c r="M22" s="131">
        <v>14.285714285699999</v>
      </c>
      <c r="N22" s="132"/>
      <c r="O22" s="132">
        <v>0</v>
      </c>
      <c r="P22" s="81"/>
      <c r="Q22" s="81"/>
      <c r="R22" s="81"/>
      <c r="S22" s="81"/>
      <c r="T22" s="81"/>
      <c r="U22" s="81"/>
      <c r="V22" s="81"/>
      <c r="W22" s="81"/>
      <c r="X22" s="81"/>
    </row>
    <row r="23" spans="2:24" s="82" customFormat="1" ht="11.25" x14ac:dyDescent="0.2">
      <c r="B23" s="24" t="s">
        <v>51</v>
      </c>
      <c r="C23" s="37"/>
      <c r="D23" s="91">
        <v>9</v>
      </c>
      <c r="E23" s="132"/>
      <c r="F23" s="132">
        <v>8</v>
      </c>
      <c r="G23" s="131">
        <v>88.888888888899999</v>
      </c>
      <c r="H23" s="132"/>
      <c r="I23" s="132">
        <v>2</v>
      </c>
      <c r="J23" s="131">
        <v>22.222222222199999</v>
      </c>
      <c r="K23" s="132"/>
      <c r="L23" s="132">
        <v>0</v>
      </c>
      <c r="M23" s="131">
        <v>0</v>
      </c>
      <c r="N23" s="132"/>
      <c r="O23" s="132">
        <v>1</v>
      </c>
      <c r="P23" s="81"/>
      <c r="Q23" s="81"/>
      <c r="R23" s="81"/>
      <c r="S23" s="81"/>
      <c r="T23" s="81"/>
      <c r="U23" s="81"/>
      <c r="V23" s="81"/>
      <c r="W23" s="81"/>
      <c r="X23" s="81"/>
    </row>
    <row r="24" spans="2:24" s="82" customFormat="1" ht="11.25" x14ac:dyDescent="0.2">
      <c r="B24" s="24" t="s">
        <v>52</v>
      </c>
      <c r="C24" s="37"/>
      <c r="D24" s="91">
        <v>58</v>
      </c>
      <c r="E24" s="132"/>
      <c r="F24" s="132">
        <v>50</v>
      </c>
      <c r="G24" s="131">
        <v>86.206896551699998</v>
      </c>
      <c r="H24" s="132"/>
      <c r="I24" s="132">
        <v>30</v>
      </c>
      <c r="J24" s="131">
        <v>51.724137931000001</v>
      </c>
      <c r="K24" s="132"/>
      <c r="L24" s="158" t="s">
        <v>201</v>
      </c>
      <c r="M24" s="159" t="s">
        <v>201</v>
      </c>
      <c r="N24" s="132"/>
      <c r="O24" s="132">
        <v>4</v>
      </c>
      <c r="P24" s="81"/>
      <c r="Q24" s="81"/>
      <c r="R24" s="81"/>
      <c r="S24" s="81"/>
      <c r="T24" s="81"/>
      <c r="U24" s="81"/>
      <c r="V24" s="81"/>
      <c r="W24" s="81"/>
      <c r="X24" s="81"/>
    </row>
    <row r="25" spans="2:24" s="82" customFormat="1" ht="11.25" x14ac:dyDescent="0.2">
      <c r="B25" s="24" t="s">
        <v>53</v>
      </c>
      <c r="C25" s="37"/>
      <c r="D25" s="91">
        <v>7</v>
      </c>
      <c r="E25" s="132"/>
      <c r="F25" s="132">
        <v>6</v>
      </c>
      <c r="G25" s="131">
        <v>85.714285714300004</v>
      </c>
      <c r="H25" s="132"/>
      <c r="I25" s="132">
        <v>5</v>
      </c>
      <c r="J25" s="131">
        <v>71.428571428599994</v>
      </c>
      <c r="K25" s="132"/>
      <c r="L25" s="158" t="s">
        <v>201</v>
      </c>
      <c r="M25" s="159" t="s">
        <v>201</v>
      </c>
      <c r="N25" s="132"/>
      <c r="O25" s="132">
        <v>0</v>
      </c>
      <c r="P25" s="81"/>
      <c r="Q25" s="81"/>
      <c r="R25" s="81"/>
      <c r="S25" s="81"/>
      <c r="T25" s="81"/>
      <c r="U25" s="81"/>
      <c r="V25" s="81"/>
      <c r="W25" s="81"/>
      <c r="X25" s="81"/>
    </row>
    <row r="26" spans="2:24" s="82" customFormat="1" ht="6" customHeight="1" x14ac:dyDescent="0.2">
      <c r="B26" s="24"/>
      <c r="C26" s="37"/>
      <c r="D26" s="91"/>
      <c r="E26" s="132"/>
      <c r="F26" s="132"/>
      <c r="G26" s="131"/>
      <c r="H26" s="132"/>
      <c r="I26" s="132"/>
      <c r="J26" s="131"/>
      <c r="K26" s="132"/>
      <c r="L26" s="132"/>
      <c r="M26" s="131"/>
      <c r="N26" s="132"/>
      <c r="O26" s="132"/>
      <c r="P26" s="81"/>
      <c r="Q26" s="81"/>
      <c r="R26" s="81"/>
      <c r="S26" s="81"/>
      <c r="T26" s="81"/>
      <c r="U26" s="81"/>
      <c r="V26" s="81"/>
      <c r="W26" s="81"/>
      <c r="X26" s="81"/>
    </row>
    <row r="27" spans="2:24" s="80" customFormat="1" ht="11.25" x14ac:dyDescent="0.2">
      <c r="B27" s="612" t="s">
        <v>37</v>
      </c>
      <c r="C27" s="77"/>
      <c r="D27" s="89">
        <v>107</v>
      </c>
      <c r="E27" s="130"/>
      <c r="F27" s="130">
        <v>104</v>
      </c>
      <c r="G27" s="129">
        <v>97.196261682200003</v>
      </c>
      <c r="H27" s="130"/>
      <c r="I27" s="130">
        <v>65</v>
      </c>
      <c r="J27" s="129">
        <v>60.747663551400002</v>
      </c>
      <c r="K27" s="130"/>
      <c r="L27" s="130">
        <v>1</v>
      </c>
      <c r="M27" s="129">
        <v>0.93457943929999998</v>
      </c>
      <c r="N27" s="130"/>
      <c r="O27" s="130">
        <v>3</v>
      </c>
      <c r="P27" s="79"/>
      <c r="Q27" s="79"/>
      <c r="R27" s="79"/>
      <c r="S27" s="79"/>
      <c r="T27" s="79"/>
      <c r="U27" s="79"/>
      <c r="V27" s="79"/>
      <c r="W27" s="79"/>
      <c r="X27" s="79"/>
    </row>
    <row r="28" spans="2:24" s="82" customFormat="1" ht="6" customHeight="1" x14ac:dyDescent="0.2">
      <c r="B28" s="612"/>
      <c r="C28" s="37"/>
      <c r="D28" s="91"/>
      <c r="E28" s="132"/>
      <c r="F28" s="132"/>
      <c r="G28" s="131"/>
      <c r="H28" s="132"/>
      <c r="I28" s="132"/>
      <c r="J28" s="131"/>
      <c r="K28" s="132"/>
      <c r="L28" s="132"/>
      <c r="M28" s="131"/>
      <c r="N28" s="132"/>
      <c r="O28" s="132"/>
      <c r="P28" s="81"/>
      <c r="Q28" s="81"/>
      <c r="R28" s="81"/>
      <c r="S28" s="81"/>
      <c r="T28" s="81"/>
      <c r="U28" s="81"/>
      <c r="V28" s="81"/>
      <c r="W28" s="81"/>
      <c r="X28" s="81"/>
    </row>
    <row r="29" spans="2:24" s="82" customFormat="1" ht="11.25" x14ac:dyDescent="0.2">
      <c r="B29" s="24" t="s">
        <v>49</v>
      </c>
      <c r="C29" s="37"/>
      <c r="D29" s="91">
        <v>30</v>
      </c>
      <c r="E29" s="132"/>
      <c r="F29" s="132">
        <v>28</v>
      </c>
      <c r="G29" s="131">
        <v>93.333333333300004</v>
      </c>
      <c r="H29" s="132"/>
      <c r="I29" s="132">
        <v>20</v>
      </c>
      <c r="J29" s="131">
        <v>66.666666666699996</v>
      </c>
      <c r="K29" s="132"/>
      <c r="L29" s="132">
        <v>0</v>
      </c>
      <c r="M29" s="131">
        <v>0</v>
      </c>
      <c r="N29" s="132"/>
      <c r="O29" s="132">
        <v>2</v>
      </c>
      <c r="P29" s="81"/>
      <c r="Q29" s="81"/>
      <c r="R29" s="81"/>
      <c r="S29" s="81"/>
      <c r="T29" s="81"/>
      <c r="U29" s="81"/>
      <c r="V29" s="81"/>
      <c r="W29" s="81"/>
      <c r="X29" s="81"/>
    </row>
    <row r="30" spans="2:24" s="82" customFormat="1" ht="11.25" x14ac:dyDescent="0.2">
      <c r="B30" s="24" t="s">
        <v>50</v>
      </c>
      <c r="C30" s="37"/>
      <c r="D30" s="91">
        <v>12</v>
      </c>
      <c r="E30" s="132"/>
      <c r="F30" s="132">
        <v>11</v>
      </c>
      <c r="G30" s="131">
        <v>91.666666666699996</v>
      </c>
      <c r="H30" s="132"/>
      <c r="I30" s="132">
        <v>6</v>
      </c>
      <c r="J30" s="131">
        <v>50</v>
      </c>
      <c r="K30" s="132"/>
      <c r="L30" s="132">
        <v>0</v>
      </c>
      <c r="M30" s="131">
        <v>0</v>
      </c>
      <c r="N30" s="132"/>
      <c r="O30" s="132">
        <v>0</v>
      </c>
      <c r="P30" s="81"/>
      <c r="Q30" s="81"/>
      <c r="R30" s="81"/>
      <c r="S30" s="81"/>
      <c r="T30" s="81"/>
      <c r="U30" s="81"/>
      <c r="V30" s="81"/>
      <c r="W30" s="81"/>
      <c r="X30" s="81"/>
    </row>
    <row r="31" spans="2:24" s="82" customFormat="1" ht="11.25" x14ac:dyDescent="0.2">
      <c r="B31" s="24" t="s">
        <v>51</v>
      </c>
      <c r="C31" s="37"/>
      <c r="D31" s="91">
        <v>8</v>
      </c>
      <c r="E31" s="132"/>
      <c r="F31" s="132">
        <v>7</v>
      </c>
      <c r="G31" s="131">
        <v>87.5</v>
      </c>
      <c r="H31" s="132"/>
      <c r="I31" s="132">
        <v>6</v>
      </c>
      <c r="J31" s="131">
        <v>75</v>
      </c>
      <c r="K31" s="132"/>
      <c r="L31" s="132">
        <v>1</v>
      </c>
      <c r="M31" s="131">
        <v>12.5</v>
      </c>
      <c r="N31" s="132"/>
      <c r="O31" s="132">
        <v>0</v>
      </c>
      <c r="P31" s="81"/>
      <c r="Q31" s="81"/>
      <c r="R31" s="81"/>
      <c r="S31" s="81"/>
      <c r="T31" s="81"/>
      <c r="U31" s="81"/>
      <c r="V31" s="81"/>
      <c r="W31" s="81"/>
      <c r="X31" s="81"/>
    </row>
    <row r="32" spans="2:24" s="82" customFormat="1" ht="11.25" x14ac:dyDescent="0.2">
      <c r="B32" s="24" t="s">
        <v>137</v>
      </c>
      <c r="C32" s="37"/>
      <c r="D32" s="91">
        <v>50</v>
      </c>
      <c r="E32" s="132"/>
      <c r="F32" s="132">
        <v>48</v>
      </c>
      <c r="G32" s="131">
        <v>96</v>
      </c>
      <c r="H32" s="132"/>
      <c r="I32" s="132">
        <v>25</v>
      </c>
      <c r="J32" s="131">
        <v>50</v>
      </c>
      <c r="K32" s="132"/>
      <c r="L32" s="158" t="s">
        <v>201</v>
      </c>
      <c r="M32" s="159" t="s">
        <v>201</v>
      </c>
      <c r="N32" s="132"/>
      <c r="O32" s="132">
        <v>1</v>
      </c>
      <c r="P32" s="81"/>
      <c r="Q32" s="81"/>
      <c r="R32" s="81"/>
      <c r="S32" s="81"/>
      <c r="T32" s="81"/>
      <c r="U32" s="81"/>
      <c r="V32" s="81"/>
      <c r="W32" s="81"/>
      <c r="X32" s="81"/>
    </row>
    <row r="33" spans="2:24" s="82" customFormat="1" ht="11.25" x14ac:dyDescent="0.2">
      <c r="B33" s="24" t="s">
        <v>138</v>
      </c>
      <c r="C33" s="37"/>
      <c r="D33" s="91">
        <v>15</v>
      </c>
      <c r="E33" s="132"/>
      <c r="F33" s="132">
        <v>14</v>
      </c>
      <c r="G33" s="131">
        <v>93.333333333300004</v>
      </c>
      <c r="H33" s="132"/>
      <c r="I33" s="132">
        <v>11</v>
      </c>
      <c r="J33" s="131">
        <v>73.333333333300004</v>
      </c>
      <c r="K33" s="132"/>
      <c r="L33" s="158" t="s">
        <v>201</v>
      </c>
      <c r="M33" s="159" t="s">
        <v>201</v>
      </c>
      <c r="N33" s="132"/>
      <c r="O33" s="132">
        <v>0</v>
      </c>
      <c r="P33" s="81"/>
      <c r="Q33" s="81"/>
      <c r="R33" s="81"/>
      <c r="S33" s="81"/>
      <c r="T33" s="81"/>
      <c r="U33" s="81"/>
      <c r="V33" s="81"/>
      <c r="W33" s="81"/>
      <c r="X33" s="81"/>
    </row>
    <row r="34" spans="2:24" s="82" customFormat="1" ht="6" customHeight="1" x14ac:dyDescent="0.2">
      <c r="B34" s="24"/>
      <c r="C34" s="37"/>
      <c r="D34" s="91"/>
      <c r="E34" s="132"/>
      <c r="F34" s="132"/>
      <c r="G34" s="131"/>
      <c r="H34" s="132"/>
      <c r="I34" s="132"/>
      <c r="J34" s="131"/>
      <c r="K34" s="132"/>
      <c r="L34" s="132"/>
      <c r="M34" s="131"/>
      <c r="N34" s="132"/>
      <c r="O34" s="132"/>
      <c r="P34" s="81"/>
      <c r="Q34" s="81"/>
      <c r="R34" s="81"/>
      <c r="S34" s="81"/>
      <c r="T34" s="81"/>
      <c r="U34" s="81"/>
      <c r="V34" s="81"/>
      <c r="W34" s="81"/>
      <c r="X34" s="81"/>
    </row>
    <row r="35" spans="2:24" s="80" customFormat="1" ht="11.25" x14ac:dyDescent="0.2">
      <c r="B35" s="613" t="s">
        <v>38</v>
      </c>
      <c r="C35" s="77"/>
      <c r="D35" s="89">
        <v>149</v>
      </c>
      <c r="E35" s="130"/>
      <c r="F35" s="130">
        <v>143</v>
      </c>
      <c r="G35" s="129">
        <v>95.973154362399995</v>
      </c>
      <c r="H35" s="130"/>
      <c r="I35" s="130">
        <v>76</v>
      </c>
      <c r="J35" s="129">
        <v>51.006711409399998</v>
      </c>
      <c r="K35" s="130"/>
      <c r="L35" s="130">
        <v>2</v>
      </c>
      <c r="M35" s="129">
        <v>1.3422818792</v>
      </c>
      <c r="N35" s="130"/>
      <c r="O35" s="130">
        <v>5</v>
      </c>
      <c r="P35" s="79"/>
      <c r="Q35" s="79"/>
      <c r="R35" s="79"/>
      <c r="S35" s="79"/>
      <c r="T35" s="79"/>
      <c r="U35" s="79"/>
      <c r="V35" s="79"/>
      <c r="W35" s="79"/>
      <c r="X35" s="79"/>
    </row>
    <row r="36" spans="2:24" s="82" customFormat="1" ht="6" customHeight="1" x14ac:dyDescent="0.2">
      <c r="B36" s="24"/>
      <c r="C36" s="37"/>
      <c r="D36" s="91"/>
      <c r="E36" s="132"/>
      <c r="F36" s="132"/>
      <c r="G36" s="131"/>
      <c r="H36" s="132"/>
      <c r="I36" s="132"/>
      <c r="J36" s="131"/>
      <c r="K36" s="132"/>
      <c r="L36" s="132"/>
      <c r="M36" s="131"/>
      <c r="N36" s="132"/>
      <c r="O36" s="132"/>
      <c r="P36" s="81"/>
      <c r="Q36" s="81"/>
      <c r="R36" s="81"/>
      <c r="S36" s="81"/>
      <c r="T36" s="81"/>
      <c r="U36" s="81"/>
      <c r="V36" s="81"/>
      <c r="W36" s="81"/>
      <c r="X36" s="81"/>
    </row>
    <row r="37" spans="2:24" s="82" customFormat="1" ht="11.25" x14ac:dyDescent="0.2">
      <c r="B37" s="24" t="s">
        <v>49</v>
      </c>
      <c r="C37" s="37"/>
      <c r="D37" s="91">
        <v>25</v>
      </c>
      <c r="E37" s="132"/>
      <c r="F37" s="132">
        <v>25</v>
      </c>
      <c r="G37" s="131">
        <v>100</v>
      </c>
      <c r="H37" s="132"/>
      <c r="I37" s="132">
        <v>18</v>
      </c>
      <c r="J37" s="131">
        <v>72</v>
      </c>
      <c r="K37" s="132"/>
      <c r="L37" s="132">
        <v>2</v>
      </c>
      <c r="M37" s="131">
        <v>8</v>
      </c>
      <c r="N37" s="132"/>
      <c r="O37" s="132">
        <v>0</v>
      </c>
      <c r="P37" s="81"/>
      <c r="Q37" s="81"/>
      <c r="R37" s="81"/>
      <c r="S37" s="81"/>
      <c r="T37" s="81"/>
      <c r="U37" s="81"/>
      <c r="V37" s="81"/>
      <c r="W37" s="81"/>
      <c r="X37" s="81"/>
    </row>
    <row r="38" spans="2:24" s="82" customFormat="1" ht="11.25" x14ac:dyDescent="0.2">
      <c r="B38" s="24" t="s">
        <v>50</v>
      </c>
      <c r="C38" s="37"/>
      <c r="D38" s="91">
        <v>14</v>
      </c>
      <c r="E38" s="132"/>
      <c r="F38" s="132">
        <v>10</v>
      </c>
      <c r="G38" s="131">
        <v>71.428571428599994</v>
      </c>
      <c r="H38" s="132"/>
      <c r="I38" s="132">
        <v>6</v>
      </c>
      <c r="J38" s="131">
        <v>42.857142857100001</v>
      </c>
      <c r="K38" s="132"/>
      <c r="L38" s="132">
        <v>0</v>
      </c>
      <c r="M38" s="131">
        <v>0</v>
      </c>
      <c r="N38" s="132"/>
      <c r="O38" s="132">
        <v>3</v>
      </c>
      <c r="P38" s="81"/>
      <c r="Q38" s="81"/>
      <c r="R38" s="81"/>
      <c r="S38" s="81"/>
      <c r="T38" s="81"/>
      <c r="U38" s="81"/>
      <c r="V38" s="81"/>
      <c r="W38" s="81"/>
      <c r="X38" s="81"/>
    </row>
    <row r="39" spans="2:24" s="82" customFormat="1" ht="11.25" x14ac:dyDescent="0.2">
      <c r="B39" s="24" t="s">
        <v>51</v>
      </c>
      <c r="C39" s="37"/>
      <c r="D39" s="91">
        <v>16</v>
      </c>
      <c r="E39" s="132"/>
      <c r="F39" s="132">
        <v>13</v>
      </c>
      <c r="G39" s="131">
        <v>81.25</v>
      </c>
      <c r="H39" s="132"/>
      <c r="I39" s="132">
        <v>12</v>
      </c>
      <c r="J39" s="131">
        <v>75</v>
      </c>
      <c r="K39" s="132"/>
      <c r="L39" s="132">
        <v>0</v>
      </c>
      <c r="M39" s="131">
        <v>0</v>
      </c>
      <c r="N39" s="132"/>
      <c r="O39" s="132">
        <v>1</v>
      </c>
      <c r="P39" s="81"/>
      <c r="Q39" s="81"/>
      <c r="R39" s="81"/>
      <c r="S39" s="81"/>
      <c r="T39" s="81"/>
      <c r="U39" s="81"/>
      <c r="V39" s="81"/>
      <c r="W39" s="81"/>
      <c r="X39" s="81"/>
    </row>
    <row r="40" spans="2:24" s="82" customFormat="1" ht="11.25" x14ac:dyDescent="0.2">
      <c r="B40" s="24" t="s">
        <v>137</v>
      </c>
      <c r="C40" s="37"/>
      <c r="D40" s="91">
        <v>91</v>
      </c>
      <c r="E40" s="132"/>
      <c r="F40" s="132">
        <v>89</v>
      </c>
      <c r="G40" s="131">
        <v>97.802197802199998</v>
      </c>
      <c r="H40" s="132"/>
      <c r="I40" s="132">
        <v>37</v>
      </c>
      <c r="J40" s="131">
        <v>40.6593406593</v>
      </c>
      <c r="K40" s="132"/>
      <c r="L40" s="158" t="s">
        <v>201</v>
      </c>
      <c r="M40" s="159" t="s">
        <v>201</v>
      </c>
      <c r="N40" s="132"/>
      <c r="O40" s="132">
        <v>1</v>
      </c>
      <c r="P40" s="81"/>
      <c r="Q40" s="81"/>
      <c r="R40" s="81"/>
      <c r="S40" s="81"/>
      <c r="T40" s="81"/>
      <c r="U40" s="81"/>
      <c r="V40" s="81"/>
      <c r="W40" s="81"/>
      <c r="X40" s="81"/>
    </row>
    <row r="41" spans="2:24" s="82" customFormat="1" ht="11.25" x14ac:dyDescent="0.2">
      <c r="B41" s="24" t="s">
        <v>138</v>
      </c>
      <c r="C41" s="37"/>
      <c r="D41" s="91">
        <v>21</v>
      </c>
      <c r="E41" s="132"/>
      <c r="F41" s="132">
        <v>21</v>
      </c>
      <c r="G41" s="131">
        <v>100</v>
      </c>
      <c r="H41" s="132"/>
      <c r="I41" s="132">
        <v>13</v>
      </c>
      <c r="J41" s="131">
        <v>61.904761904799997</v>
      </c>
      <c r="K41" s="132"/>
      <c r="L41" s="158" t="s">
        <v>201</v>
      </c>
      <c r="M41" s="159" t="s">
        <v>201</v>
      </c>
      <c r="N41" s="132"/>
      <c r="O41" s="132">
        <v>0</v>
      </c>
      <c r="P41" s="81"/>
      <c r="Q41" s="81"/>
      <c r="R41" s="81"/>
      <c r="S41" s="81"/>
      <c r="T41" s="81"/>
      <c r="U41" s="81"/>
      <c r="V41" s="81"/>
      <c r="W41" s="81"/>
      <c r="X41" s="81"/>
    </row>
    <row r="42" spans="2:24" s="82" customFormat="1" ht="6" customHeight="1" x14ac:dyDescent="0.2">
      <c r="B42" s="37"/>
      <c r="C42" s="37"/>
      <c r="D42" s="132"/>
      <c r="E42" s="132"/>
      <c r="F42" s="132"/>
      <c r="G42" s="131"/>
      <c r="H42" s="132"/>
      <c r="I42" s="132"/>
      <c r="J42" s="131"/>
      <c r="K42" s="132"/>
      <c r="L42" s="132"/>
      <c r="M42" s="131"/>
      <c r="N42" s="132"/>
      <c r="O42" s="132"/>
      <c r="P42" s="81"/>
      <c r="Q42" s="81"/>
      <c r="R42" s="81"/>
      <c r="S42" s="81"/>
      <c r="T42" s="81"/>
      <c r="U42" s="81"/>
      <c r="V42" s="81"/>
      <c r="W42" s="81"/>
      <c r="X42" s="81"/>
    </row>
    <row r="43" spans="2:24" s="80" customFormat="1" ht="11.25" x14ac:dyDescent="0.2">
      <c r="B43" s="613" t="s">
        <v>54</v>
      </c>
      <c r="C43" s="77"/>
      <c r="D43" s="89">
        <v>437</v>
      </c>
      <c r="E43" s="130"/>
      <c r="F43" s="130">
        <v>414</v>
      </c>
      <c r="G43" s="129">
        <v>94.736842105299999</v>
      </c>
      <c r="H43" s="130"/>
      <c r="I43" s="130">
        <v>221</v>
      </c>
      <c r="J43" s="129">
        <v>50.572082379900003</v>
      </c>
      <c r="K43" s="130"/>
      <c r="L43" s="130">
        <v>7</v>
      </c>
      <c r="M43" s="129">
        <v>1.6018306635999999</v>
      </c>
      <c r="N43" s="130"/>
      <c r="O43" s="130">
        <v>16</v>
      </c>
      <c r="P43" s="79"/>
      <c r="Q43" s="79"/>
      <c r="R43" s="79"/>
      <c r="S43" s="79"/>
      <c r="T43" s="79"/>
      <c r="U43" s="79"/>
      <c r="V43" s="79"/>
      <c r="W43" s="79"/>
      <c r="X43" s="79"/>
    </row>
    <row r="44" spans="2:24" s="82" customFormat="1" ht="6" customHeight="1" x14ac:dyDescent="0.2">
      <c r="B44" s="24"/>
      <c r="C44" s="37"/>
      <c r="D44" s="91"/>
      <c r="E44" s="132"/>
      <c r="F44" s="132"/>
      <c r="G44" s="131"/>
      <c r="H44" s="132"/>
      <c r="I44" s="132"/>
      <c r="J44" s="131"/>
      <c r="K44" s="132"/>
      <c r="L44" s="132"/>
      <c r="M44" s="131"/>
      <c r="N44" s="132"/>
      <c r="O44" s="132"/>
      <c r="P44" s="81"/>
      <c r="Q44" s="81"/>
      <c r="R44" s="81"/>
      <c r="S44" s="81"/>
      <c r="T44" s="81"/>
      <c r="U44" s="81"/>
      <c r="V44" s="81"/>
      <c r="W44" s="81"/>
      <c r="X44" s="81"/>
    </row>
    <row r="45" spans="2:24" s="82" customFormat="1" ht="12" customHeight="1" x14ac:dyDescent="0.2">
      <c r="B45" s="24" t="s">
        <v>49</v>
      </c>
      <c r="C45" s="37"/>
      <c r="D45" s="91">
        <v>55</v>
      </c>
      <c r="E45" s="132"/>
      <c r="F45" s="132">
        <v>52</v>
      </c>
      <c r="G45" s="131">
        <v>94.545454545499993</v>
      </c>
      <c r="H45" s="132"/>
      <c r="I45" s="132">
        <v>37</v>
      </c>
      <c r="J45" s="131">
        <v>67.272727272699996</v>
      </c>
      <c r="K45" s="132"/>
      <c r="L45" s="132">
        <v>2</v>
      </c>
      <c r="M45" s="131">
        <v>3.6363636364</v>
      </c>
      <c r="N45" s="132"/>
      <c r="O45" s="132">
        <v>3</v>
      </c>
      <c r="P45" s="81"/>
      <c r="Q45" s="81"/>
      <c r="R45" s="81"/>
      <c r="S45" s="81"/>
      <c r="T45" s="81"/>
      <c r="U45" s="81"/>
      <c r="V45" s="81"/>
      <c r="W45" s="81"/>
      <c r="X45" s="81"/>
    </row>
    <row r="46" spans="2:24" s="82" customFormat="1" ht="11.25" x14ac:dyDescent="0.2">
      <c r="B46" s="24" t="s">
        <v>50</v>
      </c>
      <c r="C46" s="37"/>
      <c r="D46" s="91">
        <v>21</v>
      </c>
      <c r="E46" s="132"/>
      <c r="F46" s="132">
        <v>18</v>
      </c>
      <c r="G46" s="131">
        <v>85.714285714300004</v>
      </c>
      <c r="H46" s="132"/>
      <c r="I46" s="132">
        <v>15</v>
      </c>
      <c r="J46" s="131">
        <v>71.428571428599994</v>
      </c>
      <c r="K46" s="132"/>
      <c r="L46" s="132">
        <v>4</v>
      </c>
      <c r="M46" s="131">
        <v>19.047619047600001</v>
      </c>
      <c r="N46" s="132"/>
      <c r="O46" s="132">
        <v>1</v>
      </c>
      <c r="P46" s="81"/>
      <c r="Q46" s="81"/>
      <c r="R46" s="81"/>
      <c r="S46" s="81"/>
      <c r="T46" s="81"/>
      <c r="U46" s="81"/>
      <c r="V46" s="81"/>
      <c r="W46" s="81"/>
      <c r="X46" s="81"/>
    </row>
    <row r="47" spans="2:24" s="82" customFormat="1" ht="11.25" x14ac:dyDescent="0.2">
      <c r="B47" s="24" t="s">
        <v>51</v>
      </c>
      <c r="C47" s="37"/>
      <c r="D47" s="91">
        <v>31</v>
      </c>
      <c r="E47" s="132"/>
      <c r="F47" s="132">
        <v>28</v>
      </c>
      <c r="G47" s="131">
        <v>90.322580645200006</v>
      </c>
      <c r="H47" s="132"/>
      <c r="I47" s="132">
        <v>21</v>
      </c>
      <c r="J47" s="131">
        <v>67.741935483899994</v>
      </c>
      <c r="K47" s="132"/>
      <c r="L47" s="132">
        <v>1</v>
      </c>
      <c r="M47" s="131">
        <v>3.2258064516</v>
      </c>
      <c r="N47" s="132"/>
      <c r="O47" s="132">
        <v>2</v>
      </c>
      <c r="P47" s="81"/>
      <c r="Q47" s="81"/>
      <c r="R47" s="81"/>
      <c r="S47" s="81"/>
      <c r="T47" s="81"/>
      <c r="U47" s="81"/>
      <c r="V47" s="81"/>
      <c r="W47" s="81"/>
      <c r="X47" s="81"/>
    </row>
    <row r="48" spans="2:24" s="82" customFormat="1" ht="11.25" x14ac:dyDescent="0.2">
      <c r="B48" s="24" t="s">
        <v>137</v>
      </c>
      <c r="C48" s="37"/>
      <c r="D48" s="91">
        <v>308</v>
      </c>
      <c r="E48" s="132"/>
      <c r="F48" s="132">
        <v>293</v>
      </c>
      <c r="G48" s="131">
        <v>95.129870129899999</v>
      </c>
      <c r="H48" s="132"/>
      <c r="I48" s="132">
        <v>143</v>
      </c>
      <c r="J48" s="131">
        <v>46.428571428600002</v>
      </c>
      <c r="K48" s="132"/>
      <c r="L48" s="158" t="s">
        <v>201</v>
      </c>
      <c r="M48" s="159" t="s">
        <v>201</v>
      </c>
      <c r="N48" s="132"/>
      <c r="O48" s="132">
        <v>9</v>
      </c>
      <c r="P48" s="81"/>
      <c r="Q48" s="81"/>
      <c r="R48" s="81"/>
      <c r="S48" s="81"/>
      <c r="T48" s="81"/>
      <c r="U48" s="81"/>
      <c r="V48" s="81"/>
      <c r="W48" s="81"/>
      <c r="X48" s="81"/>
    </row>
    <row r="49" spans="2:24" s="82" customFormat="1" ht="11.25" x14ac:dyDescent="0.2">
      <c r="B49" s="24" t="s">
        <v>138</v>
      </c>
      <c r="C49" s="37"/>
      <c r="D49" s="91">
        <v>77</v>
      </c>
      <c r="E49" s="132"/>
      <c r="F49" s="132">
        <v>71</v>
      </c>
      <c r="G49" s="131">
        <v>92.207792207799997</v>
      </c>
      <c r="H49" s="132"/>
      <c r="I49" s="132">
        <v>32</v>
      </c>
      <c r="J49" s="131">
        <v>41.558441558399998</v>
      </c>
      <c r="K49" s="132"/>
      <c r="L49" s="158" t="s">
        <v>201</v>
      </c>
      <c r="M49" s="159" t="s">
        <v>201</v>
      </c>
      <c r="N49" s="132"/>
      <c r="O49" s="132">
        <v>4</v>
      </c>
      <c r="P49" s="81"/>
      <c r="Q49" s="81"/>
      <c r="R49" s="81"/>
      <c r="S49" s="81"/>
      <c r="T49" s="81"/>
      <c r="U49" s="81"/>
      <c r="V49" s="81"/>
      <c r="W49" s="81"/>
      <c r="X49" s="81"/>
    </row>
    <row r="50" spans="2:24" s="82" customFormat="1" ht="6" customHeight="1" x14ac:dyDescent="0.2">
      <c r="B50" s="11"/>
      <c r="C50" s="38"/>
      <c r="D50" s="12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81"/>
      <c r="Q50" s="81"/>
      <c r="R50" s="81"/>
      <c r="S50" s="81"/>
      <c r="T50" s="81"/>
      <c r="U50" s="81"/>
      <c r="V50" s="81"/>
      <c r="W50" s="81"/>
      <c r="X50" s="81"/>
    </row>
    <row r="51" spans="2:24" ht="6" customHeight="1" x14ac:dyDescent="0.2">
      <c r="B51" s="23"/>
      <c r="C51" s="4"/>
      <c r="D51" s="4"/>
      <c r="E51" s="37"/>
      <c r="F51" s="33"/>
      <c r="G51" s="33"/>
      <c r="H51" s="33"/>
      <c r="I51" s="33"/>
      <c r="J51" s="33"/>
      <c r="K51" s="33"/>
      <c r="L51" s="33"/>
      <c r="M51" s="33"/>
      <c r="N51" s="2"/>
      <c r="O51" s="2"/>
      <c r="P51" s="1"/>
      <c r="Q51" s="1"/>
      <c r="R51" s="1"/>
      <c r="S51" s="1"/>
      <c r="T51" s="1"/>
      <c r="U51" s="1"/>
      <c r="V51" s="1"/>
      <c r="W51" s="1"/>
      <c r="X51" s="1"/>
    </row>
    <row r="52" spans="2:24" x14ac:dyDescent="0.2">
      <c r="B52" s="23" t="s">
        <v>139</v>
      </c>
      <c r="C52" s="4"/>
      <c r="D52" s="4"/>
      <c r="E52" s="37"/>
      <c r="F52" s="33"/>
      <c r="G52" s="33"/>
      <c r="H52" s="33"/>
      <c r="I52" s="33"/>
      <c r="J52" s="33"/>
      <c r="K52" s="33"/>
      <c r="L52" s="33"/>
      <c r="M52" s="33"/>
      <c r="N52" s="2"/>
      <c r="O52" s="2"/>
      <c r="P52" s="1"/>
      <c r="Q52" s="1"/>
      <c r="R52" s="1"/>
      <c r="S52" s="1"/>
      <c r="T52" s="1"/>
      <c r="U52" s="1"/>
      <c r="V52" s="1"/>
      <c r="W52" s="1"/>
      <c r="X52" s="1"/>
    </row>
    <row r="53" spans="2:24" x14ac:dyDescent="0.2">
      <c r="B53" s="23" t="s">
        <v>143</v>
      </c>
      <c r="C53" s="4"/>
      <c r="D53" s="4"/>
      <c r="E53" s="37"/>
      <c r="F53" s="33"/>
      <c r="G53" s="33"/>
      <c r="H53" s="33"/>
      <c r="I53" s="33"/>
      <c r="J53" s="33"/>
      <c r="K53" s="33"/>
      <c r="L53" s="33"/>
      <c r="M53" s="33"/>
      <c r="N53" s="2"/>
      <c r="O53" s="2"/>
      <c r="P53" s="1"/>
      <c r="Q53" s="1"/>
      <c r="R53" s="1"/>
      <c r="S53" s="1"/>
      <c r="T53" s="1"/>
      <c r="U53" s="1"/>
      <c r="V53" s="1"/>
      <c r="W53" s="1"/>
      <c r="X53" s="1"/>
    </row>
    <row r="54" spans="2:24" x14ac:dyDescent="0.2">
      <c r="B54" s="23" t="s">
        <v>141</v>
      </c>
      <c r="C54" s="4"/>
      <c r="D54" s="4"/>
      <c r="E54" s="37"/>
      <c r="F54" s="33"/>
      <c r="G54" s="33"/>
      <c r="H54" s="33"/>
      <c r="I54" s="33"/>
      <c r="J54" s="33"/>
      <c r="K54" s="33"/>
      <c r="L54" s="33"/>
      <c r="M54" s="33"/>
      <c r="N54" s="2"/>
      <c r="O54" s="2"/>
      <c r="P54" s="1"/>
      <c r="Q54" s="1"/>
      <c r="R54" s="1"/>
      <c r="S54" s="1"/>
      <c r="T54" s="1"/>
      <c r="U54" s="1"/>
      <c r="V54" s="1"/>
      <c r="W54" s="1"/>
      <c r="X54" s="1"/>
    </row>
    <row r="55" spans="2:24" x14ac:dyDescent="0.2">
      <c r="B55" s="23" t="s">
        <v>142</v>
      </c>
      <c r="C55" s="4"/>
      <c r="D55" s="4"/>
      <c r="E55" s="37"/>
      <c r="F55" s="33"/>
      <c r="G55" s="33"/>
      <c r="H55" s="33"/>
      <c r="I55" s="33"/>
      <c r="J55" s="33"/>
      <c r="K55" s="33"/>
      <c r="L55" s="33"/>
      <c r="M55" s="33"/>
      <c r="N55" s="2"/>
      <c r="O55" s="2"/>
      <c r="P55" s="1"/>
      <c r="Q55" s="1"/>
      <c r="R55" s="1"/>
      <c r="S55" s="1"/>
      <c r="T55" s="1"/>
      <c r="U55" s="1"/>
      <c r="V55" s="1"/>
      <c r="W55" s="1"/>
      <c r="X55" s="1"/>
    </row>
    <row r="56" spans="2:24" s="13" customFormat="1" ht="14.25" x14ac:dyDescent="0.2">
      <c r="B56" s="113" t="s">
        <v>57</v>
      </c>
    </row>
    <row r="57" spans="2:24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1"/>
      <c r="Q57" s="1"/>
      <c r="R57" s="1"/>
      <c r="S57" s="1"/>
      <c r="T57" s="1"/>
      <c r="U57" s="1"/>
      <c r="V57" s="1"/>
      <c r="W57" s="1"/>
      <c r="X57" s="1"/>
    </row>
    <row r="58" spans="2:24" x14ac:dyDescent="0.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1"/>
      <c r="Q58" s="1"/>
      <c r="R58" s="1"/>
      <c r="S58" s="1"/>
      <c r="T58" s="1"/>
      <c r="U58" s="1"/>
      <c r="V58" s="1"/>
      <c r="W58" s="1"/>
      <c r="X58" s="1"/>
    </row>
    <row r="59" spans="2:24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1"/>
      <c r="Q59" s="1"/>
      <c r="R59" s="1"/>
      <c r="S59" s="1"/>
      <c r="T59" s="1"/>
      <c r="U59" s="1"/>
      <c r="V59" s="1"/>
      <c r="W59" s="1"/>
      <c r="X59" s="1"/>
    </row>
    <row r="60" spans="2:24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1"/>
      <c r="Q60" s="1"/>
      <c r="R60" s="1"/>
      <c r="S60" s="1"/>
      <c r="T60" s="1"/>
      <c r="U60" s="1"/>
      <c r="V60" s="1"/>
      <c r="W60" s="1"/>
      <c r="X60" s="1"/>
    </row>
    <row r="61" spans="2:24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1"/>
      <c r="Q61" s="1"/>
      <c r="R61" s="1"/>
      <c r="S61" s="1"/>
      <c r="T61" s="1"/>
      <c r="U61" s="1"/>
      <c r="V61" s="1"/>
      <c r="W61" s="1"/>
      <c r="X61" s="1"/>
    </row>
    <row r="62" spans="2:24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1"/>
      <c r="Q62" s="1"/>
      <c r="R62" s="1"/>
      <c r="S62" s="1"/>
      <c r="T62" s="1"/>
      <c r="U62" s="1"/>
      <c r="V62" s="1"/>
      <c r="W62" s="1"/>
      <c r="X62" s="1"/>
    </row>
    <row r="63" spans="2:24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1"/>
      <c r="Q63" s="1"/>
      <c r="R63" s="1"/>
      <c r="S63" s="1"/>
      <c r="T63" s="1"/>
      <c r="U63" s="1"/>
      <c r="V63" s="1"/>
      <c r="W63" s="1"/>
      <c r="X63" s="1"/>
    </row>
    <row r="64" spans="2:24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1"/>
      <c r="Q64" s="1"/>
      <c r="R64" s="1"/>
      <c r="S64" s="1"/>
      <c r="T64" s="1"/>
      <c r="U64" s="1"/>
      <c r="V64" s="1"/>
      <c r="W64" s="1"/>
      <c r="X64" s="1"/>
    </row>
    <row r="65" spans="2:24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1"/>
      <c r="Q65" s="1"/>
      <c r="R65" s="1"/>
      <c r="S65" s="1"/>
      <c r="T65" s="1"/>
      <c r="U65" s="1"/>
      <c r="V65" s="1"/>
      <c r="W65" s="1"/>
      <c r="X65" s="1"/>
    </row>
    <row r="66" spans="2:24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1"/>
      <c r="Q66" s="1"/>
      <c r="R66" s="1"/>
      <c r="S66" s="1"/>
      <c r="T66" s="1"/>
      <c r="U66" s="1"/>
      <c r="V66" s="1"/>
      <c r="W66" s="1"/>
      <c r="X66" s="1"/>
    </row>
    <row r="67" spans="2:24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1"/>
      <c r="Q67" s="1"/>
      <c r="R67" s="1"/>
      <c r="S67" s="1"/>
      <c r="T67" s="1"/>
      <c r="U67" s="1"/>
      <c r="V67" s="1"/>
      <c r="W67" s="1"/>
      <c r="X67" s="1"/>
    </row>
    <row r="68" spans="2:24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1"/>
      <c r="Q68" s="1"/>
      <c r="R68" s="1"/>
      <c r="S68" s="1"/>
      <c r="T68" s="1"/>
      <c r="U68" s="1"/>
      <c r="V68" s="1"/>
      <c r="W68" s="1"/>
      <c r="X68" s="1"/>
    </row>
    <row r="69" spans="2:24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1"/>
      <c r="Q69" s="1"/>
      <c r="R69" s="1"/>
      <c r="S69" s="1"/>
      <c r="T69" s="1"/>
      <c r="U69" s="1"/>
      <c r="V69" s="1"/>
      <c r="W69" s="1"/>
      <c r="X69" s="1"/>
    </row>
    <row r="70" spans="2:24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1"/>
      <c r="Q70" s="1"/>
      <c r="R70" s="1"/>
      <c r="S70" s="1"/>
      <c r="T70" s="1"/>
      <c r="U70" s="1"/>
      <c r="V70" s="1"/>
      <c r="W70" s="1"/>
      <c r="X70" s="1"/>
    </row>
    <row r="71" spans="2:24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1"/>
      <c r="Q71" s="1"/>
      <c r="R71" s="1"/>
      <c r="S71" s="1"/>
      <c r="T71" s="1"/>
      <c r="U71" s="1"/>
      <c r="V71" s="1"/>
      <c r="W71" s="1"/>
      <c r="X71" s="1"/>
    </row>
    <row r="72" spans="2:24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1"/>
      <c r="Q72" s="1"/>
      <c r="R72" s="1"/>
      <c r="S72" s="1"/>
      <c r="T72" s="1"/>
      <c r="U72" s="1"/>
      <c r="V72" s="1"/>
      <c r="W72" s="1"/>
      <c r="X72" s="1"/>
    </row>
    <row r="73" spans="2:24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1"/>
      <c r="Q73" s="1"/>
      <c r="R73" s="1"/>
      <c r="S73" s="1"/>
      <c r="T73" s="1"/>
      <c r="U73" s="1"/>
      <c r="V73" s="1"/>
      <c r="W73" s="1"/>
      <c r="X73" s="1"/>
    </row>
    <row r="74" spans="2:24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1"/>
      <c r="Q74" s="1"/>
      <c r="R74" s="1"/>
      <c r="S74" s="1"/>
      <c r="T74" s="1"/>
      <c r="U74" s="1"/>
      <c r="V74" s="1"/>
      <c r="W74" s="1"/>
      <c r="X74" s="1"/>
    </row>
    <row r="75" spans="2:24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1"/>
      <c r="Q75" s="1"/>
      <c r="R75" s="1"/>
      <c r="S75" s="1"/>
      <c r="T75" s="1"/>
      <c r="U75" s="1"/>
      <c r="V75" s="1"/>
      <c r="W75" s="1"/>
      <c r="X75" s="1"/>
    </row>
    <row r="76" spans="2:24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1"/>
      <c r="Q76" s="1"/>
      <c r="R76" s="1"/>
      <c r="S76" s="1"/>
      <c r="T76" s="1"/>
      <c r="U76" s="1"/>
      <c r="V76" s="1"/>
      <c r="W76" s="1"/>
      <c r="X76" s="1"/>
    </row>
    <row r="77" spans="2:24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1"/>
      <c r="Q77" s="1"/>
      <c r="R77" s="1"/>
      <c r="S77" s="1"/>
      <c r="T77" s="1"/>
      <c r="U77" s="1"/>
      <c r="V77" s="1"/>
      <c r="W77" s="1"/>
      <c r="X77" s="1"/>
    </row>
    <row r="78" spans="2:24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1"/>
      <c r="Q78" s="1"/>
      <c r="R78" s="1"/>
      <c r="S78" s="1"/>
      <c r="T78" s="1"/>
      <c r="U78" s="1"/>
      <c r="V78" s="1"/>
      <c r="W78" s="1"/>
      <c r="X78" s="1"/>
    </row>
    <row r="79" spans="2:24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1"/>
      <c r="Q79" s="1"/>
      <c r="R79" s="1"/>
      <c r="S79" s="1"/>
      <c r="T79" s="1"/>
      <c r="U79" s="1"/>
      <c r="V79" s="1"/>
      <c r="W79" s="1"/>
      <c r="X79" s="1"/>
    </row>
    <row r="80" spans="2:24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1"/>
      <c r="Q80" s="1"/>
      <c r="R80" s="1"/>
      <c r="S80" s="1"/>
      <c r="T80" s="1"/>
      <c r="U80" s="1"/>
      <c r="V80" s="1"/>
      <c r="W80" s="1"/>
      <c r="X80" s="1"/>
    </row>
    <row r="81" spans="2:24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1"/>
      <c r="Q81" s="1"/>
      <c r="R81" s="1"/>
      <c r="S81" s="1"/>
      <c r="T81" s="1"/>
      <c r="U81" s="1"/>
      <c r="V81" s="1"/>
      <c r="W81" s="1"/>
      <c r="X81" s="1"/>
    </row>
    <row r="82" spans="2:24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1"/>
      <c r="Q82" s="1"/>
      <c r="R82" s="1"/>
      <c r="S82" s="1"/>
      <c r="T82" s="1"/>
      <c r="U82" s="1"/>
      <c r="V82" s="1"/>
      <c r="W82" s="1"/>
      <c r="X82" s="1"/>
    </row>
    <row r="83" spans="2:24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1"/>
      <c r="Q83" s="1"/>
      <c r="R83" s="1"/>
      <c r="S83" s="1"/>
      <c r="T83" s="1"/>
      <c r="U83" s="1"/>
      <c r="V83" s="1"/>
      <c r="W83" s="1"/>
      <c r="X83" s="1"/>
    </row>
    <row r="84" spans="2:24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1"/>
      <c r="Q84" s="1"/>
      <c r="R84" s="1"/>
      <c r="S84" s="1"/>
      <c r="T84" s="1"/>
      <c r="U84" s="1"/>
      <c r="V84" s="1"/>
      <c r="W84" s="1"/>
      <c r="X84" s="1"/>
    </row>
    <row r="85" spans="2:24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1"/>
      <c r="Q85" s="1"/>
      <c r="R85" s="1"/>
      <c r="S85" s="1"/>
      <c r="T85" s="1"/>
      <c r="U85" s="1"/>
      <c r="V85" s="1"/>
      <c r="W85" s="1"/>
      <c r="X85" s="1"/>
    </row>
    <row r="86" spans="2:24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1"/>
      <c r="Q86" s="1"/>
      <c r="R86" s="1"/>
      <c r="S86" s="1"/>
      <c r="T86" s="1"/>
      <c r="U86" s="1"/>
      <c r="V86" s="1"/>
      <c r="W86" s="1"/>
      <c r="X86" s="1"/>
    </row>
    <row r="87" spans="2:24" x14ac:dyDescent="0.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1"/>
      <c r="Q87" s="1"/>
      <c r="R87" s="1"/>
      <c r="S87" s="1"/>
      <c r="T87" s="1"/>
      <c r="U87" s="1"/>
      <c r="V87" s="1"/>
      <c r="W87" s="1"/>
      <c r="X87" s="1"/>
    </row>
    <row r="88" spans="2:24" x14ac:dyDescent="0.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1"/>
      <c r="Q88" s="1"/>
      <c r="R88" s="1"/>
      <c r="S88" s="1"/>
      <c r="T88" s="1"/>
      <c r="U88" s="1"/>
      <c r="V88" s="1"/>
      <c r="W88" s="1"/>
      <c r="X88" s="1"/>
    </row>
    <row r="89" spans="2:24" x14ac:dyDescent="0.2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1"/>
      <c r="Q89" s="1"/>
      <c r="R89" s="1"/>
      <c r="S89" s="1"/>
      <c r="T89" s="1"/>
      <c r="U89" s="1"/>
      <c r="V89" s="1"/>
      <c r="W89" s="1"/>
      <c r="X89" s="1"/>
    </row>
    <row r="90" spans="2:24" x14ac:dyDescent="0.2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1"/>
      <c r="Q90" s="1"/>
      <c r="R90" s="1"/>
      <c r="S90" s="1"/>
      <c r="T90" s="1"/>
      <c r="U90" s="1"/>
      <c r="V90" s="1"/>
      <c r="W90" s="1"/>
      <c r="X90" s="1"/>
    </row>
    <row r="91" spans="2:24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1"/>
      <c r="Q91" s="1"/>
      <c r="R91" s="1"/>
      <c r="S91" s="1"/>
      <c r="T91" s="1"/>
      <c r="U91" s="1"/>
      <c r="V91" s="1"/>
      <c r="W91" s="1"/>
      <c r="X91" s="1"/>
    </row>
    <row r="92" spans="2:24" x14ac:dyDescent="0.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1"/>
      <c r="Q92" s="1"/>
      <c r="R92" s="1"/>
      <c r="S92" s="1"/>
      <c r="T92" s="1"/>
      <c r="U92" s="1"/>
      <c r="V92" s="1"/>
      <c r="W92" s="1"/>
      <c r="X92" s="1"/>
    </row>
    <row r="93" spans="2:24" x14ac:dyDescent="0.2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1"/>
      <c r="Q93" s="1"/>
      <c r="R93" s="1"/>
      <c r="S93" s="1"/>
      <c r="T93" s="1"/>
      <c r="U93" s="1"/>
      <c r="V93" s="1"/>
      <c r="W93" s="1"/>
      <c r="X93" s="1"/>
    </row>
    <row r="94" spans="2:24" x14ac:dyDescent="0.2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1"/>
      <c r="Q94" s="1"/>
      <c r="R94" s="1"/>
      <c r="S94" s="1"/>
      <c r="T94" s="1"/>
      <c r="U94" s="1"/>
      <c r="V94" s="1"/>
      <c r="W94" s="1"/>
      <c r="X94" s="1"/>
    </row>
    <row r="95" spans="2:24" x14ac:dyDescent="0.2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1"/>
      <c r="Q95" s="1"/>
      <c r="R95" s="1"/>
      <c r="S95" s="1"/>
      <c r="T95" s="1"/>
      <c r="U95" s="1"/>
      <c r="V95" s="1"/>
      <c r="W95" s="1"/>
      <c r="X95" s="1"/>
    </row>
    <row r="96" spans="2:24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1"/>
      <c r="Q96" s="1"/>
      <c r="R96" s="1"/>
      <c r="S96" s="1"/>
      <c r="T96" s="1"/>
      <c r="U96" s="1"/>
      <c r="V96" s="1"/>
      <c r="W96" s="1"/>
      <c r="X96" s="1"/>
    </row>
    <row r="97" spans="2:24" x14ac:dyDescent="0.2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1"/>
      <c r="Q97" s="1"/>
      <c r="R97" s="1"/>
      <c r="S97" s="1"/>
      <c r="T97" s="1"/>
      <c r="U97" s="1"/>
      <c r="V97" s="1"/>
      <c r="W97" s="1"/>
      <c r="X97" s="1"/>
    </row>
    <row r="98" spans="2:24" x14ac:dyDescent="0.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2:24" x14ac:dyDescent="0.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2:24" x14ac:dyDescent="0.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2:24" x14ac:dyDescent="0.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2:24" x14ac:dyDescent="0.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2:24" x14ac:dyDescent="0.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2:24" x14ac:dyDescent="0.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2:24" x14ac:dyDescent="0.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2:24" x14ac:dyDescent="0.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2:24" x14ac:dyDescent="0.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2:24" x14ac:dyDescent="0.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2:24" x14ac:dyDescent="0.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2:24" x14ac:dyDescent="0.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2:24" x14ac:dyDescent="0.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2:24" x14ac:dyDescent="0.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2:24" x14ac:dyDescent="0.2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2:24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2:24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2:24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2:24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2:24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2:24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2:24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2:24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2:24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2:24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2:24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2:24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2:24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2:24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2:24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2:24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2:24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2:24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2:24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2:24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2:24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2:24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2:24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2:24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2:24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2:24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2:24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2:24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2:24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2:24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2:24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2:24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2:24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2:24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2:24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2:24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2:24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2:24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2:24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2:24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2:24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2:24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2:24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2:24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2:24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2:24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2:24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2:24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2:24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2:24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2:24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2:24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2:24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2:24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2:24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2:24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2:24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2:24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2:24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2:24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2:24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2:24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2:24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2:24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2:24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2:24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2:24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2:24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2:24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2:24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2:24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2:24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2:24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2:24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2:24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2:24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2:24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2:24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2:24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2:24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2:24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2:24" x14ac:dyDescent="0.2"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2:24" x14ac:dyDescent="0.2"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2:24" x14ac:dyDescent="0.2"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2:24" x14ac:dyDescent="0.2"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2:24" x14ac:dyDescent="0.2"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2:24" x14ac:dyDescent="0.2"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2:24" x14ac:dyDescent="0.2"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2:24" x14ac:dyDescent="0.2"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2:24" x14ac:dyDescent="0.2"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2:24" x14ac:dyDescent="0.2"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2:24" x14ac:dyDescent="0.2"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2:24" x14ac:dyDescent="0.2"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2:24" x14ac:dyDescent="0.2"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2:24" x14ac:dyDescent="0.2"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4:24" x14ac:dyDescent="0.2"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4:24" x14ac:dyDescent="0.2"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4:24" x14ac:dyDescent="0.2"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4:24" x14ac:dyDescent="0.2"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4:24" x14ac:dyDescent="0.2"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4:24" x14ac:dyDescent="0.2"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4:24" x14ac:dyDescent="0.2"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4:24" x14ac:dyDescent="0.2"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4:24" x14ac:dyDescent="0.2"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4:24" x14ac:dyDescent="0.2"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4:24" x14ac:dyDescent="0.2"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4:24" x14ac:dyDescent="0.2"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4:24" x14ac:dyDescent="0.2"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4:24" x14ac:dyDescent="0.2"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4:24" x14ac:dyDescent="0.2"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4:24" x14ac:dyDescent="0.2"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4:24" x14ac:dyDescent="0.2"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4:24" x14ac:dyDescent="0.2"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4:24" x14ac:dyDescent="0.2"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4:24" x14ac:dyDescent="0.2"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4:24" x14ac:dyDescent="0.2"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4:24" x14ac:dyDescent="0.2"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4:24" x14ac:dyDescent="0.2"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4:24" x14ac:dyDescent="0.2"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4:24" x14ac:dyDescent="0.2"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4:24" x14ac:dyDescent="0.2"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4:24" x14ac:dyDescent="0.2"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4:24" x14ac:dyDescent="0.2"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4:24" x14ac:dyDescent="0.2"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4:24" x14ac:dyDescent="0.2"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</sheetData>
  <mergeCells count="8">
    <mergeCell ref="B5:L5"/>
    <mergeCell ref="B7:B9"/>
    <mergeCell ref="D7:D9"/>
    <mergeCell ref="F7:M7"/>
    <mergeCell ref="O7:O9"/>
    <mergeCell ref="F8:G8"/>
    <mergeCell ref="I8:J8"/>
    <mergeCell ref="L8:M8"/>
  </mergeCells>
  <hyperlinks>
    <hyperlink ref="O1" location="Índice!A1" tooltip="Ir a ÍNDICE" display="INDICE" xr:uid="{29A0B9B2-7149-47A3-8FBE-19B9AC6B18A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5CDEF-A931-4064-84BC-C271E72FBFEF}">
  <dimension ref="A1:S23"/>
  <sheetViews>
    <sheetView showGridLines="0" zoomScaleNormal="100" workbookViewId="0"/>
  </sheetViews>
  <sheetFormatPr baseColWidth="10" defaultColWidth="11.42578125" defaultRowHeight="12.75" x14ac:dyDescent="0.2"/>
  <cols>
    <col min="1" max="1" width="1.7109375" style="21" customWidth="1"/>
    <col min="2" max="2" width="51.5703125" style="21" customWidth="1"/>
    <col min="3" max="3" width="1.7109375" style="21" customWidth="1"/>
    <col min="4" max="4" width="28.7109375" style="21" customWidth="1"/>
    <col min="5" max="5" width="1.7109375" style="21" customWidth="1"/>
    <col min="6" max="7" width="15.7109375" style="21" customWidth="1"/>
    <col min="8" max="8" width="1.7109375" style="21" customWidth="1"/>
    <col min="9" max="10" width="15.7109375" style="21" customWidth="1"/>
    <col min="11" max="11" width="1.7109375" style="21" customWidth="1"/>
    <col min="12" max="13" width="15.7109375" style="21" customWidth="1"/>
    <col min="14" max="14" width="1.7109375" style="21" customWidth="1"/>
    <col min="15" max="16" width="15.7109375" style="21" customWidth="1"/>
    <col min="17" max="16384" width="11.42578125" style="21"/>
  </cols>
  <sheetData>
    <row r="1" spans="1:19" s="48" customFormat="1" ht="12" customHeight="1" x14ac:dyDescent="0.2">
      <c r="A1" s="616"/>
      <c r="B1" s="616" t="s">
        <v>202</v>
      </c>
      <c r="C1" s="49"/>
      <c r="D1" s="49"/>
      <c r="E1" s="49"/>
      <c r="F1" s="50"/>
      <c r="G1" s="50"/>
      <c r="P1" s="72" t="s">
        <v>151</v>
      </c>
    </row>
    <row r="2" spans="1:19" s="48" customFormat="1" ht="6.95" customHeight="1" x14ac:dyDescent="0.2">
      <c r="B2" s="616"/>
      <c r="C2" s="49"/>
      <c r="D2" s="49"/>
      <c r="E2" s="49"/>
      <c r="F2" s="50"/>
      <c r="G2" s="50"/>
    </row>
    <row r="3" spans="1:19" s="48" customFormat="1" x14ac:dyDescent="0.2">
      <c r="B3" s="616" t="s">
        <v>199</v>
      </c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</row>
    <row r="4" spans="1:19" s="48" customFormat="1" ht="6.95" customHeight="1" x14ac:dyDescent="0.2">
      <c r="B4" s="614"/>
      <c r="C4" s="49"/>
      <c r="D4" s="49"/>
      <c r="E4" s="49"/>
      <c r="F4" s="50"/>
      <c r="G4" s="50"/>
    </row>
    <row r="5" spans="1:19" s="48" customFormat="1" ht="25.5" customHeight="1" x14ac:dyDescent="0.2">
      <c r="B5" s="718" t="s">
        <v>160</v>
      </c>
      <c r="C5" s="718"/>
      <c r="D5" s="718"/>
      <c r="E5" s="718"/>
      <c r="F5" s="718"/>
      <c r="G5" s="718"/>
      <c r="H5" s="718"/>
      <c r="I5" s="718"/>
      <c r="J5" s="718"/>
      <c r="K5" s="718"/>
      <c r="L5" s="718"/>
      <c r="M5" s="718"/>
      <c r="N5" s="718"/>
      <c r="O5" s="56"/>
      <c r="P5" s="71" t="s">
        <v>123</v>
      </c>
    </row>
    <row r="6" spans="1:19" ht="6" customHeight="1" x14ac:dyDescent="0.2">
      <c r="B6" s="25"/>
      <c r="C6" s="606"/>
      <c r="D6" s="606"/>
      <c r="E6" s="606"/>
      <c r="F6" s="607"/>
      <c r="G6" s="607"/>
      <c r="H6" s="39"/>
      <c r="I6" s="39"/>
      <c r="J6" s="39"/>
      <c r="K6" s="39"/>
      <c r="L6" s="39"/>
      <c r="M6" s="39"/>
      <c r="N6" s="39"/>
      <c r="O6" s="39"/>
      <c r="P6" s="39"/>
    </row>
    <row r="7" spans="1:19" ht="33.75" customHeight="1" x14ac:dyDescent="0.2">
      <c r="B7" s="711" t="s">
        <v>97</v>
      </c>
      <c r="C7" s="6"/>
      <c r="D7" s="714" t="s">
        <v>194</v>
      </c>
      <c r="E7" s="6"/>
      <c r="F7" s="719" t="s">
        <v>98</v>
      </c>
      <c r="G7" s="719"/>
      <c r="H7" s="40"/>
      <c r="I7" s="40"/>
      <c r="J7" s="721" t="s">
        <v>95</v>
      </c>
      <c r="K7" s="722"/>
      <c r="L7" s="722"/>
      <c r="M7" s="722"/>
      <c r="N7" s="722"/>
      <c r="O7" s="722"/>
      <c r="P7" s="41"/>
    </row>
    <row r="8" spans="1:19" ht="24" customHeight="1" x14ac:dyDescent="0.2">
      <c r="B8" s="712"/>
      <c r="C8" s="4"/>
      <c r="D8" s="715"/>
      <c r="E8" s="4"/>
      <c r="F8" s="720"/>
      <c r="G8" s="720"/>
      <c r="H8" s="39"/>
      <c r="I8" s="722" t="s">
        <v>46</v>
      </c>
      <c r="J8" s="722"/>
      <c r="K8" s="42"/>
      <c r="L8" s="722" t="s">
        <v>47</v>
      </c>
      <c r="M8" s="722"/>
      <c r="N8" s="610"/>
      <c r="O8" s="722" t="s">
        <v>48</v>
      </c>
      <c r="P8" s="722"/>
    </row>
    <row r="9" spans="1:19" ht="29.25" customHeight="1" x14ac:dyDescent="0.2">
      <c r="B9" s="713"/>
      <c r="C9" s="7"/>
      <c r="D9" s="716"/>
      <c r="E9" s="7"/>
      <c r="F9" s="609" t="s">
        <v>187</v>
      </c>
      <c r="G9" s="609" t="s">
        <v>189</v>
      </c>
      <c r="H9" s="74"/>
      <c r="I9" s="609" t="s">
        <v>187</v>
      </c>
      <c r="J9" s="609" t="s">
        <v>188</v>
      </c>
      <c r="K9" s="75"/>
      <c r="L9" s="609" t="s">
        <v>187</v>
      </c>
      <c r="M9" s="609" t="s">
        <v>189</v>
      </c>
      <c r="N9" s="76"/>
      <c r="O9" s="609" t="s">
        <v>187</v>
      </c>
      <c r="P9" s="609" t="s">
        <v>189</v>
      </c>
    </row>
    <row r="10" spans="1:19" ht="6" customHeight="1" x14ac:dyDescent="0.2">
      <c r="B10" s="4"/>
      <c r="C10" s="4"/>
      <c r="D10" s="608"/>
      <c r="E10" s="134"/>
      <c r="F10" s="127"/>
      <c r="G10" s="127"/>
      <c r="H10" s="135"/>
      <c r="I10" s="135"/>
      <c r="J10" s="135"/>
      <c r="K10" s="135"/>
      <c r="L10" s="135"/>
      <c r="M10" s="135"/>
      <c r="N10" s="135"/>
      <c r="O10" s="135"/>
      <c r="P10" s="135"/>
    </row>
    <row r="11" spans="1:19" s="85" customFormat="1" ht="11.25" x14ac:dyDescent="0.2">
      <c r="A11" s="78"/>
      <c r="B11" s="36" t="s">
        <v>35</v>
      </c>
      <c r="C11" s="8"/>
      <c r="D11" s="136">
        <v>766</v>
      </c>
      <c r="E11" s="136"/>
      <c r="F11" s="84">
        <v>19562777</v>
      </c>
      <c r="G11" s="110">
        <v>25538.8733681462</v>
      </c>
      <c r="H11" s="137"/>
      <c r="I11" s="137">
        <v>14053857</v>
      </c>
      <c r="J11" s="110">
        <v>18713.524633821598</v>
      </c>
      <c r="K11" s="138"/>
      <c r="L11" s="138">
        <v>5238320</v>
      </c>
      <c r="M11" s="110">
        <v>12561.9184652278</v>
      </c>
      <c r="N11" s="138"/>
      <c r="O11" s="138">
        <v>270600</v>
      </c>
      <c r="P11" s="110">
        <v>24600</v>
      </c>
    </row>
    <row r="12" spans="1:19" s="87" customFormat="1" ht="6" customHeight="1" x14ac:dyDescent="0.2">
      <c r="A12" s="22"/>
      <c r="B12" s="43"/>
      <c r="C12" s="8"/>
      <c r="D12" s="136"/>
      <c r="E12" s="136"/>
      <c r="F12" s="86"/>
      <c r="G12" s="111"/>
      <c r="H12" s="139"/>
      <c r="I12" s="139"/>
      <c r="J12" s="111"/>
      <c r="K12" s="140"/>
      <c r="L12" s="140"/>
      <c r="M12" s="111"/>
      <c r="N12" s="140"/>
      <c r="O12" s="140"/>
      <c r="P12" s="111"/>
    </row>
    <row r="13" spans="1:19" s="87" customFormat="1" ht="11.25" x14ac:dyDescent="0.2">
      <c r="A13" s="22"/>
      <c r="B13" s="24" t="s">
        <v>49</v>
      </c>
      <c r="C13" s="44"/>
      <c r="D13" s="140">
        <v>131</v>
      </c>
      <c r="E13" s="140"/>
      <c r="F13" s="141">
        <v>7050690</v>
      </c>
      <c r="G13" s="142">
        <v>53822.0610687023</v>
      </c>
      <c r="H13" s="139"/>
      <c r="I13" s="139">
        <v>4848890</v>
      </c>
      <c r="J13" s="142">
        <v>37299.1538461538</v>
      </c>
      <c r="K13" s="140"/>
      <c r="L13" s="140">
        <v>2189100</v>
      </c>
      <c r="M13" s="142">
        <v>23794.5652173913</v>
      </c>
      <c r="N13" s="140"/>
      <c r="O13" s="140">
        <v>12700</v>
      </c>
      <c r="P13" s="142">
        <v>2540</v>
      </c>
    </row>
    <row r="14" spans="1:19" s="87" customFormat="1" ht="11.25" x14ac:dyDescent="0.2">
      <c r="A14" s="22"/>
      <c r="B14" s="24" t="s">
        <v>50</v>
      </c>
      <c r="C14" s="44"/>
      <c r="D14" s="140">
        <v>48</v>
      </c>
      <c r="E14" s="140"/>
      <c r="F14" s="141">
        <v>3100900</v>
      </c>
      <c r="G14" s="142">
        <v>64602.083333333299</v>
      </c>
      <c r="H14" s="139"/>
      <c r="I14" s="139">
        <v>2028500</v>
      </c>
      <c r="J14" s="142">
        <v>45077.777777777803</v>
      </c>
      <c r="K14" s="140"/>
      <c r="L14" s="140">
        <v>833500</v>
      </c>
      <c r="M14" s="142">
        <v>26046.875</v>
      </c>
      <c r="N14" s="140"/>
      <c r="O14" s="140">
        <v>238900</v>
      </c>
      <c r="P14" s="142">
        <v>47780</v>
      </c>
    </row>
    <row r="15" spans="1:19" s="87" customFormat="1" ht="11.25" x14ac:dyDescent="0.2">
      <c r="A15" s="22"/>
      <c r="B15" s="24" t="s">
        <v>51</v>
      </c>
      <c r="C15" s="44"/>
      <c r="D15" s="140">
        <v>58</v>
      </c>
      <c r="E15" s="140"/>
      <c r="F15" s="88">
        <v>1902800</v>
      </c>
      <c r="G15" s="112">
        <v>32806.896551724101</v>
      </c>
      <c r="H15" s="139"/>
      <c r="I15" s="139">
        <v>1402500</v>
      </c>
      <c r="J15" s="112">
        <v>25044.642857142899</v>
      </c>
      <c r="K15" s="140"/>
      <c r="L15" s="140">
        <v>481300</v>
      </c>
      <c r="M15" s="112">
        <v>11739.0243902439</v>
      </c>
      <c r="N15" s="140"/>
      <c r="O15" s="140">
        <v>19000</v>
      </c>
      <c r="P15" s="112">
        <v>9500</v>
      </c>
    </row>
    <row r="16" spans="1:19" s="87" customFormat="1" ht="11.25" x14ac:dyDescent="0.2">
      <c r="A16" s="22"/>
      <c r="B16" s="24" t="s">
        <v>190</v>
      </c>
      <c r="C16" s="44"/>
      <c r="D16" s="140">
        <v>489</v>
      </c>
      <c r="E16" s="140"/>
      <c r="F16" s="88">
        <v>4222077</v>
      </c>
      <c r="G16" s="112">
        <v>8634.1042944785295</v>
      </c>
      <c r="H16" s="139"/>
      <c r="I16" s="139">
        <v>3123307</v>
      </c>
      <c r="J16" s="112">
        <v>6506.8895833333299</v>
      </c>
      <c r="K16" s="140"/>
      <c r="L16" s="140">
        <v>1098770</v>
      </c>
      <c r="M16" s="112">
        <v>4675.6170212766001</v>
      </c>
      <c r="N16" s="140"/>
      <c r="O16" s="160" t="s">
        <v>201</v>
      </c>
      <c r="P16" s="161" t="s">
        <v>201</v>
      </c>
    </row>
    <row r="17" spans="1:16" s="87" customFormat="1" ht="11.25" x14ac:dyDescent="0.2">
      <c r="A17" s="22"/>
      <c r="B17" s="24" t="s">
        <v>191</v>
      </c>
      <c r="C17" s="44"/>
      <c r="D17" s="140">
        <v>113</v>
      </c>
      <c r="E17" s="140"/>
      <c r="F17" s="88">
        <v>3286310</v>
      </c>
      <c r="G17" s="112">
        <v>29082.389380531</v>
      </c>
      <c r="H17" s="139"/>
      <c r="I17" s="139">
        <v>2650660</v>
      </c>
      <c r="J17" s="112">
        <v>23666.607142857101</v>
      </c>
      <c r="K17" s="140"/>
      <c r="L17" s="140">
        <v>635650</v>
      </c>
      <c r="M17" s="112">
        <v>10420.491803278701</v>
      </c>
      <c r="N17" s="140"/>
      <c r="O17" s="160" t="s">
        <v>201</v>
      </c>
      <c r="P17" s="161" t="s">
        <v>201</v>
      </c>
    </row>
    <row r="18" spans="1:16" ht="6" customHeight="1" x14ac:dyDescent="0.2">
      <c r="B18" s="11"/>
      <c r="C18" s="45"/>
      <c r="D18" s="143"/>
      <c r="E18" s="143"/>
      <c r="F18" s="12"/>
      <c r="G18" s="12"/>
      <c r="H18" s="74"/>
      <c r="I18" s="74"/>
      <c r="J18" s="74"/>
      <c r="K18" s="74"/>
      <c r="L18" s="74"/>
      <c r="M18" s="74"/>
      <c r="N18" s="74"/>
      <c r="O18" s="74"/>
      <c r="P18" s="74"/>
    </row>
    <row r="19" spans="1:16" ht="6" customHeight="1" x14ac:dyDescent="0.2">
      <c r="B19" s="23"/>
      <c r="C19" s="4"/>
      <c r="D19" s="4"/>
      <c r="E19" s="4"/>
      <c r="F19" s="4"/>
      <c r="G19" s="4"/>
      <c r="H19" s="44"/>
      <c r="I19" s="44"/>
      <c r="J19" s="39"/>
      <c r="K19" s="39"/>
      <c r="L19" s="39"/>
      <c r="M19" s="39"/>
      <c r="N19" s="39"/>
      <c r="O19" s="39"/>
      <c r="P19" s="39"/>
    </row>
    <row r="20" spans="1:16" ht="12.75" customHeight="1" x14ac:dyDescent="0.2">
      <c r="B20" s="23" t="s">
        <v>195</v>
      </c>
      <c r="C20" s="4"/>
      <c r="D20" s="4"/>
      <c r="E20" s="4"/>
      <c r="F20" s="4"/>
      <c r="G20" s="4"/>
      <c r="H20" s="44"/>
      <c r="I20" s="44"/>
      <c r="J20" s="39"/>
      <c r="K20" s="39"/>
      <c r="L20" s="39"/>
      <c r="M20" s="39"/>
      <c r="N20" s="39"/>
      <c r="O20" s="39"/>
      <c r="P20" s="39"/>
    </row>
    <row r="21" spans="1:16" x14ac:dyDescent="0.2">
      <c r="B21" s="23" t="s">
        <v>193</v>
      </c>
      <c r="C21" s="4"/>
      <c r="D21" s="4"/>
      <c r="E21" s="4"/>
      <c r="F21" s="4"/>
      <c r="G21" s="4"/>
      <c r="H21" s="44"/>
      <c r="I21" s="44"/>
      <c r="J21" s="39"/>
      <c r="K21" s="39"/>
      <c r="L21" s="39"/>
      <c r="M21" s="39"/>
      <c r="N21" s="39"/>
      <c r="O21" s="39"/>
      <c r="P21" s="39"/>
    </row>
    <row r="22" spans="1:16" x14ac:dyDescent="0.2">
      <c r="B22" s="23" t="s">
        <v>141</v>
      </c>
      <c r="C22" s="4"/>
      <c r="D22" s="4"/>
      <c r="E22" s="4"/>
      <c r="F22" s="4"/>
      <c r="G22" s="4"/>
      <c r="H22" s="44"/>
      <c r="I22" s="44"/>
      <c r="J22" s="39"/>
      <c r="K22" s="39"/>
      <c r="L22" s="39"/>
      <c r="M22" s="39"/>
      <c r="N22" s="39"/>
      <c r="O22" s="39"/>
      <c r="P22" s="39"/>
    </row>
    <row r="23" spans="1:16" s="13" customFormat="1" ht="14.25" x14ac:dyDescent="0.2">
      <c r="B23" s="163" t="s">
        <v>181</v>
      </c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</row>
  </sheetData>
  <mergeCells count="8">
    <mergeCell ref="B5:N5"/>
    <mergeCell ref="B7:B9"/>
    <mergeCell ref="D7:D9"/>
    <mergeCell ref="F7:G8"/>
    <mergeCell ref="J7:O7"/>
    <mergeCell ref="I8:J8"/>
    <mergeCell ref="L8:M8"/>
    <mergeCell ref="O8:P8"/>
  </mergeCells>
  <hyperlinks>
    <hyperlink ref="P1" location="Índice!A1" tooltip="Ir a ÍNDICE" display="INDICE" xr:uid="{83E4C4A3-E144-455D-ABF1-D2442F8AAB2F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6752EE-580E-4709-953B-8888C83818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04E1E3-D17F-4181-AB23-0580709AA5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6C7400-BE4E-4BDA-9D0A-214196E368C1}">
  <ds:schemaRefs>
    <ds:schemaRef ds:uri="http://purl.org/dc/elements/1.1/"/>
    <ds:schemaRef ds:uri="http://www.w3.org/XML/1998/namespace"/>
    <ds:schemaRef ds:uri="http://schemas.microsoft.com/office/infopath/2007/PartnerControls"/>
    <ds:schemaRef ds:uri="e829ce69-67eb-47dd-9407-4f8adfa19fc2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Índice</vt:lpstr>
      <vt:lpstr>Cuadro 4.1</vt:lpstr>
      <vt:lpstr>Cuadro 4.2</vt:lpstr>
      <vt:lpstr>Cuadro 4.3</vt:lpstr>
      <vt:lpstr>Cuadro 4.4</vt:lpstr>
      <vt:lpstr>Cuadro 4.5</vt:lpstr>
      <vt:lpstr>Cuadro 4.6</vt:lpstr>
      <vt:lpstr>Cuadro 4.7</vt:lpstr>
      <vt:lpstr>Cuadro 4.8</vt:lpstr>
      <vt:lpstr>Cuadro 4.9</vt:lpstr>
      <vt:lpstr>Cuadro 4.10</vt:lpstr>
      <vt:lpstr>Cuadro 4.11</vt:lpstr>
      <vt:lpstr>Cuadro 4.12</vt:lpstr>
      <vt:lpstr>Cuadro 4.13</vt:lpstr>
      <vt:lpstr>Cuadro 4.14</vt:lpstr>
      <vt:lpstr>Cuadro 4.15</vt:lpstr>
      <vt:lpstr>Cuadro 4.16</vt:lpstr>
      <vt:lpstr>Cuadro 4.17</vt:lpstr>
      <vt:lpstr>Cuadro 4.18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/>
  <dc:description>2021</dc:description>
  <cp:lastModifiedBy>INEGI</cp:lastModifiedBy>
  <cp:revision/>
  <dcterms:created xsi:type="dcterms:W3CDTF">2020-10-22T17:47:01Z</dcterms:created>
  <dcterms:modified xsi:type="dcterms:W3CDTF">2021-08-19T16:03:27Z</dcterms:modified>
  <cp:category>ENVI2020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