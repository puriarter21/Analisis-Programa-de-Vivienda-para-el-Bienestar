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61AC4642-7DDB-43BB-B9DF-344C0507765A}" xr6:coauthVersionLast="47" xr6:coauthVersionMax="47" xr10:uidLastSave="{00000000-0000-0000-0000-000000000000}"/>
  <bookViews>
    <workbookView xWindow="20370" yWindow="-120" windowWidth="29040" windowHeight="15840" tabRatio="968" xr2:uid="{00000000-000D-0000-FFFF-FFFF00000000}"/>
  </bookViews>
  <sheets>
    <sheet name="Índice" sheetId="92" r:id="rId1"/>
    <sheet name="Cuadro 1.1" sheetId="105" r:id="rId2"/>
    <sheet name="Cuadro 1.2" sheetId="93" r:id="rId3"/>
    <sheet name="Cuadro 1.3" sheetId="94" r:id="rId4"/>
    <sheet name="Cuadro 1.4" sheetId="95" r:id="rId5"/>
    <sheet name="Cuadro 1.5" sheetId="96" r:id="rId6"/>
    <sheet name="Cuadro 1.6" sheetId="97" r:id="rId7"/>
    <sheet name="Cuadro 1.7" sheetId="98" r:id="rId8"/>
    <sheet name="Cuadro 1.8" sheetId="100" r:id="rId9"/>
    <sheet name="Cuadro 1.9" sheetId="106" r:id="rId10"/>
    <sheet name="Cuadro 1.10" sheetId="101" r:id="rId11"/>
    <sheet name="Cuadro 1.11" sheetId="102" r:id="rId12"/>
    <sheet name="Cuadro 1.12" sheetId="103" r:id="rId13"/>
  </sheets>
  <externalReferences>
    <externalReference r:id="rId14"/>
  </externalReferences>
  <definedNames>
    <definedName name="\p">#N/A</definedName>
    <definedName name="\s">#N/A</definedName>
    <definedName name="_xlnm._FilterDatabase" localSheetId="11" hidden="1">'Cuadro 1.11'!$D$11:$P$44</definedName>
    <definedName name="_xlnm._FilterDatabase" localSheetId="3" hidden="1">'Cuadro 1.3'!$D$11:$M$44</definedName>
    <definedName name="_xlnm._FilterDatabase" localSheetId="4" hidden="1">'Cuadro 1.4'!$D$11:$P$45</definedName>
    <definedName name="_xlnm._FilterDatabase" localSheetId="7" hidden="1">'Cuadro 1.7'!$D$11:$P$17</definedName>
    <definedName name="_xlnm._FilterDatabase" localSheetId="8" hidden="1">'Cuadro 1.8'!$D$11:$P$45</definedName>
    <definedName name="A_impresión_IM" localSheetId="1">#REF!</definedName>
    <definedName name="A_impresión_IM" localSheetId="11">#REF!</definedName>
    <definedName name="A_impresión_IM" localSheetId="12">#REF!</definedName>
    <definedName name="A_impresión_IM" localSheetId="7">#REF!</definedName>
    <definedName name="A_impresión_IM" localSheetId="8">#REF!</definedName>
    <definedName name="A_impresión_IM" localSheetId="0">#REF!</definedName>
    <definedName name="A_impresión_IM">#REF!</definedName>
    <definedName name="_xlnm.Print_Area" localSheetId="1">'Cuadro 1.1'!$B$1:$F$17</definedName>
    <definedName name="_xlnm.Print_Area" localSheetId="10">'Cuadro 1.10'!$B$1:$J$46</definedName>
    <definedName name="_xlnm.Print_Area" localSheetId="11">'Cuadro 1.11'!$B$1:$W$49</definedName>
    <definedName name="_xlnm.Print_Area" localSheetId="12">'Cuadro 1.12'!$B$1:$V$21</definedName>
    <definedName name="_xlnm.Print_Area" localSheetId="2">'Cuadro 1.2'!$B$1:$E$31</definedName>
    <definedName name="_xlnm.Print_Area" localSheetId="4">'Cuadro 1.4'!$B$1:$V$46</definedName>
    <definedName name="_xlnm.Print_Area" localSheetId="5">'Cuadro 1.5'!$B$1:$V$18</definedName>
    <definedName name="_xlnm.Print_Area" localSheetId="6">'Cuadro 1.6'!$B$1:$AB$46</definedName>
    <definedName name="_xlnm.Print_Area" localSheetId="7">'Cuadro 1.7'!$B$1:$AB$18</definedName>
    <definedName name="_xlnm.Print_Area" localSheetId="8">'Cuadro 1.8'!$B$1:$V$46</definedName>
    <definedName name="_xlnm.Print_Area" localSheetId="9">'Cuadro 1.9'!$B$1:$V$18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1">#REF!</definedName>
    <definedName name="paso" localSheetId="12">#REF!</definedName>
    <definedName name="paso" localSheetId="7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1">#REF!</definedName>
    <definedName name="prueba" localSheetId="12">#REF!</definedName>
    <definedName name="prueba" localSheetId="7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2" l="1"/>
</calcChain>
</file>

<file path=xl/sharedStrings.xml><?xml version="1.0" encoding="utf-8"?>
<sst xmlns="http://schemas.openxmlformats.org/spreadsheetml/2006/main" count="580" uniqueCount="145">
  <si>
    <t>Viviendas particulares habitadas por tamaño de localidad según número de hogares</t>
  </si>
  <si>
    <t>Tamaño de localidad</t>
  </si>
  <si>
    <t>Total de viviendas  particulares habitadas</t>
  </si>
  <si>
    <t xml:space="preserve">Solo con un hogar </t>
  </si>
  <si>
    <t>Dos o más hogares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</si>
  <si>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</si>
  <si>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</si>
  <si>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</si>
  <si>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</si>
  <si>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</si>
  <si>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por condición de tenencia de aislamiento térmico y acústico y su ubicación</t>
  </si>
  <si>
    <t>Condición de tenencia de aislamiento térmico y acústico y ubicación</t>
  </si>
  <si>
    <t>Viviendas particulares habitadas</t>
  </si>
  <si>
    <t>Absolutos</t>
  </si>
  <si>
    <t>Relativos</t>
  </si>
  <si>
    <t>Estados Unidos Mexicanos</t>
  </si>
  <si>
    <t>Techos</t>
  </si>
  <si>
    <t>Paredes</t>
  </si>
  <si>
    <t>Ventanas</t>
  </si>
  <si>
    <t>No especificado</t>
  </si>
  <si>
    <t>Puertas</t>
  </si>
  <si>
    <t xml:space="preserve">Viviendas particulares habitadas por entidad federativa, según condición de tenencia de servicios básicos </t>
  </si>
  <si>
    <t>Entidad federativa</t>
  </si>
  <si>
    <t xml:space="preserve">Total de viviendas  particulares habitadas
</t>
  </si>
  <si>
    <t>Sanitario</t>
  </si>
  <si>
    <t>Electricidad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</si>
  <si>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</si>
  <si>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</si>
  <si>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</si>
  <si>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</si>
  <si>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</si>
  <si>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</si>
  <si>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</si>
  <si>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</si>
  <si>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</si>
  <si>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</si>
  <si>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</si>
  <si>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</si>
  <si>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</si>
  <si>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</si>
  <si>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</si>
  <si>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</si>
  <si>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</si>
  <si>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</si>
  <si>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</si>
  <si>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</si>
  <si>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</si>
  <si>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</si>
  <si>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</si>
  <si>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</si>
  <si>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</si>
  <si>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</si>
  <si>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</si>
  <si>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</si>
  <si>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</si>
  <si>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</si>
  <si>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</si>
  <si>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</si>
  <si>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entidad federativa, según antigüedad de la vivienda</t>
  </si>
  <si>
    <t>Antigüedad de la vivienda</t>
  </si>
  <si>
    <t>5 años o menos</t>
  </si>
  <si>
    <t>De 6 a 10 años</t>
  </si>
  <si>
    <t>31 o más años</t>
  </si>
  <si>
    <t>Viviendas particulares habitadas por tamaño de localidad, según antigüedad de la vivienda</t>
  </si>
  <si>
    <t>Viviendas particulares habitadas por entidad federativa, según superficie de terreno</t>
  </si>
  <si>
    <r>
      <t>Superficie de terreno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</si>
  <si>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Hasta 60 m</t>
    </r>
    <r>
      <rPr>
        <b/>
        <vertAlign val="superscript"/>
        <sz val="8"/>
        <color theme="1"/>
        <rFont val="Arial"/>
        <family val="2"/>
      </rPr>
      <t>2</t>
    </r>
  </si>
  <si>
    <r>
      <t>De 61 a 90 m</t>
    </r>
    <r>
      <rPr>
        <b/>
        <vertAlign val="superscript"/>
        <sz val="8"/>
        <color theme="1"/>
        <rFont val="Arial"/>
        <family val="2"/>
      </rPr>
      <t>2</t>
    </r>
  </si>
  <si>
    <r>
      <t>De 91 a 120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</si>
  <si>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superficie de terreno</t>
  </si>
  <si>
    <t>Viviendas particulares habitadas por entidad federativa, según metros de construcción</t>
  </si>
  <si>
    <r>
      <t>Metros de construcción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</si>
  <si>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</si>
  <si>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</si>
  <si>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metros de construcción</t>
  </si>
  <si>
    <t>Viviendas particulares habitadas por entidad federativa, según disponibilidad de local comercial o espacio adaptado para negocio</t>
  </si>
  <si>
    <t>100 000  o más habitantes</t>
  </si>
  <si>
    <t>De 11 a 20 años</t>
  </si>
  <si>
    <t>De 21 a 30 años</t>
  </si>
  <si>
    <t>100 000 y más habitantes</t>
  </si>
  <si>
    <r>
      <t>De 121 a 160 m</t>
    </r>
    <r>
      <rPr>
        <b/>
        <vertAlign val="superscript"/>
        <sz val="8"/>
        <color theme="1"/>
        <rFont val="Arial"/>
        <family val="2"/>
      </rPr>
      <t>2</t>
    </r>
  </si>
  <si>
    <r>
      <t>De 161 a 200 m</t>
    </r>
    <r>
      <rPr>
        <b/>
        <vertAlign val="superscript"/>
        <sz val="8"/>
        <color theme="1"/>
        <rFont val="Arial"/>
        <family val="2"/>
      </rPr>
      <t>2</t>
    </r>
  </si>
  <si>
    <r>
      <t>De 201 a 300 m</t>
    </r>
    <r>
      <rPr>
        <b/>
        <vertAlign val="superscript"/>
        <sz val="8"/>
        <color theme="1"/>
        <rFont val="Arial"/>
        <family val="2"/>
      </rPr>
      <t>2</t>
    </r>
  </si>
  <si>
    <r>
      <t>Más de 300 m</t>
    </r>
    <r>
      <rPr>
        <b/>
        <vertAlign val="superscript"/>
        <sz val="8"/>
        <color theme="1"/>
        <rFont val="Arial"/>
        <family val="2"/>
      </rPr>
      <t>2</t>
    </r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</si>
  <si>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</si>
  <si>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</si>
  <si>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</si>
  <si>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t>Cuadro 1.1</t>
  </si>
  <si>
    <t>Cuadro 1.2</t>
  </si>
  <si>
    <t>Cuadro 1.3</t>
  </si>
  <si>
    <t>Cuadro 1.4</t>
  </si>
  <si>
    <t>Cuadro 1.5</t>
  </si>
  <si>
    <t>Cuadro 1.6</t>
  </si>
  <si>
    <t>Cuadro 1.7</t>
  </si>
  <si>
    <t>Cuadro 1.8</t>
  </si>
  <si>
    <t>Cuadro 1.9</t>
  </si>
  <si>
    <t>Cuadro 1.10</t>
  </si>
  <si>
    <t>Sin servicios básicos</t>
  </si>
  <si>
    <r>
      <t>No tienen aislamiento térmico</t>
    </r>
    <r>
      <rPr>
        <b/>
        <vertAlign val="superscript"/>
        <sz val="8"/>
        <rFont val="Arial"/>
        <family val="2"/>
      </rPr>
      <t>2</t>
    </r>
  </si>
  <si>
    <r>
      <t>No tienen aislamiento acústico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</si>
  <si>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particulares habitadas que declararon no saber si tienen aislamiento térmico.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</si>
  <si>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 las viviendas particulares habitadas que declararon no saber si tienen aislamiento acústico.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</si>
  <si>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Una vivienda puede tener aislamiento térmico en más de una ubicación (techos, paredes o ventanas).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</si>
  <si>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Una vivienda puede tener aislamiento acústico en más de una ubicación (techos, paredes, ventanas o puertas).</t>
    </r>
  </si>
  <si>
    <r>
      <t>Sí tienen aislamiento térmico</t>
    </r>
    <r>
      <rPr>
        <b/>
        <vertAlign val="superscript"/>
        <sz val="8"/>
        <rFont val="Arial"/>
        <family val="2"/>
      </rPr>
      <t>1</t>
    </r>
  </si>
  <si>
    <r>
      <t>Sí tienen aislamiento acústico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</si>
  <si>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problema estructural.</t>
    </r>
  </si>
  <si>
    <t>En las tuberías de agua o drenaje dentro de la vivienda</t>
  </si>
  <si>
    <t>Fracturas, pandeos o deformación de columnas, vigas o trabes</t>
  </si>
  <si>
    <t>Pandeos o deformaciones en los marcos de las puertas o ventanas</t>
  </si>
  <si>
    <t>Grietas o cuarteaduras en techos o muros</t>
  </si>
  <si>
    <t xml:space="preserve">Viviendas particulares habitadas por entidad federativa, según problemas estructurales </t>
  </si>
  <si>
    <t xml:space="preserve">Viviendas particulares habitadas por tamaño de localidad, según problemas estructurales </t>
  </si>
  <si>
    <t>Cuadro 1.11</t>
  </si>
  <si>
    <t>Cuadro 1.12</t>
  </si>
  <si>
    <t>Levantamientos o hundimientos del piso</t>
  </si>
  <si>
    <t>Humedad o filtraciones de agua en cimientos, muros o techos</t>
  </si>
  <si>
    <t>Viviendas que no tienen local comercial o espacio adaptado para negocio</t>
  </si>
  <si>
    <t>ÍNDICE</t>
  </si>
  <si>
    <t>TABULADOS BÁSICOS</t>
  </si>
  <si>
    <t>Nivel de confianza del 90%</t>
  </si>
  <si>
    <t>Tema</t>
  </si>
  <si>
    <t>ID Cuadro</t>
  </si>
  <si>
    <t>Título</t>
  </si>
  <si>
    <t>Encuesta Nacional de Vivienda (ENVI) 2020</t>
  </si>
  <si>
    <r>
      <t xml:space="preserve">Tema 1. </t>
    </r>
    <r>
      <rPr>
        <sz val="11"/>
        <color theme="10"/>
        <rFont val="Arial"/>
        <family val="2"/>
      </rPr>
      <t>Características generales de la vivienda</t>
    </r>
  </si>
  <si>
    <t>Viviendas particulares habitadas por entidad federativa, según disponibilidad de local comercial o espacio adaptado 
para negocio</t>
  </si>
  <si>
    <t>Viviendas que tienen local comercial y espacio para negocio</t>
  </si>
  <si>
    <r>
      <t>Condición de tenencia de servicios básicos</t>
    </r>
    <r>
      <rPr>
        <b/>
        <vertAlign val="superscript"/>
        <sz val="8"/>
        <rFont val="Arial"/>
        <family val="2"/>
      </rPr>
      <t>1</t>
    </r>
  </si>
  <si>
    <r>
      <t>Agua entubada</t>
    </r>
    <r>
      <rPr>
        <b/>
        <vertAlign val="superscript"/>
        <sz val="8"/>
        <rFont val="Arial"/>
        <family val="2"/>
      </rPr>
      <t>2</t>
    </r>
  </si>
  <si>
    <r>
      <t>Drenaje</t>
    </r>
    <r>
      <rPr>
        <b/>
        <vertAlign val="superscript"/>
        <sz val="8"/>
        <rFont val="Arial"/>
        <family val="2"/>
      </rPr>
      <t>3,4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</si>
  <si>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pudo reportar la tenencia de más de un servicio básico.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</si>
  <si>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agua dentro de la vivienda y solo en el patio o terreno.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</si>
  <si>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drenaje o desagüe conectado a la red pública, una fosa séptica o biodigestor, una tubería que va a dar a una barranca o grieta, y una tubería que va a dar a un río, lago o mar.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</si>
  <si>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</si>
  <si>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t>Solo local comercial</t>
  </si>
  <si>
    <t>Solo espacio adaptado para negocio (tiendita, taller) oficina o consultorio</t>
  </si>
  <si>
    <r>
      <t>Problemas estructurales en la vivienda</t>
    </r>
    <r>
      <rPr>
        <b/>
        <vertAlign val="superscript"/>
        <sz val="8"/>
        <rFont val="Arial"/>
        <family val="2"/>
      </rPr>
      <t>1,2</t>
    </r>
  </si>
  <si>
    <r>
      <t>Viviendas sin problemas estructurales</t>
    </r>
    <r>
      <rPr>
        <b/>
        <vertAlign val="superscript"/>
        <sz val="8"/>
        <rFont val="Arial"/>
        <family val="2"/>
      </rPr>
      <t>2,3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</si>
  <si>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excluyen las viviendas que tuvieron problemas con el sistema eléctrico (muros, techos, etcétera).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</si>
  <si>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viviendas particulares habitadas que declararon no saber si tienen problemas estructurales.</t>
    </r>
  </si>
  <si>
    <t>Agosto 2021</t>
  </si>
  <si>
    <t>Error estándar.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</si>
  <si>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Se excluyen 101643 casos donde no hay congruencia entre la descarga de agua y el drenaje.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</si>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</sst>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\ ###\ ##0"/>
    <numFmt numFmtId="166" formatCode="###\ ###\ ##0"/>
    <numFmt numFmtId="167" formatCode="0.0"/>
    <numFmt numFmtId="168" formatCode="###\ ###\ ###\ ##0"/>
    <numFmt numFmtId="169" formatCode="###\ ###\ ###"/>
    <numFmt numFmtId="170" formatCode="###\ ###\ ##0.0"/>
    <numFmt numFmtId="171" formatCode="###\ ###\ ###\ ##0.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8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b/>
      <vertAlign val="superscript"/>
      <sz val="8"/>
      <name val="Arial"/>
      <family val="2"/>
    </font>
    <font>
      <sz val="8"/>
      <color rgb="FF000000"/>
      <name val="Calibri"/>
      <family val="2"/>
    </font>
    <font>
      <vertAlign val="superscript"/>
      <sz val="8"/>
      <name val="Arial"/>
      <family val="2"/>
    </font>
    <font>
      <sz val="9"/>
      <color indexed="8"/>
      <name val="Arial"/>
      <family val="2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sz val="10"/>
      <color theme="1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</font>
    <font>
      <u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79">
    <xf numFmtId="0" fontId="0" fillId="0" borderId="0"/>
    <xf numFmtId="0" fontId="29" fillId="0" borderId="0"/>
    <xf numFmtId="164" fontId="29" fillId="0" borderId="0" applyFont="0" applyFill="0" applyBorder="0" applyAlignment="0" applyProtection="0"/>
    <xf numFmtId="0" fontId="29" fillId="0" borderId="0"/>
    <xf numFmtId="0" fontId="26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25" fillId="3" borderId="4" applyNumberFormat="0" applyFont="0" applyAlignment="0" applyProtection="0"/>
    <xf numFmtId="0" fontId="25" fillId="0" borderId="0"/>
    <xf numFmtId="164" fontId="25" fillId="0" borderId="0" applyFont="0" applyFill="0" applyBorder="0" applyAlignment="0" applyProtection="0"/>
    <xf numFmtId="0" fontId="24" fillId="0" borderId="0"/>
    <xf numFmtId="0" fontId="40" fillId="0" borderId="0" applyNumberFormat="0" applyFill="0" applyBorder="0" applyAlignment="0" applyProtection="0"/>
    <xf numFmtId="0" fontId="29" fillId="0" borderId="0"/>
    <xf numFmtId="0" fontId="23" fillId="0" borderId="0"/>
    <xf numFmtId="0" fontId="22" fillId="0" borderId="0"/>
    <xf numFmtId="0" fontId="41" fillId="0" borderId="0"/>
    <xf numFmtId="164" fontId="4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19">
    <xf numFmtId="0" fontId="0" fillId="0" borderId="0" xfId="0"/>
    <xf numFmtId="0" fontId="29" fillId="0" borderId="0" xfId="15"/>
    <xf numFmtId="0" fontId="0" fillId="2" borderId="0" xfId="0" applyFill="1" applyBorder="1"/>
    <xf numFmtId="0" fontId="0" fillId="2" borderId="0" xfId="0" applyFill="1"/>
    <xf numFmtId="165" fontId="28" fillId="2" borderId="1" xfId="9" applyNumberFormat="1" applyFont="1" applyFill="1" applyBorder="1" applyAlignment="1" applyProtection="1">
      <alignment horizontal="right"/>
    </xf>
    <xf numFmtId="0" fontId="42" fillId="0" borderId="0" xfId="18" applyFont="1"/>
    <xf numFmtId="0" fontId="28" fillId="0" borderId="0" xfId="18" applyFont="1" applyBorder="1" applyAlignment="1">
      <alignment horizontal="right" vertical="top"/>
    </xf>
    <xf numFmtId="0" fontId="43" fillId="0" borderId="0" xfId="18" applyFont="1" applyBorder="1" applyAlignment="1">
      <alignment vertical="top"/>
    </xf>
    <xf numFmtId="0" fontId="43" fillId="0" borderId="0" xfId="18" applyFont="1" applyBorder="1" applyAlignment="1">
      <alignment vertical="top" wrapText="1"/>
    </xf>
    <xf numFmtId="0" fontId="42" fillId="0" borderId="0" xfId="18" applyFont="1" applyBorder="1"/>
    <xf numFmtId="0" fontId="44" fillId="0" borderId="5" xfId="18" applyFont="1" applyBorder="1" applyAlignment="1" applyProtection="1">
      <alignment vertical="center" wrapText="1" readingOrder="1"/>
      <protection locked="0"/>
    </xf>
    <xf numFmtId="0" fontId="45" fillId="0" borderId="0" xfId="18" applyFont="1" applyAlignment="1">
      <alignment vertical="center" readingOrder="1"/>
    </xf>
    <xf numFmtId="0" fontId="45" fillId="0" borderId="0" xfId="18" applyFont="1"/>
    <xf numFmtId="0" fontId="28" fillId="6" borderId="0" xfId="0" applyFont="1" applyFill="1" applyAlignment="1">
      <alignment horizontal="left" indent="1"/>
    </xf>
    <xf numFmtId="0" fontId="28" fillId="6" borderId="6" xfId="0" applyFont="1" applyFill="1" applyBorder="1" applyAlignment="1">
      <alignment horizontal="left" indent="1"/>
    </xf>
    <xf numFmtId="0" fontId="45" fillId="4" borderId="0" xfId="18" applyFont="1" applyFill="1" applyBorder="1" applyAlignment="1"/>
    <xf numFmtId="0" fontId="45" fillId="4" borderId="0" xfId="18" applyFont="1" applyFill="1" applyBorder="1" applyAlignment="1">
      <alignment horizontal="right"/>
    </xf>
    <xf numFmtId="0" fontId="45" fillId="4" borderId="0" xfId="18" applyFont="1" applyFill="1" applyBorder="1"/>
    <xf numFmtId="0" fontId="42" fillId="4" borderId="0" xfId="18" applyFont="1" applyFill="1" applyBorder="1"/>
    <xf numFmtId="0" fontId="45" fillId="4" borderId="1" xfId="18" applyFont="1" applyFill="1" applyBorder="1" applyAlignment="1">
      <alignment horizontal="right"/>
    </xf>
    <xf numFmtId="0" fontId="45" fillId="4" borderId="0" xfId="18" applyFont="1" applyFill="1"/>
    <xf numFmtId="0" fontId="42" fillId="4" borderId="0" xfId="18" applyFont="1" applyFill="1"/>
    <xf numFmtId="0" fontId="28" fillId="2" borderId="0" xfId="18" applyFont="1" applyFill="1" applyBorder="1" applyAlignment="1">
      <alignment horizontal="left" indent="1" readingOrder="1"/>
    </xf>
    <xf numFmtId="0" fontId="28" fillId="0" borderId="0" xfId="18" applyFont="1" applyFill="1" applyBorder="1" applyAlignment="1">
      <alignment horizontal="left" indent="1" readingOrder="1"/>
    </xf>
    <xf numFmtId="0" fontId="46" fillId="6" borderId="0" xfId="0" applyFont="1" applyFill="1" applyAlignment="1">
      <alignment horizontal="left" vertical="top"/>
    </xf>
    <xf numFmtId="0" fontId="50" fillId="6" borderId="0" xfId="0" applyFont="1" applyFill="1" applyAlignment="1">
      <alignment vertical="top"/>
    </xf>
    <xf numFmtId="0" fontId="42" fillId="4" borderId="6" xfId="18" applyFont="1" applyFill="1" applyBorder="1"/>
    <xf numFmtId="0" fontId="32" fillId="2" borderId="0" xfId="0" applyFont="1" applyFill="1"/>
    <xf numFmtId="0" fontId="28" fillId="2" borderId="0" xfId="0" applyFont="1" applyFill="1" applyAlignment="1">
      <alignment horizontal="left" vertical="center" wrapText="1" indent="1"/>
    </xf>
    <xf numFmtId="0" fontId="32" fillId="2" borderId="0" xfId="0" applyFont="1" applyFill="1" applyBorder="1" applyAlignment="1">
      <alignment horizontal="left" vertical="center" wrapText="1"/>
    </xf>
    <xf numFmtId="168" fontId="28" fillId="2" borderId="0" xfId="0" applyNumberFormat="1" applyFont="1" applyFill="1" applyBorder="1"/>
    <xf numFmtId="167" fontId="28" fillId="2" borderId="0" xfId="0" applyNumberFormat="1" applyFont="1" applyFill="1" applyBorder="1"/>
    <xf numFmtId="0" fontId="0" fillId="0" borderId="1" xfId="0" applyBorder="1"/>
    <xf numFmtId="168" fontId="28" fillId="2" borderId="1" xfId="0" applyNumberFormat="1" applyFont="1" applyFill="1" applyBorder="1"/>
    <xf numFmtId="167" fontId="28" fillId="2" borderId="1" xfId="0" applyNumberFormat="1" applyFont="1" applyFill="1" applyBorder="1"/>
    <xf numFmtId="0" fontId="46" fillId="7" borderId="0" xfId="0" applyFont="1" applyFill="1" applyAlignment="1">
      <alignment horizontal="left" vertical="top"/>
    </xf>
    <xf numFmtId="0" fontId="50" fillId="7" borderId="0" xfId="0" applyFont="1" applyFill="1" applyAlignment="1">
      <alignment vertical="top"/>
    </xf>
    <xf numFmtId="0" fontId="44" fillId="2" borderId="5" xfId="18" applyFont="1" applyFill="1" applyBorder="1" applyAlignment="1" applyProtection="1">
      <alignment vertical="center" wrapText="1" readingOrder="1"/>
      <protection locked="0"/>
    </xf>
    <xf numFmtId="0" fontId="44" fillId="2" borderId="0" xfId="18" applyFont="1" applyFill="1" applyBorder="1" applyAlignment="1" applyProtection="1">
      <alignment vertical="center" wrapText="1" readingOrder="1"/>
      <protection locked="0"/>
    </xf>
    <xf numFmtId="0" fontId="28" fillId="2" borderId="0" xfId="0" applyFont="1" applyFill="1" applyAlignment="1">
      <alignment horizontal="left" indent="1"/>
    </xf>
    <xf numFmtId="0" fontId="28" fillId="2" borderId="6" xfId="0" applyFont="1" applyFill="1" applyBorder="1" applyAlignment="1">
      <alignment horizontal="left" indent="1"/>
    </xf>
    <xf numFmtId="0" fontId="44" fillId="0" borderId="0" xfId="18" applyFont="1" applyBorder="1" applyAlignment="1" applyProtection="1">
      <alignment vertical="center" wrapText="1" readingOrder="1"/>
      <protection locked="0"/>
    </xf>
    <xf numFmtId="0" fontId="42" fillId="4" borderId="1" xfId="18" applyFont="1" applyFill="1" applyBorder="1"/>
    <xf numFmtId="0" fontId="29" fillId="2" borderId="0" xfId="15" applyFill="1"/>
    <xf numFmtId="0" fontId="28" fillId="7" borderId="0" xfId="0" applyFont="1" applyFill="1" applyAlignment="1">
      <alignment horizontal="left" indent="1"/>
    </xf>
    <xf numFmtId="0" fontId="28" fillId="7" borderId="6" xfId="0" applyFont="1" applyFill="1" applyBorder="1" applyAlignment="1">
      <alignment horizontal="left" indent="1"/>
    </xf>
    <xf numFmtId="0" fontId="28" fillId="6" borderId="0" xfId="0" applyFont="1" applyFill="1" applyBorder="1" applyAlignment="1">
      <alignment horizontal="left" indent="1"/>
    </xf>
    <xf numFmtId="0" fontId="0" fillId="2" borderId="1" xfId="0" applyFill="1" applyBorder="1"/>
    <xf numFmtId="0" fontId="28" fillId="2" borderId="0" xfId="0" applyFont="1" applyFill="1" applyBorder="1" applyAlignment="1">
      <alignment horizontal="left" indent="1"/>
    </xf>
    <xf numFmtId="0" fontId="29" fillId="2" borderId="1" xfId="15" applyFill="1" applyBorder="1"/>
    <xf numFmtId="0" fontId="28" fillId="2" borderId="0" xfId="0" applyFont="1" applyFill="1"/>
    <xf numFmtId="169" fontId="32" fillId="2" borderId="0" xfId="0" applyNumberFormat="1" applyFont="1" applyFill="1" applyAlignment="1">
      <alignment horizontal="right" wrapText="1"/>
    </xf>
    <xf numFmtId="169" fontId="28" fillId="2" borderId="0" xfId="0" applyNumberFormat="1" applyFont="1" applyFill="1" applyAlignment="1">
      <alignment horizontal="right" wrapText="1"/>
    </xf>
    <xf numFmtId="49" fontId="28" fillId="2" borderId="0" xfId="0" applyNumberFormat="1" applyFont="1" applyFill="1" applyAlignment="1">
      <alignment horizontal="right"/>
    </xf>
    <xf numFmtId="0" fontId="28" fillId="2" borderId="0" xfId="0" applyFont="1" applyFill="1" applyAlignment="1">
      <alignment horizontal="right" wrapText="1"/>
    </xf>
    <xf numFmtId="0" fontId="32" fillId="2" borderId="0" xfId="0" applyFont="1" applyFill="1" applyBorder="1" applyAlignment="1">
      <alignment horizontal="center" vertical="center"/>
    </xf>
    <xf numFmtId="0" fontId="29" fillId="2" borderId="1" xfId="0" applyFont="1" applyFill="1" applyBorder="1"/>
    <xf numFmtId="165" fontId="28" fillId="2" borderId="1" xfId="9" applyNumberFormat="1" applyFont="1" applyFill="1" applyBorder="1" applyAlignment="1">
      <alignment horizontal="right"/>
    </xf>
    <xf numFmtId="0" fontId="28" fillId="2" borderId="0" xfId="0" applyFont="1" applyFill="1" applyAlignment="1">
      <alignment vertical="center"/>
    </xf>
    <xf numFmtId="169" fontId="28" fillId="2" borderId="0" xfId="0" applyNumberFormat="1" applyFont="1" applyFill="1" applyBorder="1" applyAlignment="1">
      <alignment horizontal="right" wrapText="1"/>
    </xf>
    <xf numFmtId="0" fontId="29" fillId="2" borderId="0" xfId="0" applyFont="1" applyFill="1" applyBorder="1"/>
    <xf numFmtId="49" fontId="28" fillId="2" borderId="1" xfId="0" applyNumberFormat="1" applyFont="1" applyFill="1" applyBorder="1" applyAlignment="1">
      <alignment horizontal="right"/>
    </xf>
    <xf numFmtId="0" fontId="32" fillId="2" borderId="2" xfId="0" applyFont="1" applyFill="1" applyBorder="1" applyAlignment="1">
      <alignment horizontal="right" vertical="center"/>
    </xf>
    <xf numFmtId="0" fontId="47" fillId="6" borderId="1" xfId="0" applyFont="1" applyFill="1" applyBorder="1" applyAlignment="1">
      <alignment horizontal="right" vertical="center"/>
    </xf>
    <xf numFmtId="0" fontId="47" fillId="7" borderId="1" xfId="0" applyFont="1" applyFill="1" applyBorder="1" applyAlignment="1">
      <alignment horizontal="right" vertical="center"/>
    </xf>
    <xf numFmtId="0" fontId="47" fillId="6" borderId="2" xfId="0" applyFont="1" applyFill="1" applyBorder="1" applyAlignment="1">
      <alignment horizontal="right" vertical="center"/>
    </xf>
    <xf numFmtId="0" fontId="52" fillId="0" borderId="0" xfId="18" applyFont="1"/>
    <xf numFmtId="0" fontId="45" fillId="0" borderId="0" xfId="18" applyFont="1" applyBorder="1"/>
    <xf numFmtId="0" fontId="55" fillId="2" borderId="0" xfId="0" applyFont="1" applyFill="1"/>
    <xf numFmtId="0" fontId="55" fillId="0" borderId="0" xfId="0" applyFont="1"/>
    <xf numFmtId="0" fontId="57" fillId="2" borderId="0" xfId="8" applyNumberFormat="1" applyFont="1" applyFill="1" applyBorder="1" applyAlignment="1" applyProtection="1">
      <alignment horizontal="right" vertical="center"/>
    </xf>
    <xf numFmtId="0" fontId="55" fillId="2" borderId="0" xfId="0" applyFont="1" applyFill="1" applyAlignment="1">
      <alignment horizontal="right" vertical="top"/>
    </xf>
    <xf numFmtId="0" fontId="53" fillId="0" borderId="11" xfId="30" applyFont="1" applyBorder="1" applyAlignment="1" applyProtection="1">
      <alignment horizontal="center" vertical="center"/>
    </xf>
    <xf numFmtId="0" fontId="53" fillId="0" borderId="16" xfId="30" applyFont="1" applyBorder="1" applyAlignment="1" applyProtection="1">
      <alignment horizontal="center" vertical="center"/>
    </xf>
    <xf numFmtId="0" fontId="53" fillId="0" borderId="20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33" fillId="0" borderId="0" xfId="32" applyFont="1"/>
    <xf numFmtId="0" fontId="64" fillId="0" borderId="0" xfId="32" applyFont="1"/>
    <xf numFmtId="0" fontId="61" fillId="9" borderId="8" xfId="32" applyFont="1" applyFill="1" applyBorder="1" applyAlignment="1">
      <alignment horizontal="center" vertical="center"/>
    </xf>
    <xf numFmtId="0" fontId="61" fillId="9" borderId="7" xfId="32" applyFont="1" applyFill="1" applyBorder="1" applyAlignment="1">
      <alignment horizontal="center" vertical="center"/>
    </xf>
    <xf numFmtId="17" fontId="27" fillId="0" borderId="0" xfId="32" quotePrefix="1" applyNumberFormat="1" applyFont="1"/>
    <xf numFmtId="0" fontId="33" fillId="0" borderId="0" xfId="32" applyFont="1" applyFill="1"/>
    <xf numFmtId="0" fontId="60" fillId="0" borderId="0" xfId="32" applyFont="1"/>
    <xf numFmtId="0" fontId="61" fillId="0" borderId="0" xfId="32" applyFont="1" applyFill="1" applyAlignment="1">
      <alignment horizontal="center" vertical="center"/>
    </xf>
    <xf numFmtId="0" fontId="61" fillId="0" borderId="0" xfId="32" applyFont="1" applyFill="1" applyAlignment="1">
      <alignment vertical="center"/>
    </xf>
    <xf numFmtId="0" fontId="66" fillId="2" borderId="0" xfId="14" applyFont="1" applyFill="1" applyAlignment="1" applyProtection="1">
      <alignment horizontal="right"/>
    </xf>
    <xf numFmtId="0" fontId="28" fillId="2" borderId="0" xfId="15" applyFont="1" applyFill="1"/>
    <xf numFmtId="0" fontId="28" fillId="0" borderId="0" xfId="0" applyFont="1"/>
    <xf numFmtId="0" fontId="28" fillId="0" borderId="0" xfId="15" applyFont="1"/>
    <xf numFmtId="0" fontId="45" fillId="0" borderId="0" xfId="18" applyFont="1" applyFill="1" applyAlignment="1"/>
    <xf numFmtId="166" fontId="45" fillId="2" borderId="0" xfId="0" applyNumberFormat="1" applyFont="1" applyFill="1" applyAlignment="1">
      <alignment horizontal="right" vertical="center"/>
    </xf>
    <xf numFmtId="166" fontId="32" fillId="2" borderId="0" xfId="0" applyNumberFormat="1" applyFont="1" applyFill="1" applyAlignment="1">
      <alignment horizontal="right"/>
    </xf>
    <xf numFmtId="166" fontId="28" fillId="2" borderId="0" xfId="0" applyNumberFormat="1" applyFont="1" applyFill="1" applyBorder="1"/>
    <xf numFmtId="170" fontId="28" fillId="2" borderId="0" xfId="0" applyNumberFormat="1" applyFont="1" applyFill="1" applyAlignment="1">
      <alignment horizontal="right"/>
    </xf>
    <xf numFmtId="170" fontId="28" fillId="2" borderId="0" xfId="0" applyNumberFormat="1" applyFont="1" applyFill="1" applyBorder="1"/>
    <xf numFmtId="166" fontId="28" fillId="2" borderId="0" xfId="0" applyNumberFormat="1" applyFont="1" applyFill="1"/>
    <xf numFmtId="170" fontId="28" fillId="2" borderId="0" xfId="0" applyNumberFormat="1" applyFont="1" applyFill="1"/>
    <xf numFmtId="0" fontId="28" fillId="2" borderId="0" xfId="18" applyFont="1" applyFill="1" applyAlignment="1">
      <alignment horizontal="left" indent="1" readingOrder="1"/>
    </xf>
    <xf numFmtId="0" fontId="55" fillId="0" borderId="0" xfId="18" applyFont="1"/>
    <xf numFmtId="0" fontId="28" fillId="0" borderId="0" xfId="18" applyFont="1"/>
    <xf numFmtId="0" fontId="28" fillId="0" borderId="0" xfId="18" applyFont="1" applyBorder="1"/>
    <xf numFmtId="0" fontId="28" fillId="4" borderId="0" xfId="18" applyFont="1" applyFill="1" applyBorder="1"/>
    <xf numFmtId="0" fontId="28" fillId="0" borderId="0" xfId="18" applyFont="1" applyAlignment="1">
      <alignment vertical="center" readingOrder="1"/>
    </xf>
    <xf numFmtId="0" fontId="37" fillId="4" borderId="0" xfId="18" applyFont="1" applyFill="1"/>
    <xf numFmtId="0" fontId="37" fillId="0" borderId="0" xfId="18" applyFont="1"/>
    <xf numFmtId="0" fontId="32" fillId="6" borderId="1" xfId="0" applyFont="1" applyFill="1" applyBorder="1" applyAlignment="1">
      <alignment horizontal="right" vertical="center"/>
    </xf>
    <xf numFmtId="0" fontId="32" fillId="0" borderId="5" xfId="18" applyFont="1" applyBorder="1" applyAlignment="1" applyProtection="1">
      <alignment vertical="center" wrapText="1" readingOrder="1"/>
      <protection locked="0"/>
    </xf>
    <xf numFmtId="0" fontId="32" fillId="0" borderId="0" xfId="18" applyFont="1" applyBorder="1" applyAlignment="1" applyProtection="1">
      <alignment vertical="center" wrapText="1" readingOrder="1"/>
      <protection locked="0"/>
    </xf>
    <xf numFmtId="0" fontId="28" fillId="6" borderId="0" xfId="0" applyFont="1" applyFill="1" applyAlignment="1">
      <alignment horizontal="left" vertical="top"/>
    </xf>
    <xf numFmtId="0" fontId="28" fillId="0" borderId="0" xfId="18" applyFont="1" applyFill="1" applyAlignment="1"/>
    <xf numFmtId="0" fontId="32" fillId="2" borderId="1" xfId="0" applyFont="1" applyFill="1" applyBorder="1" applyAlignment="1">
      <alignment horizontal="right" vertical="center"/>
    </xf>
    <xf numFmtId="0" fontId="32" fillId="2" borderId="5" xfId="18" applyFont="1" applyFill="1" applyBorder="1" applyAlignment="1" applyProtection="1">
      <alignment vertical="center" wrapText="1" readingOrder="1"/>
      <protection locked="0"/>
    </xf>
    <xf numFmtId="0" fontId="29" fillId="2" borderId="0" xfId="0" applyFont="1" applyFill="1"/>
    <xf numFmtId="0" fontId="32" fillId="2" borderId="0" xfId="18" applyFont="1" applyFill="1" applyBorder="1" applyAlignment="1" applyProtection="1">
      <alignment vertical="center" wrapText="1" readingOrder="1"/>
      <protection locked="0"/>
    </xf>
    <xf numFmtId="0" fontId="73" fillId="2" borderId="0" xfId="8" applyNumberFormat="1" applyFont="1" applyFill="1" applyBorder="1" applyAlignment="1" applyProtection="1">
      <alignment horizontal="right" vertical="center"/>
    </xf>
    <xf numFmtId="0" fontId="72" fillId="2" borderId="0" xfId="0" applyFont="1" applyFill="1"/>
    <xf numFmtId="0" fontId="72" fillId="0" borderId="0" xfId="0" applyFont="1"/>
    <xf numFmtId="0" fontId="32" fillId="2" borderId="0" xfId="18" applyFont="1" applyFill="1" applyAlignment="1" applyProtection="1">
      <alignment vertical="center" wrapText="1" readingOrder="1"/>
      <protection locked="0"/>
    </xf>
    <xf numFmtId="0" fontId="29" fillId="2" borderId="1" xfId="15" applyFont="1" applyFill="1" applyBorder="1"/>
    <xf numFmtId="0" fontId="29" fillId="2" borderId="0" xfId="15" applyFont="1" applyFill="1"/>
    <xf numFmtId="0" fontId="28" fillId="4" borderId="0" xfId="18" applyFont="1" applyFill="1"/>
    <xf numFmtId="0" fontId="29" fillId="0" borderId="1" xfId="15" applyFont="1" applyBorder="1"/>
    <xf numFmtId="0" fontId="29" fillId="0" borderId="0" xfId="15" applyFont="1"/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171" fontId="45" fillId="2" borderId="0" xfId="0" applyNumberFormat="1" applyFont="1" applyFill="1" applyAlignment="1">
      <alignment horizontal="right" vertical="center"/>
    </xf>
    <xf numFmtId="0" fontId="36" fillId="2" borderId="0" xfId="36" applyFont="1" applyFill="1"/>
    <xf numFmtId="171" fontId="28" fillId="2" borderId="0" xfId="0" applyNumberFormat="1" applyFont="1" applyFill="1" applyAlignment="1">
      <alignment horizontal="right"/>
    </xf>
    <xf numFmtId="171" fontId="32" fillId="2" borderId="0" xfId="0" applyNumberFormat="1" applyFont="1" applyFill="1" applyAlignment="1">
      <alignment horizontal="right"/>
    </xf>
    <xf numFmtId="0" fontId="54" fillId="2" borderId="0" xfId="37" applyFont="1" applyFill="1" applyAlignment="1">
      <alignment horizontal="left" vertical="center"/>
    </xf>
    <xf numFmtId="0" fontId="54" fillId="2" borderId="0" xfId="37" applyFont="1" applyFill="1" applyAlignment="1">
      <alignment vertical="center"/>
    </xf>
    <xf numFmtId="0" fontId="36" fillId="0" borderId="0" xfId="37" applyFont="1"/>
    <xf numFmtId="0" fontId="39" fillId="2" borderId="0" xfId="37" applyFont="1" applyFill="1" applyAlignment="1">
      <alignment vertical="center"/>
    </xf>
    <xf numFmtId="0" fontId="56" fillId="2" borderId="0" xfId="37" applyFont="1" applyFill="1" applyAlignment="1">
      <alignment vertical="center"/>
    </xf>
    <xf numFmtId="0" fontId="28" fillId="2" borderId="1" xfId="37" applyFont="1" applyFill="1" applyBorder="1" applyAlignment="1">
      <alignment vertical="center"/>
    </xf>
    <xf numFmtId="0" fontId="28" fillId="2" borderId="0" xfId="37" applyFont="1" applyFill="1" applyBorder="1" applyAlignment="1">
      <alignment horizontal="left" vertical="center"/>
    </xf>
    <xf numFmtId="165" fontId="28" fillId="2" borderId="0" xfId="37" applyNumberFormat="1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vertical="center"/>
    </xf>
    <xf numFmtId="0" fontId="28" fillId="2" borderId="0" xfId="37" applyFont="1" applyFill="1" applyAlignment="1">
      <alignment vertical="center"/>
    </xf>
    <xf numFmtId="0" fontId="30" fillId="2" borderId="0" xfId="37" applyFont="1" applyFill="1" applyAlignment="1">
      <alignment vertical="center"/>
    </xf>
    <xf numFmtId="0" fontId="32" fillId="2" borderId="3" xfId="37" applyFont="1" applyFill="1" applyBorder="1" applyAlignment="1">
      <alignment horizontal="right" vertical="center" wrapText="1"/>
    </xf>
    <xf numFmtId="0" fontId="33" fillId="2" borderId="0" xfId="37" applyFont="1" applyFill="1" applyAlignment="1">
      <alignment vertical="center"/>
    </xf>
    <xf numFmtId="0" fontId="32" fillId="2" borderId="0" xfId="37" applyFont="1" applyFill="1" applyBorder="1" applyAlignment="1">
      <alignment horizontal="right" vertical="center" wrapText="1"/>
    </xf>
    <xf numFmtId="0" fontId="32" fillId="2" borderId="3" xfId="37" applyFont="1" applyFill="1" applyBorder="1" applyAlignment="1">
      <alignment horizontal="center" vertical="center" wrapText="1"/>
    </xf>
    <xf numFmtId="0" fontId="32" fillId="2" borderId="3" xfId="37" applyFont="1" applyFill="1" applyBorder="1" applyAlignment="1">
      <alignment vertical="center" wrapText="1"/>
    </xf>
    <xf numFmtId="0" fontId="37" fillId="2" borderId="3" xfId="37" applyFont="1" applyFill="1" applyBorder="1" applyAlignment="1">
      <alignment vertical="center"/>
    </xf>
    <xf numFmtId="0" fontId="32" fillId="2" borderId="1" xfId="37" applyFont="1" applyFill="1" applyBorder="1" applyAlignment="1">
      <alignment horizontal="right" vertical="center" wrapText="1"/>
    </xf>
    <xf numFmtId="0" fontId="32" fillId="2" borderId="1" xfId="39" applyFont="1" applyFill="1" applyBorder="1" applyAlignment="1">
      <alignment horizontal="right" vertical="center" wrapText="1"/>
    </xf>
    <xf numFmtId="0" fontId="32" fillId="2" borderId="1" xfId="37" applyFont="1" applyFill="1" applyBorder="1" applyAlignment="1">
      <alignment horizontal="right" vertical="center"/>
    </xf>
    <xf numFmtId="0" fontId="37" fillId="2" borderId="1" xfId="37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horizontal="left" vertical="center" wrapText="1"/>
    </xf>
    <xf numFmtId="0" fontId="32" fillId="2" borderId="0" xfId="37" applyFont="1" applyFill="1" applyAlignment="1">
      <alignment vertical="center"/>
    </xf>
    <xf numFmtId="0" fontId="69" fillId="2" borderId="0" xfId="37" applyFont="1" applyFill="1" applyAlignment="1">
      <alignment vertical="center"/>
    </xf>
    <xf numFmtId="0" fontId="38" fillId="2" borderId="0" xfId="37" applyFont="1" applyFill="1" applyAlignment="1">
      <alignment vertical="center"/>
    </xf>
    <xf numFmtId="0" fontId="67" fillId="2" borderId="0" xfId="37" applyFont="1" applyFill="1" applyAlignment="1">
      <alignment vertical="center"/>
    </xf>
    <xf numFmtId="0" fontId="37" fillId="2" borderId="0" xfId="37" applyFont="1" applyFill="1" applyAlignment="1">
      <alignment vertical="center"/>
    </xf>
    <xf numFmtId="0" fontId="37" fillId="2" borderId="1" xfId="37" applyFont="1" applyFill="1" applyBorder="1" applyAlignment="1">
      <alignment vertical="center"/>
    </xf>
    <xf numFmtId="0" fontId="33" fillId="2" borderId="0" xfId="37" applyFont="1" applyFill="1" applyAlignment="1">
      <alignment horizontal="left" vertical="center"/>
    </xf>
    <xf numFmtId="171" fontId="32" fillId="2" borderId="0" xfId="0" applyNumberFormat="1" applyFont="1" applyFill="1" applyAlignment="1">
      <alignment horizontal="right" wrapText="1"/>
    </xf>
    <xf numFmtId="171" fontId="28" fillId="2" borderId="0" xfId="0" applyNumberFormat="1" applyFont="1" applyFill="1" applyAlignment="1">
      <alignment horizontal="right" wrapText="1"/>
    </xf>
    <xf numFmtId="0" fontId="54" fillId="2" borderId="0" xfId="41" applyFont="1" applyFill="1" applyAlignment="1">
      <alignment horizontal="left" vertical="center"/>
    </xf>
    <xf numFmtId="0" fontId="36" fillId="0" borderId="0" xfId="41" applyFont="1" applyFill="1" applyAlignment="1">
      <alignment horizontal="left" vertical="center"/>
    </xf>
    <xf numFmtId="0" fontId="54" fillId="2" borderId="0" xfId="41" applyFont="1" applyFill="1" applyAlignment="1">
      <alignment vertical="center"/>
    </xf>
    <xf numFmtId="0" fontId="36" fillId="0" borderId="0" xfId="40" applyFont="1"/>
    <xf numFmtId="0" fontId="12" fillId="2" borderId="1" xfId="41" applyFill="1" applyBorder="1" applyAlignment="1">
      <alignment vertical="center"/>
    </xf>
    <xf numFmtId="0" fontId="28" fillId="2" borderId="0" xfId="41" applyFont="1" applyFill="1" applyBorder="1" applyAlignment="1">
      <alignment horizontal="right" vertical="top" wrapText="1"/>
    </xf>
    <xf numFmtId="0" fontId="12" fillId="2" borderId="0" xfId="41" applyFill="1" applyAlignment="1">
      <alignment vertical="center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center" vertical="center" wrapText="1"/>
    </xf>
    <xf numFmtId="0" fontId="12" fillId="0" borderId="3" xfId="41" applyFill="1" applyBorder="1" applyAlignment="1">
      <alignment vertical="center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/>
    </xf>
    <xf numFmtId="0" fontId="12" fillId="2" borderId="1" xfId="41" applyFill="1" applyBorder="1" applyAlignment="1">
      <alignment horizontal="right" vertical="center"/>
    </xf>
    <xf numFmtId="0" fontId="30" fillId="2" borderId="0" xfId="40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center" vertical="center"/>
    </xf>
    <xf numFmtId="0" fontId="31" fillId="2" borderId="0" xfId="41" applyFont="1" applyFill="1" applyBorder="1" applyAlignment="1">
      <alignment horizontal="right" vertical="center"/>
    </xf>
    <xf numFmtId="0" fontId="31" fillId="2" borderId="0" xfId="40" applyFont="1" applyFill="1" applyAlignment="1">
      <alignment vertical="center"/>
    </xf>
    <xf numFmtId="0" fontId="38" fillId="2" borderId="0" xfId="40" applyFont="1" applyFill="1" applyAlignment="1">
      <alignment vertical="center"/>
    </xf>
    <xf numFmtId="0" fontId="34" fillId="2" borderId="0" xfId="41" applyFont="1" applyFill="1" applyAlignment="1">
      <alignment vertical="center"/>
    </xf>
    <xf numFmtId="0" fontId="12" fillId="2" borderId="0" xfId="40" applyFill="1" applyAlignment="1">
      <alignment vertical="center"/>
    </xf>
    <xf numFmtId="0" fontId="33" fillId="2" borderId="0" xfId="40" applyFont="1" applyFill="1" applyAlignment="1">
      <alignment vertical="center"/>
    </xf>
    <xf numFmtId="165" fontId="28" fillId="2" borderId="1" xfId="42" applyNumberFormat="1" applyFont="1" applyFill="1" applyBorder="1"/>
    <xf numFmtId="167" fontId="28" fillId="2" borderId="1" xfId="42" applyNumberFormat="1" applyFont="1" applyFill="1" applyBorder="1"/>
    <xf numFmtId="167" fontId="28" fillId="5" borderId="1" xfId="40" applyNumberFormat="1" applyFont="1" applyFill="1" applyBorder="1"/>
    <xf numFmtId="167" fontId="28" fillId="2" borderId="1" xfId="41" applyNumberFormat="1" applyFont="1" applyFill="1" applyBorder="1"/>
    <xf numFmtId="0" fontId="12" fillId="2" borderId="0" xfId="41" applyFill="1" applyBorder="1" applyAlignment="1">
      <alignment vertical="center"/>
    </xf>
    <xf numFmtId="0" fontId="30" fillId="2" borderId="0" xfId="41" applyFont="1" applyFill="1" applyBorder="1" applyAlignment="1">
      <alignment horizontal="left" vertical="center"/>
    </xf>
    <xf numFmtId="166" fontId="30" fillId="2" borderId="0" xfId="41" applyNumberFormat="1" applyFont="1" applyFill="1" applyBorder="1" applyAlignment="1">
      <alignment horizontal="right" vertical="center"/>
    </xf>
    <xf numFmtId="166" fontId="30" fillId="2" borderId="0" xfId="41" applyNumberFormat="1" applyFont="1" applyFill="1" applyBorder="1" applyAlignment="1">
      <alignment vertical="center"/>
    </xf>
    <xf numFmtId="167" fontId="30" fillId="2" borderId="0" xfId="41" applyNumberFormat="1" applyFont="1" applyFill="1" applyBorder="1" applyAlignment="1">
      <alignment vertical="center"/>
    </xf>
    <xf numFmtId="0" fontId="12" fillId="2" borderId="0" xfId="41" applyFill="1" applyAlignment="1">
      <alignment horizontal="left" vertical="center"/>
    </xf>
    <xf numFmtId="0" fontId="54" fillId="2" borderId="0" xfId="44" applyFont="1" applyFill="1" applyAlignment="1">
      <alignment horizontal="left" vertical="center"/>
    </xf>
    <xf numFmtId="0" fontId="36" fillId="2" borderId="0" xfId="44" applyFont="1" applyFill="1" applyAlignment="1">
      <alignment horizontal="left" vertical="center"/>
    </xf>
    <xf numFmtId="0" fontId="54" fillId="2" borderId="0" xfId="44" applyFont="1" applyFill="1" applyAlignment="1">
      <alignment vertical="center"/>
    </xf>
    <xf numFmtId="0" fontId="36" fillId="2" borderId="0" xfId="43" applyFont="1" applyFill="1"/>
    <xf numFmtId="0" fontId="11" fillId="2" borderId="1" xfId="44" applyFill="1" applyBorder="1" applyAlignment="1">
      <alignment vertical="center"/>
    </xf>
    <xf numFmtId="0" fontId="28" fillId="2" borderId="0" xfId="44" applyFont="1" applyFill="1" applyBorder="1" applyAlignment="1">
      <alignment horizontal="right" vertical="top" wrapText="1"/>
    </xf>
    <xf numFmtId="0" fontId="11" fillId="2" borderId="0" xfId="44" applyFill="1" applyAlignment="1">
      <alignment vertical="center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center" vertical="center" wrapText="1"/>
    </xf>
    <xf numFmtId="0" fontId="11" fillId="2" borderId="3" xfId="44" applyFill="1" applyBorder="1" applyAlignment="1">
      <alignment vertical="center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/>
    </xf>
    <xf numFmtId="0" fontId="11" fillId="2" borderId="1" xfId="44" applyFill="1" applyBorder="1" applyAlignment="1">
      <alignment horizontal="right" vertical="center"/>
    </xf>
    <xf numFmtId="0" fontId="30" fillId="2" borderId="0" xfId="43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center" vertical="center"/>
    </xf>
    <xf numFmtId="0" fontId="31" fillId="2" borderId="0" xfId="44" applyFont="1" applyFill="1" applyBorder="1" applyAlignment="1">
      <alignment horizontal="right" vertical="center"/>
    </xf>
    <xf numFmtId="0" fontId="31" fillId="2" borderId="0" xfId="43" applyFont="1" applyFill="1" applyAlignment="1">
      <alignment vertical="center"/>
    </xf>
    <xf numFmtId="0" fontId="38" fillId="2" borderId="0" xfId="43" applyFont="1" applyFill="1" applyAlignment="1">
      <alignment vertical="center"/>
    </xf>
    <xf numFmtId="0" fontId="11" fillId="2" borderId="0" xfId="43" applyFill="1" applyAlignment="1">
      <alignment vertical="center"/>
    </xf>
    <xf numFmtId="0" fontId="33" fillId="2" borderId="0" xfId="43" applyFont="1" applyFill="1" applyAlignment="1">
      <alignment vertical="center"/>
    </xf>
    <xf numFmtId="165" fontId="28" fillId="2" borderId="1" xfId="45" applyNumberFormat="1" applyFont="1" applyFill="1" applyBorder="1"/>
    <xf numFmtId="167" fontId="28" fillId="2" borderId="1" xfId="45" applyNumberFormat="1" applyFont="1" applyFill="1" applyBorder="1"/>
    <xf numFmtId="167" fontId="28" fillId="5" borderId="1" xfId="43" applyNumberFormat="1" applyFont="1" applyFill="1" applyBorder="1"/>
    <xf numFmtId="167" fontId="28" fillId="2" borderId="1" xfId="44" applyNumberFormat="1" applyFont="1" applyFill="1" applyBorder="1"/>
    <xf numFmtId="0" fontId="11" fillId="2" borderId="0" xfId="44" applyFill="1" applyBorder="1" applyAlignment="1">
      <alignment vertical="center"/>
    </xf>
    <xf numFmtId="0" fontId="30" fillId="2" borderId="0" xfId="44" applyFont="1" applyFill="1" applyBorder="1" applyAlignment="1">
      <alignment horizontal="left" vertical="center"/>
    </xf>
    <xf numFmtId="166" fontId="30" fillId="2" borderId="0" xfId="44" applyNumberFormat="1" applyFont="1" applyFill="1" applyBorder="1" applyAlignment="1">
      <alignment horizontal="right" vertical="center"/>
    </xf>
    <xf numFmtId="166" fontId="30" fillId="2" borderId="0" xfId="44" applyNumberFormat="1" applyFont="1" applyFill="1" applyBorder="1" applyAlignment="1">
      <alignment vertical="center"/>
    </xf>
    <xf numFmtId="167" fontId="30" fillId="2" borderId="0" xfId="44" applyNumberFormat="1" applyFont="1" applyFill="1" applyBorder="1" applyAlignment="1">
      <alignment vertical="center"/>
    </xf>
    <xf numFmtId="0" fontId="54" fillId="2" borderId="0" xfId="47" applyFont="1" applyFill="1" applyAlignment="1">
      <alignment horizontal="left" vertical="center"/>
    </xf>
    <xf numFmtId="0" fontId="36" fillId="0" borderId="0" xfId="47" applyFont="1" applyFill="1" applyAlignment="1">
      <alignment horizontal="left" vertical="center"/>
    </xf>
    <xf numFmtId="0" fontId="54" fillId="2" borderId="0" xfId="47" applyFont="1" applyFill="1" applyAlignment="1">
      <alignment vertical="center"/>
    </xf>
    <xf numFmtId="0" fontId="36" fillId="0" borderId="0" xfId="46" applyFont="1"/>
    <xf numFmtId="0" fontId="10" fillId="2" borderId="1" xfId="47" applyFill="1" applyBorder="1" applyAlignment="1">
      <alignment vertical="center"/>
    </xf>
    <xf numFmtId="0" fontId="28" fillId="2" borderId="0" xfId="47" applyFont="1" applyFill="1" applyBorder="1" applyAlignment="1">
      <alignment horizontal="right" vertical="top" wrapText="1"/>
    </xf>
    <xf numFmtId="0" fontId="10" fillId="2" borderId="0" xfId="47" applyFill="1" applyAlignment="1">
      <alignment vertical="center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3" xfId="47" applyFont="1" applyFill="1" applyBorder="1" applyAlignment="1">
      <alignment horizontal="center" vertical="center" wrapText="1"/>
    </xf>
    <xf numFmtId="0" fontId="10" fillId="0" borderId="3" xfId="47" applyFill="1" applyBorder="1" applyAlignment="1">
      <alignment vertical="center"/>
    </xf>
    <xf numFmtId="0" fontId="10" fillId="2" borderId="3" xfId="47" applyFill="1" applyBorder="1" applyAlignment="1">
      <alignment vertical="center"/>
    </xf>
    <xf numFmtId="0" fontId="31" fillId="2" borderId="1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/>
    </xf>
    <xf numFmtId="0" fontId="10" fillId="2" borderId="1" xfId="47" applyFill="1" applyBorder="1" applyAlignment="1">
      <alignment horizontal="right" vertical="center"/>
    </xf>
    <xf numFmtId="0" fontId="30" fillId="2" borderId="0" xfId="46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center" vertical="center" wrapText="1"/>
    </xf>
    <xf numFmtId="0" fontId="31" fillId="2" borderId="0" xfId="47" applyFont="1" applyFill="1" applyBorder="1" applyAlignment="1">
      <alignment horizontal="center" vertical="center"/>
    </xf>
    <xf numFmtId="0" fontId="31" fillId="2" borderId="0" xfId="47" applyFont="1" applyFill="1" applyBorder="1" applyAlignment="1">
      <alignment horizontal="right" vertical="center"/>
    </xf>
    <xf numFmtId="0" fontId="31" fillId="2" borderId="0" xfId="46" applyFont="1" applyFill="1" applyAlignment="1">
      <alignment vertical="center"/>
    </xf>
    <xf numFmtId="0" fontId="38" fillId="2" borderId="0" xfId="46" applyFont="1" applyFill="1" applyAlignment="1">
      <alignment vertical="center"/>
    </xf>
    <xf numFmtId="0" fontId="10" fillId="2" borderId="0" xfId="46" applyFill="1" applyAlignment="1">
      <alignment vertical="center"/>
    </xf>
    <xf numFmtId="0" fontId="33" fillId="2" borderId="0" xfId="46" applyFont="1" applyFill="1" applyAlignment="1">
      <alignment vertical="center"/>
    </xf>
    <xf numFmtId="165" fontId="28" fillId="2" borderId="1" xfId="48" applyNumberFormat="1" applyFont="1" applyFill="1" applyBorder="1"/>
    <xf numFmtId="167" fontId="28" fillId="2" borderId="1" xfId="48" applyNumberFormat="1" applyFont="1" applyFill="1" applyBorder="1"/>
    <xf numFmtId="167" fontId="28" fillId="5" borderId="1" xfId="46" applyNumberFormat="1" applyFont="1" applyFill="1" applyBorder="1"/>
    <xf numFmtId="167" fontId="28" fillId="2" borderId="1" xfId="47" applyNumberFormat="1" applyFont="1" applyFill="1" applyBorder="1"/>
    <xf numFmtId="0" fontId="10" fillId="2" borderId="0" xfId="47" applyFill="1" applyBorder="1" applyAlignment="1">
      <alignment vertical="center"/>
    </xf>
    <xf numFmtId="0" fontId="30" fillId="2" borderId="0" xfId="47" applyFont="1" applyFill="1" applyBorder="1" applyAlignment="1">
      <alignment horizontal="left" vertical="center"/>
    </xf>
    <xf numFmtId="166" fontId="30" fillId="2" borderId="0" xfId="47" applyNumberFormat="1" applyFont="1" applyFill="1" applyBorder="1" applyAlignment="1">
      <alignment horizontal="right" vertical="center"/>
    </xf>
    <xf numFmtId="166" fontId="30" fillId="2" borderId="0" xfId="47" applyNumberFormat="1" applyFont="1" applyFill="1" applyBorder="1" applyAlignment="1">
      <alignment vertical="center"/>
    </xf>
    <xf numFmtId="167" fontId="30" fillId="2" borderId="0" xfId="47" applyNumberFormat="1" applyFont="1" applyFill="1" applyBorder="1" applyAlignment="1">
      <alignment vertical="center"/>
    </xf>
    <xf numFmtId="0" fontId="54" fillId="2" borderId="0" xfId="50" applyFont="1" applyFill="1" applyAlignment="1">
      <alignment horizontal="left" vertical="center"/>
    </xf>
    <xf numFmtId="0" fontId="36" fillId="0" borderId="0" xfId="50" applyFont="1" applyFill="1" applyAlignment="1">
      <alignment horizontal="left" vertical="center"/>
    </xf>
    <xf numFmtId="0" fontId="54" fillId="2" borderId="0" xfId="50" applyFont="1" applyFill="1" applyAlignment="1">
      <alignment vertical="center"/>
    </xf>
    <xf numFmtId="0" fontId="36" fillId="0" borderId="0" xfId="49" applyFont="1"/>
    <xf numFmtId="0" fontId="9" fillId="2" borderId="1" xfId="50" applyFill="1" applyBorder="1" applyAlignment="1">
      <alignment vertical="center"/>
    </xf>
    <xf numFmtId="0" fontId="28" fillId="2" borderId="0" xfId="50" applyFont="1" applyFill="1" applyBorder="1" applyAlignment="1">
      <alignment horizontal="right" vertical="top" wrapText="1"/>
    </xf>
    <xf numFmtId="0" fontId="9" fillId="2" borderId="0" xfId="50" applyFill="1" applyAlignment="1">
      <alignment vertical="center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3" xfId="50" applyFont="1" applyFill="1" applyBorder="1" applyAlignment="1">
      <alignment horizontal="center" vertical="center" wrapText="1"/>
    </xf>
    <xf numFmtId="0" fontId="9" fillId="0" borderId="3" xfId="50" applyFill="1" applyBorder="1" applyAlignment="1">
      <alignment vertical="center"/>
    </xf>
    <xf numFmtId="0" fontId="9" fillId="2" borderId="3" xfId="50" applyFill="1" applyBorder="1" applyAlignment="1">
      <alignment vertical="center"/>
    </xf>
    <xf numFmtId="0" fontId="31" fillId="2" borderId="1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/>
    </xf>
    <xf numFmtId="0" fontId="9" fillId="2" borderId="1" xfId="50" applyFill="1" applyBorder="1" applyAlignment="1">
      <alignment horizontal="right" vertical="center"/>
    </xf>
    <xf numFmtId="0" fontId="30" fillId="2" borderId="0" xfId="49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center" vertical="center" wrapText="1"/>
    </xf>
    <xf numFmtId="0" fontId="31" fillId="2" borderId="0" xfId="50" applyFont="1" applyFill="1" applyBorder="1" applyAlignment="1">
      <alignment horizontal="center" vertical="center"/>
    </xf>
    <xf numFmtId="0" fontId="31" fillId="2" borderId="0" xfId="50" applyFont="1" applyFill="1" applyBorder="1" applyAlignment="1">
      <alignment horizontal="right" vertical="center"/>
    </xf>
    <xf numFmtId="0" fontId="31" fillId="2" borderId="0" xfId="49" applyFont="1" applyFill="1" applyAlignment="1">
      <alignment vertical="center"/>
    </xf>
    <xf numFmtId="0" fontId="38" fillId="2" borderId="0" xfId="49" applyFont="1" applyFill="1" applyAlignment="1">
      <alignment vertical="center"/>
    </xf>
    <xf numFmtId="0" fontId="34" fillId="2" borderId="0" xfId="50" applyFont="1" applyFill="1" applyAlignment="1">
      <alignment vertical="center"/>
    </xf>
    <xf numFmtId="0" fontId="9" fillId="2" borderId="0" xfId="49" applyFill="1" applyAlignment="1">
      <alignment vertical="center"/>
    </xf>
    <xf numFmtId="0" fontId="33" fillId="2" borderId="0" xfId="49" applyFont="1" applyFill="1" applyAlignment="1">
      <alignment vertical="center"/>
    </xf>
    <xf numFmtId="165" fontId="28" fillId="2" borderId="1" xfId="51" applyNumberFormat="1" applyFont="1" applyFill="1" applyBorder="1"/>
    <xf numFmtId="167" fontId="28" fillId="2" borderId="1" xfId="51" applyNumberFormat="1" applyFont="1" applyFill="1" applyBorder="1"/>
    <xf numFmtId="167" fontId="28" fillId="5" borderId="1" xfId="49" applyNumberFormat="1" applyFont="1" applyFill="1" applyBorder="1"/>
    <xf numFmtId="167" fontId="28" fillId="2" borderId="1" xfId="50" applyNumberFormat="1" applyFont="1" applyFill="1" applyBorder="1"/>
    <xf numFmtId="0" fontId="9" fillId="2" borderId="0" xfId="50" applyFill="1" applyBorder="1" applyAlignment="1">
      <alignment vertical="center"/>
    </xf>
    <xf numFmtId="0" fontId="30" fillId="2" borderId="0" xfId="50" applyFont="1" applyFill="1" applyBorder="1" applyAlignment="1">
      <alignment horizontal="left" vertical="center"/>
    </xf>
    <xf numFmtId="166" fontId="30" fillId="2" borderId="0" xfId="50" applyNumberFormat="1" applyFont="1" applyFill="1" applyBorder="1" applyAlignment="1">
      <alignment horizontal="right" vertical="center"/>
    </xf>
    <xf numFmtId="166" fontId="30" fillId="2" borderId="0" xfId="50" applyNumberFormat="1" applyFont="1" applyFill="1" applyBorder="1" applyAlignment="1">
      <alignment vertical="center"/>
    </xf>
    <xf numFmtId="167" fontId="30" fillId="2" borderId="0" xfId="50" applyNumberFormat="1" applyFont="1" applyFill="1" applyBorder="1" applyAlignment="1">
      <alignment vertical="center"/>
    </xf>
    <xf numFmtId="0" fontId="9" fillId="2" borderId="0" xfId="50" applyFill="1" applyAlignment="1">
      <alignment horizontal="left" vertical="center"/>
    </xf>
    <xf numFmtId="0" fontId="54" fillId="2" borderId="0" xfId="56" applyFont="1" applyFill="1" applyAlignment="1">
      <alignment horizontal="left" vertical="center"/>
    </xf>
    <xf numFmtId="0" fontId="36" fillId="0" borderId="0" xfId="56" applyFont="1" applyFill="1" applyAlignment="1">
      <alignment horizontal="left" vertical="center"/>
    </xf>
    <xf numFmtId="0" fontId="54" fillId="2" borderId="0" xfId="56" applyFont="1" applyFill="1" applyAlignment="1">
      <alignment vertical="center"/>
    </xf>
    <xf numFmtId="0" fontId="36" fillId="0" borderId="0" xfId="55" applyFont="1"/>
    <xf numFmtId="0" fontId="7" fillId="2" borderId="1" xfId="56" applyFill="1" applyBorder="1" applyAlignment="1">
      <alignment vertical="center"/>
    </xf>
    <xf numFmtId="0" fontId="28" fillId="2" borderId="0" xfId="56" applyFont="1" applyFill="1" applyBorder="1" applyAlignment="1">
      <alignment horizontal="right" vertical="top" wrapText="1"/>
    </xf>
    <xf numFmtId="0" fontId="7" fillId="2" borderId="0" xfId="56" applyFill="1" applyAlignment="1">
      <alignment vertical="center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3" xfId="56" applyFont="1" applyFill="1" applyBorder="1" applyAlignment="1">
      <alignment horizontal="center" vertical="center" wrapText="1"/>
    </xf>
    <xf numFmtId="0" fontId="7" fillId="0" borderId="3" xfId="56" applyFill="1" applyBorder="1" applyAlignment="1">
      <alignment vertical="center"/>
    </xf>
    <xf numFmtId="0" fontId="7" fillId="2" borderId="3" xfId="56" applyFill="1" applyBorder="1" applyAlignment="1">
      <alignment vertical="center"/>
    </xf>
    <xf numFmtId="0" fontId="31" fillId="2" borderId="1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/>
    </xf>
    <xf numFmtId="0" fontId="7" fillId="2" borderId="1" xfId="56" applyFill="1" applyBorder="1" applyAlignment="1">
      <alignment horizontal="right" vertical="center"/>
    </xf>
    <xf numFmtId="0" fontId="30" fillId="2" borderId="0" xfId="55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center" vertical="center" wrapText="1"/>
    </xf>
    <xf numFmtId="0" fontId="31" fillId="2" borderId="0" xfId="56" applyFont="1" applyFill="1" applyBorder="1" applyAlignment="1">
      <alignment horizontal="center" vertical="center"/>
    </xf>
    <xf numFmtId="0" fontId="31" fillId="2" borderId="0" xfId="56" applyFont="1" applyFill="1" applyBorder="1" applyAlignment="1">
      <alignment horizontal="right" vertical="center"/>
    </xf>
    <xf numFmtId="0" fontId="31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0" fontId="34" fillId="2" borderId="0" xfId="56" applyFont="1" applyFill="1" applyAlignment="1">
      <alignment vertical="center"/>
    </xf>
    <xf numFmtId="0" fontId="7" fillId="2" borderId="0" xfId="55" applyFill="1" applyAlignment="1">
      <alignment vertical="center"/>
    </xf>
    <xf numFmtId="0" fontId="33" fillId="2" borderId="0" xfId="55" applyFont="1" applyFill="1" applyAlignment="1">
      <alignment vertical="center"/>
    </xf>
    <xf numFmtId="165" fontId="28" fillId="2" borderId="1" xfId="57" applyNumberFormat="1" applyFont="1" applyFill="1" applyBorder="1"/>
    <xf numFmtId="167" fontId="28" fillId="2" borderId="1" xfId="57" applyNumberFormat="1" applyFont="1" applyFill="1" applyBorder="1"/>
    <xf numFmtId="167" fontId="28" fillId="5" borderId="1" xfId="55" applyNumberFormat="1" applyFont="1" applyFill="1" applyBorder="1"/>
    <xf numFmtId="167" fontId="28" fillId="2" borderId="1" xfId="56" applyNumberFormat="1" applyFont="1" applyFill="1" applyBorder="1"/>
    <xf numFmtId="0" fontId="7" fillId="2" borderId="0" xfId="56" applyFill="1" applyBorder="1" applyAlignment="1">
      <alignment vertical="center"/>
    </xf>
    <xf numFmtId="0" fontId="30" fillId="2" borderId="0" xfId="56" applyFont="1" applyFill="1" applyBorder="1" applyAlignment="1">
      <alignment horizontal="left" vertical="center"/>
    </xf>
    <xf numFmtId="166" fontId="30" fillId="2" borderId="0" xfId="56" applyNumberFormat="1" applyFont="1" applyFill="1" applyBorder="1" applyAlignment="1">
      <alignment horizontal="right" vertical="center"/>
    </xf>
    <xf numFmtId="166" fontId="30" fillId="2" borderId="0" xfId="56" applyNumberFormat="1" applyFont="1" applyFill="1" applyBorder="1" applyAlignment="1">
      <alignment vertical="center"/>
    </xf>
    <xf numFmtId="167" fontId="30" fillId="2" borderId="0" xfId="56" applyNumberFormat="1" applyFont="1" applyFill="1" applyBorder="1" applyAlignment="1">
      <alignment vertical="center"/>
    </xf>
    <xf numFmtId="0" fontId="7" fillId="2" borderId="0" xfId="56" applyFill="1" applyAlignment="1">
      <alignment horizontal="left" vertical="center"/>
    </xf>
    <xf numFmtId="0" fontId="54" fillId="2" borderId="0" xfId="59" applyFont="1" applyFill="1" applyAlignment="1">
      <alignment vertical="center"/>
    </xf>
    <xf numFmtId="0" fontId="36" fillId="0" borderId="0" xfId="58" applyFont="1"/>
    <xf numFmtId="0" fontId="54" fillId="2" borderId="0" xfId="59" applyFont="1" applyFill="1" applyAlignment="1">
      <alignment horizontal="left" vertical="center"/>
    </xf>
    <xf numFmtId="0" fontId="67" fillId="2" borderId="1" xfId="59" applyFont="1" applyFill="1" applyBorder="1" applyAlignment="1">
      <alignment vertical="center"/>
    </xf>
    <xf numFmtId="0" fontId="70" fillId="2" borderId="1" xfId="59" applyFont="1" applyFill="1" applyBorder="1" applyAlignment="1">
      <alignment vertical="center" wrapText="1"/>
    </xf>
    <xf numFmtId="0" fontId="32" fillId="2" borderId="1" xfId="59" applyFont="1" applyFill="1" applyBorder="1" applyAlignment="1">
      <alignment vertical="center" wrapText="1"/>
    </xf>
    <xf numFmtId="0" fontId="28" fillId="2" borderId="3" xfId="59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vertical="center"/>
    </xf>
    <xf numFmtId="0" fontId="28" fillId="2" borderId="0" xfId="59" applyFont="1" applyFill="1" applyBorder="1" applyAlignment="1">
      <alignment horizontal="right" vertical="center" wrapText="1"/>
    </xf>
    <xf numFmtId="0" fontId="32" fillId="2" borderId="1" xfId="59" applyFont="1" applyFill="1" applyBorder="1" applyAlignment="1">
      <alignment vertical="center"/>
    </xf>
    <xf numFmtId="0" fontId="28" fillId="2" borderId="1" xfId="59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28" fillId="2" borderId="0" xfId="58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center" vertical="center" wrapText="1"/>
    </xf>
    <xf numFmtId="0" fontId="32" fillId="2" borderId="0" xfId="59" applyFont="1" applyFill="1" applyBorder="1" applyAlignment="1">
      <alignment horizontal="center" vertical="center"/>
    </xf>
    <xf numFmtId="0" fontId="32" fillId="2" borderId="0" xfId="59" applyFont="1" applyFill="1" applyBorder="1" applyAlignment="1">
      <alignment horizontal="right" vertical="center"/>
    </xf>
    <xf numFmtId="0" fontId="32" fillId="2" borderId="3" xfId="59" applyFont="1" applyFill="1" applyBorder="1" applyAlignment="1">
      <alignment horizontal="right" vertical="center"/>
    </xf>
    <xf numFmtId="0" fontId="32" fillId="2" borderId="0" xfId="59" applyFont="1" applyFill="1" applyAlignment="1">
      <alignment horizontal="right" vertical="center"/>
    </xf>
    <xf numFmtId="0" fontId="71" fillId="2" borderId="0" xfId="59" applyFont="1" applyFill="1" applyAlignment="1">
      <alignment vertical="center"/>
    </xf>
    <xf numFmtId="0" fontId="69" fillId="2" borderId="0" xfId="58" applyFont="1" applyFill="1" applyAlignment="1">
      <alignment vertical="center"/>
    </xf>
    <xf numFmtId="0" fontId="67" fillId="2" borderId="0" xfId="59" applyFont="1" applyFill="1" applyAlignment="1">
      <alignment vertical="center"/>
    </xf>
    <xf numFmtId="0" fontId="37" fillId="2" borderId="0" xfId="58" applyFont="1" applyFill="1" applyAlignment="1">
      <alignment vertical="center"/>
    </xf>
    <xf numFmtId="165" fontId="28" fillId="2" borderId="1" xfId="59" applyNumberFormat="1" applyFont="1" applyFill="1" applyBorder="1"/>
    <xf numFmtId="167" fontId="28" fillId="2" borderId="1" xfId="59" applyNumberFormat="1" applyFont="1" applyFill="1" applyBorder="1"/>
    <xf numFmtId="0" fontId="67" fillId="2" borderId="0" xfId="59" applyFont="1" applyFill="1" applyBorder="1" applyAlignment="1">
      <alignment vertical="center"/>
    </xf>
    <xf numFmtId="0" fontId="28" fillId="2" borderId="0" xfId="59" applyFont="1" applyFill="1" applyBorder="1" applyAlignment="1">
      <alignment vertical="center"/>
    </xf>
    <xf numFmtId="166" fontId="28" fillId="2" borderId="0" xfId="59" applyNumberFormat="1" applyFont="1" applyFill="1" applyBorder="1" applyAlignment="1">
      <alignment horizontal="right" vertical="center"/>
    </xf>
    <xf numFmtId="166" fontId="28" fillId="2" borderId="0" xfId="59" applyNumberFormat="1" applyFont="1" applyFill="1" applyBorder="1" applyAlignment="1">
      <alignment vertical="center"/>
    </xf>
    <xf numFmtId="0" fontId="54" fillId="2" borderId="0" xfId="62" applyFont="1" applyFill="1" applyAlignment="1">
      <alignment horizontal="left" vertical="center"/>
    </xf>
    <xf numFmtId="0" fontId="36" fillId="0" borderId="0" xfId="62" applyFont="1" applyAlignment="1">
      <alignment horizontal="left" vertical="center"/>
    </xf>
    <xf numFmtId="0" fontId="54" fillId="2" borderId="0" xfId="62" applyFont="1" applyFill="1" applyAlignment="1">
      <alignment vertical="center"/>
    </xf>
    <xf numFmtId="0" fontId="55" fillId="0" borderId="0" xfId="63" applyFont="1"/>
    <xf numFmtId="0" fontId="55" fillId="2" borderId="0" xfId="62" applyFont="1" applyFill="1" applyAlignment="1">
      <alignment vertical="center"/>
    </xf>
    <xf numFmtId="0" fontId="55" fillId="2" borderId="0" xfId="62" applyFont="1" applyFill="1" applyAlignment="1">
      <alignment horizontal="left" vertical="center"/>
    </xf>
    <xf numFmtId="164" fontId="55" fillId="2" borderId="0" xfId="65" applyFont="1" applyFill="1" applyBorder="1" applyAlignment="1">
      <alignment horizontal="right" vertical="top"/>
    </xf>
    <xf numFmtId="0" fontId="55" fillId="2" borderId="0" xfId="64" applyFont="1" applyFill="1" applyAlignment="1">
      <alignment vertical="center"/>
    </xf>
    <xf numFmtId="0" fontId="67" fillId="2" borderId="1" xfId="62" applyFont="1" applyFill="1" applyBorder="1" applyAlignment="1">
      <alignment vertical="center"/>
    </xf>
    <xf numFmtId="0" fontId="28" fillId="2" borderId="0" xfId="62" applyFont="1" applyFill="1" applyAlignment="1">
      <alignment horizontal="right" vertical="top" wrapText="1"/>
    </xf>
    <xf numFmtId="0" fontId="67" fillId="2" borderId="0" xfId="62" applyFont="1" applyFill="1" applyAlignment="1">
      <alignment vertical="center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Border="1" applyAlignment="1">
      <alignment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3" xfId="62" applyFont="1" applyFill="1" applyBorder="1" applyAlignment="1">
      <alignment horizontal="center" vertical="center" wrapText="1"/>
    </xf>
    <xf numFmtId="0" fontId="67" fillId="0" borderId="3" xfId="62" applyFont="1" applyBorder="1" applyAlignment="1">
      <alignment vertical="center"/>
    </xf>
    <xf numFmtId="0" fontId="67" fillId="2" borderId="3" xfId="62" applyFont="1" applyFill="1" applyBorder="1" applyAlignment="1">
      <alignment vertical="center"/>
    </xf>
    <xf numFmtId="0" fontId="67" fillId="2" borderId="0" xfId="62" applyFont="1" applyFill="1" applyBorder="1" applyAlignment="1">
      <alignment vertical="center"/>
    </xf>
    <xf numFmtId="0" fontId="32" fillId="2" borderId="1" xfId="62" applyFont="1" applyFill="1" applyBorder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/>
    </xf>
    <xf numFmtId="0" fontId="67" fillId="2" borderId="1" xfId="62" applyFont="1" applyFill="1" applyBorder="1" applyAlignment="1">
      <alignment horizontal="right" vertical="center"/>
    </xf>
    <xf numFmtId="0" fontId="28" fillId="2" borderId="0" xfId="63" applyFont="1" applyFill="1" applyAlignment="1">
      <alignment horizontal="left" vertical="center" wrapText="1"/>
    </xf>
    <xf numFmtId="0" fontId="32" fillId="2" borderId="0" xfId="62" applyFont="1" applyFill="1" applyAlignment="1">
      <alignment horizontal="left" vertical="center" wrapText="1"/>
    </xf>
    <xf numFmtId="0" fontId="32" fillId="2" borderId="0" xfId="62" applyFont="1" applyFill="1" applyAlignment="1">
      <alignment horizontal="center" vertical="center" wrapText="1"/>
    </xf>
    <xf numFmtId="0" fontId="32" fillId="2" borderId="0" xfId="62" applyFont="1" applyFill="1" applyAlignment="1">
      <alignment horizontal="center" vertical="center"/>
    </xf>
    <xf numFmtId="0" fontId="32" fillId="2" borderId="0" xfId="62" applyFont="1" applyFill="1" applyAlignment="1">
      <alignment horizontal="right" vertical="center"/>
    </xf>
    <xf numFmtId="0" fontId="32" fillId="2" borderId="0" xfId="63" applyFont="1" applyFill="1" applyAlignment="1">
      <alignment vertical="center"/>
    </xf>
    <xf numFmtId="0" fontId="69" fillId="2" borderId="0" xfId="61" applyFont="1" applyFill="1" applyAlignment="1">
      <alignment vertical="center"/>
    </xf>
    <xf numFmtId="0" fontId="71" fillId="2" borderId="0" xfId="62" applyFont="1" applyFill="1" applyAlignment="1">
      <alignment vertical="center"/>
    </xf>
    <xf numFmtId="0" fontId="67" fillId="2" borderId="0" xfId="63" applyFont="1" applyFill="1" applyAlignment="1">
      <alignment vertical="center"/>
    </xf>
    <xf numFmtId="0" fontId="37" fillId="2" borderId="0" xfId="61" applyFont="1" applyFill="1" applyAlignment="1">
      <alignment vertical="center"/>
    </xf>
    <xf numFmtId="0" fontId="28" fillId="2" borderId="1" xfId="62" applyFont="1" applyFill="1" applyBorder="1" applyAlignment="1">
      <alignment horizontal="left" vertical="center"/>
    </xf>
    <xf numFmtId="166" fontId="28" fillId="2" borderId="1" xfId="62" applyNumberFormat="1" applyFont="1" applyFill="1" applyBorder="1" applyAlignment="1">
      <alignment horizontal="right" vertical="center"/>
    </xf>
    <xf numFmtId="166" fontId="28" fillId="2" borderId="1" xfId="62" applyNumberFormat="1" applyFont="1" applyFill="1" applyBorder="1" applyAlignment="1">
      <alignment vertical="center"/>
    </xf>
    <xf numFmtId="167" fontId="28" fillId="2" borderId="1" xfId="62" applyNumberFormat="1" applyFont="1" applyFill="1" applyBorder="1" applyAlignment="1">
      <alignment vertical="center"/>
    </xf>
    <xf numFmtId="0" fontId="28" fillId="2" borderId="0" xfId="62" applyFont="1" applyFill="1" applyAlignment="1">
      <alignment horizontal="left" vertical="center"/>
    </xf>
    <xf numFmtId="166" fontId="28" fillId="2" borderId="0" xfId="62" applyNumberFormat="1" applyFont="1" applyFill="1" applyAlignment="1">
      <alignment horizontal="right" vertical="center"/>
    </xf>
    <xf numFmtId="166" fontId="28" fillId="2" borderId="0" xfId="62" applyNumberFormat="1" applyFont="1" applyFill="1" applyAlignment="1">
      <alignment vertical="center"/>
    </xf>
    <xf numFmtId="167" fontId="28" fillId="2" borderId="0" xfId="62" applyNumberFormat="1" applyFont="1" applyFill="1" applyAlignment="1">
      <alignment vertical="center"/>
    </xf>
    <xf numFmtId="0" fontId="68" fillId="2" borderId="0" xfId="62" applyFont="1" applyFill="1" applyAlignment="1">
      <alignment vertical="center"/>
    </xf>
    <xf numFmtId="0" fontId="28" fillId="2" borderId="0" xfId="66" applyFont="1" applyFill="1" applyAlignment="1">
      <alignment horizontal="left" vertical="center"/>
    </xf>
    <xf numFmtId="166" fontId="28" fillId="2" borderId="0" xfId="66" applyNumberFormat="1" applyFont="1" applyFill="1" applyAlignment="1">
      <alignment horizontal="right" vertical="center"/>
    </xf>
    <xf numFmtId="166" fontId="28" fillId="2" borderId="0" xfId="66" applyNumberFormat="1" applyFont="1" applyFill="1" applyAlignment="1">
      <alignment vertical="center"/>
    </xf>
    <xf numFmtId="0" fontId="68" fillId="2" borderId="0" xfId="66" applyFont="1" applyFill="1" applyAlignment="1">
      <alignment vertical="center"/>
    </xf>
    <xf numFmtId="167" fontId="28" fillId="2" borderId="0" xfId="66" applyNumberFormat="1" applyFont="1" applyFill="1" applyAlignment="1">
      <alignment vertical="center"/>
    </xf>
    <xf numFmtId="0" fontId="5" fillId="2" borderId="0" xfId="62" applyFill="1" applyAlignment="1">
      <alignment vertical="center"/>
    </xf>
    <xf numFmtId="0" fontId="5" fillId="2" borderId="0" xfId="62" applyFill="1" applyAlignment="1">
      <alignment horizontal="left" vertical="center"/>
    </xf>
    <xf numFmtId="0" fontId="54" fillId="2" borderId="0" xfId="68" applyFont="1" applyFill="1" applyAlignment="1">
      <alignment horizontal="left" vertical="center"/>
    </xf>
    <xf numFmtId="0" fontId="36" fillId="2" borderId="0" xfId="68" applyFont="1" applyFill="1" applyAlignment="1">
      <alignment horizontal="left" vertical="center"/>
    </xf>
    <xf numFmtId="0" fontId="54" fillId="2" borderId="0" xfId="68" applyFont="1" applyFill="1" applyAlignment="1">
      <alignment vertical="center"/>
    </xf>
    <xf numFmtId="0" fontId="36" fillId="2" borderId="0" xfId="69" applyFont="1" applyFill="1"/>
    <xf numFmtId="164" fontId="55" fillId="2" borderId="0" xfId="71" applyFont="1" applyFill="1" applyBorder="1" applyAlignment="1">
      <alignment horizontal="right" vertical="top"/>
    </xf>
    <xf numFmtId="0" fontId="55" fillId="2" borderId="0" xfId="70" applyFont="1" applyFill="1" applyAlignment="1">
      <alignment vertical="center"/>
    </xf>
    <xf numFmtId="0" fontId="55" fillId="2" borderId="0" xfId="68" applyFont="1" applyFill="1" applyAlignment="1">
      <alignment vertical="center"/>
    </xf>
    <xf numFmtId="0" fontId="67" fillId="2" borderId="1" xfId="68" applyFont="1" applyFill="1" applyBorder="1" applyAlignment="1">
      <alignment vertical="center"/>
    </xf>
    <xf numFmtId="0" fontId="28" fillId="2" borderId="0" xfId="68" applyFont="1" applyFill="1" applyAlignment="1">
      <alignment horizontal="right" vertical="top" wrapText="1"/>
    </xf>
    <xf numFmtId="0" fontId="67" fillId="2" borderId="0" xfId="68" applyFont="1" applyFill="1" applyAlignment="1">
      <alignment vertical="center"/>
    </xf>
    <xf numFmtId="0" fontId="32" fillId="2" borderId="3" xfId="68" applyFont="1" applyFill="1" applyBorder="1" applyAlignment="1">
      <alignment horizontal="right" vertical="center" wrapText="1"/>
    </xf>
    <xf numFmtId="0" fontId="32" fillId="2" borderId="0" xfId="68" applyFont="1" applyFill="1" applyBorder="1" applyAlignment="1">
      <alignment vertical="center" wrapText="1"/>
    </xf>
    <xf numFmtId="0" fontId="32" fillId="2" borderId="0" xfId="68" applyFont="1" applyFill="1" applyAlignment="1">
      <alignment horizontal="right" vertical="center" wrapText="1"/>
    </xf>
    <xf numFmtId="0" fontId="32" fillId="2" borderId="3" xfId="68" applyFont="1" applyFill="1" applyBorder="1" applyAlignment="1">
      <alignment horizontal="center" vertical="center" wrapText="1"/>
    </xf>
    <xf numFmtId="0" fontId="67" fillId="0" borderId="3" xfId="68" applyFont="1" applyBorder="1" applyAlignment="1">
      <alignment vertical="center"/>
    </xf>
    <xf numFmtId="0" fontId="67" fillId="2" borderId="3" xfId="68" applyFont="1" applyFill="1" applyBorder="1" applyAlignment="1">
      <alignment vertical="center"/>
    </xf>
    <xf numFmtId="0" fontId="67" fillId="2" borderId="0" xfId="68" applyFont="1" applyFill="1" applyBorder="1" applyAlignment="1">
      <alignment vertical="center"/>
    </xf>
    <xf numFmtId="0" fontId="32" fillId="2" borderId="1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/>
    </xf>
    <xf numFmtId="0" fontId="67" fillId="2" borderId="1" xfId="68" applyFont="1" applyFill="1" applyBorder="1" applyAlignment="1">
      <alignment horizontal="right" vertical="center"/>
    </xf>
    <xf numFmtId="0" fontId="67" fillId="2" borderId="0" xfId="68" applyFont="1" applyFill="1" applyAlignment="1">
      <alignment horizontal="right" vertical="center"/>
    </xf>
    <xf numFmtId="0" fontId="28" fillId="2" borderId="0" xfId="69" applyFont="1" applyFill="1" applyAlignment="1">
      <alignment horizontal="left" vertical="center" wrapText="1"/>
    </xf>
    <xf numFmtId="0" fontId="32" fillId="2" borderId="0" xfId="68" applyFont="1" applyFill="1" applyAlignment="1">
      <alignment horizontal="left" vertical="center" wrapText="1"/>
    </xf>
    <xf numFmtId="0" fontId="32" fillId="2" borderId="0" xfId="68" applyFont="1" applyFill="1" applyAlignment="1">
      <alignment horizontal="center" vertical="center" wrapText="1"/>
    </xf>
    <xf numFmtId="0" fontId="32" fillId="2" borderId="0" xfId="68" applyFont="1" applyFill="1" applyAlignment="1">
      <alignment horizontal="center" vertical="center"/>
    </xf>
    <xf numFmtId="0" fontId="32" fillId="2" borderId="0" xfId="68" applyFont="1" applyFill="1" applyAlignment="1">
      <alignment horizontal="right" vertical="center"/>
    </xf>
    <xf numFmtId="0" fontId="32" fillId="2" borderId="0" xfId="69" applyFont="1" applyFill="1" applyAlignment="1">
      <alignment vertical="center"/>
    </xf>
    <xf numFmtId="0" fontId="69" fillId="2" borderId="0" xfId="67" applyFont="1" applyFill="1" applyAlignment="1">
      <alignment vertical="center"/>
    </xf>
    <xf numFmtId="0" fontId="71" fillId="2" borderId="0" xfId="68" applyFont="1" applyFill="1" applyAlignment="1">
      <alignment vertical="center"/>
    </xf>
    <xf numFmtId="0" fontId="67" fillId="2" borderId="0" xfId="69" applyFont="1" applyFill="1" applyAlignment="1">
      <alignment vertical="center"/>
    </xf>
    <xf numFmtId="0" fontId="37" fillId="2" borderId="0" xfId="67" applyFont="1" applyFill="1" applyAlignment="1">
      <alignment vertical="center"/>
    </xf>
    <xf numFmtId="165" fontId="28" fillId="2" borderId="1" xfId="70" applyNumberFormat="1" applyFont="1" applyFill="1" applyBorder="1"/>
    <xf numFmtId="167" fontId="28" fillId="2" borderId="1" xfId="70" applyNumberFormat="1" applyFont="1" applyFill="1" applyBorder="1"/>
    <xf numFmtId="167" fontId="28" fillId="5" borderId="1" xfId="69" applyNumberFormat="1" applyFont="1" applyFill="1" applyBorder="1"/>
    <xf numFmtId="167" fontId="28" fillId="2" borderId="1" xfId="68" applyNumberFormat="1" applyFont="1" applyFill="1" applyBorder="1"/>
    <xf numFmtId="0" fontId="28" fillId="2" borderId="0" xfId="68" applyFont="1" applyFill="1" applyAlignment="1">
      <alignment horizontal="left" vertical="center"/>
    </xf>
    <xf numFmtId="166" fontId="28" fillId="2" borderId="0" xfId="68" applyNumberFormat="1" applyFont="1" applyFill="1" applyAlignment="1">
      <alignment horizontal="right" vertical="center"/>
    </xf>
    <xf numFmtId="166" fontId="28" fillId="2" borderId="0" xfId="68" applyNumberFormat="1" applyFont="1" applyFill="1" applyAlignment="1">
      <alignment vertical="center"/>
    </xf>
    <xf numFmtId="167" fontId="28" fillId="2" borderId="0" xfId="68" applyNumberFormat="1" applyFont="1" applyFill="1" applyAlignment="1">
      <alignment vertical="center"/>
    </xf>
    <xf numFmtId="0" fontId="68" fillId="2" borderId="0" xfId="68" applyFont="1" applyFill="1" applyAlignment="1">
      <alignment vertical="center"/>
    </xf>
    <xf numFmtId="0" fontId="28" fillId="2" borderId="0" xfId="72" applyFont="1" applyFill="1" applyAlignment="1">
      <alignment horizontal="left" vertical="center"/>
    </xf>
    <xf numFmtId="166" fontId="28" fillId="2" borderId="0" xfId="72" applyNumberFormat="1" applyFont="1" applyFill="1" applyAlignment="1">
      <alignment horizontal="right" vertical="center"/>
    </xf>
    <xf numFmtId="166" fontId="28" fillId="2" borderId="0" xfId="72" applyNumberFormat="1" applyFont="1" applyFill="1" applyAlignment="1">
      <alignment vertical="center"/>
    </xf>
    <xf numFmtId="0" fontId="68" fillId="2" borderId="0" xfId="72" applyFont="1" applyFill="1" applyAlignment="1">
      <alignment vertical="center"/>
    </xf>
    <xf numFmtId="167" fontId="28" fillId="2" borderId="0" xfId="72" applyNumberFormat="1" applyFont="1" applyFill="1" applyAlignment="1">
      <alignment vertical="center"/>
    </xf>
    <xf numFmtId="0" fontId="4" fillId="2" borderId="0" xfId="68" applyFill="1" applyAlignment="1">
      <alignment vertical="center"/>
    </xf>
    <xf numFmtId="0" fontId="4" fillId="2" borderId="0" xfId="68" applyFill="1" applyBorder="1" applyAlignment="1">
      <alignment vertical="center"/>
    </xf>
    <xf numFmtId="0" fontId="4" fillId="2" borderId="0" xfId="69" applyFill="1" applyBorder="1" applyAlignment="1">
      <alignment vertical="center"/>
    </xf>
    <xf numFmtId="0" fontId="4" fillId="2" borderId="0" xfId="69" applyFill="1" applyAlignment="1">
      <alignment vertical="center"/>
    </xf>
    <xf numFmtId="0" fontId="37" fillId="2" borderId="0" xfId="68" applyFont="1" applyFill="1" applyAlignment="1">
      <alignment vertical="top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36" fillId="0" borderId="0" xfId="74" applyFont="1"/>
    <xf numFmtId="171" fontId="44" fillId="2" borderId="0" xfId="0" applyNumberFormat="1" applyFont="1" applyFill="1" applyAlignment="1">
      <alignment horizontal="right" vertical="center"/>
    </xf>
    <xf numFmtId="171" fontId="45" fillId="0" borderId="0" xfId="0" applyNumberFormat="1" applyFont="1" applyFill="1" applyAlignment="1">
      <alignment horizontal="right" vertical="center"/>
    </xf>
    <xf numFmtId="0" fontId="54" fillId="2" borderId="0" xfId="76" applyFont="1" applyFill="1" applyAlignment="1">
      <alignment horizontal="left" vertical="center"/>
    </xf>
    <xf numFmtId="0" fontId="36" fillId="0" borderId="0" xfId="76" applyFont="1" applyFill="1" applyAlignment="1">
      <alignment horizontal="left" vertical="center"/>
    </xf>
    <xf numFmtId="0" fontId="54" fillId="2" borderId="0" xfId="76" applyFont="1" applyFill="1" applyAlignment="1">
      <alignment vertical="center"/>
    </xf>
    <xf numFmtId="0" fontId="36" fillId="0" borderId="0" xfId="75" applyFont="1"/>
    <xf numFmtId="164" fontId="54" fillId="2" borderId="0" xfId="78" applyFont="1" applyFill="1" applyBorder="1" applyAlignment="1">
      <alignment horizontal="right" vertical="top"/>
    </xf>
    <xf numFmtId="0" fontId="54" fillId="2" borderId="0" xfId="77" applyFont="1" applyFill="1" applyAlignment="1">
      <alignment vertical="center"/>
    </xf>
    <xf numFmtId="0" fontId="1" fillId="2" borderId="1" xfId="76" applyFill="1" applyBorder="1" applyAlignment="1">
      <alignment vertical="center"/>
    </xf>
    <xf numFmtId="0" fontId="28" fillId="2" borderId="0" xfId="76" applyFont="1" applyFill="1" applyBorder="1" applyAlignment="1">
      <alignment horizontal="right" vertical="top" wrapText="1"/>
    </xf>
    <xf numFmtId="0" fontId="1" fillId="2" borderId="0" xfId="76" applyFill="1" applyAlignment="1">
      <alignment vertical="center"/>
    </xf>
    <xf numFmtId="0" fontId="31" fillId="2" borderId="3" xfId="76" applyFont="1" applyFill="1" applyBorder="1" applyAlignment="1">
      <alignment horizontal="right" vertical="center" wrapText="1"/>
    </xf>
    <xf numFmtId="0" fontId="31" fillId="2" borderId="0" xfId="76" applyFont="1" applyFill="1" applyBorder="1" applyAlignment="1">
      <alignment horizontal="right" vertical="center" wrapText="1"/>
    </xf>
    <xf numFmtId="0" fontId="31" fillId="2" borderId="3" xfId="76" applyFont="1" applyFill="1" applyBorder="1" applyAlignment="1">
      <alignment horizontal="center" vertical="center" wrapText="1"/>
    </xf>
    <xf numFmtId="0" fontId="1" fillId="0" borderId="3" xfId="76" applyFill="1" applyBorder="1" applyAlignment="1">
      <alignment vertical="center"/>
    </xf>
    <xf numFmtId="0" fontId="1" fillId="2" borderId="3" xfId="76" applyFill="1" applyBorder="1" applyAlignment="1">
      <alignment vertical="center"/>
    </xf>
    <xf numFmtId="0" fontId="31" fillId="2" borderId="1" xfId="76" applyFont="1" applyFill="1" applyBorder="1" applyAlignment="1">
      <alignment horizontal="right" vertical="center" wrapText="1"/>
    </xf>
    <xf numFmtId="0" fontId="31" fillId="2" borderId="1" xfId="76" applyFont="1" applyFill="1" applyBorder="1" applyAlignment="1">
      <alignment horizontal="right" vertical="center"/>
    </xf>
    <xf numFmtId="0" fontId="1" fillId="2" borderId="1" xfId="76" applyFill="1" applyBorder="1" applyAlignment="1">
      <alignment horizontal="right" vertical="center"/>
    </xf>
    <xf numFmtId="0" fontId="30" fillId="2" borderId="0" xfId="75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center" vertical="center" wrapText="1"/>
    </xf>
    <xf numFmtId="0" fontId="31" fillId="2" borderId="0" xfId="76" applyFont="1" applyFill="1" applyBorder="1" applyAlignment="1">
      <alignment horizontal="center" vertical="center"/>
    </xf>
    <xf numFmtId="0" fontId="31" fillId="2" borderId="0" xfId="76" applyFont="1" applyFill="1" applyBorder="1" applyAlignment="1">
      <alignment horizontal="right" vertical="center"/>
    </xf>
    <xf numFmtId="0" fontId="31" fillId="2" borderId="0" xfId="75" applyFont="1" applyFill="1" applyAlignment="1">
      <alignment vertical="center"/>
    </xf>
    <xf numFmtId="0" fontId="38" fillId="2" borderId="0" xfId="75" applyFont="1" applyFill="1" applyAlignment="1">
      <alignment vertical="center"/>
    </xf>
    <xf numFmtId="0" fontId="33" fillId="2" borderId="0" xfId="75" applyFont="1" applyFill="1" applyAlignment="1">
      <alignment vertical="center"/>
    </xf>
    <xf numFmtId="0" fontId="27" fillId="0" borderId="0" xfId="0" applyFont="1" applyAlignment="1">
      <alignment vertical="center"/>
    </xf>
    <xf numFmtId="0" fontId="37" fillId="0" borderId="21" xfId="32" applyFont="1" applyBorder="1" applyAlignment="1">
      <alignment horizontal="left" vertical="center" wrapText="1" indent="1"/>
    </xf>
    <xf numFmtId="0" fontId="37" fillId="0" borderId="20" xfId="32" applyFont="1" applyBorder="1" applyAlignment="1">
      <alignment horizontal="left" vertical="center" wrapText="1" indent="1"/>
    </xf>
    <xf numFmtId="0" fontId="37" fillId="0" borderId="22" xfId="32" applyFont="1" applyBorder="1" applyAlignment="1">
      <alignment horizontal="left" vertical="center" wrapText="1" indent="1"/>
    </xf>
    <xf numFmtId="0" fontId="37" fillId="0" borderId="17" xfId="32" applyFont="1" applyBorder="1" applyAlignment="1">
      <alignment horizontal="left" vertical="center" wrapText="1" indent="1"/>
    </xf>
    <xf numFmtId="0" fontId="37" fillId="0" borderId="16" xfId="32" applyFont="1" applyBorder="1" applyAlignment="1">
      <alignment horizontal="left" vertical="center" wrapText="1" indent="1"/>
    </xf>
    <xf numFmtId="0" fontId="37" fillId="0" borderId="18" xfId="32" applyFont="1" applyBorder="1" applyAlignment="1">
      <alignment horizontal="left" vertical="center" wrapText="1" indent="1"/>
    </xf>
    <xf numFmtId="0" fontId="62" fillId="0" borderId="10" xfId="14" applyFont="1" applyFill="1" applyBorder="1" applyAlignment="1">
      <alignment horizontal="center" vertical="center" wrapText="1"/>
    </xf>
    <xf numFmtId="0" fontId="63" fillId="0" borderId="15" xfId="14" applyFont="1" applyFill="1" applyBorder="1" applyAlignment="1">
      <alignment horizontal="center" vertical="center" wrapText="1"/>
    </xf>
    <xf numFmtId="0" fontId="63" fillId="0" borderId="19" xfId="14" applyFont="1" applyFill="1" applyBorder="1" applyAlignment="1">
      <alignment horizontal="center" vertical="center" wrapText="1"/>
    </xf>
    <xf numFmtId="0" fontId="37" fillId="0" borderId="12" xfId="32" applyFont="1" applyBorder="1" applyAlignment="1">
      <alignment horizontal="left" vertical="center" wrapText="1" indent="1"/>
    </xf>
    <xf numFmtId="0" fontId="37" fillId="0" borderId="13" xfId="32" applyFont="1" applyBorder="1" applyAlignment="1">
      <alignment horizontal="left" vertical="center" wrapText="1" indent="1"/>
    </xf>
    <xf numFmtId="0" fontId="37" fillId="0" borderId="14" xfId="32" applyFont="1" applyBorder="1" applyAlignment="1">
      <alignment horizontal="left" vertical="center" wrapText="1" indent="1"/>
    </xf>
    <xf numFmtId="0" fontId="61" fillId="9" borderId="8" xfId="32" applyFont="1" applyFill="1" applyBorder="1" applyAlignment="1">
      <alignment horizontal="center" vertical="center"/>
    </xf>
    <xf numFmtId="0" fontId="61" fillId="9" borderId="9" xfId="32" applyFont="1" applyFill="1" applyBorder="1" applyAlignment="1">
      <alignment horizontal="center" vertical="center"/>
    </xf>
    <xf numFmtId="0" fontId="60" fillId="0" borderId="0" xfId="32" applyFont="1" applyAlignment="1">
      <alignment horizontal="center" vertical="center"/>
    </xf>
    <xf numFmtId="0" fontId="65" fillId="0" borderId="0" xfId="32" applyFont="1" applyAlignment="1">
      <alignment horizontal="center" vertical="center"/>
    </xf>
    <xf numFmtId="0" fontId="61" fillId="8" borderId="0" xfId="32" applyFont="1" applyFill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0" xfId="32" applyFont="1" applyAlignment="1">
      <alignment horizontal="right"/>
    </xf>
    <xf numFmtId="0" fontId="58" fillId="0" borderId="0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right" vertical="center" wrapText="1"/>
    </xf>
    <xf numFmtId="0" fontId="44" fillId="0" borderId="1" xfId="18" applyFont="1" applyBorder="1" applyAlignment="1">
      <alignment horizontal="right" vertical="center" wrapText="1"/>
    </xf>
    <xf numFmtId="0" fontId="31" fillId="0" borderId="3" xfId="18" applyFont="1" applyBorder="1" applyAlignment="1">
      <alignment horizontal="right" vertical="center" wrapText="1"/>
    </xf>
    <xf numFmtId="0" fontId="31" fillId="0" borderId="1" xfId="18" applyFont="1" applyBorder="1" applyAlignment="1">
      <alignment horizontal="right" vertical="center" wrapText="1"/>
    </xf>
    <xf numFmtId="0" fontId="32" fillId="0" borderId="3" xfId="18" applyFont="1" applyFill="1" applyBorder="1" applyAlignment="1">
      <alignment horizontal="right" vertical="center" wrapText="1"/>
    </xf>
    <xf numFmtId="0" fontId="32" fillId="0" borderId="1" xfId="18" applyFont="1" applyFill="1" applyBorder="1" applyAlignment="1">
      <alignment horizontal="right" vertical="center" wrapText="1"/>
    </xf>
    <xf numFmtId="0" fontId="39" fillId="2" borderId="0" xfId="0" applyFont="1" applyFill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9" fillId="2" borderId="0" xfId="38" applyFont="1" applyFill="1" applyAlignment="1">
      <alignment horizontal="left" vertical="center" wrapText="1"/>
    </xf>
    <xf numFmtId="0" fontId="32" fillId="2" borderId="3" xfId="38" applyFont="1" applyFill="1" applyBorder="1" applyAlignment="1">
      <alignment horizontal="left" vertical="center" wrapText="1"/>
    </xf>
    <xf numFmtId="0" fontId="32" fillId="2" borderId="0" xfId="38" applyFont="1" applyFill="1" applyBorder="1" applyAlignment="1">
      <alignment horizontal="left" vertical="center" wrapText="1"/>
    </xf>
    <xf numFmtId="0" fontId="32" fillId="2" borderId="1" xfId="38" applyFont="1" applyFill="1" applyBorder="1" applyAlignment="1">
      <alignment horizontal="left" vertical="center" wrapText="1"/>
    </xf>
    <xf numFmtId="0" fontId="32" fillId="0" borderId="3" xfId="37" applyFont="1" applyFill="1" applyBorder="1" applyAlignment="1">
      <alignment horizontal="right" vertical="center" wrapText="1"/>
    </xf>
    <xf numFmtId="0" fontId="32" fillId="0" borderId="0" xfId="37" applyFont="1" applyFill="1" applyBorder="1" applyAlignment="1">
      <alignment horizontal="right" vertical="center" wrapText="1"/>
    </xf>
    <xf numFmtId="0" fontId="32" fillId="0" borderId="1" xfId="37" applyFont="1" applyFill="1" applyBorder="1" applyAlignment="1">
      <alignment horizontal="right" vertical="center" wrapText="1"/>
    </xf>
    <xf numFmtId="0" fontId="32" fillId="2" borderId="2" xfId="37" applyFont="1" applyFill="1" applyBorder="1" applyAlignment="1">
      <alignment horizontal="center" vertical="center"/>
    </xf>
    <xf numFmtId="0" fontId="32" fillId="2" borderId="2" xfId="38" applyFont="1" applyFill="1" applyBorder="1" applyAlignment="1">
      <alignment horizontal="center" vertical="center" wrapText="1"/>
    </xf>
    <xf numFmtId="0" fontId="32" fillId="2" borderId="2" xfId="37" applyFont="1" applyFill="1" applyBorder="1" applyAlignment="1">
      <alignment horizontal="center" vertical="center" wrapText="1"/>
    </xf>
    <xf numFmtId="0" fontId="32" fillId="0" borderId="2" xfId="37" applyFont="1" applyFill="1" applyBorder="1" applyAlignment="1">
      <alignment horizontal="center" vertical="center" wrapText="1"/>
    </xf>
    <xf numFmtId="0" fontId="31" fillId="2" borderId="2" xfId="41" applyFont="1" applyFill="1" applyBorder="1" applyAlignment="1">
      <alignment horizontal="center" vertical="center" wrapText="1"/>
    </xf>
    <xf numFmtId="0" fontId="56" fillId="2" borderId="0" xfId="42" applyFont="1" applyFill="1" applyAlignment="1">
      <alignment horizontal="left" vertical="center" wrapText="1"/>
    </xf>
    <xf numFmtId="0" fontId="39" fillId="2" borderId="1" xfId="41" applyFont="1" applyFill="1" applyBorder="1" applyAlignment="1">
      <alignment horizontal="justify" vertical="top" wrapText="1"/>
    </xf>
    <xf numFmtId="0" fontId="39" fillId="2" borderId="0" xfId="41" applyFont="1" applyFill="1" applyBorder="1" applyAlignment="1">
      <alignment horizontal="justify" vertical="top" wrapText="1"/>
    </xf>
    <xf numFmtId="0" fontId="12" fillId="2" borderId="0" xfId="41" applyFill="1" applyBorder="1" applyAlignment="1">
      <alignment vertical="top" wrapText="1"/>
    </xf>
    <xf numFmtId="0" fontId="47" fillId="6" borderId="3" xfId="0" applyFont="1" applyFill="1" applyBorder="1" applyAlignment="1">
      <alignment horizontal="left" vertical="center" wrapText="1"/>
    </xf>
    <xf numFmtId="0" fontId="47" fillId="6" borderId="0" xfId="0" applyFont="1" applyFill="1" applyBorder="1" applyAlignment="1">
      <alignment horizontal="left" vertical="center" wrapText="1"/>
    </xf>
    <xf numFmtId="0" fontId="47" fillId="6" borderId="1" xfId="0" applyFont="1" applyFill="1" applyBorder="1" applyAlignment="1">
      <alignment horizontal="left" vertical="center" wrapText="1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center" vertical="center" wrapText="1"/>
    </xf>
    <xf numFmtId="0" fontId="31" fillId="2" borderId="2" xfId="44" applyFont="1" applyFill="1" applyBorder="1" applyAlignment="1">
      <alignment horizontal="center" vertical="center" wrapText="1"/>
    </xf>
    <xf numFmtId="0" fontId="56" fillId="2" borderId="0" xfId="45" applyFont="1" applyFill="1" applyAlignment="1">
      <alignment horizontal="left" vertical="center" wrapText="1"/>
    </xf>
    <xf numFmtId="0" fontId="39" fillId="2" borderId="1" xfId="44" applyFont="1" applyFill="1" applyBorder="1" applyAlignment="1">
      <alignment horizontal="justify" vertical="top" wrapText="1"/>
    </xf>
    <xf numFmtId="0" fontId="39" fillId="2" borderId="0" xfId="44" applyFont="1" applyFill="1" applyBorder="1" applyAlignment="1">
      <alignment horizontal="justify" vertical="top" wrapText="1"/>
    </xf>
    <xf numFmtId="0" fontId="11" fillId="2" borderId="0" xfId="44" applyFill="1" applyBorder="1" applyAlignment="1">
      <alignment vertical="top" wrapText="1"/>
    </xf>
    <xf numFmtId="0" fontId="47" fillId="7" borderId="3" xfId="0" applyFont="1" applyFill="1" applyBorder="1" applyAlignment="1">
      <alignment horizontal="left" vertical="center" wrapText="1"/>
    </xf>
    <xf numFmtId="0" fontId="47" fillId="7" borderId="0" xfId="0" applyFont="1" applyFill="1" applyBorder="1" applyAlignment="1">
      <alignment horizontal="left" vertical="center" wrapText="1"/>
    </xf>
    <xf numFmtId="0" fontId="47" fillId="7" borderId="1" xfId="0" applyFont="1" applyFill="1" applyBorder="1" applyAlignment="1">
      <alignment horizontal="left" vertical="center" wrapText="1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center" vertical="center" wrapText="1"/>
    </xf>
    <xf numFmtId="0" fontId="31" fillId="2" borderId="2" xfId="47" applyFont="1" applyFill="1" applyBorder="1" applyAlignment="1">
      <alignment horizontal="center" vertical="center" wrapText="1"/>
    </xf>
    <xf numFmtId="0" fontId="56" fillId="2" borderId="0" xfId="48" applyFont="1" applyFill="1" applyAlignment="1">
      <alignment horizontal="left" vertical="center" wrapText="1"/>
    </xf>
    <xf numFmtId="0" fontId="39" fillId="2" borderId="1" xfId="47" applyFont="1" applyFill="1" applyBorder="1" applyAlignment="1">
      <alignment horizontal="justify" vertical="top" wrapText="1"/>
    </xf>
    <xf numFmtId="0" fontId="39" fillId="2" borderId="0" xfId="47" applyFont="1" applyFill="1" applyBorder="1" applyAlignment="1">
      <alignment horizontal="justify" vertical="top" wrapText="1"/>
    </xf>
    <xf numFmtId="0" fontId="10" fillId="2" borderId="0" xfId="47" applyFill="1" applyBorder="1" applyAlignment="1">
      <alignment vertical="top" wrapText="1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 wrapText="1"/>
    </xf>
    <xf numFmtId="0" fontId="31" fillId="2" borderId="2" xfId="50" applyFont="1" applyFill="1" applyBorder="1" applyAlignment="1">
      <alignment horizontal="center" vertical="center" wrapText="1"/>
    </xf>
    <xf numFmtId="0" fontId="56" fillId="2" borderId="0" xfId="51" applyFont="1" applyFill="1" applyAlignment="1">
      <alignment horizontal="left" vertical="center" wrapText="1"/>
    </xf>
    <xf numFmtId="0" fontId="39" fillId="2" borderId="1" xfId="50" applyFont="1" applyFill="1" applyBorder="1" applyAlignment="1">
      <alignment horizontal="justify" vertical="top" wrapText="1"/>
    </xf>
    <xf numFmtId="0" fontId="39" fillId="2" borderId="0" xfId="50" applyFont="1" applyFill="1" applyBorder="1" applyAlignment="1">
      <alignment horizontal="justify" vertical="top" wrapText="1"/>
    </xf>
    <xf numFmtId="0" fontId="9" fillId="2" borderId="0" xfId="50" applyFill="1" applyBorder="1" applyAlignment="1">
      <alignment vertical="top" wrapText="1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 wrapText="1"/>
    </xf>
    <xf numFmtId="0" fontId="31" fillId="2" borderId="2" xfId="56" applyFont="1" applyFill="1" applyBorder="1" applyAlignment="1">
      <alignment horizontal="center" vertical="center" wrapText="1"/>
    </xf>
    <xf numFmtId="0" fontId="56" fillId="2" borderId="0" xfId="57" applyFont="1" applyFill="1" applyAlignment="1">
      <alignment horizontal="left" vertical="center" wrapText="1"/>
    </xf>
    <xf numFmtId="0" fontId="39" fillId="2" borderId="1" xfId="56" applyFont="1" applyFill="1" applyBorder="1" applyAlignment="1">
      <alignment horizontal="justify" vertical="top" wrapText="1"/>
    </xf>
    <xf numFmtId="0" fontId="39" fillId="2" borderId="0" xfId="56" applyFont="1" applyFill="1" applyBorder="1" applyAlignment="1">
      <alignment horizontal="justify" vertical="top" wrapText="1"/>
    </xf>
    <xf numFmtId="0" fontId="7" fillId="2" borderId="0" xfId="56" applyFill="1" applyBorder="1" applyAlignment="1">
      <alignment vertical="top" wrapText="1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 wrapText="1"/>
    </xf>
    <xf numFmtId="0" fontId="31" fillId="2" borderId="2" xfId="76" applyFont="1" applyFill="1" applyBorder="1" applyAlignment="1">
      <alignment horizontal="center" vertical="center" wrapText="1"/>
    </xf>
    <xf numFmtId="0" fontId="56" fillId="2" borderId="0" xfId="77" applyFont="1" applyFill="1" applyAlignment="1">
      <alignment horizontal="left" vertical="top" wrapText="1"/>
    </xf>
    <xf numFmtId="0" fontId="39" fillId="2" borderId="1" xfId="76" applyFont="1" applyFill="1" applyBorder="1" applyAlignment="1">
      <alignment horizontal="justify" vertical="top" wrapText="1"/>
    </xf>
    <xf numFmtId="0" fontId="39" fillId="2" borderId="0" xfId="76" applyFont="1" applyFill="1" applyBorder="1" applyAlignment="1">
      <alignment horizontal="justify" vertical="top" wrapText="1"/>
    </xf>
    <xf numFmtId="0" fontId="1" fillId="2" borderId="0" xfId="76" applyFill="1" applyBorder="1" applyAlignment="1">
      <alignment vertical="top" wrapText="1"/>
    </xf>
    <xf numFmtId="0" fontId="31" fillId="2" borderId="3" xfId="76" applyFont="1" applyFill="1" applyBorder="1" applyAlignment="1">
      <alignment horizontal="right" wrapText="1"/>
    </xf>
    <xf numFmtId="0" fontId="31" fillId="2" borderId="0" xfId="76" applyFont="1" applyFill="1" applyBorder="1" applyAlignment="1">
      <alignment horizontal="right" wrapText="1"/>
    </xf>
    <xf numFmtId="0" fontId="31" fillId="2" borderId="1" xfId="76" applyFont="1" applyFill="1" applyBorder="1" applyAlignment="1">
      <alignment horizontal="right" wrapText="1"/>
    </xf>
    <xf numFmtId="0" fontId="32" fillId="2" borderId="3" xfId="59" applyFont="1" applyFill="1" applyBorder="1" applyAlignment="1">
      <alignment horizontal="center" vertical="center" wrapText="1"/>
    </xf>
    <xf numFmtId="0" fontId="32" fillId="2" borderId="1" xfId="59" applyFont="1" applyFill="1" applyBorder="1" applyAlignment="1">
      <alignment horizontal="center" vertical="center" wrapText="1"/>
    </xf>
    <xf numFmtId="0" fontId="39" fillId="2" borderId="0" xfId="59" applyFont="1" applyFill="1" applyAlignment="1">
      <alignment horizontal="left" vertical="top" wrapText="1"/>
    </xf>
    <xf numFmtId="0" fontId="32" fillId="2" borderId="3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1" xfId="59" applyFont="1" applyFill="1" applyBorder="1" applyAlignment="1">
      <alignment horizontal="left" vertical="center" wrapText="1"/>
    </xf>
    <xf numFmtId="0" fontId="32" fillId="2" borderId="3" xfId="60" applyFont="1" applyFill="1" applyBorder="1" applyAlignment="1">
      <alignment horizontal="right" vertical="center" wrapText="1"/>
    </xf>
    <xf numFmtId="0" fontId="32" fillId="2" borderId="0" xfId="60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horizontal="center" vertical="center"/>
    </xf>
    <xf numFmtId="0" fontId="32" fillId="2" borderId="1" xfId="59" applyFont="1" applyFill="1" applyBorder="1" applyAlignment="1">
      <alignment horizontal="center" vertical="center"/>
    </xf>
    <xf numFmtId="0" fontId="39" fillId="2" borderId="0" xfId="64" applyFont="1" applyFill="1" applyAlignment="1">
      <alignment horizontal="left" vertical="center" wrapText="1"/>
    </xf>
    <xf numFmtId="0" fontId="39" fillId="2" borderId="1" xfId="62" applyFont="1" applyFill="1" applyBorder="1" applyAlignment="1">
      <alignment horizontal="justify" vertical="top" wrapText="1"/>
    </xf>
    <xf numFmtId="0" fontId="39" fillId="2" borderId="0" xfId="62" applyFont="1" applyFill="1" applyAlignment="1">
      <alignment horizontal="justify" vertical="top" wrapText="1"/>
    </xf>
    <xf numFmtId="0" fontId="67" fillId="2" borderId="0" xfId="62" applyFont="1" applyFill="1" applyAlignment="1">
      <alignment vertical="top" wrapText="1"/>
    </xf>
    <xf numFmtId="0" fontId="32" fillId="6" borderId="3" xfId="0" applyFont="1" applyFill="1" applyBorder="1" applyAlignment="1">
      <alignment horizontal="left" vertical="center" wrapText="1"/>
    </xf>
    <xf numFmtId="0" fontId="32" fillId="6" borderId="0" xfId="0" applyFont="1" applyFill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 wrapText="1"/>
    </xf>
    <xf numFmtId="0" fontId="32" fillId="2" borderId="2" xfId="62" applyFont="1" applyFill="1" applyBorder="1" applyAlignment="1">
      <alignment horizontal="center" vertical="center" wrapText="1"/>
    </xf>
    <xf numFmtId="0" fontId="32" fillId="2" borderId="3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 wrapText="1"/>
    </xf>
    <xf numFmtId="0" fontId="32" fillId="2" borderId="2" xfId="68" applyFont="1" applyFill="1" applyBorder="1" applyAlignment="1">
      <alignment horizontal="center" vertical="center" wrapText="1"/>
    </xf>
    <xf numFmtId="0" fontId="39" fillId="2" borderId="0" xfId="70" applyFont="1" applyFill="1" applyAlignment="1">
      <alignment horizontal="left" vertical="center" wrapText="1"/>
    </xf>
    <xf numFmtId="0" fontId="39" fillId="2" borderId="1" xfId="68" applyFont="1" applyFill="1" applyBorder="1" applyAlignment="1">
      <alignment horizontal="justify" vertical="top" wrapText="1"/>
    </xf>
    <xf numFmtId="0" fontId="39" fillId="2" borderId="0" xfId="68" applyFont="1" applyFill="1" applyAlignment="1">
      <alignment horizontal="justify" vertical="top" wrapText="1"/>
    </xf>
    <xf numFmtId="0" fontId="67" fillId="2" borderId="0" xfId="68" applyFont="1" applyFill="1" applyAlignment="1">
      <alignment vertical="top" wrapText="1"/>
    </xf>
    <xf numFmtId="0" fontId="32" fillId="7" borderId="3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2" fillId="2" borderId="0" xfId="68" applyFont="1" applyFill="1" applyAlignment="1">
      <alignment horizontal="right" vertical="center" wrapText="1"/>
    </xf>
  </cellXfs>
  <cellStyles count="79">
    <cellStyle name="Hipervínculo" xfId="30" builtinId="8"/>
    <cellStyle name="Hipervínculo 2" xfId="14" xr:uid="{00000000-0005-0000-0000-000000000000}"/>
    <cellStyle name="Hipervínculo 2 2" xfId="8" xr:uid="{00000000-0005-0000-0000-000001000000}"/>
    <cellStyle name="Millares 2" xfId="2" xr:uid="{00000000-0005-0000-0000-000002000000}"/>
    <cellStyle name="Millares 2 2" xfId="12" xr:uid="{00000000-0005-0000-0000-000003000000}"/>
    <cellStyle name="Millares 3" xfId="7" xr:uid="{00000000-0005-0000-0000-000004000000}"/>
    <cellStyle name="Millares 3 2" xfId="29" xr:uid="{4D05132F-AA51-441C-92E7-AE2D0525667B}"/>
    <cellStyle name="Millares 3 2 2" xfId="65" xr:uid="{1F26CA42-A392-4542-B5EC-8AF3D691C31A}"/>
    <cellStyle name="Millares 3 2 3" xfId="71" xr:uid="{DF25D4D8-0D22-4EB9-BB26-37A6577F8748}"/>
    <cellStyle name="Millares 3 3" xfId="78" xr:uid="{38C2A802-5279-4441-9745-D5B3F3850D17}"/>
    <cellStyle name="Millares 4" xfId="19" xr:uid="{00000000-0005-0000-0000-000005000000}"/>
    <cellStyle name="Normal" xfId="0" builtinId="0"/>
    <cellStyle name="Normal 10" xfId="16" xr:uid="{00000000-0005-0000-0000-000007000000}"/>
    <cellStyle name="Normal 10 2" xfId="26" xr:uid="{6F15F46B-B912-4429-B51E-CCB4F1741EDA}"/>
    <cellStyle name="Normal 2" xfId="1" xr:uid="{00000000-0005-0000-0000-000008000000}"/>
    <cellStyle name="Normal 2 2" xfId="6" xr:uid="{00000000-0005-0000-0000-000009000000}"/>
    <cellStyle name="Normal 2 2 10" xfId="57" xr:uid="{8AAACB73-11D0-4112-814D-656E3A8EBB85}"/>
    <cellStyle name="Normal 2 2 11" xfId="59" xr:uid="{23F1B41F-BEF9-4E18-8E50-4DB948C45F9D}"/>
    <cellStyle name="Normal 2 2 12" xfId="77" xr:uid="{71E3F2C7-2DFD-43F3-AF10-08CA43EBCE02}"/>
    <cellStyle name="Normal 2 2 2" xfId="9" xr:uid="{00000000-0005-0000-0000-00000A000000}"/>
    <cellStyle name="Normal 2 2 3" xfId="27" xr:uid="{80B387E1-6104-4759-B172-E889F1033F4F}"/>
    <cellStyle name="Normal 2 2 3 2" xfId="64" xr:uid="{EE05A3AD-186C-4F1B-8A1A-FC5A18656496}"/>
    <cellStyle name="Normal 2 2 3 3" xfId="70" xr:uid="{BA2C7DA9-8F57-4FBB-8AB0-72FDE0DD5E46}"/>
    <cellStyle name="Normal 2 2 4" xfId="38" xr:uid="{99FC13D4-E3DF-4BEE-8B3C-114961986251}"/>
    <cellStyle name="Normal 2 2 5" xfId="42" xr:uid="{DE486EC0-1A68-4242-9979-5CC1082E9554}"/>
    <cellStyle name="Normal 2 2 6" xfId="45" xr:uid="{A63E417F-5ADA-40A4-B38D-741955E50BAF}"/>
    <cellStyle name="Normal 2 2 7" xfId="48" xr:uid="{532543BC-30E6-4B7A-9CAD-053A9D199268}"/>
    <cellStyle name="Normal 2 2 8" xfId="51" xr:uid="{D4BFC68E-C662-448D-94A5-5D7319C612A1}"/>
    <cellStyle name="Normal 2 2 9" xfId="54" xr:uid="{90585C6D-DB7F-45E4-8E49-512CF89C7F7B}"/>
    <cellStyle name="Normal 2 3" xfId="20" xr:uid="{8911C9B8-9030-4820-8303-BA258F57877B}"/>
    <cellStyle name="Normal 2 4" xfId="21" xr:uid="{38DDF550-B697-4764-AAAF-2FF1A14F6127}"/>
    <cellStyle name="Normal 3" xfId="5" xr:uid="{00000000-0005-0000-0000-00000B000000}"/>
    <cellStyle name="Normal 3 2" xfId="17" xr:uid="{00000000-0005-0000-0000-00000C000000}"/>
    <cellStyle name="Normal 3 2 10" xfId="52" xr:uid="{C48BBE20-4934-4864-9365-F6E202C71FEF}"/>
    <cellStyle name="Normal 3 2 11" xfId="55" xr:uid="{200DD270-6313-4CF3-BE86-08AA2E03BE99}"/>
    <cellStyle name="Normal 3 2 12" xfId="58" xr:uid="{13139056-8BEF-44B3-AEA2-95E104552232}"/>
    <cellStyle name="Normal 3 2 13" xfId="61" xr:uid="{86F64FEF-C7FD-4387-AE0C-959FD65AA784}"/>
    <cellStyle name="Normal 3 2 14" xfId="67" xr:uid="{8A0EA69B-2D2B-4E3A-B21F-C1106DD0D043}"/>
    <cellStyle name="Normal 3 2 15" xfId="73" xr:uid="{828000EB-7228-4A9A-9951-8CEF9A343B26}"/>
    <cellStyle name="Normal 3 2 16" xfId="74" xr:uid="{AD1269E8-23C2-4D8E-B3F8-42A3A7AAA1F8}"/>
    <cellStyle name="Normal 3 2 17" xfId="75" xr:uid="{3AD3ABF9-476D-46D8-80CD-B53EAA703451}"/>
    <cellStyle name="Normal 3 2 2" xfId="23" xr:uid="{4665E5CF-3A08-410E-8DBC-F177E1289EB8}"/>
    <cellStyle name="Normal 3 2 3" xfId="25" xr:uid="{194844DE-447D-4746-AA1D-15CA18684C23}"/>
    <cellStyle name="Normal 3 2 3 2" xfId="69" xr:uid="{B7662687-870A-47F2-BAC3-F87844304094}"/>
    <cellStyle name="Normal 3 2 4" xfId="36" xr:uid="{55FAFA6A-4513-4EEC-B78E-82AD9B39C661}"/>
    <cellStyle name="Normal 3 2 5" xfId="37" xr:uid="{A8030624-C2C3-4971-9E9A-20CE7C6644B6}"/>
    <cellStyle name="Normal 3 2 6" xfId="40" xr:uid="{DCC9E123-E046-40E1-BB3B-F32CF61008DE}"/>
    <cellStyle name="Normal 3 2 7" xfId="43" xr:uid="{6D1F9627-283D-446F-BA8E-EBD68FC43658}"/>
    <cellStyle name="Normal 3 2 8" xfId="46" xr:uid="{94D86D99-AAEC-4384-9358-17BF65E32FB5}"/>
    <cellStyle name="Normal 3 2 9" xfId="49" xr:uid="{57D3FC3E-29DF-4A51-B6F7-8330429E3832}"/>
    <cellStyle name="Normal 3 3" xfId="22" xr:uid="{921933FC-7972-4BF0-9107-66AA8ED931A7}"/>
    <cellStyle name="Normal 3 4" xfId="28" xr:uid="{2CEE30AB-3928-4137-9D98-9DDB11C74292}"/>
    <cellStyle name="Normal 3 4 2" xfId="63" xr:uid="{1BEF9BC4-3B4F-4396-8D8D-56A981A8B547}"/>
    <cellStyle name="Normal 4" xfId="11" xr:uid="{00000000-0005-0000-0000-00000D000000}"/>
    <cellStyle name="Normal 4 10" xfId="60" xr:uid="{F7675247-B7C1-4B30-B4A6-E005F1526060}"/>
    <cellStyle name="Normal 4 11" xfId="76" xr:uid="{9680525A-21FF-4FBF-96D6-A904922DE5FA}"/>
    <cellStyle name="Normal 4 2" xfId="24" xr:uid="{960762D1-FDBD-4B69-82BB-778AAF0EF7ED}"/>
    <cellStyle name="Normal 4 2 2" xfId="62" xr:uid="{B27C9984-8506-468A-9604-9596DDA640B8}"/>
    <cellStyle name="Normal 4 2 3" xfId="35" xr:uid="{5C0DADC7-8369-44E8-812A-1C8E251FBB1D}"/>
    <cellStyle name="Normal 4 2 3 2" xfId="66" xr:uid="{42AA3EE6-7FDA-4F40-B0DE-C1E20A1C1AA4}"/>
    <cellStyle name="Normal 4 2 3 3" xfId="72" xr:uid="{C66BC8AA-6CD5-4EB0-A52F-E732BBA77F92}"/>
    <cellStyle name="Normal 4 2 4" xfId="68" xr:uid="{4A62CDFD-8A95-42D3-B395-F49A334DD083}"/>
    <cellStyle name="Normal 4 3" xfId="39" xr:uid="{2A2BA10E-124C-415C-9584-EEAB6F77A5A2}"/>
    <cellStyle name="Normal 4 4" xfId="41" xr:uid="{A85C0031-4B0B-45BD-8F8D-6ACD316B7CCD}"/>
    <cellStyle name="Normal 4 5" xfId="44" xr:uid="{29311735-73D1-4EA6-A006-B0AC348BB7DC}"/>
    <cellStyle name="Normal 4 6" xfId="47" xr:uid="{5BE5C20A-7A5F-492A-B656-77F1BC7F5A81}"/>
    <cellStyle name="Normal 4 7" xfId="50" xr:uid="{D6FAC6A6-C319-43D3-88A5-BD758AF3C541}"/>
    <cellStyle name="Normal 4 8" xfId="53" xr:uid="{20F876AB-FC03-488C-8205-4EFDABD632EE}"/>
    <cellStyle name="Normal 4 9" xfId="56" xr:uid="{4A1672E3-C5DC-4F13-8250-38435A8251D7}"/>
    <cellStyle name="Normal 5" xfId="13" xr:uid="{00000000-0005-0000-0000-00000E000000}"/>
    <cellStyle name="Normal 6" xfId="18" xr:uid="{00000000-0005-0000-0000-00000F000000}"/>
    <cellStyle name="Normal 7" xfId="31" xr:uid="{C7E7F07F-230F-440B-A4B9-5B3E08F3C9EC}"/>
    <cellStyle name="Normal 7 2" xfId="32" xr:uid="{0AA4F219-A708-4A4E-9BBF-9AFE1D2298C5}"/>
    <cellStyle name="Normal 8" xfId="4" xr:uid="{00000000-0005-0000-0000-000010000000}"/>
    <cellStyle name="Normal 9" xfId="3" xr:uid="{00000000-0005-0000-0000-000011000000}"/>
    <cellStyle name="Normal 9 2" xfId="34" xr:uid="{8AED9811-F237-4573-9CD2-DEE2BC86037E}"/>
    <cellStyle name="Normal 9 3" xfId="33" xr:uid="{583E1943-83E2-433B-A618-A722CE3FD3A7}"/>
    <cellStyle name="Normal_1.8" xfId="15" xr:uid="{00000000-0005-0000-0000-000012000000}"/>
    <cellStyle name="Notas 2" xfId="10" xr:uid="{00000000-0005-0000-0000-000013000000}"/>
  </cellStyles>
  <dxfs count="0"/>
  <tableStyles count="0" defaultTableStyle="TableStyleMedium2" defaultPivotStyle="PivotStyleLight16"/>
  <colors>
    <mruColors>
      <color rgb="FF0033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79604AD-5EC0-4731-BDF6-AB709C29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C8E5E93-E493-4AFB-80D8-C355684F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956505DB-E00B-4CCB-A75C-9AC8CEC3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85A70879-6B56-4E3A-9E54-73C58295F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65CD-1D75-4FBF-B264-AA213D78BCA1}">
  <dimension ref="A1:O31"/>
  <sheetViews>
    <sheetView showGridLines="0" tabSelected="1" zoomScaleNormal="100" workbookViewId="0"/>
  </sheetViews>
  <sheetFormatPr baseColWidth="10" defaultRowHeight="14.25" x14ac:dyDescent="0.2"/>
  <cols>
    <col min="1" max="1" width="1.7109375" style="76" customWidth="1"/>
    <col min="2" max="2" width="20.28515625" style="76" customWidth="1"/>
    <col min="3" max="3" width="17.42578125" style="76" customWidth="1"/>
    <col min="4" max="14" width="11.42578125" style="76"/>
    <col min="15" max="15" width="1.7109375" style="76" customWidth="1"/>
    <col min="16" max="16384" width="11.42578125" style="76"/>
  </cols>
  <sheetData>
    <row r="1" spans="1:15" x14ac:dyDescent="0.2">
      <c r="B1" s="82"/>
      <c r="C1" s="82"/>
    </row>
    <row r="2" spans="1:15" ht="19.5" customHeight="1" x14ac:dyDescent="0.2">
      <c r="B2" s="499" t="s">
        <v>124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</row>
    <row r="3" spans="1:15" ht="19.5" customHeight="1" x14ac:dyDescent="0.2">
      <c r="B3" s="500" t="s">
        <v>119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5" ht="16.5" customHeight="1" x14ac:dyDescent="0.2">
      <c r="A4" s="501" t="s">
        <v>142</v>
      </c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s="81" customFormat="1" ht="6.95" customHeight="1" x14ac:dyDescent="0.2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3"/>
    </row>
    <row r="6" spans="1:15" s="81" customFormat="1" ht="16.5" customHeight="1" x14ac:dyDescent="0.2">
      <c r="A6" s="83"/>
      <c r="B6" s="502" t="s">
        <v>120</v>
      </c>
      <c r="C6" s="502"/>
      <c r="D6" s="502"/>
      <c r="E6" s="502"/>
      <c r="F6" s="502"/>
      <c r="G6" s="502"/>
      <c r="H6" s="502"/>
      <c r="I6" s="502"/>
      <c r="J6" s="502"/>
      <c r="K6" s="502"/>
      <c r="L6" s="502"/>
      <c r="M6" s="502"/>
      <c r="N6" s="502"/>
      <c r="O6" s="83"/>
    </row>
    <row r="7" spans="1:15" ht="19.5" customHeight="1" x14ac:dyDescent="0.2">
      <c r="B7" s="80" t="s">
        <v>141</v>
      </c>
      <c r="C7" s="80"/>
      <c r="D7" s="77"/>
      <c r="E7" s="77"/>
      <c r="F7" s="77"/>
      <c r="G7" s="77"/>
      <c r="H7" s="77"/>
      <c r="I7" s="77"/>
      <c r="J7" s="77"/>
      <c r="K7" s="77"/>
      <c r="L7" s="77"/>
      <c r="M7" s="503" t="str">
        <f>CONCATENATE("Total de tabulados: ", COUNTIF(D10:D29,"&lt;&gt;"))</f>
        <v>Total de tabulados: 12</v>
      </c>
      <c r="N7" s="503"/>
    </row>
    <row r="8" spans="1:15" ht="6.95" customHeight="1" thickBot="1" x14ac:dyDescent="0.25"/>
    <row r="9" spans="1:15" ht="18.75" customHeight="1" thickBot="1" x14ac:dyDescent="0.25">
      <c r="B9" s="79" t="s">
        <v>121</v>
      </c>
      <c r="C9" s="78" t="s">
        <v>122</v>
      </c>
      <c r="D9" s="497" t="s">
        <v>123</v>
      </c>
      <c r="E9" s="497"/>
      <c r="F9" s="497"/>
      <c r="G9" s="497"/>
      <c r="H9" s="497"/>
      <c r="I9" s="497"/>
      <c r="J9" s="497"/>
      <c r="K9" s="497"/>
      <c r="L9" s="497"/>
      <c r="M9" s="497"/>
      <c r="N9" s="498"/>
    </row>
    <row r="10" spans="1:15" ht="39.950000000000003" customHeight="1" x14ac:dyDescent="0.2">
      <c r="B10" s="491" t="s">
        <v>125</v>
      </c>
      <c r="C10" s="72" t="s">
        <v>87</v>
      </c>
      <c r="D10" s="494" t="s">
        <v>0</v>
      </c>
      <c r="E10" s="495"/>
      <c r="F10" s="495"/>
      <c r="G10" s="495"/>
      <c r="H10" s="495"/>
      <c r="I10" s="495"/>
      <c r="J10" s="495"/>
      <c r="K10" s="495"/>
      <c r="L10" s="495"/>
      <c r="M10" s="495"/>
      <c r="N10" s="496"/>
    </row>
    <row r="11" spans="1:15" ht="39.950000000000003" customHeight="1" x14ac:dyDescent="0.2">
      <c r="B11" s="492"/>
      <c r="C11" s="73" t="s">
        <v>88</v>
      </c>
      <c r="D11" s="488" t="s">
        <v>10</v>
      </c>
      <c r="E11" s="489"/>
      <c r="F11" s="489"/>
      <c r="G11" s="489"/>
      <c r="H11" s="489"/>
      <c r="I11" s="489"/>
      <c r="J11" s="489"/>
      <c r="K11" s="489"/>
      <c r="L11" s="489"/>
      <c r="M11" s="489"/>
      <c r="N11" s="490"/>
    </row>
    <row r="12" spans="1:15" ht="51.75" customHeight="1" x14ac:dyDescent="0.2">
      <c r="B12" s="492"/>
      <c r="C12" s="73" t="s">
        <v>89</v>
      </c>
      <c r="D12" s="488" t="s">
        <v>21</v>
      </c>
      <c r="E12" s="489"/>
      <c r="F12" s="489"/>
      <c r="G12" s="489"/>
      <c r="H12" s="489"/>
      <c r="I12" s="489"/>
      <c r="J12" s="489"/>
      <c r="K12" s="489"/>
      <c r="L12" s="489"/>
      <c r="M12" s="489"/>
      <c r="N12" s="490"/>
    </row>
    <row r="13" spans="1:15" ht="39.950000000000003" customHeight="1" x14ac:dyDescent="0.2">
      <c r="B13" s="492"/>
      <c r="C13" s="73" t="s">
        <v>90</v>
      </c>
      <c r="D13" s="488" t="s">
        <v>58</v>
      </c>
      <c r="E13" s="489"/>
      <c r="F13" s="489"/>
      <c r="G13" s="489"/>
      <c r="H13" s="489"/>
      <c r="I13" s="489"/>
      <c r="J13" s="489"/>
      <c r="K13" s="489"/>
      <c r="L13" s="489"/>
      <c r="M13" s="489"/>
      <c r="N13" s="490"/>
    </row>
    <row r="14" spans="1:15" ht="39.950000000000003" customHeight="1" x14ac:dyDescent="0.2">
      <c r="B14" s="492"/>
      <c r="C14" s="73" t="s">
        <v>91</v>
      </c>
      <c r="D14" s="488" t="s">
        <v>63</v>
      </c>
      <c r="E14" s="489"/>
      <c r="F14" s="489"/>
      <c r="G14" s="489"/>
      <c r="H14" s="489"/>
      <c r="I14" s="489"/>
      <c r="J14" s="489"/>
      <c r="K14" s="489"/>
      <c r="L14" s="489"/>
      <c r="M14" s="489"/>
      <c r="N14" s="490"/>
    </row>
    <row r="15" spans="1:15" ht="39.950000000000003" customHeight="1" x14ac:dyDescent="0.2">
      <c r="B15" s="492"/>
      <c r="C15" s="73" t="s">
        <v>92</v>
      </c>
      <c r="D15" s="488" t="s">
        <v>64</v>
      </c>
      <c r="E15" s="489"/>
      <c r="F15" s="489"/>
      <c r="G15" s="489"/>
      <c r="H15" s="489"/>
      <c r="I15" s="489"/>
      <c r="J15" s="489"/>
      <c r="K15" s="489"/>
      <c r="L15" s="489"/>
      <c r="M15" s="489"/>
      <c r="N15" s="490"/>
    </row>
    <row r="16" spans="1:15" ht="39.950000000000003" customHeight="1" x14ac:dyDescent="0.2">
      <c r="B16" s="492"/>
      <c r="C16" s="73" t="s">
        <v>93</v>
      </c>
      <c r="D16" s="488" t="s">
        <v>69</v>
      </c>
      <c r="E16" s="489"/>
      <c r="F16" s="489"/>
      <c r="G16" s="489"/>
      <c r="H16" s="489"/>
      <c r="I16" s="489"/>
      <c r="J16" s="489"/>
      <c r="K16" s="489"/>
      <c r="L16" s="489"/>
      <c r="M16" s="489"/>
      <c r="N16" s="490"/>
    </row>
    <row r="17" spans="2:14" ht="39.950000000000003" customHeight="1" x14ac:dyDescent="0.2">
      <c r="B17" s="492"/>
      <c r="C17" s="73" t="s">
        <v>94</v>
      </c>
      <c r="D17" s="488" t="s">
        <v>70</v>
      </c>
      <c r="E17" s="489"/>
      <c r="F17" s="489"/>
      <c r="G17" s="489"/>
      <c r="H17" s="489"/>
      <c r="I17" s="489"/>
      <c r="J17" s="489"/>
      <c r="K17" s="489"/>
      <c r="L17" s="489"/>
      <c r="M17" s="489"/>
      <c r="N17" s="490"/>
    </row>
    <row r="18" spans="2:14" ht="39.950000000000003" customHeight="1" x14ac:dyDescent="0.2">
      <c r="B18" s="492"/>
      <c r="C18" s="73" t="s">
        <v>95</v>
      </c>
      <c r="D18" s="488" t="s">
        <v>74</v>
      </c>
      <c r="E18" s="489"/>
      <c r="F18" s="489"/>
      <c r="G18" s="489"/>
      <c r="H18" s="489"/>
      <c r="I18" s="489"/>
      <c r="J18" s="489"/>
      <c r="K18" s="489"/>
      <c r="L18" s="489"/>
      <c r="M18" s="489"/>
      <c r="N18" s="490"/>
    </row>
    <row r="19" spans="2:14" ht="39.950000000000003" customHeight="1" x14ac:dyDescent="0.2">
      <c r="B19" s="492"/>
      <c r="C19" s="73" t="s">
        <v>96</v>
      </c>
      <c r="D19" s="488" t="s">
        <v>75</v>
      </c>
      <c r="E19" s="489"/>
      <c r="F19" s="489"/>
      <c r="G19" s="489"/>
      <c r="H19" s="489"/>
      <c r="I19" s="489"/>
      <c r="J19" s="489"/>
      <c r="K19" s="489"/>
      <c r="L19" s="489"/>
      <c r="M19" s="489"/>
      <c r="N19" s="490"/>
    </row>
    <row r="20" spans="2:14" ht="39.950000000000003" customHeight="1" x14ac:dyDescent="0.2">
      <c r="B20" s="492"/>
      <c r="C20" s="73" t="s">
        <v>113</v>
      </c>
      <c r="D20" s="488" t="s">
        <v>111</v>
      </c>
      <c r="E20" s="489"/>
      <c r="F20" s="489"/>
      <c r="G20" s="489"/>
      <c r="H20" s="489"/>
      <c r="I20" s="489"/>
      <c r="J20" s="489"/>
      <c r="K20" s="489"/>
      <c r="L20" s="489"/>
      <c r="M20" s="489"/>
      <c r="N20" s="490"/>
    </row>
    <row r="21" spans="2:14" ht="39.950000000000003" customHeight="1" thickBot="1" x14ac:dyDescent="0.25">
      <c r="B21" s="493"/>
      <c r="C21" s="74" t="s">
        <v>114</v>
      </c>
      <c r="D21" s="485" t="s">
        <v>112</v>
      </c>
      <c r="E21" s="486"/>
      <c r="F21" s="486"/>
      <c r="G21" s="486"/>
      <c r="H21" s="486"/>
      <c r="I21" s="486"/>
      <c r="J21" s="486"/>
      <c r="K21" s="486"/>
      <c r="L21" s="486"/>
      <c r="M21" s="486"/>
      <c r="N21" s="487"/>
    </row>
    <row r="22" spans="2:14" ht="6.95" customHeight="1" x14ac:dyDescent="0.2"/>
    <row r="31" spans="2:14" ht="14.25" customHeight="1" x14ac:dyDescent="0.2"/>
  </sheetData>
  <mergeCells count="19">
    <mergeCell ref="D9:N9"/>
    <mergeCell ref="B2:N2"/>
    <mergeCell ref="B3:N3"/>
    <mergeCell ref="A4:O4"/>
    <mergeCell ref="B6:N6"/>
    <mergeCell ref="M7:N7"/>
    <mergeCell ref="D21:N21"/>
    <mergeCell ref="D18:N18"/>
    <mergeCell ref="D19:N19"/>
    <mergeCell ref="B10:B21"/>
    <mergeCell ref="D10:N10"/>
    <mergeCell ref="D11:N11"/>
    <mergeCell ref="D12:N12"/>
    <mergeCell ref="D13:N13"/>
    <mergeCell ref="D14:N14"/>
    <mergeCell ref="D15:N15"/>
    <mergeCell ref="D16:N16"/>
    <mergeCell ref="D17:N17"/>
    <mergeCell ref="D20:N20"/>
  </mergeCells>
  <hyperlinks>
    <hyperlink ref="C10" location="'Cuadro 1.1'!A1" tooltip="Cuadro 1.1" display="Cuadro 1.1" xr:uid="{DEB6EF70-5257-45C3-9CDC-058B1346749A}"/>
    <hyperlink ref="C11" location="'Cuadro 1.2'!A1" tooltip="Cuadro 1.2" display="Cuadro 1.2" xr:uid="{7601872B-529D-4337-B575-E486D6B9B464}"/>
    <hyperlink ref="C21" location="'Cuadro 1.12'!A1" tooltip="Ir a Cuadro 1.12" display="Cuadro 1.12" xr:uid="{9F2A273B-3388-4FAD-8CCD-D3E99401CFD8}"/>
    <hyperlink ref="C12" location="'Cuadro 1.3'!A1" tooltip="Cuadro 1.3" display="Cuadro 1.3" xr:uid="{7CEDBD5C-7E4C-445C-8E94-DD9A97C2074E}"/>
    <hyperlink ref="C13" location="'Cuadro 1.4'!A1" tooltip="Cuadro 1.4" display="Cuadro 1.4" xr:uid="{3A21A1C7-6A6B-49D3-824F-4D0E8E7AA77C}"/>
    <hyperlink ref="C14" location="'Cuadro 1.5'!A1" tooltip="Cuadro 1.5" display="Cuadro 1.5" xr:uid="{1E0D5813-7D3B-48B9-8931-5075AF6B761C}"/>
    <hyperlink ref="C15" location="'Cuadro 1.6'!A1" tooltip="Cuadro 1.6" display="Cuadro 1.6" xr:uid="{5125EE74-2880-44EC-8456-119D095BA2BE}"/>
    <hyperlink ref="C16" location="'Cuadro 1.7'!A1" tooltip="Cuadro 1.7" display="Cuadro 1.7" xr:uid="{464C8323-EDC1-4893-9BFD-046523330ABD}"/>
    <hyperlink ref="C17" location="'Cuadro 1.8'!A1" tooltip="Cuadro 1.8" display="Cuadro 1.8" xr:uid="{2A382C57-4434-439C-977D-5FE3090E2EBD}"/>
    <hyperlink ref="C20" location="'Cuadro 1.11'!A1" tooltip="Ir a Cuadro 1.11" display="Cuadro 1.11" xr:uid="{7AF1C668-4441-4362-A00E-9E7E0D41F999}"/>
    <hyperlink ref="C18" location="'Cuadro 1.9'!A1" tooltip="Ir a Cuadro 1.9" display="Cuadro 1.9" xr:uid="{0DB84DC2-2ECA-4080-8A8C-835AFC88F858}"/>
    <hyperlink ref="C19" location="'Cuadro 1.10'!A1" tooltip="Ir a Cuadro 1.10" display="Cuadro 1.10" xr:uid="{0562AE30-B614-45D7-9118-A776E81DA00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C40E-B2AF-4CDE-9299-DEF943D55E88}">
  <dimension ref="A1:G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3.85546875" style="5" customWidth="1"/>
    <col min="3" max="3" width="1.7109375" style="5" customWidth="1"/>
    <col min="4" max="6" width="20" style="5" customWidth="1"/>
    <col min="7" max="16384" width="9.140625" style="5"/>
  </cols>
  <sheetData>
    <row r="1" spans="1:7" s="66" customFormat="1" ht="14.1" customHeight="1" x14ac:dyDescent="0.2">
      <c r="B1" s="484" t="s">
        <v>144</v>
      </c>
      <c r="C1" s="456"/>
      <c r="F1" s="85" t="s">
        <v>118</v>
      </c>
    </row>
    <row r="2" spans="1:7" s="66" customFormat="1" ht="6.95" customHeight="1" x14ac:dyDescent="0.2">
      <c r="B2" s="484"/>
      <c r="C2" s="456"/>
    </row>
    <row r="3" spans="1:7" s="66" customFormat="1" ht="14.1" customHeight="1" x14ac:dyDescent="0.2">
      <c r="B3" s="484" t="s">
        <v>142</v>
      </c>
      <c r="C3" s="456"/>
      <c r="D3" s="456"/>
      <c r="E3" s="456"/>
      <c r="F3" s="456"/>
      <c r="G3" s="456"/>
    </row>
    <row r="4" spans="1:7" s="66" customFormat="1" ht="6.95" customHeight="1" x14ac:dyDescent="0.2"/>
    <row r="5" spans="1:7" s="66" customFormat="1" ht="20.100000000000001" customHeight="1" x14ac:dyDescent="0.2">
      <c r="B5" s="504" t="s">
        <v>0</v>
      </c>
      <c r="C5" s="504"/>
      <c r="D5" s="504"/>
      <c r="E5" s="504"/>
      <c r="F5" s="75" t="s">
        <v>87</v>
      </c>
    </row>
    <row r="6" spans="1:7" ht="6" customHeight="1" x14ac:dyDescent="0.2">
      <c r="A6" s="66"/>
      <c r="B6" s="7"/>
      <c r="C6" s="7"/>
      <c r="D6" s="8"/>
      <c r="E6" s="8"/>
      <c r="F6" s="6"/>
    </row>
    <row r="7" spans="1:7" ht="16.5" customHeight="1" x14ac:dyDescent="0.2">
      <c r="A7" s="66"/>
      <c r="B7" s="505" t="s">
        <v>1</v>
      </c>
      <c r="C7" s="454"/>
      <c r="D7" s="507" t="s">
        <v>2</v>
      </c>
      <c r="E7" s="509" t="s">
        <v>3</v>
      </c>
      <c r="F7" s="511" t="s">
        <v>4</v>
      </c>
    </row>
    <row r="8" spans="1:7" s="9" customFormat="1" ht="23.25" customHeight="1" x14ac:dyDescent="0.2">
      <c r="A8" s="66"/>
      <c r="B8" s="506"/>
      <c r="C8" s="455"/>
      <c r="D8" s="508"/>
      <c r="E8" s="510"/>
      <c r="F8" s="512"/>
    </row>
    <row r="9" spans="1:7" s="18" customFormat="1" ht="6" customHeight="1" x14ac:dyDescent="0.2">
      <c r="A9" s="12"/>
      <c r="B9" s="15"/>
      <c r="C9" s="15"/>
      <c r="D9" s="16"/>
      <c r="E9" s="16"/>
      <c r="F9" s="16"/>
      <c r="G9" s="17"/>
    </row>
    <row r="10" spans="1:7" s="11" customFormat="1" ht="11.25" x14ac:dyDescent="0.2">
      <c r="A10" s="67"/>
      <c r="B10" s="10" t="s">
        <v>5</v>
      </c>
      <c r="C10" s="41"/>
      <c r="D10" s="457">
        <v>245318.59867594499</v>
      </c>
      <c r="E10" s="457">
        <v>246290.33101094601</v>
      </c>
      <c r="F10" s="457">
        <v>33355.984322434197</v>
      </c>
    </row>
    <row r="11" spans="1:7" s="11" customFormat="1" ht="9" customHeight="1" x14ac:dyDescent="0.2">
      <c r="A11" s="17"/>
      <c r="B11" s="41"/>
      <c r="C11" s="41"/>
      <c r="D11" s="90"/>
      <c r="E11" s="90"/>
      <c r="F11" s="90"/>
    </row>
    <row r="12" spans="1:7" s="11" customFormat="1" ht="15" customHeight="1" x14ac:dyDescent="0.2">
      <c r="B12" s="22" t="s">
        <v>6</v>
      </c>
      <c r="C12" s="22"/>
      <c r="D12" s="126">
        <v>130448.21952647</v>
      </c>
      <c r="E12" s="458">
        <v>129299.09315638999</v>
      </c>
      <c r="F12" s="126">
        <v>14066.1935128656</v>
      </c>
    </row>
    <row r="13" spans="1:7" s="12" customFormat="1" ht="15" customHeight="1" x14ac:dyDescent="0.2">
      <c r="A13" s="11"/>
      <c r="B13" s="22" t="s">
        <v>7</v>
      </c>
      <c r="C13" s="22"/>
      <c r="D13" s="126">
        <v>120874.88248751601</v>
      </c>
      <c r="E13" s="126">
        <v>119411.538524132</v>
      </c>
      <c r="F13" s="126">
        <v>11053.561128683399</v>
      </c>
    </row>
    <row r="14" spans="1:7" s="12" customFormat="1" ht="15" customHeight="1" x14ac:dyDescent="0.2">
      <c r="A14" s="11"/>
      <c r="B14" s="23" t="s">
        <v>8</v>
      </c>
      <c r="C14" s="23"/>
      <c r="D14" s="126">
        <v>129177.384084488</v>
      </c>
      <c r="E14" s="126">
        <v>130107.285673466</v>
      </c>
      <c r="F14" s="126">
        <v>17106.901526202098</v>
      </c>
    </row>
    <row r="15" spans="1:7" s="12" customFormat="1" ht="15" customHeight="1" x14ac:dyDescent="0.2">
      <c r="B15" s="23" t="s">
        <v>76</v>
      </c>
      <c r="C15" s="23"/>
      <c r="D15" s="126">
        <v>113668.722195625</v>
      </c>
      <c r="E15" s="126">
        <v>117306.882794141</v>
      </c>
      <c r="F15" s="126">
        <v>22362.1341381645</v>
      </c>
    </row>
    <row r="16" spans="1:7" s="21" customFormat="1" ht="6" customHeight="1" x14ac:dyDescent="0.2">
      <c r="A16" s="12"/>
      <c r="B16" s="26"/>
      <c r="C16" s="42"/>
      <c r="D16" s="19"/>
      <c r="E16" s="19"/>
      <c r="F16" s="19"/>
      <c r="G16" s="20"/>
    </row>
    <row r="17" spans="1:7" s="21" customFormat="1" ht="6" customHeight="1" x14ac:dyDescent="0.2">
      <c r="A17" s="12"/>
      <c r="B17" s="15"/>
      <c r="C17" s="15"/>
      <c r="D17" s="16"/>
      <c r="E17" s="16"/>
      <c r="F17" s="16"/>
      <c r="G17" s="20"/>
    </row>
    <row r="18" spans="1:7" x14ac:dyDescent="0.2">
      <c r="B18" s="24" t="s">
        <v>9</v>
      </c>
    </row>
  </sheetData>
  <mergeCells count="5">
    <mergeCell ref="B5:E5"/>
    <mergeCell ref="B7:B8"/>
    <mergeCell ref="D7:D8"/>
    <mergeCell ref="E7:E8"/>
    <mergeCell ref="F7:F8"/>
  </mergeCells>
  <hyperlinks>
    <hyperlink ref="F1" location="Índice!A1" tooltip="Ir a ÍNDICE" display="INDICE" xr:uid="{7E6950D4-7655-4993-AB6D-416FC57AD9B9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AE31-5AA5-4E2E-B4B0-A8A335642E02}">
  <dimension ref="A1:Y75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7.5703125" customWidth="1"/>
    <col min="3" max="3" width="1.7109375" customWidth="1"/>
    <col min="4" max="5" width="28.42578125" customWidth="1"/>
  </cols>
  <sheetData>
    <row r="1" spans="1:25" s="69" customFormat="1" ht="14.1" customHeight="1" x14ac:dyDescent="0.2">
      <c r="A1" s="66"/>
      <c r="B1" s="484" t="s">
        <v>144</v>
      </c>
      <c r="C1" s="127"/>
      <c r="D1" s="68"/>
      <c r="E1" s="85" t="s">
        <v>118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5" s="69" customFormat="1" ht="6.95" customHeight="1" x14ac:dyDescent="0.2">
      <c r="A2" s="66"/>
      <c r="B2" s="484"/>
      <c r="C2" s="12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s="69" customFormat="1" ht="14.1" customHeight="1" x14ac:dyDescent="0.2">
      <c r="A3" s="66"/>
      <c r="B3" s="484" t="s">
        <v>142</v>
      </c>
      <c r="C3" s="127"/>
      <c r="D3" s="127"/>
      <c r="E3" s="127"/>
      <c r="F3" s="127"/>
      <c r="G3" s="127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s="69" customFormat="1" ht="6.95" customHeight="1" x14ac:dyDescent="0.2">
      <c r="A4" s="66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s="69" customFormat="1" ht="30" customHeight="1" x14ac:dyDescent="0.2">
      <c r="A5" s="66"/>
      <c r="B5" s="513" t="s">
        <v>10</v>
      </c>
      <c r="C5" s="513"/>
      <c r="D5" s="513"/>
      <c r="E5" s="75" t="s">
        <v>88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6" customHeight="1" x14ac:dyDescent="0.2">
      <c r="A6" s="6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 x14ac:dyDescent="0.2">
      <c r="A7" s="66"/>
      <c r="B7" s="514" t="s">
        <v>11</v>
      </c>
      <c r="C7" s="123"/>
      <c r="D7" s="517" t="s">
        <v>12</v>
      </c>
      <c r="E7" s="51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 x14ac:dyDescent="0.2">
      <c r="A8" s="12"/>
      <c r="B8" s="515"/>
      <c r="C8" s="124"/>
      <c r="D8" s="518"/>
      <c r="E8" s="5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x14ac:dyDescent="0.2">
      <c r="A9" s="67"/>
      <c r="B9" s="516"/>
      <c r="C9" s="125"/>
      <c r="D9" s="62" t="s">
        <v>13</v>
      </c>
      <c r="E9" s="62" t="s"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6" customHeight="1" x14ac:dyDescent="0.2">
      <c r="A10" s="17"/>
      <c r="B10" s="29"/>
      <c r="C10" s="29"/>
      <c r="D10" s="55"/>
      <c r="E10" s="5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 x14ac:dyDescent="0.2">
      <c r="A11" s="11"/>
      <c r="B11" s="27" t="s">
        <v>15</v>
      </c>
      <c r="C11" s="27"/>
      <c r="D11" s="129">
        <v>245318.59867594499</v>
      </c>
      <c r="E11" s="129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6" customHeight="1" x14ac:dyDescent="0.2">
      <c r="A12" s="11"/>
      <c r="B12" s="27"/>
      <c r="C12" s="27"/>
      <c r="D12" s="91"/>
      <c r="E12" s="9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7.25" customHeight="1" x14ac:dyDescent="0.2">
      <c r="A13" s="11"/>
      <c r="B13" s="124" t="s">
        <v>104</v>
      </c>
      <c r="C13" s="124"/>
      <c r="D13" s="129">
        <v>55358.158423687397</v>
      </c>
      <c r="E13" s="129">
        <v>0.15662693999999999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x14ac:dyDescent="0.2">
      <c r="A14" s="12"/>
      <c r="B14" s="28" t="s">
        <v>16</v>
      </c>
      <c r="C14" s="28"/>
      <c r="D14" s="128">
        <v>51634.393081993498</v>
      </c>
      <c r="E14" s="128">
        <v>0.86279492359999999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x14ac:dyDescent="0.2">
      <c r="A15" s="12"/>
      <c r="B15" s="28" t="s">
        <v>17</v>
      </c>
      <c r="C15" s="28"/>
      <c r="D15" s="128">
        <v>34360.308697735003</v>
      </c>
      <c r="E15" s="128">
        <v>1.2507604322999999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 x14ac:dyDescent="0.2">
      <c r="A16" s="12"/>
      <c r="B16" s="28" t="s">
        <v>18</v>
      </c>
      <c r="C16" s="28"/>
      <c r="D16" s="128">
        <v>22251.174706994301</v>
      </c>
      <c r="E16" s="128">
        <v>0.93808202559999998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21"/>
      <c r="B17" s="29" t="s">
        <v>98</v>
      </c>
      <c r="C17" s="28"/>
      <c r="D17" s="129">
        <v>243686.64145513601</v>
      </c>
      <c r="E17" s="129">
        <v>0.15662693999999999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6" customHeight="1" x14ac:dyDescent="0.2">
      <c r="A18" s="21"/>
      <c r="B18" s="29"/>
      <c r="C18" s="29"/>
      <c r="D18" s="92"/>
      <c r="E18" s="9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5" customHeight="1" x14ac:dyDescent="0.2">
      <c r="B19" s="124" t="s">
        <v>105</v>
      </c>
      <c r="C19" s="29"/>
      <c r="D19" s="129">
        <v>23721.5714949873</v>
      </c>
      <c r="E19" s="129">
        <v>6.7234683000000003E-2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5" customHeight="1" x14ac:dyDescent="0.2">
      <c r="B20" s="28" t="s">
        <v>16</v>
      </c>
      <c r="C20" s="29"/>
      <c r="D20" s="128">
        <v>16577.807642789099</v>
      </c>
      <c r="E20" s="128">
        <v>2.6446052863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5" customHeight="1" x14ac:dyDescent="0.2">
      <c r="B21" s="28" t="s">
        <v>17</v>
      </c>
      <c r="C21" s="29"/>
      <c r="D21" s="128">
        <v>17301.8779384708</v>
      </c>
      <c r="E21" s="128">
        <v>2.6131839970000001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.5" customHeight="1" x14ac:dyDescent="0.2">
      <c r="B22" s="28" t="s">
        <v>18</v>
      </c>
      <c r="C22" s="29"/>
      <c r="D22" s="128">
        <v>15220.615242890701</v>
      </c>
      <c r="E22" s="128">
        <v>2.5331617429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.5" customHeight="1" x14ac:dyDescent="0.2">
      <c r="B23" s="28" t="s">
        <v>20</v>
      </c>
      <c r="C23" s="29"/>
      <c r="D23" s="128">
        <v>11726.3063113811</v>
      </c>
      <c r="E23" s="128">
        <v>2.3143780045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.5" customHeight="1" x14ac:dyDescent="0.2">
      <c r="B24" s="29" t="s">
        <v>99</v>
      </c>
      <c r="C24" s="29"/>
      <c r="D24" s="129">
        <v>244834.33953139599</v>
      </c>
      <c r="E24" s="129">
        <v>6.7234683000000003E-2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6" customHeight="1" x14ac:dyDescent="0.2">
      <c r="B25" s="56"/>
      <c r="C25" s="125"/>
      <c r="D25" s="33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6" customHeight="1" x14ac:dyDescent="0.2">
      <c r="B26" s="29"/>
      <c r="C26" s="29"/>
      <c r="D26" s="30"/>
      <c r="E26" s="3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s="87" customFormat="1" ht="11.25" x14ac:dyDescent="0.2">
      <c r="A27" s="12"/>
      <c r="B27" s="50" t="s">
        <v>102</v>
      </c>
      <c r="C27" s="29"/>
      <c r="D27" s="30"/>
      <c r="E27" s="3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s="87" customFormat="1" ht="11.25" x14ac:dyDescent="0.2">
      <c r="A28" s="12"/>
      <c r="B28" s="50" t="s">
        <v>100</v>
      </c>
      <c r="C28" s="29"/>
      <c r="D28" s="30"/>
      <c r="E28" s="3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s="87" customFormat="1" ht="11.25" x14ac:dyDescent="0.2">
      <c r="A29" s="12"/>
      <c r="B29" s="50" t="s">
        <v>103</v>
      </c>
      <c r="C29" s="29"/>
      <c r="D29" s="30"/>
      <c r="E29" s="3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s="87" customFormat="1" ht="11.25" x14ac:dyDescent="0.2">
      <c r="A30" s="12"/>
      <c r="B30" s="50" t="s">
        <v>101</v>
      </c>
      <c r="C30" s="29"/>
      <c r="D30" s="30"/>
      <c r="E30" s="3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s="87" customFormat="1" ht="11.25" x14ac:dyDescent="0.2">
      <c r="A31" s="12"/>
      <c r="B31" s="24" t="s">
        <v>9</v>
      </c>
      <c r="C31" s="25"/>
      <c r="D31" s="25"/>
      <c r="E31" s="25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3.5" customHeight="1" x14ac:dyDescent="0.2">
      <c r="B32" s="24"/>
      <c r="C32" s="25"/>
      <c r="D32" s="25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5" ht="13.5" customHeight="1" x14ac:dyDescent="0.2">
      <c r="B33" s="35"/>
      <c r="C33" s="36"/>
      <c r="D33" s="36"/>
      <c r="E33" s="3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5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2:2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2:2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2:25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2:25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2:25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2: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25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2:25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2:25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2:25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2:25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x14ac:dyDescent="0.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x14ac:dyDescent="0.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x14ac:dyDescent="0.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x14ac:dyDescent="0.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x14ac:dyDescent="0.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x14ac:dyDescent="0.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x14ac:dyDescent="0.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x14ac:dyDescent="0.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x14ac:dyDescent="0.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x14ac:dyDescent="0.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x14ac:dyDescent="0.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x14ac:dyDescent="0.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x14ac:dyDescent="0.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x14ac:dyDescent="0.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x14ac:dyDescent="0.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x14ac:dyDescent="0.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x14ac:dyDescent="0.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x14ac:dyDescent="0.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x14ac:dyDescent="0.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x14ac:dyDescent="0.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x14ac:dyDescent="0.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x14ac:dyDescent="0.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x14ac:dyDescent="0.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x14ac:dyDescent="0.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x14ac:dyDescent="0.2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x14ac:dyDescent="0.2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x14ac:dyDescent="0.2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x14ac:dyDescent="0.2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x14ac:dyDescent="0.2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x14ac:dyDescent="0.2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2:2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2:2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2:2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2:2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2:2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2:2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2:2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2:2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2:2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2:2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2:2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2:2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2:2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2:2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2:2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2:2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2:2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2:2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2:2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2:2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2:2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2:2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2:2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2:2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2:2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2:2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2:2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2:2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2:2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2:2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2:2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2:2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2:2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2:2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2:2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2:2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2:2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2:2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2:2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2:2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2:2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2:2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2:2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2:2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2:2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2:2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2:2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2:2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2:2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2:2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2:2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2:2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2:2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2:2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2:2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2:2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2:2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2:2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2:2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2:2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2:2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2:2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2:2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2:2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2:2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2:2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2:2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2:2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2:2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2:2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2:2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2:2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2:2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2:2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2:2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2:2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2:2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2:2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2:2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2:2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2:2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2:2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2:2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2:2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2:2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2:2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2:2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2:2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2:2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2:2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2:2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2:2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2:2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2:2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2:2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2:2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2:2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2:2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2:2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2:2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2:2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2:2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2:2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2:2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2:2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2:2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2:2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2:2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2:2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2:2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2:2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2:2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2:2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2:2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2:2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2:2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2:2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2:2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2:2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2:2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2:2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2:2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2:2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2:2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2:2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2:2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2:2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2:2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2:2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2:2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2:2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2:2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2:2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2:2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2:2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2:2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2:2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2:2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2:2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2:2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2:2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2:2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2:2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2:2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2:2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2:2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2:2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2:2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2:2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2:2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2:2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2:2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2:2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2:2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2:2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2:2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2:2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2:2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2:2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2:2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2:2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2:2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2:2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2:2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2:2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2:2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2:2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2:2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2:2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2:2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2:2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2:2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2:2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2:2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2:2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2:2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2:2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2:2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2:2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2:2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2:2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2:2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2:2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2:2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2:2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2:2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2:2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2:2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2:2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2:2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2:2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2:2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2:2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2:2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2:2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2:2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2:2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2:2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2:2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2:2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2:2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2:2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2:2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2:2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2:2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2:2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2:2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2:2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2:2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2:2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2:2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2:2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2:2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2:2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2:2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2:2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2:2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2:2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2:2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2:2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2:2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2:2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2:2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2:2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2:2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2:2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2:2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2:2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2:2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2:2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2:2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2:2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2:2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2:2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2:2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2:2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2:2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2:2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2:2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2:2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2:2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2:2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2:2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2:2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2:2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2:2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2:2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2:2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2:2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2:2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2:2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2:2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2:2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2:2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2:25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2:25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2:25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2:25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2:25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2:25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2:25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2:25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2:25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2:25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2:25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2:25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2:25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2:25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2:25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2:25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2:25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2:25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2:25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2:25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2:25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2:25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2:25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2:25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2:25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2:25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2:25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2:25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2:25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2:25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2:25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2:25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2:25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2:25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2:25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2:25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2:25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2:25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2:25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2:25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2:25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2:25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2:25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2:25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2:25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2:25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2:25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2:25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2:25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2:25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2:25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2:25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2:25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2:25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2:25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2:25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2:25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2:25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2:25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2:25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2:25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2:25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2:25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2:25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2:25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2:25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2:25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2:25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2:25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2:25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2:25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2:25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2:25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2:25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2:25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2:25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2:25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2:25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2:25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2:25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2:25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2:25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2:25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</sheetData>
  <mergeCells count="3">
    <mergeCell ref="B5:D5"/>
    <mergeCell ref="B7:B9"/>
    <mergeCell ref="D7:E8"/>
  </mergeCells>
  <hyperlinks>
    <hyperlink ref="E1" location="Índice!A1" tooltip="Ir a ÍNDICE" display="INDICE" xr:uid="{74971CF6-9EF2-4D26-9375-1B2DD77D9DEF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DCA-B22B-4672-BE07-B1DA56D74F39}">
  <sheetPr>
    <pageSetUpPr fitToPage="1"/>
  </sheetPr>
  <dimension ref="A1:AA53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.140625" style="142" customWidth="1"/>
    <col min="3" max="3" width="1.7109375" style="158" customWidth="1" collapsed="1"/>
    <col min="4" max="4" width="18.7109375" style="142" customWidth="1" collapsed="1"/>
    <col min="5" max="5" width="1.7109375" style="142" customWidth="1" collapsed="1"/>
    <col min="6" max="7" width="11.42578125" style="142" customWidth="1" collapsed="1"/>
    <col min="8" max="8" width="1.7109375" style="142" customWidth="1" collapsed="1"/>
    <col min="9" max="10" width="11.42578125" style="142" customWidth="1" collapsed="1"/>
    <col min="11" max="11" width="1.7109375" style="142" customWidth="1" collapsed="1"/>
    <col min="12" max="13" width="11.42578125" style="142" customWidth="1" collapsed="1"/>
    <col min="14" max="14" width="1.7109375" style="142" customWidth="1" collapsed="1"/>
    <col min="15" max="15" width="11.42578125" style="142" customWidth="1" collapsed="1"/>
    <col min="16" max="16" width="11.42578125" style="142"/>
    <col min="17" max="17" width="1.7109375" style="142" customWidth="1"/>
    <col min="18" max="18" width="16.42578125" style="142" customWidth="1"/>
    <col min="19" max="27" width="11.42578125" style="142"/>
    <col min="28" max="16384" width="11.42578125" style="142" collapsed="1"/>
  </cols>
  <sheetData>
    <row r="1" spans="1:19" s="131" customFormat="1" ht="14.1" customHeight="1" x14ac:dyDescent="0.2">
      <c r="A1" s="66"/>
      <c r="B1" s="484" t="s">
        <v>144</v>
      </c>
      <c r="C1" s="130"/>
      <c r="S1" s="85" t="s">
        <v>118</v>
      </c>
    </row>
    <row r="2" spans="1:19" s="131" customFormat="1" ht="6.95" customHeight="1" x14ac:dyDescent="0.2">
      <c r="A2" s="66"/>
      <c r="B2" s="484"/>
      <c r="C2" s="130"/>
    </row>
    <row r="3" spans="1:19" s="131" customFormat="1" ht="14.1" customHeight="1" x14ac:dyDescent="0.2">
      <c r="A3" s="66"/>
      <c r="B3" s="484" t="s">
        <v>142</v>
      </c>
      <c r="C3" s="132"/>
      <c r="D3" s="132"/>
      <c r="E3" s="132"/>
      <c r="F3" s="132"/>
      <c r="G3" s="132"/>
    </row>
    <row r="4" spans="1:19" s="131" customFormat="1" ht="6.95" customHeight="1" x14ac:dyDescent="0.2">
      <c r="A4" s="66"/>
      <c r="C4" s="130"/>
    </row>
    <row r="5" spans="1:19" s="134" customFormat="1" ht="20.100000000000001" customHeight="1" x14ac:dyDescent="0.2">
      <c r="A5" s="66"/>
      <c r="B5" s="519" t="s">
        <v>21</v>
      </c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133"/>
      <c r="S5" s="75" t="s">
        <v>89</v>
      </c>
    </row>
    <row r="6" spans="1:19" s="140" customFormat="1" ht="6" customHeight="1" x14ac:dyDescent="0.2">
      <c r="A6" s="66"/>
      <c r="B6" s="135"/>
      <c r="C6" s="136"/>
      <c r="D6" s="137"/>
      <c r="E6" s="137"/>
      <c r="F6" s="137"/>
      <c r="G6" s="138"/>
      <c r="H6" s="138"/>
      <c r="I6" s="138"/>
      <c r="J6" s="139"/>
      <c r="K6" s="139"/>
      <c r="L6" s="139"/>
      <c r="M6" s="139"/>
      <c r="N6" s="139"/>
      <c r="O6" s="139"/>
      <c r="P6" s="139"/>
      <c r="Q6" s="139"/>
      <c r="R6" s="139"/>
      <c r="S6" s="139"/>
    </row>
    <row r="7" spans="1:19" ht="15" customHeight="1" x14ac:dyDescent="0.2">
      <c r="A7" s="66"/>
      <c r="B7" s="520" t="s">
        <v>22</v>
      </c>
      <c r="C7" s="520"/>
      <c r="D7" s="523" t="s">
        <v>23</v>
      </c>
      <c r="E7" s="141"/>
      <c r="F7" s="526" t="s">
        <v>128</v>
      </c>
      <c r="G7" s="526"/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  <c r="S7" s="526"/>
    </row>
    <row r="8" spans="1:19" ht="21.75" customHeight="1" x14ac:dyDescent="0.2">
      <c r="A8" s="66"/>
      <c r="B8" s="521"/>
      <c r="C8" s="521"/>
      <c r="D8" s="524"/>
      <c r="E8" s="143"/>
      <c r="F8" s="527" t="s">
        <v>24</v>
      </c>
      <c r="G8" s="527"/>
      <c r="H8" s="144"/>
      <c r="I8" s="528" t="s">
        <v>129</v>
      </c>
      <c r="J8" s="528"/>
      <c r="K8" s="144"/>
      <c r="L8" s="528" t="s">
        <v>130</v>
      </c>
      <c r="M8" s="528"/>
      <c r="N8" s="145"/>
      <c r="O8" s="528" t="s">
        <v>25</v>
      </c>
      <c r="P8" s="528"/>
      <c r="Q8" s="146"/>
      <c r="R8" s="529" t="s">
        <v>97</v>
      </c>
      <c r="S8" s="529"/>
    </row>
    <row r="9" spans="1:19" ht="15" customHeight="1" x14ac:dyDescent="0.2">
      <c r="A9" s="12"/>
      <c r="B9" s="522"/>
      <c r="C9" s="522"/>
      <c r="D9" s="525"/>
      <c r="E9" s="147"/>
      <c r="F9" s="105" t="s">
        <v>13</v>
      </c>
      <c r="G9" s="105" t="s">
        <v>14</v>
      </c>
      <c r="H9" s="148"/>
      <c r="I9" s="105" t="s">
        <v>13</v>
      </c>
      <c r="J9" s="105" t="s">
        <v>14</v>
      </c>
      <c r="K9" s="149"/>
      <c r="L9" s="105" t="s">
        <v>13</v>
      </c>
      <c r="M9" s="105" t="s">
        <v>14</v>
      </c>
      <c r="N9" s="149"/>
      <c r="O9" s="105" t="s">
        <v>13</v>
      </c>
      <c r="P9" s="105" t="s">
        <v>14</v>
      </c>
      <c r="Q9" s="150"/>
      <c r="R9" s="105" t="s">
        <v>13</v>
      </c>
      <c r="S9" s="105" t="s">
        <v>14</v>
      </c>
    </row>
    <row r="10" spans="1:19" s="140" customFormat="1" ht="6" customHeight="1" x14ac:dyDescent="0.2">
      <c r="A10" s="67"/>
      <c r="B10" s="151"/>
      <c r="C10" s="151"/>
      <c r="D10" s="137"/>
      <c r="E10" s="137"/>
      <c r="F10" s="137"/>
      <c r="G10" s="138"/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39"/>
      <c r="S10" s="139"/>
    </row>
    <row r="11" spans="1:19" s="154" customFormat="1" ht="15" x14ac:dyDescent="0.2">
      <c r="A11" s="17"/>
      <c r="B11" s="106" t="s">
        <v>5</v>
      </c>
      <c r="C11" s="152"/>
      <c r="D11" s="159">
        <v>245318.59867594499</v>
      </c>
      <c r="E11" s="153"/>
      <c r="F11" s="159">
        <v>240579.178148726</v>
      </c>
      <c r="G11" s="159">
        <v>0.1202344607</v>
      </c>
      <c r="H11" s="153"/>
      <c r="I11" s="159">
        <v>248578.162338608</v>
      </c>
      <c r="J11" s="159">
        <v>0.16794342919999999</v>
      </c>
      <c r="K11" s="50"/>
      <c r="L11" s="159">
        <v>244042.709031979</v>
      </c>
      <c r="M11" s="159">
        <v>0.15256083300000001</v>
      </c>
      <c r="N11" s="153"/>
      <c r="O11" s="159">
        <v>244936.89877181</v>
      </c>
      <c r="P11" s="159">
        <v>4.5983268000000001E-2</v>
      </c>
      <c r="Q11" s="153"/>
      <c r="R11" s="159">
        <v>4974.6151208919</v>
      </c>
      <c r="S11" s="159">
        <v>1.41124926E-2</v>
      </c>
    </row>
    <row r="12" spans="1:19" s="154" customFormat="1" ht="6" customHeight="1" x14ac:dyDescent="0.2">
      <c r="A12" s="11"/>
      <c r="B12" s="107"/>
      <c r="C12" s="152"/>
      <c r="D12" s="95"/>
      <c r="E12" s="153"/>
      <c r="F12" s="95"/>
      <c r="G12" s="96"/>
      <c r="H12" s="153"/>
      <c r="I12" s="95"/>
      <c r="J12" s="96"/>
      <c r="K12" s="50"/>
      <c r="L12" s="95"/>
      <c r="M12" s="96"/>
      <c r="N12" s="153"/>
      <c r="O12" s="95"/>
      <c r="P12" s="96"/>
      <c r="Q12" s="153"/>
      <c r="R12" s="95"/>
      <c r="S12" s="96"/>
    </row>
    <row r="13" spans="1:19" ht="12.75" customHeight="1" x14ac:dyDescent="0.2">
      <c r="A13" s="11"/>
      <c r="B13" s="13" t="s">
        <v>26</v>
      </c>
      <c r="C13" s="155"/>
      <c r="D13" s="160">
        <v>8967.3004696325006</v>
      </c>
      <c r="E13" s="156"/>
      <c r="F13" s="160">
        <v>8985.3601525483991</v>
      </c>
      <c r="G13" s="160">
        <v>0.1373898489</v>
      </c>
      <c r="H13" s="156"/>
      <c r="I13" s="160">
        <v>8968.7975483155005</v>
      </c>
      <c r="J13" s="160">
        <v>0.13477948519999999</v>
      </c>
      <c r="K13" s="50"/>
      <c r="L13" s="160">
        <v>9001.3396759965999</v>
      </c>
      <c r="M13" s="160">
        <v>0.13435807229999999</v>
      </c>
      <c r="N13" s="156"/>
      <c r="O13" s="160">
        <v>8887.1498619033991</v>
      </c>
      <c r="P13" s="160">
        <v>0.24357844349999999</v>
      </c>
      <c r="Q13" s="156"/>
      <c r="R13" s="160">
        <v>0</v>
      </c>
      <c r="S13" s="160">
        <v>0</v>
      </c>
    </row>
    <row r="14" spans="1:19" ht="12.75" customHeight="1" x14ac:dyDescent="0.2">
      <c r="A14" s="11"/>
      <c r="B14" s="13" t="s">
        <v>27</v>
      </c>
      <c r="C14" s="155"/>
      <c r="D14" s="160">
        <v>30546.712730472598</v>
      </c>
      <c r="E14" s="156"/>
      <c r="F14" s="160">
        <v>30356.3154000166</v>
      </c>
      <c r="G14" s="160">
        <v>0.2764848862</v>
      </c>
      <c r="H14" s="156"/>
      <c r="I14" s="160">
        <v>31017.247634642699</v>
      </c>
      <c r="J14" s="160">
        <v>0.3944114084</v>
      </c>
      <c r="K14" s="50"/>
      <c r="L14" s="160">
        <v>31420.6180764009</v>
      </c>
      <c r="M14" s="160">
        <v>0.87598149510000001</v>
      </c>
      <c r="N14" s="156"/>
      <c r="O14" s="160">
        <v>31007.5689821427</v>
      </c>
      <c r="P14" s="160">
        <v>0.25835783709999999</v>
      </c>
      <c r="Q14" s="156"/>
      <c r="R14" s="160">
        <v>674</v>
      </c>
      <c r="S14" s="160">
        <v>5.9254777100000003E-2</v>
      </c>
    </row>
    <row r="15" spans="1:19" ht="12.75" customHeight="1" x14ac:dyDescent="0.2">
      <c r="A15" s="12"/>
      <c r="B15" s="13" t="s">
        <v>28</v>
      </c>
      <c r="C15" s="155"/>
      <c r="D15" s="160">
        <v>8722.5870993348999</v>
      </c>
      <c r="E15" s="156"/>
      <c r="F15" s="160">
        <v>8007.3830933245999</v>
      </c>
      <c r="G15" s="160">
        <v>0.68141107690000002</v>
      </c>
      <c r="H15" s="156"/>
      <c r="I15" s="160">
        <v>8145.4621089039001</v>
      </c>
      <c r="J15" s="160">
        <v>2.5131222622</v>
      </c>
      <c r="K15" s="50"/>
      <c r="L15" s="160">
        <v>7617.2430394488001</v>
      </c>
      <c r="M15" s="160">
        <v>1.1236007346000001</v>
      </c>
      <c r="N15" s="156"/>
      <c r="O15" s="160">
        <v>8470.1127644634998</v>
      </c>
      <c r="P15" s="160">
        <v>0.62160522809999996</v>
      </c>
      <c r="Q15" s="156"/>
      <c r="R15" s="160">
        <v>0</v>
      </c>
      <c r="S15" s="160">
        <v>0</v>
      </c>
    </row>
    <row r="16" spans="1:19" ht="12.75" customHeight="1" x14ac:dyDescent="0.2">
      <c r="A16" s="12"/>
      <c r="B16" s="13" t="s">
        <v>29</v>
      </c>
      <c r="C16" s="155"/>
      <c r="D16" s="160">
        <v>9823.9999164673009</v>
      </c>
      <c r="E16" s="156"/>
      <c r="F16" s="160">
        <v>9060.4303148294002</v>
      </c>
      <c r="G16" s="160">
        <v>0.82991136720000003</v>
      </c>
      <c r="H16" s="156"/>
      <c r="I16" s="160">
        <v>9850.1969311816993</v>
      </c>
      <c r="J16" s="160">
        <v>0.63411206019999999</v>
      </c>
      <c r="K16" s="50"/>
      <c r="L16" s="160">
        <v>9000.5921906652002</v>
      </c>
      <c r="M16" s="160">
        <v>1.0148278209999999</v>
      </c>
      <c r="N16" s="156"/>
      <c r="O16" s="160">
        <v>9826.9752227331992</v>
      </c>
      <c r="P16" s="160">
        <v>0.2149524478</v>
      </c>
      <c r="Q16" s="156"/>
      <c r="R16" s="160">
        <v>172</v>
      </c>
      <c r="S16" s="160">
        <v>6.6788091199999997E-2</v>
      </c>
    </row>
    <row r="17" spans="1:19" ht="12.75" customHeight="1" x14ac:dyDescent="0.2">
      <c r="A17" s="12"/>
      <c r="B17" s="13" t="s">
        <v>30</v>
      </c>
      <c r="C17" s="155"/>
      <c r="D17" s="128">
        <v>20174.373876367401</v>
      </c>
      <c r="E17" s="156"/>
      <c r="F17" s="128">
        <v>19892.850557510701</v>
      </c>
      <c r="G17" s="128">
        <v>0.15789050739999999</v>
      </c>
      <c r="H17" s="156"/>
      <c r="I17" s="128">
        <v>19600.380267749199</v>
      </c>
      <c r="J17" s="128">
        <v>0.24240976880000001</v>
      </c>
      <c r="K17" s="50"/>
      <c r="L17" s="128">
        <v>19364.3109742985</v>
      </c>
      <c r="M17" s="128">
        <v>0.484397574</v>
      </c>
      <c r="N17" s="156"/>
      <c r="O17" s="128">
        <v>20233.470377993701</v>
      </c>
      <c r="P17" s="128">
        <v>0.1101039555</v>
      </c>
      <c r="Q17" s="156"/>
      <c r="R17" s="128">
        <v>0</v>
      </c>
      <c r="S17" s="128">
        <v>0</v>
      </c>
    </row>
    <row r="18" spans="1:19" ht="12.75" customHeight="1" x14ac:dyDescent="0.2">
      <c r="A18" s="21"/>
      <c r="B18" s="13" t="s">
        <v>31</v>
      </c>
      <c r="C18" s="155"/>
      <c r="D18" s="128">
        <v>8619.0153653119996</v>
      </c>
      <c r="E18" s="156"/>
      <c r="F18" s="128">
        <v>8655.7188342013997</v>
      </c>
      <c r="G18" s="128">
        <v>0.1997759834</v>
      </c>
      <c r="H18" s="156"/>
      <c r="I18" s="128">
        <v>8680.8620394689005</v>
      </c>
      <c r="J18" s="128">
        <v>0.20975889580000001</v>
      </c>
      <c r="K18" s="50"/>
      <c r="L18" s="128">
        <v>8608.5952636268994</v>
      </c>
      <c r="M18" s="128">
        <v>0.1127335352</v>
      </c>
      <c r="N18" s="156"/>
      <c r="O18" s="128">
        <v>8648.5389624097006</v>
      </c>
      <c r="P18" s="128">
        <v>0.29149684129999998</v>
      </c>
      <c r="Q18" s="156"/>
      <c r="R18" s="128">
        <v>169.75276139140001</v>
      </c>
      <c r="S18" s="128">
        <v>7.3867928999999999E-2</v>
      </c>
    </row>
    <row r="19" spans="1:19" ht="12.75" customHeight="1" x14ac:dyDescent="0.2">
      <c r="A19" s="21"/>
      <c r="B19" s="13" t="s">
        <v>32</v>
      </c>
      <c r="C19" s="155"/>
      <c r="D19" s="160">
        <v>63038.559215489498</v>
      </c>
      <c r="E19" s="156"/>
      <c r="F19" s="160">
        <v>61371.298440921099</v>
      </c>
      <c r="G19" s="160">
        <v>0.52029110450000005</v>
      </c>
      <c r="H19" s="156"/>
      <c r="I19" s="160">
        <v>63405.040325626003</v>
      </c>
      <c r="J19" s="160">
        <v>1.0761699137</v>
      </c>
      <c r="K19" s="50"/>
      <c r="L19" s="160">
        <v>63285.785828187902</v>
      </c>
      <c r="M19" s="160">
        <v>0.70846633160000005</v>
      </c>
      <c r="N19" s="156"/>
      <c r="O19" s="160">
        <v>63679.711992633704</v>
      </c>
      <c r="P19" s="160">
        <v>0.29268246349999999</v>
      </c>
      <c r="Q19" s="156"/>
      <c r="R19" s="160">
        <v>1688.0924737703001</v>
      </c>
      <c r="S19" s="160">
        <v>0.1194750213</v>
      </c>
    </row>
    <row r="20" spans="1:19" ht="12.75" customHeight="1" x14ac:dyDescent="0.2">
      <c r="B20" s="13" t="s">
        <v>33</v>
      </c>
      <c r="C20" s="155"/>
      <c r="D20" s="160">
        <v>21528.302989013799</v>
      </c>
      <c r="E20" s="156"/>
      <c r="F20" s="160">
        <v>20946.048648408101</v>
      </c>
      <c r="G20" s="160">
        <v>0.38053289569999998</v>
      </c>
      <c r="H20" s="156"/>
      <c r="I20" s="160">
        <v>21453.553927165001</v>
      </c>
      <c r="J20" s="160">
        <v>0.46066155349999999</v>
      </c>
      <c r="K20" s="50"/>
      <c r="L20" s="160">
        <v>21488.275725922598</v>
      </c>
      <c r="M20" s="160">
        <v>0.59568986329999996</v>
      </c>
      <c r="N20" s="156"/>
      <c r="O20" s="160">
        <v>21465.479233407601</v>
      </c>
      <c r="P20" s="160">
        <v>0.61973343280000004</v>
      </c>
      <c r="Q20" s="156"/>
      <c r="R20" s="160">
        <v>1278</v>
      </c>
      <c r="S20" s="160">
        <v>0.1115379511</v>
      </c>
    </row>
    <row r="21" spans="1:19" ht="12.75" customHeight="1" x14ac:dyDescent="0.2">
      <c r="B21" s="13" t="s">
        <v>34</v>
      </c>
      <c r="C21" s="155"/>
      <c r="D21" s="160">
        <v>50347.549406123697</v>
      </c>
      <c r="E21" s="156"/>
      <c r="F21" s="160">
        <v>50340.875383129998</v>
      </c>
      <c r="G21" s="160">
        <v>0.37211215609999998</v>
      </c>
      <c r="H21" s="156"/>
      <c r="I21" s="160">
        <v>49887.171906292198</v>
      </c>
      <c r="J21" s="160">
        <v>0.12021554280000001</v>
      </c>
      <c r="K21" s="50"/>
      <c r="L21" s="160">
        <v>50222.102932654401</v>
      </c>
      <c r="M21" s="160">
        <v>9.7824300200000006E-2</v>
      </c>
      <c r="N21" s="156"/>
      <c r="O21" s="160">
        <v>50337.987935723897</v>
      </c>
      <c r="P21" s="160">
        <v>0.1283002359</v>
      </c>
      <c r="Q21" s="156"/>
      <c r="R21" s="160">
        <v>0</v>
      </c>
      <c r="S21" s="160">
        <v>0</v>
      </c>
    </row>
    <row r="22" spans="1:19" ht="12.75" customHeight="1" x14ac:dyDescent="0.2">
      <c r="B22" s="13" t="s">
        <v>35</v>
      </c>
      <c r="C22" s="155"/>
      <c r="D22" s="160">
        <v>12174.4839866041</v>
      </c>
      <c r="E22" s="156"/>
      <c r="F22" s="160">
        <v>12086.4298579486</v>
      </c>
      <c r="G22" s="160">
        <v>0.38252788760000001</v>
      </c>
      <c r="H22" s="156"/>
      <c r="I22" s="160">
        <v>12692.2845843215</v>
      </c>
      <c r="J22" s="160">
        <v>0.82184098390000004</v>
      </c>
      <c r="K22" s="50"/>
      <c r="L22" s="160">
        <v>12214.9498027916</v>
      </c>
      <c r="M22" s="160">
        <v>0.59276274179999999</v>
      </c>
      <c r="N22" s="156"/>
      <c r="O22" s="160">
        <v>12233.7385883814</v>
      </c>
      <c r="P22" s="160">
        <v>0.1572312444</v>
      </c>
      <c r="Q22" s="156"/>
      <c r="R22" s="160">
        <v>92</v>
      </c>
      <c r="S22" s="160">
        <v>1.85539651E-2</v>
      </c>
    </row>
    <row r="23" spans="1:19" ht="12.75" customHeight="1" x14ac:dyDescent="0.2">
      <c r="B23" s="13" t="s">
        <v>36</v>
      </c>
      <c r="C23" s="155"/>
      <c r="D23" s="160">
        <v>39342.759310615002</v>
      </c>
      <c r="E23" s="156"/>
      <c r="F23" s="160">
        <v>39667.329963636897</v>
      </c>
      <c r="G23" s="160">
        <v>0.50258462729999998</v>
      </c>
      <c r="H23" s="156"/>
      <c r="I23" s="160">
        <v>40086.591957982499</v>
      </c>
      <c r="J23" s="160">
        <v>0.97014452849999999</v>
      </c>
      <c r="K23" s="50"/>
      <c r="L23" s="160">
        <v>39862.834888558398</v>
      </c>
      <c r="M23" s="160">
        <v>0.47642793900000002</v>
      </c>
      <c r="N23" s="156"/>
      <c r="O23" s="160">
        <v>39599.883057696497</v>
      </c>
      <c r="P23" s="160">
        <v>0.28065705829999998</v>
      </c>
      <c r="Q23" s="156"/>
      <c r="R23" s="160">
        <v>2252</v>
      </c>
      <c r="S23" s="160">
        <v>0.1425917468</v>
      </c>
    </row>
    <row r="24" spans="1:19" ht="12.75" customHeight="1" x14ac:dyDescent="0.2">
      <c r="B24" s="13" t="s">
        <v>37</v>
      </c>
      <c r="C24" s="155"/>
      <c r="D24" s="160">
        <v>28850.313181142301</v>
      </c>
      <c r="E24" s="156"/>
      <c r="F24" s="160">
        <v>29882.831221828299</v>
      </c>
      <c r="G24" s="160">
        <v>1.5009688591000001</v>
      </c>
      <c r="H24" s="156"/>
      <c r="I24" s="160">
        <v>32286.279995590201</v>
      </c>
      <c r="J24" s="160">
        <v>1.834679232</v>
      </c>
      <c r="K24" s="50"/>
      <c r="L24" s="160">
        <v>30574.401778020001</v>
      </c>
      <c r="M24" s="160">
        <v>1.7406550672000001</v>
      </c>
      <c r="N24" s="156"/>
      <c r="O24" s="160">
        <v>29213.1201403954</v>
      </c>
      <c r="P24" s="160">
        <v>0.30859023079999998</v>
      </c>
      <c r="Q24" s="156"/>
      <c r="R24" s="160">
        <v>1364.1170119246001</v>
      </c>
      <c r="S24" s="160">
        <v>0.1447105991</v>
      </c>
    </row>
    <row r="25" spans="1:19" ht="12.75" customHeight="1" x14ac:dyDescent="0.2">
      <c r="B25" s="13" t="s">
        <v>38</v>
      </c>
      <c r="C25" s="155"/>
      <c r="D25" s="160">
        <v>24330.5739194446</v>
      </c>
      <c r="E25" s="156"/>
      <c r="F25" s="160">
        <v>23566.325141366</v>
      </c>
      <c r="G25" s="160">
        <v>0.46450491970000002</v>
      </c>
      <c r="H25" s="156"/>
      <c r="I25" s="160">
        <v>24621.648413790299</v>
      </c>
      <c r="J25" s="160">
        <v>0.504376143</v>
      </c>
      <c r="K25" s="50"/>
      <c r="L25" s="160">
        <v>24390.840334933298</v>
      </c>
      <c r="M25" s="160">
        <v>0.65371959989999995</v>
      </c>
      <c r="N25" s="156"/>
      <c r="O25" s="160">
        <v>24114.984799343201</v>
      </c>
      <c r="P25" s="160">
        <v>0.21963801499999999</v>
      </c>
      <c r="Q25" s="156"/>
      <c r="R25" s="160">
        <v>508</v>
      </c>
      <c r="S25" s="160">
        <v>5.9370894899999999E-2</v>
      </c>
    </row>
    <row r="26" spans="1:19" ht="12.75" customHeight="1" x14ac:dyDescent="0.2">
      <c r="B26" s="13" t="s">
        <v>39</v>
      </c>
      <c r="C26" s="155"/>
      <c r="D26" s="160">
        <v>55559.275928897499</v>
      </c>
      <c r="E26" s="156"/>
      <c r="F26" s="160">
        <v>55108.267483889402</v>
      </c>
      <c r="G26" s="160">
        <v>0.358950508</v>
      </c>
      <c r="H26" s="156"/>
      <c r="I26" s="160">
        <v>55716.335626963097</v>
      </c>
      <c r="J26" s="160">
        <v>0.22582834600000001</v>
      </c>
      <c r="K26" s="50"/>
      <c r="L26" s="160">
        <v>55811.227630785303</v>
      </c>
      <c r="M26" s="160">
        <v>0.30582027239999998</v>
      </c>
      <c r="N26" s="156"/>
      <c r="O26" s="160">
        <v>55681.424576491001</v>
      </c>
      <c r="P26" s="160">
        <v>9.4000421400000006E-2</v>
      </c>
      <c r="Q26" s="156"/>
      <c r="R26" s="160">
        <v>0</v>
      </c>
      <c r="S26" s="160">
        <v>0</v>
      </c>
    </row>
    <row r="27" spans="1:19" ht="12.75" customHeight="1" x14ac:dyDescent="0.2">
      <c r="B27" s="13" t="s">
        <v>40</v>
      </c>
      <c r="C27" s="155"/>
      <c r="D27" s="160">
        <v>153845.18493733901</v>
      </c>
      <c r="E27" s="156"/>
      <c r="F27" s="160">
        <v>149034.407714728</v>
      </c>
      <c r="G27" s="160">
        <v>0.62741592079999997</v>
      </c>
      <c r="H27" s="156"/>
      <c r="I27" s="160">
        <v>155248.54340331099</v>
      </c>
      <c r="J27" s="160">
        <v>0.51377514849999995</v>
      </c>
      <c r="K27" s="50"/>
      <c r="L27" s="160">
        <v>149603.65049980499</v>
      </c>
      <c r="M27" s="160">
        <v>0.67627309609999997</v>
      </c>
      <c r="N27" s="156"/>
      <c r="O27" s="160">
        <v>152874.63040185699</v>
      </c>
      <c r="P27" s="160">
        <v>0.1119929844</v>
      </c>
      <c r="Q27" s="156"/>
      <c r="R27" s="160">
        <v>1771</v>
      </c>
      <c r="S27" s="160">
        <v>3.8301629699999999E-2</v>
      </c>
    </row>
    <row r="28" spans="1:19" ht="12.75" customHeight="1" x14ac:dyDescent="0.2">
      <c r="B28" s="13" t="s">
        <v>41</v>
      </c>
      <c r="C28" s="155"/>
      <c r="D28" s="160">
        <v>48544.014646115298</v>
      </c>
      <c r="E28" s="156"/>
      <c r="F28" s="160">
        <v>48077.2008554895</v>
      </c>
      <c r="G28" s="160">
        <v>0.67643786800000005</v>
      </c>
      <c r="H28" s="156"/>
      <c r="I28" s="160">
        <v>49140.4787058574</v>
      </c>
      <c r="J28" s="160">
        <v>1.0318778697</v>
      </c>
      <c r="K28" s="50"/>
      <c r="L28" s="160">
        <v>48852.983212680701</v>
      </c>
      <c r="M28" s="160">
        <v>0.8016317946</v>
      </c>
      <c r="N28" s="156"/>
      <c r="O28" s="160">
        <v>48703.862038127103</v>
      </c>
      <c r="P28" s="160">
        <v>0.21929944770000001</v>
      </c>
      <c r="Q28" s="156"/>
      <c r="R28" s="160">
        <v>1109.0306578269001</v>
      </c>
      <c r="S28" s="160">
        <v>8.5545163199999996E-2</v>
      </c>
    </row>
    <row r="29" spans="1:19" ht="12.75" customHeight="1" x14ac:dyDescent="0.2">
      <c r="B29" s="13" t="s">
        <v>42</v>
      </c>
      <c r="C29" s="155"/>
      <c r="D29" s="160">
        <v>20366.691328497</v>
      </c>
      <c r="E29" s="156"/>
      <c r="F29" s="160">
        <v>19527.074884505499</v>
      </c>
      <c r="G29" s="160">
        <v>0.4521203982</v>
      </c>
      <c r="H29" s="156"/>
      <c r="I29" s="160">
        <v>21053.771118729299</v>
      </c>
      <c r="J29" s="160">
        <v>0.45633346689999998</v>
      </c>
      <c r="K29" s="50"/>
      <c r="L29" s="160">
        <v>19935.533412679299</v>
      </c>
      <c r="M29" s="160">
        <v>0.24571432900000001</v>
      </c>
      <c r="N29" s="156"/>
      <c r="O29" s="160">
        <v>20329.6429766773</v>
      </c>
      <c r="P29" s="160">
        <v>0.13343180769999999</v>
      </c>
      <c r="Q29" s="156"/>
      <c r="R29" s="160">
        <v>565.63238945449996</v>
      </c>
      <c r="S29" s="160">
        <v>9.7830932999999995E-2</v>
      </c>
    </row>
    <row r="30" spans="1:19" ht="12.75" customHeight="1" x14ac:dyDescent="0.2">
      <c r="B30" s="13" t="s">
        <v>43</v>
      </c>
      <c r="C30" s="155"/>
      <c r="D30" s="160">
        <v>10075.872713184701</v>
      </c>
      <c r="E30" s="156"/>
      <c r="F30" s="160">
        <v>10165.528613549001</v>
      </c>
      <c r="G30" s="160">
        <v>0.62072725230000003</v>
      </c>
      <c r="H30" s="156"/>
      <c r="I30" s="160">
        <v>10023.383827110199</v>
      </c>
      <c r="J30" s="160">
        <v>0.45442252230000002</v>
      </c>
      <c r="K30" s="50"/>
      <c r="L30" s="160">
        <v>10460.344029787801</v>
      </c>
      <c r="M30" s="160">
        <v>0.68022680260000001</v>
      </c>
      <c r="N30" s="156"/>
      <c r="O30" s="160">
        <v>10084.169311968901</v>
      </c>
      <c r="P30" s="160">
        <v>0.2237403959</v>
      </c>
      <c r="Q30" s="156"/>
      <c r="R30" s="160">
        <v>356</v>
      </c>
      <c r="S30" s="160">
        <v>9.8893838600000006E-2</v>
      </c>
    </row>
    <row r="31" spans="1:19" ht="12.75" customHeight="1" x14ac:dyDescent="0.2">
      <c r="B31" s="13" t="s">
        <v>44</v>
      </c>
      <c r="C31" s="155"/>
      <c r="D31" s="160">
        <v>46826.58478284</v>
      </c>
      <c r="E31" s="156"/>
      <c r="F31" s="160">
        <v>46629.866992486997</v>
      </c>
      <c r="G31" s="160">
        <v>0.21708636810000001</v>
      </c>
      <c r="H31" s="156"/>
      <c r="I31" s="160">
        <v>46825.197555384897</v>
      </c>
      <c r="J31" s="160">
        <v>0.19171478040000001</v>
      </c>
      <c r="K31" s="50"/>
      <c r="L31" s="160">
        <v>46604.498032411801</v>
      </c>
      <c r="M31" s="160">
        <v>0.18494019840000001</v>
      </c>
      <c r="N31" s="156"/>
      <c r="O31" s="160">
        <v>46815.383290320497</v>
      </c>
      <c r="P31" s="160">
        <v>5.7227715700000001E-2</v>
      </c>
      <c r="Q31" s="156"/>
      <c r="R31" s="160">
        <v>0</v>
      </c>
      <c r="S31" s="160">
        <v>0</v>
      </c>
    </row>
    <row r="32" spans="1:19" ht="12.75" customHeight="1" x14ac:dyDescent="0.2">
      <c r="B32" s="13" t="s">
        <v>45</v>
      </c>
      <c r="C32" s="155"/>
      <c r="D32" s="160">
        <v>51721.305046021</v>
      </c>
      <c r="E32" s="156"/>
      <c r="F32" s="160">
        <v>50338.535887673497</v>
      </c>
      <c r="G32" s="160">
        <v>0.55402979600000002</v>
      </c>
      <c r="H32" s="156"/>
      <c r="I32" s="160">
        <v>51274.398294011102</v>
      </c>
      <c r="J32" s="160">
        <v>1.264730463</v>
      </c>
      <c r="K32" s="50"/>
      <c r="L32" s="160">
        <v>52159.444733421202</v>
      </c>
      <c r="M32" s="160">
        <v>1.4219200235</v>
      </c>
      <c r="N32" s="156"/>
      <c r="O32" s="160">
        <v>52254.125087537599</v>
      </c>
      <c r="P32" s="160">
        <v>0.3534158865</v>
      </c>
      <c r="Q32" s="156"/>
      <c r="R32" s="160">
        <v>1258.2220383041999</v>
      </c>
      <c r="S32" s="160">
        <v>0.11227783700000001</v>
      </c>
    </row>
    <row r="33" spans="1:19" ht="12.75" customHeight="1" x14ac:dyDescent="0.2">
      <c r="B33" s="13" t="s">
        <v>46</v>
      </c>
      <c r="C33" s="155"/>
      <c r="D33" s="160">
        <v>60553.044746405503</v>
      </c>
      <c r="E33" s="156"/>
      <c r="F33" s="160">
        <v>59632.425127207898</v>
      </c>
      <c r="G33" s="160">
        <v>0.45279018199999999</v>
      </c>
      <c r="H33" s="156"/>
      <c r="I33" s="160">
        <v>61228.102871992203</v>
      </c>
      <c r="J33" s="160">
        <v>1.0941774787</v>
      </c>
      <c r="K33" s="50"/>
      <c r="L33" s="160">
        <v>60396.3258029926</v>
      </c>
      <c r="M33" s="160">
        <v>0.61082673249999997</v>
      </c>
      <c r="N33" s="156"/>
      <c r="O33" s="160">
        <v>60346.570743363402</v>
      </c>
      <c r="P33" s="160">
        <v>0.16335024340000001</v>
      </c>
      <c r="Q33" s="156"/>
      <c r="R33" s="160">
        <v>1022</v>
      </c>
      <c r="S33" s="160">
        <v>5.9618436699999999E-2</v>
      </c>
    </row>
    <row r="34" spans="1:19" ht="12.75" customHeight="1" x14ac:dyDescent="0.2">
      <c r="B34" s="13" t="s">
        <v>47</v>
      </c>
      <c r="C34" s="155"/>
      <c r="D34" s="160">
        <v>32602.288410915098</v>
      </c>
      <c r="E34" s="156"/>
      <c r="F34" s="160">
        <v>31397.142585653801</v>
      </c>
      <c r="G34" s="160">
        <v>0.59260818680000005</v>
      </c>
      <c r="H34" s="156"/>
      <c r="I34" s="160">
        <v>32593.2960438357</v>
      </c>
      <c r="J34" s="160">
        <v>0.79885371620000001</v>
      </c>
      <c r="K34" s="50"/>
      <c r="L34" s="160">
        <v>32412.808426899399</v>
      </c>
      <c r="M34" s="160">
        <v>0.57494762870000005</v>
      </c>
      <c r="N34" s="156"/>
      <c r="O34" s="160">
        <v>32389.011951788601</v>
      </c>
      <c r="P34" s="160">
        <v>0.17074811940000001</v>
      </c>
      <c r="Q34" s="156"/>
      <c r="R34" s="160">
        <v>542</v>
      </c>
      <c r="S34" s="160">
        <v>8.2064557299999993E-2</v>
      </c>
    </row>
    <row r="35" spans="1:19" ht="12.75" customHeight="1" x14ac:dyDescent="0.2">
      <c r="B35" s="13" t="s">
        <v>48</v>
      </c>
      <c r="C35" s="155"/>
      <c r="D35" s="160">
        <v>21975.205253110002</v>
      </c>
      <c r="E35" s="156"/>
      <c r="F35" s="160">
        <v>22034.074291793899</v>
      </c>
      <c r="G35" s="160">
        <v>0.45324807169999998</v>
      </c>
      <c r="H35" s="156"/>
      <c r="I35" s="160">
        <v>22437.266393004102</v>
      </c>
      <c r="J35" s="160">
        <v>0.69463536270000004</v>
      </c>
      <c r="K35" s="50"/>
      <c r="L35" s="160">
        <v>22324.095362591401</v>
      </c>
      <c r="M35" s="160">
        <v>0.5429670164</v>
      </c>
      <c r="N35" s="156"/>
      <c r="O35" s="160">
        <v>21890.129412014699</v>
      </c>
      <c r="P35" s="160">
        <v>0.25090739039999999</v>
      </c>
      <c r="Q35" s="156"/>
      <c r="R35" s="160">
        <v>0</v>
      </c>
      <c r="S35" s="160">
        <v>0</v>
      </c>
    </row>
    <row r="36" spans="1:19" ht="12.75" customHeight="1" x14ac:dyDescent="0.2">
      <c r="B36" s="13" t="s">
        <v>49</v>
      </c>
      <c r="C36" s="155"/>
      <c r="D36" s="160">
        <v>15666.7398479494</v>
      </c>
      <c r="E36" s="156"/>
      <c r="F36" s="160">
        <v>15204.162136913301</v>
      </c>
      <c r="G36" s="160">
        <v>0.49452117000000001</v>
      </c>
      <c r="H36" s="156"/>
      <c r="I36" s="160">
        <v>18986.3922849144</v>
      </c>
      <c r="J36" s="160">
        <v>1.6653918271000001</v>
      </c>
      <c r="K36" s="50"/>
      <c r="L36" s="160">
        <v>16867.443599486</v>
      </c>
      <c r="M36" s="160">
        <v>1.1735607606</v>
      </c>
      <c r="N36" s="156"/>
      <c r="O36" s="160">
        <v>15695.1228096165</v>
      </c>
      <c r="P36" s="160">
        <v>0.39736508409999999</v>
      </c>
      <c r="Q36" s="156"/>
      <c r="R36" s="160">
        <v>1099.9049622243999</v>
      </c>
      <c r="S36" s="160">
        <v>0.14195571840000001</v>
      </c>
    </row>
    <row r="37" spans="1:19" ht="12.75" customHeight="1" x14ac:dyDescent="0.2">
      <c r="B37" s="13" t="s">
        <v>50</v>
      </c>
      <c r="C37" s="155"/>
      <c r="D37" s="160">
        <v>19480.778027771601</v>
      </c>
      <c r="E37" s="156"/>
      <c r="F37" s="160">
        <v>19212.586755817101</v>
      </c>
      <c r="G37" s="160">
        <v>0.39888531370000002</v>
      </c>
      <c r="H37" s="156"/>
      <c r="I37" s="160">
        <v>19689.239223242301</v>
      </c>
      <c r="J37" s="160">
        <v>0.49632258219999997</v>
      </c>
      <c r="K37" s="50"/>
      <c r="L37" s="160">
        <v>20244.501219913898</v>
      </c>
      <c r="M37" s="160">
        <v>0.77624673070000005</v>
      </c>
      <c r="N37" s="156"/>
      <c r="O37" s="160">
        <v>19550.276805887999</v>
      </c>
      <c r="P37" s="160">
        <v>0.16366028530000001</v>
      </c>
      <c r="Q37" s="156"/>
      <c r="R37" s="160">
        <v>379</v>
      </c>
      <c r="S37" s="160">
        <v>4.3959846800000001E-2</v>
      </c>
    </row>
    <row r="38" spans="1:19" ht="12.75" customHeight="1" x14ac:dyDescent="0.2">
      <c r="B38" s="13" t="s">
        <v>51</v>
      </c>
      <c r="C38" s="155"/>
      <c r="D38" s="160">
        <v>25928.550404547899</v>
      </c>
      <c r="E38" s="156"/>
      <c r="F38" s="160">
        <v>25953.732260118199</v>
      </c>
      <c r="G38" s="160">
        <v>0.34030538999999999</v>
      </c>
      <c r="H38" s="156"/>
      <c r="I38" s="160">
        <v>26386.792895861301</v>
      </c>
      <c r="J38" s="160">
        <v>0.33945619360000001</v>
      </c>
      <c r="K38" s="50"/>
      <c r="L38" s="160">
        <v>26561.324219899601</v>
      </c>
      <c r="M38" s="160">
        <v>0.59864419489999998</v>
      </c>
      <c r="N38" s="156"/>
      <c r="O38" s="160">
        <v>25988.665083349599</v>
      </c>
      <c r="P38" s="160">
        <v>0.15694064150000001</v>
      </c>
      <c r="Q38" s="52"/>
      <c r="R38" s="160">
        <v>0</v>
      </c>
      <c r="S38" s="160">
        <v>0</v>
      </c>
    </row>
    <row r="39" spans="1:19" ht="12.75" customHeight="1" x14ac:dyDescent="0.2">
      <c r="B39" s="13" t="s">
        <v>52</v>
      </c>
      <c r="C39" s="155"/>
      <c r="D39" s="160">
        <v>24998.115892135302</v>
      </c>
      <c r="E39" s="156"/>
      <c r="F39" s="160">
        <v>24510.3224905633</v>
      </c>
      <c r="G39" s="160">
        <v>0.54756307969999995</v>
      </c>
      <c r="H39" s="156"/>
      <c r="I39" s="160">
        <v>25753.370940373701</v>
      </c>
      <c r="J39" s="160">
        <v>1.1454234962000001</v>
      </c>
      <c r="K39" s="50"/>
      <c r="L39" s="160">
        <v>24350.899736360701</v>
      </c>
      <c r="M39" s="160">
        <v>0.39547336640000003</v>
      </c>
      <c r="N39" s="156"/>
      <c r="O39" s="160">
        <v>24942.358359037898</v>
      </c>
      <c r="P39" s="160">
        <v>0.42857961830000002</v>
      </c>
      <c r="Q39" s="156"/>
      <c r="R39" s="160">
        <v>798.93458947579995</v>
      </c>
      <c r="S39" s="160">
        <v>0.1165342654</v>
      </c>
    </row>
    <row r="40" spans="1:19" ht="12.75" customHeight="1" x14ac:dyDescent="0.2">
      <c r="B40" s="13" t="s">
        <v>53</v>
      </c>
      <c r="C40" s="155"/>
      <c r="D40" s="160">
        <v>22249.9713929684</v>
      </c>
      <c r="E40" s="156"/>
      <c r="F40" s="160">
        <v>22065.8219217111</v>
      </c>
      <c r="G40" s="160">
        <v>0.23622455270000001</v>
      </c>
      <c r="H40" s="156"/>
      <c r="I40" s="160">
        <v>23353.266256230501</v>
      </c>
      <c r="J40" s="160">
        <v>0.56881408769999997</v>
      </c>
      <c r="K40" s="50"/>
      <c r="L40" s="160">
        <v>22214.5307137499</v>
      </c>
      <c r="M40" s="160">
        <v>0.63391309080000002</v>
      </c>
      <c r="N40" s="156"/>
      <c r="O40" s="160">
        <v>22695.517033667998</v>
      </c>
      <c r="P40" s="160">
        <v>0.3640112693</v>
      </c>
      <c r="Q40" s="156"/>
      <c r="R40" s="160">
        <v>0</v>
      </c>
      <c r="S40" s="160">
        <v>0</v>
      </c>
    </row>
    <row r="41" spans="1:19" ht="12.75" customHeight="1" x14ac:dyDescent="0.2">
      <c r="B41" s="13" t="s">
        <v>54</v>
      </c>
      <c r="C41" s="155"/>
      <c r="D41" s="160">
        <v>9032.6462727959006</v>
      </c>
      <c r="E41" s="156"/>
      <c r="F41" s="160">
        <v>9100.8287166135997</v>
      </c>
      <c r="G41" s="160">
        <v>0.45799307309999998</v>
      </c>
      <c r="H41" s="156"/>
      <c r="I41" s="160">
        <v>8997.2988827302997</v>
      </c>
      <c r="J41" s="160">
        <v>0.1798730657</v>
      </c>
      <c r="K41" s="50"/>
      <c r="L41" s="160">
        <v>9315.2459075983006</v>
      </c>
      <c r="M41" s="160">
        <v>0.49141022449999999</v>
      </c>
      <c r="N41" s="156"/>
      <c r="O41" s="160">
        <v>8998.4115492340006</v>
      </c>
      <c r="P41" s="160">
        <v>0.149039698</v>
      </c>
      <c r="Q41" s="156"/>
      <c r="R41" s="160">
        <v>236</v>
      </c>
      <c r="S41" s="160">
        <v>7.0141139500000005E-2</v>
      </c>
    </row>
    <row r="42" spans="1:19" ht="12.75" customHeight="1" x14ac:dyDescent="0.2">
      <c r="B42" s="13" t="s">
        <v>55</v>
      </c>
      <c r="C42" s="155"/>
      <c r="D42" s="160">
        <v>73888.639891829996</v>
      </c>
      <c r="E42" s="156"/>
      <c r="F42" s="160">
        <v>73565.252463155601</v>
      </c>
      <c r="G42" s="160">
        <v>0.45074443819999999</v>
      </c>
      <c r="H42" s="156"/>
      <c r="I42" s="160">
        <v>77176.004382509607</v>
      </c>
      <c r="J42" s="160">
        <v>1.2754514873</v>
      </c>
      <c r="K42" s="50"/>
      <c r="L42" s="160">
        <v>76731.955657524202</v>
      </c>
      <c r="M42" s="160">
        <v>0.94287059169999998</v>
      </c>
      <c r="N42" s="156"/>
      <c r="O42" s="160">
        <v>73338.9148924865</v>
      </c>
      <c r="P42" s="160">
        <v>0.23579477169999999</v>
      </c>
      <c r="Q42" s="156"/>
      <c r="R42" s="160">
        <v>1648.0843658389999</v>
      </c>
      <c r="S42" s="160">
        <v>6.9703332100000001E-2</v>
      </c>
    </row>
    <row r="43" spans="1:19" ht="12.75" customHeight="1" x14ac:dyDescent="0.2">
      <c r="B43" s="13" t="s">
        <v>56</v>
      </c>
      <c r="C43" s="155"/>
      <c r="D43" s="160">
        <v>22166.611550397301</v>
      </c>
      <c r="E43" s="156"/>
      <c r="F43" s="160">
        <v>21450.3415833252</v>
      </c>
      <c r="G43" s="160">
        <v>0.42359490509999997</v>
      </c>
      <c r="H43" s="156"/>
      <c r="I43" s="160">
        <v>22097.903624770901</v>
      </c>
      <c r="J43" s="160">
        <v>0.24505488680000001</v>
      </c>
      <c r="K43" s="50"/>
      <c r="L43" s="160">
        <v>21359.248847807899</v>
      </c>
      <c r="M43" s="160">
        <v>0.58172792890000002</v>
      </c>
      <c r="N43" s="156"/>
      <c r="O43" s="160">
        <v>22026.897860269</v>
      </c>
      <c r="P43" s="160">
        <v>0.18201072839999999</v>
      </c>
      <c r="Q43" s="156"/>
      <c r="R43" s="160">
        <v>0</v>
      </c>
      <c r="S43" s="160">
        <v>0</v>
      </c>
    </row>
    <row r="44" spans="1:19" ht="12.75" customHeight="1" x14ac:dyDescent="0.2">
      <c r="B44" s="13" t="s">
        <v>57</v>
      </c>
      <c r="C44" s="155"/>
      <c r="D44" s="160">
        <v>16223.618786687</v>
      </c>
      <c r="E44" s="156"/>
      <c r="F44" s="160">
        <v>15991.934039784301</v>
      </c>
      <c r="G44" s="160">
        <v>0.40602009919999998</v>
      </c>
      <c r="H44" s="156"/>
      <c r="I44" s="160">
        <v>16130.1777241278</v>
      </c>
      <c r="J44" s="160">
        <v>0.55198936470000004</v>
      </c>
      <c r="K44" s="50"/>
      <c r="L44" s="160">
        <v>15730.2375421901</v>
      </c>
      <c r="M44" s="160">
        <v>0.55055852429999996</v>
      </c>
      <c r="N44" s="156"/>
      <c r="O44" s="160">
        <v>16199.929019228701</v>
      </c>
      <c r="P44" s="160">
        <v>0.18822623799999999</v>
      </c>
      <c r="Q44" s="156"/>
      <c r="R44" s="160">
        <v>233</v>
      </c>
      <c r="S44" s="160">
        <v>5.1766093700000002E-2</v>
      </c>
    </row>
    <row r="45" spans="1:19" ht="6" customHeight="1" x14ac:dyDescent="0.2">
      <c r="B45" s="14"/>
      <c r="C45" s="14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</row>
    <row r="46" spans="1:19" s="140" customFormat="1" ht="6" customHeight="1" x14ac:dyDescent="0.2">
      <c r="A46" s="5"/>
      <c r="B46" s="138"/>
      <c r="C46" s="136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</row>
    <row r="47" spans="1:19" s="140" customFormat="1" ht="11.25" x14ac:dyDescent="0.2">
      <c r="A47" s="12"/>
      <c r="B47" s="138" t="s">
        <v>131</v>
      </c>
      <c r="C47" s="136"/>
      <c r="D47" s="137"/>
      <c r="E47" s="137"/>
      <c r="F47" s="137"/>
      <c r="G47" s="138"/>
      <c r="H47" s="138"/>
      <c r="I47" s="138"/>
      <c r="J47" s="138"/>
      <c r="K47" s="138"/>
      <c r="L47" s="138"/>
      <c r="M47" s="138"/>
      <c r="N47" s="138"/>
      <c r="O47" s="139"/>
      <c r="P47" s="139"/>
      <c r="Q47" s="139"/>
      <c r="R47" s="139"/>
      <c r="S47" s="139"/>
    </row>
    <row r="48" spans="1:19" s="140" customFormat="1" ht="11.25" x14ac:dyDescent="0.2">
      <c r="A48" s="12"/>
      <c r="B48" s="138" t="s">
        <v>132</v>
      </c>
      <c r="C48" s="136"/>
      <c r="D48" s="137"/>
      <c r="E48" s="137"/>
      <c r="F48" s="137"/>
      <c r="G48" s="138"/>
      <c r="H48" s="138"/>
      <c r="I48" s="138"/>
      <c r="J48" s="138"/>
      <c r="K48" s="138"/>
      <c r="L48" s="138"/>
      <c r="M48" s="138"/>
      <c r="N48" s="138"/>
      <c r="O48" s="139"/>
      <c r="P48" s="139"/>
      <c r="Q48" s="139"/>
      <c r="R48" s="139"/>
      <c r="S48" s="139"/>
    </row>
    <row r="49" spans="1:19" s="140" customFormat="1" ht="11.25" x14ac:dyDescent="0.2">
      <c r="A49" s="12"/>
      <c r="B49" s="138" t="s">
        <v>133</v>
      </c>
      <c r="C49" s="136"/>
      <c r="D49" s="137"/>
      <c r="E49" s="137"/>
      <c r="F49" s="137"/>
      <c r="G49" s="138"/>
      <c r="H49" s="138"/>
      <c r="I49" s="138"/>
      <c r="J49" s="138"/>
      <c r="K49" s="138"/>
      <c r="L49" s="138"/>
      <c r="M49" s="138"/>
      <c r="N49" s="138"/>
      <c r="O49" s="139"/>
      <c r="P49" s="139"/>
      <c r="Q49" s="139"/>
      <c r="R49" s="139"/>
      <c r="S49" s="139"/>
    </row>
    <row r="50" spans="1:19" s="140" customFormat="1" ht="11.25" x14ac:dyDescent="0.2">
      <c r="A50" s="12"/>
      <c r="B50" s="138" t="s">
        <v>143</v>
      </c>
      <c r="C50" s="136"/>
      <c r="D50" s="137"/>
      <c r="E50" s="137"/>
      <c r="F50" s="137"/>
      <c r="G50" s="138"/>
      <c r="H50" s="138"/>
      <c r="I50" s="138"/>
      <c r="J50" s="138"/>
      <c r="K50" s="138"/>
      <c r="L50" s="138"/>
      <c r="M50" s="138"/>
      <c r="N50" s="138"/>
      <c r="O50" s="139"/>
      <c r="P50" s="139"/>
      <c r="Q50" s="139"/>
      <c r="R50" s="139"/>
      <c r="S50" s="139"/>
    </row>
    <row r="51" spans="1:19" s="89" customFormat="1" ht="11.25" customHeight="1" x14ac:dyDescent="0.2">
      <c r="B51" s="108" t="s">
        <v>134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</row>
    <row r="52" spans="1:19" s="89" customFormat="1" ht="11.25" customHeight="1" x14ac:dyDescent="0.2"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</row>
    <row r="53" spans="1:19" s="89" customFormat="1" ht="11.25" customHeight="1" x14ac:dyDescent="0.2"/>
  </sheetData>
  <mergeCells count="9">
    <mergeCell ref="B5:Q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3DD44202-5597-4B3D-A9FA-A81799DC5C36}"/>
  </hyperlinks>
  <pageMargins left="0.70866141732283472" right="0.70866141732283472" top="0.74803149606299213" bottom="0.74803149606299213" header="0.31496062992125984" footer="0.31496062992125984"/>
  <pageSetup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513A-A7F5-459F-AD90-B7BB581B6421}">
  <sheetPr>
    <pageSetUpPr fitToPage="1"/>
  </sheetPr>
  <dimension ref="A1:AJ97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.28515625" style="167" customWidth="1"/>
    <col min="3" max="3" width="1.7109375" style="193" customWidth="1" collapsed="1"/>
    <col min="4" max="4" width="18.7109375" style="193" customWidth="1" collapsed="1"/>
    <col min="5" max="5" width="1.7109375" style="193" customWidth="1"/>
    <col min="6" max="6" width="13.42578125" style="193" customWidth="1" collapsed="1"/>
    <col min="7" max="7" width="12.42578125" style="167" customWidth="1" collapsed="1"/>
    <col min="8" max="8" width="1.7109375" style="167" customWidth="1" collapsed="1"/>
    <col min="9" max="9" width="15.5703125" style="167" customWidth="1" collapsed="1"/>
    <col min="10" max="10" width="11.42578125" style="167" customWidth="1" collapsed="1"/>
    <col min="11" max="11" width="1.7109375" style="167" customWidth="1" collapsed="1"/>
    <col min="12" max="12" width="15.42578125" style="167" customWidth="1" collapsed="1"/>
    <col min="13" max="13" width="11.42578125" style="167" customWidth="1" collapsed="1"/>
    <col min="14" max="14" width="1.7109375" style="167" customWidth="1" collapsed="1"/>
    <col min="15" max="15" width="16.5703125" style="167" customWidth="1" collapsed="1"/>
    <col min="16" max="16" width="11.42578125" style="167" customWidth="1" collapsed="1"/>
    <col min="17" max="17" width="1.7109375" style="167" customWidth="1" collapsed="1"/>
    <col min="18" max="18" width="16.85546875" style="167" customWidth="1"/>
    <col min="19" max="19" width="11.42578125" style="167" customWidth="1"/>
    <col min="20" max="20" width="1.7109375" style="167" customWidth="1"/>
    <col min="21" max="21" width="16.28515625" style="167" customWidth="1" collapsed="1"/>
    <col min="22" max="33" width="11.42578125" style="167"/>
    <col min="34" max="34" width="11.42578125" style="167" collapsed="1"/>
    <col min="35" max="36" width="11.42578125" style="167"/>
    <col min="37" max="16384" width="11.42578125" style="167" collapsed="1"/>
  </cols>
  <sheetData>
    <row r="1" spans="1:22" s="163" customFormat="1" ht="14.1" customHeight="1" x14ac:dyDescent="0.2">
      <c r="A1" s="66"/>
      <c r="B1" s="484" t="s">
        <v>144</v>
      </c>
      <c r="C1" s="161"/>
      <c r="D1" s="162"/>
      <c r="E1" s="162"/>
      <c r="F1" s="162"/>
      <c r="V1" s="85" t="s">
        <v>118</v>
      </c>
    </row>
    <row r="2" spans="1:22" s="163" customFormat="1" ht="6.95" customHeight="1" x14ac:dyDescent="0.2">
      <c r="A2" s="66"/>
      <c r="B2" s="484"/>
      <c r="C2" s="161"/>
      <c r="D2" s="162"/>
      <c r="E2" s="162"/>
      <c r="F2" s="162"/>
    </row>
    <row r="3" spans="1:22" s="163" customFormat="1" ht="14.1" customHeight="1" x14ac:dyDescent="0.2">
      <c r="A3" s="66"/>
      <c r="B3" s="484" t="s">
        <v>142</v>
      </c>
      <c r="C3" s="164"/>
      <c r="D3" s="164"/>
      <c r="E3" s="164"/>
      <c r="F3" s="164"/>
      <c r="G3" s="164"/>
    </row>
    <row r="4" spans="1:22" s="163" customFormat="1" ht="6.95" customHeight="1" x14ac:dyDescent="0.2">
      <c r="A4" s="66"/>
      <c r="C4" s="161"/>
      <c r="D4" s="161"/>
      <c r="E4" s="161"/>
      <c r="F4" s="161"/>
    </row>
    <row r="5" spans="1:22" s="163" customFormat="1" ht="20.100000000000001" customHeight="1" x14ac:dyDescent="0.2">
      <c r="A5" s="66"/>
      <c r="B5" s="531" t="s">
        <v>58</v>
      </c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70"/>
      <c r="V5" s="75" t="s">
        <v>90</v>
      </c>
    </row>
    <row r="6" spans="1:22" ht="6" customHeight="1" x14ac:dyDescent="0.2">
      <c r="A6" s="66"/>
      <c r="B6" s="165"/>
      <c r="C6" s="532"/>
      <c r="D6" s="532"/>
      <c r="E6" s="532"/>
      <c r="F6" s="533"/>
      <c r="G6" s="533"/>
      <c r="H6" s="533"/>
      <c r="I6" s="533"/>
      <c r="J6" s="533"/>
      <c r="K6" s="533"/>
      <c r="L6" s="533"/>
      <c r="M6" s="534"/>
      <c r="N6" s="534"/>
      <c r="O6" s="534"/>
      <c r="P6" s="166"/>
    </row>
    <row r="7" spans="1:22" ht="15" customHeight="1" x14ac:dyDescent="0.2">
      <c r="A7" s="66"/>
      <c r="B7" s="535" t="s">
        <v>22</v>
      </c>
      <c r="C7" s="535"/>
      <c r="D7" s="538" t="s">
        <v>23</v>
      </c>
      <c r="E7" s="168"/>
      <c r="F7" s="530" t="s">
        <v>59</v>
      </c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</row>
    <row r="8" spans="1:22" ht="27" customHeight="1" x14ac:dyDescent="0.2">
      <c r="A8" s="66"/>
      <c r="B8" s="536"/>
      <c r="C8" s="536"/>
      <c r="D8" s="539"/>
      <c r="E8" s="169"/>
      <c r="F8" s="541" t="s">
        <v>60</v>
      </c>
      <c r="G8" s="541"/>
      <c r="H8" s="169"/>
      <c r="I8" s="541" t="s">
        <v>61</v>
      </c>
      <c r="J8" s="541"/>
      <c r="K8" s="170"/>
      <c r="L8" s="541" t="s">
        <v>77</v>
      </c>
      <c r="M8" s="541"/>
      <c r="N8" s="170"/>
      <c r="O8" s="530" t="s">
        <v>78</v>
      </c>
      <c r="P8" s="530"/>
      <c r="Q8" s="171"/>
      <c r="R8" s="530" t="s">
        <v>62</v>
      </c>
      <c r="S8" s="530"/>
      <c r="T8" s="171"/>
      <c r="U8" s="530" t="s">
        <v>19</v>
      </c>
      <c r="V8" s="530"/>
    </row>
    <row r="9" spans="1:22" ht="15" customHeight="1" x14ac:dyDescent="0.2">
      <c r="A9" s="12"/>
      <c r="B9" s="537"/>
      <c r="C9" s="537"/>
      <c r="D9" s="540"/>
      <c r="E9" s="172"/>
      <c r="F9" s="63" t="s">
        <v>13</v>
      </c>
      <c r="G9" s="63" t="s">
        <v>14</v>
      </c>
      <c r="H9" s="172"/>
      <c r="I9" s="63" t="s">
        <v>13</v>
      </c>
      <c r="J9" s="63" t="s">
        <v>14</v>
      </c>
      <c r="K9" s="173"/>
      <c r="L9" s="63" t="s">
        <v>13</v>
      </c>
      <c r="M9" s="63" t="s">
        <v>14</v>
      </c>
      <c r="N9" s="173"/>
      <c r="O9" s="63" t="s">
        <v>13</v>
      </c>
      <c r="P9" s="63" t="s">
        <v>14</v>
      </c>
      <c r="Q9" s="174"/>
      <c r="R9" s="63" t="s">
        <v>13</v>
      </c>
      <c r="S9" s="63" t="s">
        <v>14</v>
      </c>
      <c r="T9" s="174"/>
      <c r="U9" s="63" t="s">
        <v>13</v>
      </c>
      <c r="V9" s="63" t="s">
        <v>14</v>
      </c>
    </row>
    <row r="10" spans="1:22" ht="6" customHeight="1" x14ac:dyDescent="0.2">
      <c r="A10" s="67"/>
      <c r="B10" s="175"/>
      <c r="C10" s="175"/>
      <c r="D10" s="176"/>
      <c r="E10" s="176"/>
      <c r="F10" s="176"/>
      <c r="G10" s="170"/>
      <c r="H10" s="170"/>
      <c r="I10" s="177"/>
      <c r="J10" s="178"/>
      <c r="K10" s="178"/>
      <c r="L10" s="178"/>
      <c r="M10" s="178"/>
      <c r="N10" s="178"/>
      <c r="O10" s="178"/>
      <c r="P10" s="178"/>
    </row>
    <row r="11" spans="1:22" s="181" customFormat="1" ht="15" x14ac:dyDescent="0.2">
      <c r="A11" s="17"/>
      <c r="B11" s="10" t="s">
        <v>5</v>
      </c>
      <c r="C11" s="179"/>
      <c r="D11" s="159">
        <v>245318.59867594499</v>
      </c>
      <c r="E11" s="180"/>
      <c r="F11" s="159">
        <v>89361.2290191754</v>
      </c>
      <c r="G11" s="159">
        <v>0.24259185089999999</v>
      </c>
      <c r="H11" s="180"/>
      <c r="I11" s="159">
        <v>100852.803699385</v>
      </c>
      <c r="J11" s="159">
        <v>0.267009045</v>
      </c>
      <c r="K11" s="50"/>
      <c r="L11" s="159">
        <v>146832.51348674201</v>
      </c>
      <c r="M11" s="159">
        <v>0.36366636829999999</v>
      </c>
      <c r="N11" s="180"/>
      <c r="O11" s="159">
        <v>117417.36179842</v>
      </c>
      <c r="P11" s="159">
        <v>0.30009723649999998</v>
      </c>
      <c r="Q11" s="180"/>
      <c r="R11" s="159">
        <v>135909.971522432</v>
      </c>
      <c r="S11" s="159">
        <v>0.36038093259999998</v>
      </c>
      <c r="T11" s="51"/>
      <c r="U11" s="159">
        <v>49035.157387968597</v>
      </c>
      <c r="V11" s="159">
        <v>0.13567792319999999</v>
      </c>
    </row>
    <row r="12" spans="1:22" s="181" customFormat="1" ht="6" customHeight="1" x14ac:dyDescent="0.2">
      <c r="A12" s="11"/>
      <c r="B12" s="41"/>
      <c r="C12" s="179"/>
      <c r="D12" s="95"/>
      <c r="E12" s="180"/>
      <c r="F12" s="95"/>
      <c r="G12" s="96"/>
      <c r="H12" s="180"/>
      <c r="I12" s="95"/>
      <c r="J12" s="96"/>
      <c r="K12" s="50"/>
      <c r="L12" s="95"/>
      <c r="M12" s="96"/>
      <c r="N12" s="180"/>
      <c r="O12" s="95"/>
      <c r="P12" s="96"/>
      <c r="Q12" s="180"/>
      <c r="R12" s="95"/>
      <c r="S12" s="96"/>
      <c r="T12" s="50"/>
      <c r="U12" s="95"/>
      <c r="V12" s="96"/>
    </row>
    <row r="13" spans="1:22" ht="12.75" customHeight="1" x14ac:dyDescent="0.2">
      <c r="A13" s="11"/>
      <c r="B13" s="13" t="s">
        <v>26</v>
      </c>
      <c r="C13" s="182"/>
      <c r="D13" s="160">
        <v>8967.3004696325006</v>
      </c>
      <c r="E13" s="183"/>
      <c r="F13" s="160">
        <v>7644.5219678282001</v>
      </c>
      <c r="G13" s="160">
        <v>1.8587534536000001</v>
      </c>
      <c r="H13" s="183"/>
      <c r="I13" s="160">
        <v>3986.2112380801</v>
      </c>
      <c r="J13" s="160">
        <v>0.97901911809999997</v>
      </c>
      <c r="K13" s="50"/>
      <c r="L13" s="160">
        <v>6535.5878884647</v>
      </c>
      <c r="M13" s="160">
        <v>1.6833141468999999</v>
      </c>
      <c r="N13" s="183"/>
      <c r="O13" s="160">
        <v>5235.8742648232001</v>
      </c>
      <c r="P13" s="160">
        <v>1.3725522391</v>
      </c>
      <c r="Q13" s="183"/>
      <c r="R13" s="160">
        <v>6372.5325535507</v>
      </c>
      <c r="S13" s="160">
        <v>1.6580478832000001</v>
      </c>
      <c r="T13" s="52"/>
      <c r="U13" s="160">
        <v>3134.9971174415</v>
      </c>
      <c r="V13" s="160">
        <v>0.8103843208</v>
      </c>
    </row>
    <row r="14" spans="1:22" ht="12.75" customHeight="1" x14ac:dyDescent="0.2">
      <c r="A14" s="11"/>
      <c r="B14" s="13" t="s">
        <v>27</v>
      </c>
      <c r="C14" s="182"/>
      <c r="D14" s="160">
        <v>30546.712730472598</v>
      </c>
      <c r="E14" s="183"/>
      <c r="F14" s="160">
        <v>10502.0782361704</v>
      </c>
      <c r="G14" s="160">
        <v>0.91830432809999996</v>
      </c>
      <c r="H14" s="183"/>
      <c r="I14" s="160">
        <v>20419.818369118901</v>
      </c>
      <c r="J14" s="160">
        <v>1.70246041</v>
      </c>
      <c r="K14" s="50"/>
      <c r="L14" s="160">
        <v>24323.898180117099</v>
      </c>
      <c r="M14" s="160">
        <v>1.8421519611999999</v>
      </c>
      <c r="N14" s="183"/>
      <c r="O14" s="160">
        <v>15650.8075996199</v>
      </c>
      <c r="P14" s="160">
        <v>1.2768854691</v>
      </c>
      <c r="Q14" s="183"/>
      <c r="R14" s="160">
        <v>19570.3941970981</v>
      </c>
      <c r="S14" s="160">
        <v>1.6419009070999999</v>
      </c>
      <c r="T14" s="52"/>
      <c r="U14" s="160">
        <v>2880.5899883236002</v>
      </c>
      <c r="V14" s="160">
        <v>0.25396777170000001</v>
      </c>
    </row>
    <row r="15" spans="1:22" ht="12.75" customHeight="1" x14ac:dyDescent="0.2">
      <c r="A15" s="12"/>
      <c r="B15" s="13" t="s">
        <v>28</v>
      </c>
      <c r="C15" s="182"/>
      <c r="D15" s="160">
        <v>8722.5870993348999</v>
      </c>
      <c r="E15" s="183"/>
      <c r="F15" s="160">
        <v>7652.8146811157003</v>
      </c>
      <c r="G15" s="160">
        <v>2.7689263977</v>
      </c>
      <c r="H15" s="183"/>
      <c r="I15" s="160">
        <v>4742.2408808779001</v>
      </c>
      <c r="J15" s="160">
        <v>1.6995342711000001</v>
      </c>
      <c r="K15" s="50"/>
      <c r="L15" s="160">
        <v>4734.4669939660998</v>
      </c>
      <c r="M15" s="160">
        <v>1.9107387001</v>
      </c>
      <c r="N15" s="183"/>
      <c r="O15" s="160">
        <v>2655.2277949900999</v>
      </c>
      <c r="P15" s="160">
        <v>1.184178213</v>
      </c>
      <c r="Q15" s="183"/>
      <c r="R15" s="160">
        <v>2609.8651371023002</v>
      </c>
      <c r="S15" s="160">
        <v>1.2125266185000001</v>
      </c>
      <c r="T15" s="52"/>
      <c r="U15" s="160">
        <v>2070.5618649275998</v>
      </c>
      <c r="V15" s="160">
        <v>0.83597418349999997</v>
      </c>
    </row>
    <row r="16" spans="1:22" ht="12.75" customHeight="1" x14ac:dyDescent="0.2">
      <c r="A16" s="12"/>
      <c r="B16" s="13" t="s">
        <v>29</v>
      </c>
      <c r="C16" s="182"/>
      <c r="D16" s="160">
        <v>9823.9999164673009</v>
      </c>
      <c r="E16" s="183"/>
      <c r="F16" s="160">
        <v>2719.4267888933</v>
      </c>
      <c r="G16" s="160">
        <v>0.8998780931</v>
      </c>
      <c r="H16" s="183"/>
      <c r="I16" s="160">
        <v>3376.4527479987</v>
      </c>
      <c r="J16" s="160">
        <v>1.0557585862000001</v>
      </c>
      <c r="K16" s="50"/>
      <c r="L16" s="160">
        <v>4230.9397517288999</v>
      </c>
      <c r="M16" s="160">
        <v>1.2649135529</v>
      </c>
      <c r="N16" s="183"/>
      <c r="O16" s="160">
        <v>3106.0908594631001</v>
      </c>
      <c r="P16" s="160">
        <v>1.1101240563999999</v>
      </c>
      <c r="Q16" s="183"/>
      <c r="R16" s="160">
        <v>3864.0239429799999</v>
      </c>
      <c r="S16" s="160">
        <v>1.3031279881</v>
      </c>
      <c r="T16" s="52"/>
      <c r="U16" s="160">
        <v>1280.1132661096001</v>
      </c>
      <c r="V16" s="160">
        <v>0.47947443039999998</v>
      </c>
    </row>
    <row r="17" spans="1:22" ht="12.75" customHeight="1" x14ac:dyDescent="0.2">
      <c r="A17" s="12"/>
      <c r="B17" s="13" t="s">
        <v>30</v>
      </c>
      <c r="C17" s="182"/>
      <c r="D17" s="128">
        <v>20174.373876367401</v>
      </c>
      <c r="E17" s="183"/>
      <c r="F17" s="128">
        <v>10894.655157888001</v>
      </c>
      <c r="G17" s="128">
        <v>1.1872040886999999</v>
      </c>
      <c r="H17" s="183"/>
      <c r="I17" s="128">
        <v>11007.172302397301</v>
      </c>
      <c r="J17" s="128">
        <v>1.1766338809000001</v>
      </c>
      <c r="K17" s="50"/>
      <c r="L17" s="128">
        <v>15228.871336112899</v>
      </c>
      <c r="M17" s="128">
        <v>1.6271251962</v>
      </c>
      <c r="N17" s="183"/>
      <c r="O17" s="128">
        <v>10920.573764061301</v>
      </c>
      <c r="P17" s="128">
        <v>1.1886454493</v>
      </c>
      <c r="Q17" s="183"/>
      <c r="R17" s="128">
        <v>16875.317624794399</v>
      </c>
      <c r="S17" s="128">
        <v>1.7171978030999999</v>
      </c>
      <c r="T17" s="53"/>
      <c r="U17" s="128">
        <v>7626.4373334771999</v>
      </c>
      <c r="V17" s="128">
        <v>0.80627422540000004</v>
      </c>
    </row>
    <row r="18" spans="1:22" ht="12.75" customHeight="1" x14ac:dyDescent="0.2">
      <c r="A18" s="21"/>
      <c r="B18" s="13" t="s">
        <v>31</v>
      </c>
      <c r="C18" s="182"/>
      <c r="D18" s="128">
        <v>8619.0153653119996</v>
      </c>
      <c r="E18" s="183"/>
      <c r="F18" s="128">
        <v>4136.4025066322001</v>
      </c>
      <c r="G18" s="128">
        <v>1.7395353310999999</v>
      </c>
      <c r="H18" s="183"/>
      <c r="I18" s="128">
        <v>3232.1469368599001</v>
      </c>
      <c r="J18" s="128">
        <v>1.3204868155</v>
      </c>
      <c r="K18" s="50"/>
      <c r="L18" s="128">
        <v>5529.3232924746999</v>
      </c>
      <c r="M18" s="128">
        <v>1.9786799997</v>
      </c>
      <c r="N18" s="183"/>
      <c r="O18" s="128">
        <v>4001.8917298223</v>
      </c>
      <c r="P18" s="128">
        <v>1.5427800799</v>
      </c>
      <c r="Q18" s="183"/>
      <c r="R18" s="128">
        <v>3920.3583360296002</v>
      </c>
      <c r="S18" s="128">
        <v>1.6635016360999999</v>
      </c>
      <c r="T18" s="53"/>
      <c r="U18" s="128">
        <v>1760.3363112120001</v>
      </c>
      <c r="V18" s="128">
        <v>0.75452087000000001</v>
      </c>
    </row>
    <row r="19" spans="1:22" ht="12.75" customHeight="1" x14ac:dyDescent="0.2">
      <c r="A19" s="21"/>
      <c r="B19" s="13" t="s">
        <v>32</v>
      </c>
      <c r="C19" s="182"/>
      <c r="D19" s="160">
        <v>63038.559215489498</v>
      </c>
      <c r="E19" s="183"/>
      <c r="F19" s="160">
        <v>19163.6974442225</v>
      </c>
      <c r="G19" s="160">
        <v>1.2173641248</v>
      </c>
      <c r="H19" s="183"/>
      <c r="I19" s="160">
        <v>22372.830355561699</v>
      </c>
      <c r="J19" s="160">
        <v>1.2318807634</v>
      </c>
      <c r="K19" s="50"/>
      <c r="L19" s="160">
        <v>22689.031879463699</v>
      </c>
      <c r="M19" s="160">
        <v>1.3448624388999999</v>
      </c>
      <c r="N19" s="183"/>
      <c r="O19" s="160">
        <v>22213.906229919699</v>
      </c>
      <c r="P19" s="160">
        <v>1.3819570407999999</v>
      </c>
      <c r="Q19" s="183"/>
      <c r="R19" s="160">
        <v>23683.383750045599</v>
      </c>
      <c r="S19" s="160">
        <v>1.365831569</v>
      </c>
      <c r="T19" s="52"/>
      <c r="U19" s="160">
        <v>7388.4700679418002</v>
      </c>
      <c r="V19" s="160">
        <v>0.50655004049999997</v>
      </c>
    </row>
    <row r="20" spans="1:22" ht="12.75" customHeight="1" x14ac:dyDescent="0.2">
      <c r="B20" s="13" t="s">
        <v>33</v>
      </c>
      <c r="C20" s="182"/>
      <c r="D20" s="160">
        <v>21528.302989013799</v>
      </c>
      <c r="E20" s="183"/>
      <c r="F20" s="160">
        <v>12433.9316459005</v>
      </c>
      <c r="G20" s="160">
        <v>1.0626979670000001</v>
      </c>
      <c r="H20" s="183"/>
      <c r="I20" s="160">
        <v>15427.3447985574</v>
      </c>
      <c r="J20" s="160">
        <v>1.2930445152000001</v>
      </c>
      <c r="K20" s="50"/>
      <c r="L20" s="160">
        <v>20501.138842216798</v>
      </c>
      <c r="M20" s="160">
        <v>1.7257715252000001</v>
      </c>
      <c r="N20" s="183"/>
      <c r="O20" s="160">
        <v>15838.185275112501</v>
      </c>
      <c r="P20" s="160">
        <v>1.3841197301999999</v>
      </c>
      <c r="Q20" s="183"/>
      <c r="R20" s="160">
        <v>20558.227729141701</v>
      </c>
      <c r="S20" s="160">
        <v>1.7831986934999999</v>
      </c>
      <c r="T20" s="52"/>
      <c r="U20" s="160">
        <v>5398.5559887256004</v>
      </c>
      <c r="V20" s="160">
        <v>0.4703955648</v>
      </c>
    </row>
    <row r="21" spans="1:22" ht="12.75" customHeight="1" x14ac:dyDescent="0.2">
      <c r="B21" s="13" t="s">
        <v>34</v>
      </c>
      <c r="C21" s="182"/>
      <c r="D21" s="160">
        <v>50347.549406123697</v>
      </c>
      <c r="E21" s="183"/>
      <c r="F21" s="160">
        <v>14012.7805091589</v>
      </c>
      <c r="G21" s="160">
        <v>0.50174076420000002</v>
      </c>
      <c r="H21" s="183"/>
      <c r="I21" s="160">
        <v>23020.198818944398</v>
      </c>
      <c r="J21" s="160">
        <v>0.83128066759999997</v>
      </c>
      <c r="K21" s="50"/>
      <c r="L21" s="160">
        <v>35540.570928810797</v>
      </c>
      <c r="M21" s="160">
        <v>1.2377928949000001</v>
      </c>
      <c r="N21" s="183"/>
      <c r="O21" s="160">
        <v>35125.823820542799</v>
      </c>
      <c r="P21" s="160">
        <v>1.229242298</v>
      </c>
      <c r="Q21" s="183"/>
      <c r="R21" s="160">
        <v>47766.029147804496</v>
      </c>
      <c r="S21" s="160">
        <v>1.6795625288</v>
      </c>
      <c r="T21" s="52"/>
      <c r="U21" s="160">
        <v>19615.479940776499</v>
      </c>
      <c r="V21" s="160">
        <v>0.70043950730000004</v>
      </c>
    </row>
    <row r="22" spans="1:22" ht="12.75" customHeight="1" x14ac:dyDescent="0.2">
      <c r="B22" s="13" t="s">
        <v>35</v>
      </c>
      <c r="C22" s="182"/>
      <c r="D22" s="160">
        <v>12174.4839866041</v>
      </c>
      <c r="E22" s="183"/>
      <c r="F22" s="160">
        <v>5302.0982457045002</v>
      </c>
      <c r="G22" s="160">
        <v>1.0236037058</v>
      </c>
      <c r="H22" s="183"/>
      <c r="I22" s="160">
        <v>6003.3255921604004</v>
      </c>
      <c r="J22" s="160">
        <v>1.1172006887999999</v>
      </c>
      <c r="K22" s="50"/>
      <c r="L22" s="160">
        <v>7826.0511759806996</v>
      </c>
      <c r="M22" s="160">
        <v>1.4082652287999999</v>
      </c>
      <c r="N22" s="183"/>
      <c r="O22" s="160">
        <v>6654.6500714874001</v>
      </c>
      <c r="P22" s="160">
        <v>1.2202956565</v>
      </c>
      <c r="Q22" s="183"/>
      <c r="R22" s="160">
        <v>8215.1633928765004</v>
      </c>
      <c r="S22" s="160">
        <v>1.614608488</v>
      </c>
      <c r="T22" s="52"/>
      <c r="U22" s="160">
        <v>2449.1404280498</v>
      </c>
      <c r="V22" s="160">
        <v>0.49242198860000003</v>
      </c>
    </row>
    <row r="23" spans="1:22" ht="12.75" customHeight="1" x14ac:dyDescent="0.2">
      <c r="B23" s="13" t="s">
        <v>36</v>
      </c>
      <c r="C23" s="182"/>
      <c r="D23" s="160">
        <v>39342.759310615002</v>
      </c>
      <c r="E23" s="183"/>
      <c r="F23" s="160">
        <v>37304.005567294</v>
      </c>
      <c r="G23" s="160">
        <v>2.1965308145</v>
      </c>
      <c r="H23" s="183"/>
      <c r="I23" s="160">
        <v>20315.122808186101</v>
      </c>
      <c r="J23" s="160">
        <v>1.2649395663</v>
      </c>
      <c r="K23" s="50"/>
      <c r="L23" s="160">
        <v>25138.278299404501</v>
      </c>
      <c r="M23" s="160">
        <v>1.4828963765000001</v>
      </c>
      <c r="N23" s="183"/>
      <c r="O23" s="160">
        <v>22568.796951451499</v>
      </c>
      <c r="P23" s="160">
        <v>1.3908084733999999</v>
      </c>
      <c r="Q23" s="183"/>
      <c r="R23" s="160">
        <v>24534.1360042081</v>
      </c>
      <c r="S23" s="160">
        <v>1.6169786381</v>
      </c>
      <c r="T23" s="52"/>
      <c r="U23" s="160">
        <v>6622.1779471591999</v>
      </c>
      <c r="V23" s="160">
        <v>0.42173254910000002</v>
      </c>
    </row>
    <row r="24" spans="1:22" ht="12.75" customHeight="1" x14ac:dyDescent="0.2">
      <c r="B24" s="13" t="s">
        <v>37</v>
      </c>
      <c r="C24" s="182"/>
      <c r="D24" s="160">
        <v>28850.313181142301</v>
      </c>
      <c r="E24" s="183"/>
      <c r="F24" s="160">
        <v>9780.6502417864995</v>
      </c>
      <c r="G24" s="160">
        <v>0.99584494999999995</v>
      </c>
      <c r="H24" s="183"/>
      <c r="I24" s="160">
        <v>11962.494044114201</v>
      </c>
      <c r="J24" s="160">
        <v>1.0754232075000001</v>
      </c>
      <c r="K24" s="50"/>
      <c r="L24" s="160">
        <v>12539.2570729128</v>
      </c>
      <c r="M24" s="160">
        <v>1.1363869135</v>
      </c>
      <c r="N24" s="183"/>
      <c r="O24" s="160">
        <v>12390.058402991401</v>
      </c>
      <c r="P24" s="160">
        <v>1.149196004</v>
      </c>
      <c r="Q24" s="183"/>
      <c r="R24" s="160">
        <v>14555.818656056301</v>
      </c>
      <c r="S24" s="160">
        <v>1.4007335551</v>
      </c>
      <c r="T24" s="52"/>
      <c r="U24" s="160">
        <v>3929.8156361222</v>
      </c>
      <c r="V24" s="160">
        <v>0.42102071639999999</v>
      </c>
    </row>
    <row r="25" spans="1:22" ht="12.75" customHeight="1" x14ac:dyDescent="0.2">
      <c r="B25" s="13" t="s">
        <v>38</v>
      </c>
      <c r="C25" s="182"/>
      <c r="D25" s="160">
        <v>24330.5739194446</v>
      </c>
      <c r="E25" s="183"/>
      <c r="F25" s="160">
        <v>11007.6560235302</v>
      </c>
      <c r="G25" s="160">
        <v>1.2669802689</v>
      </c>
      <c r="H25" s="183"/>
      <c r="I25" s="160">
        <v>10738.021150373101</v>
      </c>
      <c r="J25" s="160">
        <v>1.1893056255000001</v>
      </c>
      <c r="K25" s="50"/>
      <c r="L25" s="160">
        <v>13273.654181845601</v>
      </c>
      <c r="M25" s="160">
        <v>1.2941325346999999</v>
      </c>
      <c r="N25" s="183"/>
      <c r="O25" s="160">
        <v>11736.4230189143</v>
      </c>
      <c r="P25" s="160">
        <v>1.221863699</v>
      </c>
      <c r="Q25" s="183"/>
      <c r="R25" s="160">
        <v>13323.908514287001</v>
      </c>
      <c r="S25" s="160">
        <v>1.4218272506</v>
      </c>
      <c r="T25" s="52"/>
      <c r="U25" s="160">
        <v>4995.9406376462002</v>
      </c>
      <c r="V25" s="160">
        <v>0.57148435809999998</v>
      </c>
    </row>
    <row r="26" spans="1:22" ht="12.75" customHeight="1" x14ac:dyDescent="0.2">
      <c r="B26" s="13" t="s">
        <v>39</v>
      </c>
      <c r="C26" s="182"/>
      <c r="D26" s="160">
        <v>55559.275928897499</v>
      </c>
      <c r="E26" s="183"/>
      <c r="F26" s="160">
        <v>14635.2048675075</v>
      </c>
      <c r="G26" s="160">
        <v>0.62472278240000001</v>
      </c>
      <c r="H26" s="183"/>
      <c r="I26" s="160">
        <v>33005.686628902498</v>
      </c>
      <c r="J26" s="160">
        <v>1.4074307722999999</v>
      </c>
      <c r="K26" s="50"/>
      <c r="L26" s="160">
        <v>43976.459995080397</v>
      </c>
      <c r="M26" s="160">
        <v>1.7433721192</v>
      </c>
      <c r="N26" s="183"/>
      <c r="O26" s="160">
        <v>30657.932888081701</v>
      </c>
      <c r="P26" s="160">
        <v>1.1943694354000001</v>
      </c>
      <c r="Q26" s="183"/>
      <c r="R26" s="160">
        <v>45697.129014194601</v>
      </c>
      <c r="S26" s="160">
        <v>1.8720367862</v>
      </c>
      <c r="T26" s="52"/>
      <c r="U26" s="160">
        <v>8348.5509632049998</v>
      </c>
      <c r="V26" s="160">
        <v>0.3634158415</v>
      </c>
    </row>
    <row r="27" spans="1:22" ht="12.75" customHeight="1" x14ac:dyDescent="0.2">
      <c r="B27" s="13" t="s">
        <v>40</v>
      </c>
      <c r="C27" s="182"/>
      <c r="D27" s="160">
        <v>153845.18493733901</v>
      </c>
      <c r="E27" s="183"/>
      <c r="F27" s="160">
        <v>39311.917629837997</v>
      </c>
      <c r="G27" s="160">
        <v>0.82632098779999996</v>
      </c>
      <c r="H27" s="183"/>
      <c r="I27" s="160">
        <v>43343.4680847571</v>
      </c>
      <c r="J27" s="160">
        <v>0.9032002697</v>
      </c>
      <c r="K27" s="50"/>
      <c r="L27" s="160">
        <v>91532.766815906696</v>
      </c>
      <c r="M27" s="160">
        <v>1.7093053669</v>
      </c>
      <c r="N27" s="183"/>
      <c r="O27" s="160">
        <v>76209.641588742496</v>
      </c>
      <c r="P27" s="160">
        <v>1.4277472527999999</v>
      </c>
      <c r="Q27" s="183"/>
      <c r="R27" s="160">
        <v>74977.619661623394</v>
      </c>
      <c r="S27" s="160">
        <v>1.4306320546</v>
      </c>
      <c r="T27" s="52"/>
      <c r="U27" s="160">
        <v>36646.032362211299</v>
      </c>
      <c r="V27" s="160">
        <v>0.75196350879999996</v>
      </c>
    </row>
    <row r="28" spans="1:22" ht="12.75" customHeight="1" x14ac:dyDescent="0.2">
      <c r="B28" s="13" t="s">
        <v>41</v>
      </c>
      <c r="C28" s="182"/>
      <c r="D28" s="160">
        <v>48544.014646115298</v>
      </c>
      <c r="E28" s="183"/>
      <c r="F28" s="160">
        <v>15752.877101877601</v>
      </c>
      <c r="G28" s="160">
        <v>1.2036927389000001</v>
      </c>
      <c r="H28" s="183"/>
      <c r="I28" s="160">
        <v>17658.9064722156</v>
      </c>
      <c r="J28" s="160">
        <v>1.2266543129</v>
      </c>
      <c r="K28" s="50"/>
      <c r="L28" s="160">
        <v>24983.697629449201</v>
      </c>
      <c r="M28" s="160">
        <v>1.5739396984</v>
      </c>
      <c r="N28" s="183"/>
      <c r="O28" s="160">
        <v>17630.860199688301</v>
      </c>
      <c r="P28" s="160">
        <v>1.2117947522000001</v>
      </c>
      <c r="Q28" s="183"/>
      <c r="R28" s="160">
        <v>27261.8191105326</v>
      </c>
      <c r="S28" s="160">
        <v>1.8425498191</v>
      </c>
      <c r="T28" s="52"/>
      <c r="U28" s="160">
        <v>4109.1844738699001</v>
      </c>
      <c r="V28" s="160">
        <v>0.30682507479999999</v>
      </c>
    </row>
    <row r="29" spans="1:22" ht="12.75" customHeight="1" x14ac:dyDescent="0.2">
      <c r="B29" s="13" t="s">
        <v>42</v>
      </c>
      <c r="C29" s="182"/>
      <c r="D29" s="160">
        <v>20366.691328497</v>
      </c>
      <c r="E29" s="183"/>
      <c r="F29" s="160">
        <v>4639.0576464219002</v>
      </c>
      <c r="G29" s="160">
        <v>0.75836695080000005</v>
      </c>
      <c r="H29" s="183"/>
      <c r="I29" s="160">
        <v>7197.0593167806001</v>
      </c>
      <c r="J29" s="160">
        <v>1.2525258783</v>
      </c>
      <c r="K29" s="50"/>
      <c r="L29" s="160">
        <v>8503.8541864821</v>
      </c>
      <c r="M29" s="160">
        <v>1.2572432376</v>
      </c>
      <c r="N29" s="183"/>
      <c r="O29" s="160">
        <v>8309.7874300731</v>
      </c>
      <c r="P29" s="160">
        <v>1.2075641491</v>
      </c>
      <c r="Q29" s="183"/>
      <c r="R29" s="160">
        <v>12042.3114346528</v>
      </c>
      <c r="S29" s="160">
        <v>1.5973506879999999</v>
      </c>
      <c r="T29" s="52"/>
      <c r="U29" s="160">
        <v>3545.1841946998002</v>
      </c>
      <c r="V29" s="160">
        <v>0.61468543350000004</v>
      </c>
    </row>
    <row r="30" spans="1:22" ht="12.75" customHeight="1" x14ac:dyDescent="0.2">
      <c r="B30" s="13" t="s">
        <v>43</v>
      </c>
      <c r="C30" s="182"/>
      <c r="D30" s="160">
        <v>10075.872713184701</v>
      </c>
      <c r="E30" s="183"/>
      <c r="F30" s="160">
        <v>4251.2386054903</v>
      </c>
      <c r="G30" s="160">
        <v>1.1336862657</v>
      </c>
      <c r="H30" s="183"/>
      <c r="I30" s="160">
        <v>6191.0869242272001</v>
      </c>
      <c r="J30" s="160">
        <v>1.5900107096</v>
      </c>
      <c r="K30" s="50"/>
      <c r="L30" s="160">
        <v>6487.8204999950003</v>
      </c>
      <c r="M30" s="160">
        <v>1.6933661665999999</v>
      </c>
      <c r="N30" s="183"/>
      <c r="O30" s="160">
        <v>4767.2711729451003</v>
      </c>
      <c r="P30" s="160">
        <v>1.2384063941000001</v>
      </c>
      <c r="Q30" s="183"/>
      <c r="R30" s="160">
        <v>7487.4457020819</v>
      </c>
      <c r="S30" s="160">
        <v>2.0009412397999999</v>
      </c>
      <c r="T30" s="52"/>
      <c r="U30" s="160">
        <v>1521.6164498206999</v>
      </c>
      <c r="V30" s="160">
        <v>0.41666510169999998</v>
      </c>
    </row>
    <row r="31" spans="1:22" ht="12.75" customHeight="1" x14ac:dyDescent="0.2">
      <c r="B31" s="13" t="s">
        <v>44</v>
      </c>
      <c r="C31" s="182"/>
      <c r="D31" s="160">
        <v>46826.58478284</v>
      </c>
      <c r="E31" s="183"/>
      <c r="F31" s="160">
        <v>27517.291364766701</v>
      </c>
      <c r="G31" s="160">
        <v>1.6285361088000001</v>
      </c>
      <c r="H31" s="183"/>
      <c r="I31" s="160">
        <v>38000.633597858498</v>
      </c>
      <c r="J31" s="160">
        <v>2.0391962992999999</v>
      </c>
      <c r="K31" s="50"/>
      <c r="L31" s="160">
        <v>36552.057304731803</v>
      </c>
      <c r="M31" s="160">
        <v>2.0354595984000001</v>
      </c>
      <c r="N31" s="183"/>
      <c r="O31" s="160">
        <v>23577.2312707442</v>
      </c>
      <c r="P31" s="160">
        <v>1.4778392752</v>
      </c>
      <c r="Q31" s="183"/>
      <c r="R31" s="160">
        <v>28072.396687394299</v>
      </c>
      <c r="S31" s="160">
        <v>1.8305695867</v>
      </c>
      <c r="T31" s="52"/>
      <c r="U31" s="160">
        <v>6194.2327243869004</v>
      </c>
      <c r="V31" s="160">
        <v>0.37757641040000001</v>
      </c>
    </row>
    <row r="32" spans="1:22" ht="12.75" customHeight="1" x14ac:dyDescent="0.2">
      <c r="B32" s="13" t="s">
        <v>45</v>
      </c>
      <c r="C32" s="182"/>
      <c r="D32" s="160">
        <v>51721.305046021</v>
      </c>
      <c r="E32" s="183"/>
      <c r="F32" s="160">
        <v>14926.3007580424</v>
      </c>
      <c r="G32" s="160">
        <v>1.1044287343999999</v>
      </c>
      <c r="H32" s="183"/>
      <c r="I32" s="160">
        <v>17237.221577707802</v>
      </c>
      <c r="J32" s="160">
        <v>1.2565421704999999</v>
      </c>
      <c r="K32" s="50"/>
      <c r="L32" s="160">
        <v>20254.1601423582</v>
      </c>
      <c r="M32" s="160">
        <v>1.5806045805</v>
      </c>
      <c r="N32" s="183"/>
      <c r="O32" s="160">
        <v>15721.797867834701</v>
      </c>
      <c r="P32" s="160">
        <v>1.1260655748999999</v>
      </c>
      <c r="Q32" s="183"/>
      <c r="R32" s="160">
        <v>20729.930329496801</v>
      </c>
      <c r="S32" s="160">
        <v>1.6043679230000001</v>
      </c>
      <c r="T32" s="52"/>
      <c r="U32" s="160">
        <v>5346.8506392868003</v>
      </c>
      <c r="V32" s="160">
        <v>0.43199557750000001</v>
      </c>
    </row>
    <row r="33" spans="2:22" ht="12.75" customHeight="1" x14ac:dyDescent="0.2">
      <c r="B33" s="13" t="s">
        <v>46</v>
      </c>
      <c r="C33" s="182"/>
      <c r="D33" s="160">
        <v>60553.044746405503</v>
      </c>
      <c r="E33" s="183"/>
      <c r="F33" s="160">
        <v>17570.455583660201</v>
      </c>
      <c r="G33" s="160">
        <v>0.92395081450000005</v>
      </c>
      <c r="H33" s="183"/>
      <c r="I33" s="160">
        <v>24056.783632707</v>
      </c>
      <c r="J33" s="160">
        <v>1.1343123480999999</v>
      </c>
      <c r="K33" s="50"/>
      <c r="L33" s="160">
        <v>34886.203143531697</v>
      </c>
      <c r="M33" s="160">
        <v>1.51587081</v>
      </c>
      <c r="N33" s="183"/>
      <c r="O33" s="160">
        <v>21400.716552179299</v>
      </c>
      <c r="P33" s="160">
        <v>1.1960099161</v>
      </c>
      <c r="Q33" s="183"/>
      <c r="R33" s="160">
        <v>24574.1032424189</v>
      </c>
      <c r="S33" s="160">
        <v>1.439974858</v>
      </c>
      <c r="T33" s="52"/>
      <c r="U33" s="160">
        <v>7206.3733209300999</v>
      </c>
      <c r="V33" s="160">
        <v>0.41690152829999999</v>
      </c>
    </row>
    <row r="34" spans="2:22" ht="12.75" customHeight="1" x14ac:dyDescent="0.2">
      <c r="B34" s="13" t="s">
        <v>47</v>
      </c>
      <c r="C34" s="182"/>
      <c r="D34" s="160">
        <v>32602.288410915098</v>
      </c>
      <c r="E34" s="183"/>
      <c r="F34" s="160">
        <v>12317.7850689564</v>
      </c>
      <c r="G34" s="160">
        <v>1.684773555</v>
      </c>
      <c r="H34" s="183"/>
      <c r="I34" s="160">
        <v>15534.524075245199</v>
      </c>
      <c r="J34" s="160">
        <v>1.9219440207</v>
      </c>
      <c r="K34" s="50"/>
      <c r="L34" s="160">
        <v>14664.0637452542</v>
      </c>
      <c r="M34" s="160">
        <v>1.5947697685</v>
      </c>
      <c r="N34" s="183"/>
      <c r="O34" s="160">
        <v>10250.2818782751</v>
      </c>
      <c r="P34" s="160">
        <v>1.4417203854</v>
      </c>
      <c r="Q34" s="183"/>
      <c r="R34" s="160">
        <v>10163.310195515</v>
      </c>
      <c r="S34" s="160">
        <v>1.5560483988</v>
      </c>
      <c r="T34" s="52"/>
      <c r="U34" s="160">
        <v>2616.0182941542998</v>
      </c>
      <c r="V34" s="160">
        <v>0.40434488889999998</v>
      </c>
    </row>
    <row r="35" spans="2:22" ht="12.75" customHeight="1" x14ac:dyDescent="0.2">
      <c r="B35" s="13" t="s">
        <v>48</v>
      </c>
      <c r="C35" s="182"/>
      <c r="D35" s="160">
        <v>21975.205253110002</v>
      </c>
      <c r="E35" s="183"/>
      <c r="F35" s="160">
        <v>15305.930540281901</v>
      </c>
      <c r="G35" s="160">
        <v>2.4674653187</v>
      </c>
      <c r="H35" s="183"/>
      <c r="I35" s="160">
        <v>15155.689019932301</v>
      </c>
      <c r="J35" s="160">
        <v>2.2745757942</v>
      </c>
      <c r="K35" s="50"/>
      <c r="L35" s="160">
        <v>9443.9527141103008</v>
      </c>
      <c r="M35" s="160">
        <v>1.7233768138000001</v>
      </c>
      <c r="N35" s="183"/>
      <c r="O35" s="160">
        <v>6740.4669405451996</v>
      </c>
      <c r="P35" s="160">
        <v>1.3297560869</v>
      </c>
      <c r="Q35" s="183"/>
      <c r="R35" s="160">
        <v>4094.5402890483001</v>
      </c>
      <c r="S35" s="160">
        <v>0.81318088229999996</v>
      </c>
      <c r="T35" s="54"/>
      <c r="U35" s="160">
        <v>4584.8212965358998</v>
      </c>
      <c r="V35" s="160">
        <v>0.84181652129999995</v>
      </c>
    </row>
    <row r="36" spans="2:22" ht="12.75" customHeight="1" x14ac:dyDescent="0.2">
      <c r="B36" s="13" t="s">
        <v>49</v>
      </c>
      <c r="C36" s="182"/>
      <c r="D36" s="160">
        <v>15666.7398479494</v>
      </c>
      <c r="E36" s="183"/>
      <c r="F36" s="160">
        <v>7213.3366973165002</v>
      </c>
      <c r="G36" s="160">
        <v>0.92696197830000004</v>
      </c>
      <c r="H36" s="183"/>
      <c r="I36" s="160">
        <v>11247.1358616545</v>
      </c>
      <c r="J36" s="160">
        <v>1.3856868965</v>
      </c>
      <c r="K36" s="50"/>
      <c r="L36" s="160">
        <v>14234.524041066499</v>
      </c>
      <c r="M36" s="160">
        <v>1.6800017999000001</v>
      </c>
      <c r="N36" s="183"/>
      <c r="O36" s="160">
        <v>10312.6391944442</v>
      </c>
      <c r="P36" s="160">
        <v>1.3028245385999999</v>
      </c>
      <c r="Q36" s="183"/>
      <c r="R36" s="160">
        <v>14144.2655429731</v>
      </c>
      <c r="S36" s="160">
        <v>1.8246093078000001</v>
      </c>
      <c r="T36" s="52"/>
      <c r="U36" s="160">
        <v>1728.3838676354001</v>
      </c>
      <c r="V36" s="160">
        <v>0.2236723102</v>
      </c>
    </row>
    <row r="37" spans="2:22" ht="12.75" customHeight="1" x14ac:dyDescent="0.2">
      <c r="B37" s="13" t="s">
        <v>50</v>
      </c>
      <c r="C37" s="182"/>
      <c r="D37" s="160">
        <v>19480.778027771601</v>
      </c>
      <c r="E37" s="183"/>
      <c r="F37" s="160">
        <v>13295.821820609401</v>
      </c>
      <c r="G37" s="160">
        <v>1.4491158727</v>
      </c>
      <c r="H37" s="183"/>
      <c r="I37" s="160">
        <v>9323.7488270741997</v>
      </c>
      <c r="J37" s="160">
        <v>1.0761305629</v>
      </c>
      <c r="K37" s="50"/>
      <c r="L37" s="160">
        <v>12708.263885995</v>
      </c>
      <c r="M37" s="160">
        <v>1.4671736913</v>
      </c>
      <c r="N37" s="183"/>
      <c r="O37" s="160">
        <v>12056.8430674513</v>
      </c>
      <c r="P37" s="160">
        <v>1.3377263788</v>
      </c>
      <c r="Q37" s="183"/>
      <c r="R37" s="160">
        <v>13917.1956308768</v>
      </c>
      <c r="S37" s="160">
        <v>1.5482112666000001</v>
      </c>
      <c r="T37" s="52"/>
      <c r="U37" s="160">
        <v>4028.6060579585001</v>
      </c>
      <c r="V37" s="160">
        <v>0.45822422200000001</v>
      </c>
    </row>
    <row r="38" spans="2:22" ht="12.75" customHeight="1" x14ac:dyDescent="0.2">
      <c r="B38" s="13" t="s">
        <v>51</v>
      </c>
      <c r="C38" s="182"/>
      <c r="D38" s="160">
        <v>25928.550404547899</v>
      </c>
      <c r="E38" s="183"/>
      <c r="F38" s="160">
        <v>15522.6202735441</v>
      </c>
      <c r="G38" s="160">
        <v>1.6651528162</v>
      </c>
      <c r="H38" s="183"/>
      <c r="I38" s="160">
        <v>14195.7364189934</v>
      </c>
      <c r="J38" s="160">
        <v>1.4580044270000001</v>
      </c>
      <c r="K38" s="50"/>
      <c r="L38" s="160">
        <v>13053.7773188552</v>
      </c>
      <c r="M38" s="160">
        <v>1.4712409861</v>
      </c>
      <c r="N38" s="183"/>
      <c r="O38" s="160">
        <v>11650.1771531391</v>
      </c>
      <c r="P38" s="160">
        <v>1.2833033186</v>
      </c>
      <c r="Q38" s="52"/>
      <c r="R38" s="160">
        <v>15366.2935097134</v>
      </c>
      <c r="S38" s="160">
        <v>1.7042734482999999</v>
      </c>
      <c r="T38" s="52"/>
      <c r="U38" s="160">
        <v>2194.6525450476001</v>
      </c>
      <c r="V38" s="160">
        <v>0.2475098959</v>
      </c>
    </row>
    <row r="39" spans="2:22" ht="12.75" customHeight="1" x14ac:dyDescent="0.2">
      <c r="B39" s="13" t="s">
        <v>52</v>
      </c>
      <c r="C39" s="182"/>
      <c r="D39" s="160">
        <v>24998.115892135302</v>
      </c>
      <c r="E39" s="183"/>
      <c r="F39" s="160">
        <v>8484.9603291612002</v>
      </c>
      <c r="G39" s="160">
        <v>1.2248422286</v>
      </c>
      <c r="H39" s="183"/>
      <c r="I39" s="160">
        <v>8114.5750990434999</v>
      </c>
      <c r="J39" s="160">
        <v>1.1790667467</v>
      </c>
      <c r="K39" s="50"/>
      <c r="L39" s="160">
        <v>13412.308053180501</v>
      </c>
      <c r="M39" s="160">
        <v>1.6111216128000001</v>
      </c>
      <c r="N39" s="183"/>
      <c r="O39" s="160">
        <v>10227.5102062802</v>
      </c>
      <c r="P39" s="160">
        <v>1.1196095196</v>
      </c>
      <c r="Q39" s="183"/>
      <c r="R39" s="160">
        <v>11320.824861605501</v>
      </c>
      <c r="S39" s="160">
        <v>1.4210586144999999</v>
      </c>
      <c r="T39" s="52"/>
      <c r="U39" s="160">
        <v>2406.2396952532999</v>
      </c>
      <c r="V39" s="160">
        <v>0.34900811949999999</v>
      </c>
    </row>
    <row r="40" spans="2:22" ht="12.75" customHeight="1" x14ac:dyDescent="0.2">
      <c r="B40" s="13" t="s">
        <v>53</v>
      </c>
      <c r="C40" s="182"/>
      <c r="D40" s="160">
        <v>22249.9713929684</v>
      </c>
      <c r="E40" s="183"/>
      <c r="F40" s="160">
        <v>16699.094187045401</v>
      </c>
      <c r="G40" s="160">
        <v>1.4824881844</v>
      </c>
      <c r="H40" s="183"/>
      <c r="I40" s="160">
        <v>11997.9333122106</v>
      </c>
      <c r="J40" s="160">
        <v>1.0737955960000001</v>
      </c>
      <c r="K40" s="50"/>
      <c r="L40" s="160">
        <v>15953.9013345809</v>
      </c>
      <c r="M40" s="160">
        <v>1.4746426855999999</v>
      </c>
      <c r="N40" s="183"/>
      <c r="O40" s="160">
        <v>12759.354604301599</v>
      </c>
      <c r="P40" s="160">
        <v>1.2389504419999999</v>
      </c>
      <c r="Q40" s="183"/>
      <c r="R40" s="160">
        <v>16774.1718809538</v>
      </c>
      <c r="S40" s="160">
        <v>1.5688687609</v>
      </c>
      <c r="T40" s="52"/>
      <c r="U40" s="160">
        <v>6092.2213941316004</v>
      </c>
      <c r="V40" s="160">
        <v>0.57862301589999998</v>
      </c>
    </row>
    <row r="41" spans="2:22" ht="12.75" customHeight="1" x14ac:dyDescent="0.2">
      <c r="B41" s="13" t="s">
        <v>54</v>
      </c>
      <c r="C41" s="182"/>
      <c r="D41" s="160">
        <v>9032.6462727959006</v>
      </c>
      <c r="E41" s="183"/>
      <c r="F41" s="160">
        <v>2571.8876372495001</v>
      </c>
      <c r="G41" s="160">
        <v>0.71781459240000001</v>
      </c>
      <c r="H41" s="183"/>
      <c r="I41" s="160">
        <v>3834.4004489933</v>
      </c>
      <c r="J41" s="160">
        <v>1.0460995093000001</v>
      </c>
      <c r="K41" s="50"/>
      <c r="L41" s="160">
        <v>5122.5905963245004</v>
      </c>
      <c r="M41" s="160">
        <v>1.3365162676</v>
      </c>
      <c r="N41" s="183"/>
      <c r="O41" s="160">
        <v>3952.6264536500998</v>
      </c>
      <c r="P41" s="160">
        <v>1.0505516789</v>
      </c>
      <c r="Q41" s="183"/>
      <c r="R41" s="160">
        <v>5069.3340309144996</v>
      </c>
      <c r="S41" s="160">
        <v>1.3773827402000001</v>
      </c>
      <c r="T41" s="52"/>
      <c r="U41" s="160">
        <v>1286.6572098104</v>
      </c>
      <c r="V41" s="160">
        <v>0.37777706039999998</v>
      </c>
    </row>
    <row r="42" spans="2:22" ht="12.75" customHeight="1" x14ac:dyDescent="0.2">
      <c r="B42" s="13" t="s">
        <v>55</v>
      </c>
      <c r="C42" s="182"/>
      <c r="D42" s="160">
        <v>73888.639891829996</v>
      </c>
      <c r="E42" s="183"/>
      <c r="F42" s="160">
        <v>24022.0115321218</v>
      </c>
      <c r="G42" s="160">
        <v>0.9684409907</v>
      </c>
      <c r="H42" s="183"/>
      <c r="I42" s="160">
        <v>25612.769939547201</v>
      </c>
      <c r="J42" s="160">
        <v>1.0454925904000001</v>
      </c>
      <c r="K42" s="50"/>
      <c r="L42" s="160">
        <v>43981.629685180997</v>
      </c>
      <c r="M42" s="160">
        <v>1.4988816242</v>
      </c>
      <c r="N42" s="183"/>
      <c r="O42" s="160">
        <v>34360.814185139803</v>
      </c>
      <c r="P42" s="160">
        <v>1.1941585964000001</v>
      </c>
      <c r="Q42" s="183"/>
      <c r="R42" s="160">
        <v>38408.172329146197</v>
      </c>
      <c r="S42" s="160">
        <v>1.5464473579</v>
      </c>
      <c r="T42" s="52"/>
      <c r="U42" s="160">
        <v>9347.5416473059995</v>
      </c>
      <c r="V42" s="160">
        <v>0.3928977381</v>
      </c>
    </row>
    <row r="43" spans="2:22" ht="12.75" customHeight="1" x14ac:dyDescent="0.2">
      <c r="B43" s="13" t="s">
        <v>56</v>
      </c>
      <c r="C43" s="182"/>
      <c r="D43" s="160">
        <v>22166.611550397301</v>
      </c>
      <c r="E43" s="183"/>
      <c r="F43" s="160">
        <v>9375.3367773283007</v>
      </c>
      <c r="G43" s="160">
        <v>1.3242261297</v>
      </c>
      <c r="H43" s="183"/>
      <c r="I43" s="160">
        <v>11100.7086314714</v>
      </c>
      <c r="J43" s="160">
        <v>1.519780557</v>
      </c>
      <c r="K43" s="50"/>
      <c r="L43" s="160">
        <v>10437.1490883811</v>
      </c>
      <c r="M43" s="160">
        <v>1.3270763645999999</v>
      </c>
      <c r="N43" s="183"/>
      <c r="O43" s="160">
        <v>9094.4441115652007</v>
      </c>
      <c r="P43" s="160">
        <v>1.2900112231</v>
      </c>
      <c r="Q43" s="183"/>
      <c r="R43" s="160">
        <v>11907.423035305401</v>
      </c>
      <c r="S43" s="160">
        <v>1.7266009329000001</v>
      </c>
      <c r="T43" s="52"/>
      <c r="U43" s="160">
        <v>3083.8912643651001</v>
      </c>
      <c r="V43" s="160">
        <v>0.45605266880000001</v>
      </c>
    </row>
    <row r="44" spans="2:22" ht="12.75" customHeight="1" x14ac:dyDescent="0.2">
      <c r="B44" s="13" t="s">
        <v>57</v>
      </c>
      <c r="C44" s="182"/>
      <c r="D44" s="160">
        <v>16223.618786687</v>
      </c>
      <c r="E44" s="183"/>
      <c r="F44" s="160">
        <v>6777.1064123442002</v>
      </c>
      <c r="G44" s="160">
        <v>1.4211038466000001</v>
      </c>
      <c r="H44" s="183"/>
      <c r="I44" s="160">
        <v>4208.2553264353</v>
      </c>
      <c r="J44" s="160">
        <v>0.88613140270000001</v>
      </c>
      <c r="K44" s="50"/>
      <c r="L44" s="160">
        <v>6400.5939451470003</v>
      </c>
      <c r="M44" s="160">
        <v>1.3069203244000001</v>
      </c>
      <c r="N44" s="183"/>
      <c r="O44" s="160">
        <v>6605.8443028787997</v>
      </c>
      <c r="P44" s="160">
        <v>1.2996842877999999</v>
      </c>
      <c r="Q44" s="183"/>
      <c r="R44" s="160">
        <v>11140.288161300001</v>
      </c>
      <c r="S44" s="160">
        <v>1.9966213023999999</v>
      </c>
      <c r="T44" s="52"/>
      <c r="U44" s="160">
        <v>1935.1222237063</v>
      </c>
      <c r="V44" s="160">
        <v>0.41898910319999999</v>
      </c>
    </row>
    <row r="45" spans="2:22" ht="6" customHeight="1" x14ac:dyDescent="0.2">
      <c r="B45" s="14"/>
      <c r="C45" s="14"/>
      <c r="D45" s="4"/>
      <c r="E45" s="184"/>
      <c r="F45" s="4"/>
      <c r="G45" s="185"/>
      <c r="H45" s="185"/>
      <c r="I45" s="4"/>
      <c r="J45" s="185"/>
      <c r="K45" s="186"/>
      <c r="L45" s="4"/>
      <c r="M45" s="185"/>
      <c r="N45" s="187"/>
      <c r="O45" s="4"/>
      <c r="P45" s="185"/>
      <c r="Q45" s="185"/>
      <c r="R45" s="185"/>
      <c r="S45" s="185"/>
      <c r="T45" s="185"/>
      <c r="U45" s="185"/>
      <c r="V45" s="185"/>
    </row>
    <row r="46" spans="2:22" ht="6" customHeight="1" x14ac:dyDescent="0.2">
      <c r="B46" s="188"/>
      <c r="C46" s="189"/>
      <c r="D46" s="189"/>
      <c r="E46" s="189"/>
      <c r="F46" s="189"/>
      <c r="G46" s="190"/>
      <c r="H46" s="190"/>
      <c r="I46" s="190"/>
      <c r="J46" s="191"/>
      <c r="K46" s="191"/>
      <c r="L46" s="190"/>
      <c r="M46" s="191"/>
      <c r="N46" s="191"/>
      <c r="O46" s="188"/>
      <c r="P46" s="192"/>
      <c r="V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V48" s="1"/>
    </row>
    <row r="49" spans="22:22" ht="12.75" customHeight="1" x14ac:dyDescent="0.2">
      <c r="V49" s="1"/>
    </row>
    <row r="50" spans="22:22" ht="12.75" customHeight="1" x14ac:dyDescent="0.2">
      <c r="V50" s="1"/>
    </row>
    <row r="51" spans="22:22" ht="12.75" customHeight="1" x14ac:dyDescent="0.2">
      <c r="V51" s="1"/>
    </row>
    <row r="52" spans="22:22" ht="12.75" customHeight="1" x14ac:dyDescent="0.2">
      <c r="V52" s="1"/>
    </row>
    <row r="53" spans="22:22" ht="12.75" customHeight="1" x14ac:dyDescent="0.2">
      <c r="V53" s="1"/>
    </row>
    <row r="54" spans="22:22" ht="12.75" customHeight="1" x14ac:dyDescent="0.2">
      <c r="V54" s="1"/>
    </row>
    <row r="55" spans="22:22" ht="12.75" customHeight="1" x14ac:dyDescent="0.2">
      <c r="V55" s="1"/>
    </row>
    <row r="56" spans="22:22" ht="12.75" customHeight="1" x14ac:dyDescent="0.2">
      <c r="V56" s="1"/>
    </row>
    <row r="57" spans="22:22" ht="12.75" customHeight="1" x14ac:dyDescent="0.2">
      <c r="V57" s="1"/>
    </row>
    <row r="58" spans="22:22" ht="12.75" customHeight="1" x14ac:dyDescent="0.2">
      <c r="V58" s="1"/>
    </row>
    <row r="59" spans="22:22" ht="12.75" customHeight="1" x14ac:dyDescent="0.2">
      <c r="V59" s="1"/>
    </row>
    <row r="60" spans="22:22" ht="12.75" customHeight="1" x14ac:dyDescent="0.2">
      <c r="V60" s="1"/>
    </row>
    <row r="61" spans="22:22" ht="12.75" customHeight="1" x14ac:dyDescent="0.2">
      <c r="V61" s="1"/>
    </row>
    <row r="62" spans="22:22" ht="12.75" customHeight="1" x14ac:dyDescent="0.2">
      <c r="V62" s="1"/>
    </row>
    <row r="63" spans="22:22" ht="12.75" customHeight="1" x14ac:dyDescent="0.2">
      <c r="V63" s="1"/>
    </row>
    <row r="64" spans="22:22" ht="12.75" customHeight="1" x14ac:dyDescent="0.2">
      <c r="V64" s="1"/>
    </row>
    <row r="65" spans="22:22" ht="12.75" customHeight="1" x14ac:dyDescent="0.2">
      <c r="V65" s="1"/>
    </row>
    <row r="66" spans="22:22" ht="12.75" customHeight="1" x14ac:dyDescent="0.2">
      <c r="V66" s="1"/>
    </row>
    <row r="67" spans="22:22" ht="12.75" customHeight="1" x14ac:dyDescent="0.2">
      <c r="V67" s="1"/>
    </row>
    <row r="68" spans="22:22" ht="12.75" customHeight="1" x14ac:dyDescent="0.2">
      <c r="V68" s="1"/>
    </row>
    <row r="69" spans="22:22" ht="12.75" customHeight="1" x14ac:dyDescent="0.2">
      <c r="V69" s="1"/>
    </row>
    <row r="70" spans="22:22" ht="12.75" customHeight="1" x14ac:dyDescent="0.2">
      <c r="V70" s="1"/>
    </row>
    <row r="71" spans="22:22" ht="12.75" customHeight="1" x14ac:dyDescent="0.2">
      <c r="V71" s="1"/>
    </row>
    <row r="72" spans="22:22" ht="12.75" customHeight="1" x14ac:dyDescent="0.2">
      <c r="V72" s="1"/>
    </row>
    <row r="73" spans="22:22" ht="12.75" customHeight="1" x14ac:dyDescent="0.2">
      <c r="V73" s="1"/>
    </row>
    <row r="74" spans="22:22" ht="12.75" customHeight="1" x14ac:dyDescent="0.2">
      <c r="V74" s="1"/>
    </row>
    <row r="75" spans="22:22" ht="12.75" customHeight="1" x14ac:dyDescent="0.2">
      <c r="V75" s="1"/>
    </row>
    <row r="76" spans="22:22" ht="12.75" customHeight="1" x14ac:dyDescent="0.2">
      <c r="V76" s="1"/>
    </row>
    <row r="77" spans="22:22" ht="12.75" customHeight="1" x14ac:dyDescent="0.2">
      <c r="V77" s="1"/>
    </row>
    <row r="78" spans="22:22" ht="12.75" customHeight="1" x14ac:dyDescent="0.2">
      <c r="V78" s="1"/>
    </row>
    <row r="79" spans="22:22" ht="12.75" customHeight="1" x14ac:dyDescent="0.2">
      <c r="V79" s="1"/>
    </row>
    <row r="80" spans="22:22" ht="12.75" customHeight="1" x14ac:dyDescent="0.2">
      <c r="V80" s="1"/>
    </row>
    <row r="81" spans="22:22" ht="12.75" customHeight="1" x14ac:dyDescent="0.2">
      <c r="V81" s="1"/>
    </row>
    <row r="82" spans="22:22" ht="12.75" customHeight="1" x14ac:dyDescent="0.2">
      <c r="V82" s="1"/>
    </row>
    <row r="83" spans="22:22" ht="12.75" customHeight="1" x14ac:dyDescent="0.2">
      <c r="V83" s="1"/>
    </row>
    <row r="84" spans="22:22" ht="12.75" customHeight="1" x14ac:dyDescent="0.2">
      <c r="V84" s="1"/>
    </row>
    <row r="85" spans="22:22" ht="12.75" customHeight="1" x14ac:dyDescent="0.2">
      <c r="V85" s="1"/>
    </row>
    <row r="86" spans="22:22" ht="12.75" customHeight="1" x14ac:dyDescent="0.2">
      <c r="V86" s="1"/>
    </row>
    <row r="87" spans="22:22" ht="12.75" customHeight="1" x14ac:dyDescent="0.2">
      <c r="V87" s="1"/>
    </row>
    <row r="88" spans="22:22" ht="12.75" customHeight="1" x14ac:dyDescent="0.2">
      <c r="V88" s="1"/>
    </row>
    <row r="89" spans="22:22" ht="12.75" customHeight="1" x14ac:dyDescent="0.2">
      <c r="V89" s="1"/>
    </row>
    <row r="90" spans="22:22" ht="12.75" customHeight="1" x14ac:dyDescent="0.2">
      <c r="V90" s="1"/>
    </row>
    <row r="91" spans="22:22" ht="12.75" customHeight="1" x14ac:dyDescent="0.2">
      <c r="V91" s="1"/>
    </row>
    <row r="92" spans="22:22" ht="12.75" customHeight="1" x14ac:dyDescent="0.2">
      <c r="V92" s="1"/>
    </row>
    <row r="93" spans="22:22" ht="12.75" customHeight="1" x14ac:dyDescent="0.2">
      <c r="V93" s="1"/>
    </row>
    <row r="94" spans="22:22" ht="12.75" customHeight="1" x14ac:dyDescent="0.2">
      <c r="V94" s="1"/>
    </row>
    <row r="95" spans="22:22" ht="12.75" customHeight="1" x14ac:dyDescent="0.2">
      <c r="V95" s="1"/>
    </row>
    <row r="96" spans="22:22" ht="12.75" customHeight="1" x14ac:dyDescent="0.2">
      <c r="V96" s="1"/>
    </row>
    <row r="97" spans="22:22" ht="12.75" customHeight="1" x14ac:dyDescent="0.2">
      <c r="V97" s="1"/>
    </row>
  </sheetData>
  <mergeCells count="11">
    <mergeCell ref="U8:V8"/>
    <mergeCell ref="B5:T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D30ED9F7-5DC9-44DB-8AB5-41B28A29D036}"/>
  </hyperlinks>
  <pageMargins left="0.70866141732283472" right="0.70866141732283472" top="0.59055118110236227" bottom="0.59055118110236227" header="0.23622047244094491" footer="0.23622047244094491"/>
  <pageSetup scale="55" orientation="landscape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32C9-771A-4088-8A68-8EAC99ACD2FB}">
  <dimension ref="A1:AH40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</cols>
  <sheetData>
    <row r="1" spans="1:34" s="69" customFormat="1" ht="14.1" customHeight="1" x14ac:dyDescent="0.2">
      <c r="A1" s="66"/>
      <c r="B1" s="484" t="s">
        <v>144</v>
      </c>
      <c r="C1" s="194"/>
      <c r="D1" s="195"/>
      <c r="E1" s="195"/>
      <c r="F1" s="195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</row>
    <row r="2" spans="1:34" s="69" customFormat="1" ht="6.95" customHeight="1" x14ac:dyDescent="0.2">
      <c r="A2" s="66"/>
      <c r="B2" s="484"/>
      <c r="C2" s="194"/>
      <c r="D2" s="195"/>
      <c r="E2" s="195"/>
      <c r="F2" s="195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</row>
    <row r="3" spans="1:34" s="69" customFormat="1" ht="14.1" customHeight="1" x14ac:dyDescent="0.2">
      <c r="A3" s="66"/>
      <c r="B3" s="484" t="s">
        <v>142</v>
      </c>
      <c r="C3" s="197"/>
      <c r="D3" s="197"/>
      <c r="E3" s="197"/>
      <c r="F3" s="197"/>
      <c r="G3" s="197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</row>
    <row r="4" spans="1:34" s="69" customFormat="1" ht="6.95" customHeight="1" x14ac:dyDescent="0.2">
      <c r="A4" s="66"/>
      <c r="B4" s="196"/>
      <c r="C4" s="194"/>
      <c r="D4" s="194"/>
      <c r="E4" s="194"/>
      <c r="F4" s="194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1:34" s="69" customFormat="1" ht="20.100000000000001" customHeight="1" x14ac:dyDescent="0.2">
      <c r="A5" s="66"/>
      <c r="B5" s="543" t="s">
        <v>63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70"/>
      <c r="V5" s="75" t="s">
        <v>91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</row>
    <row r="6" spans="1:34" ht="6" customHeight="1" x14ac:dyDescent="0.2">
      <c r="A6" s="66"/>
      <c r="B6" s="198"/>
      <c r="C6" s="544"/>
      <c r="D6" s="544"/>
      <c r="E6" s="544"/>
      <c r="F6" s="545"/>
      <c r="G6" s="545"/>
      <c r="H6" s="545"/>
      <c r="I6" s="545"/>
      <c r="J6" s="545"/>
      <c r="K6" s="545"/>
      <c r="L6" s="545"/>
      <c r="M6" s="546"/>
      <c r="N6" s="546"/>
      <c r="O6" s="546"/>
      <c r="P6" s="546"/>
      <c r="Q6" s="546"/>
      <c r="R6" s="546"/>
      <c r="S6" s="199"/>
      <c r="T6" s="200"/>
      <c r="U6" s="200"/>
      <c r="V6" s="200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">
      <c r="A7" s="66"/>
      <c r="B7" s="547" t="s">
        <v>1</v>
      </c>
      <c r="C7" s="547"/>
      <c r="D7" s="550" t="s">
        <v>23</v>
      </c>
      <c r="E7" s="201"/>
      <c r="F7" s="542" t="s">
        <v>59</v>
      </c>
      <c r="G7" s="542"/>
      <c r="H7" s="542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2"/>
      <c r="T7" s="542"/>
      <c r="U7" s="542"/>
      <c r="V7" s="542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7.75" customHeight="1" x14ac:dyDescent="0.2">
      <c r="A8" s="66"/>
      <c r="B8" s="548"/>
      <c r="C8" s="548"/>
      <c r="D8" s="551"/>
      <c r="E8" s="202"/>
      <c r="F8" s="553" t="s">
        <v>60</v>
      </c>
      <c r="G8" s="553"/>
      <c r="H8" s="202"/>
      <c r="I8" s="553" t="s">
        <v>61</v>
      </c>
      <c r="J8" s="553"/>
      <c r="K8" s="203"/>
      <c r="L8" s="553" t="s">
        <v>77</v>
      </c>
      <c r="M8" s="553"/>
      <c r="N8" s="203"/>
      <c r="O8" s="542" t="s">
        <v>78</v>
      </c>
      <c r="P8" s="542"/>
      <c r="Q8" s="203"/>
      <c r="R8" s="542" t="s">
        <v>62</v>
      </c>
      <c r="S8" s="542"/>
      <c r="T8" s="204"/>
      <c r="U8" s="542" t="s">
        <v>19</v>
      </c>
      <c r="V8" s="542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.75" customHeight="1" x14ac:dyDescent="0.2">
      <c r="A9" s="12"/>
      <c r="B9" s="549"/>
      <c r="C9" s="549"/>
      <c r="D9" s="552"/>
      <c r="E9" s="205"/>
      <c r="F9" s="64" t="s">
        <v>13</v>
      </c>
      <c r="G9" s="64" t="s">
        <v>14</v>
      </c>
      <c r="H9" s="205"/>
      <c r="I9" s="64" t="s">
        <v>13</v>
      </c>
      <c r="J9" s="64" t="s">
        <v>14</v>
      </c>
      <c r="K9" s="206"/>
      <c r="L9" s="64" t="s">
        <v>13</v>
      </c>
      <c r="M9" s="64" t="s">
        <v>14</v>
      </c>
      <c r="N9" s="206"/>
      <c r="O9" s="64" t="s">
        <v>13</v>
      </c>
      <c r="P9" s="64" t="s">
        <v>14</v>
      </c>
      <c r="Q9" s="206"/>
      <c r="R9" s="64" t="s">
        <v>13</v>
      </c>
      <c r="S9" s="64" t="s">
        <v>14</v>
      </c>
      <c r="T9" s="207"/>
      <c r="U9" s="64" t="s">
        <v>13</v>
      </c>
      <c r="V9" s="64" t="s">
        <v>14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6" customHeight="1" x14ac:dyDescent="0.2">
      <c r="A10" s="67"/>
      <c r="B10" s="208"/>
      <c r="C10" s="208"/>
      <c r="D10" s="209"/>
      <c r="E10" s="209"/>
      <c r="F10" s="209"/>
      <c r="G10" s="203"/>
      <c r="H10" s="203"/>
      <c r="I10" s="210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00"/>
      <c r="U10" s="200"/>
      <c r="V10" s="200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" x14ac:dyDescent="0.2">
      <c r="A11" s="17"/>
      <c r="B11" s="37" t="s">
        <v>5</v>
      </c>
      <c r="C11" s="212"/>
      <c r="D11" s="159">
        <v>245318.59867594499</v>
      </c>
      <c r="E11" s="213"/>
      <c r="F11" s="159">
        <v>89361.2290191754</v>
      </c>
      <c r="G11" s="159">
        <v>0.24259185089999999</v>
      </c>
      <c r="H11" s="213"/>
      <c r="I11" s="159">
        <v>100852.803699385</v>
      </c>
      <c r="J11" s="159">
        <v>0.267009045</v>
      </c>
      <c r="K11" s="50"/>
      <c r="L11" s="159">
        <v>146832.51348674201</v>
      </c>
      <c r="M11" s="159">
        <v>0.36366636829999999</v>
      </c>
      <c r="N11" s="213"/>
      <c r="O11" s="159">
        <v>117417.36179842</v>
      </c>
      <c r="P11" s="159">
        <v>0.30009723649999998</v>
      </c>
      <c r="Q11" s="213"/>
      <c r="R11" s="159">
        <v>135909.971522432</v>
      </c>
      <c r="S11" s="159">
        <v>0.36038093259999998</v>
      </c>
      <c r="T11" s="51"/>
      <c r="U11" s="159">
        <v>49035.157387968597</v>
      </c>
      <c r="V11" s="159">
        <v>0.13567792319999999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9" customHeight="1" x14ac:dyDescent="0.2">
      <c r="A12" s="11"/>
      <c r="B12" s="38"/>
      <c r="C12" s="212"/>
      <c r="D12" s="95"/>
      <c r="E12" s="213"/>
      <c r="F12" s="95"/>
      <c r="G12" s="96"/>
      <c r="H12" s="213"/>
      <c r="I12" s="95"/>
      <c r="J12" s="96"/>
      <c r="K12" s="50"/>
      <c r="L12" s="95"/>
      <c r="M12" s="96"/>
      <c r="N12" s="213"/>
      <c r="O12" s="95"/>
      <c r="P12" s="96"/>
      <c r="Q12" s="213"/>
      <c r="R12" s="95"/>
      <c r="S12" s="96"/>
      <c r="T12" s="50"/>
      <c r="U12" s="95"/>
      <c r="V12" s="96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2.75" customHeight="1" x14ac:dyDescent="0.2">
      <c r="A13" s="11"/>
      <c r="B13" s="22" t="s">
        <v>6</v>
      </c>
      <c r="C13" s="214"/>
      <c r="D13" s="160">
        <v>130448.21952647</v>
      </c>
      <c r="E13" s="215"/>
      <c r="F13" s="160">
        <v>42553.981437750597</v>
      </c>
      <c r="G13" s="160">
        <v>0.54579723550000003</v>
      </c>
      <c r="H13" s="215"/>
      <c r="I13" s="160">
        <v>44127.0653015192</v>
      </c>
      <c r="J13" s="160">
        <v>0.55121752599999996</v>
      </c>
      <c r="K13" s="50"/>
      <c r="L13" s="160">
        <v>58979.737315183302</v>
      </c>
      <c r="M13" s="160">
        <v>0.66732227970000002</v>
      </c>
      <c r="N13" s="215"/>
      <c r="O13" s="160">
        <v>50218.275663848501</v>
      </c>
      <c r="P13" s="160">
        <v>0.55841210569999999</v>
      </c>
      <c r="Q13" s="215"/>
      <c r="R13" s="160">
        <v>58947.951494781897</v>
      </c>
      <c r="S13" s="160">
        <v>0.67551664060000005</v>
      </c>
      <c r="T13" s="52"/>
      <c r="U13" s="160">
        <v>11671.0774143128</v>
      </c>
      <c r="V13" s="160">
        <v>0.1506957612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2" customHeight="1" x14ac:dyDescent="0.2">
      <c r="A14" s="11"/>
      <c r="B14" s="22" t="s">
        <v>7</v>
      </c>
      <c r="C14" s="214"/>
      <c r="D14" s="160">
        <v>120874.88248751601</v>
      </c>
      <c r="E14" s="215"/>
      <c r="F14" s="160">
        <v>25809.774710093301</v>
      </c>
      <c r="G14" s="160">
        <v>0.54499792150000004</v>
      </c>
      <c r="H14" s="215"/>
      <c r="I14" s="160">
        <v>35741.532633055198</v>
      </c>
      <c r="J14" s="160">
        <v>0.72147317249999998</v>
      </c>
      <c r="K14" s="50"/>
      <c r="L14" s="160">
        <v>63171.528324330102</v>
      </c>
      <c r="M14" s="160">
        <v>0.91997161179999998</v>
      </c>
      <c r="N14" s="215"/>
      <c r="O14" s="160">
        <v>38041.462721775497</v>
      </c>
      <c r="P14" s="160">
        <v>0.63572052059999995</v>
      </c>
      <c r="Q14" s="215"/>
      <c r="R14" s="160">
        <v>48552.748922442697</v>
      </c>
      <c r="S14" s="160">
        <v>0.85900734820000002</v>
      </c>
      <c r="T14" s="52"/>
      <c r="U14" s="160">
        <v>10190.4009133364</v>
      </c>
      <c r="V14" s="160">
        <v>0.21100386730000001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x14ac:dyDescent="0.2">
      <c r="A15" s="12"/>
      <c r="B15" s="22" t="s">
        <v>8</v>
      </c>
      <c r="C15" s="214"/>
      <c r="D15" s="160">
        <v>129177.384084488</v>
      </c>
      <c r="E15" s="215"/>
      <c r="F15" s="160">
        <v>40597.523827190198</v>
      </c>
      <c r="G15" s="160">
        <v>0.69905706580000004</v>
      </c>
      <c r="H15" s="215"/>
      <c r="I15" s="160">
        <v>49275.106569983902</v>
      </c>
      <c r="J15" s="160">
        <v>0.83381866969999996</v>
      </c>
      <c r="K15" s="50"/>
      <c r="L15" s="160">
        <v>75563.260567292105</v>
      </c>
      <c r="M15" s="160">
        <v>1.1144778451999999</v>
      </c>
      <c r="N15" s="215"/>
      <c r="O15" s="160">
        <v>55284.005117971399</v>
      </c>
      <c r="P15" s="160">
        <v>0.80898696199999998</v>
      </c>
      <c r="Q15" s="215"/>
      <c r="R15" s="160">
        <v>59329.847257908099</v>
      </c>
      <c r="S15" s="160">
        <v>0.96776372749999995</v>
      </c>
      <c r="T15" s="52"/>
      <c r="U15" s="160">
        <v>22769.731026887999</v>
      </c>
      <c r="V15" s="160">
        <v>0.38050540999999999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x14ac:dyDescent="0.2">
      <c r="A16" s="12"/>
      <c r="B16" s="22" t="s">
        <v>79</v>
      </c>
      <c r="C16" s="214"/>
      <c r="D16" s="160">
        <v>113668.722195625</v>
      </c>
      <c r="E16" s="215"/>
      <c r="F16" s="160">
        <v>62168.786943169303</v>
      </c>
      <c r="G16" s="160">
        <v>0.33963360120000002</v>
      </c>
      <c r="H16" s="215"/>
      <c r="I16" s="160">
        <v>67549.993453728704</v>
      </c>
      <c r="J16" s="160">
        <v>0.36133862960000002</v>
      </c>
      <c r="K16" s="50"/>
      <c r="L16" s="160">
        <v>92486.960297666403</v>
      </c>
      <c r="M16" s="160">
        <v>0.51349192560000001</v>
      </c>
      <c r="N16" s="215"/>
      <c r="O16" s="160">
        <v>82437.224308201607</v>
      </c>
      <c r="P16" s="160">
        <v>0.46364159579999997</v>
      </c>
      <c r="Q16" s="215"/>
      <c r="R16" s="160">
        <v>95633.592773463301</v>
      </c>
      <c r="S16" s="160">
        <v>0.54339726099999996</v>
      </c>
      <c r="T16" s="52"/>
      <c r="U16" s="160">
        <v>40573.4299717994</v>
      </c>
      <c r="V16" s="160">
        <v>0.2278853109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6" customHeight="1" x14ac:dyDescent="0.2">
      <c r="A17" s="12"/>
      <c r="B17" s="45"/>
      <c r="C17" s="45"/>
      <c r="D17" s="4"/>
      <c r="E17" s="216"/>
      <c r="F17" s="4"/>
      <c r="G17" s="217"/>
      <c r="H17" s="217"/>
      <c r="I17" s="4"/>
      <c r="J17" s="217"/>
      <c r="K17" s="218"/>
      <c r="L17" s="4"/>
      <c r="M17" s="217"/>
      <c r="N17" s="219"/>
      <c r="O17" s="219"/>
      <c r="P17" s="219"/>
      <c r="Q17" s="219"/>
      <c r="R17" s="4"/>
      <c r="S17" s="217"/>
      <c r="T17" s="198"/>
      <c r="U17" s="198"/>
      <c r="V17" s="49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6" customHeight="1" x14ac:dyDescent="0.2">
      <c r="A18" s="21"/>
      <c r="B18" s="220"/>
      <c r="C18" s="221"/>
      <c r="D18" s="221"/>
      <c r="E18" s="221"/>
      <c r="F18" s="221"/>
      <c r="G18" s="222"/>
      <c r="H18" s="222"/>
      <c r="I18" s="222"/>
      <c r="J18" s="223"/>
      <c r="K18" s="223"/>
      <c r="L18" s="222"/>
      <c r="M18" s="223"/>
      <c r="N18" s="223"/>
      <c r="O18" s="223"/>
      <c r="P18" s="223"/>
      <c r="Q18" s="223"/>
      <c r="R18" s="220"/>
      <c r="S18" s="224"/>
      <c r="T18" s="200"/>
      <c r="U18" s="200"/>
      <c r="V18" s="4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s="89" customFormat="1" ht="11.25" customHeight="1" x14ac:dyDescent="0.2">
      <c r="B19" s="24" t="s">
        <v>9</v>
      </c>
    </row>
    <row r="20" spans="1:34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2:34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2:34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2:34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34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2:34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2:34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2:34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</sheetData>
  <mergeCells count="11">
    <mergeCell ref="U8:V8"/>
    <mergeCell ref="B5:T5"/>
    <mergeCell ref="C6:R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6171D33A-283A-4638-9C01-F99EC728A25C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B5AE-8B07-46E7-8C4F-77E915695A51}">
  <dimension ref="A1:DB645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29.5703125" customWidth="1"/>
    <col min="3" max="3" width="1.7109375" customWidth="1"/>
    <col min="4" max="4" width="20" customWidth="1"/>
    <col min="5" max="5" width="1.7109375" customWidth="1"/>
    <col min="6" max="6" width="14.42578125" customWidth="1"/>
    <col min="8" max="8" width="1.7109375" customWidth="1"/>
    <col min="9" max="9" width="18.140625" customWidth="1"/>
    <col min="11" max="11" width="1.7109375" customWidth="1"/>
    <col min="12" max="12" width="17.140625" customWidth="1"/>
    <col min="14" max="14" width="1.7109375" customWidth="1"/>
    <col min="15" max="15" width="16.5703125" customWidth="1"/>
    <col min="17" max="17" width="1.7109375" customWidth="1"/>
    <col min="18" max="18" width="16.85546875" customWidth="1"/>
    <col min="19" max="19" width="11.42578125" customWidth="1"/>
    <col min="20" max="20" width="1.7109375" customWidth="1"/>
    <col min="21" max="21" width="16.28515625" customWidth="1"/>
    <col min="22" max="22" width="11.42578125" customWidth="1"/>
    <col min="23" max="23" width="1.7109375" customWidth="1"/>
    <col min="24" max="24" width="16.5703125" customWidth="1"/>
    <col min="26" max="26" width="1.7109375" customWidth="1"/>
    <col min="27" max="27" width="16.85546875" customWidth="1"/>
    <col min="29" max="106" width="11.42578125" style="3"/>
  </cols>
  <sheetData>
    <row r="1" spans="1:106" s="69" customFormat="1" ht="14.1" customHeight="1" x14ac:dyDescent="0.2">
      <c r="A1" s="66"/>
      <c r="B1" s="484" t="s">
        <v>144</v>
      </c>
      <c r="C1" s="225"/>
      <c r="D1" s="226"/>
      <c r="E1" s="226"/>
      <c r="F1" s="226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85" t="s">
        <v>118</v>
      </c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</row>
    <row r="2" spans="1:106" s="69" customFormat="1" ht="6.95" customHeight="1" x14ac:dyDescent="0.2">
      <c r="A2" s="66"/>
      <c r="B2" s="484"/>
      <c r="C2" s="225"/>
      <c r="D2" s="226"/>
      <c r="E2" s="226"/>
      <c r="F2" s="226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</row>
    <row r="3" spans="1:106" s="69" customFormat="1" ht="14.1" customHeight="1" x14ac:dyDescent="0.2">
      <c r="A3" s="66"/>
      <c r="B3" s="484" t="s">
        <v>142</v>
      </c>
      <c r="C3" s="228"/>
      <c r="D3" s="228"/>
      <c r="E3" s="228"/>
      <c r="F3" s="228"/>
      <c r="G3" s="228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</row>
    <row r="4" spans="1:106" s="69" customFormat="1" ht="6.95" customHeight="1" x14ac:dyDescent="0.2">
      <c r="A4" s="66"/>
      <c r="B4" s="227"/>
      <c r="C4" s="225"/>
      <c r="D4" s="225"/>
      <c r="E4" s="225"/>
      <c r="F4" s="225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</row>
    <row r="5" spans="1:106" s="69" customFormat="1" ht="20.100000000000001" customHeight="1" x14ac:dyDescent="0.2">
      <c r="A5" s="66"/>
      <c r="B5" s="555" t="s">
        <v>64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227"/>
      <c r="AB5" s="75" t="s">
        <v>92</v>
      </c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</row>
    <row r="6" spans="1:106" ht="6" customHeight="1" x14ac:dyDescent="0.2">
      <c r="A6" s="66"/>
      <c r="B6" s="229"/>
      <c r="C6" s="556"/>
      <c r="D6" s="556"/>
      <c r="E6" s="556"/>
      <c r="F6" s="557"/>
      <c r="G6" s="557"/>
      <c r="H6" s="557"/>
      <c r="I6" s="557"/>
      <c r="J6" s="557"/>
      <c r="K6" s="557"/>
      <c r="L6" s="557"/>
      <c r="M6" s="558"/>
      <c r="N6" s="558"/>
      <c r="O6" s="558"/>
      <c r="P6" s="230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</row>
    <row r="7" spans="1:106" ht="12.75" x14ac:dyDescent="0.2">
      <c r="A7" s="66"/>
      <c r="B7" s="535" t="s">
        <v>22</v>
      </c>
      <c r="C7" s="535"/>
      <c r="D7" s="559" t="s">
        <v>23</v>
      </c>
      <c r="E7" s="232"/>
      <c r="F7" s="554" t="s">
        <v>65</v>
      </c>
      <c r="G7" s="554"/>
      <c r="H7" s="554"/>
      <c r="I7" s="554"/>
      <c r="J7" s="554"/>
      <c r="K7" s="554"/>
      <c r="L7" s="554"/>
      <c r="M7" s="554"/>
      <c r="N7" s="554"/>
      <c r="O7" s="554"/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</row>
    <row r="8" spans="1:106" ht="21" customHeight="1" x14ac:dyDescent="0.2">
      <c r="A8" s="66"/>
      <c r="B8" s="536"/>
      <c r="C8" s="536"/>
      <c r="D8" s="560"/>
      <c r="E8" s="233"/>
      <c r="F8" s="554" t="s">
        <v>66</v>
      </c>
      <c r="G8" s="554"/>
      <c r="H8" s="232"/>
      <c r="I8" s="554" t="s">
        <v>67</v>
      </c>
      <c r="J8" s="554"/>
      <c r="K8" s="234"/>
      <c r="L8" s="554" t="s">
        <v>68</v>
      </c>
      <c r="M8" s="554"/>
      <c r="N8" s="234"/>
      <c r="O8" s="554" t="s">
        <v>80</v>
      </c>
      <c r="P8" s="554"/>
      <c r="Q8" s="235"/>
      <c r="R8" s="554" t="s">
        <v>81</v>
      </c>
      <c r="S8" s="554"/>
      <c r="T8" s="234"/>
      <c r="U8" s="554" t="s">
        <v>82</v>
      </c>
      <c r="V8" s="554"/>
      <c r="W8" s="235"/>
      <c r="X8" s="554" t="s">
        <v>83</v>
      </c>
      <c r="Y8" s="554"/>
      <c r="Z8" s="236"/>
      <c r="AA8" s="554" t="s">
        <v>19</v>
      </c>
      <c r="AB8" s="554"/>
    </row>
    <row r="9" spans="1:106" ht="15" x14ac:dyDescent="0.2">
      <c r="A9" s="12"/>
      <c r="B9" s="537"/>
      <c r="C9" s="537"/>
      <c r="D9" s="561"/>
      <c r="E9" s="237"/>
      <c r="F9" s="65" t="s">
        <v>13</v>
      </c>
      <c r="G9" s="65" t="s">
        <v>14</v>
      </c>
      <c r="H9" s="237"/>
      <c r="I9" s="65" t="s">
        <v>13</v>
      </c>
      <c r="J9" s="65" t="s">
        <v>14</v>
      </c>
      <c r="K9" s="238"/>
      <c r="L9" s="65" t="s">
        <v>13</v>
      </c>
      <c r="M9" s="65" t="s">
        <v>14</v>
      </c>
      <c r="N9" s="238"/>
      <c r="O9" s="65" t="s">
        <v>13</v>
      </c>
      <c r="P9" s="65" t="s">
        <v>14</v>
      </c>
      <c r="Q9" s="239"/>
      <c r="R9" s="65" t="s">
        <v>13</v>
      </c>
      <c r="S9" s="65" t="s">
        <v>14</v>
      </c>
      <c r="T9" s="239"/>
      <c r="U9" s="65" t="s">
        <v>13</v>
      </c>
      <c r="V9" s="65" t="s">
        <v>14</v>
      </c>
      <c r="W9" s="239"/>
      <c r="X9" s="65" t="s">
        <v>13</v>
      </c>
      <c r="Y9" s="65" t="s">
        <v>14</v>
      </c>
      <c r="Z9" s="239"/>
      <c r="AA9" s="65" t="s">
        <v>13</v>
      </c>
      <c r="AB9" s="65" t="s">
        <v>14</v>
      </c>
    </row>
    <row r="10" spans="1:106" ht="6" customHeight="1" x14ac:dyDescent="0.2">
      <c r="A10" s="67"/>
      <c r="B10" s="240"/>
      <c r="C10" s="240"/>
      <c r="D10" s="241"/>
      <c r="E10" s="241"/>
      <c r="F10" s="241"/>
      <c r="G10" s="242"/>
      <c r="H10" s="242"/>
      <c r="I10" s="243"/>
      <c r="J10" s="244"/>
      <c r="K10" s="244"/>
      <c r="L10" s="244"/>
      <c r="M10" s="244"/>
      <c r="N10" s="244"/>
      <c r="O10" s="244"/>
      <c r="P10" s="244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</row>
    <row r="11" spans="1:106" ht="15" x14ac:dyDescent="0.2">
      <c r="A11" s="17"/>
      <c r="B11" s="37" t="s">
        <v>5</v>
      </c>
      <c r="C11" s="245"/>
      <c r="D11" s="159">
        <v>245318.59867594499</v>
      </c>
      <c r="E11" s="246"/>
      <c r="F11" s="159">
        <v>105159.665953823</v>
      </c>
      <c r="G11" s="159">
        <v>0.28156919000000002</v>
      </c>
      <c r="H11" s="246"/>
      <c r="I11" s="159">
        <v>106494.64090927099</v>
      </c>
      <c r="J11" s="159">
        <v>0.29370140490000002</v>
      </c>
      <c r="K11" s="50"/>
      <c r="L11" s="159">
        <v>117204.406621423</v>
      </c>
      <c r="M11" s="159">
        <v>0.31149585940000002</v>
      </c>
      <c r="N11" s="246"/>
      <c r="O11" s="159">
        <v>84529.030026779394</v>
      </c>
      <c r="P11" s="159">
        <v>0.22844843719999999</v>
      </c>
      <c r="Q11" s="246"/>
      <c r="R11" s="159">
        <v>90429.750290003998</v>
      </c>
      <c r="S11" s="159">
        <v>0.2409586024</v>
      </c>
      <c r="T11" s="51"/>
      <c r="U11" s="159">
        <v>77598.471532634794</v>
      </c>
      <c r="V11" s="159">
        <v>0.20398478210000001</v>
      </c>
      <c r="W11" s="3"/>
      <c r="X11" s="159">
        <v>114638.189481441</v>
      </c>
      <c r="Y11" s="159">
        <v>0.29257043160000001</v>
      </c>
      <c r="Z11" s="3"/>
      <c r="AA11" s="159">
        <v>49264.164855567702</v>
      </c>
      <c r="AB11" s="159">
        <v>0.13866907749999999</v>
      </c>
    </row>
    <row r="12" spans="1:106" ht="6" customHeight="1" x14ac:dyDescent="0.2">
      <c r="A12" s="11"/>
      <c r="B12" s="38"/>
      <c r="C12" s="245"/>
      <c r="D12" s="95"/>
      <c r="E12" s="246"/>
      <c r="F12" s="95"/>
      <c r="G12" s="96"/>
      <c r="H12" s="246"/>
      <c r="I12" s="95"/>
      <c r="J12" s="96"/>
      <c r="K12" s="50"/>
      <c r="L12" s="95"/>
      <c r="M12" s="96"/>
      <c r="N12" s="246"/>
      <c r="O12" s="95"/>
      <c r="P12" s="96"/>
      <c r="Q12" s="246"/>
      <c r="R12" s="95"/>
      <c r="S12" s="96"/>
      <c r="T12" s="50"/>
      <c r="U12" s="95"/>
      <c r="V12" s="96"/>
      <c r="W12" s="3"/>
      <c r="X12" s="95"/>
      <c r="Y12" s="96"/>
      <c r="Z12" s="3"/>
      <c r="AA12" s="95"/>
      <c r="AB12" s="96"/>
    </row>
    <row r="13" spans="1:106" ht="13.5" customHeight="1" x14ac:dyDescent="0.2">
      <c r="A13" s="11"/>
      <c r="B13" s="44" t="s">
        <v>26</v>
      </c>
      <c r="C13" s="247"/>
      <c r="D13" s="160">
        <v>8967.3004696325006</v>
      </c>
      <c r="E13" s="248"/>
      <c r="F13" s="160">
        <v>2505.3466223041</v>
      </c>
      <c r="G13" s="160">
        <v>0.65209809569999999</v>
      </c>
      <c r="H13" s="248"/>
      <c r="I13" s="160">
        <v>10314.8759935054</v>
      </c>
      <c r="J13" s="160">
        <v>2.3719581234999998</v>
      </c>
      <c r="K13" s="50"/>
      <c r="L13" s="160">
        <v>5485.3310162644002</v>
      </c>
      <c r="M13" s="160">
        <v>1.3872847903000001</v>
      </c>
      <c r="N13" s="248"/>
      <c r="O13" s="160">
        <v>4356.9441430753996</v>
      </c>
      <c r="P13" s="160">
        <v>1.1131056731</v>
      </c>
      <c r="Q13" s="248"/>
      <c r="R13" s="160">
        <v>4134.4816919442001</v>
      </c>
      <c r="S13" s="160">
        <v>1.0716494558</v>
      </c>
      <c r="T13" s="52"/>
      <c r="U13" s="160">
        <v>3036.3379233036999</v>
      </c>
      <c r="V13" s="160">
        <v>0.78340511540000002</v>
      </c>
      <c r="W13" s="3"/>
      <c r="X13" s="160">
        <v>3456.0379183808</v>
      </c>
      <c r="Y13" s="160">
        <v>0.87937103650000004</v>
      </c>
      <c r="Z13" s="3"/>
      <c r="AA13" s="160">
        <v>3129.1097253162998</v>
      </c>
      <c r="AB13" s="160">
        <v>0.81597168809999998</v>
      </c>
    </row>
    <row r="14" spans="1:106" ht="15" x14ac:dyDescent="0.2">
      <c r="A14" s="11"/>
      <c r="B14" s="13" t="s">
        <v>27</v>
      </c>
      <c r="C14" s="247"/>
      <c r="D14" s="160">
        <v>30546.712730472598</v>
      </c>
      <c r="E14" s="248"/>
      <c r="F14" s="160">
        <v>11540.4287437761</v>
      </c>
      <c r="G14" s="160">
        <v>1.0060053387000001</v>
      </c>
      <c r="H14" s="248"/>
      <c r="I14" s="160">
        <v>11050.785434483199</v>
      </c>
      <c r="J14" s="160">
        <v>0.94782987139999997</v>
      </c>
      <c r="K14" s="50"/>
      <c r="L14" s="160">
        <v>14739.465403975</v>
      </c>
      <c r="M14" s="160">
        <v>1.2462010519</v>
      </c>
      <c r="N14" s="248"/>
      <c r="O14" s="160">
        <v>16100.708968666</v>
      </c>
      <c r="P14" s="160">
        <v>1.3528977329</v>
      </c>
      <c r="Q14" s="248"/>
      <c r="R14" s="160">
        <v>15012.0740817883</v>
      </c>
      <c r="S14" s="160">
        <v>1.3588706628</v>
      </c>
      <c r="T14" s="52"/>
      <c r="U14" s="160">
        <v>18088.158110589899</v>
      </c>
      <c r="V14" s="160">
        <v>1.4684301045000001</v>
      </c>
      <c r="W14" s="3"/>
      <c r="X14" s="160">
        <v>23972.430598938499</v>
      </c>
      <c r="Y14" s="160">
        <v>1.9350280997</v>
      </c>
      <c r="Z14" s="3"/>
      <c r="AA14" s="160">
        <v>3513.3174853157002</v>
      </c>
      <c r="AB14" s="160">
        <v>0.30646550119999999</v>
      </c>
    </row>
    <row r="15" spans="1:106" ht="15" x14ac:dyDescent="0.2">
      <c r="A15" s="12"/>
      <c r="B15" s="13" t="s">
        <v>28</v>
      </c>
      <c r="C15" s="247"/>
      <c r="D15" s="160">
        <v>8722.5870993348999</v>
      </c>
      <c r="E15" s="248"/>
      <c r="F15" s="160">
        <v>3492.8617240959002</v>
      </c>
      <c r="G15" s="160">
        <v>1.3866722268</v>
      </c>
      <c r="H15" s="248"/>
      <c r="I15" s="160">
        <v>1678.7221756655999</v>
      </c>
      <c r="J15" s="160">
        <v>0.68943175509999999</v>
      </c>
      <c r="K15" s="50"/>
      <c r="L15" s="160">
        <v>1315.6167253021999</v>
      </c>
      <c r="M15" s="160">
        <v>0.57321952880000004</v>
      </c>
      <c r="N15" s="248"/>
      <c r="O15" s="160">
        <v>3721.1290968572998</v>
      </c>
      <c r="P15" s="160">
        <v>1.4491426918000001</v>
      </c>
      <c r="Q15" s="248"/>
      <c r="R15" s="160">
        <v>6724.019259183</v>
      </c>
      <c r="S15" s="160">
        <v>2.3338526701000002</v>
      </c>
      <c r="T15" s="52"/>
      <c r="U15" s="160">
        <v>3826.1869903136999</v>
      </c>
      <c r="V15" s="160">
        <v>1.4510317095</v>
      </c>
      <c r="W15" s="3"/>
      <c r="X15" s="160">
        <v>3300.5154045273998</v>
      </c>
      <c r="Y15" s="160">
        <v>1.5918731195</v>
      </c>
      <c r="Z15" s="3"/>
      <c r="AA15" s="160">
        <v>2146.0472306566999</v>
      </c>
      <c r="AB15" s="160">
        <v>0.88089147089999997</v>
      </c>
    </row>
    <row r="16" spans="1:106" ht="15" x14ac:dyDescent="0.2">
      <c r="A16" s="12"/>
      <c r="B16" s="13" t="s">
        <v>29</v>
      </c>
      <c r="C16" s="247"/>
      <c r="D16" s="160">
        <v>9823.9999164673009</v>
      </c>
      <c r="E16" s="248"/>
      <c r="F16" s="160">
        <v>2029.3641284093001</v>
      </c>
      <c r="G16" s="160">
        <v>0.76145213420000002</v>
      </c>
      <c r="H16" s="248"/>
      <c r="I16" s="160">
        <v>2168.4166924239998</v>
      </c>
      <c r="J16" s="160">
        <v>0.7849192559</v>
      </c>
      <c r="K16" s="50"/>
      <c r="L16" s="160">
        <v>2481.5840981705001</v>
      </c>
      <c r="M16" s="160">
        <v>0.93990798539999998</v>
      </c>
      <c r="N16" s="248"/>
      <c r="O16" s="160">
        <v>2699.3737159809998</v>
      </c>
      <c r="P16" s="160">
        <v>0.98583540049999996</v>
      </c>
      <c r="Q16" s="248"/>
      <c r="R16" s="160">
        <v>2270.2430886815</v>
      </c>
      <c r="S16" s="160">
        <v>0.85102721889999999</v>
      </c>
      <c r="T16" s="52"/>
      <c r="U16" s="160">
        <v>2645.9194192353002</v>
      </c>
      <c r="V16" s="160">
        <v>0.94163010089999999</v>
      </c>
      <c r="W16" s="3"/>
      <c r="X16" s="160">
        <v>6230.8068049890999</v>
      </c>
      <c r="Y16" s="160">
        <v>1.7766450001</v>
      </c>
      <c r="Z16" s="3"/>
      <c r="AA16" s="160">
        <v>2182.5410532991</v>
      </c>
      <c r="AB16" s="160">
        <v>0.80654234810000003</v>
      </c>
    </row>
    <row r="17" spans="1:28" ht="15" x14ac:dyDescent="0.2">
      <c r="A17" s="12"/>
      <c r="B17" s="13" t="s">
        <v>30</v>
      </c>
      <c r="C17" s="247"/>
      <c r="D17" s="128">
        <v>20174.373876367401</v>
      </c>
      <c r="E17" s="248"/>
      <c r="F17" s="128">
        <v>5501.7767686638999</v>
      </c>
      <c r="G17" s="128">
        <v>0.59668066379999996</v>
      </c>
      <c r="H17" s="248"/>
      <c r="I17" s="128">
        <v>8294.2119365950002</v>
      </c>
      <c r="J17" s="128">
        <v>0.89618058990000005</v>
      </c>
      <c r="K17" s="50"/>
      <c r="L17" s="128">
        <v>15481.9208962629</v>
      </c>
      <c r="M17" s="128">
        <v>1.5909037726999999</v>
      </c>
      <c r="N17" s="248"/>
      <c r="O17" s="128">
        <v>12635.6047470094</v>
      </c>
      <c r="P17" s="128">
        <v>1.3913968386</v>
      </c>
      <c r="Q17" s="248"/>
      <c r="R17" s="128">
        <v>8595.1584461838993</v>
      </c>
      <c r="S17" s="128">
        <v>0.94388542529999997</v>
      </c>
      <c r="T17" s="53"/>
      <c r="U17" s="128">
        <v>9753.9492640411008</v>
      </c>
      <c r="V17" s="128">
        <v>1.0441882312999999</v>
      </c>
      <c r="W17" s="3"/>
      <c r="X17" s="128">
        <v>11420.169131775199</v>
      </c>
      <c r="Y17" s="128">
        <v>1.1546751645</v>
      </c>
      <c r="Z17" s="3"/>
      <c r="AA17" s="128">
        <v>7230.1329478494999</v>
      </c>
      <c r="AB17" s="128">
        <v>0.79447628820000005</v>
      </c>
    </row>
    <row r="18" spans="1:28" ht="15" x14ac:dyDescent="0.2">
      <c r="A18" s="21"/>
      <c r="B18" s="13" t="s">
        <v>31</v>
      </c>
      <c r="C18" s="247"/>
      <c r="D18" s="128">
        <v>8619.0153653119996</v>
      </c>
      <c r="E18" s="248"/>
      <c r="F18" s="128">
        <v>2026.1978465816001</v>
      </c>
      <c r="G18" s="128">
        <v>0.88251571240000004</v>
      </c>
      <c r="H18" s="248"/>
      <c r="I18" s="128">
        <v>3552.1272859382998</v>
      </c>
      <c r="J18" s="128">
        <v>1.4692877846000001</v>
      </c>
      <c r="K18" s="50"/>
      <c r="L18" s="128">
        <v>3827.6605488628002</v>
      </c>
      <c r="M18" s="128">
        <v>1.5178559918000001</v>
      </c>
      <c r="N18" s="248"/>
      <c r="O18" s="128">
        <v>4824.3160397905003</v>
      </c>
      <c r="P18" s="128">
        <v>1.7598175218000001</v>
      </c>
      <c r="Q18" s="248"/>
      <c r="R18" s="128">
        <v>2434.6308080389999</v>
      </c>
      <c r="S18" s="128">
        <v>0.97860702610000005</v>
      </c>
      <c r="T18" s="53"/>
      <c r="U18" s="128">
        <v>2162.5042260216001</v>
      </c>
      <c r="V18" s="128">
        <v>0.89012342769999997</v>
      </c>
      <c r="W18" s="3"/>
      <c r="X18" s="128">
        <v>2444.4213466113001</v>
      </c>
      <c r="Y18" s="128">
        <v>0.99805887319999997</v>
      </c>
      <c r="Z18" s="3"/>
      <c r="AA18" s="128">
        <v>1168.4794057634001</v>
      </c>
      <c r="AB18" s="128">
        <v>0.50391076109999999</v>
      </c>
    </row>
    <row r="19" spans="1:28" ht="15" x14ac:dyDescent="0.2">
      <c r="A19" s="21"/>
      <c r="B19" s="13" t="s">
        <v>32</v>
      </c>
      <c r="C19" s="247"/>
      <c r="D19" s="160">
        <v>63038.559215489498</v>
      </c>
      <c r="E19" s="248"/>
      <c r="F19" s="160">
        <v>16001.278395818499</v>
      </c>
      <c r="G19" s="160">
        <v>1.0904333912999999</v>
      </c>
      <c r="H19" s="248"/>
      <c r="I19" s="160">
        <v>13377.9166654899</v>
      </c>
      <c r="J19" s="160">
        <v>0.85176930579999999</v>
      </c>
      <c r="K19" s="50"/>
      <c r="L19" s="160">
        <v>12901.4545332862</v>
      </c>
      <c r="M19" s="160">
        <v>0.78807700579999995</v>
      </c>
      <c r="N19" s="248"/>
      <c r="O19" s="160">
        <v>13028.6564676163</v>
      </c>
      <c r="P19" s="160">
        <v>0.86006838259999996</v>
      </c>
      <c r="Q19" s="248"/>
      <c r="R19" s="160">
        <v>23937.3851163092</v>
      </c>
      <c r="S19" s="160">
        <v>1.5080041245</v>
      </c>
      <c r="T19" s="52"/>
      <c r="U19" s="160">
        <v>14705.694766967399</v>
      </c>
      <c r="V19" s="160">
        <v>0.92444517429999995</v>
      </c>
      <c r="W19" s="3"/>
      <c r="X19" s="160">
        <v>36637.874543247803</v>
      </c>
      <c r="Y19" s="160">
        <v>2.0876901174000002</v>
      </c>
      <c r="Z19" s="3"/>
      <c r="AA19" s="160">
        <v>6357.0079905807997</v>
      </c>
      <c r="AB19" s="160">
        <v>0.44040028440000001</v>
      </c>
    </row>
    <row r="20" spans="1:28" ht="15" x14ac:dyDescent="0.2">
      <c r="B20" s="13" t="s">
        <v>33</v>
      </c>
      <c r="C20" s="247"/>
      <c r="D20" s="160">
        <v>21528.302989013799</v>
      </c>
      <c r="E20" s="248"/>
      <c r="F20" s="160">
        <v>6412.951317993</v>
      </c>
      <c r="G20" s="160">
        <v>0.56340518709999998</v>
      </c>
      <c r="H20" s="248"/>
      <c r="I20" s="160">
        <v>6638.5927794591998</v>
      </c>
      <c r="J20" s="160">
        <v>0.57875749239999996</v>
      </c>
      <c r="K20" s="50"/>
      <c r="L20" s="160">
        <v>19943.347684366199</v>
      </c>
      <c r="M20" s="160">
        <v>1.6280053307</v>
      </c>
      <c r="N20" s="248"/>
      <c r="O20" s="160">
        <v>13584.714808569899</v>
      </c>
      <c r="P20" s="160">
        <v>1.1301477236999999</v>
      </c>
      <c r="Q20" s="248"/>
      <c r="R20" s="160">
        <v>16704.576301414902</v>
      </c>
      <c r="S20" s="160">
        <v>1.4092886941</v>
      </c>
      <c r="T20" s="52"/>
      <c r="U20" s="160">
        <v>11163.3320889441</v>
      </c>
      <c r="V20" s="160">
        <v>0.96492803770000002</v>
      </c>
      <c r="W20" s="3"/>
      <c r="X20" s="160">
        <v>12416.362474978299</v>
      </c>
      <c r="Y20" s="160">
        <v>1.0903699150999999</v>
      </c>
      <c r="Z20" s="3"/>
      <c r="AA20" s="160">
        <v>7711.4466246805996</v>
      </c>
      <c r="AB20" s="160">
        <v>0.67637496900000005</v>
      </c>
    </row>
    <row r="21" spans="1:28" ht="15" x14ac:dyDescent="0.2">
      <c r="B21" s="13" t="s">
        <v>34</v>
      </c>
      <c r="C21" s="247"/>
      <c r="D21" s="160">
        <v>50347.549406123697</v>
      </c>
      <c r="E21" s="248"/>
      <c r="F21" s="160">
        <v>45040.4530466043</v>
      </c>
      <c r="G21" s="160">
        <v>1.5597606453999999</v>
      </c>
      <c r="H21" s="248"/>
      <c r="I21" s="160">
        <v>33398.582911256199</v>
      </c>
      <c r="J21" s="160">
        <v>1.1878965526</v>
      </c>
      <c r="K21" s="50"/>
      <c r="L21" s="160">
        <v>28460.378672170998</v>
      </c>
      <c r="M21" s="160">
        <v>1.0236672379</v>
      </c>
      <c r="N21" s="248"/>
      <c r="O21" s="160">
        <v>24676.026379405899</v>
      </c>
      <c r="P21" s="160">
        <v>0.89293310400000003</v>
      </c>
      <c r="Q21" s="248"/>
      <c r="R21" s="160">
        <v>23587.218066416801</v>
      </c>
      <c r="S21" s="160">
        <v>0.84827823099999999</v>
      </c>
      <c r="T21" s="52"/>
      <c r="U21" s="160">
        <v>20089.1659958368</v>
      </c>
      <c r="V21" s="160">
        <v>0.7221526063</v>
      </c>
      <c r="W21" s="3"/>
      <c r="X21" s="160">
        <v>15792.909640440301</v>
      </c>
      <c r="Y21" s="160">
        <v>0.5767008401</v>
      </c>
      <c r="Z21" s="3"/>
      <c r="AA21" s="160">
        <v>21569.980564308698</v>
      </c>
      <c r="AB21" s="160">
        <v>0.7745771856</v>
      </c>
    </row>
    <row r="22" spans="1:28" ht="15" x14ac:dyDescent="0.2">
      <c r="B22" s="13" t="s">
        <v>35</v>
      </c>
      <c r="C22" s="247"/>
      <c r="D22" s="160">
        <v>12174.4839866041</v>
      </c>
      <c r="E22" s="248"/>
      <c r="F22" s="160">
        <v>2859.4361346697001</v>
      </c>
      <c r="G22" s="160">
        <v>0.57387035880000004</v>
      </c>
      <c r="H22" s="248"/>
      <c r="I22" s="160">
        <v>3988.463689742</v>
      </c>
      <c r="J22" s="160">
        <v>0.79135994850000002</v>
      </c>
      <c r="K22" s="50"/>
      <c r="L22" s="160">
        <v>5840.5216264710998</v>
      </c>
      <c r="M22" s="160">
        <v>1.1368951034000001</v>
      </c>
      <c r="N22" s="248"/>
      <c r="O22" s="160">
        <v>5567.7184918884004</v>
      </c>
      <c r="P22" s="160">
        <v>1.1001660633000001</v>
      </c>
      <c r="Q22" s="248"/>
      <c r="R22" s="160">
        <v>7001.6718029329004</v>
      </c>
      <c r="S22" s="160">
        <v>1.3410849905</v>
      </c>
      <c r="T22" s="52"/>
      <c r="U22" s="160">
        <v>4300.1375358851001</v>
      </c>
      <c r="V22" s="160">
        <v>0.82834728879999997</v>
      </c>
      <c r="W22" s="3"/>
      <c r="X22" s="160">
        <v>9736.9454657906008</v>
      </c>
      <c r="Y22" s="160">
        <v>1.7276290572999999</v>
      </c>
      <c r="Z22" s="3"/>
      <c r="AA22" s="160">
        <v>4430.2272354942997</v>
      </c>
      <c r="AB22" s="160">
        <v>0.86766354089999997</v>
      </c>
    </row>
    <row r="23" spans="1:28" ht="15" x14ac:dyDescent="0.2">
      <c r="B23" s="13" t="s">
        <v>36</v>
      </c>
      <c r="C23" s="247"/>
      <c r="D23" s="160">
        <v>39342.759310615002</v>
      </c>
      <c r="E23" s="248"/>
      <c r="F23" s="160">
        <v>15303.3276051502</v>
      </c>
      <c r="G23" s="160">
        <v>0.93414340730000001</v>
      </c>
      <c r="H23" s="248"/>
      <c r="I23" s="160">
        <v>31612.012323398802</v>
      </c>
      <c r="J23" s="160">
        <v>1.8190964222999999</v>
      </c>
      <c r="K23" s="50"/>
      <c r="L23" s="160">
        <v>20633.434766131999</v>
      </c>
      <c r="M23" s="160">
        <v>1.2445166423</v>
      </c>
      <c r="N23" s="248"/>
      <c r="O23" s="160">
        <v>15590.1955262634</v>
      </c>
      <c r="P23" s="160">
        <v>0.94331424850000001</v>
      </c>
      <c r="Q23" s="248"/>
      <c r="R23" s="160">
        <v>15473.5139075266</v>
      </c>
      <c r="S23" s="160">
        <v>0.95449956179999995</v>
      </c>
      <c r="T23" s="52"/>
      <c r="U23" s="160">
        <v>15090.634773611</v>
      </c>
      <c r="V23" s="160">
        <v>0.93704841240000003</v>
      </c>
      <c r="W23" s="3"/>
      <c r="X23" s="160">
        <v>17140.686409341801</v>
      </c>
      <c r="Y23" s="160">
        <v>1.0632162510000001</v>
      </c>
      <c r="Z23" s="3"/>
      <c r="AA23" s="160">
        <v>7849.5649678159998</v>
      </c>
      <c r="AB23" s="160">
        <v>0.4862066095</v>
      </c>
    </row>
    <row r="24" spans="1:28" ht="15" x14ac:dyDescent="0.2">
      <c r="B24" s="13" t="s">
        <v>37</v>
      </c>
      <c r="C24" s="247"/>
      <c r="D24" s="160">
        <v>28850.313181142301</v>
      </c>
      <c r="E24" s="248"/>
      <c r="F24" s="160">
        <v>9346.4349733581003</v>
      </c>
      <c r="G24" s="160">
        <v>0.94578949909999999</v>
      </c>
      <c r="H24" s="248"/>
      <c r="I24" s="160">
        <v>7328.1410591374997</v>
      </c>
      <c r="J24" s="160">
        <v>0.74473774069999998</v>
      </c>
      <c r="K24" s="50"/>
      <c r="L24" s="160">
        <v>10697.647213403599</v>
      </c>
      <c r="M24" s="160">
        <v>1.0024621148999999</v>
      </c>
      <c r="N24" s="248"/>
      <c r="O24" s="160">
        <v>9865.7000956187003</v>
      </c>
      <c r="P24" s="160">
        <v>0.96023949239999995</v>
      </c>
      <c r="Q24" s="248"/>
      <c r="R24" s="160">
        <v>8281.7731701197008</v>
      </c>
      <c r="S24" s="160">
        <v>0.77834271300000002</v>
      </c>
      <c r="T24" s="52"/>
      <c r="U24" s="160">
        <v>9442.1130318450996</v>
      </c>
      <c r="V24" s="160">
        <v>0.91998448499999996</v>
      </c>
      <c r="W24" s="3"/>
      <c r="X24" s="160">
        <v>13870.9165508038</v>
      </c>
      <c r="Y24" s="160">
        <v>1.3419734632</v>
      </c>
      <c r="Z24" s="3"/>
      <c r="AA24" s="160">
        <v>8092.3125200279001</v>
      </c>
      <c r="AB24" s="160">
        <v>0.86019379819999997</v>
      </c>
    </row>
    <row r="25" spans="1:28" ht="15" x14ac:dyDescent="0.2">
      <c r="B25" s="13" t="s">
        <v>38</v>
      </c>
      <c r="C25" s="247"/>
      <c r="D25" s="160">
        <v>24330.5739194446</v>
      </c>
      <c r="E25" s="248"/>
      <c r="F25" s="160">
        <v>10854.3735297774</v>
      </c>
      <c r="G25" s="160">
        <v>1.2203119263</v>
      </c>
      <c r="H25" s="248"/>
      <c r="I25" s="160">
        <v>10581.486153097199</v>
      </c>
      <c r="J25" s="160">
        <v>1.2532320689000001</v>
      </c>
      <c r="K25" s="50"/>
      <c r="L25" s="160">
        <v>11812.6262742256</v>
      </c>
      <c r="M25" s="160">
        <v>1.3017266963</v>
      </c>
      <c r="N25" s="248"/>
      <c r="O25" s="160">
        <v>7828.084830541</v>
      </c>
      <c r="P25" s="160">
        <v>0.85001924939999995</v>
      </c>
      <c r="Q25" s="248"/>
      <c r="R25" s="160">
        <v>7574.7735064609997</v>
      </c>
      <c r="S25" s="160">
        <v>0.78331785470000004</v>
      </c>
      <c r="T25" s="52"/>
      <c r="U25" s="160">
        <v>7819.3387957956002</v>
      </c>
      <c r="V25" s="160">
        <v>0.86639396280000003</v>
      </c>
      <c r="W25" s="3"/>
      <c r="X25" s="160">
        <v>13484.399795093599</v>
      </c>
      <c r="Y25" s="160">
        <v>1.4008803562000001</v>
      </c>
      <c r="Z25" s="3"/>
      <c r="AA25" s="160">
        <v>3695.2164559006001</v>
      </c>
      <c r="AB25" s="160">
        <v>0.42626130220000003</v>
      </c>
    </row>
    <row r="26" spans="1:28" ht="15" x14ac:dyDescent="0.2">
      <c r="B26" s="13" t="s">
        <v>39</v>
      </c>
      <c r="C26" s="247"/>
      <c r="D26" s="160">
        <v>55559.275928897499</v>
      </c>
      <c r="E26" s="248"/>
      <c r="F26" s="160">
        <v>28982.708567349498</v>
      </c>
      <c r="G26" s="160">
        <v>1.1478052207</v>
      </c>
      <c r="H26" s="248"/>
      <c r="I26" s="160">
        <v>43901.419631078599</v>
      </c>
      <c r="J26" s="160">
        <v>1.8283210217999999</v>
      </c>
      <c r="K26" s="50"/>
      <c r="L26" s="160">
        <v>30221.564826954898</v>
      </c>
      <c r="M26" s="160">
        <v>1.2697371279</v>
      </c>
      <c r="N26" s="248"/>
      <c r="O26" s="160">
        <v>23083.226265255598</v>
      </c>
      <c r="P26" s="160">
        <v>0.91642100230000001</v>
      </c>
      <c r="Q26" s="248"/>
      <c r="R26" s="160">
        <v>22272.9429860817</v>
      </c>
      <c r="S26" s="160">
        <v>0.92933224410000004</v>
      </c>
      <c r="T26" s="52"/>
      <c r="U26" s="160">
        <v>19467.1350138255</v>
      </c>
      <c r="V26" s="160">
        <v>0.82405303350000003</v>
      </c>
      <c r="W26" s="3"/>
      <c r="X26" s="160">
        <v>22566.822860187898</v>
      </c>
      <c r="Y26" s="160">
        <v>0.97109455349999996</v>
      </c>
      <c r="Z26" s="3"/>
      <c r="AA26" s="160">
        <v>5772.0340957794997</v>
      </c>
      <c r="AB26" s="160">
        <v>0.2520020831</v>
      </c>
    </row>
    <row r="27" spans="1:28" ht="15" x14ac:dyDescent="0.2">
      <c r="B27" s="13" t="s">
        <v>40</v>
      </c>
      <c r="C27" s="247"/>
      <c r="D27" s="160">
        <v>153845.18493733901</v>
      </c>
      <c r="E27" s="248"/>
      <c r="F27" s="160">
        <v>67869.886142208794</v>
      </c>
      <c r="G27" s="160">
        <v>1.3707790982000001</v>
      </c>
      <c r="H27" s="248"/>
      <c r="I27" s="160">
        <v>51817.630204182999</v>
      </c>
      <c r="J27" s="160">
        <v>1.1322222033</v>
      </c>
      <c r="K27" s="50"/>
      <c r="L27" s="160">
        <v>78754.080437651806</v>
      </c>
      <c r="M27" s="160">
        <v>1.5914374064000001</v>
      </c>
      <c r="N27" s="248"/>
      <c r="O27" s="160">
        <v>49406.895622198099</v>
      </c>
      <c r="P27" s="160">
        <v>1.0162975263</v>
      </c>
      <c r="Q27" s="248"/>
      <c r="R27" s="160">
        <v>50715.385679706902</v>
      </c>
      <c r="S27" s="160">
        <v>1.0060505306</v>
      </c>
      <c r="T27" s="52"/>
      <c r="U27" s="160">
        <v>42149.223206835399</v>
      </c>
      <c r="V27" s="160">
        <v>0.8084581381</v>
      </c>
      <c r="W27" s="3"/>
      <c r="X27" s="160">
        <v>56718.274146875498</v>
      </c>
      <c r="Y27" s="160">
        <v>1.075872387</v>
      </c>
      <c r="Z27" s="3"/>
      <c r="AA27" s="160">
        <v>35409.793598316501</v>
      </c>
      <c r="AB27" s="160">
        <v>0.76860782549999995</v>
      </c>
    </row>
    <row r="28" spans="1:28" ht="15" x14ac:dyDescent="0.2">
      <c r="B28" s="13" t="s">
        <v>41</v>
      </c>
      <c r="C28" s="247"/>
      <c r="D28" s="160">
        <v>48544.014646115298</v>
      </c>
      <c r="E28" s="248"/>
      <c r="F28" s="160">
        <v>18735.900434703301</v>
      </c>
      <c r="G28" s="160">
        <v>1.3346028636</v>
      </c>
      <c r="H28" s="248"/>
      <c r="I28" s="160">
        <v>19053.015911040598</v>
      </c>
      <c r="J28" s="160">
        <v>1.4506395109000001</v>
      </c>
      <c r="K28" s="50"/>
      <c r="L28" s="160">
        <v>18152.9313649293</v>
      </c>
      <c r="M28" s="160">
        <v>1.2869338526</v>
      </c>
      <c r="N28" s="248"/>
      <c r="O28" s="160">
        <v>15575.154190798699</v>
      </c>
      <c r="P28" s="160">
        <v>1.0657004426000001</v>
      </c>
      <c r="Q28" s="248"/>
      <c r="R28" s="160">
        <v>13568.4944233923</v>
      </c>
      <c r="S28" s="160">
        <v>0.89230323639999998</v>
      </c>
      <c r="T28" s="52"/>
      <c r="U28" s="160">
        <v>14131.619164936599</v>
      </c>
      <c r="V28" s="160">
        <v>0.96128200659999996</v>
      </c>
      <c r="W28" s="3"/>
      <c r="X28" s="160">
        <v>18433.782003034801</v>
      </c>
      <c r="Y28" s="160">
        <v>1.3490378233</v>
      </c>
      <c r="Z28" s="3"/>
      <c r="AA28" s="160">
        <v>6596.2572308708004</v>
      </c>
      <c r="AB28" s="160">
        <v>0.50336473520000002</v>
      </c>
    </row>
    <row r="29" spans="1:28" ht="15" x14ac:dyDescent="0.2">
      <c r="B29" s="13" t="s">
        <v>42</v>
      </c>
      <c r="C29" s="247"/>
      <c r="D29" s="160">
        <v>20366.691328497</v>
      </c>
      <c r="E29" s="248"/>
      <c r="F29" s="160">
        <v>6225.4784751759998</v>
      </c>
      <c r="G29" s="160">
        <v>1.0406634083999999</v>
      </c>
      <c r="H29" s="248"/>
      <c r="I29" s="160">
        <v>5395.2359835152001</v>
      </c>
      <c r="J29" s="160">
        <v>0.85778753510000005</v>
      </c>
      <c r="K29" s="50"/>
      <c r="L29" s="160">
        <v>6072.6204528099997</v>
      </c>
      <c r="M29" s="160">
        <v>0.89960575220000005</v>
      </c>
      <c r="N29" s="248"/>
      <c r="O29" s="160">
        <v>5371.3336291779997</v>
      </c>
      <c r="P29" s="160">
        <v>0.8369766072</v>
      </c>
      <c r="Q29" s="248"/>
      <c r="R29" s="160">
        <v>6581.6658628673003</v>
      </c>
      <c r="S29" s="160">
        <v>1.1444705183999999</v>
      </c>
      <c r="T29" s="52"/>
      <c r="U29" s="160">
        <v>6174.1836355177002</v>
      </c>
      <c r="V29" s="160">
        <v>1.0475988283</v>
      </c>
      <c r="W29" s="3"/>
      <c r="X29" s="160">
        <v>10468.920920254899</v>
      </c>
      <c r="Y29" s="160">
        <v>1.4888507186</v>
      </c>
      <c r="Z29" s="3"/>
      <c r="AA29" s="160">
        <v>4241.3402782570001</v>
      </c>
      <c r="AB29" s="160">
        <v>0.71311890529999999</v>
      </c>
    </row>
    <row r="30" spans="1:28" ht="15" x14ac:dyDescent="0.2">
      <c r="B30" s="13" t="s">
        <v>43</v>
      </c>
      <c r="C30" s="247"/>
      <c r="D30" s="160">
        <v>10075.872713184701</v>
      </c>
      <c r="E30" s="248"/>
      <c r="F30" s="160">
        <v>3029.4776862541999</v>
      </c>
      <c r="G30" s="160">
        <v>0.81913231610000004</v>
      </c>
      <c r="H30" s="248"/>
      <c r="I30" s="160">
        <v>5566.1927040377004</v>
      </c>
      <c r="J30" s="160">
        <v>1.4303005660999999</v>
      </c>
      <c r="K30" s="50"/>
      <c r="L30" s="160">
        <v>4619.2980353878002</v>
      </c>
      <c r="M30" s="160">
        <v>1.3265331784000001</v>
      </c>
      <c r="N30" s="248"/>
      <c r="O30" s="160">
        <v>5420.2905891158998</v>
      </c>
      <c r="P30" s="160">
        <v>1.4135146923999999</v>
      </c>
      <c r="Q30" s="248"/>
      <c r="R30" s="160">
        <v>3731.9571847961001</v>
      </c>
      <c r="S30" s="160">
        <v>0.97944499470000002</v>
      </c>
      <c r="T30" s="52"/>
      <c r="U30" s="160">
        <v>3803.7102359983</v>
      </c>
      <c r="V30" s="160">
        <v>1.002809469</v>
      </c>
      <c r="W30" s="3"/>
      <c r="X30" s="160">
        <v>6630.9957051008996</v>
      </c>
      <c r="Y30" s="160">
        <v>1.7611939279</v>
      </c>
      <c r="Z30" s="3"/>
      <c r="AA30" s="160">
        <v>1465.3465578519999</v>
      </c>
      <c r="AB30" s="160">
        <v>0.40480567220000002</v>
      </c>
    </row>
    <row r="31" spans="1:28" ht="15" x14ac:dyDescent="0.2">
      <c r="B31" s="13" t="s">
        <v>44</v>
      </c>
      <c r="C31" s="247"/>
      <c r="D31" s="160">
        <v>46826.58478284</v>
      </c>
      <c r="E31" s="248"/>
      <c r="F31" s="160">
        <v>13736.9011480058</v>
      </c>
      <c r="G31" s="160">
        <v>0.83229872140000005</v>
      </c>
      <c r="H31" s="248"/>
      <c r="I31" s="160">
        <v>34529.277384206602</v>
      </c>
      <c r="J31" s="160">
        <v>1.8653020197000001</v>
      </c>
      <c r="K31" s="50"/>
      <c r="L31" s="160">
        <v>38161.134685936799</v>
      </c>
      <c r="M31" s="160">
        <v>1.9640603104000001</v>
      </c>
      <c r="N31" s="248"/>
      <c r="O31" s="160">
        <v>20332.256629971202</v>
      </c>
      <c r="P31" s="160">
        <v>1.2170764873</v>
      </c>
      <c r="Q31" s="248"/>
      <c r="R31" s="160">
        <v>11335.3919904534</v>
      </c>
      <c r="S31" s="160">
        <v>0.70206857659999999</v>
      </c>
      <c r="T31" s="52"/>
      <c r="U31" s="160">
        <v>12742.403434715499</v>
      </c>
      <c r="V31" s="160">
        <v>0.73860578399999999</v>
      </c>
      <c r="W31" s="3"/>
      <c r="X31" s="160">
        <v>19979.879880147499</v>
      </c>
      <c r="Y31" s="160">
        <v>1.2044389741999999</v>
      </c>
      <c r="Z31" s="3"/>
      <c r="AA31" s="160">
        <v>5275.7218238897003</v>
      </c>
      <c r="AB31" s="160">
        <v>0.31559770009999999</v>
      </c>
    </row>
    <row r="32" spans="1:28" ht="15" x14ac:dyDescent="0.2">
      <c r="B32" s="13" t="s">
        <v>45</v>
      </c>
      <c r="C32" s="247"/>
      <c r="D32" s="160">
        <v>51721.305046021</v>
      </c>
      <c r="E32" s="248"/>
      <c r="F32" s="160">
        <v>9106.2392223706993</v>
      </c>
      <c r="G32" s="160">
        <v>0.79038202140000002</v>
      </c>
      <c r="H32" s="248"/>
      <c r="I32" s="160">
        <v>9807.1484227968995</v>
      </c>
      <c r="J32" s="160">
        <v>0.84593107069999995</v>
      </c>
      <c r="K32" s="50"/>
      <c r="L32" s="160">
        <v>8527.4346932116005</v>
      </c>
      <c r="M32" s="160">
        <v>0.70122378699999999</v>
      </c>
      <c r="N32" s="248"/>
      <c r="O32" s="160">
        <v>9861.0940331902002</v>
      </c>
      <c r="P32" s="160">
        <v>0.75788341209999999</v>
      </c>
      <c r="Q32" s="248"/>
      <c r="R32" s="160">
        <v>16372.105766541301</v>
      </c>
      <c r="S32" s="160">
        <v>1.2725176583</v>
      </c>
      <c r="T32" s="52"/>
      <c r="U32" s="160">
        <v>16339.238962700099</v>
      </c>
      <c r="V32" s="160">
        <v>1.1811568277</v>
      </c>
      <c r="W32" s="3"/>
      <c r="X32" s="160">
        <v>31979.2585947236</v>
      </c>
      <c r="Y32" s="160">
        <v>2.2421245402999999</v>
      </c>
      <c r="Z32" s="3"/>
      <c r="AA32" s="160">
        <v>5038.4401820186004</v>
      </c>
      <c r="AB32" s="160">
        <v>0.44908274749999999</v>
      </c>
    </row>
    <row r="33" spans="1:28" ht="15" x14ac:dyDescent="0.2">
      <c r="B33" s="13" t="s">
        <v>46</v>
      </c>
      <c r="C33" s="247"/>
      <c r="D33" s="160">
        <v>60553.044746405503</v>
      </c>
      <c r="E33" s="248"/>
      <c r="F33" s="160">
        <v>25073.094156580501</v>
      </c>
      <c r="G33" s="160">
        <v>1.2627017392</v>
      </c>
      <c r="H33" s="248"/>
      <c r="I33" s="160">
        <v>27619.356539629302</v>
      </c>
      <c r="J33" s="160">
        <v>1.4380868275000001</v>
      </c>
      <c r="K33" s="50"/>
      <c r="L33" s="160">
        <v>17098.052599833401</v>
      </c>
      <c r="M33" s="160">
        <v>0.95683293309999995</v>
      </c>
      <c r="N33" s="248"/>
      <c r="O33" s="160">
        <v>16256.4343320349</v>
      </c>
      <c r="P33" s="160">
        <v>0.89436006170000004</v>
      </c>
      <c r="Q33" s="248"/>
      <c r="R33" s="160">
        <v>21180.925503874099</v>
      </c>
      <c r="S33" s="160">
        <v>1.1244332092</v>
      </c>
      <c r="T33" s="52"/>
      <c r="U33" s="160">
        <v>13631.9104906588</v>
      </c>
      <c r="V33" s="160">
        <v>0.76882058279999999</v>
      </c>
      <c r="W33" s="3"/>
      <c r="X33" s="160">
        <v>25265.672223640198</v>
      </c>
      <c r="Y33" s="160">
        <v>1.3676280009999999</v>
      </c>
      <c r="Z33" s="3"/>
      <c r="AA33" s="160">
        <v>8161.8638026699</v>
      </c>
      <c r="AB33" s="160">
        <v>0.46364501819999998</v>
      </c>
    </row>
    <row r="34" spans="1:28" ht="15" x14ac:dyDescent="0.2">
      <c r="B34" s="13" t="s">
        <v>47</v>
      </c>
      <c r="C34" s="247"/>
      <c r="D34" s="160">
        <v>32602.288410915098</v>
      </c>
      <c r="E34" s="248"/>
      <c r="F34" s="160">
        <v>9284.4081584486994</v>
      </c>
      <c r="G34" s="160">
        <v>1.1972257582000001</v>
      </c>
      <c r="H34" s="248"/>
      <c r="I34" s="160">
        <v>12353.577772868201</v>
      </c>
      <c r="J34" s="160">
        <v>1.6756853806000001</v>
      </c>
      <c r="K34" s="50"/>
      <c r="L34" s="160">
        <v>10064.4685300481</v>
      </c>
      <c r="M34" s="160">
        <v>1.4072261859999999</v>
      </c>
      <c r="N34" s="248"/>
      <c r="O34" s="160">
        <v>9026.1572118979002</v>
      </c>
      <c r="P34" s="160">
        <v>1.1971352333</v>
      </c>
      <c r="Q34" s="248"/>
      <c r="R34" s="160">
        <v>10877.6986991997</v>
      </c>
      <c r="S34" s="160">
        <v>1.4364326008999999</v>
      </c>
      <c r="T34" s="52"/>
      <c r="U34" s="160">
        <v>8060.8924578563001</v>
      </c>
      <c r="V34" s="160">
        <v>1.1212654699</v>
      </c>
      <c r="W34" s="3"/>
      <c r="X34" s="160">
        <v>10764.555857822499</v>
      </c>
      <c r="Y34" s="160">
        <v>1.5266044018</v>
      </c>
      <c r="Z34" s="3"/>
      <c r="AA34" s="160">
        <v>3775.8934622397001</v>
      </c>
      <c r="AB34" s="160">
        <v>0.55213005069999999</v>
      </c>
    </row>
    <row r="35" spans="1:28" ht="15" x14ac:dyDescent="0.2">
      <c r="B35" s="13" t="s">
        <v>48</v>
      </c>
      <c r="C35" s="247"/>
      <c r="D35" s="160">
        <v>21975.205253110002</v>
      </c>
      <c r="E35" s="248"/>
      <c r="F35" s="160">
        <v>8606.5158669923003</v>
      </c>
      <c r="G35" s="160">
        <v>1.3790418448999999</v>
      </c>
      <c r="H35" s="248"/>
      <c r="I35" s="160">
        <v>12940.863401378099</v>
      </c>
      <c r="J35" s="160">
        <v>1.9722756491</v>
      </c>
      <c r="K35" s="50"/>
      <c r="L35" s="160">
        <v>9459.1155727992991</v>
      </c>
      <c r="M35" s="160">
        <v>1.4613551077</v>
      </c>
      <c r="N35" s="248"/>
      <c r="O35" s="160">
        <v>7811.6508110286004</v>
      </c>
      <c r="P35" s="160">
        <v>1.4220373538</v>
      </c>
      <c r="Q35" s="248"/>
      <c r="R35" s="160">
        <v>7772.9298235807</v>
      </c>
      <c r="S35" s="160">
        <v>1.3924338382999999</v>
      </c>
      <c r="T35" s="54"/>
      <c r="U35" s="160">
        <v>5210.4566772284998</v>
      </c>
      <c r="V35" s="160">
        <v>0.98687919540000002</v>
      </c>
      <c r="W35" s="3"/>
      <c r="X35" s="160">
        <v>6557.7817781466001</v>
      </c>
      <c r="Y35" s="160">
        <v>1.2476491563000001</v>
      </c>
      <c r="Z35" s="3"/>
      <c r="AA35" s="160">
        <v>4618.1956974516997</v>
      </c>
      <c r="AB35" s="160">
        <v>0.82834931280000001</v>
      </c>
    </row>
    <row r="36" spans="1:28" ht="15" x14ac:dyDescent="0.2">
      <c r="B36" s="13" t="s">
        <v>49</v>
      </c>
      <c r="C36" s="247"/>
      <c r="D36" s="160">
        <v>15666.7398479494</v>
      </c>
      <c r="E36" s="248"/>
      <c r="F36" s="160">
        <v>4679.3330987783002</v>
      </c>
      <c r="G36" s="160">
        <v>0.60783337670000004</v>
      </c>
      <c r="H36" s="248"/>
      <c r="I36" s="160">
        <v>12404.670817766801</v>
      </c>
      <c r="J36" s="160">
        <v>1.5108622715</v>
      </c>
      <c r="K36" s="50"/>
      <c r="L36" s="160">
        <v>10458.4917529046</v>
      </c>
      <c r="M36" s="160">
        <v>1.3305752088</v>
      </c>
      <c r="N36" s="248"/>
      <c r="O36" s="160">
        <v>7491.8195789761003</v>
      </c>
      <c r="P36" s="160">
        <v>0.95260832129999995</v>
      </c>
      <c r="Q36" s="248"/>
      <c r="R36" s="160">
        <v>6424.2655450709999</v>
      </c>
      <c r="S36" s="160">
        <v>0.81919930500000004</v>
      </c>
      <c r="T36" s="52"/>
      <c r="U36" s="160">
        <v>6481.1868482530999</v>
      </c>
      <c r="V36" s="160">
        <v>0.82651263330000002</v>
      </c>
      <c r="W36" s="3"/>
      <c r="X36" s="160">
        <v>13331.819413318301</v>
      </c>
      <c r="Y36" s="160">
        <v>1.5976793943000001</v>
      </c>
      <c r="Z36" s="3"/>
      <c r="AA36" s="160">
        <v>2550.2138748363</v>
      </c>
      <c r="AB36" s="160">
        <v>0.32892819229999998</v>
      </c>
    </row>
    <row r="37" spans="1:28" ht="15" x14ac:dyDescent="0.2">
      <c r="B37" s="13" t="s">
        <v>50</v>
      </c>
      <c r="C37" s="247"/>
      <c r="D37" s="160">
        <v>19480.778027771601</v>
      </c>
      <c r="E37" s="248"/>
      <c r="F37" s="160">
        <v>5439.6641204373</v>
      </c>
      <c r="G37" s="160">
        <v>0.61949370839999995</v>
      </c>
      <c r="H37" s="248"/>
      <c r="I37" s="160">
        <v>6460.5772608553998</v>
      </c>
      <c r="J37" s="160">
        <v>0.77361862219999999</v>
      </c>
      <c r="K37" s="50"/>
      <c r="L37" s="160">
        <v>13477.1454310073</v>
      </c>
      <c r="M37" s="160">
        <v>1.4763676817</v>
      </c>
      <c r="N37" s="248"/>
      <c r="O37" s="160">
        <v>13066.6276215869</v>
      </c>
      <c r="P37" s="160">
        <v>1.4628919712999999</v>
      </c>
      <c r="Q37" s="248"/>
      <c r="R37" s="160">
        <v>8519.6488240494</v>
      </c>
      <c r="S37" s="160">
        <v>0.93428084460000005</v>
      </c>
      <c r="T37" s="52"/>
      <c r="U37" s="160">
        <v>8030.9736310733997</v>
      </c>
      <c r="V37" s="160">
        <v>0.92201659719999995</v>
      </c>
      <c r="W37" s="3"/>
      <c r="X37" s="160">
        <v>14822.404021783401</v>
      </c>
      <c r="Y37" s="160">
        <v>1.6098566853</v>
      </c>
      <c r="Z37" s="3"/>
      <c r="AA37" s="160">
        <v>3922.7717538770999</v>
      </c>
      <c r="AB37" s="160">
        <v>0.43887588230000002</v>
      </c>
    </row>
    <row r="38" spans="1:28" ht="15" x14ac:dyDescent="0.2">
      <c r="B38" s="13" t="s">
        <v>51</v>
      </c>
      <c r="C38" s="247"/>
      <c r="D38" s="160">
        <v>25928.550404547899</v>
      </c>
      <c r="E38" s="248"/>
      <c r="F38" s="160">
        <v>12064.966482232099</v>
      </c>
      <c r="G38" s="160">
        <v>1.2976317635000001</v>
      </c>
      <c r="H38" s="248"/>
      <c r="I38" s="160">
        <v>8430.0034376177991</v>
      </c>
      <c r="J38" s="160">
        <v>0.91692895919999995</v>
      </c>
      <c r="K38" s="50"/>
      <c r="L38" s="160">
        <v>9401.2903262853997</v>
      </c>
      <c r="M38" s="160">
        <v>1.0333258503</v>
      </c>
      <c r="N38" s="248"/>
      <c r="O38" s="160">
        <v>13752.6968344704</v>
      </c>
      <c r="P38" s="160">
        <v>1.5309548029</v>
      </c>
      <c r="Q38" s="52"/>
      <c r="R38" s="160">
        <v>12436.128268587199</v>
      </c>
      <c r="S38" s="160">
        <v>1.3258059603000001</v>
      </c>
      <c r="T38" s="52"/>
      <c r="U38" s="160">
        <v>10448.2725731551</v>
      </c>
      <c r="V38" s="160">
        <v>1.1672516624</v>
      </c>
      <c r="W38" s="3"/>
      <c r="X38" s="160">
        <v>15946.109799173</v>
      </c>
      <c r="Y38" s="160">
        <v>1.7058686112000001</v>
      </c>
      <c r="Z38" s="3"/>
      <c r="AA38" s="160">
        <v>1644.4213551882001</v>
      </c>
      <c r="AB38" s="160">
        <v>0.18695644729999999</v>
      </c>
    </row>
    <row r="39" spans="1:28" ht="15" x14ac:dyDescent="0.2">
      <c r="B39" s="13" t="s">
        <v>52</v>
      </c>
      <c r="C39" s="247"/>
      <c r="D39" s="160">
        <v>24998.115892135302</v>
      </c>
      <c r="E39" s="248"/>
      <c r="F39" s="160">
        <v>7012.0393211424998</v>
      </c>
      <c r="G39" s="160">
        <v>0.94795957019999999</v>
      </c>
      <c r="H39" s="248"/>
      <c r="I39" s="160">
        <v>6405.5318987982</v>
      </c>
      <c r="J39" s="160">
        <v>0.88000927269999996</v>
      </c>
      <c r="K39" s="50"/>
      <c r="L39" s="160">
        <v>9536.2228191290997</v>
      </c>
      <c r="M39" s="160">
        <v>1.2832907124999999</v>
      </c>
      <c r="N39" s="248"/>
      <c r="O39" s="160">
        <v>5146.8211027427997</v>
      </c>
      <c r="P39" s="160">
        <v>0.69102968929999997</v>
      </c>
      <c r="Q39" s="248"/>
      <c r="R39" s="160">
        <v>6023.8020868653002</v>
      </c>
      <c r="S39" s="160">
        <v>0.84923674299999996</v>
      </c>
      <c r="T39" s="52"/>
      <c r="U39" s="160">
        <v>7122.8628933602004</v>
      </c>
      <c r="V39" s="160">
        <v>0.97516521109999998</v>
      </c>
      <c r="W39" s="3"/>
      <c r="X39" s="160">
        <v>14944.088325213101</v>
      </c>
      <c r="Y39" s="160">
        <v>1.7098778856000001</v>
      </c>
      <c r="Z39" s="3"/>
      <c r="AA39" s="160">
        <v>2983.5291486246001</v>
      </c>
      <c r="AB39" s="160">
        <v>0.4309097797</v>
      </c>
    </row>
    <row r="40" spans="1:28" ht="15" x14ac:dyDescent="0.2">
      <c r="B40" s="13" t="s">
        <v>53</v>
      </c>
      <c r="C40" s="247"/>
      <c r="D40" s="160">
        <v>22249.9713929684</v>
      </c>
      <c r="E40" s="248"/>
      <c r="F40" s="160">
        <v>13564.1200808293</v>
      </c>
      <c r="G40" s="160">
        <v>1.2270550908</v>
      </c>
      <c r="H40" s="248"/>
      <c r="I40" s="160">
        <v>10619.694762264</v>
      </c>
      <c r="J40" s="160">
        <v>0.98802831130000002</v>
      </c>
      <c r="K40" s="50"/>
      <c r="L40" s="160">
        <v>14488.4481268857</v>
      </c>
      <c r="M40" s="160">
        <v>1.3536737636</v>
      </c>
      <c r="N40" s="248"/>
      <c r="O40" s="160">
        <v>11112.840293187801</v>
      </c>
      <c r="P40" s="160">
        <v>1.0386966818000001</v>
      </c>
      <c r="Q40" s="248"/>
      <c r="R40" s="160">
        <v>13467.2023701259</v>
      </c>
      <c r="S40" s="160">
        <v>1.2670886991999999</v>
      </c>
      <c r="T40" s="52"/>
      <c r="U40" s="160">
        <v>10937.8130511689</v>
      </c>
      <c r="V40" s="160">
        <v>1.0200807623000001</v>
      </c>
      <c r="W40" s="3"/>
      <c r="X40" s="160">
        <v>14774.957026346099</v>
      </c>
      <c r="Y40" s="160">
        <v>1.3856656415999999</v>
      </c>
      <c r="Z40" s="3"/>
      <c r="AA40" s="160">
        <v>5277.9458577867999</v>
      </c>
      <c r="AB40" s="160">
        <v>0.50174204550000001</v>
      </c>
    </row>
    <row r="41" spans="1:28" ht="15" x14ac:dyDescent="0.2">
      <c r="B41" s="13" t="s">
        <v>54</v>
      </c>
      <c r="C41" s="247"/>
      <c r="D41" s="160">
        <v>9032.6462727959006</v>
      </c>
      <c r="E41" s="248"/>
      <c r="F41" s="160">
        <v>3279.5529059045002</v>
      </c>
      <c r="G41" s="160">
        <v>0.93436362419999996</v>
      </c>
      <c r="H41" s="248"/>
      <c r="I41" s="160">
        <v>2787.1315532458002</v>
      </c>
      <c r="J41" s="160">
        <v>0.81481548540000004</v>
      </c>
      <c r="K41" s="50"/>
      <c r="L41" s="160">
        <v>3733.0443133025001</v>
      </c>
      <c r="M41" s="160">
        <v>0.92834329059999998</v>
      </c>
      <c r="N41" s="248"/>
      <c r="O41" s="160">
        <v>2966.5684723958002</v>
      </c>
      <c r="P41" s="160">
        <v>0.77974850839999998</v>
      </c>
      <c r="Q41" s="248"/>
      <c r="R41" s="160">
        <v>3440.5134325393001</v>
      </c>
      <c r="S41" s="160">
        <v>0.9897278545</v>
      </c>
      <c r="T41" s="52"/>
      <c r="U41" s="160">
        <v>3462.0101947141002</v>
      </c>
      <c r="V41" s="160">
        <v>0.95226388090000003</v>
      </c>
      <c r="W41" s="3"/>
      <c r="X41" s="160">
        <v>3940.4577505699999</v>
      </c>
      <c r="Y41" s="160">
        <v>1.0867006274</v>
      </c>
      <c r="Z41" s="3"/>
      <c r="AA41" s="160">
        <v>653.85026224060005</v>
      </c>
      <c r="AB41" s="160">
        <v>0.1946021315</v>
      </c>
    </row>
    <row r="42" spans="1:28" ht="15" x14ac:dyDescent="0.2">
      <c r="B42" s="13" t="s">
        <v>55</v>
      </c>
      <c r="C42" s="247"/>
      <c r="D42" s="160">
        <v>73888.639891829996</v>
      </c>
      <c r="E42" s="248"/>
      <c r="F42" s="160">
        <v>26853.215029499799</v>
      </c>
      <c r="G42" s="160">
        <v>1.0546120919999999</v>
      </c>
      <c r="H42" s="248"/>
      <c r="I42" s="160">
        <v>24940.154174248401</v>
      </c>
      <c r="J42" s="160">
        <v>1.0425988409</v>
      </c>
      <c r="K42" s="50"/>
      <c r="L42" s="160">
        <v>29070.682380767699</v>
      </c>
      <c r="M42" s="160">
        <v>1.1216356501</v>
      </c>
      <c r="N42" s="248"/>
      <c r="O42" s="160">
        <v>19756.5931424021</v>
      </c>
      <c r="P42" s="160">
        <v>0.78204398040000001</v>
      </c>
      <c r="Q42" s="248"/>
      <c r="R42" s="160">
        <v>32660.645781569499</v>
      </c>
      <c r="S42" s="160">
        <v>1.3294800336000001</v>
      </c>
      <c r="T42" s="52"/>
      <c r="U42" s="160">
        <v>28921.846436647698</v>
      </c>
      <c r="V42" s="160">
        <v>1.1309395021999999</v>
      </c>
      <c r="W42" s="3"/>
      <c r="X42" s="160">
        <v>44901.035867321298</v>
      </c>
      <c r="Y42" s="160">
        <v>1.6737483071999999</v>
      </c>
      <c r="Z42" s="3"/>
      <c r="AA42" s="160">
        <v>5938.6249959149</v>
      </c>
      <c r="AB42" s="160">
        <v>0.25019020790000002</v>
      </c>
    </row>
    <row r="43" spans="1:28" ht="15" x14ac:dyDescent="0.2">
      <c r="B43" s="46" t="s">
        <v>56</v>
      </c>
      <c r="C43" s="247"/>
      <c r="D43" s="160">
        <v>22166.611550397301</v>
      </c>
      <c r="E43" s="248"/>
      <c r="F43" s="160">
        <v>2751.9255134084001</v>
      </c>
      <c r="G43" s="160">
        <v>0.41275187610000003</v>
      </c>
      <c r="H43" s="248"/>
      <c r="I43" s="160">
        <v>5125.9460253204998</v>
      </c>
      <c r="J43" s="160">
        <v>0.75114745500000002</v>
      </c>
      <c r="K43" s="50"/>
      <c r="L43" s="160">
        <v>6588.4534163810004</v>
      </c>
      <c r="M43" s="160">
        <v>0.92284397340000002</v>
      </c>
      <c r="N43" s="248"/>
      <c r="O43" s="160">
        <v>9521.1952063982008</v>
      </c>
      <c r="P43" s="160">
        <v>1.3884234143</v>
      </c>
      <c r="Q43" s="248"/>
      <c r="R43" s="160">
        <v>7917.0736649353003</v>
      </c>
      <c r="S43" s="160">
        <v>1.1323431262999999</v>
      </c>
      <c r="T43" s="52"/>
      <c r="U43" s="160">
        <v>7138.8825996408004</v>
      </c>
      <c r="V43" s="160">
        <v>1.0120592784</v>
      </c>
      <c r="W43" s="3"/>
      <c r="X43" s="160">
        <v>14541.0449639124</v>
      </c>
      <c r="Y43" s="160">
        <v>1.7583101207</v>
      </c>
      <c r="Z43" s="3"/>
      <c r="AA43" s="160">
        <v>3281.2626976280999</v>
      </c>
      <c r="AB43" s="160">
        <v>0.48887817179999998</v>
      </c>
    </row>
    <row r="44" spans="1:28" ht="15" x14ac:dyDescent="0.2">
      <c r="B44" s="46" t="s">
        <v>57</v>
      </c>
      <c r="C44" s="247"/>
      <c r="D44" s="160">
        <v>16223.618786687</v>
      </c>
      <c r="E44" s="248"/>
      <c r="F44" s="160">
        <v>4424.9354137565997</v>
      </c>
      <c r="G44" s="160">
        <v>0.95430112209999995</v>
      </c>
      <c r="H44" s="248"/>
      <c r="I44" s="160">
        <v>4566.0291104372</v>
      </c>
      <c r="J44" s="160">
        <v>0.99799865889999995</v>
      </c>
      <c r="K44" s="50"/>
      <c r="L44" s="160">
        <v>6418.9677406284</v>
      </c>
      <c r="M44" s="160">
        <v>1.2589749613000001</v>
      </c>
      <c r="N44" s="248"/>
      <c r="O44" s="160">
        <v>4376.2644991236002</v>
      </c>
      <c r="P44" s="160">
        <v>0.86387540939999996</v>
      </c>
      <c r="Q44" s="248"/>
      <c r="R44" s="160">
        <v>4615.3607317530004</v>
      </c>
      <c r="S44" s="160">
        <v>0.95014071570000003</v>
      </c>
      <c r="T44" s="52"/>
      <c r="U44" s="160">
        <v>4703.6369653357997</v>
      </c>
      <c r="V44" s="160">
        <v>0.89626649849999995</v>
      </c>
      <c r="W44" s="3"/>
      <c r="X44" s="160">
        <v>9236.1205801314009</v>
      </c>
      <c r="Y44" s="160">
        <v>1.7593377185000001</v>
      </c>
      <c r="Z44" s="3"/>
      <c r="AA44" s="160">
        <v>1495.6225260353999</v>
      </c>
      <c r="AB44" s="160">
        <v>0.32503494490000001</v>
      </c>
    </row>
    <row r="45" spans="1:28" ht="6" customHeight="1" x14ac:dyDescent="0.2">
      <c r="B45" s="32"/>
      <c r="C45" s="14"/>
      <c r="D45" s="4"/>
      <c r="E45" s="249"/>
      <c r="F45" s="4"/>
      <c r="G45" s="250"/>
      <c r="H45" s="250"/>
      <c r="I45" s="4"/>
      <c r="J45" s="250"/>
      <c r="K45" s="251"/>
      <c r="L45" s="4"/>
      <c r="M45" s="250"/>
      <c r="N45" s="252"/>
      <c r="O45" s="4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</row>
    <row r="46" spans="1:28" ht="6" customHeight="1" x14ac:dyDescent="0.2">
      <c r="B46" s="253"/>
      <c r="C46" s="254"/>
      <c r="D46" s="254"/>
      <c r="E46" s="254"/>
      <c r="F46" s="254"/>
      <c r="G46" s="255"/>
      <c r="H46" s="255"/>
      <c r="I46" s="255"/>
      <c r="J46" s="256"/>
      <c r="K46" s="256"/>
      <c r="L46" s="255"/>
      <c r="M46" s="256"/>
      <c r="N46" s="256"/>
      <c r="O46" s="253"/>
      <c r="P46" s="257"/>
      <c r="Q46" s="231"/>
      <c r="R46" s="231"/>
      <c r="S46" s="231"/>
      <c r="T46" s="231"/>
      <c r="U46" s="231"/>
      <c r="V46" s="231"/>
      <c r="W46" s="231"/>
      <c r="X46" s="231"/>
      <c r="Y46" s="43"/>
      <c r="Z46" s="231"/>
      <c r="AA46" s="231"/>
      <c r="AB46" s="231"/>
    </row>
    <row r="47" spans="1:28" s="89" customFormat="1" ht="11.25" customHeight="1" x14ac:dyDescent="0.2">
      <c r="B47" s="24" t="s">
        <v>9</v>
      </c>
    </row>
    <row r="48" spans="1:28" s="3" customFormat="1" x14ac:dyDescent="0.2">
      <c r="A48" s="5"/>
    </row>
    <row r="49" spans="1:1" s="3" customFormat="1" x14ac:dyDescent="0.2">
      <c r="A49" s="5"/>
    </row>
    <row r="50" spans="1:1" s="3" customFormat="1" x14ac:dyDescent="0.2">
      <c r="A50" s="5"/>
    </row>
    <row r="51" spans="1:1" s="3" customFormat="1" x14ac:dyDescent="0.2">
      <c r="A51" s="5"/>
    </row>
    <row r="52" spans="1:1" s="3" customFormat="1" x14ac:dyDescent="0.2">
      <c r="A52" s="5"/>
    </row>
    <row r="53" spans="1:1" s="3" customFormat="1" x14ac:dyDescent="0.2">
      <c r="A53" s="5"/>
    </row>
    <row r="54" spans="1:1" s="3" customFormat="1" x14ac:dyDescent="0.2">
      <c r="A54" s="5"/>
    </row>
    <row r="55" spans="1:1" s="3" customFormat="1" x14ac:dyDescent="0.2">
      <c r="A55" s="5"/>
    </row>
    <row r="56" spans="1:1" s="3" customFormat="1" x14ac:dyDescent="0.2">
      <c r="A56" s="5"/>
    </row>
    <row r="57" spans="1:1" s="3" customFormat="1" x14ac:dyDescent="0.2">
      <c r="A57" s="5"/>
    </row>
    <row r="58" spans="1:1" s="3" customFormat="1" x14ac:dyDescent="0.2">
      <c r="A58" s="5"/>
    </row>
    <row r="59" spans="1:1" s="3" customFormat="1" x14ac:dyDescent="0.2">
      <c r="A59" s="5"/>
    </row>
    <row r="60" spans="1:1" s="3" customFormat="1" x14ac:dyDescent="0.2">
      <c r="A60" s="5"/>
    </row>
    <row r="61" spans="1:1" s="3" customFormat="1" x14ac:dyDescent="0.2">
      <c r="A61" s="5"/>
    </row>
    <row r="62" spans="1:1" s="3" customFormat="1" x14ac:dyDescent="0.2">
      <c r="A62" s="5"/>
    </row>
    <row r="63" spans="1:1" s="3" customFormat="1" x14ac:dyDescent="0.2">
      <c r="A63" s="5"/>
    </row>
    <row r="64" spans="1:1" s="3" customFormat="1" x14ac:dyDescent="0.2">
      <c r="A64" s="5"/>
    </row>
    <row r="65" spans="1:1" s="3" customFormat="1" x14ac:dyDescent="0.2">
      <c r="A65" s="5"/>
    </row>
    <row r="66" spans="1:1" s="3" customFormat="1" x14ac:dyDescent="0.2">
      <c r="A66" s="5"/>
    </row>
    <row r="67" spans="1:1" s="3" customFormat="1" x14ac:dyDescent="0.2">
      <c r="A67" s="5"/>
    </row>
    <row r="68" spans="1:1" s="3" customFormat="1" x14ac:dyDescent="0.2">
      <c r="A68" s="5"/>
    </row>
    <row r="69" spans="1:1" s="3" customFormat="1" x14ac:dyDescent="0.2">
      <c r="A69" s="5"/>
    </row>
    <row r="70" spans="1:1" s="3" customFormat="1" x14ac:dyDescent="0.2">
      <c r="A70" s="5"/>
    </row>
    <row r="71" spans="1:1" s="3" customFormat="1" x14ac:dyDescent="0.2">
      <c r="A71" s="5"/>
    </row>
    <row r="72" spans="1:1" s="3" customFormat="1" x14ac:dyDescent="0.2">
      <c r="A72" s="5"/>
    </row>
    <row r="73" spans="1:1" s="3" customFormat="1" x14ac:dyDescent="0.2">
      <c r="A73" s="5"/>
    </row>
    <row r="74" spans="1:1" s="3" customFormat="1" x14ac:dyDescent="0.2">
      <c r="A74" s="5"/>
    </row>
    <row r="75" spans="1:1" s="3" customFormat="1" x14ac:dyDescent="0.2">
      <c r="A75" s="5"/>
    </row>
    <row r="76" spans="1:1" s="3" customFormat="1" x14ac:dyDescent="0.2">
      <c r="A76" s="5"/>
    </row>
    <row r="77" spans="1:1" s="3" customFormat="1" x14ac:dyDescent="0.2">
      <c r="A77" s="5"/>
    </row>
    <row r="78" spans="1:1" s="3" customFormat="1" x14ac:dyDescent="0.2">
      <c r="A78" s="5"/>
    </row>
    <row r="79" spans="1:1" s="3" customFormat="1" x14ac:dyDescent="0.2">
      <c r="A79" s="5"/>
    </row>
    <row r="80" spans="1:1" s="3" customFormat="1" x14ac:dyDescent="0.2">
      <c r="A80" s="5"/>
    </row>
    <row r="81" spans="1:1" s="3" customFormat="1" x14ac:dyDescent="0.2">
      <c r="A81" s="5"/>
    </row>
    <row r="82" spans="1:1" s="3" customFormat="1" x14ac:dyDescent="0.2">
      <c r="A82" s="5"/>
    </row>
    <row r="83" spans="1:1" s="3" customFormat="1" x14ac:dyDescent="0.2">
      <c r="A83" s="5"/>
    </row>
    <row r="84" spans="1:1" s="3" customFormat="1" x14ac:dyDescent="0.2">
      <c r="A84" s="5"/>
    </row>
    <row r="85" spans="1:1" s="3" customFormat="1" x14ac:dyDescent="0.2">
      <c r="A85" s="5"/>
    </row>
    <row r="86" spans="1:1" s="3" customFormat="1" x14ac:dyDescent="0.2">
      <c r="A86" s="5"/>
    </row>
    <row r="87" spans="1:1" s="3" customFormat="1" x14ac:dyDescent="0.2">
      <c r="A87" s="5"/>
    </row>
    <row r="88" spans="1:1" s="3" customFormat="1" x14ac:dyDescent="0.2">
      <c r="A88" s="5"/>
    </row>
    <row r="89" spans="1:1" s="3" customFormat="1" x14ac:dyDescent="0.2">
      <c r="A89" s="5"/>
    </row>
    <row r="90" spans="1:1" s="3" customFormat="1" x14ac:dyDescent="0.2">
      <c r="A90" s="5"/>
    </row>
    <row r="91" spans="1:1" s="3" customFormat="1" x14ac:dyDescent="0.2">
      <c r="A91" s="5"/>
    </row>
    <row r="92" spans="1:1" s="3" customFormat="1" x14ac:dyDescent="0.2">
      <c r="A92" s="5"/>
    </row>
    <row r="93" spans="1:1" s="3" customFormat="1" x14ac:dyDescent="0.2">
      <c r="A93" s="5"/>
    </row>
    <row r="94" spans="1:1" s="3" customFormat="1" x14ac:dyDescent="0.2">
      <c r="A94" s="5"/>
    </row>
    <row r="95" spans="1:1" s="3" customFormat="1" x14ac:dyDescent="0.2">
      <c r="A95" s="5"/>
    </row>
    <row r="96" spans="1:1" s="3" customFormat="1" x14ac:dyDescent="0.2">
      <c r="A96" s="5"/>
    </row>
    <row r="97" spans="1:1" s="3" customFormat="1" x14ac:dyDescent="0.2">
      <c r="A97" s="5"/>
    </row>
    <row r="98" spans="1:1" s="3" customFormat="1" x14ac:dyDescent="0.2">
      <c r="A98" s="5"/>
    </row>
    <row r="99" spans="1:1" s="3" customFormat="1" x14ac:dyDescent="0.2">
      <c r="A99" s="5"/>
    </row>
    <row r="100" spans="1:1" s="3" customFormat="1" x14ac:dyDescent="0.2">
      <c r="A100" s="5"/>
    </row>
    <row r="101" spans="1:1" s="3" customFormat="1" x14ac:dyDescent="0.2">
      <c r="A101" s="5"/>
    </row>
    <row r="102" spans="1:1" s="3" customFormat="1" x14ac:dyDescent="0.2">
      <c r="A102" s="5"/>
    </row>
    <row r="103" spans="1:1" s="3" customFormat="1" x14ac:dyDescent="0.2">
      <c r="A103" s="5"/>
    </row>
    <row r="104" spans="1:1" s="3" customFormat="1" x14ac:dyDescent="0.2">
      <c r="A104" s="5"/>
    </row>
    <row r="105" spans="1:1" s="3" customFormat="1" x14ac:dyDescent="0.2">
      <c r="A105" s="5"/>
    </row>
    <row r="106" spans="1:1" s="3" customFormat="1" x14ac:dyDescent="0.2">
      <c r="A106" s="5"/>
    </row>
    <row r="107" spans="1:1" s="3" customFormat="1" x14ac:dyDescent="0.2">
      <c r="A107" s="5"/>
    </row>
    <row r="108" spans="1:1" s="3" customFormat="1" x14ac:dyDescent="0.2">
      <c r="A108" s="5"/>
    </row>
    <row r="109" spans="1:1" s="3" customFormat="1" x14ac:dyDescent="0.2">
      <c r="A109" s="5"/>
    </row>
    <row r="110" spans="1:1" s="3" customFormat="1" x14ac:dyDescent="0.2">
      <c r="A110" s="5"/>
    </row>
    <row r="111" spans="1:1" s="3" customFormat="1" x14ac:dyDescent="0.2">
      <c r="A111" s="5"/>
    </row>
    <row r="112" spans="1:1" s="3" customFormat="1" x14ac:dyDescent="0.2">
      <c r="A112" s="5"/>
    </row>
    <row r="113" spans="1:1" s="3" customFormat="1" x14ac:dyDescent="0.2">
      <c r="A113" s="5"/>
    </row>
    <row r="114" spans="1:1" s="3" customFormat="1" x14ac:dyDescent="0.2">
      <c r="A114" s="5"/>
    </row>
    <row r="115" spans="1:1" s="3" customFormat="1" x14ac:dyDescent="0.2">
      <c r="A115" s="5"/>
    </row>
    <row r="116" spans="1:1" s="3" customFormat="1" x14ac:dyDescent="0.2">
      <c r="A116" s="5"/>
    </row>
    <row r="117" spans="1:1" s="3" customFormat="1" x14ac:dyDescent="0.2">
      <c r="A117" s="5"/>
    </row>
    <row r="118" spans="1:1" s="3" customFormat="1" x14ac:dyDescent="0.2">
      <c r="A118" s="5"/>
    </row>
    <row r="119" spans="1:1" s="3" customFormat="1" x14ac:dyDescent="0.2">
      <c r="A119" s="5"/>
    </row>
    <row r="120" spans="1:1" s="3" customFormat="1" x14ac:dyDescent="0.2">
      <c r="A120" s="5"/>
    </row>
    <row r="121" spans="1:1" s="3" customFormat="1" x14ac:dyDescent="0.2">
      <c r="A121" s="5"/>
    </row>
    <row r="122" spans="1:1" s="3" customFormat="1" x14ac:dyDescent="0.2">
      <c r="A122" s="5"/>
    </row>
    <row r="123" spans="1:1" s="3" customFormat="1" x14ac:dyDescent="0.2">
      <c r="A123" s="5"/>
    </row>
    <row r="124" spans="1:1" s="3" customFormat="1" x14ac:dyDescent="0.2">
      <c r="A124" s="5"/>
    </row>
    <row r="125" spans="1:1" s="3" customFormat="1" x14ac:dyDescent="0.2">
      <c r="A125" s="5"/>
    </row>
    <row r="126" spans="1:1" s="3" customFormat="1" x14ac:dyDescent="0.2">
      <c r="A126" s="5"/>
    </row>
    <row r="127" spans="1:1" s="3" customFormat="1" x14ac:dyDescent="0.2">
      <c r="A127" s="5"/>
    </row>
    <row r="128" spans="1:1" s="3" customFormat="1" x14ac:dyDescent="0.2">
      <c r="A128" s="5"/>
    </row>
    <row r="129" spans="1:1" s="3" customFormat="1" x14ac:dyDescent="0.2">
      <c r="A129" s="5"/>
    </row>
    <row r="130" spans="1:1" s="3" customFormat="1" x14ac:dyDescent="0.2">
      <c r="A130" s="5"/>
    </row>
    <row r="131" spans="1:1" s="3" customFormat="1" x14ac:dyDescent="0.2">
      <c r="A131" s="5"/>
    </row>
    <row r="132" spans="1:1" s="3" customFormat="1" x14ac:dyDescent="0.2">
      <c r="A132" s="5"/>
    </row>
    <row r="133" spans="1:1" s="3" customFormat="1" x14ac:dyDescent="0.2">
      <c r="A133" s="5"/>
    </row>
    <row r="134" spans="1:1" s="3" customFormat="1" x14ac:dyDescent="0.2">
      <c r="A134" s="5"/>
    </row>
    <row r="135" spans="1:1" s="3" customFormat="1" x14ac:dyDescent="0.2">
      <c r="A135" s="5"/>
    </row>
    <row r="136" spans="1:1" s="3" customFormat="1" x14ac:dyDescent="0.2">
      <c r="A136" s="5"/>
    </row>
    <row r="137" spans="1:1" s="3" customFormat="1" x14ac:dyDescent="0.2">
      <c r="A137" s="5"/>
    </row>
    <row r="138" spans="1:1" s="3" customFormat="1" x14ac:dyDescent="0.2">
      <c r="A138" s="5"/>
    </row>
    <row r="139" spans="1:1" s="3" customFormat="1" x14ac:dyDescent="0.2">
      <c r="A139" s="5"/>
    </row>
    <row r="140" spans="1:1" s="3" customFormat="1" x14ac:dyDescent="0.2">
      <c r="A140" s="5"/>
    </row>
    <row r="141" spans="1:1" s="3" customFormat="1" x14ac:dyDescent="0.2">
      <c r="A141" s="5"/>
    </row>
    <row r="142" spans="1:1" s="3" customFormat="1" x14ac:dyDescent="0.2">
      <c r="A142" s="5"/>
    </row>
    <row r="143" spans="1:1" s="3" customFormat="1" x14ac:dyDescent="0.2">
      <c r="A143" s="5"/>
    </row>
    <row r="144" spans="1:1" s="3" customFormat="1" x14ac:dyDescent="0.2">
      <c r="A144" s="5"/>
    </row>
    <row r="145" spans="1:1" s="3" customFormat="1" x14ac:dyDescent="0.2">
      <c r="A145" s="5"/>
    </row>
    <row r="146" spans="1:1" s="3" customFormat="1" x14ac:dyDescent="0.2">
      <c r="A146" s="5"/>
    </row>
    <row r="147" spans="1:1" s="3" customFormat="1" x14ac:dyDescent="0.2">
      <c r="A147" s="5"/>
    </row>
    <row r="148" spans="1:1" s="3" customFormat="1" x14ac:dyDescent="0.2">
      <c r="A148" s="5"/>
    </row>
    <row r="149" spans="1:1" s="3" customFormat="1" x14ac:dyDescent="0.2">
      <c r="A149" s="5"/>
    </row>
    <row r="150" spans="1:1" s="3" customFormat="1" x14ac:dyDescent="0.2">
      <c r="A150" s="5"/>
    </row>
    <row r="151" spans="1:1" s="3" customFormat="1" x14ac:dyDescent="0.2">
      <c r="A151" s="5"/>
    </row>
    <row r="152" spans="1:1" s="3" customFormat="1" x14ac:dyDescent="0.2">
      <c r="A152" s="5"/>
    </row>
    <row r="153" spans="1:1" s="3" customFormat="1" x14ac:dyDescent="0.2">
      <c r="A153" s="5"/>
    </row>
    <row r="154" spans="1:1" s="3" customFormat="1" x14ac:dyDescent="0.2">
      <c r="A154" s="5"/>
    </row>
    <row r="155" spans="1:1" s="3" customFormat="1" x14ac:dyDescent="0.2">
      <c r="A155" s="5"/>
    </row>
    <row r="156" spans="1:1" s="3" customFormat="1" x14ac:dyDescent="0.2">
      <c r="A156" s="5"/>
    </row>
    <row r="157" spans="1:1" s="3" customFormat="1" x14ac:dyDescent="0.2">
      <c r="A157" s="5"/>
    </row>
    <row r="158" spans="1:1" s="3" customFormat="1" x14ac:dyDescent="0.2">
      <c r="A158" s="5"/>
    </row>
    <row r="159" spans="1:1" s="3" customFormat="1" x14ac:dyDescent="0.2">
      <c r="A159" s="5"/>
    </row>
    <row r="160" spans="1:1" s="3" customFormat="1" x14ac:dyDescent="0.2">
      <c r="A160" s="5"/>
    </row>
    <row r="161" spans="1:1" s="3" customFormat="1" x14ac:dyDescent="0.2">
      <c r="A161" s="5"/>
    </row>
    <row r="162" spans="1:1" s="3" customFormat="1" x14ac:dyDescent="0.2">
      <c r="A162" s="5"/>
    </row>
    <row r="163" spans="1:1" s="3" customFormat="1" x14ac:dyDescent="0.2">
      <c r="A163" s="5"/>
    </row>
    <row r="164" spans="1:1" s="3" customFormat="1" x14ac:dyDescent="0.2">
      <c r="A164" s="5"/>
    </row>
    <row r="165" spans="1:1" s="3" customFormat="1" x14ac:dyDescent="0.2">
      <c r="A165" s="5"/>
    </row>
    <row r="166" spans="1:1" s="3" customFormat="1" x14ac:dyDescent="0.2">
      <c r="A166" s="5"/>
    </row>
    <row r="167" spans="1:1" s="3" customFormat="1" x14ac:dyDescent="0.2">
      <c r="A167" s="5"/>
    </row>
    <row r="168" spans="1:1" s="3" customFormat="1" x14ac:dyDescent="0.2">
      <c r="A168" s="5"/>
    </row>
    <row r="169" spans="1:1" s="3" customFormat="1" x14ac:dyDescent="0.2">
      <c r="A169" s="5"/>
    </row>
    <row r="170" spans="1:1" s="3" customFormat="1" x14ac:dyDescent="0.2">
      <c r="A170" s="5"/>
    </row>
    <row r="171" spans="1:1" s="3" customFormat="1" x14ac:dyDescent="0.2">
      <c r="A171" s="5"/>
    </row>
    <row r="172" spans="1:1" s="3" customFormat="1" x14ac:dyDescent="0.2">
      <c r="A172" s="5"/>
    </row>
    <row r="173" spans="1:1" s="3" customFormat="1" x14ac:dyDescent="0.2">
      <c r="A173" s="5"/>
    </row>
    <row r="174" spans="1:1" s="3" customFormat="1" x14ac:dyDescent="0.2">
      <c r="A174" s="5"/>
    </row>
    <row r="175" spans="1:1" s="3" customFormat="1" x14ac:dyDescent="0.2">
      <c r="A175" s="5"/>
    </row>
    <row r="176" spans="1:1" s="3" customFormat="1" x14ac:dyDescent="0.2">
      <c r="A176" s="5"/>
    </row>
    <row r="177" spans="1:1" s="3" customFormat="1" x14ac:dyDescent="0.2">
      <c r="A177" s="5"/>
    </row>
    <row r="178" spans="1:1" s="3" customFormat="1" x14ac:dyDescent="0.2">
      <c r="A178" s="5"/>
    </row>
    <row r="179" spans="1:1" s="3" customFormat="1" x14ac:dyDescent="0.2">
      <c r="A179" s="5"/>
    </row>
    <row r="180" spans="1:1" s="3" customFormat="1" x14ac:dyDescent="0.2">
      <c r="A180" s="5"/>
    </row>
    <row r="181" spans="1:1" s="3" customFormat="1" x14ac:dyDescent="0.2">
      <c r="A181" s="5"/>
    </row>
    <row r="182" spans="1:1" s="3" customFormat="1" x14ac:dyDescent="0.2">
      <c r="A182" s="5"/>
    </row>
    <row r="183" spans="1:1" s="3" customFormat="1" x14ac:dyDescent="0.2">
      <c r="A183" s="5"/>
    </row>
    <row r="184" spans="1:1" s="3" customFormat="1" x14ac:dyDescent="0.2">
      <c r="A184" s="5"/>
    </row>
    <row r="185" spans="1:1" s="3" customFormat="1" x14ac:dyDescent="0.2">
      <c r="A185" s="5"/>
    </row>
    <row r="186" spans="1:1" s="3" customFormat="1" x14ac:dyDescent="0.2">
      <c r="A186" s="5"/>
    </row>
    <row r="187" spans="1:1" s="3" customFormat="1" x14ac:dyDescent="0.2">
      <c r="A187" s="5"/>
    </row>
    <row r="188" spans="1:1" s="3" customFormat="1" x14ac:dyDescent="0.2">
      <c r="A188" s="5"/>
    </row>
    <row r="189" spans="1:1" s="3" customFormat="1" x14ac:dyDescent="0.2">
      <c r="A189" s="5"/>
    </row>
    <row r="190" spans="1:1" s="3" customFormat="1" x14ac:dyDescent="0.2">
      <c r="A190" s="5"/>
    </row>
    <row r="191" spans="1:1" s="3" customFormat="1" x14ac:dyDescent="0.2">
      <c r="A191" s="5"/>
    </row>
    <row r="192" spans="1:1" s="3" customFormat="1" x14ac:dyDescent="0.2">
      <c r="A192" s="5"/>
    </row>
    <row r="193" spans="1:1" s="3" customFormat="1" x14ac:dyDescent="0.2">
      <c r="A193" s="5"/>
    </row>
    <row r="194" spans="1:1" s="3" customFormat="1" x14ac:dyDescent="0.2">
      <c r="A194" s="5"/>
    </row>
    <row r="195" spans="1:1" s="3" customFormat="1" x14ac:dyDescent="0.2">
      <c r="A195" s="5"/>
    </row>
    <row r="196" spans="1:1" s="3" customFormat="1" x14ac:dyDescent="0.2">
      <c r="A196" s="5"/>
    </row>
    <row r="197" spans="1:1" s="3" customFormat="1" x14ac:dyDescent="0.2">
      <c r="A197" s="5"/>
    </row>
    <row r="198" spans="1:1" s="3" customFormat="1" x14ac:dyDescent="0.2">
      <c r="A198" s="5"/>
    </row>
    <row r="199" spans="1:1" s="3" customFormat="1" x14ac:dyDescent="0.2">
      <c r="A199" s="5"/>
    </row>
    <row r="200" spans="1:1" s="3" customFormat="1" x14ac:dyDescent="0.2">
      <c r="A200" s="5"/>
    </row>
    <row r="201" spans="1:1" s="3" customFormat="1" x14ac:dyDescent="0.2">
      <c r="A201" s="5"/>
    </row>
    <row r="202" spans="1:1" s="3" customFormat="1" x14ac:dyDescent="0.2">
      <c r="A202" s="5"/>
    </row>
    <row r="203" spans="1:1" s="3" customFormat="1" x14ac:dyDescent="0.2">
      <c r="A203" s="5"/>
    </row>
    <row r="204" spans="1:1" s="3" customFormat="1" x14ac:dyDescent="0.2">
      <c r="A204" s="5"/>
    </row>
    <row r="205" spans="1:1" s="3" customFormat="1" x14ac:dyDescent="0.2">
      <c r="A205" s="5"/>
    </row>
    <row r="206" spans="1:1" s="3" customFormat="1" x14ac:dyDescent="0.2">
      <c r="A206" s="5"/>
    </row>
    <row r="207" spans="1:1" s="3" customFormat="1" x14ac:dyDescent="0.2">
      <c r="A207" s="5"/>
    </row>
    <row r="208" spans="1:1" s="3" customFormat="1" x14ac:dyDescent="0.2">
      <c r="A208" s="5"/>
    </row>
    <row r="209" spans="1:1" s="3" customFormat="1" x14ac:dyDescent="0.2">
      <c r="A209" s="5"/>
    </row>
    <row r="210" spans="1:1" s="3" customFormat="1" x14ac:dyDescent="0.2">
      <c r="A210" s="5"/>
    </row>
    <row r="211" spans="1:1" s="3" customFormat="1" x14ac:dyDescent="0.2">
      <c r="A211" s="5"/>
    </row>
    <row r="212" spans="1:1" s="3" customFormat="1" x14ac:dyDescent="0.2">
      <c r="A212" s="5"/>
    </row>
    <row r="213" spans="1:1" s="3" customFormat="1" x14ac:dyDescent="0.2">
      <c r="A213" s="5"/>
    </row>
    <row r="214" spans="1:1" s="3" customFormat="1" x14ac:dyDescent="0.2">
      <c r="A214" s="5"/>
    </row>
    <row r="215" spans="1:1" s="3" customFormat="1" x14ac:dyDescent="0.2">
      <c r="A215" s="5"/>
    </row>
    <row r="216" spans="1:1" s="3" customFormat="1" x14ac:dyDescent="0.2">
      <c r="A216" s="5"/>
    </row>
    <row r="217" spans="1:1" s="3" customFormat="1" x14ac:dyDescent="0.2">
      <c r="A217" s="5"/>
    </row>
    <row r="218" spans="1:1" s="3" customFormat="1" x14ac:dyDescent="0.2">
      <c r="A218" s="5"/>
    </row>
    <row r="219" spans="1:1" s="3" customFormat="1" x14ac:dyDescent="0.2">
      <c r="A219" s="5"/>
    </row>
    <row r="220" spans="1:1" s="3" customFormat="1" x14ac:dyDescent="0.2">
      <c r="A220" s="5"/>
    </row>
    <row r="221" spans="1:1" s="3" customFormat="1" x14ac:dyDescent="0.2">
      <c r="A221" s="5"/>
    </row>
    <row r="222" spans="1:1" s="3" customFormat="1" x14ac:dyDescent="0.2">
      <c r="A222" s="5"/>
    </row>
    <row r="223" spans="1:1" s="3" customFormat="1" x14ac:dyDescent="0.2">
      <c r="A223" s="5"/>
    </row>
    <row r="224" spans="1:1" s="3" customFormat="1" x14ac:dyDescent="0.2">
      <c r="A224" s="5"/>
    </row>
    <row r="225" spans="1:1" s="3" customFormat="1" x14ac:dyDescent="0.2">
      <c r="A225" s="5"/>
    </row>
    <row r="226" spans="1:1" s="3" customFormat="1" x14ac:dyDescent="0.2">
      <c r="A226" s="5"/>
    </row>
    <row r="227" spans="1:1" s="3" customFormat="1" x14ac:dyDescent="0.2">
      <c r="A227" s="5"/>
    </row>
    <row r="228" spans="1:1" s="3" customFormat="1" x14ac:dyDescent="0.2">
      <c r="A228" s="5"/>
    </row>
    <row r="229" spans="1:1" s="3" customFormat="1" x14ac:dyDescent="0.2">
      <c r="A229" s="5"/>
    </row>
    <row r="230" spans="1:1" s="3" customFormat="1" x14ac:dyDescent="0.2">
      <c r="A230" s="5"/>
    </row>
    <row r="231" spans="1:1" s="3" customFormat="1" x14ac:dyDescent="0.2">
      <c r="A231" s="5"/>
    </row>
    <row r="232" spans="1:1" s="3" customFormat="1" x14ac:dyDescent="0.2">
      <c r="A232" s="5"/>
    </row>
    <row r="233" spans="1:1" s="3" customFormat="1" x14ac:dyDescent="0.2">
      <c r="A233" s="5"/>
    </row>
    <row r="234" spans="1:1" s="3" customFormat="1" x14ac:dyDescent="0.2">
      <c r="A234" s="5"/>
    </row>
    <row r="235" spans="1:1" s="3" customFormat="1" x14ac:dyDescent="0.2">
      <c r="A235" s="5"/>
    </row>
    <row r="236" spans="1:1" s="3" customFormat="1" x14ac:dyDescent="0.2">
      <c r="A236" s="5"/>
    </row>
    <row r="237" spans="1:1" s="3" customFormat="1" x14ac:dyDescent="0.2">
      <c r="A237" s="5"/>
    </row>
    <row r="238" spans="1:1" s="3" customFormat="1" x14ac:dyDescent="0.2">
      <c r="A238" s="5"/>
    </row>
    <row r="239" spans="1:1" s="3" customFormat="1" x14ac:dyDescent="0.2">
      <c r="A239" s="5"/>
    </row>
    <row r="240" spans="1:1" s="3" customFormat="1" x14ac:dyDescent="0.2">
      <c r="A240" s="5"/>
    </row>
    <row r="241" spans="1:1" s="3" customFormat="1" x14ac:dyDescent="0.2">
      <c r="A241" s="5"/>
    </row>
    <row r="242" spans="1:1" s="3" customFormat="1" x14ac:dyDescent="0.2">
      <c r="A242" s="5"/>
    </row>
    <row r="243" spans="1:1" s="3" customFormat="1" x14ac:dyDescent="0.2">
      <c r="A243" s="5"/>
    </row>
    <row r="244" spans="1:1" s="3" customFormat="1" x14ac:dyDescent="0.2">
      <c r="A244" s="5"/>
    </row>
    <row r="245" spans="1:1" s="3" customFormat="1" x14ac:dyDescent="0.2">
      <c r="A245" s="5"/>
    </row>
    <row r="246" spans="1:1" s="3" customFormat="1" x14ac:dyDescent="0.2">
      <c r="A246" s="5"/>
    </row>
    <row r="247" spans="1:1" s="3" customFormat="1" x14ac:dyDescent="0.2">
      <c r="A247" s="5"/>
    </row>
    <row r="248" spans="1:1" s="3" customFormat="1" x14ac:dyDescent="0.2">
      <c r="A248" s="5"/>
    </row>
    <row r="249" spans="1:1" s="3" customFormat="1" x14ac:dyDescent="0.2">
      <c r="A249" s="5"/>
    </row>
    <row r="250" spans="1:1" s="3" customFormat="1" x14ac:dyDescent="0.2">
      <c r="A250" s="5"/>
    </row>
    <row r="251" spans="1:1" s="3" customFormat="1" x14ac:dyDescent="0.2">
      <c r="A251" s="5"/>
    </row>
    <row r="252" spans="1:1" s="3" customFormat="1" x14ac:dyDescent="0.2">
      <c r="A252" s="5"/>
    </row>
    <row r="253" spans="1:1" s="3" customFormat="1" x14ac:dyDescent="0.2">
      <c r="A253" s="5"/>
    </row>
    <row r="254" spans="1:1" s="3" customFormat="1" x14ac:dyDescent="0.2">
      <c r="A254" s="5"/>
    </row>
    <row r="255" spans="1:1" s="3" customFormat="1" x14ac:dyDescent="0.2">
      <c r="A255" s="5"/>
    </row>
    <row r="256" spans="1:1" s="3" customFormat="1" x14ac:dyDescent="0.2">
      <c r="A256" s="5"/>
    </row>
    <row r="257" spans="1:1" s="3" customFormat="1" x14ac:dyDescent="0.2">
      <c r="A257" s="5"/>
    </row>
    <row r="258" spans="1:1" s="3" customFormat="1" x14ac:dyDescent="0.2">
      <c r="A258" s="5"/>
    </row>
    <row r="259" spans="1:1" s="3" customFormat="1" x14ac:dyDescent="0.2">
      <c r="A259" s="5"/>
    </row>
    <row r="260" spans="1:1" s="3" customFormat="1" x14ac:dyDescent="0.2">
      <c r="A260" s="5"/>
    </row>
    <row r="261" spans="1:1" s="3" customFormat="1" x14ac:dyDescent="0.2">
      <c r="A261" s="5"/>
    </row>
    <row r="262" spans="1:1" s="3" customFormat="1" x14ac:dyDescent="0.2">
      <c r="A262" s="5"/>
    </row>
    <row r="263" spans="1:1" s="3" customFormat="1" x14ac:dyDescent="0.2">
      <c r="A263" s="5"/>
    </row>
    <row r="264" spans="1:1" s="3" customFormat="1" x14ac:dyDescent="0.2">
      <c r="A264" s="5"/>
    </row>
    <row r="265" spans="1:1" s="3" customFormat="1" x14ac:dyDescent="0.2">
      <c r="A265" s="5"/>
    </row>
    <row r="266" spans="1:1" s="3" customFormat="1" x14ac:dyDescent="0.2">
      <c r="A266" s="5"/>
    </row>
    <row r="267" spans="1:1" s="3" customFormat="1" x14ac:dyDescent="0.2">
      <c r="A267" s="5"/>
    </row>
    <row r="268" spans="1:1" s="3" customFormat="1" x14ac:dyDescent="0.2">
      <c r="A268" s="5"/>
    </row>
    <row r="269" spans="1:1" s="3" customFormat="1" x14ac:dyDescent="0.2">
      <c r="A269" s="5"/>
    </row>
    <row r="270" spans="1:1" s="3" customFormat="1" x14ac:dyDescent="0.2">
      <c r="A270" s="5"/>
    </row>
    <row r="271" spans="1:1" s="3" customFormat="1" x14ac:dyDescent="0.2">
      <c r="A271" s="5"/>
    </row>
    <row r="272" spans="1:1" s="3" customFormat="1" x14ac:dyDescent="0.2">
      <c r="A272" s="5"/>
    </row>
    <row r="273" spans="1:1" s="3" customFormat="1" x14ac:dyDescent="0.2">
      <c r="A273" s="5"/>
    </row>
    <row r="274" spans="1:1" s="3" customFormat="1" x14ac:dyDescent="0.2">
      <c r="A274" s="5"/>
    </row>
    <row r="275" spans="1:1" s="3" customFormat="1" x14ac:dyDescent="0.2">
      <c r="A275" s="5"/>
    </row>
    <row r="276" spans="1:1" s="3" customFormat="1" x14ac:dyDescent="0.2">
      <c r="A276" s="5"/>
    </row>
    <row r="277" spans="1:1" s="3" customFormat="1" x14ac:dyDescent="0.2">
      <c r="A277" s="5"/>
    </row>
    <row r="278" spans="1:1" s="3" customFormat="1" x14ac:dyDescent="0.2">
      <c r="A278" s="5"/>
    </row>
    <row r="279" spans="1:1" s="3" customFormat="1" x14ac:dyDescent="0.2">
      <c r="A279" s="5"/>
    </row>
    <row r="280" spans="1:1" s="3" customFormat="1" x14ac:dyDescent="0.2">
      <c r="A280" s="5"/>
    </row>
    <row r="281" spans="1:1" s="3" customFormat="1" x14ac:dyDescent="0.2">
      <c r="A281" s="5"/>
    </row>
    <row r="282" spans="1:1" s="3" customFormat="1" x14ac:dyDescent="0.2">
      <c r="A282" s="5"/>
    </row>
    <row r="283" spans="1:1" s="3" customFormat="1" x14ac:dyDescent="0.2">
      <c r="A283" s="5"/>
    </row>
    <row r="284" spans="1:1" s="3" customFormat="1" x14ac:dyDescent="0.2">
      <c r="A284" s="5"/>
    </row>
    <row r="285" spans="1:1" s="3" customFormat="1" x14ac:dyDescent="0.2">
      <c r="A285" s="5"/>
    </row>
    <row r="286" spans="1:1" s="3" customFormat="1" x14ac:dyDescent="0.2">
      <c r="A286" s="5"/>
    </row>
    <row r="287" spans="1:1" s="3" customFormat="1" x14ac:dyDescent="0.2">
      <c r="A287" s="5"/>
    </row>
    <row r="288" spans="1:1" s="3" customFormat="1" x14ac:dyDescent="0.2">
      <c r="A288" s="5"/>
    </row>
    <row r="289" spans="1:1" s="3" customFormat="1" x14ac:dyDescent="0.2">
      <c r="A289" s="5"/>
    </row>
    <row r="290" spans="1:1" s="3" customFormat="1" x14ac:dyDescent="0.2">
      <c r="A290" s="5"/>
    </row>
    <row r="291" spans="1:1" s="3" customFormat="1" x14ac:dyDescent="0.2">
      <c r="A291" s="5"/>
    </row>
    <row r="292" spans="1:1" s="3" customFormat="1" x14ac:dyDescent="0.2">
      <c r="A292" s="5"/>
    </row>
    <row r="293" spans="1:1" s="3" customFormat="1" x14ac:dyDescent="0.2">
      <c r="A293" s="5"/>
    </row>
    <row r="294" spans="1:1" s="3" customFormat="1" x14ac:dyDescent="0.2">
      <c r="A294" s="5"/>
    </row>
    <row r="295" spans="1:1" s="3" customFormat="1" x14ac:dyDescent="0.2">
      <c r="A295" s="5"/>
    </row>
    <row r="296" spans="1:1" s="3" customFormat="1" x14ac:dyDescent="0.2">
      <c r="A296" s="5"/>
    </row>
    <row r="297" spans="1:1" s="3" customFormat="1" x14ac:dyDescent="0.2">
      <c r="A297" s="5"/>
    </row>
    <row r="298" spans="1:1" s="3" customFormat="1" x14ac:dyDescent="0.2">
      <c r="A298" s="5"/>
    </row>
    <row r="299" spans="1:1" s="3" customFormat="1" x14ac:dyDescent="0.2">
      <c r="A299" s="5"/>
    </row>
    <row r="300" spans="1:1" s="3" customFormat="1" x14ac:dyDescent="0.2">
      <c r="A300" s="5"/>
    </row>
    <row r="301" spans="1:1" s="3" customFormat="1" x14ac:dyDescent="0.2">
      <c r="A301" s="5"/>
    </row>
    <row r="302" spans="1:1" s="3" customFormat="1" x14ac:dyDescent="0.2">
      <c r="A302" s="5"/>
    </row>
    <row r="303" spans="1:1" s="3" customFormat="1" x14ac:dyDescent="0.2">
      <c r="A303" s="5"/>
    </row>
    <row r="304" spans="1:1" s="3" customFormat="1" x14ac:dyDescent="0.2">
      <c r="A304" s="5"/>
    </row>
    <row r="305" spans="1:1" s="3" customFormat="1" x14ac:dyDescent="0.2">
      <c r="A305" s="5"/>
    </row>
    <row r="306" spans="1:1" s="3" customFormat="1" x14ac:dyDescent="0.2">
      <c r="A306" s="5"/>
    </row>
    <row r="307" spans="1:1" s="3" customFormat="1" x14ac:dyDescent="0.2">
      <c r="A307" s="5"/>
    </row>
    <row r="308" spans="1:1" s="3" customFormat="1" x14ac:dyDescent="0.2">
      <c r="A308" s="5"/>
    </row>
    <row r="309" spans="1:1" s="3" customFormat="1" x14ac:dyDescent="0.2">
      <c r="A309" s="5"/>
    </row>
    <row r="310" spans="1:1" s="3" customFormat="1" x14ac:dyDescent="0.2">
      <c r="A310" s="5"/>
    </row>
    <row r="311" spans="1:1" s="3" customFormat="1" x14ac:dyDescent="0.2">
      <c r="A311" s="5"/>
    </row>
    <row r="312" spans="1:1" s="3" customFormat="1" x14ac:dyDescent="0.2">
      <c r="A312" s="5"/>
    </row>
    <row r="313" spans="1:1" s="3" customFormat="1" x14ac:dyDescent="0.2">
      <c r="A313" s="5"/>
    </row>
    <row r="314" spans="1:1" s="3" customFormat="1" x14ac:dyDescent="0.2">
      <c r="A314" s="5"/>
    </row>
    <row r="315" spans="1:1" s="3" customFormat="1" x14ac:dyDescent="0.2">
      <c r="A315" s="5"/>
    </row>
    <row r="316" spans="1:1" s="3" customFormat="1" x14ac:dyDescent="0.2">
      <c r="A316" s="5"/>
    </row>
    <row r="317" spans="1:1" s="3" customFormat="1" x14ac:dyDescent="0.2">
      <c r="A317" s="5"/>
    </row>
    <row r="318" spans="1:1" s="3" customFormat="1" x14ac:dyDescent="0.2">
      <c r="A318" s="5"/>
    </row>
    <row r="319" spans="1:1" s="3" customFormat="1" x14ac:dyDescent="0.2">
      <c r="A319" s="5"/>
    </row>
    <row r="320" spans="1:1" s="3" customFormat="1" x14ac:dyDescent="0.2">
      <c r="A320" s="5"/>
    </row>
    <row r="321" spans="1:1" s="3" customFormat="1" x14ac:dyDescent="0.2">
      <c r="A321" s="5"/>
    </row>
    <row r="322" spans="1:1" s="3" customFormat="1" x14ac:dyDescent="0.2">
      <c r="A322" s="5"/>
    </row>
    <row r="323" spans="1:1" s="3" customFormat="1" x14ac:dyDescent="0.2">
      <c r="A323" s="5"/>
    </row>
    <row r="324" spans="1:1" s="3" customFormat="1" x14ac:dyDescent="0.2">
      <c r="A324" s="5"/>
    </row>
    <row r="325" spans="1:1" s="3" customFormat="1" x14ac:dyDescent="0.2">
      <c r="A325" s="5"/>
    </row>
    <row r="326" spans="1:1" s="3" customFormat="1" x14ac:dyDescent="0.2">
      <c r="A326" s="5"/>
    </row>
    <row r="327" spans="1:1" s="3" customFormat="1" x14ac:dyDescent="0.2">
      <c r="A327" s="5"/>
    </row>
    <row r="328" spans="1:1" s="3" customFormat="1" x14ac:dyDescent="0.2">
      <c r="A328" s="5"/>
    </row>
    <row r="329" spans="1:1" s="3" customFormat="1" x14ac:dyDescent="0.2">
      <c r="A329" s="5"/>
    </row>
    <row r="330" spans="1:1" s="3" customFormat="1" x14ac:dyDescent="0.2">
      <c r="A330" s="5"/>
    </row>
    <row r="331" spans="1:1" s="3" customFormat="1" x14ac:dyDescent="0.2">
      <c r="A331" s="5"/>
    </row>
    <row r="332" spans="1:1" s="3" customFormat="1" x14ac:dyDescent="0.2">
      <c r="A332" s="5"/>
    </row>
    <row r="333" spans="1:1" s="3" customFormat="1" x14ac:dyDescent="0.2">
      <c r="A333" s="5"/>
    </row>
    <row r="334" spans="1:1" s="3" customFormat="1" x14ac:dyDescent="0.2">
      <c r="A334" s="5"/>
    </row>
    <row r="335" spans="1:1" s="3" customFormat="1" x14ac:dyDescent="0.2">
      <c r="A335" s="5"/>
    </row>
    <row r="336" spans="1:1" s="3" customFormat="1" x14ac:dyDescent="0.2">
      <c r="A336" s="5"/>
    </row>
    <row r="337" spans="1:1" s="3" customFormat="1" x14ac:dyDescent="0.2">
      <c r="A337" s="5"/>
    </row>
    <row r="338" spans="1:1" s="3" customFormat="1" x14ac:dyDescent="0.2">
      <c r="A338" s="5"/>
    </row>
    <row r="339" spans="1:1" s="3" customFormat="1" x14ac:dyDescent="0.2">
      <c r="A339" s="5"/>
    </row>
    <row r="340" spans="1:1" s="3" customFormat="1" x14ac:dyDescent="0.2">
      <c r="A340" s="5"/>
    </row>
    <row r="341" spans="1:1" s="3" customFormat="1" x14ac:dyDescent="0.2">
      <c r="A341" s="5"/>
    </row>
    <row r="342" spans="1:1" s="3" customFormat="1" x14ac:dyDescent="0.2">
      <c r="A342" s="5"/>
    </row>
    <row r="343" spans="1:1" s="3" customFormat="1" x14ac:dyDescent="0.2">
      <c r="A343" s="5"/>
    </row>
    <row r="344" spans="1:1" s="3" customFormat="1" x14ac:dyDescent="0.2">
      <c r="A344" s="5"/>
    </row>
    <row r="345" spans="1:1" s="3" customFormat="1" x14ac:dyDescent="0.2">
      <c r="A345" s="5"/>
    </row>
    <row r="346" spans="1:1" s="3" customFormat="1" x14ac:dyDescent="0.2">
      <c r="A346" s="5"/>
    </row>
    <row r="347" spans="1:1" s="3" customFormat="1" x14ac:dyDescent="0.2">
      <c r="A347" s="5"/>
    </row>
    <row r="348" spans="1:1" s="3" customFormat="1" x14ac:dyDescent="0.2">
      <c r="A348" s="5"/>
    </row>
    <row r="349" spans="1:1" s="3" customFormat="1" x14ac:dyDescent="0.2">
      <c r="A349" s="5"/>
    </row>
    <row r="350" spans="1:1" s="3" customFormat="1" x14ac:dyDescent="0.2">
      <c r="A350" s="5"/>
    </row>
    <row r="351" spans="1:1" s="3" customFormat="1" x14ac:dyDescent="0.2">
      <c r="A351" s="5"/>
    </row>
    <row r="352" spans="1:1" s="3" customFormat="1" x14ac:dyDescent="0.2">
      <c r="A352" s="5"/>
    </row>
    <row r="353" spans="1:1" s="3" customFormat="1" x14ac:dyDescent="0.2">
      <c r="A353" s="5"/>
    </row>
    <row r="354" spans="1:1" s="3" customFormat="1" x14ac:dyDescent="0.2">
      <c r="A354" s="5"/>
    </row>
    <row r="355" spans="1:1" s="3" customFormat="1" x14ac:dyDescent="0.2">
      <c r="A355" s="5"/>
    </row>
    <row r="356" spans="1:1" s="3" customFormat="1" x14ac:dyDescent="0.2">
      <c r="A356" s="5"/>
    </row>
    <row r="357" spans="1:1" s="3" customFormat="1" x14ac:dyDescent="0.2">
      <c r="A357" s="5"/>
    </row>
    <row r="358" spans="1:1" s="3" customFormat="1" x14ac:dyDescent="0.2">
      <c r="A358" s="5"/>
    </row>
    <row r="359" spans="1:1" s="3" customFormat="1" x14ac:dyDescent="0.2">
      <c r="A359" s="5"/>
    </row>
    <row r="360" spans="1:1" s="3" customFormat="1" x14ac:dyDescent="0.2">
      <c r="A360" s="5"/>
    </row>
    <row r="361" spans="1:1" s="3" customFormat="1" x14ac:dyDescent="0.2">
      <c r="A361" s="5"/>
    </row>
    <row r="362" spans="1:1" s="3" customFormat="1" x14ac:dyDescent="0.2">
      <c r="A362" s="5"/>
    </row>
    <row r="363" spans="1:1" s="3" customFormat="1" x14ac:dyDescent="0.2">
      <c r="A363" s="5"/>
    </row>
    <row r="364" spans="1:1" s="3" customFormat="1" x14ac:dyDescent="0.2">
      <c r="A364" s="5"/>
    </row>
    <row r="365" spans="1:1" s="3" customFormat="1" x14ac:dyDescent="0.2">
      <c r="A365" s="5"/>
    </row>
    <row r="366" spans="1:1" s="3" customFormat="1" x14ac:dyDescent="0.2">
      <c r="A366" s="5"/>
    </row>
    <row r="367" spans="1:1" s="3" customFormat="1" x14ac:dyDescent="0.2">
      <c r="A367" s="5"/>
    </row>
    <row r="368" spans="1:1" s="3" customFormat="1" x14ac:dyDescent="0.2">
      <c r="A368" s="5"/>
    </row>
    <row r="369" spans="1:1" s="3" customFormat="1" x14ac:dyDescent="0.2">
      <c r="A369" s="5"/>
    </row>
    <row r="370" spans="1:1" s="3" customFormat="1" x14ac:dyDescent="0.2">
      <c r="A370" s="5"/>
    </row>
    <row r="371" spans="1:1" s="3" customFormat="1" x14ac:dyDescent="0.2">
      <c r="A371" s="5"/>
    </row>
    <row r="372" spans="1:1" s="3" customFormat="1" x14ac:dyDescent="0.2">
      <c r="A372" s="5"/>
    </row>
    <row r="373" spans="1:1" s="3" customFormat="1" x14ac:dyDescent="0.2">
      <c r="A373" s="5"/>
    </row>
    <row r="374" spans="1:1" s="3" customFormat="1" x14ac:dyDescent="0.2">
      <c r="A374" s="5"/>
    </row>
    <row r="375" spans="1:1" s="3" customFormat="1" x14ac:dyDescent="0.2">
      <c r="A375" s="5"/>
    </row>
    <row r="376" spans="1:1" s="3" customFormat="1" x14ac:dyDescent="0.2">
      <c r="A376" s="5"/>
    </row>
    <row r="377" spans="1:1" s="3" customFormat="1" x14ac:dyDescent="0.2">
      <c r="A377" s="5"/>
    </row>
    <row r="378" spans="1:1" s="3" customFormat="1" x14ac:dyDescent="0.2">
      <c r="A378" s="5"/>
    </row>
    <row r="379" spans="1:1" s="3" customFormat="1" x14ac:dyDescent="0.2">
      <c r="A379" s="5"/>
    </row>
    <row r="380" spans="1:1" s="3" customFormat="1" x14ac:dyDescent="0.2">
      <c r="A380" s="5"/>
    </row>
    <row r="381" spans="1:1" s="3" customFormat="1" x14ac:dyDescent="0.2">
      <c r="A381" s="5"/>
    </row>
    <row r="382" spans="1:1" s="3" customFormat="1" x14ac:dyDescent="0.2">
      <c r="A382" s="5"/>
    </row>
    <row r="383" spans="1:1" s="3" customFormat="1" x14ac:dyDescent="0.2">
      <c r="A383" s="5"/>
    </row>
    <row r="384" spans="1:1" s="3" customFormat="1" x14ac:dyDescent="0.2">
      <c r="A384" s="5"/>
    </row>
    <row r="385" spans="1:1" s="3" customFormat="1" x14ac:dyDescent="0.2">
      <c r="A385" s="5"/>
    </row>
    <row r="386" spans="1:1" s="3" customFormat="1" x14ac:dyDescent="0.2">
      <c r="A386" s="5"/>
    </row>
    <row r="387" spans="1:1" s="3" customFormat="1" x14ac:dyDescent="0.2">
      <c r="A387" s="5"/>
    </row>
    <row r="388" spans="1:1" s="3" customFormat="1" x14ac:dyDescent="0.2">
      <c r="A388" s="5"/>
    </row>
    <row r="389" spans="1:1" s="3" customFormat="1" x14ac:dyDescent="0.2">
      <c r="A389" s="5"/>
    </row>
    <row r="390" spans="1:1" s="3" customFormat="1" x14ac:dyDescent="0.2">
      <c r="A390" s="5"/>
    </row>
    <row r="391" spans="1:1" s="3" customFormat="1" x14ac:dyDescent="0.2">
      <c r="A391" s="5"/>
    </row>
    <row r="392" spans="1:1" s="3" customFormat="1" x14ac:dyDescent="0.2">
      <c r="A392" s="5"/>
    </row>
    <row r="393" spans="1:1" s="3" customFormat="1" x14ac:dyDescent="0.2">
      <c r="A393" s="5"/>
    </row>
    <row r="394" spans="1:1" s="3" customFormat="1" x14ac:dyDescent="0.2">
      <c r="A394" s="5"/>
    </row>
    <row r="395" spans="1:1" s="3" customFormat="1" x14ac:dyDescent="0.2">
      <c r="A395" s="5"/>
    </row>
    <row r="396" spans="1:1" s="3" customFormat="1" x14ac:dyDescent="0.2">
      <c r="A396" s="5"/>
    </row>
    <row r="397" spans="1:1" s="3" customFormat="1" x14ac:dyDescent="0.2">
      <c r="A397" s="5"/>
    </row>
    <row r="398" spans="1:1" s="3" customFormat="1" x14ac:dyDescent="0.2">
      <c r="A398" s="5"/>
    </row>
    <row r="399" spans="1:1" s="3" customFormat="1" x14ac:dyDescent="0.2">
      <c r="A399" s="5"/>
    </row>
    <row r="400" spans="1:1" s="3" customFormat="1" x14ac:dyDescent="0.2">
      <c r="A400" s="5"/>
    </row>
    <row r="401" spans="1:1" s="3" customFormat="1" x14ac:dyDescent="0.2">
      <c r="A401" s="5"/>
    </row>
    <row r="402" spans="1:1" s="3" customFormat="1" x14ac:dyDescent="0.2">
      <c r="A402" s="5"/>
    </row>
    <row r="403" spans="1:1" s="3" customFormat="1" x14ac:dyDescent="0.2">
      <c r="A403" s="5"/>
    </row>
    <row r="404" spans="1:1" s="3" customFormat="1" x14ac:dyDescent="0.2">
      <c r="A404" s="5"/>
    </row>
    <row r="405" spans="1:1" s="3" customFormat="1" x14ac:dyDescent="0.2">
      <c r="A405" s="5"/>
    </row>
    <row r="406" spans="1:1" s="3" customFormat="1" x14ac:dyDescent="0.2">
      <c r="A406" s="5"/>
    </row>
    <row r="407" spans="1:1" s="3" customFormat="1" x14ac:dyDescent="0.2">
      <c r="A407" s="5"/>
    </row>
    <row r="408" spans="1:1" s="3" customFormat="1" x14ac:dyDescent="0.2">
      <c r="A408" s="5"/>
    </row>
    <row r="409" spans="1:1" s="3" customFormat="1" x14ac:dyDescent="0.2">
      <c r="A409" s="5"/>
    </row>
    <row r="410" spans="1:1" s="3" customFormat="1" x14ac:dyDescent="0.2">
      <c r="A410" s="5"/>
    </row>
    <row r="411" spans="1:1" s="3" customFormat="1" x14ac:dyDescent="0.2">
      <c r="A411" s="5"/>
    </row>
    <row r="412" spans="1:1" s="3" customFormat="1" x14ac:dyDescent="0.2">
      <c r="A412" s="5"/>
    </row>
    <row r="413" spans="1:1" s="3" customFormat="1" x14ac:dyDescent="0.2">
      <c r="A413" s="5"/>
    </row>
    <row r="414" spans="1:1" s="3" customFormat="1" x14ac:dyDescent="0.2">
      <c r="A414" s="5"/>
    </row>
    <row r="415" spans="1:1" s="3" customFormat="1" x14ac:dyDescent="0.2">
      <c r="A415" s="5"/>
    </row>
    <row r="416" spans="1:1" s="3" customFormat="1" x14ac:dyDescent="0.2">
      <c r="A416" s="5"/>
    </row>
    <row r="417" spans="1:1" s="3" customFormat="1" x14ac:dyDescent="0.2">
      <c r="A417" s="5"/>
    </row>
    <row r="418" spans="1:1" s="3" customFormat="1" x14ac:dyDescent="0.2">
      <c r="A418" s="5"/>
    </row>
    <row r="419" spans="1:1" s="3" customFormat="1" x14ac:dyDescent="0.2">
      <c r="A419" s="5"/>
    </row>
    <row r="420" spans="1:1" s="3" customFormat="1" x14ac:dyDescent="0.2">
      <c r="A420" s="5"/>
    </row>
    <row r="421" spans="1:1" s="3" customFormat="1" x14ac:dyDescent="0.2">
      <c r="A421" s="5"/>
    </row>
    <row r="422" spans="1:1" s="3" customFormat="1" x14ac:dyDescent="0.2">
      <c r="A422" s="5"/>
    </row>
    <row r="423" spans="1:1" s="3" customFormat="1" x14ac:dyDescent="0.2">
      <c r="A423" s="5"/>
    </row>
    <row r="424" spans="1:1" s="3" customFormat="1" x14ac:dyDescent="0.2">
      <c r="A424" s="5"/>
    </row>
    <row r="425" spans="1:1" s="3" customFormat="1" x14ac:dyDescent="0.2">
      <c r="A425" s="5"/>
    </row>
    <row r="426" spans="1:1" s="3" customFormat="1" x14ac:dyDescent="0.2">
      <c r="A426" s="5"/>
    </row>
    <row r="427" spans="1:1" s="3" customFormat="1" x14ac:dyDescent="0.2">
      <c r="A427" s="5"/>
    </row>
    <row r="428" spans="1:1" s="3" customFormat="1" x14ac:dyDescent="0.2">
      <c r="A428" s="5"/>
    </row>
    <row r="429" spans="1:1" s="3" customFormat="1" x14ac:dyDescent="0.2">
      <c r="A429" s="5"/>
    </row>
    <row r="430" spans="1:1" s="3" customFormat="1" x14ac:dyDescent="0.2">
      <c r="A430" s="5"/>
    </row>
    <row r="431" spans="1:1" s="3" customFormat="1" x14ac:dyDescent="0.2">
      <c r="A431" s="5"/>
    </row>
    <row r="432" spans="1:1" s="3" customFormat="1" x14ac:dyDescent="0.2">
      <c r="A432" s="5"/>
    </row>
    <row r="433" spans="1:1" s="3" customFormat="1" x14ac:dyDescent="0.2">
      <c r="A433" s="5"/>
    </row>
    <row r="434" spans="1:1" s="3" customFormat="1" x14ac:dyDescent="0.2">
      <c r="A434" s="5"/>
    </row>
    <row r="435" spans="1:1" s="3" customFormat="1" x14ac:dyDescent="0.2">
      <c r="A435" s="5"/>
    </row>
    <row r="436" spans="1:1" s="3" customFormat="1" x14ac:dyDescent="0.2">
      <c r="A436" s="5"/>
    </row>
    <row r="437" spans="1:1" s="3" customFormat="1" x14ac:dyDescent="0.2">
      <c r="A437" s="5"/>
    </row>
    <row r="438" spans="1:1" s="3" customFormat="1" x14ac:dyDescent="0.2">
      <c r="A438" s="5"/>
    </row>
    <row r="439" spans="1:1" s="3" customFormat="1" x14ac:dyDescent="0.2">
      <c r="A439" s="5"/>
    </row>
    <row r="440" spans="1:1" s="3" customFormat="1" x14ac:dyDescent="0.2">
      <c r="A440" s="5"/>
    </row>
    <row r="441" spans="1:1" s="3" customFormat="1" x14ac:dyDescent="0.2">
      <c r="A441" s="5"/>
    </row>
    <row r="442" spans="1:1" s="3" customFormat="1" x14ac:dyDescent="0.2">
      <c r="A442" s="5"/>
    </row>
    <row r="443" spans="1:1" s="3" customFormat="1" x14ac:dyDescent="0.2">
      <c r="A443" s="5"/>
    </row>
    <row r="444" spans="1:1" s="3" customFormat="1" x14ac:dyDescent="0.2">
      <c r="A444" s="5"/>
    </row>
    <row r="445" spans="1:1" s="3" customFormat="1" x14ac:dyDescent="0.2">
      <c r="A445" s="5"/>
    </row>
    <row r="446" spans="1:1" s="3" customFormat="1" x14ac:dyDescent="0.2">
      <c r="A446" s="5"/>
    </row>
    <row r="447" spans="1:1" s="3" customFormat="1" x14ac:dyDescent="0.2">
      <c r="A447" s="5"/>
    </row>
    <row r="448" spans="1:1" s="3" customFormat="1" x14ac:dyDescent="0.2">
      <c r="A448" s="5"/>
    </row>
    <row r="449" spans="1:1" s="3" customFormat="1" x14ac:dyDescent="0.2">
      <c r="A449" s="5"/>
    </row>
    <row r="450" spans="1:1" s="3" customFormat="1" x14ac:dyDescent="0.2">
      <c r="A450" s="5"/>
    </row>
    <row r="451" spans="1:1" s="3" customFormat="1" x14ac:dyDescent="0.2">
      <c r="A451" s="5"/>
    </row>
    <row r="452" spans="1:1" s="3" customFormat="1" x14ac:dyDescent="0.2">
      <c r="A452" s="5"/>
    </row>
    <row r="453" spans="1:1" s="3" customFormat="1" x14ac:dyDescent="0.2">
      <c r="A453" s="5"/>
    </row>
    <row r="454" spans="1:1" s="3" customFormat="1" x14ac:dyDescent="0.2">
      <c r="A454" s="5"/>
    </row>
    <row r="455" spans="1:1" s="3" customFormat="1" x14ac:dyDescent="0.2">
      <c r="A455" s="5"/>
    </row>
    <row r="456" spans="1:1" s="3" customFormat="1" x14ac:dyDescent="0.2">
      <c r="A456" s="5"/>
    </row>
    <row r="457" spans="1:1" s="3" customFormat="1" x14ac:dyDescent="0.2">
      <c r="A457" s="5"/>
    </row>
    <row r="458" spans="1:1" s="3" customFormat="1" x14ac:dyDescent="0.2">
      <c r="A458" s="5"/>
    </row>
    <row r="459" spans="1:1" s="3" customFormat="1" x14ac:dyDescent="0.2">
      <c r="A459" s="5"/>
    </row>
    <row r="460" spans="1:1" s="3" customFormat="1" x14ac:dyDescent="0.2">
      <c r="A460" s="5"/>
    </row>
    <row r="461" spans="1:1" s="3" customFormat="1" x14ac:dyDescent="0.2">
      <c r="A461" s="5"/>
    </row>
    <row r="462" spans="1:1" s="3" customFormat="1" x14ac:dyDescent="0.2">
      <c r="A462" s="5"/>
    </row>
    <row r="463" spans="1:1" s="3" customFormat="1" x14ac:dyDescent="0.2">
      <c r="A463" s="5"/>
    </row>
    <row r="464" spans="1:1" s="3" customFormat="1" x14ac:dyDescent="0.2">
      <c r="A464" s="5"/>
    </row>
    <row r="465" spans="1:1" s="3" customFormat="1" x14ac:dyDescent="0.2">
      <c r="A465" s="5"/>
    </row>
    <row r="466" spans="1:1" s="3" customFormat="1" x14ac:dyDescent="0.2">
      <c r="A466" s="5"/>
    </row>
    <row r="467" spans="1:1" s="3" customFormat="1" x14ac:dyDescent="0.2">
      <c r="A467" s="5"/>
    </row>
    <row r="468" spans="1:1" s="3" customFormat="1" x14ac:dyDescent="0.2">
      <c r="A468" s="5"/>
    </row>
    <row r="469" spans="1:1" s="3" customFormat="1" x14ac:dyDescent="0.2">
      <c r="A469" s="5"/>
    </row>
    <row r="470" spans="1:1" s="3" customFormat="1" x14ac:dyDescent="0.2">
      <c r="A470" s="5"/>
    </row>
    <row r="471" spans="1:1" s="3" customFormat="1" x14ac:dyDescent="0.2">
      <c r="A471" s="5"/>
    </row>
    <row r="472" spans="1:1" s="3" customFormat="1" x14ac:dyDescent="0.2">
      <c r="A472" s="5"/>
    </row>
    <row r="473" spans="1:1" s="3" customFormat="1" x14ac:dyDescent="0.2">
      <c r="A473" s="5"/>
    </row>
    <row r="474" spans="1:1" s="3" customFormat="1" x14ac:dyDescent="0.2">
      <c r="A474" s="5"/>
    </row>
    <row r="475" spans="1:1" s="3" customFormat="1" x14ac:dyDescent="0.2">
      <c r="A475" s="5"/>
    </row>
    <row r="476" spans="1:1" s="3" customFormat="1" x14ac:dyDescent="0.2">
      <c r="A476" s="5"/>
    </row>
    <row r="477" spans="1:1" s="3" customFormat="1" x14ac:dyDescent="0.2">
      <c r="A477" s="5"/>
    </row>
    <row r="478" spans="1:1" s="3" customFormat="1" x14ac:dyDescent="0.2">
      <c r="A478" s="5"/>
    </row>
    <row r="479" spans="1:1" s="3" customFormat="1" x14ac:dyDescent="0.2">
      <c r="A479" s="5"/>
    </row>
    <row r="480" spans="1:1" s="3" customFormat="1" x14ac:dyDescent="0.2">
      <c r="A480" s="5"/>
    </row>
    <row r="481" spans="1:1" s="3" customFormat="1" x14ac:dyDescent="0.2">
      <c r="A481" s="5"/>
    </row>
    <row r="482" spans="1:1" s="3" customFormat="1" x14ac:dyDescent="0.2">
      <c r="A482" s="5"/>
    </row>
    <row r="483" spans="1:1" s="3" customFormat="1" x14ac:dyDescent="0.2">
      <c r="A483" s="5"/>
    </row>
    <row r="484" spans="1:1" s="3" customFormat="1" x14ac:dyDescent="0.2">
      <c r="A484" s="5"/>
    </row>
    <row r="485" spans="1:1" s="3" customFormat="1" x14ac:dyDescent="0.2">
      <c r="A485" s="5"/>
    </row>
    <row r="486" spans="1:1" s="3" customFormat="1" x14ac:dyDescent="0.2">
      <c r="A486" s="5"/>
    </row>
    <row r="487" spans="1:1" s="3" customFormat="1" x14ac:dyDescent="0.2">
      <c r="A487" s="5"/>
    </row>
    <row r="488" spans="1:1" s="3" customFormat="1" x14ac:dyDescent="0.2">
      <c r="A488" s="5"/>
    </row>
    <row r="489" spans="1:1" s="3" customFormat="1" x14ac:dyDescent="0.2">
      <c r="A489" s="5"/>
    </row>
    <row r="490" spans="1:1" s="3" customFormat="1" x14ac:dyDescent="0.2">
      <c r="A490" s="5"/>
    </row>
    <row r="491" spans="1:1" s="3" customFormat="1" x14ac:dyDescent="0.2">
      <c r="A491" s="5"/>
    </row>
    <row r="492" spans="1:1" s="3" customFormat="1" x14ac:dyDescent="0.2">
      <c r="A492" s="5"/>
    </row>
    <row r="493" spans="1:1" s="3" customFormat="1" x14ac:dyDescent="0.2">
      <c r="A493" s="5"/>
    </row>
    <row r="494" spans="1:1" s="3" customFormat="1" x14ac:dyDescent="0.2">
      <c r="A494" s="5"/>
    </row>
    <row r="495" spans="1:1" s="3" customFormat="1" x14ac:dyDescent="0.2">
      <c r="A495" s="5"/>
    </row>
    <row r="496" spans="1:1" s="3" customFormat="1" x14ac:dyDescent="0.2">
      <c r="A496" s="5"/>
    </row>
    <row r="497" spans="1:1" s="3" customFormat="1" x14ac:dyDescent="0.2">
      <c r="A497" s="5"/>
    </row>
    <row r="498" spans="1:1" s="3" customFormat="1" x14ac:dyDescent="0.2">
      <c r="A498" s="5"/>
    </row>
    <row r="499" spans="1:1" s="3" customFormat="1" x14ac:dyDescent="0.2">
      <c r="A499" s="5"/>
    </row>
    <row r="500" spans="1:1" s="3" customFormat="1" x14ac:dyDescent="0.2">
      <c r="A500" s="5"/>
    </row>
    <row r="501" spans="1:1" s="3" customFormat="1" x14ac:dyDescent="0.2">
      <c r="A501" s="5"/>
    </row>
    <row r="502" spans="1:1" s="3" customFormat="1" x14ac:dyDescent="0.2">
      <c r="A502" s="5"/>
    </row>
    <row r="503" spans="1:1" s="3" customFormat="1" x14ac:dyDescent="0.2">
      <c r="A503" s="5"/>
    </row>
    <row r="504" spans="1:1" s="3" customFormat="1" x14ac:dyDescent="0.2">
      <c r="A504" s="5"/>
    </row>
    <row r="505" spans="1:1" s="3" customFormat="1" x14ac:dyDescent="0.2">
      <c r="A505" s="5"/>
    </row>
    <row r="506" spans="1:1" s="3" customFormat="1" x14ac:dyDescent="0.2">
      <c r="A506" s="5"/>
    </row>
    <row r="507" spans="1:1" s="3" customFormat="1" x14ac:dyDescent="0.2">
      <c r="A507" s="5"/>
    </row>
    <row r="508" spans="1:1" s="3" customFormat="1" x14ac:dyDescent="0.2">
      <c r="A508" s="5"/>
    </row>
    <row r="509" spans="1:1" s="3" customFormat="1" x14ac:dyDescent="0.2">
      <c r="A509" s="5"/>
    </row>
    <row r="510" spans="1:1" s="3" customFormat="1" x14ac:dyDescent="0.2">
      <c r="A510" s="5"/>
    </row>
    <row r="511" spans="1:1" s="3" customFormat="1" x14ac:dyDescent="0.2">
      <c r="A511" s="5"/>
    </row>
    <row r="512" spans="1:1" s="3" customFormat="1" x14ac:dyDescent="0.2">
      <c r="A512" s="5"/>
    </row>
    <row r="513" spans="1:1" s="3" customFormat="1" x14ac:dyDescent="0.2">
      <c r="A513" s="5"/>
    </row>
    <row r="514" spans="1:1" s="3" customFormat="1" x14ac:dyDescent="0.2">
      <c r="A514" s="5"/>
    </row>
    <row r="515" spans="1:1" s="3" customFormat="1" x14ac:dyDescent="0.2">
      <c r="A515" s="5"/>
    </row>
    <row r="516" spans="1:1" s="3" customFormat="1" x14ac:dyDescent="0.2">
      <c r="A516" s="5"/>
    </row>
    <row r="517" spans="1:1" s="3" customFormat="1" x14ac:dyDescent="0.2">
      <c r="A517" s="5"/>
    </row>
    <row r="518" spans="1:1" s="3" customFormat="1" x14ac:dyDescent="0.2">
      <c r="A518" s="5"/>
    </row>
    <row r="519" spans="1:1" s="3" customFormat="1" x14ac:dyDescent="0.2">
      <c r="A519" s="5"/>
    </row>
    <row r="520" spans="1:1" s="3" customFormat="1" x14ac:dyDescent="0.2">
      <c r="A520" s="5"/>
    </row>
    <row r="521" spans="1:1" s="3" customFormat="1" x14ac:dyDescent="0.2">
      <c r="A521" s="5"/>
    </row>
    <row r="522" spans="1:1" s="3" customFormat="1" x14ac:dyDescent="0.2">
      <c r="A522" s="5"/>
    </row>
    <row r="523" spans="1:1" s="3" customFormat="1" x14ac:dyDescent="0.2">
      <c r="A523" s="5"/>
    </row>
    <row r="524" spans="1:1" s="3" customFormat="1" x14ac:dyDescent="0.2">
      <c r="A524" s="5"/>
    </row>
    <row r="525" spans="1:1" s="3" customFormat="1" x14ac:dyDescent="0.2">
      <c r="A525" s="5"/>
    </row>
    <row r="526" spans="1:1" s="3" customFormat="1" x14ac:dyDescent="0.2">
      <c r="A526" s="5"/>
    </row>
    <row r="527" spans="1:1" s="3" customFormat="1" x14ac:dyDescent="0.2">
      <c r="A527" s="5"/>
    </row>
    <row r="528" spans="1:1" s="3" customFormat="1" x14ac:dyDescent="0.2">
      <c r="A528" s="5"/>
    </row>
    <row r="529" spans="1:1" s="3" customFormat="1" x14ac:dyDescent="0.2">
      <c r="A529" s="5"/>
    </row>
    <row r="530" spans="1:1" s="3" customFormat="1" x14ac:dyDescent="0.2">
      <c r="A530" s="5"/>
    </row>
    <row r="531" spans="1:1" s="3" customFormat="1" x14ac:dyDescent="0.2">
      <c r="A531" s="5"/>
    </row>
    <row r="532" spans="1:1" s="3" customFormat="1" x14ac:dyDescent="0.2">
      <c r="A532" s="5"/>
    </row>
    <row r="533" spans="1:1" s="3" customFormat="1" x14ac:dyDescent="0.2">
      <c r="A533" s="5"/>
    </row>
    <row r="534" spans="1:1" s="3" customFormat="1" x14ac:dyDescent="0.2">
      <c r="A534" s="5"/>
    </row>
    <row r="535" spans="1:1" s="3" customFormat="1" x14ac:dyDescent="0.2">
      <c r="A535" s="5"/>
    </row>
    <row r="536" spans="1:1" s="3" customFormat="1" x14ac:dyDescent="0.2">
      <c r="A536" s="5"/>
    </row>
    <row r="537" spans="1:1" s="3" customFormat="1" x14ac:dyDescent="0.2">
      <c r="A537" s="5"/>
    </row>
    <row r="538" spans="1:1" s="3" customFormat="1" x14ac:dyDescent="0.2">
      <c r="A538" s="5"/>
    </row>
    <row r="539" spans="1:1" s="3" customFormat="1" x14ac:dyDescent="0.2">
      <c r="A539" s="5"/>
    </row>
    <row r="540" spans="1:1" s="3" customFormat="1" x14ac:dyDescent="0.2">
      <c r="A540" s="5"/>
    </row>
    <row r="541" spans="1:1" s="3" customFormat="1" x14ac:dyDescent="0.2">
      <c r="A541" s="5"/>
    </row>
    <row r="542" spans="1:1" s="3" customFormat="1" x14ac:dyDescent="0.2">
      <c r="A542" s="5"/>
    </row>
    <row r="543" spans="1:1" s="3" customFormat="1" x14ac:dyDescent="0.2">
      <c r="A543" s="5"/>
    </row>
    <row r="544" spans="1:1" s="3" customFormat="1" x14ac:dyDescent="0.2">
      <c r="A544" s="5"/>
    </row>
    <row r="545" spans="1:1" s="3" customFormat="1" x14ac:dyDescent="0.2">
      <c r="A545" s="5"/>
    </row>
    <row r="546" spans="1:1" s="3" customFormat="1" x14ac:dyDescent="0.2">
      <c r="A546" s="5"/>
    </row>
    <row r="547" spans="1:1" s="3" customFormat="1" x14ac:dyDescent="0.2">
      <c r="A547" s="5"/>
    </row>
    <row r="548" spans="1:1" s="3" customFormat="1" x14ac:dyDescent="0.2">
      <c r="A548" s="5"/>
    </row>
    <row r="549" spans="1:1" s="3" customFormat="1" x14ac:dyDescent="0.2">
      <c r="A549" s="5"/>
    </row>
    <row r="550" spans="1:1" s="3" customFormat="1" x14ac:dyDescent="0.2">
      <c r="A550" s="5"/>
    </row>
    <row r="551" spans="1:1" s="3" customFormat="1" x14ac:dyDescent="0.2">
      <c r="A551" s="5"/>
    </row>
    <row r="552" spans="1:1" s="3" customFormat="1" x14ac:dyDescent="0.2">
      <c r="A552" s="5"/>
    </row>
    <row r="553" spans="1:1" s="3" customFormat="1" x14ac:dyDescent="0.2">
      <c r="A553" s="5"/>
    </row>
    <row r="554" spans="1:1" s="3" customFormat="1" x14ac:dyDescent="0.2">
      <c r="A554" s="5"/>
    </row>
    <row r="555" spans="1:1" s="3" customFormat="1" x14ac:dyDescent="0.2">
      <c r="A555" s="5"/>
    </row>
    <row r="556" spans="1:1" s="3" customFormat="1" x14ac:dyDescent="0.2">
      <c r="A556" s="5"/>
    </row>
    <row r="557" spans="1:1" s="3" customFormat="1" x14ac:dyDescent="0.2">
      <c r="A557" s="5"/>
    </row>
    <row r="558" spans="1:1" s="3" customFormat="1" x14ac:dyDescent="0.2">
      <c r="A558" s="5"/>
    </row>
    <row r="559" spans="1:1" s="3" customFormat="1" x14ac:dyDescent="0.2">
      <c r="A559" s="5"/>
    </row>
    <row r="560" spans="1:1" s="3" customFormat="1" x14ac:dyDescent="0.2">
      <c r="A560" s="5"/>
    </row>
    <row r="561" spans="1:1" s="3" customFormat="1" x14ac:dyDescent="0.2">
      <c r="A561" s="5"/>
    </row>
    <row r="562" spans="1:1" s="3" customFormat="1" x14ac:dyDescent="0.2">
      <c r="A562" s="5"/>
    </row>
    <row r="563" spans="1:1" s="3" customFormat="1" x14ac:dyDescent="0.2">
      <c r="A563" s="5"/>
    </row>
    <row r="564" spans="1:1" s="3" customFormat="1" x14ac:dyDescent="0.2">
      <c r="A564" s="5"/>
    </row>
    <row r="565" spans="1:1" s="3" customFormat="1" x14ac:dyDescent="0.2">
      <c r="A565" s="5"/>
    </row>
    <row r="566" spans="1:1" s="3" customFormat="1" x14ac:dyDescent="0.2">
      <c r="A566" s="5"/>
    </row>
    <row r="567" spans="1:1" s="3" customFormat="1" x14ac:dyDescent="0.2">
      <c r="A567" s="5"/>
    </row>
    <row r="568" spans="1:1" s="3" customFormat="1" x14ac:dyDescent="0.2">
      <c r="A568" s="5"/>
    </row>
    <row r="569" spans="1:1" s="3" customFormat="1" x14ac:dyDescent="0.2">
      <c r="A569" s="5"/>
    </row>
    <row r="570" spans="1:1" s="3" customFormat="1" x14ac:dyDescent="0.2">
      <c r="A570" s="5"/>
    </row>
    <row r="571" spans="1:1" s="3" customFormat="1" x14ac:dyDescent="0.2">
      <c r="A571" s="5"/>
    </row>
    <row r="572" spans="1:1" s="3" customFormat="1" x14ac:dyDescent="0.2">
      <c r="A572" s="5"/>
    </row>
    <row r="573" spans="1:1" s="3" customFormat="1" x14ac:dyDescent="0.2">
      <c r="A573" s="5"/>
    </row>
    <row r="574" spans="1:1" s="3" customFormat="1" x14ac:dyDescent="0.2">
      <c r="A574" s="5"/>
    </row>
    <row r="575" spans="1:1" s="3" customFormat="1" x14ac:dyDescent="0.2">
      <c r="A575" s="5"/>
    </row>
    <row r="576" spans="1:1" s="3" customFormat="1" x14ac:dyDescent="0.2">
      <c r="A576" s="5"/>
    </row>
    <row r="577" spans="1:1" s="3" customFormat="1" x14ac:dyDescent="0.2">
      <c r="A577" s="5"/>
    </row>
    <row r="578" spans="1:1" s="3" customFormat="1" x14ac:dyDescent="0.2">
      <c r="A578" s="5"/>
    </row>
    <row r="579" spans="1:1" s="3" customFormat="1" x14ac:dyDescent="0.2">
      <c r="A579" s="5"/>
    </row>
    <row r="580" spans="1:1" s="3" customFormat="1" x14ac:dyDescent="0.2">
      <c r="A580" s="5"/>
    </row>
    <row r="581" spans="1:1" s="3" customFormat="1" x14ac:dyDescent="0.2">
      <c r="A581" s="5"/>
    </row>
    <row r="582" spans="1:1" s="3" customFormat="1" x14ac:dyDescent="0.2">
      <c r="A582" s="5"/>
    </row>
    <row r="583" spans="1:1" s="3" customFormat="1" x14ac:dyDescent="0.2">
      <c r="A583" s="5"/>
    </row>
    <row r="584" spans="1:1" s="3" customFormat="1" x14ac:dyDescent="0.2">
      <c r="A584" s="5"/>
    </row>
    <row r="585" spans="1:1" s="3" customFormat="1" x14ac:dyDescent="0.2">
      <c r="A585" s="5"/>
    </row>
    <row r="586" spans="1:1" s="3" customFormat="1" x14ac:dyDescent="0.2">
      <c r="A586" s="5"/>
    </row>
    <row r="587" spans="1:1" s="3" customFormat="1" x14ac:dyDescent="0.2">
      <c r="A587" s="5"/>
    </row>
    <row r="588" spans="1:1" s="3" customFormat="1" x14ac:dyDescent="0.2">
      <c r="A588" s="5"/>
    </row>
    <row r="589" spans="1:1" s="3" customFormat="1" x14ac:dyDescent="0.2">
      <c r="A589" s="5"/>
    </row>
    <row r="590" spans="1:1" s="3" customFormat="1" x14ac:dyDescent="0.2">
      <c r="A590" s="5"/>
    </row>
    <row r="591" spans="1:1" s="3" customFormat="1" x14ac:dyDescent="0.2">
      <c r="A591" s="5"/>
    </row>
    <row r="592" spans="1:1" s="3" customFormat="1" x14ac:dyDescent="0.2">
      <c r="A592" s="5"/>
    </row>
    <row r="593" spans="1:1" s="3" customFormat="1" x14ac:dyDescent="0.2">
      <c r="A593" s="5"/>
    </row>
    <row r="594" spans="1:1" s="3" customFormat="1" x14ac:dyDescent="0.2">
      <c r="A594" s="5"/>
    </row>
    <row r="595" spans="1:1" s="3" customFormat="1" x14ac:dyDescent="0.2">
      <c r="A595" s="5"/>
    </row>
    <row r="596" spans="1:1" s="3" customFormat="1" x14ac:dyDescent="0.2">
      <c r="A596" s="5"/>
    </row>
    <row r="597" spans="1:1" s="3" customFormat="1" x14ac:dyDescent="0.2">
      <c r="A597" s="5"/>
    </row>
    <row r="598" spans="1:1" s="3" customFormat="1" x14ac:dyDescent="0.2">
      <c r="A598" s="5"/>
    </row>
    <row r="599" spans="1:1" s="3" customFormat="1" x14ac:dyDescent="0.2">
      <c r="A599" s="5"/>
    </row>
    <row r="600" spans="1:1" s="3" customFormat="1" x14ac:dyDescent="0.2">
      <c r="A600" s="5"/>
    </row>
    <row r="601" spans="1:1" s="3" customFormat="1" x14ac:dyDescent="0.2">
      <c r="A601" s="5"/>
    </row>
    <row r="602" spans="1:1" s="3" customFormat="1" x14ac:dyDescent="0.2">
      <c r="A602" s="5"/>
    </row>
    <row r="603" spans="1:1" s="3" customFormat="1" x14ac:dyDescent="0.2">
      <c r="A603" s="5"/>
    </row>
    <row r="604" spans="1:1" s="3" customFormat="1" x14ac:dyDescent="0.2">
      <c r="A604" s="5"/>
    </row>
    <row r="605" spans="1:1" s="3" customFormat="1" x14ac:dyDescent="0.2">
      <c r="A605" s="5"/>
    </row>
    <row r="606" spans="1:1" s="3" customFormat="1" x14ac:dyDescent="0.2">
      <c r="A606" s="5"/>
    </row>
    <row r="607" spans="1:1" s="3" customFormat="1" x14ac:dyDescent="0.2">
      <c r="A607" s="5"/>
    </row>
    <row r="608" spans="1:1" s="3" customFormat="1" x14ac:dyDescent="0.2">
      <c r="A608" s="5"/>
    </row>
    <row r="609" spans="1:1" s="3" customFormat="1" x14ac:dyDescent="0.2">
      <c r="A609" s="5"/>
    </row>
    <row r="610" spans="1:1" s="3" customFormat="1" x14ac:dyDescent="0.2">
      <c r="A610" s="5"/>
    </row>
    <row r="611" spans="1:1" s="3" customFormat="1" x14ac:dyDescent="0.2">
      <c r="A611" s="5"/>
    </row>
    <row r="612" spans="1:1" s="3" customFormat="1" x14ac:dyDescent="0.2">
      <c r="A612" s="5"/>
    </row>
    <row r="613" spans="1:1" s="3" customFormat="1" x14ac:dyDescent="0.2">
      <c r="A613" s="5"/>
    </row>
    <row r="614" spans="1:1" s="3" customFormat="1" x14ac:dyDescent="0.2">
      <c r="A614" s="5"/>
    </row>
    <row r="615" spans="1:1" s="3" customFormat="1" x14ac:dyDescent="0.2">
      <c r="A615" s="5"/>
    </row>
    <row r="616" spans="1:1" s="3" customFormat="1" x14ac:dyDescent="0.2">
      <c r="A616" s="5"/>
    </row>
    <row r="617" spans="1:1" s="3" customFormat="1" x14ac:dyDescent="0.2">
      <c r="A617" s="5"/>
    </row>
    <row r="618" spans="1:1" s="3" customFormat="1" x14ac:dyDescent="0.2">
      <c r="A618" s="5"/>
    </row>
    <row r="619" spans="1:1" s="3" customFormat="1" x14ac:dyDescent="0.2">
      <c r="A619" s="5"/>
    </row>
    <row r="620" spans="1:1" s="3" customFormat="1" x14ac:dyDescent="0.2">
      <c r="A620" s="5"/>
    </row>
    <row r="621" spans="1:1" s="3" customFormat="1" x14ac:dyDescent="0.2">
      <c r="A621" s="5"/>
    </row>
    <row r="622" spans="1:1" s="3" customFormat="1" x14ac:dyDescent="0.2">
      <c r="A622" s="5"/>
    </row>
    <row r="623" spans="1:1" s="3" customFormat="1" x14ac:dyDescent="0.2">
      <c r="A623" s="5"/>
    </row>
    <row r="624" spans="1:1" s="3" customFormat="1" x14ac:dyDescent="0.2">
      <c r="A624" s="5"/>
    </row>
    <row r="625" spans="1:1" s="3" customFormat="1" x14ac:dyDescent="0.2">
      <c r="A625" s="5"/>
    </row>
    <row r="626" spans="1:1" s="3" customFormat="1" x14ac:dyDescent="0.2">
      <c r="A626" s="5"/>
    </row>
    <row r="627" spans="1:1" s="3" customFormat="1" x14ac:dyDescent="0.2">
      <c r="A627" s="5"/>
    </row>
    <row r="628" spans="1:1" s="3" customFormat="1" x14ac:dyDescent="0.2">
      <c r="A628" s="5"/>
    </row>
    <row r="629" spans="1:1" s="3" customFormat="1" x14ac:dyDescent="0.2">
      <c r="A629" s="5"/>
    </row>
    <row r="630" spans="1:1" s="3" customFormat="1" x14ac:dyDescent="0.2">
      <c r="A630" s="5"/>
    </row>
    <row r="631" spans="1:1" s="3" customFormat="1" x14ac:dyDescent="0.2">
      <c r="A631" s="5"/>
    </row>
    <row r="632" spans="1:1" s="3" customFormat="1" x14ac:dyDescent="0.2">
      <c r="A632" s="5"/>
    </row>
    <row r="633" spans="1:1" s="3" customFormat="1" x14ac:dyDescent="0.2">
      <c r="A633" s="5"/>
    </row>
    <row r="634" spans="1:1" s="3" customFormat="1" x14ac:dyDescent="0.2">
      <c r="A634" s="5"/>
    </row>
    <row r="635" spans="1:1" s="3" customFormat="1" x14ac:dyDescent="0.2">
      <c r="A635" s="5"/>
    </row>
    <row r="636" spans="1:1" s="3" customFormat="1" x14ac:dyDescent="0.2">
      <c r="A636" s="5"/>
    </row>
    <row r="637" spans="1:1" s="3" customFormat="1" x14ac:dyDescent="0.2">
      <c r="A637" s="5"/>
    </row>
    <row r="638" spans="1:1" s="3" customFormat="1" x14ac:dyDescent="0.2">
      <c r="A638" s="5"/>
    </row>
    <row r="639" spans="1:1" s="3" customFormat="1" x14ac:dyDescent="0.2">
      <c r="A639" s="5"/>
    </row>
    <row r="640" spans="1:1" s="3" customFormat="1" x14ac:dyDescent="0.2">
      <c r="A640" s="5"/>
    </row>
    <row r="641" spans="1:1" s="3" customFormat="1" x14ac:dyDescent="0.2">
      <c r="A641" s="5"/>
    </row>
    <row r="642" spans="1:1" s="3" customFormat="1" x14ac:dyDescent="0.2">
      <c r="A642" s="5"/>
    </row>
    <row r="643" spans="1:1" s="3" customFormat="1" x14ac:dyDescent="0.2">
      <c r="A643" s="5"/>
    </row>
    <row r="644" spans="1:1" s="3" customFormat="1" x14ac:dyDescent="0.2">
      <c r="A644" s="5"/>
    </row>
    <row r="645" spans="1:1" s="3" customFormat="1" x14ac:dyDescent="0.2">
      <c r="A645" s="5"/>
    </row>
  </sheetData>
  <mergeCells count="13">
    <mergeCell ref="U8:V8"/>
    <mergeCell ref="X8:Y8"/>
    <mergeCell ref="AA8:AB8"/>
    <mergeCell ref="B5:Z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9DAF9030-44C4-42CE-B9BF-3DBEAF3B13F6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2561-68BC-4EEC-96CD-CCBB123A2DCA}">
  <sheetPr>
    <pageSetUpPr fitToPage="1"/>
  </sheetPr>
  <dimension ref="A1:AG69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7.85546875" style="264" customWidth="1"/>
    <col min="3" max="3" width="1.7109375" style="292" customWidth="1" collapsed="1"/>
    <col min="4" max="4" width="18.7109375" style="292" customWidth="1" collapsed="1"/>
    <col min="5" max="5" width="1.7109375" style="292" customWidth="1"/>
    <col min="6" max="6" width="14.85546875" style="292" customWidth="1" collapsed="1"/>
    <col min="7" max="7" width="11.42578125" style="264" customWidth="1" collapsed="1"/>
    <col min="8" max="8" width="1.7109375" style="264" customWidth="1" collapsed="1"/>
    <col min="9" max="9" width="16.42578125" style="264" customWidth="1" collapsed="1"/>
    <col min="10" max="10" width="11.42578125" style="264" customWidth="1" collapsed="1"/>
    <col min="11" max="11" width="1.7109375" style="264" customWidth="1" collapsed="1"/>
    <col min="12" max="12" width="16.28515625" style="264" customWidth="1" collapsed="1"/>
    <col min="13" max="13" width="11.42578125" style="264" customWidth="1" collapsed="1"/>
    <col min="14" max="14" width="1.7109375" style="264" customWidth="1" collapsed="1"/>
    <col min="15" max="15" width="17.28515625" style="264" customWidth="1" collapsed="1"/>
    <col min="16" max="16" width="10.85546875" style="264" customWidth="1" collapsed="1"/>
    <col min="17" max="17" width="1.7109375" style="264" customWidth="1" collapsed="1"/>
    <col min="18" max="18" width="16.42578125" style="264" customWidth="1" collapsed="1"/>
    <col min="19" max="19" width="11.42578125" style="264"/>
    <col min="20" max="20" width="1.7109375" style="264" customWidth="1"/>
    <col min="21" max="21" width="18.5703125" style="264" customWidth="1"/>
    <col min="22" max="22" width="11.42578125" style="264"/>
    <col min="23" max="23" width="1.7109375" style="264" customWidth="1"/>
    <col min="24" max="24" width="18.140625" style="264" customWidth="1"/>
    <col min="25" max="25" width="11.42578125" style="264"/>
    <col min="26" max="26" width="1.7109375" style="264" customWidth="1"/>
    <col min="27" max="27" width="17.140625" style="264" customWidth="1"/>
    <col min="28" max="30" width="11.42578125" style="264"/>
    <col min="31" max="31" width="11.42578125" style="264" collapsed="1"/>
    <col min="32" max="33" width="11.42578125" style="264"/>
    <col min="34" max="16384" width="11.42578125" style="264" collapsed="1"/>
  </cols>
  <sheetData>
    <row r="1" spans="1:28" s="260" customFormat="1" ht="14.1" customHeight="1" x14ac:dyDescent="0.2">
      <c r="A1" s="66"/>
      <c r="B1" s="484" t="s">
        <v>144</v>
      </c>
      <c r="C1" s="258"/>
      <c r="D1" s="259"/>
      <c r="E1" s="259"/>
      <c r="F1" s="259"/>
      <c r="AB1" s="85" t="s">
        <v>118</v>
      </c>
    </row>
    <row r="2" spans="1:28" s="260" customFormat="1" ht="6.95" customHeight="1" x14ac:dyDescent="0.2">
      <c r="A2" s="66"/>
      <c r="B2" s="484"/>
      <c r="C2" s="258"/>
      <c r="D2" s="259"/>
      <c r="E2" s="259"/>
      <c r="F2" s="259"/>
    </row>
    <row r="3" spans="1:28" s="260" customFormat="1" ht="14.1" customHeight="1" x14ac:dyDescent="0.2">
      <c r="A3" s="66"/>
      <c r="B3" s="484" t="s">
        <v>142</v>
      </c>
      <c r="C3" s="261"/>
      <c r="D3" s="261"/>
      <c r="E3" s="261"/>
      <c r="F3" s="261"/>
      <c r="G3" s="261"/>
    </row>
    <row r="4" spans="1:28" s="260" customFormat="1" ht="6.95" customHeight="1" x14ac:dyDescent="0.2">
      <c r="A4" s="66"/>
      <c r="C4" s="258"/>
      <c r="D4" s="258"/>
      <c r="E4" s="258"/>
      <c r="F4" s="258"/>
    </row>
    <row r="5" spans="1:28" s="260" customFormat="1" ht="20.100000000000001" customHeight="1" x14ac:dyDescent="0.2">
      <c r="A5" s="66"/>
      <c r="B5" s="563" t="s">
        <v>69</v>
      </c>
      <c r="C5" s="563"/>
      <c r="D5" s="563"/>
      <c r="E5" s="563"/>
      <c r="F5" s="563"/>
      <c r="G5" s="563"/>
      <c r="H5" s="563"/>
      <c r="I5" s="563"/>
      <c r="J5" s="563"/>
      <c r="K5" s="563"/>
      <c r="L5" s="563"/>
      <c r="M5" s="563"/>
      <c r="N5" s="563"/>
      <c r="O5" s="563"/>
      <c r="P5" s="563"/>
      <c r="Q5" s="563"/>
      <c r="R5" s="563"/>
      <c r="AB5" s="75" t="s">
        <v>93</v>
      </c>
    </row>
    <row r="6" spans="1:28" ht="6" customHeight="1" x14ac:dyDescent="0.2">
      <c r="A6" s="66"/>
      <c r="B6" s="262"/>
      <c r="C6" s="564"/>
      <c r="D6" s="564"/>
      <c r="E6" s="564"/>
      <c r="F6" s="565"/>
      <c r="G6" s="565"/>
      <c r="H6" s="565"/>
      <c r="I6" s="565"/>
      <c r="J6" s="565"/>
      <c r="K6" s="565"/>
      <c r="L6" s="565"/>
      <c r="M6" s="566"/>
      <c r="N6" s="566"/>
      <c r="O6" s="566"/>
      <c r="P6" s="263"/>
    </row>
    <row r="7" spans="1:28" ht="15" customHeight="1" x14ac:dyDescent="0.2">
      <c r="A7" s="66"/>
      <c r="B7" s="535" t="s">
        <v>1</v>
      </c>
      <c r="C7" s="535"/>
      <c r="D7" s="567" t="s">
        <v>23</v>
      </c>
      <c r="E7" s="265"/>
      <c r="F7" s="562" t="s">
        <v>65</v>
      </c>
      <c r="G7" s="562"/>
      <c r="H7" s="562"/>
      <c r="I7" s="562"/>
      <c r="J7" s="562"/>
      <c r="K7" s="562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562"/>
      <c r="W7" s="562"/>
      <c r="X7" s="562"/>
      <c r="Y7" s="562"/>
      <c r="Z7" s="562"/>
      <c r="AA7" s="562"/>
      <c r="AB7" s="562"/>
    </row>
    <row r="8" spans="1:28" ht="27" customHeight="1" x14ac:dyDescent="0.2">
      <c r="A8" s="66"/>
      <c r="B8" s="536"/>
      <c r="C8" s="536"/>
      <c r="D8" s="568"/>
      <c r="E8" s="266"/>
      <c r="F8" s="562" t="s">
        <v>66</v>
      </c>
      <c r="G8" s="562"/>
      <c r="H8" s="265"/>
      <c r="I8" s="562" t="s">
        <v>67</v>
      </c>
      <c r="J8" s="562"/>
      <c r="K8" s="267"/>
      <c r="L8" s="562" t="s">
        <v>68</v>
      </c>
      <c r="M8" s="562"/>
      <c r="N8" s="267"/>
      <c r="O8" s="562" t="s">
        <v>80</v>
      </c>
      <c r="P8" s="562"/>
      <c r="Q8" s="268"/>
      <c r="R8" s="562" t="s">
        <v>81</v>
      </c>
      <c r="S8" s="562"/>
      <c r="T8" s="267"/>
      <c r="U8" s="562" t="s">
        <v>82</v>
      </c>
      <c r="V8" s="562"/>
      <c r="W8" s="268"/>
      <c r="X8" s="562" t="s">
        <v>83</v>
      </c>
      <c r="Y8" s="562"/>
      <c r="Z8" s="269"/>
      <c r="AA8" s="562" t="s">
        <v>19</v>
      </c>
      <c r="AB8" s="562"/>
    </row>
    <row r="9" spans="1:28" ht="15" customHeight="1" x14ac:dyDescent="0.2">
      <c r="A9" s="12"/>
      <c r="B9" s="537"/>
      <c r="C9" s="537"/>
      <c r="D9" s="569"/>
      <c r="E9" s="270"/>
      <c r="F9" s="65" t="s">
        <v>13</v>
      </c>
      <c r="G9" s="65" t="s">
        <v>14</v>
      </c>
      <c r="H9" s="270"/>
      <c r="I9" s="65" t="s">
        <v>13</v>
      </c>
      <c r="J9" s="65" t="s">
        <v>14</v>
      </c>
      <c r="K9" s="271"/>
      <c r="L9" s="65" t="s">
        <v>13</v>
      </c>
      <c r="M9" s="65" t="s">
        <v>14</v>
      </c>
      <c r="N9" s="271"/>
      <c r="O9" s="65" t="s">
        <v>13</v>
      </c>
      <c r="P9" s="65" t="s">
        <v>14</v>
      </c>
      <c r="Q9" s="272"/>
      <c r="R9" s="65" t="s">
        <v>13</v>
      </c>
      <c r="S9" s="65" t="s">
        <v>14</v>
      </c>
      <c r="T9" s="272"/>
      <c r="U9" s="65" t="s">
        <v>13</v>
      </c>
      <c r="V9" s="65" t="s">
        <v>14</v>
      </c>
      <c r="W9" s="272"/>
      <c r="X9" s="65" t="s">
        <v>13</v>
      </c>
      <c r="Y9" s="65" t="s">
        <v>14</v>
      </c>
      <c r="Z9" s="272"/>
      <c r="AA9" s="65" t="s">
        <v>13</v>
      </c>
      <c r="AB9" s="65" t="s">
        <v>14</v>
      </c>
    </row>
    <row r="10" spans="1:28" ht="6" customHeight="1" x14ac:dyDescent="0.2">
      <c r="A10" s="67"/>
      <c r="B10" s="273"/>
      <c r="C10" s="273"/>
      <c r="D10" s="274"/>
      <c r="E10" s="274"/>
      <c r="F10" s="274"/>
      <c r="G10" s="275"/>
      <c r="H10" s="275"/>
      <c r="I10" s="276"/>
      <c r="J10" s="277"/>
      <c r="K10" s="277"/>
      <c r="L10" s="277"/>
      <c r="M10" s="277"/>
      <c r="N10" s="277"/>
      <c r="O10" s="277"/>
      <c r="P10" s="277"/>
    </row>
    <row r="11" spans="1:28" s="280" customFormat="1" ht="15" x14ac:dyDescent="0.2">
      <c r="A11" s="17"/>
      <c r="B11" s="10" t="s">
        <v>5</v>
      </c>
      <c r="C11" s="278"/>
      <c r="D11" s="159">
        <v>245318.59867594499</v>
      </c>
      <c r="E11" s="279"/>
      <c r="F11" s="159">
        <v>105159.665953823</v>
      </c>
      <c r="G11" s="159">
        <v>0.28156919000000002</v>
      </c>
      <c r="H11" s="279"/>
      <c r="I11" s="159">
        <v>106494.64090927099</v>
      </c>
      <c r="J11" s="159">
        <v>0.29370140490000002</v>
      </c>
      <c r="K11" s="50"/>
      <c r="L11" s="159">
        <v>117204.406621423</v>
      </c>
      <c r="M11" s="159">
        <v>0.31149585940000002</v>
      </c>
      <c r="N11" s="279"/>
      <c r="O11" s="159">
        <v>84529.030026779394</v>
      </c>
      <c r="P11" s="159">
        <v>0.22844843719999999</v>
      </c>
      <c r="Q11" s="279"/>
      <c r="R11" s="159">
        <v>90429.750290003998</v>
      </c>
      <c r="S11" s="159">
        <v>0.2409586024</v>
      </c>
      <c r="T11" s="51"/>
      <c r="U11" s="159">
        <v>77598.471532634794</v>
      </c>
      <c r="V11" s="159">
        <v>0.20398478210000001</v>
      </c>
      <c r="X11" s="159">
        <v>114638.189481441</v>
      </c>
      <c r="Y11" s="159">
        <v>0.29257043160000001</v>
      </c>
      <c r="AA11" s="159">
        <v>49264.164855567702</v>
      </c>
      <c r="AB11" s="159">
        <v>0.13866907749999999</v>
      </c>
    </row>
    <row r="12" spans="1:28" ht="6" customHeight="1" x14ac:dyDescent="0.2">
      <c r="A12" s="11"/>
      <c r="B12" s="13"/>
      <c r="C12" s="281"/>
      <c r="D12" s="95"/>
      <c r="E12" s="279"/>
      <c r="F12" s="95"/>
      <c r="G12" s="96"/>
      <c r="H12" s="279"/>
      <c r="I12" s="95"/>
      <c r="J12" s="96"/>
      <c r="K12" s="50"/>
      <c r="L12" s="95"/>
      <c r="M12" s="96"/>
      <c r="N12" s="279"/>
      <c r="O12" s="95"/>
      <c r="P12" s="96"/>
      <c r="Q12" s="279"/>
      <c r="R12" s="95"/>
      <c r="S12" s="96"/>
      <c r="T12" s="50"/>
      <c r="U12" s="95"/>
      <c r="V12" s="96"/>
      <c r="X12" s="95"/>
      <c r="Y12" s="96"/>
      <c r="AA12" s="95"/>
      <c r="AB12" s="96"/>
    </row>
    <row r="13" spans="1:28" ht="12.75" customHeight="1" x14ac:dyDescent="0.2">
      <c r="A13" s="11"/>
      <c r="B13" s="22" t="s">
        <v>6</v>
      </c>
      <c r="C13" s="281"/>
      <c r="D13" s="160">
        <v>130448.21952647</v>
      </c>
      <c r="E13" s="282"/>
      <c r="F13" s="160">
        <v>39322.724692508898</v>
      </c>
      <c r="G13" s="160">
        <v>0.49692326320000002</v>
      </c>
      <c r="H13" s="282"/>
      <c r="I13" s="160">
        <v>33136.323671666003</v>
      </c>
      <c r="J13" s="160">
        <v>0.43795831340000002</v>
      </c>
      <c r="K13" s="50"/>
      <c r="L13" s="160">
        <v>38692.854577407903</v>
      </c>
      <c r="M13" s="160">
        <v>0.50909656179999996</v>
      </c>
      <c r="N13" s="282"/>
      <c r="O13" s="160">
        <v>27908.702332823101</v>
      </c>
      <c r="P13" s="160">
        <v>0.34176094080000002</v>
      </c>
      <c r="Q13" s="282"/>
      <c r="R13" s="160">
        <v>37985.721805890797</v>
      </c>
      <c r="S13" s="160">
        <v>0.4700837678</v>
      </c>
      <c r="T13" s="52"/>
      <c r="U13" s="160">
        <v>39838.578993842297</v>
      </c>
      <c r="V13" s="160">
        <v>0.48369249260000002</v>
      </c>
      <c r="X13" s="160">
        <v>84782.530466671597</v>
      </c>
      <c r="Y13" s="160">
        <v>0.92976376130000005</v>
      </c>
      <c r="AA13" s="160">
        <v>14428.5763467942</v>
      </c>
      <c r="AB13" s="160">
        <v>0.1923983027</v>
      </c>
    </row>
    <row r="14" spans="1:28" ht="12.75" customHeight="1" x14ac:dyDescent="0.2">
      <c r="A14" s="11"/>
      <c r="B14" s="22" t="s">
        <v>7</v>
      </c>
      <c r="C14" s="281"/>
      <c r="D14" s="160">
        <v>120874.88248751601</v>
      </c>
      <c r="E14" s="282"/>
      <c r="F14" s="160">
        <v>38248.532236997897</v>
      </c>
      <c r="G14" s="160">
        <v>0.7420967705</v>
      </c>
      <c r="H14" s="282"/>
      <c r="I14" s="160">
        <v>41683.6087545181</v>
      </c>
      <c r="J14" s="160">
        <v>0.8376531988</v>
      </c>
      <c r="K14" s="50"/>
      <c r="L14" s="160">
        <v>32044.171931045901</v>
      </c>
      <c r="M14" s="160">
        <v>0.59436482729999995</v>
      </c>
      <c r="N14" s="282"/>
      <c r="O14" s="160">
        <v>25386.628829040899</v>
      </c>
      <c r="P14" s="160">
        <v>0.50587156619999996</v>
      </c>
      <c r="Q14" s="282"/>
      <c r="R14" s="160">
        <v>35484.417986757799</v>
      </c>
      <c r="S14" s="160">
        <v>0.68448872979999997</v>
      </c>
      <c r="T14" s="52"/>
      <c r="U14" s="160">
        <v>35108.352586891597</v>
      </c>
      <c r="V14" s="160">
        <v>0.60922329740000003</v>
      </c>
      <c r="X14" s="160">
        <v>49319.713435022502</v>
      </c>
      <c r="Y14" s="160">
        <v>0.87353513469999999</v>
      </c>
      <c r="AA14" s="160">
        <v>11890.929579523799</v>
      </c>
      <c r="AB14" s="160">
        <v>0.25445171529999999</v>
      </c>
    </row>
    <row r="15" spans="1:28" ht="12.75" customHeight="1" x14ac:dyDescent="0.2">
      <c r="A15" s="12"/>
      <c r="B15" s="22" t="s">
        <v>8</v>
      </c>
      <c r="C15" s="281"/>
      <c r="D15" s="160">
        <v>129177.384084488</v>
      </c>
      <c r="E15" s="282"/>
      <c r="F15" s="160">
        <v>40123.229396652299</v>
      </c>
      <c r="G15" s="160">
        <v>0.63332598839999998</v>
      </c>
      <c r="H15" s="282"/>
      <c r="I15" s="160">
        <v>52718.929323332202</v>
      </c>
      <c r="J15" s="160">
        <v>0.93139512499999999</v>
      </c>
      <c r="K15" s="50"/>
      <c r="L15" s="160">
        <v>58717.265389202599</v>
      </c>
      <c r="M15" s="160">
        <v>0.92889270189999995</v>
      </c>
      <c r="N15" s="282"/>
      <c r="O15" s="160">
        <v>43390.089307225498</v>
      </c>
      <c r="P15" s="160">
        <v>0.6853300685</v>
      </c>
      <c r="Q15" s="282"/>
      <c r="R15" s="160">
        <v>47528.266804706604</v>
      </c>
      <c r="S15" s="160">
        <v>0.7547266198</v>
      </c>
      <c r="T15" s="52"/>
      <c r="U15" s="160">
        <v>32096.671947010302</v>
      </c>
      <c r="V15" s="160">
        <v>0.50220051229999996</v>
      </c>
      <c r="X15" s="160">
        <v>46288.987836128297</v>
      </c>
      <c r="Y15" s="160">
        <v>0.75665238580000005</v>
      </c>
      <c r="AA15" s="160">
        <v>12171.137898436</v>
      </c>
      <c r="AB15" s="160">
        <v>0.21479679360000001</v>
      </c>
    </row>
    <row r="16" spans="1:28" ht="12.75" customHeight="1" x14ac:dyDescent="0.2">
      <c r="A16" s="12"/>
      <c r="B16" s="22" t="s">
        <v>79</v>
      </c>
      <c r="C16" s="281"/>
      <c r="D16" s="160">
        <v>113668.722195625</v>
      </c>
      <c r="E16" s="282"/>
      <c r="F16" s="160">
        <v>80504.606453178902</v>
      </c>
      <c r="G16" s="160">
        <v>0.4427871967</v>
      </c>
      <c r="H16" s="282"/>
      <c r="I16" s="160">
        <v>75878.293778035004</v>
      </c>
      <c r="J16" s="160">
        <v>0.41282380540000002</v>
      </c>
      <c r="K16" s="50"/>
      <c r="L16" s="160">
        <v>88427.417461283199</v>
      </c>
      <c r="M16" s="160">
        <v>0.47201208890000002</v>
      </c>
      <c r="N16" s="282"/>
      <c r="O16" s="160">
        <v>62086.830843468902</v>
      </c>
      <c r="P16" s="160">
        <v>0.3495603612</v>
      </c>
      <c r="Q16" s="282"/>
      <c r="R16" s="160">
        <v>56734.708745200303</v>
      </c>
      <c r="S16" s="160">
        <v>0.31939898550000001</v>
      </c>
      <c r="T16" s="52"/>
      <c r="U16" s="160">
        <v>46756.842241484301</v>
      </c>
      <c r="V16" s="160">
        <v>0.26676120860000002</v>
      </c>
      <c r="X16" s="160">
        <v>37298.099645253802</v>
      </c>
      <c r="Y16" s="160">
        <v>0.21241424189999999</v>
      </c>
      <c r="AA16" s="160">
        <v>43939.807601306602</v>
      </c>
      <c r="AB16" s="160">
        <v>0.24696024059999999</v>
      </c>
    </row>
    <row r="17" spans="1:28" ht="6" customHeight="1" x14ac:dyDescent="0.2">
      <c r="A17" s="12"/>
      <c r="B17" s="14"/>
      <c r="C17" s="14"/>
      <c r="D17" s="4"/>
      <c r="E17" s="283"/>
      <c r="F17" s="4"/>
      <c r="G17" s="284"/>
      <c r="H17" s="284"/>
      <c r="I17" s="4"/>
      <c r="J17" s="284"/>
      <c r="K17" s="285"/>
      <c r="L17" s="4"/>
      <c r="M17" s="284"/>
      <c r="N17" s="286"/>
      <c r="O17" s="4"/>
      <c r="P17" s="284"/>
      <c r="Q17" s="284"/>
      <c r="R17" s="284"/>
      <c r="S17" s="284"/>
      <c r="T17" s="284"/>
      <c r="U17" s="284"/>
      <c r="V17" s="284"/>
      <c r="W17" s="262"/>
      <c r="X17" s="262"/>
      <c r="Y17" s="262"/>
      <c r="Z17" s="262"/>
      <c r="AA17" s="262"/>
      <c r="AB17" s="262"/>
    </row>
    <row r="18" spans="1:28" ht="6" customHeight="1" x14ac:dyDescent="0.2">
      <c r="A18" s="21"/>
      <c r="B18" s="287"/>
      <c r="C18" s="288"/>
      <c r="D18" s="288"/>
      <c r="E18" s="288"/>
      <c r="F18" s="288"/>
      <c r="G18" s="289"/>
      <c r="H18" s="289"/>
      <c r="I18" s="289"/>
      <c r="J18" s="290"/>
      <c r="K18" s="290"/>
      <c r="L18" s="289"/>
      <c r="M18" s="290"/>
      <c r="N18" s="290"/>
      <c r="O18" s="287"/>
      <c r="P18" s="291"/>
      <c r="S18" s="1"/>
    </row>
    <row r="19" spans="1:28" s="89" customFormat="1" ht="11.25" customHeight="1" x14ac:dyDescent="0.2">
      <c r="B19" s="24" t="s">
        <v>9</v>
      </c>
    </row>
    <row r="20" spans="1:28" ht="12.75" customHeight="1" x14ac:dyDescent="0.2">
      <c r="S20" s="1"/>
    </row>
    <row r="21" spans="1:28" ht="12.75" customHeight="1" x14ac:dyDescent="0.2">
      <c r="S21" s="1"/>
    </row>
    <row r="22" spans="1:28" ht="12.75" customHeight="1" x14ac:dyDescent="0.2">
      <c r="S22" s="1"/>
    </row>
    <row r="23" spans="1:28" ht="12.75" customHeight="1" x14ac:dyDescent="0.2">
      <c r="S23" s="1"/>
    </row>
    <row r="24" spans="1:28" ht="12.75" customHeight="1" x14ac:dyDescent="0.2">
      <c r="S24" s="1"/>
    </row>
    <row r="25" spans="1:28" ht="12.75" customHeight="1" x14ac:dyDescent="0.2">
      <c r="S25" s="1"/>
    </row>
    <row r="26" spans="1:28" ht="12.75" customHeight="1" x14ac:dyDescent="0.2">
      <c r="S26" s="1"/>
    </row>
    <row r="27" spans="1:28" ht="12.75" customHeight="1" x14ac:dyDescent="0.2">
      <c r="S27" s="1"/>
    </row>
    <row r="28" spans="1:28" ht="12.75" customHeight="1" x14ac:dyDescent="0.2">
      <c r="S28" s="1"/>
    </row>
    <row r="29" spans="1:28" ht="12.75" customHeight="1" x14ac:dyDescent="0.2">
      <c r="S29" s="1"/>
    </row>
    <row r="30" spans="1:28" ht="12.75" customHeight="1" x14ac:dyDescent="0.2">
      <c r="S30" s="1"/>
    </row>
    <row r="31" spans="1:28" ht="12.75" customHeight="1" x14ac:dyDescent="0.2">
      <c r="S31" s="1"/>
    </row>
    <row r="32" spans="1:28" ht="12.75" customHeight="1" x14ac:dyDescent="0.2">
      <c r="S32" s="1"/>
    </row>
    <row r="33" spans="19:19" ht="12.75" customHeight="1" x14ac:dyDescent="0.2">
      <c r="S33" s="1"/>
    </row>
    <row r="34" spans="19:19" ht="12.75" customHeight="1" x14ac:dyDescent="0.2">
      <c r="S34" s="1"/>
    </row>
    <row r="35" spans="19:19" ht="12.75" customHeight="1" x14ac:dyDescent="0.2">
      <c r="S35" s="1"/>
    </row>
    <row r="36" spans="19:19" ht="12.75" customHeight="1" x14ac:dyDescent="0.2">
      <c r="S36" s="1"/>
    </row>
    <row r="37" spans="19:19" ht="12.75" customHeight="1" x14ac:dyDescent="0.2">
      <c r="S37" s="1"/>
    </row>
    <row r="38" spans="19:19" ht="12.75" customHeight="1" x14ac:dyDescent="0.2">
      <c r="S38" s="1"/>
    </row>
    <row r="39" spans="19:19" ht="12.75" customHeight="1" x14ac:dyDescent="0.2">
      <c r="S39" s="1"/>
    </row>
    <row r="40" spans="19:19" ht="12.75" customHeight="1" x14ac:dyDescent="0.2">
      <c r="S40" s="1"/>
    </row>
    <row r="41" spans="19:19" ht="12.75" customHeight="1" x14ac:dyDescent="0.2">
      <c r="S41" s="1"/>
    </row>
    <row r="42" spans="19:19" ht="12.75" customHeight="1" x14ac:dyDescent="0.2">
      <c r="S42" s="1"/>
    </row>
    <row r="43" spans="19:19" ht="12.75" customHeight="1" x14ac:dyDescent="0.2">
      <c r="S43" s="1"/>
    </row>
    <row r="44" spans="19:19" ht="12.75" customHeight="1" x14ac:dyDescent="0.2">
      <c r="S44" s="1"/>
    </row>
    <row r="45" spans="19:19" ht="12.75" customHeight="1" x14ac:dyDescent="0.2">
      <c r="S45" s="1"/>
    </row>
    <row r="46" spans="19:19" ht="12.75" customHeight="1" x14ac:dyDescent="0.2">
      <c r="S46" s="1"/>
    </row>
    <row r="47" spans="19:19" ht="12.75" customHeight="1" x14ac:dyDescent="0.2">
      <c r="S47" s="1"/>
    </row>
    <row r="48" spans="19:19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</sheetData>
  <mergeCells count="13">
    <mergeCell ref="U8:V8"/>
    <mergeCell ref="X8:Y8"/>
    <mergeCell ref="AA8:AB8"/>
    <mergeCell ref="B5:R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777CAEDC-02CF-4316-B66C-C87A64965CBC}"/>
  </hyperlinks>
  <pageMargins left="0.70866141732283472" right="0.70866141732283472" top="0.59055118110236227" bottom="0.59055118110236227" header="0.23622047244094491" footer="0.23622047244094491"/>
  <pageSetup scale="43" orientation="landscape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28BA-46C5-4ED6-8784-D9278FE5730C}">
  <sheetPr>
    <pageSetUpPr fitToPage="1"/>
  </sheetPr>
  <dimension ref="A1:AG96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" style="299" customWidth="1"/>
    <col min="3" max="3" width="1.7109375" style="327" customWidth="1" collapsed="1"/>
    <col min="4" max="4" width="18.7109375" style="327" customWidth="1" collapsed="1"/>
    <col min="5" max="5" width="1.7109375" style="327" customWidth="1"/>
    <col min="6" max="6" width="14.7109375" style="327" customWidth="1" collapsed="1"/>
    <col min="7" max="7" width="12.7109375" style="299" customWidth="1" collapsed="1"/>
    <col min="8" max="8" width="1.7109375" style="299" customWidth="1" collapsed="1"/>
    <col min="9" max="9" width="16.7109375" style="299" customWidth="1" collapsed="1"/>
    <col min="10" max="10" width="12.7109375" style="299" customWidth="1" collapsed="1"/>
    <col min="11" max="11" width="1.7109375" style="299" customWidth="1" collapsed="1"/>
    <col min="12" max="12" width="16.28515625" style="299" customWidth="1" collapsed="1"/>
    <col min="13" max="13" width="12.7109375" style="299" customWidth="1" collapsed="1"/>
    <col min="14" max="14" width="1.7109375" style="299" customWidth="1" collapsed="1"/>
    <col min="15" max="15" width="17.140625" style="299" customWidth="1" collapsed="1"/>
    <col min="16" max="16" width="12.7109375" style="299" customWidth="1" collapsed="1"/>
    <col min="17" max="17" width="1.7109375" style="299" customWidth="1" collapsed="1"/>
    <col min="18" max="18" width="18" style="299" customWidth="1" collapsed="1"/>
    <col min="19" max="19" width="11.42578125" style="299"/>
    <col min="20" max="20" width="1.7109375" style="299" customWidth="1"/>
    <col min="21" max="21" width="16.140625" style="299" customWidth="1"/>
    <col min="22" max="33" width="11.42578125" style="299"/>
    <col min="34" max="16384" width="11.42578125" style="299" collapsed="1"/>
  </cols>
  <sheetData>
    <row r="1" spans="1:22" s="295" customFormat="1" ht="14.1" customHeight="1" x14ac:dyDescent="0.2">
      <c r="A1" s="66"/>
      <c r="B1" s="484" t="s">
        <v>144</v>
      </c>
      <c r="C1" s="293"/>
      <c r="D1" s="294"/>
      <c r="E1" s="294"/>
      <c r="F1" s="294"/>
      <c r="V1" s="85" t="s">
        <v>118</v>
      </c>
    </row>
    <row r="2" spans="1:22" s="295" customFormat="1" ht="6.95" customHeight="1" x14ac:dyDescent="0.2">
      <c r="A2" s="66"/>
      <c r="B2" s="484"/>
      <c r="C2" s="293"/>
      <c r="D2" s="294"/>
      <c r="E2" s="294"/>
      <c r="F2" s="294"/>
    </row>
    <row r="3" spans="1:22" s="295" customFormat="1" ht="14.1" customHeight="1" x14ac:dyDescent="0.2">
      <c r="A3" s="66"/>
      <c r="B3" s="484" t="s">
        <v>142</v>
      </c>
      <c r="C3" s="296"/>
      <c r="D3" s="296"/>
      <c r="E3" s="296"/>
      <c r="F3" s="296"/>
      <c r="G3" s="296"/>
    </row>
    <row r="4" spans="1:22" s="295" customFormat="1" ht="6.95" customHeight="1" x14ac:dyDescent="0.2">
      <c r="A4" s="66"/>
      <c r="C4" s="293"/>
      <c r="D4" s="293"/>
      <c r="E4" s="293"/>
      <c r="F4" s="293"/>
    </row>
    <row r="5" spans="1:22" s="295" customFormat="1" ht="20.100000000000001" customHeight="1" x14ac:dyDescent="0.2">
      <c r="A5" s="66"/>
      <c r="B5" s="571" t="s">
        <v>70</v>
      </c>
      <c r="C5" s="571"/>
      <c r="D5" s="571"/>
      <c r="E5" s="571"/>
      <c r="F5" s="571"/>
      <c r="G5" s="571"/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V5" s="75" t="s">
        <v>94</v>
      </c>
    </row>
    <row r="6" spans="1:22" ht="6" customHeight="1" x14ac:dyDescent="0.2">
      <c r="A6" s="66"/>
      <c r="B6" s="297"/>
      <c r="C6" s="572"/>
      <c r="D6" s="572"/>
      <c r="E6" s="572"/>
      <c r="F6" s="573"/>
      <c r="G6" s="573"/>
      <c r="H6" s="573"/>
      <c r="I6" s="573"/>
      <c r="J6" s="573"/>
      <c r="K6" s="573"/>
      <c r="L6" s="573"/>
      <c r="M6" s="574"/>
      <c r="N6" s="574"/>
      <c r="O6" s="574"/>
      <c r="P6" s="298"/>
    </row>
    <row r="7" spans="1:22" ht="15" customHeight="1" x14ac:dyDescent="0.2">
      <c r="A7" s="66"/>
      <c r="B7" s="535" t="s">
        <v>22</v>
      </c>
      <c r="C7" s="535"/>
      <c r="D7" s="575" t="s">
        <v>23</v>
      </c>
      <c r="E7" s="300"/>
      <c r="F7" s="570" t="s">
        <v>71</v>
      </c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0"/>
      <c r="T7" s="570"/>
      <c r="U7" s="570"/>
      <c r="V7" s="570"/>
    </row>
    <row r="8" spans="1:22" ht="27" customHeight="1" x14ac:dyDescent="0.2">
      <c r="A8" s="66"/>
      <c r="B8" s="536"/>
      <c r="C8" s="536"/>
      <c r="D8" s="576"/>
      <c r="E8" s="301"/>
      <c r="F8" s="570" t="s">
        <v>84</v>
      </c>
      <c r="G8" s="570"/>
      <c r="H8" s="300"/>
      <c r="I8" s="570" t="s">
        <v>72</v>
      </c>
      <c r="J8" s="570"/>
      <c r="K8" s="302"/>
      <c r="L8" s="570" t="s">
        <v>85</v>
      </c>
      <c r="M8" s="570"/>
      <c r="N8" s="302"/>
      <c r="O8" s="570" t="s">
        <v>86</v>
      </c>
      <c r="P8" s="570"/>
      <c r="Q8" s="303"/>
      <c r="R8" s="570" t="s">
        <v>73</v>
      </c>
      <c r="S8" s="570"/>
      <c r="T8" s="304"/>
      <c r="U8" s="570" t="s">
        <v>19</v>
      </c>
      <c r="V8" s="570"/>
    </row>
    <row r="9" spans="1:22" ht="15" customHeight="1" x14ac:dyDescent="0.2">
      <c r="A9" s="12"/>
      <c r="B9" s="537"/>
      <c r="C9" s="537"/>
      <c r="D9" s="577"/>
      <c r="E9" s="305"/>
      <c r="F9" s="65" t="s">
        <v>13</v>
      </c>
      <c r="G9" s="65" t="s">
        <v>14</v>
      </c>
      <c r="H9" s="305"/>
      <c r="I9" s="65" t="s">
        <v>13</v>
      </c>
      <c r="J9" s="65" t="s">
        <v>14</v>
      </c>
      <c r="K9" s="306"/>
      <c r="L9" s="65" t="s">
        <v>13</v>
      </c>
      <c r="M9" s="65" t="s">
        <v>14</v>
      </c>
      <c r="N9" s="306"/>
      <c r="O9" s="65" t="s">
        <v>13</v>
      </c>
      <c r="P9" s="65" t="s">
        <v>14</v>
      </c>
      <c r="Q9" s="307"/>
      <c r="R9" s="65" t="s">
        <v>13</v>
      </c>
      <c r="S9" s="65" t="s">
        <v>14</v>
      </c>
      <c r="T9" s="307"/>
      <c r="U9" s="65" t="s">
        <v>13</v>
      </c>
      <c r="V9" s="65" t="s">
        <v>14</v>
      </c>
    </row>
    <row r="10" spans="1:22" ht="6" customHeight="1" x14ac:dyDescent="0.2">
      <c r="A10" s="67"/>
      <c r="B10" s="308"/>
      <c r="C10" s="308"/>
      <c r="D10" s="309"/>
      <c r="E10" s="309"/>
      <c r="F10" s="309"/>
      <c r="G10" s="310"/>
      <c r="H10" s="310"/>
      <c r="I10" s="311"/>
      <c r="J10" s="312"/>
      <c r="K10" s="312"/>
      <c r="L10" s="312"/>
      <c r="M10" s="312"/>
      <c r="N10" s="312"/>
      <c r="O10" s="312"/>
      <c r="P10" s="312"/>
    </row>
    <row r="11" spans="1:22" s="315" customFormat="1" ht="15" x14ac:dyDescent="0.2">
      <c r="A11" s="17"/>
      <c r="B11" s="10" t="s">
        <v>5</v>
      </c>
      <c r="C11" s="313"/>
      <c r="D11" s="159">
        <v>245318.59867594499</v>
      </c>
      <c r="E11" s="314"/>
      <c r="F11" s="159">
        <v>109616.35384530399</v>
      </c>
      <c r="G11" s="159">
        <v>0.27182986910000001</v>
      </c>
      <c r="H11" s="314"/>
      <c r="I11" s="159">
        <v>136261.677730839</v>
      </c>
      <c r="J11" s="159">
        <v>0.33964620600000001</v>
      </c>
      <c r="K11" s="50"/>
      <c r="L11" s="159">
        <v>110386.80468271799</v>
      </c>
      <c r="M11" s="159">
        <v>0.26998341040000001</v>
      </c>
      <c r="N11" s="314"/>
      <c r="O11" s="159">
        <v>85452.503815652904</v>
      </c>
      <c r="P11" s="159">
        <v>0.22750632069999999</v>
      </c>
      <c r="Q11" s="314"/>
      <c r="R11" s="159">
        <v>96875.476858662907</v>
      </c>
      <c r="S11" s="159">
        <v>0.25882426959999999</v>
      </c>
      <c r="T11" s="51"/>
      <c r="U11" s="159">
        <v>48574.1040701159</v>
      </c>
      <c r="V11" s="159">
        <v>0.1360775098</v>
      </c>
    </row>
    <row r="12" spans="1:22" s="315" customFormat="1" ht="6" customHeight="1" x14ac:dyDescent="0.2">
      <c r="A12" s="11"/>
      <c r="B12" s="41"/>
      <c r="C12" s="313"/>
      <c r="D12" s="95"/>
      <c r="E12" s="314"/>
      <c r="F12" s="95"/>
      <c r="G12" s="96"/>
      <c r="H12" s="314"/>
      <c r="I12" s="95"/>
      <c r="J12" s="96"/>
      <c r="K12" s="50"/>
      <c r="L12" s="95"/>
      <c r="M12" s="96"/>
      <c r="N12" s="314"/>
      <c r="O12" s="95"/>
      <c r="P12" s="96"/>
      <c r="Q12" s="314"/>
      <c r="R12" s="95"/>
      <c r="S12" s="96"/>
      <c r="T12" s="50"/>
      <c r="U12" s="95"/>
      <c r="V12" s="96"/>
    </row>
    <row r="13" spans="1:22" ht="12.75" customHeight="1" x14ac:dyDescent="0.2">
      <c r="A13" s="11"/>
      <c r="B13" s="13" t="s">
        <v>26</v>
      </c>
      <c r="C13" s="316"/>
      <c r="D13" s="160">
        <v>8967.3004696325006</v>
      </c>
      <c r="E13" s="317"/>
      <c r="F13" s="160">
        <v>2237.9691287973001</v>
      </c>
      <c r="G13" s="160">
        <v>0.57612237909999997</v>
      </c>
      <c r="H13" s="317"/>
      <c r="I13" s="160">
        <v>8608.5947228538007</v>
      </c>
      <c r="J13" s="160">
        <v>1.9422757924</v>
      </c>
      <c r="K13" s="50"/>
      <c r="L13" s="160">
        <v>5516.0450846418998</v>
      </c>
      <c r="M13" s="160">
        <v>1.3627280742000001</v>
      </c>
      <c r="N13" s="317"/>
      <c r="O13" s="160">
        <v>4475.054472967</v>
      </c>
      <c r="P13" s="160">
        <v>1.1948628063</v>
      </c>
      <c r="Q13" s="317"/>
      <c r="R13" s="160">
        <v>4720.2596729581001</v>
      </c>
      <c r="S13" s="160">
        <v>1.2185228719000001</v>
      </c>
      <c r="T13" s="52"/>
      <c r="U13" s="160">
        <v>3334.9213790896001</v>
      </c>
      <c r="V13" s="160">
        <v>0.87317717559999997</v>
      </c>
    </row>
    <row r="14" spans="1:22" ht="12.75" customHeight="1" x14ac:dyDescent="0.2">
      <c r="A14" s="11"/>
      <c r="B14" s="13" t="s">
        <v>27</v>
      </c>
      <c r="C14" s="316"/>
      <c r="D14" s="160">
        <v>30546.712730472598</v>
      </c>
      <c r="E14" s="317"/>
      <c r="F14" s="160">
        <v>12382.4389374235</v>
      </c>
      <c r="G14" s="160">
        <v>1.0197404738</v>
      </c>
      <c r="H14" s="317"/>
      <c r="I14" s="160">
        <v>20393.504183815901</v>
      </c>
      <c r="J14" s="160">
        <v>1.6154900739</v>
      </c>
      <c r="K14" s="50"/>
      <c r="L14" s="160">
        <v>20962.3069433485</v>
      </c>
      <c r="M14" s="160">
        <v>1.6051896216999999</v>
      </c>
      <c r="N14" s="317"/>
      <c r="O14" s="160">
        <v>13121.674745620099</v>
      </c>
      <c r="P14" s="160">
        <v>1.0796314360000001</v>
      </c>
      <c r="Q14" s="317"/>
      <c r="R14" s="160">
        <v>11899.9871373606</v>
      </c>
      <c r="S14" s="160">
        <v>1.0127485899999999</v>
      </c>
      <c r="T14" s="52"/>
      <c r="U14" s="160">
        <v>4248.1921677938999</v>
      </c>
      <c r="V14" s="160">
        <v>0.37027211780000002</v>
      </c>
    </row>
    <row r="15" spans="1:22" ht="12.75" customHeight="1" x14ac:dyDescent="0.2">
      <c r="A15" s="12"/>
      <c r="B15" s="13" t="s">
        <v>28</v>
      </c>
      <c r="C15" s="316"/>
      <c r="D15" s="160">
        <v>8722.5870993348999</v>
      </c>
      <c r="E15" s="317"/>
      <c r="F15" s="160">
        <v>7314.1640864049996</v>
      </c>
      <c r="G15" s="160">
        <v>2.2778456808</v>
      </c>
      <c r="H15" s="317"/>
      <c r="I15" s="160">
        <v>3964.2652572255001</v>
      </c>
      <c r="J15" s="160">
        <v>1.6041842944</v>
      </c>
      <c r="K15" s="50"/>
      <c r="L15" s="160">
        <v>3134.7667600001</v>
      </c>
      <c r="M15" s="160">
        <v>1.1455235948</v>
      </c>
      <c r="N15" s="317"/>
      <c r="O15" s="160">
        <v>2108.6460780716998</v>
      </c>
      <c r="P15" s="160">
        <v>0.95563755230000003</v>
      </c>
      <c r="Q15" s="317"/>
      <c r="R15" s="160">
        <v>1638.5936412602</v>
      </c>
      <c r="S15" s="160">
        <v>0.74013194540000005</v>
      </c>
      <c r="T15" s="52"/>
      <c r="U15" s="160">
        <v>2197.0690006742002</v>
      </c>
      <c r="V15" s="160">
        <v>0.87613283119999996</v>
      </c>
    </row>
    <row r="16" spans="1:22" ht="12.75" customHeight="1" x14ac:dyDescent="0.2">
      <c r="A16" s="12"/>
      <c r="B16" s="13" t="s">
        <v>29</v>
      </c>
      <c r="C16" s="316"/>
      <c r="D16" s="160">
        <v>9823.9999164673009</v>
      </c>
      <c r="E16" s="317"/>
      <c r="F16" s="160">
        <v>4877.9188890742998</v>
      </c>
      <c r="G16" s="160">
        <v>1.3612991726999999</v>
      </c>
      <c r="H16" s="317"/>
      <c r="I16" s="160">
        <v>4084.13657104</v>
      </c>
      <c r="J16" s="160">
        <v>1.2064509583</v>
      </c>
      <c r="K16" s="50"/>
      <c r="L16" s="160">
        <v>3170.8207381821999</v>
      </c>
      <c r="M16" s="160">
        <v>1.0472633791999999</v>
      </c>
      <c r="N16" s="317"/>
      <c r="O16" s="160">
        <v>2203.2682836480999</v>
      </c>
      <c r="P16" s="160">
        <v>0.77896286290000005</v>
      </c>
      <c r="Q16" s="317"/>
      <c r="R16" s="160">
        <v>2102.7094102823999</v>
      </c>
      <c r="S16" s="160">
        <v>0.80616431099999997</v>
      </c>
      <c r="T16" s="52"/>
      <c r="U16" s="160">
        <v>2449.5102589438002</v>
      </c>
      <c r="V16" s="160">
        <v>0.91882327320000001</v>
      </c>
    </row>
    <row r="17" spans="1:22" ht="12.75" customHeight="1" x14ac:dyDescent="0.2">
      <c r="A17" s="12"/>
      <c r="B17" s="13" t="s">
        <v>30</v>
      </c>
      <c r="C17" s="316"/>
      <c r="D17" s="128">
        <v>20174.373876367401</v>
      </c>
      <c r="E17" s="317"/>
      <c r="F17" s="128">
        <v>6452.4386434022999</v>
      </c>
      <c r="G17" s="128">
        <v>0.67893563329999995</v>
      </c>
      <c r="H17" s="317"/>
      <c r="I17" s="128">
        <v>12848.3518052216</v>
      </c>
      <c r="J17" s="128">
        <v>1.2926612477999999</v>
      </c>
      <c r="K17" s="50"/>
      <c r="L17" s="128">
        <v>12597.073769840399</v>
      </c>
      <c r="M17" s="128">
        <v>1.3490011877999999</v>
      </c>
      <c r="N17" s="317"/>
      <c r="O17" s="128">
        <v>12279.899362447901</v>
      </c>
      <c r="P17" s="128">
        <v>1.2767371153</v>
      </c>
      <c r="Q17" s="317"/>
      <c r="R17" s="128">
        <v>11189.3883576319</v>
      </c>
      <c r="S17" s="128">
        <v>1.1820053223</v>
      </c>
      <c r="T17" s="53"/>
      <c r="U17" s="128">
        <v>8422.9075507877005</v>
      </c>
      <c r="V17" s="128">
        <v>0.90818123760000002</v>
      </c>
    </row>
    <row r="18" spans="1:22" ht="12.75" customHeight="1" x14ac:dyDescent="0.2">
      <c r="A18" s="21"/>
      <c r="B18" s="13" t="s">
        <v>31</v>
      </c>
      <c r="C18" s="316"/>
      <c r="D18" s="128">
        <v>8619.0153653119996</v>
      </c>
      <c r="E18" s="317"/>
      <c r="F18" s="128">
        <v>2781.6037153017</v>
      </c>
      <c r="G18" s="128">
        <v>1.1805099283</v>
      </c>
      <c r="H18" s="317"/>
      <c r="I18" s="128">
        <v>3694.8791290198001</v>
      </c>
      <c r="J18" s="128">
        <v>1.4371708116999999</v>
      </c>
      <c r="K18" s="50"/>
      <c r="L18" s="128">
        <v>4552.9209190546999</v>
      </c>
      <c r="M18" s="128">
        <v>1.4883180305000001</v>
      </c>
      <c r="N18" s="317"/>
      <c r="O18" s="128">
        <v>3554.6098861091</v>
      </c>
      <c r="P18" s="128">
        <v>1.3016424850999999</v>
      </c>
      <c r="Q18" s="317"/>
      <c r="R18" s="128">
        <v>2778.9479259049999</v>
      </c>
      <c r="S18" s="128">
        <v>1.1497761323</v>
      </c>
      <c r="T18" s="53"/>
      <c r="U18" s="128">
        <v>1629.5133853442001</v>
      </c>
      <c r="V18" s="128">
        <v>0.70121765020000004</v>
      </c>
    </row>
    <row r="19" spans="1:22" ht="12.75" customHeight="1" x14ac:dyDescent="0.2">
      <c r="A19" s="21"/>
      <c r="B19" s="13" t="s">
        <v>32</v>
      </c>
      <c r="C19" s="316"/>
      <c r="D19" s="160">
        <v>63038.559215489498</v>
      </c>
      <c r="E19" s="317"/>
      <c r="F19" s="160">
        <v>27684.8965859298</v>
      </c>
      <c r="G19" s="160">
        <v>1.5184942673999999</v>
      </c>
      <c r="H19" s="317"/>
      <c r="I19" s="160">
        <v>27379.807423263799</v>
      </c>
      <c r="J19" s="160">
        <v>1.2856031003999999</v>
      </c>
      <c r="K19" s="50"/>
      <c r="L19" s="160">
        <v>19843.667343577999</v>
      </c>
      <c r="M19" s="160">
        <v>1.1280010675000001</v>
      </c>
      <c r="N19" s="317"/>
      <c r="O19" s="160">
        <v>14117.6126556617</v>
      </c>
      <c r="P19" s="160">
        <v>0.86014557700000005</v>
      </c>
      <c r="Q19" s="317"/>
      <c r="R19" s="160">
        <v>12154.4305120626</v>
      </c>
      <c r="S19" s="160">
        <v>0.80798459570000003</v>
      </c>
      <c r="T19" s="52"/>
      <c r="U19" s="160">
        <v>4014.6918410016001</v>
      </c>
      <c r="V19" s="160">
        <v>0.27510555549999999</v>
      </c>
    </row>
    <row r="20" spans="1:22" ht="12.75" customHeight="1" x14ac:dyDescent="0.2">
      <c r="B20" s="13" t="s">
        <v>33</v>
      </c>
      <c r="C20" s="316"/>
      <c r="D20" s="160">
        <v>21528.302989013799</v>
      </c>
      <c r="E20" s="317"/>
      <c r="F20" s="160">
        <v>17581.804265024999</v>
      </c>
      <c r="G20" s="160">
        <v>1.4501839822</v>
      </c>
      <c r="H20" s="317"/>
      <c r="I20" s="160">
        <v>15427.388646403</v>
      </c>
      <c r="J20" s="160">
        <v>1.2632176241999999</v>
      </c>
      <c r="K20" s="50"/>
      <c r="L20" s="160">
        <v>16182.5652576597</v>
      </c>
      <c r="M20" s="160">
        <v>1.3420203178000001</v>
      </c>
      <c r="N20" s="317"/>
      <c r="O20" s="160">
        <v>11013.4519451631</v>
      </c>
      <c r="P20" s="160">
        <v>0.96593704520000001</v>
      </c>
      <c r="Q20" s="317"/>
      <c r="R20" s="160">
        <v>11718.2593998673</v>
      </c>
      <c r="S20" s="160">
        <v>1.0174662663</v>
      </c>
      <c r="T20" s="52"/>
      <c r="U20" s="160">
        <v>9632.3320121247998</v>
      </c>
      <c r="V20" s="160">
        <v>0.84829095210000005</v>
      </c>
    </row>
    <row r="21" spans="1:22" ht="12.75" customHeight="1" x14ac:dyDescent="0.2">
      <c r="B21" s="13" t="s">
        <v>34</v>
      </c>
      <c r="C21" s="316"/>
      <c r="D21" s="160">
        <v>50347.549406123697</v>
      </c>
      <c r="E21" s="317"/>
      <c r="F21" s="160">
        <v>35133.440869467202</v>
      </c>
      <c r="G21" s="160">
        <v>1.2222831650999999</v>
      </c>
      <c r="H21" s="317"/>
      <c r="I21" s="160">
        <v>44490.522993997598</v>
      </c>
      <c r="J21" s="160">
        <v>1.5393699838999999</v>
      </c>
      <c r="K21" s="50"/>
      <c r="L21" s="160">
        <v>29006.335166189499</v>
      </c>
      <c r="M21" s="160">
        <v>1.0274651022000001</v>
      </c>
      <c r="N21" s="317"/>
      <c r="O21" s="160">
        <v>24085.087484846801</v>
      </c>
      <c r="P21" s="160">
        <v>0.86045426130000002</v>
      </c>
      <c r="Q21" s="317"/>
      <c r="R21" s="160">
        <v>29023.497057889501</v>
      </c>
      <c r="S21" s="160">
        <v>1.0511510333</v>
      </c>
      <c r="T21" s="52"/>
      <c r="U21" s="160">
        <v>23008.105638544599</v>
      </c>
      <c r="V21" s="160">
        <v>0.82717242179999995</v>
      </c>
    </row>
    <row r="22" spans="1:22" ht="12.75" customHeight="1" x14ac:dyDescent="0.2">
      <c r="B22" s="13" t="s">
        <v>35</v>
      </c>
      <c r="C22" s="316"/>
      <c r="D22" s="160">
        <v>12174.4839866041</v>
      </c>
      <c r="E22" s="317"/>
      <c r="F22" s="160">
        <v>4403.2280215346</v>
      </c>
      <c r="G22" s="160">
        <v>0.87692075179999995</v>
      </c>
      <c r="H22" s="317"/>
      <c r="I22" s="160">
        <v>7456.0460944187998</v>
      </c>
      <c r="J22" s="160">
        <v>1.3419828266</v>
      </c>
      <c r="K22" s="50"/>
      <c r="L22" s="160">
        <v>6506.4285730161</v>
      </c>
      <c r="M22" s="160">
        <v>1.1817926925</v>
      </c>
      <c r="N22" s="317"/>
      <c r="O22" s="160">
        <v>6119.9481989149999</v>
      </c>
      <c r="P22" s="160">
        <v>1.1607835581999999</v>
      </c>
      <c r="Q22" s="317"/>
      <c r="R22" s="160">
        <v>7918.4816141223</v>
      </c>
      <c r="S22" s="160">
        <v>1.5076116965999999</v>
      </c>
      <c r="T22" s="52"/>
      <c r="U22" s="160">
        <v>5186.3380203678998</v>
      </c>
      <c r="V22" s="160">
        <v>1.0150056123</v>
      </c>
    </row>
    <row r="23" spans="1:22" ht="12.75" customHeight="1" x14ac:dyDescent="0.2">
      <c r="B23" s="13" t="s">
        <v>36</v>
      </c>
      <c r="C23" s="316"/>
      <c r="D23" s="160">
        <v>39342.759310615002</v>
      </c>
      <c r="E23" s="317"/>
      <c r="F23" s="160">
        <v>13854.021927445599</v>
      </c>
      <c r="G23" s="160">
        <v>0.84047076340000004</v>
      </c>
      <c r="H23" s="317"/>
      <c r="I23" s="160">
        <v>29636.336956154599</v>
      </c>
      <c r="J23" s="160">
        <v>1.7113645984000001</v>
      </c>
      <c r="K23" s="50"/>
      <c r="L23" s="160">
        <v>21875.3145255161</v>
      </c>
      <c r="M23" s="160">
        <v>1.2998899422000001</v>
      </c>
      <c r="N23" s="317"/>
      <c r="O23" s="160">
        <v>17971.833534847901</v>
      </c>
      <c r="P23" s="160">
        <v>1.0358339036999999</v>
      </c>
      <c r="Q23" s="317"/>
      <c r="R23" s="160">
        <v>22488.550395299801</v>
      </c>
      <c r="S23" s="160">
        <v>1.3224702969</v>
      </c>
      <c r="T23" s="52"/>
      <c r="U23" s="160">
        <v>6747.5348770357004</v>
      </c>
      <c r="V23" s="160">
        <v>0.4273553229</v>
      </c>
    </row>
    <row r="24" spans="1:22" ht="12.75" customHeight="1" x14ac:dyDescent="0.2">
      <c r="B24" s="13" t="s">
        <v>37</v>
      </c>
      <c r="C24" s="316"/>
      <c r="D24" s="160">
        <v>28850.313181142301</v>
      </c>
      <c r="E24" s="317"/>
      <c r="F24" s="160">
        <v>14813.632365728001</v>
      </c>
      <c r="G24" s="160">
        <v>1.322950042</v>
      </c>
      <c r="H24" s="317"/>
      <c r="I24" s="160">
        <v>13152.5373874864</v>
      </c>
      <c r="J24" s="160">
        <v>1.2970243561000001</v>
      </c>
      <c r="K24" s="50"/>
      <c r="L24" s="160">
        <v>15575.665833810601</v>
      </c>
      <c r="M24" s="160">
        <v>1.3220750976</v>
      </c>
      <c r="N24" s="317"/>
      <c r="O24" s="160">
        <v>9844.0015746752997</v>
      </c>
      <c r="P24" s="160">
        <v>1.0052421200999999</v>
      </c>
      <c r="Q24" s="317"/>
      <c r="R24" s="160">
        <v>7652.7407675696004</v>
      </c>
      <c r="S24" s="160">
        <v>0.80113223609999995</v>
      </c>
      <c r="T24" s="52"/>
      <c r="U24" s="160">
        <v>6716.1983478104003</v>
      </c>
      <c r="V24" s="160">
        <v>0.7161901275</v>
      </c>
    </row>
    <row r="25" spans="1:22" ht="12.75" customHeight="1" x14ac:dyDescent="0.2">
      <c r="B25" s="13" t="s">
        <v>38</v>
      </c>
      <c r="C25" s="316"/>
      <c r="D25" s="160">
        <v>24330.5739194446</v>
      </c>
      <c r="E25" s="317"/>
      <c r="F25" s="160">
        <v>13130.396877048401</v>
      </c>
      <c r="G25" s="160">
        <v>1.4329728729</v>
      </c>
      <c r="H25" s="317"/>
      <c r="I25" s="160">
        <v>12053.508219707401</v>
      </c>
      <c r="J25" s="160">
        <v>1.3230998729000001</v>
      </c>
      <c r="K25" s="50"/>
      <c r="L25" s="160">
        <v>12330.754188105901</v>
      </c>
      <c r="M25" s="160">
        <v>1.2438364628</v>
      </c>
      <c r="N25" s="317"/>
      <c r="O25" s="160">
        <v>8721.5909653008002</v>
      </c>
      <c r="P25" s="160">
        <v>0.87319780020000004</v>
      </c>
      <c r="Q25" s="317"/>
      <c r="R25" s="160">
        <v>9291.3275465029001</v>
      </c>
      <c r="S25" s="160">
        <v>0.99675804310000005</v>
      </c>
      <c r="T25" s="52"/>
      <c r="U25" s="160">
        <v>3766.2230468112998</v>
      </c>
      <c r="V25" s="160">
        <v>0.43380016919999997</v>
      </c>
    </row>
    <row r="26" spans="1:22" ht="12.75" customHeight="1" x14ac:dyDescent="0.2">
      <c r="B26" s="13" t="s">
        <v>39</v>
      </c>
      <c r="C26" s="316"/>
      <c r="D26" s="160">
        <v>55559.275928897499</v>
      </c>
      <c r="E26" s="317"/>
      <c r="F26" s="160">
        <v>23271.926503130599</v>
      </c>
      <c r="G26" s="160">
        <v>0.92421061029999996</v>
      </c>
      <c r="H26" s="317"/>
      <c r="I26" s="160">
        <v>45942.241546295802</v>
      </c>
      <c r="J26" s="160">
        <v>1.8015203149000001</v>
      </c>
      <c r="K26" s="50"/>
      <c r="L26" s="160">
        <v>26431.875759822</v>
      </c>
      <c r="M26" s="160">
        <v>1.0314769589999999</v>
      </c>
      <c r="N26" s="317"/>
      <c r="O26" s="160">
        <v>29711.250252299102</v>
      </c>
      <c r="P26" s="160">
        <v>1.252164246</v>
      </c>
      <c r="Q26" s="317"/>
      <c r="R26" s="160">
        <v>33464.079621816003</v>
      </c>
      <c r="S26" s="160">
        <v>1.4177512777000001</v>
      </c>
      <c r="T26" s="52"/>
      <c r="U26" s="160">
        <v>7526.0412847004</v>
      </c>
      <c r="V26" s="160">
        <v>0.3295034308</v>
      </c>
    </row>
    <row r="27" spans="1:22" ht="12.75" customHeight="1" x14ac:dyDescent="0.2">
      <c r="B27" s="13" t="s">
        <v>40</v>
      </c>
      <c r="C27" s="316"/>
      <c r="D27" s="160">
        <v>153845.18493733901</v>
      </c>
      <c r="E27" s="317"/>
      <c r="F27" s="160">
        <v>59782.962051059498</v>
      </c>
      <c r="G27" s="160">
        <v>1.1078884360000001</v>
      </c>
      <c r="H27" s="317"/>
      <c r="I27" s="160">
        <v>75427.588912877094</v>
      </c>
      <c r="J27" s="160">
        <v>1.4875600120000001</v>
      </c>
      <c r="K27" s="50"/>
      <c r="L27" s="160">
        <v>67400.691568419294</v>
      </c>
      <c r="M27" s="160">
        <v>1.2068854982999999</v>
      </c>
      <c r="N27" s="317"/>
      <c r="O27" s="160">
        <v>45735.936676129902</v>
      </c>
      <c r="P27" s="160">
        <v>0.90191123279999996</v>
      </c>
      <c r="Q27" s="317"/>
      <c r="R27" s="160">
        <v>57884.620639014996</v>
      </c>
      <c r="S27" s="160">
        <v>1.1059081378</v>
      </c>
      <c r="T27" s="52"/>
      <c r="U27" s="160">
        <v>33670.703558171503</v>
      </c>
      <c r="V27" s="160">
        <v>0.71396210839999996</v>
      </c>
    </row>
    <row r="28" spans="1:22" ht="12.75" customHeight="1" x14ac:dyDescent="0.2">
      <c r="B28" s="13" t="s">
        <v>41</v>
      </c>
      <c r="C28" s="316"/>
      <c r="D28" s="160">
        <v>48544.014646115298</v>
      </c>
      <c r="E28" s="317"/>
      <c r="F28" s="160">
        <v>19081.177253548001</v>
      </c>
      <c r="G28" s="160">
        <v>1.4114603185000001</v>
      </c>
      <c r="H28" s="317"/>
      <c r="I28" s="160">
        <v>23548.786092996601</v>
      </c>
      <c r="J28" s="160">
        <v>1.553324157</v>
      </c>
      <c r="K28" s="50"/>
      <c r="L28" s="160">
        <v>16147.0045374245</v>
      </c>
      <c r="M28" s="160">
        <v>1.0758291513</v>
      </c>
      <c r="N28" s="317"/>
      <c r="O28" s="160">
        <v>15549.6158125774</v>
      </c>
      <c r="P28" s="160">
        <v>1.0805965693999999</v>
      </c>
      <c r="Q28" s="317"/>
      <c r="R28" s="160">
        <v>26370.032698887899</v>
      </c>
      <c r="S28" s="160">
        <v>1.7353531821999999</v>
      </c>
      <c r="T28" s="52"/>
      <c r="U28" s="160">
        <v>6427.2498768882997</v>
      </c>
      <c r="V28" s="160">
        <v>0.4974964952</v>
      </c>
    </row>
    <row r="29" spans="1:22" ht="12.75" customHeight="1" x14ac:dyDescent="0.2">
      <c r="B29" s="13" t="s">
        <v>42</v>
      </c>
      <c r="C29" s="316"/>
      <c r="D29" s="160">
        <v>20366.691328497</v>
      </c>
      <c r="E29" s="317"/>
      <c r="F29" s="160">
        <v>7430.2607978896003</v>
      </c>
      <c r="G29" s="160">
        <v>1.1248458469</v>
      </c>
      <c r="H29" s="317"/>
      <c r="I29" s="160">
        <v>9050.9178601901003</v>
      </c>
      <c r="J29" s="160">
        <v>1.3553549766999999</v>
      </c>
      <c r="K29" s="50"/>
      <c r="L29" s="160">
        <v>9156.1884925353006</v>
      </c>
      <c r="M29" s="160">
        <v>1.2345768749999999</v>
      </c>
      <c r="N29" s="317"/>
      <c r="O29" s="160">
        <v>5080.5471265717997</v>
      </c>
      <c r="P29" s="160">
        <v>0.76561628280000005</v>
      </c>
      <c r="Q29" s="317"/>
      <c r="R29" s="160">
        <v>5617.8427228229002</v>
      </c>
      <c r="S29" s="160">
        <v>0.85126031020000004</v>
      </c>
      <c r="T29" s="52"/>
      <c r="U29" s="160">
        <v>3300.8685004148001</v>
      </c>
      <c r="V29" s="160">
        <v>0.55734168660000005</v>
      </c>
    </row>
    <row r="30" spans="1:22" ht="12.75" customHeight="1" x14ac:dyDescent="0.2">
      <c r="B30" s="13" t="s">
        <v>43</v>
      </c>
      <c r="C30" s="316"/>
      <c r="D30" s="160">
        <v>10075.872713184701</v>
      </c>
      <c r="E30" s="317"/>
      <c r="F30" s="160">
        <v>4035.0663668995999</v>
      </c>
      <c r="G30" s="160">
        <v>0.9855186749</v>
      </c>
      <c r="H30" s="317"/>
      <c r="I30" s="160">
        <v>5810.2390597068998</v>
      </c>
      <c r="J30" s="160">
        <v>1.3577659952000001</v>
      </c>
      <c r="K30" s="50"/>
      <c r="L30" s="160">
        <v>5078.0194727085</v>
      </c>
      <c r="M30" s="160">
        <v>1.2638204682</v>
      </c>
      <c r="N30" s="317"/>
      <c r="O30" s="160">
        <v>4523.4381103350997</v>
      </c>
      <c r="P30" s="160">
        <v>1.1637190093000001</v>
      </c>
      <c r="Q30" s="317"/>
      <c r="R30" s="160">
        <v>3988.9569775437999</v>
      </c>
      <c r="S30" s="160">
        <v>1.1082114525</v>
      </c>
      <c r="T30" s="52"/>
      <c r="U30" s="160">
        <v>1469.8369448213</v>
      </c>
      <c r="V30" s="160">
        <v>0.40670551929999998</v>
      </c>
    </row>
    <row r="31" spans="1:22" ht="12.75" customHeight="1" x14ac:dyDescent="0.2">
      <c r="B31" s="13" t="s">
        <v>44</v>
      </c>
      <c r="C31" s="316"/>
      <c r="D31" s="160">
        <v>46826.58478284</v>
      </c>
      <c r="E31" s="317"/>
      <c r="F31" s="160">
        <v>26747.301279102801</v>
      </c>
      <c r="G31" s="160">
        <v>1.4726168926000001</v>
      </c>
      <c r="H31" s="317"/>
      <c r="I31" s="160">
        <v>33487.677504587002</v>
      </c>
      <c r="J31" s="160">
        <v>1.659371492</v>
      </c>
      <c r="K31" s="50"/>
      <c r="L31" s="160">
        <v>26124.6385322922</v>
      </c>
      <c r="M31" s="160">
        <v>1.4411586699000001</v>
      </c>
      <c r="N31" s="317"/>
      <c r="O31" s="160">
        <v>21272.783877693</v>
      </c>
      <c r="P31" s="160">
        <v>1.3389676388</v>
      </c>
      <c r="Q31" s="317"/>
      <c r="R31" s="160">
        <v>20644.401608068401</v>
      </c>
      <c r="S31" s="160">
        <v>1.3144810820999999</v>
      </c>
      <c r="T31" s="52"/>
      <c r="U31" s="160">
        <v>5566.7111374627002</v>
      </c>
      <c r="V31" s="160">
        <v>0.3365051463</v>
      </c>
    </row>
    <row r="32" spans="1:22" ht="12.75" customHeight="1" x14ac:dyDescent="0.2">
      <c r="B32" s="13" t="s">
        <v>45</v>
      </c>
      <c r="C32" s="316"/>
      <c r="D32" s="160">
        <v>51721.305046021</v>
      </c>
      <c r="E32" s="317"/>
      <c r="F32" s="160">
        <v>21263.970720064099</v>
      </c>
      <c r="G32" s="160">
        <v>1.3438196853</v>
      </c>
      <c r="H32" s="317"/>
      <c r="I32" s="160">
        <v>19042.123085222302</v>
      </c>
      <c r="J32" s="160">
        <v>1.2690661363</v>
      </c>
      <c r="K32" s="50"/>
      <c r="L32" s="160">
        <v>17394.329908348202</v>
      </c>
      <c r="M32" s="160">
        <v>1.1078086872999999</v>
      </c>
      <c r="N32" s="317"/>
      <c r="O32" s="160">
        <v>11753.687670736699</v>
      </c>
      <c r="P32" s="160">
        <v>0.91771680170000003</v>
      </c>
      <c r="Q32" s="317"/>
      <c r="R32" s="160">
        <v>12004.3218759505</v>
      </c>
      <c r="S32" s="160">
        <v>0.99003840099999996</v>
      </c>
      <c r="T32" s="52"/>
      <c r="U32" s="160">
        <v>3744.6650934542999</v>
      </c>
      <c r="V32" s="160">
        <v>0.3350762706</v>
      </c>
    </row>
    <row r="33" spans="2:22" ht="12.75" customHeight="1" x14ac:dyDescent="0.2">
      <c r="B33" s="13" t="s">
        <v>46</v>
      </c>
      <c r="C33" s="316"/>
      <c r="D33" s="160">
        <v>60553.044746405503</v>
      </c>
      <c r="E33" s="317"/>
      <c r="F33" s="160">
        <v>26256.544986810899</v>
      </c>
      <c r="G33" s="160">
        <v>1.2558544555</v>
      </c>
      <c r="H33" s="317"/>
      <c r="I33" s="160">
        <v>27272.262161374099</v>
      </c>
      <c r="J33" s="160">
        <v>1.2429327564999999</v>
      </c>
      <c r="K33" s="50"/>
      <c r="L33" s="160">
        <v>23368.0581982613</v>
      </c>
      <c r="M33" s="160">
        <v>1.0840450152000001</v>
      </c>
      <c r="N33" s="317"/>
      <c r="O33" s="160">
        <v>17275.4158513314</v>
      </c>
      <c r="P33" s="160">
        <v>0.91856511669999996</v>
      </c>
      <c r="Q33" s="317"/>
      <c r="R33" s="160">
        <v>17636.436812089501</v>
      </c>
      <c r="S33" s="160">
        <v>0.9765447693</v>
      </c>
      <c r="T33" s="52"/>
      <c r="U33" s="160">
        <v>6167.0046727186</v>
      </c>
      <c r="V33" s="160">
        <v>0.35218013889999999</v>
      </c>
    </row>
    <row r="34" spans="2:22" ht="12.75" customHeight="1" x14ac:dyDescent="0.2">
      <c r="B34" s="13" t="s">
        <v>47</v>
      </c>
      <c r="C34" s="316"/>
      <c r="D34" s="160">
        <v>32602.288410915098</v>
      </c>
      <c r="E34" s="317"/>
      <c r="F34" s="160">
        <v>10840.6059814657</v>
      </c>
      <c r="G34" s="160">
        <v>1.3188403323</v>
      </c>
      <c r="H34" s="317"/>
      <c r="I34" s="160">
        <v>13090.3126616565</v>
      </c>
      <c r="J34" s="160">
        <v>1.3851522083000001</v>
      </c>
      <c r="K34" s="50"/>
      <c r="L34" s="160">
        <v>14142.1118117026</v>
      </c>
      <c r="M34" s="160">
        <v>1.5113577360999999</v>
      </c>
      <c r="N34" s="317"/>
      <c r="O34" s="160">
        <v>7816.7248906935001</v>
      </c>
      <c r="P34" s="160">
        <v>1.1120265345</v>
      </c>
      <c r="Q34" s="317"/>
      <c r="R34" s="160">
        <v>8636.0071824542993</v>
      </c>
      <c r="S34" s="160">
        <v>1.3577095046000001</v>
      </c>
      <c r="T34" s="52"/>
      <c r="U34" s="160">
        <v>3787.9469615823</v>
      </c>
      <c r="V34" s="160">
        <v>0.54781632069999997</v>
      </c>
    </row>
    <row r="35" spans="2:22" ht="12.75" customHeight="1" x14ac:dyDescent="0.2">
      <c r="B35" s="13" t="s">
        <v>48</v>
      </c>
      <c r="C35" s="316"/>
      <c r="D35" s="160">
        <v>21975.205253110002</v>
      </c>
      <c r="E35" s="317"/>
      <c r="F35" s="160">
        <v>11049.8376323629</v>
      </c>
      <c r="G35" s="160">
        <v>2.0389993568999998</v>
      </c>
      <c r="H35" s="317"/>
      <c r="I35" s="160">
        <v>14458.444759915101</v>
      </c>
      <c r="J35" s="160">
        <v>1.9054850016</v>
      </c>
      <c r="K35" s="50"/>
      <c r="L35" s="160">
        <v>11137.776975286801</v>
      </c>
      <c r="M35" s="160">
        <v>1.6543027212000001</v>
      </c>
      <c r="N35" s="317"/>
      <c r="O35" s="160">
        <v>4730.2739474911996</v>
      </c>
      <c r="P35" s="160">
        <v>0.855779399</v>
      </c>
      <c r="Q35" s="317"/>
      <c r="R35" s="160">
        <v>4420.8059340021</v>
      </c>
      <c r="S35" s="160">
        <v>0.83531950239999997</v>
      </c>
      <c r="T35" s="54"/>
      <c r="U35" s="160">
        <v>4612.3529959447997</v>
      </c>
      <c r="V35" s="160">
        <v>0.82977746789999995</v>
      </c>
    </row>
    <row r="36" spans="2:22" ht="12.75" customHeight="1" x14ac:dyDescent="0.2">
      <c r="B36" s="13" t="s">
        <v>49</v>
      </c>
      <c r="C36" s="316"/>
      <c r="D36" s="160">
        <v>15666.7398479494</v>
      </c>
      <c r="E36" s="317"/>
      <c r="F36" s="160">
        <v>9112.5715859136999</v>
      </c>
      <c r="G36" s="160">
        <v>1.1249426955999999</v>
      </c>
      <c r="H36" s="317"/>
      <c r="I36" s="160">
        <v>10850.879713276099</v>
      </c>
      <c r="J36" s="160">
        <v>1.3353872781</v>
      </c>
      <c r="K36" s="50"/>
      <c r="L36" s="160">
        <v>11469.9658029275</v>
      </c>
      <c r="M36" s="160">
        <v>1.3615796782</v>
      </c>
      <c r="N36" s="317"/>
      <c r="O36" s="160">
        <v>9418.3794682953994</v>
      </c>
      <c r="P36" s="160">
        <v>1.1615370259</v>
      </c>
      <c r="Q36" s="317"/>
      <c r="R36" s="160">
        <v>9850.7069459463</v>
      </c>
      <c r="S36" s="160">
        <v>1.2588856289000001</v>
      </c>
      <c r="T36" s="52"/>
      <c r="U36" s="160">
        <v>2928.6655246982</v>
      </c>
      <c r="V36" s="160">
        <v>0.37908281659999998</v>
      </c>
    </row>
    <row r="37" spans="2:22" ht="12.75" customHeight="1" x14ac:dyDescent="0.2">
      <c r="B37" s="13" t="s">
        <v>50</v>
      </c>
      <c r="C37" s="316"/>
      <c r="D37" s="160">
        <v>19480.778027771601</v>
      </c>
      <c r="E37" s="317"/>
      <c r="F37" s="160">
        <v>9314.9470361988006</v>
      </c>
      <c r="G37" s="160">
        <v>1.0475290692999999</v>
      </c>
      <c r="H37" s="317"/>
      <c r="I37" s="160">
        <v>12060.8379656126</v>
      </c>
      <c r="J37" s="160">
        <v>1.3203613238</v>
      </c>
      <c r="K37" s="50"/>
      <c r="L37" s="160">
        <v>10502.902730109299</v>
      </c>
      <c r="M37" s="160">
        <v>1.1186793080999999</v>
      </c>
      <c r="N37" s="317"/>
      <c r="O37" s="160">
        <v>12221.013404297901</v>
      </c>
      <c r="P37" s="160">
        <v>1.2622956586</v>
      </c>
      <c r="Q37" s="317"/>
      <c r="R37" s="160">
        <v>10118.5406084469</v>
      </c>
      <c r="S37" s="160">
        <v>1.1749454773000001</v>
      </c>
      <c r="T37" s="52"/>
      <c r="U37" s="160">
        <v>3879.4648692706</v>
      </c>
      <c r="V37" s="160">
        <v>0.43147801800000002</v>
      </c>
    </row>
    <row r="38" spans="2:22" ht="12.75" customHeight="1" x14ac:dyDescent="0.2">
      <c r="B38" s="13" t="s">
        <v>51</v>
      </c>
      <c r="C38" s="316"/>
      <c r="D38" s="160">
        <v>25928.550404547899</v>
      </c>
      <c r="E38" s="317"/>
      <c r="F38" s="160">
        <v>14116.5123648882</v>
      </c>
      <c r="G38" s="160">
        <v>1.4378455271999999</v>
      </c>
      <c r="H38" s="317"/>
      <c r="I38" s="160">
        <v>17268.343963284198</v>
      </c>
      <c r="J38" s="160">
        <v>1.6223341657000001</v>
      </c>
      <c r="K38" s="50"/>
      <c r="L38" s="160">
        <v>11850.113345665901</v>
      </c>
      <c r="M38" s="160">
        <v>1.2178762093</v>
      </c>
      <c r="N38" s="317"/>
      <c r="O38" s="160">
        <v>10415.007246241301</v>
      </c>
      <c r="P38" s="160">
        <v>1.1812851218</v>
      </c>
      <c r="Q38" s="52"/>
      <c r="R38" s="160">
        <v>10187.084612815101</v>
      </c>
      <c r="S38" s="160">
        <v>1.2008816524000001</v>
      </c>
      <c r="T38" s="52"/>
      <c r="U38" s="160">
        <v>1816.1797745094</v>
      </c>
      <c r="V38" s="160">
        <v>0.20713223140000001</v>
      </c>
    </row>
    <row r="39" spans="2:22" ht="12.75" customHeight="1" x14ac:dyDescent="0.2">
      <c r="B39" s="13" t="s">
        <v>52</v>
      </c>
      <c r="C39" s="316"/>
      <c r="D39" s="160">
        <v>24998.115892135302</v>
      </c>
      <c r="E39" s="317"/>
      <c r="F39" s="160">
        <v>9286.1845553755993</v>
      </c>
      <c r="G39" s="160">
        <v>1.2138331742999999</v>
      </c>
      <c r="H39" s="317"/>
      <c r="I39" s="160">
        <v>12009.2045294448</v>
      </c>
      <c r="J39" s="160">
        <v>1.4179922939</v>
      </c>
      <c r="K39" s="50"/>
      <c r="L39" s="160">
        <v>10520.8525756498</v>
      </c>
      <c r="M39" s="160">
        <v>1.2173162132999999</v>
      </c>
      <c r="N39" s="317"/>
      <c r="O39" s="160">
        <v>7250.9178602106003</v>
      </c>
      <c r="P39" s="160">
        <v>0.87941231590000002</v>
      </c>
      <c r="Q39" s="317"/>
      <c r="R39" s="160">
        <v>6797.9305065804001</v>
      </c>
      <c r="S39" s="160">
        <v>0.92807748779999999</v>
      </c>
      <c r="T39" s="52"/>
      <c r="U39" s="160">
        <v>2089.0454959020999</v>
      </c>
      <c r="V39" s="160">
        <v>0.30388138949999999</v>
      </c>
    </row>
    <row r="40" spans="2:22" ht="12.75" customHeight="1" x14ac:dyDescent="0.2">
      <c r="B40" s="13" t="s">
        <v>53</v>
      </c>
      <c r="C40" s="316"/>
      <c r="D40" s="160">
        <v>22249.9713929684</v>
      </c>
      <c r="E40" s="317"/>
      <c r="F40" s="160">
        <v>13264.9622046688</v>
      </c>
      <c r="G40" s="160">
        <v>1.1682768014</v>
      </c>
      <c r="H40" s="317"/>
      <c r="I40" s="160">
        <v>20872.7442990579</v>
      </c>
      <c r="J40" s="160">
        <v>1.6665432219</v>
      </c>
      <c r="K40" s="50"/>
      <c r="L40" s="160">
        <v>12933.727224297199</v>
      </c>
      <c r="M40" s="160">
        <v>1.2350295796999999</v>
      </c>
      <c r="N40" s="317"/>
      <c r="O40" s="160">
        <v>10756.453464570801</v>
      </c>
      <c r="P40" s="160">
        <v>1.0238430312</v>
      </c>
      <c r="Q40" s="317"/>
      <c r="R40" s="160">
        <v>9991.6264677484996</v>
      </c>
      <c r="S40" s="160">
        <v>0.9925630459</v>
      </c>
      <c r="T40" s="52"/>
      <c r="U40" s="160">
        <v>4354.3827943263004</v>
      </c>
      <c r="V40" s="160">
        <v>0.4136484714</v>
      </c>
    </row>
    <row r="41" spans="2:22" ht="12.75" customHeight="1" x14ac:dyDescent="0.2">
      <c r="B41" s="13" t="s">
        <v>54</v>
      </c>
      <c r="C41" s="316"/>
      <c r="D41" s="160">
        <v>9032.6462727959006</v>
      </c>
      <c r="E41" s="317"/>
      <c r="F41" s="160">
        <v>4209.3427892217996</v>
      </c>
      <c r="G41" s="160">
        <v>1.1398523946000001</v>
      </c>
      <c r="H41" s="317"/>
      <c r="I41" s="160">
        <v>4925.9392820956</v>
      </c>
      <c r="J41" s="160">
        <v>1.1929431061</v>
      </c>
      <c r="K41" s="50"/>
      <c r="L41" s="160">
        <v>3781.1687258191</v>
      </c>
      <c r="M41" s="160">
        <v>1.0173369764</v>
      </c>
      <c r="N41" s="317"/>
      <c r="O41" s="160">
        <v>3082.4252375163001</v>
      </c>
      <c r="P41" s="160">
        <v>0.84121883900000005</v>
      </c>
      <c r="Q41" s="317"/>
      <c r="R41" s="160">
        <v>4067.8759409739</v>
      </c>
      <c r="S41" s="160">
        <v>1.1590847825999999</v>
      </c>
      <c r="T41" s="52"/>
      <c r="U41" s="160">
        <v>613.79606751009999</v>
      </c>
      <c r="V41" s="160">
        <v>0.18264813120000001</v>
      </c>
    </row>
    <row r="42" spans="2:22" ht="12.75" customHeight="1" x14ac:dyDescent="0.2">
      <c r="B42" s="13" t="s">
        <v>55</v>
      </c>
      <c r="C42" s="316"/>
      <c r="D42" s="160">
        <v>73888.639891829996</v>
      </c>
      <c r="E42" s="317"/>
      <c r="F42" s="160">
        <v>37336.9634324414</v>
      </c>
      <c r="G42" s="160">
        <v>1.2501440362</v>
      </c>
      <c r="H42" s="317"/>
      <c r="I42" s="160">
        <v>35102.8500240555</v>
      </c>
      <c r="J42" s="160">
        <v>1.2148293618999999</v>
      </c>
      <c r="K42" s="50"/>
      <c r="L42" s="160">
        <v>29119.500145846501</v>
      </c>
      <c r="M42" s="160">
        <v>1.0620668257999999</v>
      </c>
      <c r="N42" s="317"/>
      <c r="O42" s="160">
        <v>25603.641198511399</v>
      </c>
      <c r="P42" s="160">
        <v>1.0015346066999999</v>
      </c>
      <c r="Q42" s="317"/>
      <c r="R42" s="160">
        <v>22072.3223863903</v>
      </c>
      <c r="S42" s="160">
        <v>0.89420205340000003</v>
      </c>
      <c r="T42" s="52"/>
      <c r="U42" s="160">
        <v>5837.3606176564999</v>
      </c>
      <c r="V42" s="160">
        <v>0.2446116025</v>
      </c>
    </row>
    <row r="43" spans="2:22" ht="12.75" customHeight="1" x14ac:dyDescent="0.2">
      <c r="B43" s="13" t="s">
        <v>56</v>
      </c>
      <c r="C43" s="316"/>
      <c r="D43" s="160">
        <v>22166.611550397301</v>
      </c>
      <c r="E43" s="317"/>
      <c r="F43" s="160">
        <v>10482.4851739803</v>
      </c>
      <c r="G43" s="160">
        <v>1.3109593824000001</v>
      </c>
      <c r="H43" s="317"/>
      <c r="I43" s="160">
        <v>11657.391025351601</v>
      </c>
      <c r="J43" s="160">
        <v>1.3965415222999999</v>
      </c>
      <c r="K43" s="50"/>
      <c r="L43" s="160">
        <v>7716.1107490411996</v>
      </c>
      <c r="M43" s="160">
        <v>1.0293161113</v>
      </c>
      <c r="N43" s="317"/>
      <c r="O43" s="160">
        <v>7288.2595940420997</v>
      </c>
      <c r="P43" s="160">
        <v>1.0423882388000001</v>
      </c>
      <c r="Q43" s="317"/>
      <c r="R43" s="160">
        <v>6135.9717335075002</v>
      </c>
      <c r="S43" s="160">
        <v>0.99336436610000001</v>
      </c>
      <c r="T43" s="52"/>
      <c r="U43" s="160">
        <v>4968.9019087929</v>
      </c>
      <c r="V43" s="160">
        <v>0.70548068129999997</v>
      </c>
    </row>
    <row r="44" spans="2:22" ht="12.75" customHeight="1" x14ac:dyDescent="0.2">
      <c r="B44" s="13" t="s">
        <v>57</v>
      </c>
      <c r="C44" s="316"/>
      <c r="D44" s="160">
        <v>16223.618786687</v>
      </c>
      <c r="E44" s="317"/>
      <c r="F44" s="160">
        <v>4117.4214807766002</v>
      </c>
      <c r="G44" s="160">
        <v>0.88347484269999998</v>
      </c>
      <c r="H44" s="317"/>
      <c r="I44" s="160">
        <v>5896.1291688626998</v>
      </c>
      <c r="J44" s="160">
        <v>1.1663028913</v>
      </c>
      <c r="K44" s="50"/>
      <c r="L44" s="160">
        <v>7383.2624124153999</v>
      </c>
      <c r="M44" s="160">
        <v>1.3524311263</v>
      </c>
      <c r="N44" s="317"/>
      <c r="O44" s="160">
        <v>5909.1322511468998</v>
      </c>
      <c r="P44" s="160">
        <v>1.0096326237</v>
      </c>
      <c r="Q44" s="317"/>
      <c r="R44" s="160">
        <v>7796.1070001503003</v>
      </c>
      <c r="S44" s="160">
        <v>1.4410164717</v>
      </c>
      <c r="T44" s="52"/>
      <c r="U44" s="160">
        <v>1753.5140481164001</v>
      </c>
      <c r="V44" s="160">
        <v>0.38007679090000002</v>
      </c>
    </row>
    <row r="45" spans="2:22" ht="6" customHeight="1" x14ac:dyDescent="0.2">
      <c r="B45" s="14"/>
      <c r="C45" s="14"/>
      <c r="D45" s="4"/>
      <c r="E45" s="318"/>
      <c r="F45" s="4"/>
      <c r="G45" s="319"/>
      <c r="H45" s="319"/>
      <c r="I45" s="4"/>
      <c r="J45" s="319"/>
      <c r="K45" s="320"/>
      <c r="L45" s="4"/>
      <c r="M45" s="319"/>
      <c r="N45" s="321"/>
      <c r="O45" s="4"/>
      <c r="P45" s="319"/>
      <c r="Q45" s="319"/>
      <c r="R45" s="319"/>
      <c r="S45" s="319"/>
      <c r="T45" s="319"/>
      <c r="U45" s="319"/>
      <c r="V45" s="319"/>
    </row>
    <row r="46" spans="2:22" ht="6" customHeight="1" x14ac:dyDescent="0.2">
      <c r="B46" s="322"/>
      <c r="C46" s="323"/>
      <c r="D46" s="323"/>
      <c r="E46" s="323"/>
      <c r="F46" s="323"/>
      <c r="G46" s="324"/>
      <c r="H46" s="324"/>
      <c r="I46" s="324"/>
      <c r="J46" s="325"/>
      <c r="K46" s="325"/>
      <c r="L46" s="324"/>
      <c r="M46" s="325"/>
      <c r="N46" s="325"/>
      <c r="O46" s="322"/>
      <c r="P46" s="326"/>
      <c r="S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</sheetData>
  <mergeCells count="11">
    <mergeCell ref="U8:V8"/>
    <mergeCell ref="B5:R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582DD979-24B7-4D32-A6A1-686E77CAC6A7}"/>
  </hyperlinks>
  <pageMargins left="0.70866141732283472" right="0.70866141732283472" top="0.59055118110236227" bottom="0.59055118110236227" header="0.23622047244094491" footer="0.23622047244094491"/>
  <pageSetup scale="53" orientation="landscape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BFA3-7A42-4007-87C6-07BEDA4DB85B}">
  <dimension ref="A1:DP78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" customWidth="1"/>
    <col min="3" max="3" width="1.7109375" customWidth="1"/>
    <col min="4" max="4" width="18.28515625" customWidth="1"/>
    <col min="5" max="5" width="1.7109375" customWidth="1"/>
    <col min="6" max="6" width="14.42578125" customWidth="1"/>
    <col min="8" max="8" width="1.7109375" customWidth="1"/>
    <col min="9" max="9" width="18" customWidth="1"/>
    <col min="11" max="11" width="1.7109375" customWidth="1"/>
    <col min="12" max="12" width="15.42578125" customWidth="1"/>
    <col min="14" max="14" width="1.7109375" customWidth="1"/>
    <col min="15" max="15" width="16.85546875" customWidth="1"/>
    <col min="17" max="17" width="1.7109375" customWidth="1"/>
    <col min="18" max="18" width="16.42578125" customWidth="1"/>
    <col min="20" max="20" width="1.7109375" customWidth="1"/>
    <col min="21" max="21" width="16.85546875" customWidth="1"/>
    <col min="23" max="120" width="11.42578125" style="3"/>
  </cols>
  <sheetData>
    <row r="1" spans="1:120" s="69" customFormat="1" ht="14.1" customHeight="1" x14ac:dyDescent="0.2">
      <c r="A1" s="66"/>
      <c r="B1" s="484" t="s">
        <v>144</v>
      </c>
      <c r="C1" s="459"/>
      <c r="D1" s="460"/>
      <c r="E1" s="460"/>
      <c r="F1" s="460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</row>
    <row r="2" spans="1:120" s="69" customFormat="1" ht="6.95" customHeight="1" x14ac:dyDescent="0.2">
      <c r="A2" s="66"/>
      <c r="B2" s="484"/>
      <c r="C2" s="459"/>
      <c r="D2" s="460"/>
      <c r="E2" s="460"/>
      <c r="F2" s="460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</row>
    <row r="3" spans="1:120" s="69" customFormat="1" ht="14.1" customHeight="1" x14ac:dyDescent="0.2">
      <c r="A3" s="66"/>
      <c r="B3" s="484" t="s">
        <v>142</v>
      </c>
      <c r="C3" s="462"/>
      <c r="D3" s="462"/>
      <c r="E3" s="462"/>
      <c r="F3" s="462"/>
      <c r="G3" s="462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</row>
    <row r="4" spans="1:120" s="69" customFormat="1" ht="6.95" customHeight="1" x14ac:dyDescent="0.2">
      <c r="A4" s="66"/>
      <c r="B4" s="461"/>
      <c r="C4" s="459"/>
      <c r="D4" s="459"/>
      <c r="E4" s="459"/>
      <c r="F4" s="459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</row>
    <row r="5" spans="1:120" s="69" customFormat="1" ht="12" x14ac:dyDescent="0.2">
      <c r="A5" s="66"/>
      <c r="B5" s="579" t="s">
        <v>74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463"/>
      <c r="Q5" s="464"/>
      <c r="R5" s="70"/>
      <c r="S5" s="461"/>
      <c r="T5" s="461"/>
      <c r="U5" s="461"/>
      <c r="V5" s="75" t="s">
        <v>95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</row>
    <row r="6" spans="1:120" ht="6" customHeight="1" x14ac:dyDescent="0.2">
      <c r="A6" s="66"/>
      <c r="B6" s="465"/>
      <c r="C6" s="580"/>
      <c r="D6" s="580"/>
      <c r="E6" s="580"/>
      <c r="F6" s="581"/>
      <c r="G6" s="581"/>
      <c r="H6" s="581"/>
      <c r="I6" s="581"/>
      <c r="J6" s="581"/>
      <c r="K6" s="581"/>
      <c r="L6" s="581"/>
      <c r="M6" s="582"/>
      <c r="N6" s="582"/>
      <c r="O6" s="582"/>
      <c r="P6" s="466"/>
      <c r="Q6" s="467"/>
      <c r="R6" s="467"/>
      <c r="S6" s="467"/>
      <c r="T6" s="467"/>
      <c r="U6" s="467"/>
      <c r="V6" s="467"/>
    </row>
    <row r="7" spans="1:120" ht="12.75" x14ac:dyDescent="0.2">
      <c r="A7" s="66"/>
      <c r="B7" s="535" t="s">
        <v>1</v>
      </c>
      <c r="C7" s="535"/>
      <c r="D7" s="583" t="s">
        <v>23</v>
      </c>
      <c r="E7" s="468"/>
      <c r="F7" s="578" t="s">
        <v>71</v>
      </c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</row>
    <row r="8" spans="1:120" ht="18" customHeight="1" x14ac:dyDescent="0.2">
      <c r="A8" s="66"/>
      <c r="B8" s="536"/>
      <c r="C8" s="536"/>
      <c r="D8" s="584"/>
      <c r="E8" s="469"/>
      <c r="F8" s="578" t="s">
        <v>84</v>
      </c>
      <c r="G8" s="578"/>
      <c r="H8" s="468"/>
      <c r="I8" s="578" t="s">
        <v>72</v>
      </c>
      <c r="J8" s="578"/>
      <c r="K8" s="470"/>
      <c r="L8" s="578" t="s">
        <v>85</v>
      </c>
      <c r="M8" s="578"/>
      <c r="N8" s="470"/>
      <c r="O8" s="578" t="s">
        <v>86</v>
      </c>
      <c r="P8" s="578"/>
      <c r="Q8" s="471"/>
      <c r="R8" s="578" t="s">
        <v>73</v>
      </c>
      <c r="S8" s="578"/>
      <c r="T8" s="472"/>
      <c r="U8" s="578" t="s">
        <v>19</v>
      </c>
      <c r="V8" s="578"/>
    </row>
    <row r="9" spans="1:120" ht="15" x14ac:dyDescent="0.2">
      <c r="A9" s="12"/>
      <c r="B9" s="537"/>
      <c r="C9" s="537"/>
      <c r="D9" s="585"/>
      <c r="E9" s="473"/>
      <c r="F9" s="63" t="s">
        <v>13</v>
      </c>
      <c r="G9" s="63" t="s">
        <v>14</v>
      </c>
      <c r="H9" s="473"/>
      <c r="I9" s="63" t="s">
        <v>13</v>
      </c>
      <c r="J9" s="63" t="s">
        <v>14</v>
      </c>
      <c r="K9" s="474"/>
      <c r="L9" s="63" t="s">
        <v>13</v>
      </c>
      <c r="M9" s="63" t="s">
        <v>14</v>
      </c>
      <c r="N9" s="474"/>
      <c r="O9" s="63" t="s">
        <v>13</v>
      </c>
      <c r="P9" s="63" t="s">
        <v>14</v>
      </c>
      <c r="Q9" s="475"/>
      <c r="R9" s="63" t="s">
        <v>13</v>
      </c>
      <c r="S9" s="63" t="s">
        <v>14</v>
      </c>
      <c r="T9" s="475"/>
      <c r="U9" s="63" t="s">
        <v>13</v>
      </c>
      <c r="V9" s="63" t="s">
        <v>14</v>
      </c>
    </row>
    <row r="10" spans="1:120" ht="6" customHeight="1" x14ac:dyDescent="0.2">
      <c r="A10" s="67"/>
      <c r="B10" s="476"/>
      <c r="C10" s="476"/>
      <c r="D10" s="477"/>
      <c r="E10" s="477"/>
      <c r="F10" s="477"/>
      <c r="G10" s="478"/>
      <c r="H10" s="478"/>
      <c r="I10" s="479"/>
      <c r="J10" s="480"/>
      <c r="K10" s="480"/>
      <c r="L10" s="480"/>
      <c r="M10" s="480"/>
      <c r="N10" s="480"/>
      <c r="O10" s="480"/>
      <c r="P10" s="480"/>
      <c r="Q10" s="467"/>
      <c r="R10" s="467"/>
      <c r="S10" s="467"/>
      <c r="T10" s="467"/>
      <c r="U10" s="467"/>
      <c r="V10" s="467"/>
    </row>
    <row r="11" spans="1:120" ht="15" x14ac:dyDescent="0.2">
      <c r="A11" s="17"/>
      <c r="B11" s="37" t="s">
        <v>5</v>
      </c>
      <c r="C11" s="481"/>
      <c r="D11" s="159">
        <v>245318.59867594499</v>
      </c>
      <c r="E11" s="482"/>
      <c r="F11" s="159">
        <v>109616.35384530399</v>
      </c>
      <c r="G11" s="159">
        <v>0.27182986910000001</v>
      </c>
      <c r="H11" s="482"/>
      <c r="I11" s="159">
        <v>136261.677730839</v>
      </c>
      <c r="J11" s="159">
        <v>0.33964620600000001</v>
      </c>
      <c r="K11" s="50"/>
      <c r="L11" s="159">
        <v>110386.80468271799</v>
      </c>
      <c r="M11" s="159">
        <v>0.26998341040000001</v>
      </c>
      <c r="N11" s="482"/>
      <c r="O11" s="159">
        <v>85452.503815652904</v>
      </c>
      <c r="P11" s="159">
        <v>0.22750632069999999</v>
      </c>
      <c r="Q11" s="482"/>
      <c r="R11" s="159">
        <v>96875.476858662907</v>
      </c>
      <c r="S11" s="159">
        <v>0.25882426959999999</v>
      </c>
      <c r="T11" s="51"/>
      <c r="U11" s="159">
        <v>48574.1040701159</v>
      </c>
      <c r="V11" s="159">
        <v>0.1360775098</v>
      </c>
    </row>
    <row r="12" spans="1:120" ht="6" customHeight="1" x14ac:dyDescent="0.2">
      <c r="A12" s="11"/>
      <c r="B12" s="3"/>
      <c r="C12" s="3"/>
      <c r="D12" s="95"/>
      <c r="E12" s="482"/>
      <c r="F12" s="95"/>
      <c r="G12" s="96"/>
      <c r="H12" s="482"/>
      <c r="I12" s="95"/>
      <c r="J12" s="96"/>
      <c r="K12" s="50"/>
      <c r="L12" s="95"/>
      <c r="M12" s="96"/>
      <c r="N12" s="482"/>
      <c r="O12" s="95"/>
      <c r="P12" s="96"/>
      <c r="Q12" s="482"/>
      <c r="R12" s="95"/>
      <c r="S12" s="96"/>
      <c r="T12" s="50"/>
      <c r="U12" s="95"/>
      <c r="V12" s="96"/>
    </row>
    <row r="13" spans="1:120" x14ac:dyDescent="0.2">
      <c r="A13" s="11"/>
      <c r="B13" s="22" t="s">
        <v>6</v>
      </c>
      <c r="C13" s="3"/>
      <c r="D13" s="160">
        <v>130448.21952647</v>
      </c>
      <c r="E13" s="483"/>
      <c r="F13" s="160">
        <v>57146.865895663701</v>
      </c>
      <c r="G13" s="160">
        <v>0.62683205389999996</v>
      </c>
      <c r="H13" s="483"/>
      <c r="I13" s="160">
        <v>55424.883728961096</v>
      </c>
      <c r="J13" s="160">
        <v>0.60728661449999999</v>
      </c>
      <c r="K13" s="50"/>
      <c r="L13" s="160">
        <v>48081.987353608798</v>
      </c>
      <c r="M13" s="160">
        <v>0.54746137490000002</v>
      </c>
      <c r="N13" s="483"/>
      <c r="O13" s="160">
        <v>37666.562626607003</v>
      </c>
      <c r="P13" s="160">
        <v>0.45179865549999998</v>
      </c>
      <c r="Q13" s="483"/>
      <c r="R13" s="160">
        <v>40056.664397035202</v>
      </c>
      <c r="S13" s="160">
        <v>0.4919590425</v>
      </c>
      <c r="T13" s="52"/>
      <c r="U13" s="160">
        <v>12793.1150419608</v>
      </c>
      <c r="V13" s="160">
        <v>0.16850164309999999</v>
      </c>
    </row>
    <row r="14" spans="1:120" x14ac:dyDescent="0.2">
      <c r="A14" s="11"/>
      <c r="B14" s="22" t="s">
        <v>7</v>
      </c>
      <c r="C14" s="3"/>
      <c r="D14" s="160">
        <v>120874.88248751601</v>
      </c>
      <c r="E14" s="483"/>
      <c r="F14" s="160">
        <v>42853.946196586498</v>
      </c>
      <c r="G14" s="160">
        <v>0.70664680410000003</v>
      </c>
      <c r="H14" s="483"/>
      <c r="I14" s="160">
        <v>51450.0053583033</v>
      </c>
      <c r="J14" s="160">
        <v>0.83408373219999998</v>
      </c>
      <c r="K14" s="50"/>
      <c r="L14" s="160">
        <v>40212.507290372298</v>
      </c>
      <c r="M14" s="160">
        <v>0.64726420780000005</v>
      </c>
      <c r="N14" s="483"/>
      <c r="O14" s="160">
        <v>31643.3497172108</v>
      </c>
      <c r="P14" s="160">
        <v>0.57494577010000003</v>
      </c>
      <c r="Q14" s="483"/>
      <c r="R14" s="160">
        <v>33282.030293327203</v>
      </c>
      <c r="S14" s="160">
        <v>0.63261539970000003</v>
      </c>
      <c r="T14" s="52"/>
      <c r="U14" s="160">
        <v>11997.9924383499</v>
      </c>
      <c r="V14" s="160">
        <v>0.25480471249999997</v>
      </c>
    </row>
    <row r="15" spans="1:120" x14ac:dyDescent="0.2">
      <c r="A15" s="12"/>
      <c r="B15" s="22" t="s">
        <v>8</v>
      </c>
      <c r="C15" s="3"/>
      <c r="D15" s="160">
        <v>129177.384084488</v>
      </c>
      <c r="E15" s="483"/>
      <c r="F15" s="160">
        <v>45539.8518630865</v>
      </c>
      <c r="G15" s="160">
        <v>0.66316976370000003</v>
      </c>
      <c r="H15" s="483"/>
      <c r="I15" s="160">
        <v>58347.668373754903</v>
      </c>
      <c r="J15" s="160">
        <v>0.92400006850000005</v>
      </c>
      <c r="K15" s="50"/>
      <c r="L15" s="160">
        <v>58455.753955375898</v>
      </c>
      <c r="M15" s="160">
        <v>0.81274143700000001</v>
      </c>
      <c r="N15" s="483"/>
      <c r="O15" s="160">
        <v>34846.373007088398</v>
      </c>
      <c r="P15" s="160">
        <v>0.5597384366</v>
      </c>
      <c r="Q15" s="483"/>
      <c r="R15" s="160">
        <v>45982.602782533999</v>
      </c>
      <c r="S15" s="160">
        <v>0.71724312059999995</v>
      </c>
      <c r="T15" s="52"/>
      <c r="U15" s="160">
        <v>10791.3858250947</v>
      </c>
      <c r="V15" s="160">
        <v>0.18446411709999999</v>
      </c>
    </row>
    <row r="16" spans="1:120" x14ac:dyDescent="0.2">
      <c r="A16" s="12"/>
      <c r="B16" s="22" t="s">
        <v>79</v>
      </c>
      <c r="C16" s="3"/>
      <c r="D16" s="160">
        <v>113668.722195625</v>
      </c>
      <c r="E16" s="483"/>
      <c r="F16" s="160">
        <v>70193.365527333299</v>
      </c>
      <c r="G16" s="160">
        <v>0.3816834596</v>
      </c>
      <c r="H16" s="483"/>
      <c r="I16" s="160">
        <v>97433.189040106095</v>
      </c>
      <c r="J16" s="160">
        <v>0.51204044419999994</v>
      </c>
      <c r="K16" s="50"/>
      <c r="L16" s="160">
        <v>69884.1661079927</v>
      </c>
      <c r="M16" s="160">
        <v>0.37754198630000002</v>
      </c>
      <c r="N16" s="483"/>
      <c r="O16" s="160">
        <v>60831.470963674998</v>
      </c>
      <c r="P16" s="160">
        <v>0.34203758750000002</v>
      </c>
      <c r="Q16" s="483"/>
      <c r="R16" s="160">
        <v>67633.322207875899</v>
      </c>
      <c r="S16" s="160">
        <v>0.38203721359999998</v>
      </c>
      <c r="T16" s="52"/>
      <c r="U16" s="160">
        <v>44013.484657984402</v>
      </c>
      <c r="V16" s="160">
        <v>0.24701665910000001</v>
      </c>
    </row>
    <row r="17" spans="1:22" ht="6" customHeight="1" x14ac:dyDescent="0.2">
      <c r="A17" s="1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</row>
    <row r="18" spans="1:22" ht="6" customHeight="1" x14ac:dyDescent="0.2">
      <c r="A18" s="2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s="89" customFormat="1" ht="11.25" customHeight="1" x14ac:dyDescent="0.2">
      <c r="B19" s="24" t="s">
        <v>9</v>
      </c>
    </row>
    <row r="20" spans="1:22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2:22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2:22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2:22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2:22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2:22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2:22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2:22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2:22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2:22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2:22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2:22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2:22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2:22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2:22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2:22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2:22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2:22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2:22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2:22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2:22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2:22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2:22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2:22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2:22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2:22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2:22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2:22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2:22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2:22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2:22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2:22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2:22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2:22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2:22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2:22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2:22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2:22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2:22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</sheetData>
  <mergeCells count="11">
    <mergeCell ref="U8:V8"/>
    <mergeCell ref="B5:O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C73AD246-2F3B-40BD-9267-D633ECD084C7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E572-615C-462B-B1ED-143512539AD0}">
  <dimension ref="A1:AN33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1.7109375" customWidth="1"/>
    <col min="3" max="3" width="1.7109375" customWidth="1"/>
    <col min="4" max="4" width="16.7109375" customWidth="1"/>
    <col min="5" max="5" width="1.7109375" customWidth="1"/>
    <col min="6" max="6" width="13.42578125" customWidth="1"/>
    <col min="8" max="8" width="1.7109375" customWidth="1"/>
    <col min="9" max="9" width="13.42578125" customWidth="1"/>
    <col min="10" max="10" width="12.7109375" style="3" customWidth="1"/>
    <col min="11" max="11" width="1.7109375" style="3" customWidth="1"/>
    <col min="12" max="12" width="13.42578125" style="3" customWidth="1"/>
    <col min="13" max="13" width="12.7109375" style="3" customWidth="1"/>
    <col min="14" max="14" width="1.7109375" style="3" customWidth="1"/>
    <col min="15" max="15" width="13.42578125" style="3" customWidth="1"/>
    <col min="16" max="16" width="12.7109375" style="3" customWidth="1"/>
  </cols>
  <sheetData>
    <row r="1" spans="1:40" s="69" customFormat="1" ht="14.1" customHeight="1" x14ac:dyDescent="0.2">
      <c r="A1" s="66"/>
      <c r="B1" s="484" t="s">
        <v>144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85"/>
      <c r="N1" s="328"/>
      <c r="O1" s="328"/>
      <c r="P1" s="85" t="s">
        <v>118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F1" s="68"/>
      <c r="AG1" s="68"/>
      <c r="AH1" s="68"/>
      <c r="AI1" s="68"/>
      <c r="AJ1" s="68"/>
      <c r="AK1" s="68"/>
      <c r="AL1" s="68"/>
      <c r="AM1" s="68"/>
      <c r="AN1" s="68"/>
    </row>
    <row r="2" spans="1:40" s="69" customFormat="1" ht="6.95" customHeight="1" x14ac:dyDescent="0.2">
      <c r="A2" s="66"/>
      <c r="B2" s="484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spans="1:40" s="69" customFormat="1" ht="14.1" customHeight="1" x14ac:dyDescent="0.2">
      <c r="A3" s="66"/>
      <c r="B3" s="484" t="s">
        <v>142</v>
      </c>
      <c r="C3" s="329"/>
      <c r="D3" s="329"/>
      <c r="E3" s="329"/>
      <c r="F3" s="329"/>
      <c r="G3" s="329"/>
      <c r="H3" s="328"/>
      <c r="I3" s="328"/>
      <c r="J3" s="328"/>
      <c r="K3" s="328"/>
      <c r="L3" s="328"/>
      <c r="M3" s="328"/>
      <c r="N3" s="328"/>
      <c r="O3" s="328"/>
      <c r="P3" s="32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spans="1:40" s="69" customFormat="1" ht="6.95" customHeight="1" x14ac:dyDescent="0.2">
      <c r="A4" s="66"/>
      <c r="B4" s="328"/>
      <c r="C4" s="330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spans="1:40" s="69" customFormat="1" ht="30" customHeight="1" x14ac:dyDescent="0.2">
      <c r="A5" s="66"/>
      <c r="B5" s="588" t="s">
        <v>126</v>
      </c>
      <c r="C5" s="588"/>
      <c r="D5" s="588"/>
      <c r="E5" s="588"/>
      <c r="F5" s="588"/>
      <c r="G5" s="588"/>
      <c r="H5" s="588"/>
      <c r="I5" s="588"/>
      <c r="J5" s="588"/>
      <c r="K5" s="588"/>
      <c r="L5" s="588"/>
      <c r="M5" s="588"/>
      <c r="N5" s="588"/>
      <c r="O5" s="71"/>
      <c r="P5" s="75" t="s">
        <v>96</v>
      </c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spans="1:40" ht="6" customHeight="1" x14ac:dyDescent="0.2">
      <c r="A6" s="66"/>
      <c r="B6" s="331"/>
      <c r="C6" s="332"/>
      <c r="D6" s="332"/>
      <c r="E6" s="332"/>
      <c r="F6" s="332"/>
      <c r="G6" s="332"/>
      <c r="H6" s="332"/>
      <c r="I6" s="332"/>
      <c r="J6" s="333"/>
      <c r="K6" s="332"/>
      <c r="L6" s="332"/>
      <c r="M6" s="333"/>
      <c r="N6" s="332"/>
      <c r="O6" s="332"/>
      <c r="P6" s="33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customHeight="1" x14ac:dyDescent="0.2">
      <c r="A7" s="66"/>
      <c r="B7" s="589" t="s">
        <v>22</v>
      </c>
      <c r="C7" s="589"/>
      <c r="D7" s="592" t="s">
        <v>2</v>
      </c>
      <c r="E7" s="334"/>
      <c r="F7" s="595" t="s">
        <v>135</v>
      </c>
      <c r="G7" s="595"/>
      <c r="H7" s="335"/>
      <c r="I7" s="586" t="s">
        <v>136</v>
      </c>
      <c r="J7" s="586"/>
      <c r="K7" s="335"/>
      <c r="L7" s="586" t="s">
        <v>127</v>
      </c>
      <c r="M7" s="586"/>
      <c r="N7" s="335"/>
      <c r="O7" s="586" t="s">
        <v>117</v>
      </c>
      <c r="P7" s="586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21.75" customHeight="1" x14ac:dyDescent="0.2">
      <c r="A8" s="66"/>
      <c r="B8" s="590"/>
      <c r="C8" s="590"/>
      <c r="D8" s="593"/>
      <c r="E8" s="336"/>
      <c r="F8" s="596"/>
      <c r="G8" s="596"/>
      <c r="H8" s="337"/>
      <c r="I8" s="587"/>
      <c r="J8" s="587"/>
      <c r="K8" s="337"/>
      <c r="L8" s="587"/>
      <c r="M8" s="587"/>
      <c r="N8" s="337"/>
      <c r="O8" s="587"/>
      <c r="P8" s="587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.75" customHeight="1" x14ac:dyDescent="0.2">
      <c r="A9" s="12"/>
      <c r="B9" s="591"/>
      <c r="C9" s="591"/>
      <c r="D9" s="594"/>
      <c r="E9" s="338"/>
      <c r="F9" s="110" t="s">
        <v>13</v>
      </c>
      <c r="G9" s="110" t="s">
        <v>14</v>
      </c>
      <c r="H9" s="339"/>
      <c r="I9" s="110" t="s">
        <v>13</v>
      </c>
      <c r="J9" s="110" t="s">
        <v>14</v>
      </c>
      <c r="K9" s="339"/>
      <c r="L9" s="110" t="s">
        <v>13</v>
      </c>
      <c r="M9" s="110" t="s">
        <v>14</v>
      </c>
      <c r="N9" s="339"/>
      <c r="O9" s="110" t="s">
        <v>13</v>
      </c>
      <c r="P9" s="110" t="s">
        <v>14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6" customHeight="1" x14ac:dyDescent="0.2">
      <c r="A10" s="67"/>
      <c r="B10" s="340"/>
      <c r="C10" s="341"/>
      <c r="D10" s="342"/>
      <c r="E10" s="342"/>
      <c r="F10" s="343"/>
      <c r="G10" s="344"/>
      <c r="H10" s="344"/>
      <c r="I10" s="344"/>
      <c r="J10" s="345"/>
      <c r="K10" s="344"/>
      <c r="L10" s="346"/>
      <c r="M10" s="345"/>
      <c r="N10" s="344"/>
      <c r="O10" s="344"/>
      <c r="P10" s="345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x14ac:dyDescent="0.2">
      <c r="A11" s="17"/>
      <c r="B11" s="111" t="s">
        <v>5</v>
      </c>
      <c r="C11" s="347"/>
      <c r="D11" s="159">
        <v>245318.59867594499</v>
      </c>
      <c r="E11" s="348"/>
      <c r="F11" s="159">
        <v>46189.025041592598</v>
      </c>
      <c r="G11" s="159">
        <v>0.12662739510000001</v>
      </c>
      <c r="H11" s="348"/>
      <c r="I11" s="159">
        <v>39251.320084792198</v>
      </c>
      <c r="J11" s="159">
        <v>0.1090299379</v>
      </c>
      <c r="K11" s="112"/>
      <c r="L11" s="159">
        <v>19585.922864247601</v>
      </c>
      <c r="M11" s="159">
        <v>5.5092145500000002E-2</v>
      </c>
      <c r="N11" s="112"/>
      <c r="O11" s="159">
        <v>231474.097355971</v>
      </c>
      <c r="P11" s="159">
        <v>0.17828594759999999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6" customHeight="1" x14ac:dyDescent="0.2">
      <c r="A12" s="11"/>
      <c r="B12" s="113"/>
      <c r="C12" s="347"/>
      <c r="D12" s="95"/>
      <c r="E12" s="348"/>
      <c r="F12" s="95"/>
      <c r="G12" s="96"/>
      <c r="H12" s="348"/>
      <c r="I12" s="95"/>
      <c r="J12" s="96"/>
      <c r="K12" s="112"/>
      <c r="L12" s="95"/>
      <c r="M12" s="96"/>
      <c r="N12" s="112"/>
      <c r="O12" s="95"/>
      <c r="P12" s="96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1.25" customHeight="1" x14ac:dyDescent="0.2">
      <c r="A13" s="11"/>
      <c r="B13" s="39" t="s">
        <v>26</v>
      </c>
      <c r="C13" s="349"/>
      <c r="D13" s="160">
        <v>8967.3004696325006</v>
      </c>
      <c r="E13" s="350"/>
      <c r="F13" s="160">
        <v>2441.2597847030002</v>
      </c>
      <c r="G13" s="160">
        <v>0.63445257239999997</v>
      </c>
      <c r="H13" s="350"/>
      <c r="I13" s="160">
        <v>1430.7219885520999</v>
      </c>
      <c r="J13" s="160">
        <v>0.36955279099999999</v>
      </c>
      <c r="K13" s="112"/>
      <c r="L13" s="160">
        <v>1018.506414146</v>
      </c>
      <c r="M13" s="160">
        <v>0.26207118190000001</v>
      </c>
      <c r="N13" s="112"/>
      <c r="O13" s="160">
        <v>9014.9120105402999</v>
      </c>
      <c r="P13" s="160">
        <v>0.71990047580000005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x14ac:dyDescent="0.2">
      <c r="A14" s="11"/>
      <c r="B14" s="39" t="s">
        <v>27</v>
      </c>
      <c r="C14" s="349"/>
      <c r="D14" s="160">
        <v>30546.712730472598</v>
      </c>
      <c r="E14" s="350"/>
      <c r="F14" s="160">
        <v>3992.6494274029001</v>
      </c>
      <c r="G14" s="160">
        <v>0.35195019900000002</v>
      </c>
      <c r="H14" s="350"/>
      <c r="I14" s="160">
        <v>3492.1449432540999</v>
      </c>
      <c r="J14" s="160">
        <v>0.30397146009999998</v>
      </c>
      <c r="K14" s="112"/>
      <c r="L14" s="160">
        <v>2399.0527590403999</v>
      </c>
      <c r="M14" s="160">
        <v>0.2120823838</v>
      </c>
      <c r="N14" s="112"/>
      <c r="O14" s="160">
        <v>30802.214654180501</v>
      </c>
      <c r="P14" s="160">
        <v>0.49891230990000002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x14ac:dyDescent="0.2">
      <c r="A15" s="12"/>
      <c r="B15" s="39" t="s">
        <v>28</v>
      </c>
      <c r="C15" s="349"/>
      <c r="D15" s="160">
        <v>8722.5870993348999</v>
      </c>
      <c r="E15" s="350"/>
      <c r="F15" s="160">
        <v>1336.4318310049</v>
      </c>
      <c r="G15" s="160">
        <v>0.51210508560000001</v>
      </c>
      <c r="H15" s="350"/>
      <c r="I15" s="160">
        <v>1197.8501609257</v>
      </c>
      <c r="J15" s="160">
        <v>0.50159542509999999</v>
      </c>
      <c r="K15" s="112"/>
      <c r="L15" s="160">
        <v>577.46633077959996</v>
      </c>
      <c r="M15" s="160">
        <v>0.23911304050000001</v>
      </c>
      <c r="N15" s="112"/>
      <c r="O15" s="160">
        <v>8124.9036402720003</v>
      </c>
      <c r="P15" s="160">
        <v>0.69531893830000002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5" x14ac:dyDescent="0.2">
      <c r="A16" s="12"/>
      <c r="B16" s="39" t="s">
        <v>29</v>
      </c>
      <c r="C16" s="349"/>
      <c r="D16" s="160">
        <v>9823.9999164673009</v>
      </c>
      <c r="E16" s="350"/>
      <c r="F16" s="160">
        <v>1012.7025865584</v>
      </c>
      <c r="G16" s="160">
        <v>0.37790426360000001</v>
      </c>
      <c r="H16" s="350"/>
      <c r="I16" s="160">
        <v>1835.5514706747001</v>
      </c>
      <c r="J16" s="160">
        <v>0.62659251230000002</v>
      </c>
      <c r="K16" s="112"/>
      <c r="L16" s="160">
        <v>773.33041121400004</v>
      </c>
      <c r="M16" s="160">
        <v>0.29170992019999997</v>
      </c>
      <c r="N16" s="112"/>
      <c r="O16" s="160">
        <v>8645.3649462556004</v>
      </c>
      <c r="P16" s="160">
        <v>0.77402352949999997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5" x14ac:dyDescent="0.2">
      <c r="A17" s="12"/>
      <c r="B17" s="39" t="s">
        <v>30</v>
      </c>
      <c r="C17" s="349"/>
      <c r="D17" s="128">
        <v>20174.373876367401</v>
      </c>
      <c r="E17" s="350"/>
      <c r="F17" s="128">
        <v>3196.0448664360001</v>
      </c>
      <c r="G17" s="128">
        <v>0.34979647879999998</v>
      </c>
      <c r="H17" s="350"/>
      <c r="I17" s="128">
        <v>4722.5604226667001</v>
      </c>
      <c r="J17" s="128">
        <v>0.51584668889999996</v>
      </c>
      <c r="K17" s="112"/>
      <c r="L17" s="128">
        <v>3267.9595191706999</v>
      </c>
      <c r="M17" s="128">
        <v>0.3586316591</v>
      </c>
      <c r="N17" s="112"/>
      <c r="O17" s="128">
        <v>19852.048179248599</v>
      </c>
      <c r="P17" s="128">
        <v>0.71840682680000001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5" x14ac:dyDescent="0.2">
      <c r="A18" s="21"/>
      <c r="B18" s="39" t="s">
        <v>31</v>
      </c>
      <c r="C18" s="349"/>
      <c r="D18" s="128">
        <v>8619.0153653119996</v>
      </c>
      <c r="E18" s="350"/>
      <c r="F18" s="128">
        <v>1154.8342967327001</v>
      </c>
      <c r="G18" s="128">
        <v>0.49359194740000001</v>
      </c>
      <c r="H18" s="350"/>
      <c r="I18" s="128">
        <v>1331.4196493533</v>
      </c>
      <c r="J18" s="128">
        <v>0.52576065490000001</v>
      </c>
      <c r="K18" s="112"/>
      <c r="L18" s="128">
        <v>606.20441096939999</v>
      </c>
      <c r="M18" s="128">
        <v>0.26084921039999998</v>
      </c>
      <c r="N18" s="112"/>
      <c r="O18" s="128">
        <v>7865.9956905928002</v>
      </c>
      <c r="P18" s="128">
        <v>0.71874775639999999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" x14ac:dyDescent="0.2">
      <c r="A19" s="21"/>
      <c r="B19" s="39" t="s">
        <v>32</v>
      </c>
      <c r="C19" s="349"/>
      <c r="D19" s="160">
        <v>63038.559215489498</v>
      </c>
      <c r="E19" s="350"/>
      <c r="F19" s="160">
        <v>6215.3459412353996</v>
      </c>
      <c r="G19" s="160">
        <v>0.4099910544</v>
      </c>
      <c r="H19" s="350"/>
      <c r="I19" s="160">
        <v>12480.8818609106</v>
      </c>
      <c r="J19" s="160">
        <v>0.77874288219999999</v>
      </c>
      <c r="K19" s="112"/>
      <c r="L19" s="160">
        <v>4421.7096212890001</v>
      </c>
      <c r="M19" s="160">
        <v>0.30393336700000001</v>
      </c>
      <c r="N19" s="112"/>
      <c r="O19" s="160">
        <v>55436.480584815698</v>
      </c>
      <c r="P19" s="160">
        <v>1.0911673719999999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" x14ac:dyDescent="0.2">
      <c r="B20" s="39" t="s">
        <v>33</v>
      </c>
      <c r="C20" s="349"/>
      <c r="D20" s="160">
        <v>21528.302989013799</v>
      </c>
      <c r="E20" s="350"/>
      <c r="F20" s="160">
        <v>2830.2319530425998</v>
      </c>
      <c r="G20" s="160">
        <v>0.24749657559999999</v>
      </c>
      <c r="H20" s="350"/>
      <c r="I20" s="160">
        <v>4882.4468730115996</v>
      </c>
      <c r="J20" s="160">
        <v>0.42721827899999998</v>
      </c>
      <c r="K20" s="112"/>
      <c r="L20" s="160">
        <v>3111.3736944532998</v>
      </c>
      <c r="M20" s="160">
        <v>0.27165535349999997</v>
      </c>
      <c r="N20" s="112"/>
      <c r="O20" s="160">
        <v>21745.844310824101</v>
      </c>
      <c r="P20" s="160">
        <v>0.54649376729999999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" x14ac:dyDescent="0.2">
      <c r="B21" s="39" t="s">
        <v>34</v>
      </c>
      <c r="C21" s="349"/>
      <c r="D21" s="160">
        <v>50347.549406123697</v>
      </c>
      <c r="E21" s="350"/>
      <c r="F21" s="160">
        <v>14078.9080656153</v>
      </c>
      <c r="G21" s="160">
        <v>0.51211192009999995</v>
      </c>
      <c r="H21" s="350"/>
      <c r="I21" s="160">
        <v>7621.1085247445999</v>
      </c>
      <c r="J21" s="160">
        <v>0.27904504829999999</v>
      </c>
      <c r="K21" s="112"/>
      <c r="L21" s="160">
        <v>3678.1326027270002</v>
      </c>
      <c r="M21" s="160">
        <v>0.1353308349</v>
      </c>
      <c r="N21" s="112"/>
      <c r="O21" s="160">
        <v>50056.335475717802</v>
      </c>
      <c r="P21" s="160">
        <v>0.57381713519999999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" x14ac:dyDescent="0.2">
      <c r="B22" s="39" t="s">
        <v>35</v>
      </c>
      <c r="C22" s="349"/>
      <c r="D22" s="160">
        <v>12174.4839866041</v>
      </c>
      <c r="E22" s="350"/>
      <c r="F22" s="160">
        <v>3009.3297382695</v>
      </c>
      <c r="G22" s="160">
        <v>0.58074249990000004</v>
      </c>
      <c r="H22" s="350"/>
      <c r="I22" s="160">
        <v>2644.5615835587</v>
      </c>
      <c r="J22" s="160">
        <v>0.52077117159999997</v>
      </c>
      <c r="K22" s="112"/>
      <c r="L22" s="160">
        <v>1208.6025334681001</v>
      </c>
      <c r="M22" s="160">
        <v>0.23663254580000001</v>
      </c>
      <c r="N22" s="112"/>
      <c r="O22" s="160">
        <v>11235.907486273099</v>
      </c>
      <c r="P22" s="160">
        <v>0.80753668670000001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5" x14ac:dyDescent="0.2">
      <c r="B23" s="39" t="s">
        <v>36</v>
      </c>
      <c r="C23" s="349"/>
      <c r="D23" s="160">
        <v>39342.759310615002</v>
      </c>
      <c r="E23" s="350"/>
      <c r="F23" s="160">
        <v>9960.3632568941994</v>
      </c>
      <c r="G23" s="160">
        <v>0.62660673259999999</v>
      </c>
      <c r="H23" s="350"/>
      <c r="I23" s="160">
        <v>7188.0854095080003</v>
      </c>
      <c r="J23" s="160">
        <v>0.45523343509999997</v>
      </c>
      <c r="K23" s="112"/>
      <c r="L23" s="160">
        <v>4043.4746801434999</v>
      </c>
      <c r="M23" s="160">
        <v>0.25452339839999999</v>
      </c>
      <c r="N23" s="112"/>
      <c r="O23" s="160">
        <v>39711.677844978898</v>
      </c>
      <c r="P23" s="160">
        <v>0.84411521349999996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" x14ac:dyDescent="0.2">
      <c r="B24" s="39" t="s">
        <v>37</v>
      </c>
      <c r="C24" s="349"/>
      <c r="D24" s="160">
        <v>28850.313181142301</v>
      </c>
      <c r="E24" s="350"/>
      <c r="F24" s="160">
        <v>5007.4695934699002</v>
      </c>
      <c r="G24" s="160">
        <v>0.52464732390000002</v>
      </c>
      <c r="H24" s="350"/>
      <c r="I24" s="160">
        <v>6830.5320214715002</v>
      </c>
      <c r="J24" s="160">
        <v>0.73090008409999996</v>
      </c>
      <c r="K24" s="112"/>
      <c r="L24" s="160">
        <v>2106.5189866863002</v>
      </c>
      <c r="M24" s="160">
        <v>0.22209608519999999</v>
      </c>
      <c r="N24" s="112"/>
      <c r="O24" s="160">
        <v>28491.7271646687</v>
      </c>
      <c r="P24" s="160">
        <v>1.0790231407999999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" x14ac:dyDescent="0.2">
      <c r="B25" s="39" t="s">
        <v>38</v>
      </c>
      <c r="C25" s="349"/>
      <c r="D25" s="160">
        <v>24330.5739194446</v>
      </c>
      <c r="E25" s="350"/>
      <c r="F25" s="160">
        <v>6057.8856295860996</v>
      </c>
      <c r="G25" s="160">
        <v>0.65214351179999996</v>
      </c>
      <c r="H25" s="350"/>
      <c r="I25" s="160">
        <v>3921.8194889079</v>
      </c>
      <c r="J25" s="160">
        <v>0.44946107819999997</v>
      </c>
      <c r="K25" s="112"/>
      <c r="L25" s="160">
        <v>1863.3467312529001</v>
      </c>
      <c r="M25" s="160">
        <v>0.21726244080000001</v>
      </c>
      <c r="N25" s="112"/>
      <c r="O25" s="160">
        <v>22170.828011669601</v>
      </c>
      <c r="P25" s="160">
        <v>0.86306475250000003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" x14ac:dyDescent="0.2">
      <c r="B26" s="39" t="s">
        <v>39</v>
      </c>
      <c r="C26" s="349"/>
      <c r="D26" s="160">
        <v>55559.275928897499</v>
      </c>
      <c r="E26" s="350"/>
      <c r="F26" s="160">
        <v>10264.112071637899</v>
      </c>
      <c r="G26" s="160">
        <v>0.43065004940000001</v>
      </c>
      <c r="H26" s="350"/>
      <c r="I26" s="160">
        <v>11718.6208585758</v>
      </c>
      <c r="J26" s="160">
        <v>0.49627258990000001</v>
      </c>
      <c r="K26" s="112"/>
      <c r="L26" s="160">
        <v>6424.1163145260998</v>
      </c>
      <c r="M26" s="160">
        <v>0.27546215870000001</v>
      </c>
      <c r="N26" s="112"/>
      <c r="O26" s="160">
        <v>51419.144839514498</v>
      </c>
      <c r="P26" s="160">
        <v>0.68208558019999999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5" x14ac:dyDescent="0.2">
      <c r="B27" s="39" t="s">
        <v>40</v>
      </c>
      <c r="C27" s="349"/>
      <c r="D27" s="160">
        <v>153845.18493733901</v>
      </c>
      <c r="E27" s="350"/>
      <c r="F27" s="160">
        <v>28115.257106388799</v>
      </c>
      <c r="G27" s="160">
        <v>0.57735031719999996</v>
      </c>
      <c r="H27" s="350"/>
      <c r="I27" s="160">
        <v>19898.7609519094</v>
      </c>
      <c r="J27" s="160">
        <v>0.43012362079999999</v>
      </c>
      <c r="K27" s="112"/>
      <c r="L27" s="160">
        <v>10200.2536054582</v>
      </c>
      <c r="M27" s="160">
        <v>0.2206795295</v>
      </c>
      <c r="N27" s="112"/>
      <c r="O27" s="160">
        <v>146119.573698561</v>
      </c>
      <c r="P27" s="160">
        <v>0.77381107090000001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" x14ac:dyDescent="0.2">
      <c r="B28" s="39" t="s">
        <v>41</v>
      </c>
      <c r="C28" s="349"/>
      <c r="D28" s="160">
        <v>48544.014646115298</v>
      </c>
      <c r="E28" s="350"/>
      <c r="F28" s="160">
        <v>14917.2335311146</v>
      </c>
      <c r="G28" s="160">
        <v>1.113029077</v>
      </c>
      <c r="H28" s="350"/>
      <c r="I28" s="160">
        <v>7972.9595905622</v>
      </c>
      <c r="J28" s="160">
        <v>0.59252572579999996</v>
      </c>
      <c r="K28" s="112"/>
      <c r="L28" s="160">
        <v>4557.5261015892002</v>
      </c>
      <c r="M28" s="160">
        <v>0.33957142429999998</v>
      </c>
      <c r="N28" s="112"/>
      <c r="O28" s="160">
        <v>44215.794221657401</v>
      </c>
      <c r="P28" s="160">
        <v>1.4115104251999999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" x14ac:dyDescent="0.2">
      <c r="B29" s="39" t="s">
        <v>42</v>
      </c>
      <c r="C29" s="349"/>
      <c r="D29" s="160">
        <v>20366.691328497</v>
      </c>
      <c r="E29" s="350"/>
      <c r="F29" s="160">
        <v>4962.7405326537</v>
      </c>
      <c r="G29" s="160">
        <v>0.76317093700000005</v>
      </c>
      <c r="H29" s="350"/>
      <c r="I29" s="160">
        <v>1926.9626730308</v>
      </c>
      <c r="J29" s="160">
        <v>0.34909766190000002</v>
      </c>
      <c r="K29" s="112"/>
      <c r="L29" s="160">
        <v>2682.5463965438998</v>
      </c>
      <c r="M29" s="160">
        <v>0.4640917805</v>
      </c>
      <c r="N29" s="112"/>
      <c r="O29" s="160">
        <v>18084.989557157402</v>
      </c>
      <c r="P29" s="160">
        <v>0.81262188390000001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" x14ac:dyDescent="0.2">
      <c r="B30" s="39" t="s">
        <v>43</v>
      </c>
      <c r="C30" s="349"/>
      <c r="D30" s="160">
        <v>10075.872713184701</v>
      </c>
      <c r="E30" s="350"/>
      <c r="F30" s="160">
        <v>1837.2510748274999</v>
      </c>
      <c r="G30" s="160">
        <v>0.50627863559999997</v>
      </c>
      <c r="H30" s="350"/>
      <c r="I30" s="160">
        <v>2092.9918740066</v>
      </c>
      <c r="J30" s="160">
        <v>0.57471826839999995</v>
      </c>
      <c r="K30" s="112"/>
      <c r="L30" s="160">
        <v>1152.7421651361999</v>
      </c>
      <c r="M30" s="160">
        <v>0.31844294099999998</v>
      </c>
      <c r="N30" s="112"/>
      <c r="O30" s="160">
        <v>9780.4201331841996</v>
      </c>
      <c r="P30" s="160">
        <v>0.84049026999999998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" x14ac:dyDescent="0.2">
      <c r="B31" s="39" t="s">
        <v>44</v>
      </c>
      <c r="C31" s="349"/>
      <c r="D31" s="160">
        <v>46826.58478284</v>
      </c>
      <c r="E31" s="350"/>
      <c r="F31" s="160">
        <v>6000.4005198553004</v>
      </c>
      <c r="G31" s="160">
        <v>0.35641330989999997</v>
      </c>
      <c r="H31" s="350"/>
      <c r="I31" s="160">
        <v>10368.1221325766</v>
      </c>
      <c r="J31" s="160">
        <v>0.60681321479999994</v>
      </c>
      <c r="K31" s="112"/>
      <c r="L31" s="160">
        <v>4529.4935370706999</v>
      </c>
      <c r="M31" s="160">
        <v>0.26858966150000002</v>
      </c>
      <c r="N31" s="112"/>
      <c r="O31" s="160">
        <v>43860.2670738624</v>
      </c>
      <c r="P31" s="160">
        <v>0.70867547500000005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" x14ac:dyDescent="0.2">
      <c r="B32" s="39" t="s">
        <v>45</v>
      </c>
      <c r="C32" s="349"/>
      <c r="D32" s="160">
        <v>51721.305046021</v>
      </c>
      <c r="E32" s="350"/>
      <c r="F32" s="160">
        <v>8706.6932704764004</v>
      </c>
      <c r="G32" s="160">
        <v>0.71236504590000005</v>
      </c>
      <c r="H32" s="350"/>
      <c r="I32" s="160">
        <v>6993.8683253400004</v>
      </c>
      <c r="J32" s="160">
        <v>0.58189782489999997</v>
      </c>
      <c r="K32" s="112"/>
      <c r="L32" s="160">
        <v>2307.4847567436</v>
      </c>
      <c r="M32" s="160">
        <v>0.2060180398</v>
      </c>
      <c r="N32" s="112"/>
      <c r="O32" s="160">
        <v>46660.484913730703</v>
      </c>
      <c r="P32" s="160">
        <v>0.97602389099999998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2:40" ht="15" x14ac:dyDescent="0.2">
      <c r="B33" s="39" t="s">
        <v>46</v>
      </c>
      <c r="C33" s="349"/>
      <c r="D33" s="160">
        <v>60553.044746405503</v>
      </c>
      <c r="E33" s="350"/>
      <c r="F33" s="160">
        <v>12721.4605865585</v>
      </c>
      <c r="G33" s="160">
        <v>0.73532583679999997</v>
      </c>
      <c r="H33" s="350"/>
      <c r="I33" s="160">
        <v>8217.6100849356008</v>
      </c>
      <c r="J33" s="160">
        <v>0.48289199570000002</v>
      </c>
      <c r="K33" s="112"/>
      <c r="L33" s="160">
        <v>4027.9444302687998</v>
      </c>
      <c r="M33" s="160">
        <v>0.2291908852</v>
      </c>
      <c r="N33" s="112"/>
      <c r="O33" s="160">
        <v>57982.632432553801</v>
      </c>
      <c r="P33" s="160">
        <v>0.86104530379999999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2:40" ht="15" x14ac:dyDescent="0.2">
      <c r="B34" s="39" t="s">
        <v>47</v>
      </c>
      <c r="C34" s="349"/>
      <c r="D34" s="160">
        <v>32602.288410915098</v>
      </c>
      <c r="E34" s="350"/>
      <c r="F34" s="160">
        <v>4305.0765572297996</v>
      </c>
      <c r="G34" s="160">
        <v>0.63543083239999998</v>
      </c>
      <c r="H34" s="350"/>
      <c r="I34" s="160">
        <v>3499.5594886456001</v>
      </c>
      <c r="J34" s="160">
        <v>0.49672969909999998</v>
      </c>
      <c r="K34" s="112"/>
      <c r="L34" s="160">
        <v>2480.1638082346999</v>
      </c>
      <c r="M34" s="160">
        <v>0.3638881249</v>
      </c>
      <c r="N34" s="112"/>
      <c r="O34" s="160">
        <v>30144.7808997348</v>
      </c>
      <c r="P34" s="160">
        <v>0.82949659630000006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2:40" ht="15" x14ac:dyDescent="0.2">
      <c r="B35" s="39" t="s">
        <v>48</v>
      </c>
      <c r="C35" s="349"/>
      <c r="D35" s="160">
        <v>21975.205253110002</v>
      </c>
      <c r="E35" s="350"/>
      <c r="F35" s="160">
        <v>1546.8485192658</v>
      </c>
      <c r="G35" s="160">
        <v>0.28125453379999998</v>
      </c>
      <c r="H35" s="350"/>
      <c r="I35" s="160">
        <v>2094.7488404272999</v>
      </c>
      <c r="J35" s="160">
        <v>0.39510202909999997</v>
      </c>
      <c r="K35" s="112"/>
      <c r="L35" s="160">
        <v>2161.5225703708002</v>
      </c>
      <c r="M35" s="160">
        <v>0.38990958999999997</v>
      </c>
      <c r="N35" s="112"/>
      <c r="O35" s="160">
        <v>22211.374163916102</v>
      </c>
      <c r="P35" s="160">
        <v>0.63253182809999997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2:40" ht="15" x14ac:dyDescent="0.2">
      <c r="B36" s="39" t="s">
        <v>49</v>
      </c>
      <c r="C36" s="349"/>
      <c r="D36" s="160">
        <v>15666.7398479494</v>
      </c>
      <c r="E36" s="350"/>
      <c r="F36" s="160">
        <v>4374.8628618796001</v>
      </c>
      <c r="G36" s="160">
        <v>0.56231105820000005</v>
      </c>
      <c r="H36" s="350"/>
      <c r="I36" s="160">
        <v>3824.510965036</v>
      </c>
      <c r="J36" s="160">
        <v>0.49097304920000001</v>
      </c>
      <c r="K36" s="112"/>
      <c r="L36" s="160">
        <v>3036.7566396687998</v>
      </c>
      <c r="M36" s="160">
        <v>0.38940052530000002</v>
      </c>
      <c r="N36" s="112"/>
      <c r="O36" s="160">
        <v>15540.935815397101</v>
      </c>
      <c r="P36" s="160">
        <v>0.80932993210000004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2:40" ht="15" x14ac:dyDescent="0.2">
      <c r="B37" s="39" t="s">
        <v>50</v>
      </c>
      <c r="C37" s="349"/>
      <c r="D37" s="160">
        <v>19480.778027771601</v>
      </c>
      <c r="E37" s="350"/>
      <c r="F37" s="160">
        <v>3319.6299442135</v>
      </c>
      <c r="G37" s="160">
        <v>0.3837317549</v>
      </c>
      <c r="H37" s="350"/>
      <c r="I37" s="160">
        <v>5689.6464296191998</v>
      </c>
      <c r="J37" s="160">
        <v>0.63546324109999996</v>
      </c>
      <c r="K37" s="112"/>
      <c r="L37" s="160">
        <v>2020.6377723464</v>
      </c>
      <c r="M37" s="160">
        <v>0.23522348900000001</v>
      </c>
      <c r="N37" s="112"/>
      <c r="O37" s="160">
        <v>18581.775529145099</v>
      </c>
      <c r="P37" s="160">
        <v>0.77763811969999996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2:40" ht="15" x14ac:dyDescent="0.2">
      <c r="B38" s="39" t="s">
        <v>51</v>
      </c>
      <c r="C38" s="349"/>
      <c r="D38" s="160">
        <v>25928.550404547899</v>
      </c>
      <c r="E38" s="350"/>
      <c r="F38" s="160">
        <v>2949.1341340430999</v>
      </c>
      <c r="G38" s="160">
        <v>0.33232816609999999</v>
      </c>
      <c r="H38" s="350"/>
      <c r="I38" s="160">
        <v>4500.1158321372004</v>
      </c>
      <c r="J38" s="160">
        <v>0.51286668540000002</v>
      </c>
      <c r="K38" s="112"/>
      <c r="L38" s="160">
        <v>1573.3972797739</v>
      </c>
      <c r="M38" s="160">
        <v>0.17924100270000001</v>
      </c>
      <c r="N38" s="112"/>
      <c r="O38" s="160">
        <v>25397.9228866304</v>
      </c>
      <c r="P38" s="160">
        <v>0.61262049169999999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2:40" ht="15" x14ac:dyDescent="0.2">
      <c r="B39" s="39" t="s">
        <v>52</v>
      </c>
      <c r="C39" s="349"/>
      <c r="D39" s="160">
        <v>24998.115892135302</v>
      </c>
      <c r="E39" s="350"/>
      <c r="F39" s="160">
        <v>1902.5813699606999</v>
      </c>
      <c r="G39" s="160">
        <v>0.28061788030000001</v>
      </c>
      <c r="H39" s="350"/>
      <c r="I39" s="160">
        <v>4717.5470828397001</v>
      </c>
      <c r="J39" s="160">
        <v>0.66529961260000003</v>
      </c>
      <c r="K39" s="112"/>
      <c r="L39" s="160">
        <v>1649.1987721503001</v>
      </c>
      <c r="M39" s="160">
        <v>0.23992372170000001</v>
      </c>
      <c r="N39" s="112"/>
      <c r="O39" s="160">
        <v>23936.124924065502</v>
      </c>
      <c r="P39" s="160">
        <v>0.7510742225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ht="15" x14ac:dyDescent="0.2">
      <c r="B40" s="39" t="s">
        <v>53</v>
      </c>
      <c r="C40" s="349"/>
      <c r="D40" s="160">
        <v>22249.9713929684</v>
      </c>
      <c r="E40" s="350"/>
      <c r="F40" s="160">
        <v>4553.5474990305001</v>
      </c>
      <c r="G40" s="160">
        <v>0.43646893260000003</v>
      </c>
      <c r="H40" s="350"/>
      <c r="I40" s="160">
        <v>4494.1708855636998</v>
      </c>
      <c r="J40" s="160">
        <v>0.42871181130000002</v>
      </c>
      <c r="K40" s="112"/>
      <c r="L40" s="160">
        <v>2150.9676647352999</v>
      </c>
      <c r="M40" s="160">
        <v>0.2051367446</v>
      </c>
      <c r="N40" s="112"/>
      <c r="O40" s="160">
        <v>22872.930819982001</v>
      </c>
      <c r="P40" s="160">
        <v>0.6159424214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ht="15" x14ac:dyDescent="0.2">
      <c r="B41" s="39" t="s">
        <v>54</v>
      </c>
      <c r="C41" s="349"/>
      <c r="D41" s="160">
        <v>9032.6462727959006</v>
      </c>
      <c r="E41" s="350"/>
      <c r="F41" s="160">
        <v>2715.9026644947999</v>
      </c>
      <c r="G41" s="160">
        <v>0.76777786299999995</v>
      </c>
      <c r="H41" s="350"/>
      <c r="I41" s="160">
        <v>1716.9436615223001</v>
      </c>
      <c r="J41" s="160">
        <v>0.49199191730000003</v>
      </c>
      <c r="K41" s="112"/>
      <c r="L41" s="160">
        <v>998.37326315070004</v>
      </c>
      <c r="M41" s="160">
        <v>0.29357202119999998</v>
      </c>
      <c r="N41" s="112"/>
      <c r="O41" s="160">
        <v>8193.7149693141</v>
      </c>
      <c r="P41" s="160">
        <v>0.96421014839999997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2:40" ht="15" x14ac:dyDescent="0.2">
      <c r="B42" s="39" t="s">
        <v>55</v>
      </c>
      <c r="C42" s="349"/>
      <c r="D42" s="160">
        <v>73888.639891829996</v>
      </c>
      <c r="E42" s="350"/>
      <c r="F42" s="160">
        <v>12297.0778489029</v>
      </c>
      <c r="G42" s="160">
        <v>0.49957788440000001</v>
      </c>
      <c r="H42" s="350"/>
      <c r="I42" s="160">
        <v>12681.779765956901</v>
      </c>
      <c r="J42" s="160">
        <v>0.51164846519999996</v>
      </c>
      <c r="K42" s="112"/>
      <c r="L42" s="160">
        <v>6178.6606150203997</v>
      </c>
      <c r="M42" s="160">
        <v>0.25678047939999998</v>
      </c>
      <c r="N42" s="112"/>
      <c r="O42" s="160">
        <v>67988.656381805893</v>
      </c>
      <c r="P42" s="160">
        <v>0.76662037859999999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2:40" ht="15" x14ac:dyDescent="0.2">
      <c r="B43" s="39" t="s">
        <v>56</v>
      </c>
      <c r="C43" s="349"/>
      <c r="D43" s="160">
        <v>22166.611550397301</v>
      </c>
      <c r="E43" s="350"/>
      <c r="F43" s="160">
        <v>2407.7662948596999</v>
      </c>
      <c r="G43" s="160">
        <v>0.36816335319999999</v>
      </c>
      <c r="H43" s="350"/>
      <c r="I43" s="160">
        <v>3754.7364197677002</v>
      </c>
      <c r="J43" s="160">
        <v>0.5295539226</v>
      </c>
      <c r="K43" s="112"/>
      <c r="L43" s="160">
        <v>2284.1045091065998</v>
      </c>
      <c r="M43" s="160">
        <v>0.33661948520000001</v>
      </c>
      <c r="N43" s="112"/>
      <c r="O43" s="160">
        <v>20663.393604586399</v>
      </c>
      <c r="P43" s="160">
        <v>0.75942800310000003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2:40" ht="15" x14ac:dyDescent="0.2">
      <c r="B44" s="48" t="s">
        <v>57</v>
      </c>
      <c r="C44" s="349"/>
      <c r="D44" s="160">
        <v>16223.618786687</v>
      </c>
      <c r="E44" s="350"/>
      <c r="F44" s="160">
        <v>3707.6911032585999</v>
      </c>
      <c r="G44" s="160">
        <v>0.7711429528</v>
      </c>
      <c r="H44" s="350"/>
      <c r="I44" s="160">
        <v>2460.1873390616001</v>
      </c>
      <c r="J44" s="160">
        <v>0.51279093050000002</v>
      </c>
      <c r="K44" s="112"/>
      <c r="L44" s="160">
        <v>1157.8958701687</v>
      </c>
      <c r="M44" s="160">
        <v>0.25314785709999998</v>
      </c>
      <c r="N44" s="112"/>
      <c r="O44" s="160">
        <v>14596.305624840301</v>
      </c>
      <c r="P44" s="160">
        <v>0.93294372380000001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2:40" ht="6" customHeight="1" x14ac:dyDescent="0.2">
      <c r="B45" s="40"/>
      <c r="C45" s="331"/>
      <c r="D45" s="4"/>
      <c r="E45" s="351"/>
      <c r="F45" s="4"/>
      <c r="G45" s="352"/>
      <c r="H45" s="352"/>
      <c r="I45" s="4"/>
      <c r="J45" s="352"/>
      <c r="K45" s="352"/>
      <c r="L45" s="4"/>
      <c r="M45" s="352"/>
      <c r="N45" s="352"/>
      <c r="O45" s="4"/>
      <c r="P45" s="35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2:40" ht="6" customHeight="1" x14ac:dyDescent="0.2">
      <c r="B46" s="353"/>
      <c r="C46" s="354"/>
      <c r="D46" s="355"/>
      <c r="E46" s="355"/>
      <c r="F46" s="355"/>
      <c r="G46" s="356"/>
      <c r="H46" s="356"/>
      <c r="I46" s="355"/>
      <c r="J46" s="356"/>
      <c r="K46" s="356"/>
      <c r="L46" s="355"/>
      <c r="M46" s="356"/>
      <c r="N46" s="356"/>
      <c r="O46" s="355"/>
      <c r="P46" s="356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2:40" s="89" customFormat="1" ht="11.25" customHeight="1" x14ac:dyDescent="0.2">
      <c r="B47" s="108" t="s">
        <v>134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</row>
    <row r="48" spans="2:40" x14ac:dyDescent="0.2"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2:40" x14ac:dyDescent="0.2"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2:40" x14ac:dyDescent="0.2"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2:40" x14ac:dyDescent="0.2"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2:40" x14ac:dyDescent="0.2"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2:40" x14ac:dyDescent="0.2"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2:40" x14ac:dyDescent="0.2"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2:40" x14ac:dyDescent="0.2"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2:40" x14ac:dyDescent="0.2"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2:40" x14ac:dyDescent="0.2"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2:40" x14ac:dyDescent="0.2"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2:40" x14ac:dyDescent="0.2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2:40" x14ac:dyDescent="0.2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2:40" x14ac:dyDescent="0.2"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2:40" x14ac:dyDescent="0.2"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2:40" x14ac:dyDescent="0.2">
      <c r="B63" s="3"/>
      <c r="C63" s="3"/>
      <c r="D63" s="3"/>
      <c r="E63" s="3"/>
      <c r="F63" s="3"/>
      <c r="G63" s="3"/>
      <c r="H63" s="3"/>
      <c r="I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2:40" x14ac:dyDescent="0.2">
      <c r="B64" s="3"/>
      <c r="C64" s="3"/>
      <c r="D64" s="3"/>
      <c r="E64" s="3"/>
      <c r="F64" s="3"/>
      <c r="G64" s="3"/>
      <c r="H64" s="3"/>
      <c r="I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2:40" x14ac:dyDescent="0.2">
      <c r="B65" s="3"/>
      <c r="C65" s="3"/>
      <c r="D65" s="3"/>
      <c r="E65" s="3"/>
      <c r="F65" s="3"/>
      <c r="G65" s="3"/>
      <c r="H65" s="3"/>
      <c r="I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2:40" x14ac:dyDescent="0.2">
      <c r="B66" s="3"/>
      <c r="C66" s="3"/>
      <c r="D66" s="3"/>
      <c r="E66" s="3"/>
      <c r="F66" s="3"/>
      <c r="G66" s="3"/>
      <c r="H66" s="3"/>
      <c r="I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2:40" x14ac:dyDescent="0.2">
      <c r="B67" s="3"/>
      <c r="C67" s="3"/>
      <c r="D67" s="3"/>
      <c r="E67" s="3"/>
      <c r="F67" s="3"/>
      <c r="G67" s="3"/>
      <c r="H67" s="3"/>
      <c r="I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B68" s="3"/>
      <c r="C68" s="3"/>
      <c r="D68" s="3"/>
      <c r="E68" s="3"/>
      <c r="F68" s="3"/>
      <c r="G68" s="3"/>
      <c r="H68" s="3"/>
      <c r="I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2:40" x14ac:dyDescent="0.2">
      <c r="B69" s="3"/>
      <c r="C69" s="3"/>
      <c r="D69" s="3"/>
      <c r="E69" s="3"/>
      <c r="F69" s="3"/>
      <c r="G69" s="3"/>
      <c r="H69" s="3"/>
      <c r="I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2:40" x14ac:dyDescent="0.2">
      <c r="B70" s="3"/>
      <c r="C70" s="3"/>
      <c r="D70" s="3"/>
      <c r="E70" s="3"/>
      <c r="F70" s="3"/>
      <c r="G70" s="3"/>
      <c r="H70" s="3"/>
      <c r="I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2:40" x14ac:dyDescent="0.2">
      <c r="B71" s="3"/>
      <c r="C71" s="3"/>
      <c r="D71" s="3"/>
      <c r="E71" s="3"/>
      <c r="F71" s="3"/>
      <c r="G71" s="3"/>
      <c r="H71" s="3"/>
      <c r="I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2:40" x14ac:dyDescent="0.2">
      <c r="B72" s="3"/>
      <c r="C72" s="3"/>
      <c r="D72" s="3"/>
      <c r="E72" s="3"/>
      <c r="F72" s="3"/>
      <c r="G72" s="3"/>
      <c r="H72" s="3"/>
      <c r="I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2:40" x14ac:dyDescent="0.2">
      <c r="B73" s="3"/>
      <c r="C73" s="3"/>
      <c r="D73" s="3"/>
      <c r="E73" s="3"/>
      <c r="F73" s="3"/>
      <c r="G73" s="3"/>
      <c r="H73" s="3"/>
      <c r="I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2:40" x14ac:dyDescent="0.2">
      <c r="B74" s="3"/>
      <c r="C74" s="3"/>
      <c r="D74" s="3"/>
      <c r="E74" s="3"/>
      <c r="F74" s="3"/>
      <c r="G74" s="3"/>
      <c r="H74" s="3"/>
      <c r="I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2:40" x14ac:dyDescent="0.2">
      <c r="B75" s="3"/>
      <c r="C75" s="3"/>
      <c r="D75" s="3"/>
      <c r="E75" s="3"/>
      <c r="F75" s="3"/>
      <c r="G75" s="3"/>
      <c r="H75" s="3"/>
      <c r="I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2:40" x14ac:dyDescent="0.2">
      <c r="B76" s="3"/>
      <c r="C76" s="3"/>
      <c r="D76" s="3"/>
      <c r="E76" s="3"/>
      <c r="F76" s="3"/>
      <c r="G76" s="3"/>
      <c r="H76" s="3"/>
      <c r="I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2:40" x14ac:dyDescent="0.2">
      <c r="B77" s="3"/>
      <c r="C77" s="3"/>
      <c r="D77" s="3"/>
      <c r="E77" s="3"/>
      <c r="F77" s="3"/>
      <c r="G77" s="3"/>
      <c r="H77" s="3"/>
      <c r="I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2:40" x14ac:dyDescent="0.2">
      <c r="B78" s="3"/>
      <c r="C78" s="3"/>
      <c r="D78" s="3"/>
      <c r="E78" s="3"/>
      <c r="F78" s="3"/>
      <c r="G78" s="3"/>
      <c r="H78" s="3"/>
      <c r="I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2:40" x14ac:dyDescent="0.2">
      <c r="B79" s="3"/>
      <c r="C79" s="3"/>
      <c r="D79" s="3"/>
      <c r="E79" s="3"/>
      <c r="F79" s="3"/>
      <c r="G79" s="3"/>
      <c r="H79" s="3"/>
      <c r="I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2:40" x14ac:dyDescent="0.2">
      <c r="B80" s="3"/>
      <c r="C80" s="3"/>
      <c r="D80" s="3"/>
      <c r="E80" s="3"/>
      <c r="F80" s="3"/>
      <c r="G80" s="3"/>
      <c r="H80" s="3"/>
      <c r="I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2:40" x14ac:dyDescent="0.2">
      <c r="B81" s="3"/>
      <c r="C81" s="3"/>
      <c r="D81" s="3"/>
      <c r="E81" s="3"/>
      <c r="F81" s="3"/>
      <c r="G81" s="3"/>
      <c r="H81" s="3"/>
      <c r="I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2:40" x14ac:dyDescent="0.2">
      <c r="B82" s="3"/>
      <c r="C82" s="3"/>
      <c r="D82" s="3"/>
      <c r="E82" s="3"/>
      <c r="F82" s="3"/>
      <c r="G82" s="3"/>
      <c r="H82" s="3"/>
      <c r="I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2:40" x14ac:dyDescent="0.2">
      <c r="B83" s="3"/>
      <c r="C83" s="3"/>
      <c r="D83" s="3"/>
      <c r="E83" s="3"/>
      <c r="F83" s="3"/>
      <c r="G83" s="3"/>
      <c r="H83" s="3"/>
      <c r="I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2:40" x14ac:dyDescent="0.2">
      <c r="B84" s="3"/>
      <c r="C84" s="3"/>
      <c r="D84" s="3"/>
      <c r="E84" s="3"/>
      <c r="F84" s="3"/>
      <c r="G84" s="3"/>
      <c r="H84" s="3"/>
      <c r="I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2:40" x14ac:dyDescent="0.2">
      <c r="B85" s="3"/>
      <c r="C85" s="3"/>
      <c r="D85" s="3"/>
      <c r="E85" s="3"/>
      <c r="F85" s="3"/>
      <c r="G85" s="3"/>
      <c r="H85" s="3"/>
      <c r="I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2:40" x14ac:dyDescent="0.2">
      <c r="B86" s="3"/>
      <c r="C86" s="3"/>
      <c r="D86" s="3"/>
      <c r="E86" s="3"/>
      <c r="F86" s="3"/>
      <c r="G86" s="3"/>
      <c r="H86" s="3"/>
      <c r="I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2:40" x14ac:dyDescent="0.2">
      <c r="B87" s="3"/>
      <c r="C87" s="3"/>
      <c r="D87" s="3"/>
      <c r="E87" s="3"/>
      <c r="F87" s="3"/>
      <c r="G87" s="3"/>
      <c r="H87" s="3"/>
      <c r="I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2:40" x14ac:dyDescent="0.2">
      <c r="B88" s="3"/>
      <c r="C88" s="3"/>
      <c r="D88" s="3"/>
      <c r="E88" s="3"/>
      <c r="F88" s="3"/>
      <c r="G88" s="3"/>
      <c r="H88" s="3"/>
      <c r="I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2:40" x14ac:dyDescent="0.2">
      <c r="B89" s="3"/>
      <c r="C89" s="3"/>
      <c r="D89" s="3"/>
      <c r="E89" s="3"/>
      <c r="F89" s="3"/>
      <c r="G89" s="3"/>
      <c r="H89" s="3"/>
      <c r="I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2:40" x14ac:dyDescent="0.2">
      <c r="B90" s="3"/>
      <c r="C90" s="3"/>
      <c r="D90" s="3"/>
      <c r="E90" s="3"/>
      <c r="F90" s="3"/>
      <c r="G90" s="3"/>
      <c r="H90" s="3"/>
      <c r="I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2:40" x14ac:dyDescent="0.2">
      <c r="B91" s="3"/>
      <c r="C91" s="3"/>
      <c r="D91" s="3"/>
      <c r="E91" s="3"/>
      <c r="F91" s="3"/>
      <c r="G91" s="3"/>
      <c r="H91" s="3"/>
      <c r="I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2:40" x14ac:dyDescent="0.2">
      <c r="B92" s="3"/>
      <c r="C92" s="3"/>
      <c r="D92" s="3"/>
      <c r="E92" s="3"/>
      <c r="F92" s="3"/>
      <c r="G92" s="3"/>
      <c r="H92" s="3"/>
      <c r="I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2:40" x14ac:dyDescent="0.2">
      <c r="B93" s="3"/>
      <c r="C93" s="3"/>
      <c r="D93" s="3"/>
      <c r="E93" s="3"/>
      <c r="F93" s="3"/>
      <c r="G93" s="3"/>
      <c r="H93" s="3"/>
      <c r="I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2:40" x14ac:dyDescent="0.2">
      <c r="B94" s="3"/>
      <c r="C94" s="3"/>
      <c r="D94" s="3"/>
      <c r="E94" s="3"/>
      <c r="F94" s="3"/>
      <c r="G94" s="3"/>
      <c r="H94" s="3"/>
      <c r="I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2:40" x14ac:dyDescent="0.2">
      <c r="B95" s="3"/>
      <c r="C95" s="3"/>
      <c r="D95" s="3"/>
      <c r="E95" s="3"/>
      <c r="F95" s="3"/>
      <c r="G95" s="3"/>
      <c r="H95" s="3"/>
      <c r="I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2:40" x14ac:dyDescent="0.2">
      <c r="B96" s="3"/>
      <c r="C96" s="3"/>
      <c r="D96" s="3"/>
      <c r="E96" s="3"/>
      <c r="F96" s="3"/>
      <c r="G96" s="3"/>
      <c r="H96" s="3"/>
      <c r="I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2:40" x14ac:dyDescent="0.2">
      <c r="B97" s="3"/>
      <c r="C97" s="3"/>
      <c r="D97" s="3"/>
      <c r="E97" s="3"/>
      <c r="F97" s="3"/>
      <c r="G97" s="3"/>
      <c r="H97" s="3"/>
      <c r="I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2:40" x14ac:dyDescent="0.2">
      <c r="B98" s="3"/>
      <c r="C98" s="3"/>
      <c r="D98" s="3"/>
      <c r="E98" s="3"/>
      <c r="F98" s="3"/>
      <c r="G98" s="3"/>
      <c r="H98" s="3"/>
      <c r="I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2:40" x14ac:dyDescent="0.2">
      <c r="B99" s="3"/>
      <c r="C99" s="3"/>
      <c r="D99" s="3"/>
      <c r="E99" s="3"/>
      <c r="F99" s="3"/>
      <c r="G99" s="3"/>
      <c r="H99" s="3"/>
      <c r="I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2:40" x14ac:dyDescent="0.2">
      <c r="B100" s="3"/>
      <c r="C100" s="3"/>
      <c r="D100" s="3"/>
      <c r="E100" s="3"/>
      <c r="F100" s="3"/>
      <c r="G100" s="3"/>
      <c r="H100" s="3"/>
      <c r="I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2:40" x14ac:dyDescent="0.2">
      <c r="B101" s="3"/>
      <c r="C101" s="3"/>
      <c r="D101" s="3"/>
      <c r="E101" s="3"/>
      <c r="F101" s="3"/>
      <c r="G101" s="3"/>
      <c r="H101" s="3"/>
      <c r="I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2:40" x14ac:dyDescent="0.2">
      <c r="B102" s="3"/>
      <c r="C102" s="3"/>
      <c r="D102" s="3"/>
      <c r="E102" s="3"/>
      <c r="F102" s="3"/>
      <c r="G102" s="3"/>
      <c r="H102" s="3"/>
      <c r="I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2:40" x14ac:dyDescent="0.2">
      <c r="B103" s="3"/>
      <c r="C103" s="3"/>
      <c r="D103" s="3"/>
      <c r="E103" s="3"/>
      <c r="F103" s="3"/>
      <c r="G103" s="3"/>
      <c r="H103" s="3"/>
      <c r="I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2:40" x14ac:dyDescent="0.2">
      <c r="B104" s="3"/>
      <c r="C104" s="3"/>
      <c r="D104" s="3"/>
      <c r="E104" s="3"/>
      <c r="F104" s="3"/>
      <c r="G104" s="3"/>
      <c r="H104" s="3"/>
      <c r="I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2:40" x14ac:dyDescent="0.2">
      <c r="B105" s="3"/>
      <c r="C105" s="3"/>
      <c r="D105" s="3"/>
      <c r="E105" s="3"/>
      <c r="F105" s="3"/>
      <c r="G105" s="3"/>
      <c r="H105" s="3"/>
      <c r="I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2:40" x14ac:dyDescent="0.2">
      <c r="B106" s="3"/>
      <c r="C106" s="3"/>
      <c r="D106" s="3"/>
      <c r="E106" s="3"/>
      <c r="F106" s="3"/>
      <c r="G106" s="3"/>
      <c r="H106" s="3"/>
      <c r="I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2:40" x14ac:dyDescent="0.2">
      <c r="B107" s="3"/>
      <c r="C107" s="3"/>
      <c r="D107" s="3"/>
      <c r="E107" s="3"/>
      <c r="F107" s="3"/>
      <c r="G107" s="3"/>
      <c r="H107" s="3"/>
      <c r="I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2:40" x14ac:dyDescent="0.2">
      <c r="B108" s="3"/>
      <c r="C108" s="3"/>
      <c r="D108" s="3"/>
      <c r="E108" s="3"/>
      <c r="F108" s="3"/>
      <c r="G108" s="3"/>
      <c r="H108" s="3"/>
      <c r="I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2:40" x14ac:dyDescent="0.2">
      <c r="B109" s="3"/>
      <c r="C109" s="3"/>
      <c r="D109" s="3"/>
      <c r="E109" s="3"/>
      <c r="F109" s="3"/>
      <c r="G109" s="3"/>
      <c r="H109" s="3"/>
      <c r="I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2:40" x14ac:dyDescent="0.2">
      <c r="B110" s="3"/>
      <c r="C110" s="3"/>
      <c r="D110" s="3"/>
      <c r="E110" s="3"/>
      <c r="F110" s="3"/>
      <c r="G110" s="3"/>
      <c r="H110" s="3"/>
      <c r="I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2:40" x14ac:dyDescent="0.2">
      <c r="B111" s="3"/>
      <c r="C111" s="3"/>
      <c r="D111" s="3"/>
      <c r="E111" s="3"/>
      <c r="F111" s="3"/>
      <c r="G111" s="3"/>
      <c r="H111" s="3"/>
      <c r="I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2:40" x14ac:dyDescent="0.2">
      <c r="B112" s="3"/>
      <c r="C112" s="3"/>
      <c r="D112" s="3"/>
      <c r="E112" s="3"/>
      <c r="F112" s="3"/>
      <c r="G112" s="3"/>
      <c r="H112" s="3"/>
      <c r="I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2:40" x14ac:dyDescent="0.2">
      <c r="B113" s="3"/>
      <c r="C113" s="3"/>
      <c r="D113" s="3"/>
      <c r="E113" s="3"/>
      <c r="F113" s="3"/>
      <c r="G113" s="3"/>
      <c r="H113" s="3"/>
      <c r="I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2:40" x14ac:dyDescent="0.2">
      <c r="B114" s="3"/>
      <c r="C114" s="3"/>
      <c r="D114" s="3"/>
      <c r="E114" s="3"/>
      <c r="F114" s="3"/>
      <c r="G114" s="3"/>
      <c r="H114" s="3"/>
      <c r="I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2:40" x14ac:dyDescent="0.2">
      <c r="B115" s="3"/>
      <c r="C115" s="3"/>
      <c r="D115" s="3"/>
      <c r="E115" s="3"/>
      <c r="F115" s="3"/>
      <c r="G115" s="3"/>
      <c r="H115" s="3"/>
      <c r="I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2:40" x14ac:dyDescent="0.2">
      <c r="B116" s="3"/>
      <c r="C116" s="3"/>
      <c r="D116" s="3"/>
      <c r="E116" s="3"/>
      <c r="F116" s="3"/>
      <c r="G116" s="3"/>
      <c r="H116" s="3"/>
      <c r="I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2:40" x14ac:dyDescent="0.2">
      <c r="B117" s="3"/>
      <c r="C117" s="3"/>
      <c r="D117" s="3"/>
      <c r="E117" s="3"/>
      <c r="F117" s="3"/>
      <c r="G117" s="3"/>
      <c r="H117" s="3"/>
      <c r="I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2:40" x14ac:dyDescent="0.2">
      <c r="B118" s="3"/>
      <c r="C118" s="3"/>
      <c r="D118" s="3"/>
      <c r="E118" s="3"/>
      <c r="F118" s="3"/>
      <c r="G118" s="3"/>
      <c r="H118" s="3"/>
      <c r="I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2:40" x14ac:dyDescent="0.2">
      <c r="B119" s="3"/>
      <c r="C119" s="3"/>
      <c r="D119" s="3"/>
      <c r="E119" s="3"/>
      <c r="F119" s="3"/>
      <c r="G119" s="3"/>
      <c r="H119" s="3"/>
      <c r="I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2:40" x14ac:dyDescent="0.2">
      <c r="B120" s="3"/>
      <c r="C120" s="3"/>
      <c r="D120" s="3"/>
      <c r="E120" s="3"/>
      <c r="F120" s="3"/>
      <c r="G120" s="3"/>
      <c r="H120" s="3"/>
      <c r="I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2:40" x14ac:dyDescent="0.2">
      <c r="B121" s="3"/>
      <c r="C121" s="3"/>
      <c r="D121" s="3"/>
      <c r="E121" s="3"/>
      <c r="F121" s="3"/>
      <c r="G121" s="3"/>
      <c r="H121" s="3"/>
      <c r="I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2:40" x14ac:dyDescent="0.2">
      <c r="B122" s="3"/>
      <c r="C122" s="3"/>
      <c r="D122" s="3"/>
      <c r="E122" s="3"/>
      <c r="F122" s="3"/>
      <c r="G122" s="3"/>
      <c r="H122" s="3"/>
      <c r="I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2:40" x14ac:dyDescent="0.2">
      <c r="B123" s="3"/>
      <c r="C123" s="3"/>
      <c r="D123" s="3"/>
      <c r="E123" s="3"/>
      <c r="F123" s="3"/>
      <c r="G123" s="3"/>
      <c r="H123" s="3"/>
      <c r="I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2:40" x14ac:dyDescent="0.2">
      <c r="B124" s="3"/>
      <c r="C124" s="3"/>
      <c r="D124" s="3"/>
      <c r="E124" s="3"/>
      <c r="F124" s="3"/>
      <c r="G124" s="3"/>
      <c r="H124" s="3"/>
      <c r="I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2:40" x14ac:dyDescent="0.2">
      <c r="B125" s="3"/>
      <c r="C125" s="3"/>
      <c r="D125" s="3"/>
      <c r="E125" s="3"/>
      <c r="F125" s="3"/>
      <c r="G125" s="3"/>
      <c r="H125" s="3"/>
      <c r="I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2:40" x14ac:dyDescent="0.2">
      <c r="B126" s="3"/>
      <c r="C126" s="3"/>
      <c r="D126" s="3"/>
      <c r="E126" s="3"/>
      <c r="F126" s="3"/>
      <c r="G126" s="3"/>
      <c r="H126" s="3"/>
      <c r="I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2:40" x14ac:dyDescent="0.2">
      <c r="B127" s="3"/>
      <c r="C127" s="3"/>
      <c r="D127" s="3"/>
      <c r="E127" s="3"/>
      <c r="F127" s="3"/>
      <c r="G127" s="3"/>
      <c r="H127" s="3"/>
      <c r="I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2:40" x14ac:dyDescent="0.2">
      <c r="B128" s="3"/>
      <c r="C128" s="3"/>
      <c r="D128" s="3"/>
      <c r="E128" s="3"/>
      <c r="F128" s="3"/>
      <c r="G128" s="3"/>
      <c r="H128" s="3"/>
      <c r="I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2:40" x14ac:dyDescent="0.2">
      <c r="B129" s="3"/>
      <c r="C129" s="3"/>
      <c r="D129" s="3"/>
      <c r="E129" s="3"/>
      <c r="F129" s="3"/>
      <c r="G129" s="3"/>
      <c r="H129" s="3"/>
      <c r="I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2:40" x14ac:dyDescent="0.2">
      <c r="B130" s="3"/>
      <c r="C130" s="3"/>
      <c r="D130" s="3"/>
      <c r="E130" s="3"/>
      <c r="F130" s="3"/>
      <c r="G130" s="3"/>
      <c r="H130" s="3"/>
      <c r="I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2:40" x14ac:dyDescent="0.2">
      <c r="B131" s="3"/>
      <c r="C131" s="3"/>
      <c r="D131" s="3"/>
      <c r="E131" s="3"/>
      <c r="F131" s="3"/>
      <c r="G131" s="3"/>
      <c r="H131" s="3"/>
      <c r="I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2:40" x14ac:dyDescent="0.2">
      <c r="B132" s="3"/>
      <c r="C132" s="3"/>
      <c r="D132" s="3"/>
      <c r="E132" s="3"/>
      <c r="F132" s="3"/>
      <c r="G132" s="3"/>
      <c r="H132" s="3"/>
      <c r="I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2:40" x14ac:dyDescent="0.2">
      <c r="B133" s="3"/>
      <c r="C133" s="3"/>
      <c r="D133" s="3"/>
      <c r="E133" s="3"/>
      <c r="F133" s="3"/>
      <c r="G133" s="3"/>
      <c r="H133" s="3"/>
      <c r="I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2:40" x14ac:dyDescent="0.2">
      <c r="B134" s="3"/>
      <c r="C134" s="3"/>
      <c r="D134" s="3"/>
      <c r="E134" s="3"/>
      <c r="F134" s="3"/>
      <c r="G134" s="3"/>
      <c r="H134" s="3"/>
      <c r="I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2:40" x14ac:dyDescent="0.2">
      <c r="B135" s="3"/>
      <c r="C135" s="3"/>
      <c r="D135" s="3"/>
      <c r="E135" s="3"/>
      <c r="F135" s="3"/>
      <c r="G135" s="3"/>
      <c r="H135" s="3"/>
      <c r="I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2:40" x14ac:dyDescent="0.2">
      <c r="B136" s="3"/>
      <c r="C136" s="3"/>
      <c r="D136" s="3"/>
      <c r="E136" s="3"/>
      <c r="F136" s="3"/>
      <c r="G136" s="3"/>
      <c r="H136" s="3"/>
      <c r="I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2:40" x14ac:dyDescent="0.2">
      <c r="B137" s="3"/>
      <c r="C137" s="3"/>
      <c r="D137" s="3"/>
      <c r="E137" s="3"/>
      <c r="F137" s="3"/>
      <c r="G137" s="3"/>
      <c r="H137" s="3"/>
      <c r="I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2:40" x14ac:dyDescent="0.2">
      <c r="B138" s="3"/>
      <c r="C138" s="3"/>
      <c r="D138" s="3"/>
      <c r="E138" s="3"/>
      <c r="F138" s="3"/>
      <c r="G138" s="3"/>
      <c r="H138" s="3"/>
      <c r="I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2:40" x14ac:dyDescent="0.2">
      <c r="B139" s="3"/>
      <c r="C139" s="3"/>
      <c r="D139" s="3"/>
      <c r="E139" s="3"/>
      <c r="F139" s="3"/>
      <c r="G139" s="3"/>
      <c r="H139" s="3"/>
      <c r="I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2:40" x14ac:dyDescent="0.2">
      <c r="B140" s="3"/>
      <c r="C140" s="3"/>
      <c r="D140" s="3"/>
      <c r="E140" s="3"/>
      <c r="F140" s="3"/>
      <c r="G140" s="3"/>
      <c r="H140" s="3"/>
      <c r="I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2:40" x14ac:dyDescent="0.2">
      <c r="B141" s="3"/>
      <c r="C141" s="3"/>
      <c r="D141" s="3"/>
      <c r="E141" s="3"/>
      <c r="F141" s="3"/>
      <c r="G141" s="3"/>
      <c r="H141" s="3"/>
      <c r="I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2:40" x14ac:dyDescent="0.2">
      <c r="B142" s="3"/>
      <c r="C142" s="3"/>
      <c r="D142" s="3"/>
      <c r="E142" s="3"/>
      <c r="F142" s="3"/>
      <c r="G142" s="3"/>
      <c r="H142" s="3"/>
      <c r="I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2:40" x14ac:dyDescent="0.2">
      <c r="B143" s="3"/>
      <c r="C143" s="3"/>
      <c r="D143" s="3"/>
      <c r="E143" s="3"/>
      <c r="F143" s="3"/>
      <c r="G143" s="3"/>
      <c r="H143" s="3"/>
      <c r="I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2:40" x14ac:dyDescent="0.2">
      <c r="B144" s="3"/>
      <c r="C144" s="3"/>
      <c r="D144" s="3"/>
      <c r="E144" s="3"/>
      <c r="F144" s="3"/>
      <c r="G144" s="3"/>
      <c r="H144" s="3"/>
      <c r="I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2:40" x14ac:dyDescent="0.2">
      <c r="B145" s="3"/>
      <c r="C145" s="3"/>
      <c r="D145" s="3"/>
      <c r="E145" s="3"/>
      <c r="F145" s="3"/>
      <c r="G145" s="3"/>
      <c r="H145" s="3"/>
      <c r="I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2:40" x14ac:dyDescent="0.2">
      <c r="B146" s="3"/>
      <c r="C146" s="3"/>
      <c r="D146" s="3"/>
      <c r="E146" s="3"/>
      <c r="F146" s="3"/>
      <c r="G146" s="3"/>
      <c r="H146" s="3"/>
      <c r="I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2:40" x14ac:dyDescent="0.2">
      <c r="B147" s="3"/>
      <c r="C147" s="3"/>
      <c r="D147" s="3"/>
      <c r="E147" s="3"/>
      <c r="F147" s="3"/>
      <c r="G147" s="3"/>
      <c r="H147" s="3"/>
      <c r="I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2:40" x14ac:dyDescent="0.2">
      <c r="B148" s="3"/>
      <c r="C148" s="3"/>
      <c r="D148" s="3"/>
      <c r="E148" s="3"/>
      <c r="F148" s="3"/>
      <c r="G148" s="3"/>
      <c r="H148" s="3"/>
      <c r="I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2:40" x14ac:dyDescent="0.2">
      <c r="B149" s="3"/>
      <c r="C149" s="3"/>
      <c r="D149" s="3"/>
      <c r="E149" s="3"/>
      <c r="F149" s="3"/>
      <c r="G149" s="3"/>
      <c r="H149" s="3"/>
      <c r="I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2:40" x14ac:dyDescent="0.2">
      <c r="B150" s="3"/>
      <c r="C150" s="3"/>
      <c r="D150" s="3"/>
      <c r="E150" s="3"/>
      <c r="F150" s="3"/>
      <c r="G150" s="3"/>
      <c r="H150" s="3"/>
      <c r="I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2:40" x14ac:dyDescent="0.2">
      <c r="B151" s="3"/>
      <c r="C151" s="3"/>
      <c r="D151" s="3"/>
      <c r="E151" s="3"/>
      <c r="F151" s="3"/>
      <c r="G151" s="3"/>
      <c r="H151" s="3"/>
      <c r="I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2:40" x14ac:dyDescent="0.2">
      <c r="B152" s="3"/>
      <c r="C152" s="3"/>
      <c r="D152" s="3"/>
      <c r="E152" s="3"/>
      <c r="F152" s="3"/>
      <c r="G152" s="3"/>
      <c r="H152" s="3"/>
      <c r="I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2:40" x14ac:dyDescent="0.2">
      <c r="B153" s="3"/>
      <c r="C153" s="3"/>
      <c r="D153" s="3"/>
      <c r="E153" s="3"/>
      <c r="F153" s="3"/>
      <c r="G153" s="3"/>
      <c r="H153" s="3"/>
      <c r="I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2:40" x14ac:dyDescent="0.2">
      <c r="B154" s="3"/>
      <c r="C154" s="3"/>
      <c r="D154" s="3"/>
      <c r="E154" s="3"/>
      <c r="F154" s="3"/>
      <c r="G154" s="3"/>
      <c r="H154" s="3"/>
      <c r="I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2:40" x14ac:dyDescent="0.2">
      <c r="B155" s="3"/>
      <c r="C155" s="3"/>
      <c r="D155" s="3"/>
      <c r="E155" s="3"/>
      <c r="F155" s="3"/>
      <c r="G155" s="3"/>
      <c r="H155" s="3"/>
      <c r="I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2:40" x14ac:dyDescent="0.2">
      <c r="B156" s="3"/>
      <c r="C156" s="3"/>
      <c r="D156" s="3"/>
      <c r="E156" s="3"/>
      <c r="F156" s="3"/>
      <c r="G156" s="3"/>
      <c r="H156" s="3"/>
      <c r="I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2:40" x14ac:dyDescent="0.2">
      <c r="B157" s="3"/>
      <c r="C157" s="3"/>
      <c r="D157" s="3"/>
      <c r="E157" s="3"/>
      <c r="F157" s="3"/>
      <c r="G157" s="3"/>
      <c r="H157" s="3"/>
      <c r="I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2:40" x14ac:dyDescent="0.2">
      <c r="B158" s="3"/>
      <c r="C158" s="3"/>
      <c r="D158" s="3"/>
      <c r="E158" s="3"/>
      <c r="F158" s="3"/>
      <c r="G158" s="3"/>
      <c r="H158" s="3"/>
      <c r="I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2:40" x14ac:dyDescent="0.2">
      <c r="B159" s="3"/>
      <c r="C159" s="3"/>
      <c r="D159" s="3"/>
      <c r="E159" s="3"/>
      <c r="F159" s="3"/>
      <c r="G159" s="3"/>
      <c r="H159" s="3"/>
      <c r="I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2:40" x14ac:dyDescent="0.2">
      <c r="B160" s="3"/>
      <c r="C160" s="3"/>
      <c r="D160" s="3"/>
      <c r="E160" s="3"/>
      <c r="F160" s="3"/>
      <c r="G160" s="3"/>
      <c r="H160" s="3"/>
      <c r="I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2:40" x14ac:dyDescent="0.2">
      <c r="B161" s="3"/>
      <c r="C161" s="3"/>
      <c r="D161" s="3"/>
      <c r="E161" s="3"/>
      <c r="F161" s="3"/>
      <c r="G161" s="3"/>
      <c r="H161" s="3"/>
      <c r="I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2:40" x14ac:dyDescent="0.2">
      <c r="B162" s="3"/>
      <c r="C162" s="3"/>
      <c r="D162" s="3"/>
      <c r="E162" s="3"/>
      <c r="F162" s="3"/>
      <c r="G162" s="3"/>
      <c r="H162" s="3"/>
      <c r="I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2:40" x14ac:dyDescent="0.2">
      <c r="B163" s="3"/>
      <c r="C163" s="3"/>
      <c r="D163" s="3"/>
      <c r="E163" s="3"/>
      <c r="F163" s="3"/>
      <c r="G163" s="3"/>
      <c r="H163" s="3"/>
      <c r="I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2:40" x14ac:dyDescent="0.2">
      <c r="B164" s="3"/>
      <c r="C164" s="3"/>
      <c r="D164" s="3"/>
      <c r="E164" s="3"/>
      <c r="F164" s="3"/>
      <c r="G164" s="3"/>
      <c r="H164" s="3"/>
      <c r="I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2:40" x14ac:dyDescent="0.2">
      <c r="B165" s="3"/>
      <c r="C165" s="3"/>
      <c r="D165" s="3"/>
      <c r="E165" s="3"/>
      <c r="F165" s="3"/>
      <c r="G165" s="3"/>
      <c r="H165" s="3"/>
      <c r="I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2:40" x14ac:dyDescent="0.2">
      <c r="B166" s="3"/>
      <c r="C166" s="3"/>
      <c r="D166" s="3"/>
      <c r="E166" s="3"/>
      <c r="F166" s="3"/>
      <c r="G166" s="3"/>
      <c r="H166" s="3"/>
      <c r="I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2:40" x14ac:dyDescent="0.2">
      <c r="B167" s="3"/>
      <c r="C167" s="3"/>
      <c r="D167" s="3"/>
      <c r="E167" s="3"/>
      <c r="F167" s="3"/>
      <c r="G167" s="3"/>
      <c r="H167" s="3"/>
      <c r="I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2:40" x14ac:dyDescent="0.2">
      <c r="B168" s="3"/>
      <c r="C168" s="3"/>
      <c r="D168" s="3"/>
      <c r="E168" s="3"/>
      <c r="F168" s="3"/>
      <c r="G168" s="3"/>
      <c r="H168" s="3"/>
      <c r="I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2:40" x14ac:dyDescent="0.2">
      <c r="B169" s="3"/>
      <c r="C169" s="3"/>
      <c r="D169" s="3"/>
      <c r="E169" s="3"/>
      <c r="F169" s="3"/>
      <c r="G169" s="3"/>
      <c r="H169" s="3"/>
      <c r="I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2:40" x14ac:dyDescent="0.2">
      <c r="B170" s="3"/>
      <c r="C170" s="3"/>
      <c r="D170" s="3"/>
      <c r="E170" s="3"/>
      <c r="F170" s="3"/>
      <c r="G170" s="3"/>
      <c r="H170" s="3"/>
      <c r="I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2:40" x14ac:dyDescent="0.2">
      <c r="B171" s="3"/>
      <c r="C171" s="3"/>
      <c r="D171" s="3"/>
      <c r="E171" s="3"/>
      <c r="F171" s="3"/>
      <c r="G171" s="3"/>
      <c r="H171" s="3"/>
      <c r="I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2:40" x14ac:dyDescent="0.2">
      <c r="B172" s="3"/>
      <c r="C172" s="3"/>
      <c r="D172" s="3"/>
      <c r="E172" s="3"/>
      <c r="F172" s="3"/>
      <c r="G172" s="3"/>
      <c r="H172" s="3"/>
      <c r="I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2:40" x14ac:dyDescent="0.2">
      <c r="B173" s="3"/>
      <c r="C173" s="3"/>
      <c r="D173" s="3"/>
      <c r="E173" s="3"/>
      <c r="F173" s="3"/>
      <c r="G173" s="3"/>
      <c r="H173" s="3"/>
      <c r="I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2:40" x14ac:dyDescent="0.2">
      <c r="B174" s="3"/>
      <c r="C174" s="3"/>
      <c r="D174" s="3"/>
      <c r="E174" s="3"/>
      <c r="F174" s="3"/>
      <c r="G174" s="3"/>
      <c r="H174" s="3"/>
      <c r="I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2:40" x14ac:dyDescent="0.2">
      <c r="B175" s="3"/>
      <c r="C175" s="3"/>
      <c r="D175" s="3"/>
      <c r="E175" s="3"/>
      <c r="F175" s="3"/>
      <c r="G175" s="3"/>
      <c r="H175" s="3"/>
      <c r="I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2:40" x14ac:dyDescent="0.2">
      <c r="B176" s="3"/>
      <c r="C176" s="3"/>
      <c r="D176" s="3"/>
      <c r="E176" s="3"/>
      <c r="F176" s="3"/>
      <c r="G176" s="3"/>
      <c r="H176" s="3"/>
      <c r="I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2:40" x14ac:dyDescent="0.2">
      <c r="B177" s="3"/>
      <c r="C177" s="3"/>
      <c r="D177" s="3"/>
      <c r="E177" s="3"/>
      <c r="F177" s="3"/>
      <c r="G177" s="3"/>
      <c r="H177" s="3"/>
      <c r="I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2:40" x14ac:dyDescent="0.2">
      <c r="B178" s="3"/>
      <c r="C178" s="3"/>
      <c r="D178" s="3"/>
      <c r="E178" s="3"/>
      <c r="F178" s="3"/>
      <c r="G178" s="3"/>
      <c r="H178" s="3"/>
      <c r="I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2:40" x14ac:dyDescent="0.2">
      <c r="B179" s="3"/>
      <c r="C179" s="3"/>
      <c r="D179" s="3"/>
      <c r="E179" s="3"/>
      <c r="F179" s="3"/>
      <c r="G179" s="3"/>
      <c r="H179" s="3"/>
      <c r="I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2:40" x14ac:dyDescent="0.2">
      <c r="B180" s="3"/>
      <c r="C180" s="3"/>
      <c r="D180" s="3"/>
      <c r="E180" s="3"/>
      <c r="F180" s="3"/>
      <c r="G180" s="3"/>
      <c r="H180" s="3"/>
      <c r="I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2:40" x14ac:dyDescent="0.2">
      <c r="B181" s="3"/>
      <c r="C181" s="3"/>
      <c r="D181" s="3"/>
      <c r="E181" s="3"/>
      <c r="F181" s="3"/>
      <c r="G181" s="3"/>
      <c r="H181" s="3"/>
      <c r="I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2:40" x14ac:dyDescent="0.2">
      <c r="B182" s="3"/>
      <c r="C182" s="3"/>
      <c r="D182" s="3"/>
      <c r="E182" s="3"/>
      <c r="F182" s="3"/>
      <c r="G182" s="3"/>
      <c r="H182" s="3"/>
      <c r="I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2:40" x14ac:dyDescent="0.2">
      <c r="B183" s="3"/>
      <c r="C183" s="3"/>
      <c r="D183" s="3"/>
      <c r="E183" s="3"/>
      <c r="F183" s="3"/>
      <c r="G183" s="3"/>
      <c r="H183" s="3"/>
      <c r="I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2:40" x14ac:dyDescent="0.2">
      <c r="B184" s="3"/>
      <c r="C184" s="3"/>
      <c r="D184" s="3"/>
      <c r="E184" s="3"/>
      <c r="F184" s="3"/>
      <c r="G184" s="3"/>
      <c r="H184" s="3"/>
      <c r="I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2:40" x14ac:dyDescent="0.2">
      <c r="B185" s="3"/>
      <c r="C185" s="3"/>
      <c r="D185" s="3"/>
      <c r="E185" s="3"/>
      <c r="F185" s="3"/>
      <c r="G185" s="3"/>
      <c r="H185" s="3"/>
      <c r="I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2:40" x14ac:dyDescent="0.2">
      <c r="B186" s="3"/>
      <c r="C186" s="3"/>
      <c r="D186" s="3"/>
      <c r="E186" s="3"/>
      <c r="F186" s="3"/>
      <c r="G186" s="3"/>
      <c r="H186" s="3"/>
      <c r="I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2:40" x14ac:dyDescent="0.2">
      <c r="B187" s="3"/>
      <c r="C187" s="3"/>
      <c r="D187" s="3"/>
      <c r="E187" s="3"/>
      <c r="F187" s="3"/>
      <c r="G187" s="3"/>
      <c r="H187" s="3"/>
      <c r="I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2:40" x14ac:dyDescent="0.2">
      <c r="B188" s="3"/>
      <c r="C188" s="3"/>
      <c r="D188" s="3"/>
      <c r="E188" s="3"/>
      <c r="F188" s="3"/>
      <c r="G188" s="3"/>
      <c r="H188" s="3"/>
      <c r="I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2:40" x14ac:dyDescent="0.2">
      <c r="B189" s="3"/>
      <c r="C189" s="3"/>
      <c r="D189" s="3"/>
      <c r="E189" s="3"/>
      <c r="F189" s="3"/>
      <c r="G189" s="3"/>
      <c r="H189" s="3"/>
      <c r="I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2:40" x14ac:dyDescent="0.2">
      <c r="B190" s="3"/>
      <c r="C190" s="3"/>
      <c r="D190" s="3"/>
      <c r="E190" s="3"/>
      <c r="F190" s="3"/>
      <c r="G190" s="3"/>
      <c r="H190" s="3"/>
      <c r="I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2:40" x14ac:dyDescent="0.2">
      <c r="B191" s="3"/>
      <c r="C191" s="3"/>
      <c r="D191" s="3"/>
      <c r="E191" s="3"/>
      <c r="F191" s="3"/>
      <c r="G191" s="3"/>
      <c r="H191" s="3"/>
      <c r="I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2:40" x14ac:dyDescent="0.2">
      <c r="B192" s="3"/>
      <c r="C192" s="3"/>
      <c r="D192" s="3"/>
      <c r="E192" s="3"/>
      <c r="F192" s="3"/>
      <c r="G192" s="3"/>
      <c r="H192" s="3"/>
      <c r="I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2:40" x14ac:dyDescent="0.2">
      <c r="B193" s="3"/>
      <c r="C193" s="3"/>
      <c r="D193" s="3"/>
      <c r="E193" s="3"/>
      <c r="F193" s="3"/>
      <c r="G193" s="3"/>
      <c r="H193" s="3"/>
      <c r="I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2:40" x14ac:dyDescent="0.2">
      <c r="B194" s="3"/>
      <c r="C194" s="3"/>
      <c r="D194" s="3"/>
      <c r="E194" s="3"/>
      <c r="F194" s="3"/>
      <c r="G194" s="3"/>
      <c r="H194" s="3"/>
      <c r="I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2:40" x14ac:dyDescent="0.2">
      <c r="B195" s="3"/>
      <c r="C195" s="3"/>
      <c r="D195" s="3"/>
      <c r="E195" s="3"/>
      <c r="F195" s="3"/>
      <c r="G195" s="3"/>
      <c r="H195" s="3"/>
      <c r="I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2:40" x14ac:dyDescent="0.2">
      <c r="B196" s="3"/>
      <c r="C196" s="3"/>
      <c r="D196" s="3"/>
      <c r="E196" s="3"/>
      <c r="F196" s="3"/>
      <c r="G196" s="3"/>
      <c r="H196" s="3"/>
      <c r="I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2:40" x14ac:dyDescent="0.2">
      <c r="B197" s="3"/>
      <c r="C197" s="3"/>
      <c r="D197" s="3"/>
      <c r="E197" s="3"/>
      <c r="F197" s="3"/>
      <c r="G197" s="3"/>
      <c r="H197" s="3"/>
      <c r="I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2:40" x14ac:dyDescent="0.2">
      <c r="B198" s="3"/>
      <c r="C198" s="3"/>
      <c r="D198" s="3"/>
      <c r="E198" s="3"/>
      <c r="F198" s="3"/>
      <c r="G198" s="3"/>
      <c r="H198" s="3"/>
      <c r="I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2:40" x14ac:dyDescent="0.2">
      <c r="B199" s="3"/>
      <c r="C199" s="3"/>
      <c r="D199" s="3"/>
      <c r="E199" s="3"/>
      <c r="F199" s="3"/>
      <c r="G199" s="3"/>
      <c r="H199" s="3"/>
      <c r="I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2:40" x14ac:dyDescent="0.2">
      <c r="B200" s="3"/>
      <c r="C200" s="3"/>
      <c r="D200" s="3"/>
      <c r="E200" s="3"/>
      <c r="F200" s="3"/>
      <c r="G200" s="3"/>
      <c r="H200" s="3"/>
      <c r="I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2:40" x14ac:dyDescent="0.2">
      <c r="B201" s="3"/>
      <c r="C201" s="3"/>
      <c r="D201" s="3"/>
      <c r="E201" s="3"/>
      <c r="F201" s="3"/>
      <c r="G201" s="3"/>
      <c r="H201" s="3"/>
      <c r="I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2:40" x14ac:dyDescent="0.2">
      <c r="B202" s="3"/>
      <c r="C202" s="3"/>
      <c r="D202" s="3"/>
      <c r="E202" s="3"/>
      <c r="F202" s="3"/>
      <c r="G202" s="3"/>
      <c r="H202" s="3"/>
      <c r="I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2:40" x14ac:dyDescent="0.2">
      <c r="B203" s="3"/>
      <c r="C203" s="3"/>
      <c r="D203" s="3"/>
      <c r="E203" s="3"/>
      <c r="F203" s="3"/>
      <c r="G203" s="3"/>
      <c r="H203" s="3"/>
      <c r="I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2:40" x14ac:dyDescent="0.2">
      <c r="B204" s="3"/>
      <c r="C204" s="3"/>
      <c r="D204" s="3"/>
      <c r="E204" s="3"/>
      <c r="F204" s="3"/>
      <c r="G204" s="3"/>
      <c r="H204" s="3"/>
      <c r="I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2:40" x14ac:dyDescent="0.2">
      <c r="B205" s="3"/>
      <c r="C205" s="3"/>
      <c r="D205" s="3"/>
      <c r="E205" s="3"/>
      <c r="F205" s="3"/>
      <c r="G205" s="3"/>
      <c r="H205" s="3"/>
      <c r="I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2:40" x14ac:dyDescent="0.2">
      <c r="B206" s="3"/>
      <c r="C206" s="3"/>
      <c r="D206" s="3"/>
      <c r="E206" s="3"/>
      <c r="F206" s="3"/>
      <c r="G206" s="3"/>
      <c r="H206" s="3"/>
      <c r="I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2:40" x14ac:dyDescent="0.2">
      <c r="B207" s="3"/>
      <c r="C207" s="3"/>
      <c r="D207" s="3"/>
      <c r="E207" s="3"/>
      <c r="F207" s="3"/>
      <c r="G207" s="3"/>
      <c r="H207" s="3"/>
      <c r="I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2:40" x14ac:dyDescent="0.2">
      <c r="B208" s="3"/>
      <c r="C208" s="3"/>
      <c r="D208" s="3"/>
      <c r="E208" s="3"/>
      <c r="F208" s="3"/>
      <c r="G208" s="3"/>
      <c r="H208" s="3"/>
      <c r="I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2:40" x14ac:dyDescent="0.2">
      <c r="B209" s="3"/>
      <c r="C209" s="3"/>
      <c r="D209" s="3"/>
      <c r="E209" s="3"/>
      <c r="F209" s="3"/>
      <c r="G209" s="3"/>
      <c r="H209" s="3"/>
      <c r="I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2:40" x14ac:dyDescent="0.2">
      <c r="B210" s="3"/>
      <c r="C210" s="3"/>
      <c r="D210" s="3"/>
      <c r="E210" s="3"/>
      <c r="F210" s="3"/>
      <c r="G210" s="3"/>
      <c r="H210" s="3"/>
      <c r="I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2:40" x14ac:dyDescent="0.2">
      <c r="B211" s="3"/>
      <c r="C211" s="3"/>
      <c r="D211" s="3"/>
      <c r="E211" s="3"/>
      <c r="F211" s="3"/>
      <c r="G211" s="3"/>
      <c r="H211" s="3"/>
      <c r="I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2:40" x14ac:dyDescent="0.2">
      <c r="B212" s="3"/>
      <c r="C212" s="3"/>
      <c r="D212" s="3"/>
      <c r="E212" s="3"/>
      <c r="F212" s="3"/>
      <c r="G212" s="3"/>
      <c r="H212" s="3"/>
      <c r="I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2:40" x14ac:dyDescent="0.2">
      <c r="B213" s="3"/>
      <c r="C213" s="3"/>
      <c r="D213" s="3"/>
      <c r="E213" s="3"/>
      <c r="F213" s="3"/>
      <c r="G213" s="3"/>
      <c r="H213" s="3"/>
      <c r="I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2:40" x14ac:dyDescent="0.2">
      <c r="B214" s="3"/>
      <c r="C214" s="3"/>
      <c r="D214" s="3"/>
      <c r="E214" s="3"/>
      <c r="F214" s="3"/>
      <c r="G214" s="3"/>
      <c r="H214" s="3"/>
      <c r="I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2:40" x14ac:dyDescent="0.2">
      <c r="B215" s="3"/>
      <c r="C215" s="3"/>
      <c r="D215" s="3"/>
      <c r="E215" s="3"/>
      <c r="F215" s="3"/>
      <c r="G215" s="3"/>
      <c r="H215" s="3"/>
      <c r="I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2:40" x14ac:dyDescent="0.2">
      <c r="B216" s="3"/>
      <c r="C216" s="3"/>
      <c r="D216" s="3"/>
      <c r="E216" s="3"/>
      <c r="F216" s="3"/>
      <c r="G216" s="3"/>
      <c r="H216" s="3"/>
      <c r="I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2:40" x14ac:dyDescent="0.2">
      <c r="B217" s="3"/>
      <c r="C217" s="3"/>
      <c r="D217" s="3"/>
      <c r="E217" s="3"/>
      <c r="F217" s="3"/>
      <c r="G217" s="3"/>
      <c r="H217" s="3"/>
      <c r="I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2:40" x14ac:dyDescent="0.2">
      <c r="B218" s="3"/>
      <c r="C218" s="3"/>
      <c r="D218" s="3"/>
      <c r="E218" s="3"/>
      <c r="F218" s="3"/>
      <c r="G218" s="3"/>
      <c r="H218" s="3"/>
      <c r="I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2:40" x14ac:dyDescent="0.2">
      <c r="B219" s="3"/>
      <c r="C219" s="3"/>
      <c r="D219" s="3"/>
      <c r="E219" s="3"/>
      <c r="F219" s="3"/>
      <c r="G219" s="3"/>
      <c r="H219" s="3"/>
      <c r="I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2:40" x14ac:dyDescent="0.2">
      <c r="B220" s="3"/>
      <c r="C220" s="3"/>
      <c r="D220" s="3"/>
      <c r="E220" s="3"/>
      <c r="F220" s="3"/>
      <c r="G220" s="3"/>
      <c r="H220" s="3"/>
      <c r="I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2:40" x14ac:dyDescent="0.2">
      <c r="B221" s="3"/>
      <c r="C221" s="3"/>
      <c r="D221" s="3"/>
      <c r="E221" s="3"/>
      <c r="F221" s="3"/>
      <c r="G221" s="3"/>
      <c r="H221" s="3"/>
      <c r="I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2:40" x14ac:dyDescent="0.2">
      <c r="B222" s="3"/>
      <c r="C222" s="3"/>
      <c r="D222" s="3"/>
      <c r="E222" s="3"/>
      <c r="F222" s="3"/>
      <c r="G222" s="3"/>
      <c r="H222" s="3"/>
      <c r="I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2:40" x14ac:dyDescent="0.2">
      <c r="B223" s="3"/>
      <c r="C223" s="3"/>
      <c r="D223" s="3"/>
      <c r="E223" s="3"/>
      <c r="F223" s="3"/>
      <c r="G223" s="3"/>
      <c r="H223" s="3"/>
      <c r="I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2:40" x14ac:dyDescent="0.2">
      <c r="B224" s="3"/>
      <c r="C224" s="3"/>
      <c r="D224" s="3"/>
      <c r="E224" s="3"/>
      <c r="F224" s="3"/>
      <c r="G224" s="3"/>
      <c r="H224" s="3"/>
      <c r="I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Q335" s="3"/>
      <c r="R335" s="3"/>
      <c r="S335" s="3"/>
      <c r="T335" s="3"/>
      <c r="U335" s="3"/>
      <c r="V335" s="3"/>
      <c r="W335" s="3"/>
      <c r="X335" s="3"/>
      <c r="Y335" s="3"/>
    </row>
  </sheetData>
  <mergeCells count="7">
    <mergeCell ref="O7:P8"/>
    <mergeCell ref="B5:N5"/>
    <mergeCell ref="B7:C9"/>
    <mergeCell ref="D7:D9"/>
    <mergeCell ref="F7:G8"/>
    <mergeCell ref="I7:J8"/>
    <mergeCell ref="L7:M8"/>
  </mergeCells>
  <hyperlinks>
    <hyperlink ref="P1" location="Índice!A1" tooltip="Ir a ÍNDICE" display="INDICE" xr:uid="{9AA36B96-FC34-4401-860F-79A9C4FE3E71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73C8-D4CE-4D6A-801D-CAD9605FF836}">
  <sheetPr>
    <pageSetUpPr fitToPage="1"/>
  </sheetPr>
  <dimension ref="A1:AQ99"/>
  <sheetViews>
    <sheetView showGridLines="0" zoomScaleNormal="100" zoomScaleSheetLayoutView="5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4.28515625" style="402" customWidth="1"/>
    <col min="3" max="3" width="0.85546875" style="403" customWidth="1" collapsed="1"/>
    <col min="4" max="4" width="18.7109375" style="403" customWidth="1" collapsed="1"/>
    <col min="5" max="5" width="0.85546875" style="403" customWidth="1"/>
    <col min="6" max="6" width="10.7109375" style="403" customWidth="1" collapsed="1"/>
    <col min="7" max="7" width="10.7109375" style="402" customWidth="1" collapsed="1"/>
    <col min="8" max="8" width="0.85546875" style="402" customWidth="1" collapsed="1"/>
    <col min="9" max="10" width="10.7109375" style="402" customWidth="1" collapsed="1"/>
    <col min="11" max="11" width="0.85546875" style="402" customWidth="1" collapsed="1"/>
    <col min="12" max="13" width="10.7109375" style="402" customWidth="1" collapsed="1"/>
    <col min="14" max="14" width="0.85546875" style="402" customWidth="1" collapsed="1"/>
    <col min="15" max="16" width="10.7109375" style="402" customWidth="1" collapsed="1"/>
    <col min="17" max="17" width="0.85546875" style="402" customWidth="1" collapsed="1"/>
    <col min="18" max="18" width="10.7109375" style="402" customWidth="1" collapsed="1"/>
    <col min="19" max="19" width="10.7109375" style="402" customWidth="1"/>
    <col min="20" max="20" width="0.85546875" style="402" customWidth="1"/>
    <col min="21" max="22" width="10.7109375" style="402" customWidth="1"/>
    <col min="23" max="23" width="0.85546875" style="402" customWidth="1"/>
    <col min="24" max="25" width="10.7109375" style="402" customWidth="1"/>
    <col min="26" max="26" width="11.42578125" style="402"/>
    <col min="27" max="27" width="11.42578125" style="402" collapsed="1"/>
    <col min="28" max="29" width="11.42578125" style="402"/>
    <col min="30" max="30" width="11.42578125" style="402" collapsed="1"/>
    <col min="31" max="31" width="11.42578125" style="402"/>
    <col min="32" max="32" width="11.42578125" style="402" collapsed="1"/>
    <col min="33" max="35" width="11.42578125" style="402"/>
    <col min="36" max="36" width="11.42578125" style="402" collapsed="1"/>
    <col min="37" max="39" width="11.42578125" style="402"/>
    <col min="40" max="40" width="11.42578125" style="402" collapsed="1"/>
    <col min="41" max="43" width="11.42578125" style="402"/>
    <col min="44" max="16384" width="11.42578125" style="402" collapsed="1"/>
  </cols>
  <sheetData>
    <row r="1" spans="1:25" s="359" customFormat="1" ht="14.1" customHeight="1" x14ac:dyDescent="0.2">
      <c r="A1" s="66"/>
      <c r="B1" s="484" t="s">
        <v>144</v>
      </c>
      <c r="C1" s="357"/>
      <c r="D1" s="358"/>
      <c r="E1" s="358"/>
      <c r="F1" s="358"/>
      <c r="Y1" s="85" t="s">
        <v>118</v>
      </c>
    </row>
    <row r="2" spans="1:25" s="359" customFormat="1" ht="6.95" customHeight="1" x14ac:dyDescent="0.2">
      <c r="A2" s="66"/>
      <c r="B2" s="484"/>
      <c r="C2" s="357"/>
      <c r="D2" s="358"/>
      <c r="E2" s="358"/>
      <c r="F2" s="358"/>
    </row>
    <row r="3" spans="1:25" s="361" customFormat="1" ht="14.1" customHeight="1" x14ac:dyDescent="0.2">
      <c r="A3" s="98"/>
      <c r="B3" s="484" t="s">
        <v>142</v>
      </c>
      <c r="C3" s="360"/>
      <c r="D3" s="360"/>
      <c r="E3" s="360"/>
      <c r="F3" s="360"/>
      <c r="G3" s="360"/>
    </row>
    <row r="4" spans="1:25" s="361" customFormat="1" ht="6.95" customHeight="1" x14ac:dyDescent="0.2">
      <c r="A4" s="98"/>
      <c r="C4" s="362"/>
      <c r="D4" s="362"/>
      <c r="E4" s="362"/>
      <c r="F4" s="362"/>
    </row>
    <row r="5" spans="1:25" s="361" customFormat="1" ht="20.100000000000001" customHeight="1" x14ac:dyDescent="0.2">
      <c r="A5" s="98"/>
      <c r="B5" s="597" t="s">
        <v>111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363"/>
      <c r="Q5" s="364"/>
      <c r="R5" s="114"/>
      <c r="Y5" s="75" t="s">
        <v>113</v>
      </c>
    </row>
    <row r="6" spans="1:25" s="367" customFormat="1" ht="6" customHeight="1" x14ac:dyDescent="0.2">
      <c r="A6" s="98"/>
      <c r="B6" s="365"/>
      <c r="C6" s="598"/>
      <c r="D6" s="598"/>
      <c r="E6" s="598"/>
      <c r="F6" s="599"/>
      <c r="G6" s="599"/>
      <c r="H6" s="599"/>
      <c r="I6" s="599"/>
      <c r="J6" s="599"/>
      <c r="K6" s="599"/>
      <c r="L6" s="599"/>
      <c r="M6" s="600"/>
      <c r="N6" s="600"/>
      <c r="O6" s="600"/>
      <c r="P6" s="366"/>
      <c r="W6" s="365"/>
    </row>
    <row r="7" spans="1:25" s="367" customFormat="1" ht="15" customHeight="1" x14ac:dyDescent="0.2">
      <c r="A7" s="98"/>
      <c r="B7" s="601" t="s">
        <v>22</v>
      </c>
      <c r="C7" s="601"/>
      <c r="D7" s="604" t="s">
        <v>23</v>
      </c>
      <c r="E7" s="368"/>
      <c r="F7" s="607" t="s">
        <v>137</v>
      </c>
      <c r="G7" s="607"/>
      <c r="H7" s="607"/>
      <c r="I7" s="607"/>
      <c r="J7" s="607"/>
      <c r="K7" s="607"/>
      <c r="L7" s="607"/>
      <c r="M7" s="607"/>
      <c r="N7" s="607"/>
      <c r="O7" s="607"/>
      <c r="P7" s="607"/>
      <c r="Q7" s="607"/>
      <c r="R7" s="607"/>
      <c r="S7" s="607"/>
      <c r="T7" s="607"/>
      <c r="U7" s="607"/>
      <c r="V7" s="607"/>
      <c r="W7" s="369"/>
      <c r="X7" s="604" t="s">
        <v>138</v>
      </c>
      <c r="Y7" s="604"/>
    </row>
    <row r="8" spans="1:25" s="367" customFormat="1" ht="36" customHeight="1" x14ac:dyDescent="0.2">
      <c r="A8" s="98"/>
      <c r="B8" s="602"/>
      <c r="C8" s="602"/>
      <c r="D8" s="605"/>
      <c r="E8" s="370"/>
      <c r="F8" s="607" t="s">
        <v>110</v>
      </c>
      <c r="G8" s="607"/>
      <c r="H8" s="368"/>
      <c r="I8" s="607" t="s">
        <v>109</v>
      </c>
      <c r="J8" s="607"/>
      <c r="K8" s="371"/>
      <c r="L8" s="607" t="s">
        <v>115</v>
      </c>
      <c r="M8" s="607"/>
      <c r="N8" s="371"/>
      <c r="O8" s="607" t="s">
        <v>116</v>
      </c>
      <c r="P8" s="607"/>
      <c r="Q8" s="372"/>
      <c r="R8" s="607" t="s">
        <v>108</v>
      </c>
      <c r="S8" s="607"/>
      <c r="T8" s="373"/>
      <c r="U8" s="607" t="s">
        <v>107</v>
      </c>
      <c r="V8" s="607"/>
      <c r="W8" s="374"/>
      <c r="X8" s="606"/>
      <c r="Y8" s="606"/>
    </row>
    <row r="9" spans="1:25" s="367" customFormat="1" ht="15" customHeight="1" x14ac:dyDescent="0.2">
      <c r="A9" s="99"/>
      <c r="B9" s="603"/>
      <c r="C9" s="603"/>
      <c r="D9" s="606"/>
      <c r="E9" s="375"/>
      <c r="F9" s="105" t="s">
        <v>13</v>
      </c>
      <c r="G9" s="105" t="s">
        <v>14</v>
      </c>
      <c r="H9" s="375"/>
      <c r="I9" s="105" t="s">
        <v>13</v>
      </c>
      <c r="J9" s="105" t="s">
        <v>14</v>
      </c>
      <c r="K9" s="376"/>
      <c r="L9" s="105" t="s">
        <v>13</v>
      </c>
      <c r="M9" s="105" t="s">
        <v>14</v>
      </c>
      <c r="N9" s="376"/>
      <c r="O9" s="105" t="s">
        <v>13</v>
      </c>
      <c r="P9" s="105" t="s">
        <v>14</v>
      </c>
      <c r="Q9" s="377"/>
      <c r="R9" s="105" t="s">
        <v>13</v>
      </c>
      <c r="S9" s="105" t="s">
        <v>14</v>
      </c>
      <c r="T9" s="377"/>
      <c r="U9" s="105" t="s">
        <v>13</v>
      </c>
      <c r="V9" s="105" t="s">
        <v>14</v>
      </c>
      <c r="W9" s="377"/>
      <c r="X9" s="105" t="s">
        <v>13</v>
      </c>
      <c r="Y9" s="105" t="s">
        <v>14</v>
      </c>
    </row>
    <row r="10" spans="1:25" s="367" customFormat="1" ht="6" customHeight="1" x14ac:dyDescent="0.2">
      <c r="A10" s="100"/>
      <c r="B10" s="378"/>
      <c r="C10" s="378"/>
      <c r="D10" s="379"/>
      <c r="E10" s="379"/>
      <c r="F10" s="379"/>
      <c r="G10" s="380"/>
      <c r="H10" s="380"/>
      <c r="I10" s="381"/>
      <c r="J10" s="382"/>
      <c r="K10" s="382"/>
      <c r="L10" s="382"/>
      <c r="M10" s="382"/>
      <c r="N10" s="382"/>
      <c r="O10" s="382"/>
      <c r="P10" s="382"/>
    </row>
    <row r="11" spans="1:25" s="385" customFormat="1" ht="12.75" customHeight="1" x14ac:dyDescent="0.2">
      <c r="A11" s="101"/>
      <c r="B11" s="106" t="s">
        <v>5</v>
      </c>
      <c r="C11" s="383"/>
      <c r="D11" s="159">
        <v>245318.59867594499</v>
      </c>
      <c r="E11" s="384"/>
      <c r="F11" s="159">
        <v>159981.29126144</v>
      </c>
      <c r="G11" s="159">
        <v>0.33336947459999999</v>
      </c>
      <c r="H11" s="384"/>
      <c r="I11" s="159">
        <v>87022.616236319998</v>
      </c>
      <c r="J11" s="159">
        <v>0.22265660900000001</v>
      </c>
      <c r="K11" s="50"/>
      <c r="L11" s="159">
        <v>88820.366454893097</v>
      </c>
      <c r="M11" s="159">
        <v>0.2344531822</v>
      </c>
      <c r="N11" s="384"/>
      <c r="O11" s="159">
        <v>165548.31820327599</v>
      </c>
      <c r="P11" s="159">
        <v>0.3373509563</v>
      </c>
      <c r="Q11" s="384"/>
      <c r="R11" s="159">
        <v>69512.259783310205</v>
      </c>
      <c r="S11" s="159">
        <v>0.1841588887</v>
      </c>
      <c r="T11" s="51"/>
      <c r="U11" s="159">
        <v>62101.193141868898</v>
      </c>
      <c r="V11" s="159">
        <v>0.1703999987</v>
      </c>
      <c r="X11" s="159">
        <v>147535.086278895</v>
      </c>
      <c r="Y11" s="159">
        <v>0.33498363650000001</v>
      </c>
    </row>
    <row r="12" spans="1:25" s="385" customFormat="1" ht="6" customHeight="1" x14ac:dyDescent="0.2">
      <c r="A12" s="102"/>
      <c r="B12" s="107"/>
      <c r="C12" s="383"/>
      <c r="D12" s="95"/>
      <c r="E12" s="384"/>
      <c r="F12" s="95"/>
      <c r="G12" s="96"/>
      <c r="H12" s="384"/>
      <c r="I12" s="95"/>
      <c r="J12" s="96"/>
      <c r="K12" s="50"/>
      <c r="L12" s="95"/>
      <c r="M12" s="96"/>
      <c r="N12" s="384"/>
      <c r="O12" s="95"/>
      <c r="P12" s="96"/>
      <c r="Q12" s="384"/>
      <c r="R12" s="95"/>
      <c r="S12" s="96"/>
      <c r="T12" s="50"/>
      <c r="U12" s="95"/>
      <c r="V12" s="96"/>
      <c r="X12" s="95"/>
      <c r="Y12" s="96"/>
    </row>
    <row r="13" spans="1:25" s="367" customFormat="1" ht="12.75" customHeight="1" x14ac:dyDescent="0.2">
      <c r="A13" s="102"/>
      <c r="B13" s="13" t="s">
        <v>26</v>
      </c>
      <c r="C13" s="386"/>
      <c r="D13" s="160">
        <v>8967.3004696325006</v>
      </c>
      <c r="E13" s="387"/>
      <c r="F13" s="160">
        <v>5188.0283915646996</v>
      </c>
      <c r="G13" s="160">
        <v>1.106066939</v>
      </c>
      <c r="H13" s="387"/>
      <c r="I13" s="160">
        <v>3363.7991078271998</v>
      </c>
      <c r="J13" s="160">
        <v>0.79202572540000005</v>
      </c>
      <c r="K13" s="50"/>
      <c r="L13" s="160">
        <v>2780.8327405601999</v>
      </c>
      <c r="M13" s="160">
        <v>0.69492759910000002</v>
      </c>
      <c r="N13" s="387"/>
      <c r="O13" s="160">
        <v>6336.4458602879004</v>
      </c>
      <c r="P13" s="160">
        <v>1.3339385153000001</v>
      </c>
      <c r="Q13" s="387"/>
      <c r="R13" s="160">
        <v>2231.1480268210998</v>
      </c>
      <c r="S13" s="160">
        <v>0.55372298170000001</v>
      </c>
      <c r="T13" s="52"/>
      <c r="U13" s="160">
        <v>2553.5838081023999</v>
      </c>
      <c r="V13" s="160">
        <v>0.6301140113</v>
      </c>
      <c r="X13" s="160">
        <v>6175.6792187410001</v>
      </c>
      <c r="Y13" s="160">
        <v>1.406577022</v>
      </c>
    </row>
    <row r="14" spans="1:25" s="367" customFormat="1" ht="12.75" customHeight="1" x14ac:dyDescent="0.2">
      <c r="A14" s="102"/>
      <c r="B14" s="13" t="s">
        <v>27</v>
      </c>
      <c r="C14" s="386"/>
      <c r="D14" s="160">
        <v>30546.712730472598</v>
      </c>
      <c r="E14" s="387"/>
      <c r="F14" s="160">
        <v>20472.725531734999</v>
      </c>
      <c r="G14" s="160">
        <v>1.4262701626000001</v>
      </c>
      <c r="H14" s="387"/>
      <c r="I14" s="160">
        <v>15146.9919282344</v>
      </c>
      <c r="J14" s="160">
        <v>1.2181333294000001</v>
      </c>
      <c r="K14" s="50"/>
      <c r="L14" s="160">
        <v>15080.0042425962</v>
      </c>
      <c r="M14" s="160">
        <v>1.1928883613000001</v>
      </c>
      <c r="N14" s="387"/>
      <c r="O14" s="160">
        <v>18466.5514106722</v>
      </c>
      <c r="P14" s="160">
        <v>1.4650011771</v>
      </c>
      <c r="Q14" s="387"/>
      <c r="R14" s="160">
        <v>12323.7250542447</v>
      </c>
      <c r="S14" s="160">
        <v>1.0288858594000001</v>
      </c>
      <c r="T14" s="52"/>
      <c r="U14" s="160">
        <v>10539.790387604</v>
      </c>
      <c r="V14" s="160">
        <v>0.90099266460000005</v>
      </c>
      <c r="X14" s="160">
        <v>24269.281548998501</v>
      </c>
      <c r="Y14" s="160">
        <v>1.7331419484999999</v>
      </c>
    </row>
    <row r="15" spans="1:25" s="367" customFormat="1" ht="12.75" customHeight="1" x14ac:dyDescent="0.2">
      <c r="A15" s="99"/>
      <c r="B15" s="13" t="s">
        <v>28</v>
      </c>
      <c r="C15" s="386"/>
      <c r="D15" s="160">
        <v>8722.5870993348999</v>
      </c>
      <c r="E15" s="387"/>
      <c r="F15" s="160">
        <v>4935.3310330504</v>
      </c>
      <c r="G15" s="160">
        <v>1.9996464218000001</v>
      </c>
      <c r="H15" s="387"/>
      <c r="I15" s="160">
        <v>3463.2107045184998</v>
      </c>
      <c r="J15" s="160">
        <v>1.2528680271999999</v>
      </c>
      <c r="K15" s="50"/>
      <c r="L15" s="160">
        <v>2854.0517629357</v>
      </c>
      <c r="M15" s="160">
        <v>1.1035902063</v>
      </c>
      <c r="N15" s="387"/>
      <c r="O15" s="160">
        <v>5546.4274305264998</v>
      </c>
      <c r="P15" s="160">
        <v>1.97912559</v>
      </c>
      <c r="Q15" s="387"/>
      <c r="R15" s="160">
        <v>2680.6682836175</v>
      </c>
      <c r="S15" s="160">
        <v>1.002070633</v>
      </c>
      <c r="T15" s="52"/>
      <c r="U15" s="160">
        <v>2379.4871702915998</v>
      </c>
      <c r="V15" s="160">
        <v>0.95301123789999997</v>
      </c>
      <c r="X15" s="160">
        <v>6985.3189752462004</v>
      </c>
      <c r="Y15" s="160">
        <v>1.9866444899</v>
      </c>
    </row>
    <row r="16" spans="1:25" s="367" customFormat="1" ht="12.75" customHeight="1" x14ac:dyDescent="0.2">
      <c r="A16" s="99"/>
      <c r="B16" s="13" t="s">
        <v>29</v>
      </c>
      <c r="C16" s="386"/>
      <c r="D16" s="160">
        <v>9823.9999164673009</v>
      </c>
      <c r="E16" s="387"/>
      <c r="F16" s="160">
        <v>6497.4549290212999</v>
      </c>
      <c r="G16" s="160">
        <v>1.5420289789999999</v>
      </c>
      <c r="H16" s="387"/>
      <c r="I16" s="160">
        <v>4979.9156227526</v>
      </c>
      <c r="J16" s="160">
        <v>1.3713708574000001</v>
      </c>
      <c r="K16" s="50"/>
      <c r="L16" s="160">
        <v>4916.8908808365004</v>
      </c>
      <c r="M16" s="160">
        <v>1.4358328715999999</v>
      </c>
      <c r="N16" s="387"/>
      <c r="O16" s="160">
        <v>8104.6244402468001</v>
      </c>
      <c r="P16" s="160">
        <v>1.6327483515000001</v>
      </c>
      <c r="Q16" s="387"/>
      <c r="R16" s="160">
        <v>3390.8817271020998</v>
      </c>
      <c r="S16" s="160">
        <v>1.0862770580000001</v>
      </c>
      <c r="T16" s="52"/>
      <c r="U16" s="160">
        <v>3092.9058273809001</v>
      </c>
      <c r="V16" s="160">
        <v>1.0626795931999999</v>
      </c>
      <c r="X16" s="160">
        <v>3509.4419042486002</v>
      </c>
      <c r="Y16" s="160">
        <v>1.2364589721000001</v>
      </c>
    </row>
    <row r="17" spans="1:25" s="367" customFormat="1" ht="12.75" customHeight="1" x14ac:dyDescent="0.2">
      <c r="A17" s="99"/>
      <c r="B17" s="13" t="s">
        <v>30</v>
      </c>
      <c r="C17" s="386"/>
      <c r="D17" s="128">
        <v>20174.373876367401</v>
      </c>
      <c r="E17" s="387"/>
      <c r="F17" s="128">
        <v>14921.9555302934</v>
      </c>
      <c r="G17" s="128">
        <v>1.377613762</v>
      </c>
      <c r="H17" s="387"/>
      <c r="I17" s="128">
        <v>9989.7899546865992</v>
      </c>
      <c r="J17" s="128">
        <v>0.99169222099999998</v>
      </c>
      <c r="K17" s="50"/>
      <c r="L17" s="128">
        <v>7274.9968698211997</v>
      </c>
      <c r="M17" s="128">
        <v>0.79575344800000003</v>
      </c>
      <c r="N17" s="387"/>
      <c r="O17" s="128">
        <v>14523.851432650999</v>
      </c>
      <c r="P17" s="128">
        <v>1.3691884894999999</v>
      </c>
      <c r="Q17" s="387"/>
      <c r="R17" s="128">
        <v>7339.6132531716003</v>
      </c>
      <c r="S17" s="128">
        <v>0.8109997659</v>
      </c>
      <c r="T17" s="53"/>
      <c r="U17" s="128">
        <v>7853.5760552177999</v>
      </c>
      <c r="V17" s="128">
        <v>0.83549663699999999</v>
      </c>
      <c r="X17" s="128">
        <v>15240.2809561145</v>
      </c>
      <c r="Y17" s="128">
        <v>1.4526372029000001</v>
      </c>
    </row>
    <row r="18" spans="1:25" s="367" customFormat="1" ht="12.75" customHeight="1" x14ac:dyDescent="0.2">
      <c r="A18" s="103"/>
      <c r="B18" s="13" t="s">
        <v>31</v>
      </c>
      <c r="C18" s="386"/>
      <c r="D18" s="128">
        <v>8619.0153653119996</v>
      </c>
      <c r="E18" s="387"/>
      <c r="F18" s="128">
        <v>3971.8803194313</v>
      </c>
      <c r="G18" s="128">
        <v>1.3378373157000001</v>
      </c>
      <c r="H18" s="387"/>
      <c r="I18" s="128">
        <v>2123.0221522959</v>
      </c>
      <c r="J18" s="128">
        <v>0.84831006289999999</v>
      </c>
      <c r="K18" s="50"/>
      <c r="L18" s="128">
        <v>1751.5663878823</v>
      </c>
      <c r="M18" s="128">
        <v>0.72663593360000001</v>
      </c>
      <c r="N18" s="387"/>
      <c r="O18" s="128">
        <v>4924.4247615879003</v>
      </c>
      <c r="P18" s="128">
        <v>1.4764133764</v>
      </c>
      <c r="Q18" s="387"/>
      <c r="R18" s="128">
        <v>1471.289905157</v>
      </c>
      <c r="S18" s="128">
        <v>0.63049401549999995</v>
      </c>
      <c r="T18" s="53"/>
      <c r="U18" s="128">
        <v>1964.0718180345</v>
      </c>
      <c r="V18" s="128">
        <v>0.79689688839999995</v>
      </c>
      <c r="X18" s="128">
        <v>5477.9452773016001</v>
      </c>
      <c r="Y18" s="128">
        <v>1.7110451789000001</v>
      </c>
    </row>
    <row r="19" spans="1:25" s="367" customFormat="1" ht="12.75" customHeight="1" x14ac:dyDescent="0.2">
      <c r="A19" s="103"/>
      <c r="B19" s="13" t="s">
        <v>32</v>
      </c>
      <c r="C19" s="386"/>
      <c r="D19" s="160">
        <v>63038.559215489498</v>
      </c>
      <c r="E19" s="387"/>
      <c r="F19" s="160">
        <v>41068.462872744698</v>
      </c>
      <c r="G19" s="160">
        <v>1.4339234371</v>
      </c>
      <c r="H19" s="387"/>
      <c r="I19" s="160">
        <v>25877.921233907899</v>
      </c>
      <c r="J19" s="160">
        <v>1.3202724427999999</v>
      </c>
      <c r="K19" s="50"/>
      <c r="L19" s="160">
        <v>26161.551731384799</v>
      </c>
      <c r="M19" s="160">
        <v>1.4810002201000001</v>
      </c>
      <c r="N19" s="387"/>
      <c r="O19" s="160">
        <v>43375.527068110801</v>
      </c>
      <c r="P19" s="160">
        <v>1.7242127935</v>
      </c>
      <c r="Q19" s="387"/>
      <c r="R19" s="160">
        <v>24868.850686504898</v>
      </c>
      <c r="S19" s="160">
        <v>1.4149357751</v>
      </c>
      <c r="T19" s="52"/>
      <c r="U19" s="160">
        <v>13010.8105477179</v>
      </c>
      <c r="V19" s="160">
        <v>0.89777494499999999</v>
      </c>
      <c r="X19" s="160">
        <v>18803.013361611</v>
      </c>
      <c r="Y19" s="160">
        <v>1.0640124338000001</v>
      </c>
    </row>
    <row r="20" spans="1:25" s="367" customFormat="1" ht="12.75" customHeight="1" x14ac:dyDescent="0.2">
      <c r="A20" s="104"/>
      <c r="B20" s="13" t="s">
        <v>33</v>
      </c>
      <c r="C20" s="386"/>
      <c r="D20" s="160">
        <v>21528.302989013799</v>
      </c>
      <c r="E20" s="387"/>
      <c r="F20" s="160">
        <v>16038.7133886468</v>
      </c>
      <c r="G20" s="160">
        <v>1.2596318511</v>
      </c>
      <c r="H20" s="387"/>
      <c r="I20" s="160">
        <v>10826.4745195739</v>
      </c>
      <c r="J20" s="160">
        <v>0.90446911990000001</v>
      </c>
      <c r="K20" s="50"/>
      <c r="L20" s="160">
        <v>10366.8588917215</v>
      </c>
      <c r="M20" s="160">
        <v>0.89560413240000003</v>
      </c>
      <c r="N20" s="387"/>
      <c r="O20" s="160">
        <v>15753.802035827101</v>
      </c>
      <c r="P20" s="160">
        <v>1.2714296678999999</v>
      </c>
      <c r="Q20" s="387"/>
      <c r="R20" s="160">
        <v>7368.0023522987003</v>
      </c>
      <c r="S20" s="160">
        <v>0.62873331099999996</v>
      </c>
      <c r="T20" s="52"/>
      <c r="U20" s="160">
        <v>7830.4222558717001</v>
      </c>
      <c r="V20" s="160">
        <v>0.68469618399999999</v>
      </c>
      <c r="X20" s="160">
        <v>17417.211187877401</v>
      </c>
      <c r="Y20" s="160">
        <v>1.2242952188</v>
      </c>
    </row>
    <row r="21" spans="1:25" s="367" customFormat="1" ht="12.75" customHeight="1" x14ac:dyDescent="0.2">
      <c r="A21" s="104"/>
      <c r="B21" s="13" t="s">
        <v>34</v>
      </c>
      <c r="C21" s="386"/>
      <c r="D21" s="160">
        <v>50347.549406123697</v>
      </c>
      <c r="E21" s="387"/>
      <c r="F21" s="160">
        <v>37281.565714700497</v>
      </c>
      <c r="G21" s="160">
        <v>1.256405505</v>
      </c>
      <c r="H21" s="387"/>
      <c r="I21" s="160">
        <v>21577.500623768701</v>
      </c>
      <c r="J21" s="160">
        <v>0.7753725199</v>
      </c>
      <c r="K21" s="50"/>
      <c r="L21" s="160">
        <v>23408.8950696719</v>
      </c>
      <c r="M21" s="160">
        <v>0.84585147719999998</v>
      </c>
      <c r="N21" s="387"/>
      <c r="O21" s="160">
        <v>40538.212875341102</v>
      </c>
      <c r="P21" s="160">
        <v>1.3234136949999999</v>
      </c>
      <c r="Q21" s="387"/>
      <c r="R21" s="160">
        <v>18912.1767809509</v>
      </c>
      <c r="S21" s="160">
        <v>0.68037279500000003</v>
      </c>
      <c r="T21" s="52"/>
      <c r="U21" s="160">
        <v>21069.413772599899</v>
      </c>
      <c r="V21" s="160">
        <v>0.76302555409999995</v>
      </c>
      <c r="X21" s="160">
        <v>46793.250429474203</v>
      </c>
      <c r="Y21" s="160">
        <v>1.4467004799000001</v>
      </c>
    </row>
    <row r="22" spans="1:25" s="367" customFormat="1" ht="12.75" customHeight="1" x14ac:dyDescent="0.2">
      <c r="A22" s="104"/>
      <c r="B22" s="13" t="s">
        <v>35</v>
      </c>
      <c r="C22" s="386"/>
      <c r="D22" s="160">
        <v>12174.4839866041</v>
      </c>
      <c r="E22" s="387"/>
      <c r="F22" s="160">
        <v>8899.4220490548996</v>
      </c>
      <c r="G22" s="160">
        <v>1.2658820336000001</v>
      </c>
      <c r="H22" s="387"/>
      <c r="I22" s="160">
        <v>6180.9990200332004</v>
      </c>
      <c r="J22" s="160">
        <v>1.0951245237</v>
      </c>
      <c r="K22" s="50"/>
      <c r="L22" s="160">
        <v>4847.0914256857995</v>
      </c>
      <c r="M22" s="160">
        <v>0.90675068920000002</v>
      </c>
      <c r="N22" s="387"/>
      <c r="O22" s="160">
        <v>8831.8472006055999</v>
      </c>
      <c r="P22" s="160">
        <v>1.4591495576</v>
      </c>
      <c r="Q22" s="387"/>
      <c r="R22" s="160">
        <v>5150.3343191552003</v>
      </c>
      <c r="S22" s="160">
        <v>0.94668913109999997</v>
      </c>
      <c r="T22" s="52"/>
      <c r="U22" s="160">
        <v>3540.2778746517001</v>
      </c>
      <c r="V22" s="160">
        <v>0.71864775849999996</v>
      </c>
      <c r="X22" s="160">
        <v>7610.6119366553003</v>
      </c>
      <c r="Y22" s="160">
        <v>1.2480970684999999</v>
      </c>
    </row>
    <row r="23" spans="1:25" s="367" customFormat="1" ht="12.75" customHeight="1" x14ac:dyDescent="0.2">
      <c r="A23" s="104"/>
      <c r="B23" s="13" t="s">
        <v>36</v>
      </c>
      <c r="C23" s="386"/>
      <c r="D23" s="160">
        <v>39342.759310615002</v>
      </c>
      <c r="E23" s="387"/>
      <c r="F23" s="160">
        <v>27736.457990031198</v>
      </c>
      <c r="G23" s="160">
        <v>1.4908587324</v>
      </c>
      <c r="H23" s="387"/>
      <c r="I23" s="160">
        <v>13364.690466494199</v>
      </c>
      <c r="J23" s="160">
        <v>0.82061427679999999</v>
      </c>
      <c r="K23" s="50"/>
      <c r="L23" s="160">
        <v>14447.627707454099</v>
      </c>
      <c r="M23" s="160">
        <v>0.8827531783</v>
      </c>
      <c r="N23" s="387"/>
      <c r="O23" s="160">
        <v>24762.433136444099</v>
      </c>
      <c r="P23" s="160">
        <v>1.3824033203999999</v>
      </c>
      <c r="Q23" s="387"/>
      <c r="R23" s="160">
        <v>10841.504326062601</v>
      </c>
      <c r="S23" s="160">
        <v>0.68840892649999996</v>
      </c>
      <c r="T23" s="52"/>
      <c r="U23" s="160">
        <v>11711.501817602901</v>
      </c>
      <c r="V23" s="160">
        <v>0.71563310469999997</v>
      </c>
      <c r="X23" s="160">
        <v>30698.294565277301</v>
      </c>
      <c r="Y23" s="160">
        <v>1.5201887490999999</v>
      </c>
    </row>
    <row r="24" spans="1:25" s="367" customFormat="1" ht="12.75" customHeight="1" x14ac:dyDescent="0.2">
      <c r="A24" s="104"/>
      <c r="B24" s="13" t="s">
        <v>37</v>
      </c>
      <c r="C24" s="386"/>
      <c r="D24" s="160">
        <v>28850.313181142301</v>
      </c>
      <c r="E24" s="387"/>
      <c r="F24" s="160">
        <v>19457.2119189523</v>
      </c>
      <c r="G24" s="160">
        <v>1.6211570012000001</v>
      </c>
      <c r="H24" s="387"/>
      <c r="I24" s="160">
        <v>12911.8820094244</v>
      </c>
      <c r="J24" s="160">
        <v>1.2645999014</v>
      </c>
      <c r="K24" s="50"/>
      <c r="L24" s="160">
        <v>12238.6806402355</v>
      </c>
      <c r="M24" s="160">
        <v>1.1503887307</v>
      </c>
      <c r="N24" s="387"/>
      <c r="O24" s="160">
        <v>19738.968629073799</v>
      </c>
      <c r="P24" s="160">
        <v>1.5661339999999999</v>
      </c>
      <c r="Q24" s="387"/>
      <c r="R24" s="160">
        <v>9157.9235541905</v>
      </c>
      <c r="S24" s="160">
        <v>0.95540364830000002</v>
      </c>
      <c r="T24" s="52"/>
      <c r="U24" s="160">
        <v>6224.4861710912</v>
      </c>
      <c r="V24" s="160">
        <v>0.6482381532</v>
      </c>
      <c r="X24" s="160">
        <v>14778.625732669099</v>
      </c>
      <c r="Y24" s="160">
        <v>1.2642184256</v>
      </c>
    </row>
    <row r="25" spans="1:25" s="367" customFormat="1" ht="12.75" customHeight="1" x14ac:dyDescent="0.2">
      <c r="A25" s="104"/>
      <c r="B25" s="13" t="s">
        <v>38</v>
      </c>
      <c r="C25" s="386"/>
      <c r="D25" s="160">
        <v>24330.5739194446</v>
      </c>
      <c r="E25" s="387"/>
      <c r="F25" s="160">
        <v>16370.8165589947</v>
      </c>
      <c r="G25" s="160">
        <v>1.4403069913</v>
      </c>
      <c r="H25" s="387"/>
      <c r="I25" s="160">
        <v>8300.9061965773999</v>
      </c>
      <c r="J25" s="160">
        <v>0.87789100669999998</v>
      </c>
      <c r="K25" s="50"/>
      <c r="L25" s="160">
        <v>9749.1103194401003</v>
      </c>
      <c r="M25" s="160">
        <v>1.0559026612</v>
      </c>
      <c r="N25" s="387"/>
      <c r="O25" s="160">
        <v>17856.534390073899</v>
      </c>
      <c r="P25" s="160">
        <v>1.5097103165000001</v>
      </c>
      <c r="Q25" s="387"/>
      <c r="R25" s="160">
        <v>7058.5428565689999</v>
      </c>
      <c r="S25" s="160">
        <v>0.79784585990000001</v>
      </c>
      <c r="T25" s="52"/>
      <c r="U25" s="160">
        <v>7373.3287789564001</v>
      </c>
      <c r="V25" s="160">
        <v>0.81367637199999998</v>
      </c>
      <c r="X25" s="160">
        <v>15162.393640009101</v>
      </c>
      <c r="Y25" s="160">
        <v>1.4672825075</v>
      </c>
    </row>
    <row r="26" spans="1:25" s="367" customFormat="1" ht="12.75" customHeight="1" x14ac:dyDescent="0.2">
      <c r="A26" s="104"/>
      <c r="B26" s="13" t="s">
        <v>39</v>
      </c>
      <c r="C26" s="386"/>
      <c r="D26" s="160">
        <v>55559.275928897499</v>
      </c>
      <c r="E26" s="387"/>
      <c r="F26" s="160">
        <v>34817.390231015699</v>
      </c>
      <c r="G26" s="160">
        <v>1.3055489555999999</v>
      </c>
      <c r="H26" s="387"/>
      <c r="I26" s="160">
        <v>19085.786075458702</v>
      </c>
      <c r="J26" s="160">
        <v>0.78659733759999995</v>
      </c>
      <c r="K26" s="50"/>
      <c r="L26" s="160">
        <v>20591.889482639999</v>
      </c>
      <c r="M26" s="160">
        <v>0.82963362169999999</v>
      </c>
      <c r="N26" s="387"/>
      <c r="O26" s="160">
        <v>40830.917715148003</v>
      </c>
      <c r="P26" s="160">
        <v>1.3739249925000001</v>
      </c>
      <c r="Q26" s="387"/>
      <c r="R26" s="160">
        <v>15689.8841316913</v>
      </c>
      <c r="S26" s="160">
        <v>0.65271208950000004</v>
      </c>
      <c r="T26" s="52"/>
      <c r="U26" s="160">
        <v>17381.290883765902</v>
      </c>
      <c r="V26" s="160">
        <v>0.69486666360000005</v>
      </c>
      <c r="X26" s="160">
        <v>40527.673442023399</v>
      </c>
      <c r="Y26" s="160">
        <v>1.5237665457</v>
      </c>
    </row>
    <row r="27" spans="1:25" s="367" customFormat="1" ht="12.75" customHeight="1" x14ac:dyDescent="0.2">
      <c r="A27" s="104"/>
      <c r="B27" s="13" t="s">
        <v>40</v>
      </c>
      <c r="C27" s="386"/>
      <c r="D27" s="160">
        <v>153845.18493733901</v>
      </c>
      <c r="E27" s="387"/>
      <c r="F27" s="160">
        <v>95859.495381397297</v>
      </c>
      <c r="G27" s="160">
        <v>1.4419454944000001</v>
      </c>
      <c r="H27" s="387"/>
      <c r="I27" s="160">
        <v>45610.340850335197</v>
      </c>
      <c r="J27" s="160">
        <v>0.88891270200000005</v>
      </c>
      <c r="K27" s="50"/>
      <c r="L27" s="160">
        <v>45446.596549647002</v>
      </c>
      <c r="M27" s="160">
        <v>0.93695055900000002</v>
      </c>
      <c r="N27" s="387"/>
      <c r="O27" s="160">
        <v>97513.493710757</v>
      </c>
      <c r="P27" s="160">
        <v>1.4663561072</v>
      </c>
      <c r="Q27" s="387"/>
      <c r="R27" s="160">
        <v>33273.0428046823</v>
      </c>
      <c r="S27" s="160">
        <v>0.65340557330000004</v>
      </c>
      <c r="T27" s="52"/>
      <c r="U27" s="160">
        <v>34835.7683043793</v>
      </c>
      <c r="V27" s="160">
        <v>0.73633768649999998</v>
      </c>
      <c r="X27" s="160">
        <v>89316.077381273994</v>
      </c>
      <c r="Y27" s="160">
        <v>1.4824484676</v>
      </c>
    </row>
    <row r="28" spans="1:25" s="367" customFormat="1" ht="12.75" customHeight="1" x14ac:dyDescent="0.2">
      <c r="A28" s="104"/>
      <c r="B28" s="13" t="s">
        <v>41</v>
      </c>
      <c r="C28" s="386"/>
      <c r="D28" s="160">
        <v>48544.014646115298</v>
      </c>
      <c r="E28" s="387"/>
      <c r="F28" s="160">
        <v>27594.1268095778</v>
      </c>
      <c r="G28" s="160">
        <v>1.5801830725999999</v>
      </c>
      <c r="H28" s="387"/>
      <c r="I28" s="160">
        <v>15265.214429146101</v>
      </c>
      <c r="J28" s="160">
        <v>0.97823344109999999</v>
      </c>
      <c r="K28" s="50"/>
      <c r="L28" s="160">
        <v>16223.243780209499</v>
      </c>
      <c r="M28" s="160">
        <v>1.090440955</v>
      </c>
      <c r="N28" s="387"/>
      <c r="O28" s="160">
        <v>30293.3626615459</v>
      </c>
      <c r="P28" s="160">
        <v>1.4558642843</v>
      </c>
      <c r="Q28" s="387"/>
      <c r="R28" s="160">
        <v>9676.7925811298992</v>
      </c>
      <c r="S28" s="160">
        <v>0.69128259489999999</v>
      </c>
      <c r="T28" s="52"/>
      <c r="U28" s="160">
        <v>12642.337124694801</v>
      </c>
      <c r="V28" s="160">
        <v>0.94393208699999998</v>
      </c>
      <c r="X28" s="160">
        <v>26934.494428506201</v>
      </c>
      <c r="Y28" s="160">
        <v>1.5592046266999999</v>
      </c>
    </row>
    <row r="29" spans="1:25" s="367" customFormat="1" ht="12.75" customHeight="1" x14ac:dyDescent="0.2">
      <c r="A29" s="104"/>
      <c r="B29" s="13" t="s">
        <v>42</v>
      </c>
      <c r="C29" s="386"/>
      <c r="D29" s="160">
        <v>20366.691328497</v>
      </c>
      <c r="E29" s="387"/>
      <c r="F29" s="160">
        <v>15798.737800605601</v>
      </c>
      <c r="G29" s="160">
        <v>1.6203031104000001</v>
      </c>
      <c r="H29" s="387"/>
      <c r="I29" s="160">
        <v>7546.0984071475004</v>
      </c>
      <c r="J29" s="160">
        <v>1.1194885863999999</v>
      </c>
      <c r="K29" s="50"/>
      <c r="L29" s="160">
        <v>6613.9952077074004</v>
      </c>
      <c r="M29" s="160">
        <v>0.9828134529</v>
      </c>
      <c r="N29" s="387"/>
      <c r="O29" s="160">
        <v>14325.3999775596</v>
      </c>
      <c r="P29" s="160">
        <v>1.6837393925999999</v>
      </c>
      <c r="Q29" s="387"/>
      <c r="R29" s="160">
        <v>5491.7078180512999</v>
      </c>
      <c r="S29" s="160">
        <v>0.81140278359999995</v>
      </c>
      <c r="T29" s="52"/>
      <c r="U29" s="160">
        <v>4034.0444320025999</v>
      </c>
      <c r="V29" s="160">
        <v>0.65621643490000003</v>
      </c>
      <c r="X29" s="160">
        <v>10516.7220207727</v>
      </c>
      <c r="Y29" s="160">
        <v>1.6342433425</v>
      </c>
    </row>
    <row r="30" spans="1:25" s="367" customFormat="1" ht="12.75" customHeight="1" x14ac:dyDescent="0.2">
      <c r="A30" s="104"/>
      <c r="B30" s="13" t="s">
        <v>43</v>
      </c>
      <c r="C30" s="386"/>
      <c r="D30" s="160">
        <v>10075.872713184701</v>
      </c>
      <c r="E30" s="387"/>
      <c r="F30" s="160">
        <v>6943.3860292255004</v>
      </c>
      <c r="G30" s="160">
        <v>1.5752439593000001</v>
      </c>
      <c r="H30" s="387"/>
      <c r="I30" s="160">
        <v>4103.5061961171996</v>
      </c>
      <c r="J30" s="160">
        <v>1.0926624060000001</v>
      </c>
      <c r="K30" s="50"/>
      <c r="L30" s="160">
        <v>4053.2555804445001</v>
      </c>
      <c r="M30" s="160">
        <v>1.0957894574</v>
      </c>
      <c r="N30" s="387"/>
      <c r="O30" s="160">
        <v>7015.1530539251999</v>
      </c>
      <c r="P30" s="160">
        <v>1.4450629811</v>
      </c>
      <c r="Q30" s="387"/>
      <c r="R30" s="160">
        <v>3035.0725836831002</v>
      </c>
      <c r="S30" s="160">
        <v>0.84315557669999996</v>
      </c>
      <c r="T30" s="52"/>
      <c r="U30" s="160">
        <v>2403.1460051057002</v>
      </c>
      <c r="V30" s="160">
        <v>0.64871115800000001</v>
      </c>
      <c r="X30" s="160">
        <v>6644.8926542781001</v>
      </c>
      <c r="Y30" s="160">
        <v>1.5565951881</v>
      </c>
    </row>
    <row r="31" spans="1:25" s="367" customFormat="1" ht="12.75" customHeight="1" x14ac:dyDescent="0.2">
      <c r="A31" s="104"/>
      <c r="B31" s="13" t="s">
        <v>44</v>
      </c>
      <c r="C31" s="386"/>
      <c r="D31" s="160">
        <v>46826.58478284</v>
      </c>
      <c r="E31" s="387"/>
      <c r="F31" s="160">
        <v>26361.6069182438</v>
      </c>
      <c r="G31" s="160">
        <v>1.5098768388999999</v>
      </c>
      <c r="H31" s="387"/>
      <c r="I31" s="160">
        <v>17694.4359506285</v>
      </c>
      <c r="J31" s="160">
        <v>1.0109381210999999</v>
      </c>
      <c r="K31" s="50"/>
      <c r="L31" s="160">
        <v>15989.2500180566</v>
      </c>
      <c r="M31" s="160">
        <v>0.90700473520000002</v>
      </c>
      <c r="N31" s="387"/>
      <c r="O31" s="160">
        <v>28843.6268457447</v>
      </c>
      <c r="P31" s="160">
        <v>1.3716027603000001</v>
      </c>
      <c r="Q31" s="387"/>
      <c r="R31" s="160">
        <v>9318.4458313650994</v>
      </c>
      <c r="S31" s="160">
        <v>0.56978943630000001</v>
      </c>
      <c r="T31" s="52"/>
      <c r="U31" s="160">
        <v>13365.817450775399</v>
      </c>
      <c r="V31" s="160">
        <v>0.77514747890000002</v>
      </c>
      <c r="X31" s="160">
        <v>37644.625688078297</v>
      </c>
      <c r="Y31" s="160">
        <v>1.5721681412999999</v>
      </c>
    </row>
    <row r="32" spans="1:25" s="367" customFormat="1" ht="12.75" customHeight="1" x14ac:dyDescent="0.2">
      <c r="A32" s="104"/>
      <c r="B32" s="13" t="s">
        <v>45</v>
      </c>
      <c r="C32" s="386"/>
      <c r="D32" s="160">
        <v>51721.305046021</v>
      </c>
      <c r="E32" s="387"/>
      <c r="F32" s="160">
        <v>37955.533218610297</v>
      </c>
      <c r="G32" s="160">
        <v>1.8216746084</v>
      </c>
      <c r="H32" s="387"/>
      <c r="I32" s="160">
        <v>17631.496762920899</v>
      </c>
      <c r="J32" s="160">
        <v>1.3629309600999999</v>
      </c>
      <c r="K32" s="50"/>
      <c r="L32" s="160">
        <v>17847.2736737343</v>
      </c>
      <c r="M32" s="160">
        <v>1.1556869730999999</v>
      </c>
      <c r="N32" s="387"/>
      <c r="O32" s="160">
        <v>35093.945508937803</v>
      </c>
      <c r="P32" s="160">
        <v>1.8365788004000001</v>
      </c>
      <c r="Q32" s="387"/>
      <c r="R32" s="160">
        <v>13753.503238793999</v>
      </c>
      <c r="S32" s="160">
        <v>1.0874709535</v>
      </c>
      <c r="T32" s="52"/>
      <c r="U32" s="160">
        <v>7189.4365939297004</v>
      </c>
      <c r="V32" s="160">
        <v>0.57033703010000003</v>
      </c>
      <c r="X32" s="160">
        <v>19194.719962726998</v>
      </c>
      <c r="Y32" s="160">
        <v>1.4169722572000001</v>
      </c>
    </row>
    <row r="33" spans="1:25" s="367" customFormat="1" ht="12.75" customHeight="1" x14ac:dyDescent="0.2">
      <c r="A33" s="104"/>
      <c r="B33" s="13" t="s">
        <v>46</v>
      </c>
      <c r="C33" s="386"/>
      <c r="D33" s="160">
        <v>60553.044746405503</v>
      </c>
      <c r="E33" s="387"/>
      <c r="F33" s="160">
        <v>39901.704712638901</v>
      </c>
      <c r="G33" s="160">
        <v>1.5600853419</v>
      </c>
      <c r="H33" s="387"/>
      <c r="I33" s="160">
        <v>20256.3496017098</v>
      </c>
      <c r="J33" s="160">
        <v>1.1159200694</v>
      </c>
      <c r="K33" s="50"/>
      <c r="L33" s="160">
        <v>19146.9181975758</v>
      </c>
      <c r="M33" s="160">
        <v>1.0284079607000001</v>
      </c>
      <c r="N33" s="387"/>
      <c r="O33" s="160">
        <v>43043.666694125197</v>
      </c>
      <c r="P33" s="160">
        <v>1.8515198492</v>
      </c>
      <c r="Q33" s="387"/>
      <c r="R33" s="160">
        <v>17354.0000843708</v>
      </c>
      <c r="S33" s="160">
        <v>1.0146890886</v>
      </c>
      <c r="T33" s="52"/>
      <c r="U33" s="160">
        <v>13239.2030015686</v>
      </c>
      <c r="V33" s="160">
        <v>0.75537816820000003</v>
      </c>
      <c r="X33" s="160">
        <v>32325.248719163999</v>
      </c>
      <c r="Y33" s="160">
        <v>1.4483620263999999</v>
      </c>
    </row>
    <row r="34" spans="1:25" s="367" customFormat="1" ht="12.75" customHeight="1" x14ac:dyDescent="0.2">
      <c r="A34" s="104"/>
      <c r="B34" s="13" t="s">
        <v>47</v>
      </c>
      <c r="C34" s="386"/>
      <c r="D34" s="160">
        <v>32602.288410915098</v>
      </c>
      <c r="E34" s="387"/>
      <c r="F34" s="160">
        <v>13664.466828913</v>
      </c>
      <c r="G34" s="160">
        <v>1.4215737985000001</v>
      </c>
      <c r="H34" s="387"/>
      <c r="I34" s="160">
        <v>8559.9345488938998</v>
      </c>
      <c r="J34" s="160">
        <v>1.0552509259</v>
      </c>
      <c r="K34" s="50"/>
      <c r="L34" s="160">
        <v>9358.7310858771998</v>
      </c>
      <c r="M34" s="160">
        <v>1.2234162899000001</v>
      </c>
      <c r="N34" s="387"/>
      <c r="O34" s="160">
        <v>18004.4706034634</v>
      </c>
      <c r="P34" s="160">
        <v>1.8277789771999999</v>
      </c>
      <c r="Q34" s="387"/>
      <c r="R34" s="160">
        <v>6133.2908256178998</v>
      </c>
      <c r="S34" s="160">
        <v>0.78653878649999998</v>
      </c>
      <c r="T34" s="52"/>
      <c r="U34" s="160">
        <v>6834.2537917155996</v>
      </c>
      <c r="V34" s="160">
        <v>0.91118662490000002</v>
      </c>
      <c r="X34" s="160">
        <v>18354.731783928299</v>
      </c>
      <c r="Y34" s="160">
        <v>1.6358485088000001</v>
      </c>
    </row>
    <row r="35" spans="1:25" s="367" customFormat="1" ht="12.75" customHeight="1" x14ac:dyDescent="0.2">
      <c r="A35" s="104"/>
      <c r="B35" s="13" t="s">
        <v>48</v>
      </c>
      <c r="C35" s="386"/>
      <c r="D35" s="160">
        <v>21975.205253110002</v>
      </c>
      <c r="E35" s="387"/>
      <c r="F35" s="160">
        <v>12225.185227449099</v>
      </c>
      <c r="G35" s="160">
        <v>1.7130871271999999</v>
      </c>
      <c r="H35" s="387"/>
      <c r="I35" s="160">
        <v>9956.7356970359997</v>
      </c>
      <c r="J35" s="160">
        <v>1.5176790872999999</v>
      </c>
      <c r="K35" s="50"/>
      <c r="L35" s="160">
        <v>5992.5554632884996</v>
      </c>
      <c r="M35" s="160">
        <v>1.1719955855999999</v>
      </c>
      <c r="N35" s="387"/>
      <c r="O35" s="160">
        <v>13212.0067962579</v>
      </c>
      <c r="P35" s="160">
        <v>1.558872432</v>
      </c>
      <c r="Q35" s="387"/>
      <c r="R35" s="160">
        <v>5860.1813354302003</v>
      </c>
      <c r="S35" s="160">
        <v>0.99308390310000005</v>
      </c>
      <c r="T35" s="54"/>
      <c r="U35" s="160">
        <v>5715.4159070333999</v>
      </c>
      <c r="V35" s="160">
        <v>0.91190992059999998</v>
      </c>
      <c r="X35" s="160">
        <v>12144.6520911363</v>
      </c>
      <c r="Y35" s="160">
        <v>1.5355772092</v>
      </c>
    </row>
    <row r="36" spans="1:25" s="367" customFormat="1" ht="12.75" customHeight="1" x14ac:dyDescent="0.2">
      <c r="A36" s="104"/>
      <c r="B36" s="13" t="s">
        <v>49</v>
      </c>
      <c r="C36" s="386"/>
      <c r="D36" s="160">
        <v>15666.7398479494</v>
      </c>
      <c r="E36" s="387"/>
      <c r="F36" s="160">
        <v>13417.372805836299</v>
      </c>
      <c r="G36" s="160">
        <v>1.5665566735000001</v>
      </c>
      <c r="H36" s="387"/>
      <c r="I36" s="160">
        <v>7174.5625308123999</v>
      </c>
      <c r="J36" s="160">
        <v>0.89639209259999997</v>
      </c>
      <c r="K36" s="50"/>
      <c r="L36" s="160">
        <v>7590.9252882770998</v>
      </c>
      <c r="M36" s="160">
        <v>0.96021533810000004</v>
      </c>
      <c r="N36" s="387"/>
      <c r="O36" s="160">
        <v>12263.735621129401</v>
      </c>
      <c r="P36" s="160">
        <v>1.3960351684000001</v>
      </c>
      <c r="Q36" s="387"/>
      <c r="R36" s="160">
        <v>7860.9496842551998</v>
      </c>
      <c r="S36" s="160">
        <v>0.99145141810000004</v>
      </c>
      <c r="T36" s="52"/>
      <c r="U36" s="160">
        <v>5058.0220577356004</v>
      </c>
      <c r="V36" s="160">
        <v>0.64097981800000003</v>
      </c>
      <c r="X36" s="160">
        <v>13293.4462071053</v>
      </c>
      <c r="Y36" s="160">
        <v>1.4468787874</v>
      </c>
    </row>
    <row r="37" spans="1:25" s="367" customFormat="1" ht="12.75" customHeight="1" x14ac:dyDescent="0.2">
      <c r="A37" s="104"/>
      <c r="B37" s="13" t="s">
        <v>50</v>
      </c>
      <c r="C37" s="386"/>
      <c r="D37" s="160">
        <v>19480.778027771601</v>
      </c>
      <c r="E37" s="387"/>
      <c r="F37" s="160">
        <v>14440.4580485556</v>
      </c>
      <c r="G37" s="160">
        <v>1.3822485823999999</v>
      </c>
      <c r="H37" s="387"/>
      <c r="I37" s="160">
        <v>10496.209419415</v>
      </c>
      <c r="J37" s="160">
        <v>1.1620548772999999</v>
      </c>
      <c r="K37" s="50"/>
      <c r="L37" s="160">
        <v>9740.8003817180997</v>
      </c>
      <c r="M37" s="160">
        <v>1.1015730079999999</v>
      </c>
      <c r="N37" s="387"/>
      <c r="O37" s="160">
        <v>15189.1535445625</v>
      </c>
      <c r="P37" s="160">
        <v>1.5016348011</v>
      </c>
      <c r="Q37" s="387"/>
      <c r="R37" s="160">
        <v>8692.6108815913994</v>
      </c>
      <c r="S37" s="160">
        <v>0.96662425600000002</v>
      </c>
      <c r="T37" s="52"/>
      <c r="U37" s="160">
        <v>7680.0394146681001</v>
      </c>
      <c r="V37" s="160">
        <v>0.86851618090000005</v>
      </c>
      <c r="X37" s="160">
        <v>13860.413282575701</v>
      </c>
      <c r="Y37" s="160">
        <v>1.3675400771999999</v>
      </c>
    </row>
    <row r="38" spans="1:25" s="367" customFormat="1" ht="12.75" customHeight="1" x14ac:dyDescent="0.2">
      <c r="A38" s="104"/>
      <c r="B38" s="13" t="s">
        <v>51</v>
      </c>
      <c r="C38" s="386"/>
      <c r="D38" s="160">
        <v>25928.550404547899</v>
      </c>
      <c r="E38" s="387"/>
      <c r="F38" s="160">
        <v>15668.9684253745</v>
      </c>
      <c r="G38" s="160">
        <v>1.5254227654000001</v>
      </c>
      <c r="H38" s="387"/>
      <c r="I38" s="160">
        <v>11358.2506689736</v>
      </c>
      <c r="J38" s="160">
        <v>1.1444952843</v>
      </c>
      <c r="K38" s="50"/>
      <c r="L38" s="160">
        <v>7280.2414187791001</v>
      </c>
      <c r="M38" s="160">
        <v>0.74072527119999998</v>
      </c>
      <c r="N38" s="387"/>
      <c r="O38" s="160">
        <v>15593.0855014752</v>
      </c>
      <c r="P38" s="160">
        <v>1.4853090952000001</v>
      </c>
      <c r="Q38" s="52"/>
      <c r="R38" s="160">
        <v>7842.2691236358996</v>
      </c>
      <c r="S38" s="160">
        <v>0.85031794630000002</v>
      </c>
      <c r="T38" s="52"/>
      <c r="U38" s="160">
        <v>7668.6816562235999</v>
      </c>
      <c r="V38" s="160">
        <v>0.81560504810000001</v>
      </c>
      <c r="X38" s="160">
        <v>17986.058839807501</v>
      </c>
      <c r="Y38" s="160">
        <v>1.5721652612999999</v>
      </c>
    </row>
    <row r="39" spans="1:25" s="367" customFormat="1" ht="12.75" customHeight="1" x14ac:dyDescent="0.2">
      <c r="A39" s="104"/>
      <c r="B39" s="13" t="s">
        <v>52</v>
      </c>
      <c r="C39" s="386"/>
      <c r="D39" s="160">
        <v>24998.115892135302</v>
      </c>
      <c r="E39" s="387"/>
      <c r="F39" s="160">
        <v>20615.938775554801</v>
      </c>
      <c r="G39" s="160">
        <v>1.1401655889</v>
      </c>
      <c r="H39" s="387"/>
      <c r="I39" s="160">
        <v>14563.587912545299</v>
      </c>
      <c r="J39" s="160">
        <v>1.4700503680000001</v>
      </c>
      <c r="K39" s="50"/>
      <c r="L39" s="160">
        <v>14955.6224998947</v>
      </c>
      <c r="M39" s="160">
        <v>1.4507176133999999</v>
      </c>
      <c r="N39" s="387"/>
      <c r="O39" s="160">
        <v>22237.949463225399</v>
      </c>
      <c r="P39" s="160">
        <v>1.0035739878000001</v>
      </c>
      <c r="Q39" s="387"/>
      <c r="R39" s="160">
        <v>13725.4806963345</v>
      </c>
      <c r="S39" s="160">
        <v>1.5548919638000001</v>
      </c>
      <c r="T39" s="52"/>
      <c r="U39" s="160">
        <v>7361.1877730052001</v>
      </c>
      <c r="V39" s="160">
        <v>0.89895276629999998</v>
      </c>
      <c r="X39" s="160">
        <v>4750.7213816695003</v>
      </c>
      <c r="Y39" s="160">
        <v>0.66148183140000005</v>
      </c>
    </row>
    <row r="40" spans="1:25" s="367" customFormat="1" ht="12.75" customHeight="1" x14ac:dyDescent="0.2">
      <c r="A40" s="104"/>
      <c r="B40" s="13" t="s">
        <v>53</v>
      </c>
      <c r="C40" s="386"/>
      <c r="D40" s="160">
        <v>22249.9713929684</v>
      </c>
      <c r="E40" s="387"/>
      <c r="F40" s="160">
        <v>18249.345965060402</v>
      </c>
      <c r="G40" s="160">
        <v>1.5247746161</v>
      </c>
      <c r="H40" s="387"/>
      <c r="I40" s="160">
        <v>14962.6892387444</v>
      </c>
      <c r="J40" s="160">
        <v>1.3140355210000001</v>
      </c>
      <c r="K40" s="50"/>
      <c r="L40" s="160">
        <v>12718.4840279616</v>
      </c>
      <c r="M40" s="160">
        <v>1.1567571793</v>
      </c>
      <c r="N40" s="387"/>
      <c r="O40" s="160">
        <v>17260.490753094899</v>
      </c>
      <c r="P40" s="160">
        <v>1.4269697354999999</v>
      </c>
      <c r="Q40" s="387"/>
      <c r="R40" s="160">
        <v>12606.307924709799</v>
      </c>
      <c r="S40" s="160">
        <v>1.1049448755</v>
      </c>
      <c r="T40" s="52"/>
      <c r="U40" s="160">
        <v>8304.6228851353007</v>
      </c>
      <c r="V40" s="160">
        <v>0.74771060889999996</v>
      </c>
      <c r="X40" s="160">
        <v>18127.675552712499</v>
      </c>
      <c r="Y40" s="160">
        <v>1.3932227642999999</v>
      </c>
    </row>
    <row r="41" spans="1:25" s="367" customFormat="1" ht="12.75" customHeight="1" x14ac:dyDescent="0.2">
      <c r="A41" s="104"/>
      <c r="B41" s="13" t="s">
        <v>54</v>
      </c>
      <c r="C41" s="386"/>
      <c r="D41" s="160">
        <v>9032.6462727959006</v>
      </c>
      <c r="E41" s="387"/>
      <c r="F41" s="160">
        <v>6826.0833483460001</v>
      </c>
      <c r="G41" s="160">
        <v>1.3701763246000001</v>
      </c>
      <c r="H41" s="387"/>
      <c r="I41" s="160">
        <v>2757.6323878929002</v>
      </c>
      <c r="J41" s="160">
        <v>0.77184388110000002</v>
      </c>
      <c r="K41" s="50"/>
      <c r="L41" s="160">
        <v>3239.8947603598999</v>
      </c>
      <c r="M41" s="160">
        <v>0.89094737160000004</v>
      </c>
      <c r="N41" s="387"/>
      <c r="O41" s="160">
        <v>6835.1737837429</v>
      </c>
      <c r="P41" s="160">
        <v>1.3679205510000001</v>
      </c>
      <c r="Q41" s="387"/>
      <c r="R41" s="160">
        <v>2460.4508333782001</v>
      </c>
      <c r="S41" s="160">
        <v>0.72088055949999996</v>
      </c>
      <c r="T41" s="52"/>
      <c r="U41" s="160">
        <v>2183.6911911369002</v>
      </c>
      <c r="V41" s="160">
        <v>0.64868645820000004</v>
      </c>
      <c r="X41" s="160">
        <v>4960.9665710912996</v>
      </c>
      <c r="Y41" s="160">
        <v>1.2647436057999999</v>
      </c>
    </row>
    <row r="42" spans="1:25" s="367" customFormat="1" ht="12.75" customHeight="1" x14ac:dyDescent="0.2">
      <c r="A42" s="104"/>
      <c r="B42" s="13" t="s">
        <v>55</v>
      </c>
      <c r="C42" s="386"/>
      <c r="D42" s="160">
        <v>73888.639891829996</v>
      </c>
      <c r="E42" s="387"/>
      <c r="F42" s="160">
        <v>52816.420457013199</v>
      </c>
      <c r="G42" s="160">
        <v>1.5761372199000001</v>
      </c>
      <c r="H42" s="387"/>
      <c r="I42" s="160">
        <v>26328.718760543899</v>
      </c>
      <c r="J42" s="160">
        <v>0.98056384009999997</v>
      </c>
      <c r="K42" s="50"/>
      <c r="L42" s="160">
        <v>34491.922730473598</v>
      </c>
      <c r="M42" s="160">
        <v>1.397721172</v>
      </c>
      <c r="N42" s="387"/>
      <c r="O42" s="160">
        <v>52933.255099450798</v>
      </c>
      <c r="P42" s="160">
        <v>1.5251978875000001</v>
      </c>
      <c r="Q42" s="387"/>
      <c r="R42" s="160">
        <v>23328.8146239823</v>
      </c>
      <c r="S42" s="160">
        <v>0.9464806442</v>
      </c>
      <c r="T42" s="52"/>
      <c r="U42" s="160">
        <v>15406.108415938599</v>
      </c>
      <c r="V42" s="160">
        <v>0.63096099620000001</v>
      </c>
      <c r="X42" s="160">
        <v>38972.092753347199</v>
      </c>
      <c r="Y42" s="160">
        <v>1.3487558614999999</v>
      </c>
    </row>
    <row r="43" spans="1:25" s="367" customFormat="1" ht="12.75" customHeight="1" x14ac:dyDescent="0.2">
      <c r="A43" s="104"/>
      <c r="B43" s="13" t="s">
        <v>56</v>
      </c>
      <c r="C43" s="386"/>
      <c r="D43" s="160">
        <v>22166.611550397301</v>
      </c>
      <c r="E43" s="387"/>
      <c r="F43" s="160">
        <v>13068.4235886357</v>
      </c>
      <c r="G43" s="160">
        <v>1.3859236263000001</v>
      </c>
      <c r="H43" s="387"/>
      <c r="I43" s="160">
        <v>8448.4913033022003</v>
      </c>
      <c r="J43" s="160">
        <v>1.0878483232</v>
      </c>
      <c r="K43" s="50"/>
      <c r="L43" s="160">
        <v>7865.3780741767996</v>
      </c>
      <c r="M43" s="160">
        <v>1.1013798108999999</v>
      </c>
      <c r="N43" s="387"/>
      <c r="O43" s="160">
        <v>19602.979015601701</v>
      </c>
      <c r="P43" s="160">
        <v>1.1928438553</v>
      </c>
      <c r="Q43" s="387"/>
      <c r="R43" s="160">
        <v>6986.85338735</v>
      </c>
      <c r="S43" s="160">
        <v>0.99945404989999997</v>
      </c>
      <c r="T43" s="52"/>
      <c r="U43" s="160">
        <v>6278.5269069354999</v>
      </c>
      <c r="V43" s="160">
        <v>0.91065591229999998</v>
      </c>
      <c r="X43" s="160">
        <v>7786.9213367527</v>
      </c>
      <c r="Y43" s="160">
        <v>1.0630935911999999</v>
      </c>
    </row>
    <row r="44" spans="1:25" s="367" customFormat="1" ht="12.75" customHeight="1" x14ac:dyDescent="0.2">
      <c r="A44" s="104"/>
      <c r="B44" s="46" t="s">
        <v>57</v>
      </c>
      <c r="C44" s="46"/>
      <c r="D44" s="160">
        <v>16223.618786687</v>
      </c>
      <c r="E44" s="387"/>
      <c r="F44" s="160">
        <v>9517.6040743697995</v>
      </c>
      <c r="G44" s="160">
        <v>1.2479897645</v>
      </c>
      <c r="H44" s="387"/>
      <c r="I44" s="160">
        <v>5412.4452386672001</v>
      </c>
      <c r="J44" s="160">
        <v>1.1191837203999999</v>
      </c>
      <c r="K44" s="50"/>
      <c r="L44" s="160">
        <v>4313.8068091915002</v>
      </c>
      <c r="M44" s="160">
        <v>0.86103945749999999</v>
      </c>
      <c r="N44" s="387"/>
      <c r="O44" s="160">
        <v>10392.5679947186</v>
      </c>
      <c r="P44" s="160">
        <v>1.5424035945000001</v>
      </c>
      <c r="Q44" s="387"/>
      <c r="R44" s="160">
        <v>3398.7022165386002</v>
      </c>
      <c r="S44" s="160">
        <v>0.69237751410000004</v>
      </c>
      <c r="T44" s="52"/>
      <c r="U44" s="160">
        <v>3209.4226517912998</v>
      </c>
      <c r="V44" s="160">
        <v>0.64260253229999997</v>
      </c>
      <c r="X44" s="160">
        <v>7643.6394018449</v>
      </c>
      <c r="Y44" s="160">
        <v>1.2354932721</v>
      </c>
    </row>
    <row r="45" spans="1:25" s="367" customFormat="1" ht="6" customHeight="1" x14ac:dyDescent="0.2">
      <c r="A45" s="104"/>
      <c r="B45" s="365"/>
      <c r="C45" s="388"/>
      <c r="D45" s="388"/>
      <c r="E45" s="388"/>
      <c r="F45" s="388"/>
      <c r="G45" s="389"/>
      <c r="H45" s="389"/>
      <c r="I45" s="389"/>
      <c r="J45" s="390"/>
      <c r="K45" s="390"/>
      <c r="L45" s="389"/>
      <c r="M45" s="390"/>
      <c r="N45" s="390"/>
      <c r="O45" s="365"/>
      <c r="P45" s="391"/>
      <c r="Q45" s="365"/>
      <c r="R45" s="365"/>
      <c r="S45" s="121"/>
      <c r="T45" s="365"/>
      <c r="U45" s="365"/>
      <c r="V45" s="365"/>
      <c r="W45" s="365"/>
      <c r="X45" s="365"/>
      <c r="Y45" s="365"/>
    </row>
    <row r="46" spans="1:25" s="367" customFormat="1" ht="6" customHeight="1" x14ac:dyDescent="0.2">
      <c r="A46" s="104"/>
      <c r="C46" s="392"/>
      <c r="D46" s="392"/>
      <c r="E46" s="392"/>
      <c r="F46" s="392"/>
      <c r="G46" s="393"/>
      <c r="H46" s="393"/>
      <c r="I46" s="393"/>
      <c r="J46" s="394"/>
      <c r="K46" s="394"/>
      <c r="L46" s="393"/>
      <c r="M46" s="394"/>
      <c r="N46" s="394"/>
      <c r="P46" s="395"/>
      <c r="S46" s="122"/>
    </row>
    <row r="47" spans="1:25" s="396" customFormat="1" ht="11.25" x14ac:dyDescent="0.2">
      <c r="A47" s="99"/>
      <c r="B47" s="50" t="s">
        <v>106</v>
      </c>
      <c r="C47" s="392"/>
      <c r="D47" s="392"/>
      <c r="E47" s="392"/>
      <c r="F47" s="392"/>
      <c r="G47" s="393"/>
      <c r="H47" s="393"/>
      <c r="I47" s="393"/>
      <c r="J47" s="394"/>
      <c r="K47" s="394"/>
      <c r="L47" s="393"/>
      <c r="M47" s="394"/>
      <c r="N47" s="394"/>
      <c r="P47" s="395"/>
      <c r="S47" s="88"/>
      <c r="X47" s="50"/>
      <c r="Y47" s="50"/>
    </row>
    <row r="48" spans="1:25" s="400" customFormat="1" ht="11.25" x14ac:dyDescent="0.2">
      <c r="A48" s="99"/>
      <c r="B48" s="50" t="s">
        <v>139</v>
      </c>
      <c r="C48" s="397"/>
      <c r="D48" s="397"/>
      <c r="E48" s="397"/>
      <c r="F48" s="397"/>
      <c r="G48" s="398"/>
      <c r="H48" s="398"/>
      <c r="I48" s="398"/>
      <c r="J48" s="399"/>
      <c r="K48" s="399"/>
      <c r="L48" s="398"/>
      <c r="M48" s="399"/>
      <c r="N48" s="399"/>
      <c r="P48" s="401"/>
      <c r="S48" s="88"/>
      <c r="X48" s="50"/>
      <c r="Y48" s="50"/>
    </row>
    <row r="49" spans="1:19" s="396" customFormat="1" ht="11.25" x14ac:dyDescent="0.2">
      <c r="A49" s="99"/>
      <c r="B49" s="58" t="s">
        <v>140</v>
      </c>
      <c r="C49" s="392"/>
      <c r="D49" s="392"/>
      <c r="E49" s="392"/>
      <c r="F49" s="392"/>
      <c r="G49" s="393"/>
      <c r="H49" s="393"/>
      <c r="I49" s="393"/>
      <c r="J49" s="394"/>
      <c r="K49" s="394"/>
      <c r="L49" s="393"/>
      <c r="M49" s="394"/>
      <c r="N49" s="394"/>
      <c r="P49" s="395"/>
      <c r="S49" s="88"/>
    </row>
    <row r="50" spans="1:19" s="89" customFormat="1" ht="11.25" customHeight="1" x14ac:dyDescent="0.2">
      <c r="B50" s="24" t="s">
        <v>9</v>
      </c>
    </row>
    <row r="51" spans="1:19" ht="12.75" customHeight="1" x14ac:dyDescent="0.2">
      <c r="S51" s="1"/>
    </row>
    <row r="52" spans="1:19" ht="12.75" customHeight="1" x14ac:dyDescent="0.2">
      <c r="S52" s="1"/>
    </row>
    <row r="53" spans="1:19" ht="12.75" customHeight="1" x14ac:dyDescent="0.2">
      <c r="S53" s="1"/>
    </row>
    <row r="54" spans="1:19" ht="12.75" customHeight="1" x14ac:dyDescent="0.2">
      <c r="S54" s="1"/>
    </row>
    <row r="55" spans="1:19" ht="12.75" customHeight="1" x14ac:dyDescent="0.2">
      <c r="S55" s="1"/>
    </row>
    <row r="56" spans="1:19" ht="12.75" customHeight="1" x14ac:dyDescent="0.2">
      <c r="S56" s="1"/>
    </row>
    <row r="57" spans="1:19" ht="12.75" customHeight="1" x14ac:dyDescent="0.2">
      <c r="S57" s="1"/>
    </row>
    <row r="58" spans="1:19" ht="12.75" customHeight="1" x14ac:dyDescent="0.2">
      <c r="S58" s="1"/>
    </row>
    <row r="59" spans="1:19" ht="12.75" customHeight="1" x14ac:dyDescent="0.2">
      <c r="S59" s="1"/>
    </row>
    <row r="60" spans="1:19" ht="12.75" customHeight="1" x14ac:dyDescent="0.2">
      <c r="S60" s="1"/>
    </row>
    <row r="61" spans="1:19" ht="12.75" customHeight="1" x14ac:dyDescent="0.2">
      <c r="S61" s="1"/>
    </row>
    <row r="62" spans="1:19" ht="12.75" customHeight="1" x14ac:dyDescent="0.2">
      <c r="S62" s="1"/>
    </row>
    <row r="63" spans="1:19" ht="12.75" customHeight="1" x14ac:dyDescent="0.2">
      <c r="S63" s="1"/>
    </row>
    <row r="64" spans="1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  <row r="97" spans="19:19" ht="12.75" customHeight="1" x14ac:dyDescent="0.2">
      <c r="S97" s="1"/>
    </row>
    <row r="98" spans="19:19" ht="12.75" customHeight="1" x14ac:dyDescent="0.2">
      <c r="S98" s="1"/>
    </row>
    <row r="99" spans="19:19" ht="12.75" customHeight="1" x14ac:dyDescent="0.2">
      <c r="S99" s="1"/>
    </row>
  </sheetData>
  <mergeCells count="12">
    <mergeCell ref="X7:Y8"/>
    <mergeCell ref="F8:G8"/>
    <mergeCell ref="I8:J8"/>
    <mergeCell ref="L8:M8"/>
    <mergeCell ref="O8:P8"/>
    <mergeCell ref="R8:S8"/>
    <mergeCell ref="U8:V8"/>
    <mergeCell ref="B5:O5"/>
    <mergeCell ref="C6:O6"/>
    <mergeCell ref="B7:C9"/>
    <mergeCell ref="D7:D9"/>
    <mergeCell ref="F7:V7"/>
  </mergeCells>
  <hyperlinks>
    <hyperlink ref="Y1" location="Índice!A1" tooltip="Ir a ÍNDICE" display="INDICE" xr:uid="{2E87BDB6-36A0-4BAB-98EA-8EAC3F1EFFB2}"/>
  </hyperlinks>
  <pageMargins left="0.70866141732283472" right="0.70866141732283472" top="0.59055118110236227" bottom="0.59055118110236227" header="0.23622047244094491" footer="0.23622047244094491"/>
  <pageSetup scale="56" orientation="landscape" r:id="rId1"/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227D-D708-4C46-A40B-70C12E905C7E}">
  <dimension ref="A1:AE54"/>
  <sheetViews>
    <sheetView showGridLines="0" zoomScaleNormal="100" workbookViewId="0"/>
  </sheetViews>
  <sheetFormatPr baseColWidth="10" defaultColWidth="11.42578125" defaultRowHeight="1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  <col min="23" max="23" width="0.85546875" style="449" customWidth="1"/>
    <col min="24" max="25" width="10.7109375" style="449" customWidth="1"/>
  </cols>
  <sheetData>
    <row r="1" spans="1:31" s="69" customFormat="1" ht="14.1" customHeight="1" x14ac:dyDescent="0.2">
      <c r="A1" s="66"/>
      <c r="B1" s="484" t="s">
        <v>144</v>
      </c>
      <c r="C1" s="404"/>
      <c r="D1" s="405"/>
      <c r="E1" s="405"/>
      <c r="F1" s="405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85" t="s">
        <v>118</v>
      </c>
      <c r="Z1" s="68"/>
      <c r="AA1" s="68"/>
      <c r="AB1" s="68"/>
      <c r="AC1" s="68"/>
      <c r="AD1" s="68"/>
      <c r="AE1" s="68"/>
    </row>
    <row r="2" spans="1:31" s="69" customFormat="1" ht="6.95" customHeight="1" x14ac:dyDescent="0.2">
      <c r="A2" s="66"/>
      <c r="B2" s="484"/>
      <c r="C2" s="404"/>
      <c r="D2" s="405"/>
      <c r="E2" s="405"/>
      <c r="F2" s="405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68"/>
      <c r="AA2" s="68"/>
      <c r="AB2" s="68"/>
      <c r="AC2" s="68"/>
      <c r="AD2" s="68"/>
      <c r="AE2" s="68"/>
    </row>
    <row r="3" spans="1:31" s="69" customFormat="1" ht="14.1" customHeight="1" x14ac:dyDescent="0.2">
      <c r="A3" s="66"/>
      <c r="B3" s="484" t="s">
        <v>142</v>
      </c>
      <c r="C3" s="407"/>
      <c r="D3" s="407"/>
      <c r="E3" s="407"/>
      <c r="F3" s="407"/>
      <c r="G3" s="407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68"/>
      <c r="AA3" s="68"/>
      <c r="AB3" s="68"/>
      <c r="AC3" s="68"/>
      <c r="AD3" s="68"/>
      <c r="AE3" s="68"/>
    </row>
    <row r="4" spans="1:31" s="69" customFormat="1" ht="6.95" customHeight="1" x14ac:dyDescent="0.2">
      <c r="A4" s="66"/>
      <c r="B4" s="406"/>
      <c r="C4" s="404"/>
      <c r="D4" s="404"/>
      <c r="E4" s="404"/>
      <c r="F4" s="404"/>
      <c r="G4" s="406"/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68"/>
      <c r="AA4" s="68"/>
      <c r="AB4" s="68"/>
      <c r="AC4" s="68"/>
      <c r="AD4" s="68"/>
      <c r="AE4" s="68"/>
    </row>
    <row r="5" spans="1:31" s="69" customFormat="1" ht="20.100000000000001" customHeight="1" x14ac:dyDescent="0.2">
      <c r="A5" s="98"/>
      <c r="B5" s="611" t="s">
        <v>112</v>
      </c>
      <c r="C5" s="611"/>
      <c r="D5" s="611"/>
      <c r="E5" s="611"/>
      <c r="F5" s="611"/>
      <c r="G5" s="611"/>
      <c r="H5" s="611"/>
      <c r="I5" s="611"/>
      <c r="J5" s="611"/>
      <c r="K5" s="611"/>
      <c r="L5" s="611"/>
      <c r="M5" s="611"/>
      <c r="N5" s="611"/>
      <c r="O5" s="611"/>
      <c r="P5" s="611"/>
      <c r="Q5" s="611"/>
      <c r="R5" s="611"/>
      <c r="S5" s="408"/>
      <c r="T5" s="409"/>
      <c r="U5" s="114"/>
      <c r="V5" s="410"/>
      <c r="W5" s="410"/>
      <c r="X5" s="410"/>
      <c r="Y5" s="75" t="s">
        <v>114</v>
      </c>
      <c r="Z5" s="68"/>
      <c r="AA5" s="68"/>
      <c r="AB5" s="68"/>
      <c r="AC5" s="68"/>
      <c r="AD5" s="68"/>
      <c r="AE5" s="68"/>
    </row>
    <row r="6" spans="1:31" s="116" customFormat="1" ht="6" customHeight="1" x14ac:dyDescent="0.2">
      <c r="A6" s="98"/>
      <c r="B6" s="411"/>
      <c r="C6" s="612"/>
      <c r="D6" s="612"/>
      <c r="E6" s="612"/>
      <c r="F6" s="613"/>
      <c r="G6" s="613"/>
      <c r="H6" s="613"/>
      <c r="I6" s="613"/>
      <c r="J6" s="613"/>
      <c r="K6" s="613"/>
      <c r="L6" s="613"/>
      <c r="M6" s="614"/>
      <c r="N6" s="614"/>
      <c r="O6" s="614"/>
      <c r="P6" s="614"/>
      <c r="Q6" s="614"/>
      <c r="R6" s="614"/>
      <c r="S6" s="412"/>
      <c r="T6" s="413"/>
      <c r="U6" s="413"/>
      <c r="V6" s="413"/>
      <c r="W6" s="411"/>
      <c r="X6" s="413"/>
      <c r="Y6" s="413"/>
      <c r="Z6" s="115"/>
      <c r="AA6" s="115"/>
      <c r="AB6" s="115"/>
      <c r="AC6" s="115"/>
      <c r="AD6" s="115"/>
      <c r="AE6" s="115"/>
    </row>
    <row r="7" spans="1:31" s="116" customFormat="1" ht="15.75" customHeight="1" x14ac:dyDescent="0.2">
      <c r="A7" s="98"/>
      <c r="B7" s="615" t="s">
        <v>1</v>
      </c>
      <c r="C7" s="615"/>
      <c r="D7" s="608" t="s">
        <v>23</v>
      </c>
      <c r="E7" s="414"/>
      <c r="F7" s="610" t="s">
        <v>137</v>
      </c>
      <c r="G7" s="610"/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415"/>
      <c r="X7" s="608" t="s">
        <v>138</v>
      </c>
      <c r="Y7" s="608"/>
      <c r="Z7" s="115"/>
      <c r="AA7" s="115"/>
      <c r="AB7" s="115"/>
      <c r="AC7" s="115"/>
      <c r="AD7" s="115"/>
      <c r="AE7" s="115"/>
    </row>
    <row r="8" spans="1:31" s="116" customFormat="1" ht="46.5" customHeight="1" x14ac:dyDescent="0.2">
      <c r="A8" s="98"/>
      <c r="B8" s="616"/>
      <c r="C8" s="616"/>
      <c r="D8" s="618"/>
      <c r="E8" s="416"/>
      <c r="F8" s="610" t="s">
        <v>110</v>
      </c>
      <c r="G8" s="610"/>
      <c r="H8" s="414"/>
      <c r="I8" s="610" t="s">
        <v>109</v>
      </c>
      <c r="J8" s="610"/>
      <c r="K8" s="417"/>
      <c r="L8" s="610" t="s">
        <v>115</v>
      </c>
      <c r="M8" s="610"/>
      <c r="N8" s="417"/>
      <c r="O8" s="610" t="s">
        <v>116</v>
      </c>
      <c r="P8" s="610"/>
      <c r="Q8" s="418"/>
      <c r="R8" s="610" t="s">
        <v>108</v>
      </c>
      <c r="S8" s="610"/>
      <c r="T8" s="419"/>
      <c r="U8" s="610" t="s">
        <v>107</v>
      </c>
      <c r="V8" s="610"/>
      <c r="W8" s="420"/>
      <c r="X8" s="609"/>
      <c r="Y8" s="609"/>
      <c r="Z8" s="115"/>
      <c r="AA8" s="115"/>
      <c r="AB8" s="115"/>
      <c r="AC8" s="115"/>
      <c r="AD8" s="115"/>
      <c r="AE8" s="115"/>
    </row>
    <row r="9" spans="1:31" s="116" customFormat="1" ht="15.75" customHeight="1" x14ac:dyDescent="0.2">
      <c r="A9" s="99"/>
      <c r="B9" s="617"/>
      <c r="C9" s="617"/>
      <c r="D9" s="609"/>
      <c r="E9" s="421"/>
      <c r="F9" s="105" t="s">
        <v>13</v>
      </c>
      <c r="G9" s="105" t="s">
        <v>14</v>
      </c>
      <c r="H9" s="421"/>
      <c r="I9" s="105" t="s">
        <v>13</v>
      </c>
      <c r="J9" s="105" t="s">
        <v>14</v>
      </c>
      <c r="K9" s="422"/>
      <c r="L9" s="105" t="s">
        <v>13</v>
      </c>
      <c r="M9" s="105" t="s">
        <v>14</v>
      </c>
      <c r="N9" s="422"/>
      <c r="O9" s="105" t="s">
        <v>13</v>
      </c>
      <c r="P9" s="105" t="s">
        <v>14</v>
      </c>
      <c r="Q9" s="423"/>
      <c r="R9" s="105" t="s">
        <v>13</v>
      </c>
      <c r="S9" s="105" t="s">
        <v>14</v>
      </c>
      <c r="T9" s="424"/>
      <c r="U9" s="105" t="s">
        <v>13</v>
      </c>
      <c r="V9" s="105" t="s">
        <v>14</v>
      </c>
      <c r="W9" s="423"/>
      <c r="X9" s="105" t="s">
        <v>13</v>
      </c>
      <c r="Y9" s="105" t="s">
        <v>14</v>
      </c>
      <c r="Z9" s="115"/>
      <c r="AA9" s="115"/>
      <c r="AB9" s="115"/>
      <c r="AC9" s="115"/>
      <c r="AD9" s="115"/>
      <c r="AE9" s="115"/>
    </row>
    <row r="10" spans="1:31" s="116" customFormat="1" ht="6" customHeight="1" x14ac:dyDescent="0.2">
      <c r="A10" s="100"/>
      <c r="B10" s="425"/>
      <c r="C10" s="425"/>
      <c r="D10" s="426"/>
      <c r="E10" s="426"/>
      <c r="F10" s="426"/>
      <c r="G10" s="427"/>
      <c r="H10" s="427"/>
      <c r="I10" s="428"/>
      <c r="J10" s="429"/>
      <c r="K10" s="429"/>
      <c r="L10" s="429"/>
      <c r="M10" s="429"/>
      <c r="N10" s="429"/>
      <c r="O10" s="429"/>
      <c r="P10" s="429"/>
      <c r="Q10" s="429"/>
      <c r="R10" s="429"/>
      <c r="S10" s="429"/>
      <c r="T10" s="413"/>
      <c r="U10" s="413"/>
      <c r="V10" s="413"/>
      <c r="W10" s="413"/>
      <c r="X10" s="413"/>
      <c r="Y10" s="413"/>
      <c r="Z10" s="115"/>
      <c r="AA10" s="115"/>
      <c r="AB10" s="115"/>
      <c r="AC10" s="115"/>
      <c r="AD10" s="115"/>
      <c r="AE10" s="115"/>
    </row>
    <row r="11" spans="1:31" s="116" customFormat="1" x14ac:dyDescent="0.2">
      <c r="A11" s="101"/>
      <c r="B11" s="111" t="s">
        <v>5</v>
      </c>
      <c r="C11" s="430"/>
      <c r="D11" s="159">
        <v>245318.59867594499</v>
      </c>
      <c r="E11" s="431"/>
      <c r="F11" s="159">
        <v>159981.29126144</v>
      </c>
      <c r="G11" s="159">
        <v>0.33336947459999999</v>
      </c>
      <c r="H11" s="431"/>
      <c r="I11" s="159">
        <v>87022.616236319998</v>
      </c>
      <c r="J11" s="159">
        <v>0.22265660900000001</v>
      </c>
      <c r="K11" s="50"/>
      <c r="L11" s="159">
        <v>88820.366454893097</v>
      </c>
      <c r="M11" s="159">
        <v>0.2344531822</v>
      </c>
      <c r="N11" s="431"/>
      <c r="O11" s="159">
        <v>165548.31820327599</v>
      </c>
      <c r="P11" s="159">
        <v>0.3373509563</v>
      </c>
      <c r="Q11" s="431"/>
      <c r="R11" s="159">
        <v>69512.259783310205</v>
      </c>
      <c r="S11" s="159">
        <v>0.1841588887</v>
      </c>
      <c r="T11" s="51"/>
      <c r="U11" s="159">
        <v>62101.193141868898</v>
      </c>
      <c r="V11" s="159">
        <v>0.1703999987</v>
      </c>
      <c r="W11" s="432"/>
      <c r="X11" s="159">
        <v>147535.086278895</v>
      </c>
      <c r="Y11" s="159">
        <v>0.33498363650000001</v>
      </c>
      <c r="Z11" s="115"/>
      <c r="AA11" s="115"/>
      <c r="AB11" s="115"/>
      <c r="AC11" s="115"/>
      <c r="AD11" s="115"/>
      <c r="AE11" s="115"/>
    </row>
    <row r="12" spans="1:31" s="116" customFormat="1" ht="9" customHeight="1" x14ac:dyDescent="0.2">
      <c r="A12" s="102"/>
      <c r="B12" s="117"/>
      <c r="C12" s="430"/>
      <c r="D12" s="95"/>
      <c r="E12" s="431"/>
      <c r="F12" s="95"/>
      <c r="G12" s="96"/>
      <c r="H12" s="431"/>
      <c r="I12" s="95"/>
      <c r="J12" s="96"/>
      <c r="K12" s="50"/>
      <c r="L12" s="95"/>
      <c r="M12" s="96"/>
      <c r="N12" s="431"/>
      <c r="O12" s="95"/>
      <c r="P12" s="96"/>
      <c r="Q12" s="431"/>
      <c r="R12" s="95"/>
      <c r="S12" s="96"/>
      <c r="T12" s="50"/>
      <c r="U12" s="95"/>
      <c r="V12" s="96"/>
      <c r="W12" s="432"/>
      <c r="X12" s="95"/>
      <c r="Y12" s="96"/>
      <c r="Z12" s="115"/>
      <c r="AA12" s="115"/>
      <c r="AB12" s="115"/>
      <c r="AC12" s="115"/>
      <c r="AD12" s="115"/>
      <c r="AE12" s="115"/>
    </row>
    <row r="13" spans="1:31" s="116" customFormat="1" ht="12.75" customHeight="1" x14ac:dyDescent="0.2">
      <c r="A13" s="102"/>
      <c r="B13" s="97" t="s">
        <v>6</v>
      </c>
      <c r="C13" s="433"/>
      <c r="D13" s="160">
        <v>130448.21952647</v>
      </c>
      <c r="E13" s="434"/>
      <c r="F13" s="160">
        <v>90555.4504889276</v>
      </c>
      <c r="G13" s="160">
        <v>0.77099227859999997</v>
      </c>
      <c r="H13" s="434"/>
      <c r="I13" s="160">
        <v>48029.679535859403</v>
      </c>
      <c r="J13" s="160">
        <v>0.56176013520000001</v>
      </c>
      <c r="K13" s="50"/>
      <c r="L13" s="160">
        <v>49733.058619260097</v>
      </c>
      <c r="M13" s="160">
        <v>0.63399168679999995</v>
      </c>
      <c r="N13" s="434"/>
      <c r="O13" s="160">
        <v>89469.566504448201</v>
      </c>
      <c r="P13" s="160">
        <v>0.7775050147</v>
      </c>
      <c r="Q13" s="434"/>
      <c r="R13" s="160">
        <v>42875.396402314997</v>
      </c>
      <c r="S13" s="160">
        <v>0.52457670099999998</v>
      </c>
      <c r="T13" s="52"/>
      <c r="U13" s="160">
        <v>23353.8008774562</v>
      </c>
      <c r="V13" s="160">
        <v>0.30847391600000001</v>
      </c>
      <c r="W13" s="413"/>
      <c r="X13" s="160">
        <v>60601.351549466701</v>
      </c>
      <c r="Y13" s="160">
        <v>0.66186403110000003</v>
      </c>
      <c r="Z13" s="115"/>
      <c r="AA13" s="115"/>
      <c r="AB13" s="115"/>
      <c r="AC13" s="115"/>
      <c r="AD13" s="115"/>
      <c r="AE13" s="115"/>
    </row>
    <row r="14" spans="1:31" s="116" customFormat="1" ht="12" customHeight="1" x14ac:dyDescent="0.2">
      <c r="A14" s="102"/>
      <c r="B14" s="97" t="s">
        <v>7</v>
      </c>
      <c r="C14" s="433"/>
      <c r="D14" s="160">
        <v>120874.88248751601</v>
      </c>
      <c r="E14" s="434"/>
      <c r="F14" s="160">
        <v>69090.148145001003</v>
      </c>
      <c r="G14" s="160">
        <v>0.79812605029999995</v>
      </c>
      <c r="H14" s="434"/>
      <c r="I14" s="160">
        <v>36798.2638677984</v>
      </c>
      <c r="J14" s="160">
        <v>0.66787271140000004</v>
      </c>
      <c r="K14" s="50"/>
      <c r="L14" s="160">
        <v>37625.639893649801</v>
      </c>
      <c r="M14" s="160">
        <v>0.71121937639999999</v>
      </c>
      <c r="N14" s="434"/>
      <c r="O14" s="160">
        <v>73053.724518820803</v>
      </c>
      <c r="P14" s="160">
        <v>0.87100227699999999</v>
      </c>
      <c r="Q14" s="434"/>
      <c r="R14" s="160">
        <v>26051.745832666002</v>
      </c>
      <c r="S14" s="160">
        <v>0.4661578106</v>
      </c>
      <c r="T14" s="52"/>
      <c r="U14" s="160">
        <v>22983.5636200546</v>
      </c>
      <c r="V14" s="160">
        <v>0.45282694750000002</v>
      </c>
      <c r="W14" s="413"/>
      <c r="X14" s="160">
        <v>54316.528206278897</v>
      </c>
      <c r="Y14" s="160">
        <v>0.77034609129999998</v>
      </c>
      <c r="Z14" s="115"/>
      <c r="AA14" s="115"/>
      <c r="AB14" s="115"/>
      <c r="AC14" s="115"/>
      <c r="AD14" s="115"/>
      <c r="AE14" s="115"/>
    </row>
    <row r="15" spans="1:31" s="116" customFormat="1" x14ac:dyDescent="0.2">
      <c r="A15" s="99"/>
      <c r="B15" s="97" t="s">
        <v>8</v>
      </c>
      <c r="C15" s="433"/>
      <c r="D15" s="160">
        <v>129177.384084488</v>
      </c>
      <c r="E15" s="434"/>
      <c r="F15" s="160">
        <v>71272.542330940298</v>
      </c>
      <c r="G15" s="160">
        <v>0.88316527339999995</v>
      </c>
      <c r="H15" s="434"/>
      <c r="I15" s="160">
        <v>35129.944936202402</v>
      </c>
      <c r="J15" s="160">
        <v>0.55864944120000004</v>
      </c>
      <c r="K15" s="50"/>
      <c r="L15" s="160">
        <v>35989.289227161302</v>
      </c>
      <c r="M15" s="160">
        <v>0.5514000765</v>
      </c>
      <c r="N15" s="434"/>
      <c r="O15" s="160">
        <v>77458.489856550703</v>
      </c>
      <c r="P15" s="160">
        <v>0.85998889219999997</v>
      </c>
      <c r="Q15" s="434"/>
      <c r="R15" s="160">
        <v>26973.4333109654</v>
      </c>
      <c r="S15" s="160">
        <v>0.45078976069999999</v>
      </c>
      <c r="T15" s="52"/>
      <c r="U15" s="160">
        <v>30022.6218687564</v>
      </c>
      <c r="V15" s="160">
        <v>0.50816909499999996</v>
      </c>
      <c r="W15" s="413"/>
      <c r="X15" s="160">
        <v>71480.169052884405</v>
      </c>
      <c r="Y15" s="160">
        <v>0.90897022930000004</v>
      </c>
      <c r="Z15" s="115"/>
      <c r="AA15" s="115"/>
      <c r="AB15" s="115"/>
      <c r="AC15" s="115"/>
      <c r="AD15" s="115"/>
      <c r="AE15" s="115"/>
    </row>
    <row r="16" spans="1:31" s="116" customFormat="1" x14ac:dyDescent="0.2">
      <c r="A16" s="99"/>
      <c r="B16" s="97" t="s">
        <v>79</v>
      </c>
      <c r="C16" s="433"/>
      <c r="D16" s="160">
        <v>113668.722195625</v>
      </c>
      <c r="E16" s="434"/>
      <c r="F16" s="160">
        <v>88102.925138912295</v>
      </c>
      <c r="G16" s="160">
        <v>0.45150992880000002</v>
      </c>
      <c r="H16" s="434"/>
      <c r="I16" s="160">
        <v>52102.476344504001</v>
      </c>
      <c r="J16" s="160">
        <v>0.2847938746</v>
      </c>
      <c r="K16" s="50"/>
      <c r="L16" s="160">
        <v>52210.996313124997</v>
      </c>
      <c r="M16" s="160">
        <v>0.292938843</v>
      </c>
      <c r="N16" s="434"/>
      <c r="O16" s="160">
        <v>91508.118974239405</v>
      </c>
      <c r="P16" s="160">
        <v>0.46375240880000002</v>
      </c>
      <c r="Q16" s="434"/>
      <c r="R16" s="160">
        <v>40082.086439371902</v>
      </c>
      <c r="S16" s="160">
        <v>0.22485530470000001</v>
      </c>
      <c r="T16" s="52"/>
      <c r="U16" s="160">
        <v>43432.838229364497</v>
      </c>
      <c r="V16" s="160">
        <v>0.2422455916</v>
      </c>
      <c r="W16" s="413"/>
      <c r="X16" s="160">
        <v>100898.178576862</v>
      </c>
      <c r="Y16" s="160">
        <v>0.48734751679999999</v>
      </c>
      <c r="Z16" s="115"/>
      <c r="AA16" s="115"/>
      <c r="AB16" s="115"/>
      <c r="AC16" s="115"/>
      <c r="AD16" s="115"/>
      <c r="AE16" s="115"/>
    </row>
    <row r="17" spans="1:31" s="116" customFormat="1" ht="6" customHeight="1" x14ac:dyDescent="0.2">
      <c r="A17" s="99"/>
      <c r="B17" s="45"/>
      <c r="C17" s="45"/>
      <c r="D17" s="57"/>
      <c r="E17" s="435"/>
      <c r="F17" s="57"/>
      <c r="G17" s="436"/>
      <c r="H17" s="436"/>
      <c r="I17" s="57"/>
      <c r="J17" s="436"/>
      <c r="K17" s="437"/>
      <c r="L17" s="57"/>
      <c r="M17" s="436"/>
      <c r="N17" s="438"/>
      <c r="O17" s="438"/>
      <c r="P17" s="438"/>
      <c r="Q17" s="438"/>
      <c r="R17" s="57"/>
      <c r="S17" s="436"/>
      <c r="T17" s="411"/>
      <c r="U17" s="411"/>
      <c r="V17" s="118"/>
      <c r="W17" s="411"/>
      <c r="X17" s="61"/>
      <c r="Y17" s="61"/>
      <c r="Z17" s="115"/>
      <c r="AA17" s="115"/>
      <c r="AB17" s="115"/>
      <c r="AC17" s="115"/>
      <c r="AD17" s="115"/>
      <c r="AE17" s="115"/>
    </row>
    <row r="18" spans="1:31" s="116" customFormat="1" ht="6" customHeight="1" x14ac:dyDescent="0.2">
      <c r="A18" s="103"/>
      <c r="B18" s="413"/>
      <c r="C18" s="439"/>
      <c r="D18" s="439"/>
      <c r="E18" s="439"/>
      <c r="F18" s="439"/>
      <c r="G18" s="440"/>
      <c r="H18" s="440"/>
      <c r="I18" s="440"/>
      <c r="J18" s="441"/>
      <c r="K18" s="441"/>
      <c r="L18" s="440"/>
      <c r="M18" s="441"/>
      <c r="N18" s="441"/>
      <c r="O18" s="441"/>
      <c r="P18" s="441"/>
      <c r="Q18" s="441"/>
      <c r="R18" s="413"/>
      <c r="S18" s="442"/>
      <c r="T18" s="413"/>
      <c r="U18" s="413"/>
      <c r="V18" s="119"/>
      <c r="W18" s="413"/>
      <c r="X18" s="53"/>
      <c r="Y18" s="53"/>
      <c r="Z18" s="115"/>
      <c r="AA18" s="115"/>
      <c r="AB18" s="115"/>
      <c r="AC18" s="115"/>
      <c r="AD18" s="115"/>
      <c r="AE18" s="115"/>
    </row>
    <row r="19" spans="1:31" s="87" customFormat="1" ht="11.25" x14ac:dyDescent="0.2">
      <c r="A19" s="120"/>
      <c r="B19" s="50" t="s">
        <v>106</v>
      </c>
      <c r="C19" s="439"/>
      <c r="D19" s="439"/>
      <c r="E19" s="439"/>
      <c r="F19" s="439"/>
      <c r="G19" s="440"/>
      <c r="H19" s="440"/>
      <c r="I19" s="440"/>
      <c r="J19" s="441"/>
      <c r="K19" s="441"/>
      <c r="L19" s="440"/>
      <c r="M19" s="441"/>
      <c r="N19" s="441"/>
      <c r="O19" s="441"/>
      <c r="P19" s="441"/>
      <c r="Q19" s="441"/>
      <c r="R19" s="443"/>
      <c r="S19" s="442"/>
      <c r="T19" s="443"/>
      <c r="U19" s="443"/>
      <c r="V19" s="86"/>
      <c r="W19" s="443"/>
      <c r="X19" s="52"/>
      <c r="Y19" s="52"/>
      <c r="Z19" s="50"/>
      <c r="AA19" s="50"/>
      <c r="AB19" s="50"/>
      <c r="AC19" s="50"/>
      <c r="AD19" s="50"/>
      <c r="AE19" s="50"/>
    </row>
    <row r="20" spans="1:31" s="447" customFormat="1" ht="11.25" x14ac:dyDescent="0.2">
      <c r="A20" s="99"/>
      <c r="B20" s="50" t="s">
        <v>139</v>
      </c>
      <c r="C20" s="444"/>
      <c r="D20" s="444"/>
      <c r="E20" s="444"/>
      <c r="F20" s="444"/>
      <c r="G20" s="445"/>
      <c r="H20" s="445"/>
      <c r="I20" s="445"/>
      <c r="J20" s="446"/>
      <c r="K20" s="446"/>
      <c r="L20" s="445"/>
      <c r="M20" s="446"/>
      <c r="N20" s="446"/>
      <c r="P20" s="448"/>
      <c r="S20" s="88"/>
      <c r="X20" s="50"/>
      <c r="Y20" s="50"/>
    </row>
    <row r="21" spans="1:31" s="443" customFormat="1" ht="11.25" x14ac:dyDescent="0.2">
      <c r="A21" s="99"/>
      <c r="B21" s="58" t="s">
        <v>140</v>
      </c>
      <c r="C21" s="439"/>
      <c r="D21" s="439"/>
      <c r="E21" s="439"/>
      <c r="F21" s="439"/>
      <c r="G21" s="440"/>
      <c r="H21" s="440"/>
      <c r="I21" s="440"/>
      <c r="J21" s="441"/>
      <c r="K21" s="441"/>
      <c r="L21" s="440"/>
      <c r="M21" s="441"/>
      <c r="N21" s="441"/>
      <c r="P21" s="442"/>
      <c r="S21" s="88"/>
    </row>
    <row r="22" spans="1:31" s="89" customFormat="1" ht="11.25" customHeight="1" x14ac:dyDescent="0.2">
      <c r="B22" s="24" t="s">
        <v>9</v>
      </c>
    </row>
    <row r="23" spans="1:3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52"/>
      <c r="Y23" s="52"/>
      <c r="Z23" s="3"/>
      <c r="AA23" s="3"/>
      <c r="AB23" s="3"/>
      <c r="AC23" s="3"/>
      <c r="AD23" s="3"/>
      <c r="AE23" s="3"/>
    </row>
    <row r="24" spans="1:3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52"/>
      <c r="Y24" s="52"/>
      <c r="Z24" s="3"/>
      <c r="AA24" s="3"/>
      <c r="AB24" s="3"/>
      <c r="AC24" s="3"/>
      <c r="AD24" s="3"/>
      <c r="AE24" s="3"/>
    </row>
    <row r="25" spans="1:3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52"/>
      <c r="Y25" s="52"/>
      <c r="Z25" s="3"/>
      <c r="AA25" s="3"/>
      <c r="AB25" s="3"/>
      <c r="AC25" s="3"/>
      <c r="AD25" s="3"/>
      <c r="AE25" s="3"/>
    </row>
    <row r="26" spans="1:3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52"/>
      <c r="Y26" s="52"/>
      <c r="Z26" s="3"/>
      <c r="AA26" s="3"/>
      <c r="AB26" s="3"/>
      <c r="AC26" s="3"/>
      <c r="AD26" s="3"/>
      <c r="AE26" s="3"/>
    </row>
    <row r="27" spans="1:3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52"/>
      <c r="Y27" s="52"/>
      <c r="Z27" s="3"/>
      <c r="AA27" s="3"/>
      <c r="AB27" s="3"/>
      <c r="AC27" s="3"/>
      <c r="AD27" s="3"/>
      <c r="AE27" s="3"/>
    </row>
    <row r="28" spans="1:3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52"/>
      <c r="Y28" s="52"/>
      <c r="Z28" s="3"/>
      <c r="AA28" s="3"/>
      <c r="AB28" s="3"/>
      <c r="AC28" s="3"/>
      <c r="AD28" s="3"/>
      <c r="AE28" s="3"/>
    </row>
    <row r="29" spans="1:31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54"/>
      <c r="Y29" s="54"/>
      <c r="Z29" s="3"/>
      <c r="AA29" s="3"/>
      <c r="AB29" s="3"/>
      <c r="AC29" s="3"/>
      <c r="AD29" s="3"/>
      <c r="AE29" s="3"/>
    </row>
    <row r="30" spans="1:31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52"/>
      <c r="Y30" s="52"/>
      <c r="Z30" s="3"/>
      <c r="AA30" s="3"/>
      <c r="AB30" s="3"/>
      <c r="AC30" s="3"/>
      <c r="AD30" s="3"/>
      <c r="AE30" s="3"/>
    </row>
    <row r="31" spans="1:3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52"/>
      <c r="Y31" s="52"/>
      <c r="Z31" s="3"/>
      <c r="AA31" s="3"/>
      <c r="AB31" s="3"/>
      <c r="AC31" s="3"/>
      <c r="AD31" s="3"/>
      <c r="AE31" s="3"/>
    </row>
    <row r="32" spans="1:3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52"/>
      <c r="Y32" s="52"/>
      <c r="Z32" s="3"/>
      <c r="AA32" s="3"/>
      <c r="AB32" s="3"/>
      <c r="AC32" s="3"/>
      <c r="AD32" s="3"/>
      <c r="AE32" s="3"/>
    </row>
    <row r="33" spans="2:3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52"/>
      <c r="Y33" s="52"/>
      <c r="Z33" s="3"/>
      <c r="AA33" s="3"/>
      <c r="AB33" s="3"/>
      <c r="AC33" s="3"/>
      <c r="AD33" s="3"/>
      <c r="AE33" s="3"/>
    </row>
    <row r="34" spans="2:3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52"/>
      <c r="Y34" s="52"/>
      <c r="Z34" s="3"/>
      <c r="AA34" s="3"/>
      <c r="AB34" s="3"/>
      <c r="AC34" s="3"/>
      <c r="AD34" s="3"/>
      <c r="AE34" s="3"/>
    </row>
    <row r="35" spans="2:3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52"/>
      <c r="Y35" s="52"/>
      <c r="Z35" s="3"/>
      <c r="AA35" s="3"/>
      <c r="AB35" s="3"/>
      <c r="AC35" s="3"/>
      <c r="AD35" s="3"/>
      <c r="AE35" s="3"/>
    </row>
    <row r="36" spans="2:3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50"/>
      <c r="X36" s="59"/>
      <c r="Y36" s="59"/>
      <c r="Z36" s="2"/>
      <c r="AA36" s="3"/>
      <c r="AB36" s="3"/>
      <c r="AC36" s="3"/>
      <c r="AD36" s="3"/>
      <c r="AE36" s="3"/>
    </row>
    <row r="37" spans="2:3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50"/>
      <c r="X37" s="59"/>
      <c r="Y37" s="59"/>
      <c r="Z37" s="2"/>
      <c r="AA37" s="3"/>
      <c r="AB37" s="3"/>
      <c r="AC37" s="3"/>
      <c r="AD37" s="3"/>
      <c r="AE37" s="3"/>
    </row>
    <row r="38" spans="2:31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50"/>
      <c r="X38" s="59"/>
      <c r="Y38" s="59"/>
      <c r="Z38" s="2"/>
      <c r="AA38" s="3"/>
      <c r="AB38" s="3"/>
      <c r="AC38" s="3"/>
      <c r="AD38" s="3"/>
      <c r="AE38" s="3"/>
    </row>
    <row r="39" spans="2:31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50"/>
      <c r="X39" s="450"/>
      <c r="Y39" s="450"/>
      <c r="Z39" s="2"/>
      <c r="AA39" s="3"/>
      <c r="AB39" s="3"/>
      <c r="AC39" s="3"/>
      <c r="AD39" s="3"/>
      <c r="AE39" s="3"/>
    </row>
    <row r="40" spans="2:3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50"/>
      <c r="X40" s="450"/>
      <c r="Y40" s="450"/>
      <c r="Z40" s="2"/>
      <c r="AA40" s="3"/>
      <c r="AB40" s="3"/>
      <c r="AC40" s="3"/>
      <c r="AD40" s="3"/>
      <c r="AE40" s="3"/>
    </row>
    <row r="41" spans="2:3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50"/>
      <c r="X41" s="60"/>
      <c r="Y41" s="60"/>
      <c r="Z41" s="2"/>
      <c r="AA41" s="3"/>
      <c r="AB41" s="3"/>
      <c r="AC41" s="3"/>
      <c r="AD41" s="3"/>
      <c r="AE41" s="3"/>
    </row>
    <row r="42" spans="2:3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50"/>
      <c r="X42" s="450"/>
      <c r="Y42" s="450"/>
      <c r="Z42" s="2"/>
      <c r="AA42" s="3"/>
      <c r="AB42" s="3"/>
      <c r="AC42" s="3"/>
      <c r="AD42" s="3"/>
      <c r="AE42" s="3"/>
    </row>
    <row r="43" spans="2:31" ht="14.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60"/>
      <c r="X43" s="2"/>
      <c r="Y43" s="2"/>
      <c r="Z43" s="2"/>
      <c r="AA43" s="3"/>
      <c r="AB43" s="3"/>
      <c r="AC43" s="3"/>
      <c r="AD43" s="3"/>
      <c r="AE43" s="3"/>
    </row>
    <row r="44" spans="2:3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  <c r="X44" s="451"/>
      <c r="Y44" s="451"/>
      <c r="Z44" s="2"/>
      <c r="AA44" s="3"/>
      <c r="AB44" s="3"/>
      <c r="AC44" s="3"/>
      <c r="AD44" s="3"/>
      <c r="AE44" s="3"/>
    </row>
    <row r="45" spans="2:3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52"/>
      <c r="X45" s="452"/>
      <c r="Y45" s="452"/>
      <c r="Z45" s="3"/>
      <c r="AA45" s="3"/>
      <c r="AB45" s="3"/>
      <c r="AC45" s="3"/>
      <c r="AD45" s="3"/>
      <c r="AE45" s="3"/>
    </row>
    <row r="46" spans="2:3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52"/>
      <c r="X46" s="452"/>
      <c r="Y46" s="452"/>
      <c r="Z46" s="3"/>
      <c r="AA46" s="3"/>
      <c r="AB46" s="3"/>
      <c r="AC46" s="3"/>
      <c r="AD46" s="3"/>
      <c r="AE46" s="3"/>
    </row>
    <row r="47" spans="2:31" x14ac:dyDescent="0.2">
      <c r="W47" s="452"/>
      <c r="X47" s="453"/>
      <c r="Y47" s="453"/>
      <c r="Z47" s="3"/>
      <c r="AA47" s="3"/>
      <c r="AB47" s="3"/>
      <c r="AC47" s="3"/>
      <c r="AD47" s="3"/>
      <c r="AE47" s="3"/>
    </row>
    <row r="48" spans="2:31" x14ac:dyDescent="0.2">
      <c r="W48" s="453"/>
      <c r="Z48" s="3"/>
      <c r="AA48" s="3"/>
      <c r="AB48" s="3"/>
      <c r="AC48" s="3"/>
      <c r="AD48" s="3"/>
      <c r="AE48" s="3"/>
    </row>
    <row r="49" spans="26:31" x14ac:dyDescent="0.2">
      <c r="Z49" s="3"/>
      <c r="AA49" s="3"/>
      <c r="AB49" s="3"/>
      <c r="AC49" s="3"/>
      <c r="AD49" s="3"/>
      <c r="AE49" s="3"/>
    </row>
    <row r="50" spans="26:31" x14ac:dyDescent="0.2">
      <c r="Z50" s="3"/>
      <c r="AA50" s="3"/>
      <c r="AB50" s="3"/>
      <c r="AC50" s="3"/>
      <c r="AD50" s="3"/>
      <c r="AE50" s="3"/>
    </row>
    <row r="51" spans="26:31" x14ac:dyDescent="0.2">
      <c r="Z51" s="3"/>
      <c r="AA51" s="3"/>
      <c r="AB51" s="3"/>
      <c r="AC51" s="3"/>
      <c r="AD51" s="3"/>
      <c r="AE51" s="3"/>
    </row>
    <row r="52" spans="26:31" x14ac:dyDescent="0.2">
      <c r="Z52" s="3"/>
      <c r="AA52" s="3"/>
      <c r="AB52" s="3"/>
      <c r="AC52" s="3"/>
      <c r="AD52" s="3"/>
      <c r="AE52" s="3"/>
    </row>
    <row r="53" spans="26:31" x14ac:dyDescent="0.2">
      <c r="Z53" s="3"/>
      <c r="AA53" s="3"/>
      <c r="AB53" s="3"/>
      <c r="AC53" s="3"/>
      <c r="AD53" s="3"/>
      <c r="AE53" s="3"/>
    </row>
    <row r="54" spans="26:31" x14ac:dyDescent="0.2">
      <c r="Z54" s="3"/>
      <c r="AA54" s="3"/>
      <c r="AB54" s="3"/>
      <c r="AC54" s="3"/>
      <c r="AD54" s="3"/>
      <c r="AE54" s="3"/>
    </row>
  </sheetData>
  <mergeCells count="12">
    <mergeCell ref="B5:R5"/>
    <mergeCell ref="C6:R6"/>
    <mergeCell ref="B7:C9"/>
    <mergeCell ref="D7:D9"/>
    <mergeCell ref="F7:V7"/>
    <mergeCell ref="X7:Y8"/>
    <mergeCell ref="F8:G8"/>
    <mergeCell ref="I8:J8"/>
    <mergeCell ref="L8:M8"/>
    <mergeCell ref="O8:P8"/>
    <mergeCell ref="R8:S8"/>
    <mergeCell ref="U8:V8"/>
  </mergeCells>
  <hyperlinks>
    <hyperlink ref="Y1" location="Índice!A1" tooltip="Ir a ÍNDICE" display="INDICE" xr:uid="{C790A1D8-0EE5-480A-B79B-697A06ED532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7E91EB-6FAA-485E-994C-07E25722B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58CE33-D221-496E-94AD-07C2EB33CC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2BCF33-5307-49D3-8A81-EC3B2FB5C484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e829ce69-67eb-47dd-9407-4f8adfa19fc2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Índice</vt:lpstr>
      <vt:lpstr>Cuadro 1.1</vt:lpstr>
      <vt:lpstr>Cuadro 1.2</vt:lpstr>
      <vt:lpstr>Cuadro 1.3</vt:lpstr>
      <vt:lpstr>Cuadro 1.4</vt:lpstr>
      <vt:lpstr>Cuadro 1.5</vt:lpstr>
      <vt:lpstr>Cuadro 1.6</vt:lpstr>
      <vt:lpstr>Cuadro 1.7</vt:lpstr>
      <vt:lpstr>Cuadro 1.8</vt:lpstr>
      <vt:lpstr>Cuadro 1.9</vt:lpstr>
      <vt:lpstr>Cuadro 1.10</vt:lpstr>
      <vt:lpstr>Cuadro 1.11</vt:lpstr>
      <vt:lpstr>Cuadro 1.12</vt:lpstr>
      <vt:lpstr>'Cuadro 1.1'!Área_de_impresión</vt:lpstr>
      <vt:lpstr>'Cuadro 1.10'!Área_de_impresión</vt:lpstr>
      <vt:lpstr>'Cuadro 1.11'!Área_de_impresión</vt:lpstr>
      <vt:lpstr>'Cuadro 1.12'!Área_de_impresión</vt:lpstr>
      <vt:lpstr>'Cuadro 1.2'!Área_de_impresión</vt:lpstr>
      <vt:lpstr>'Cuadro 1.4'!Área_de_impresión</vt:lpstr>
      <vt:lpstr>'Cuadro 1.5'!Área_de_impresión</vt:lpstr>
      <vt:lpstr>'Cuadro 1.6'!Área_de_impresión</vt:lpstr>
      <vt:lpstr>'Cuadro 1.7'!Área_de_impresión</vt:lpstr>
      <vt:lpstr>'Cuadro 1.8'!Área_de_impresión</vt:lpstr>
      <vt:lpstr>'Cuadro 1.9'!Área_de_impresión</vt:lpstr>
    </vt:vector>
  </TitlesOfParts>
  <Manager/>
  <Company>INEGI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>Tabulados de hogares y viviendas</cp:keywords>
  <dc:description>2021</dc:description>
  <cp:lastModifiedBy>INEGI</cp:lastModifiedBy>
  <cp:revision/>
  <dcterms:created xsi:type="dcterms:W3CDTF">2019-05-08T14:05:56Z</dcterms:created>
  <dcterms:modified xsi:type="dcterms:W3CDTF">2021-08-19T15:54:22Z</dcterms:modified>
  <cp:category>ENVI2020; ENIGH 2018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